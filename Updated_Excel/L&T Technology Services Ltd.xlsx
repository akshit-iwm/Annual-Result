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C64E2A4E-E9DC-4F7C-B569-5C58B570126B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D42" i="2"/>
  <c r="AC81" i="2"/>
  <c r="AF104" i="2"/>
  <c r="AC23" i="2"/>
  <c r="AF10" i="2"/>
  <c r="AB48" i="2"/>
  <c r="AD12" i="2"/>
  <c r="AD20" i="2"/>
  <c r="AB5" i="2"/>
  <c r="AB111" i="2" s="1"/>
  <c r="AF5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54" i="2"/>
  <c r="AE87" i="2"/>
  <c r="AE23" i="2"/>
  <c r="AD73" i="2"/>
  <c r="AD89" i="2"/>
  <c r="AD109" i="2"/>
  <c r="AE69" i="2"/>
  <c r="AE93" i="2"/>
  <c r="AC22" i="2"/>
  <c r="AF49" i="2"/>
  <c r="AD91" i="2"/>
  <c r="AC96" i="2"/>
  <c r="AC24" i="2"/>
  <c r="AE94" i="2"/>
  <c r="AD25" i="2"/>
  <c r="AF67" i="2"/>
  <c r="AF99" i="2"/>
  <c r="AC30" i="2"/>
  <c r="AB24" i="2"/>
  <c r="AC108" i="2"/>
  <c r="AB13" i="2"/>
  <c r="AB10" i="2"/>
  <c r="AD76" i="2"/>
  <c r="AE98" i="2"/>
  <c r="AF66" i="2"/>
  <c r="AE35" i="2"/>
  <c r="AE83" i="2"/>
  <c r="AB86" i="2"/>
  <c r="AE65" i="2"/>
  <c r="AC13" i="2"/>
  <c r="AC99" i="2"/>
  <c r="AC20" i="2"/>
  <c r="AF88" i="2"/>
  <c r="AC66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C88" i="2"/>
  <c r="AC36" i="2"/>
  <c r="AB74" i="2"/>
  <c r="AB90" i="2"/>
  <c r="AB110" i="2"/>
  <c r="AC70" i="2"/>
  <c r="AC94" i="2"/>
  <c r="AE64" i="2"/>
  <c r="AB8" i="2"/>
  <c r="AB72" i="2"/>
  <c r="AC68" i="2"/>
  <c r="AC55" i="2"/>
  <c r="AC8" i="2"/>
  <c r="AB17" i="2"/>
  <c r="AB52" i="2"/>
  <c r="AD64" i="2"/>
  <c r="AD96" i="2"/>
  <c r="AB28" i="2"/>
  <c r="AB60" i="2"/>
  <c r="AE48" i="2"/>
  <c r="AC89" i="2"/>
  <c r="AF33" i="2"/>
  <c r="AC31" i="2"/>
  <c r="AC46" i="2"/>
  <c r="AF36" i="2"/>
  <c r="AB89" i="2"/>
  <c r="AB97" i="2"/>
  <c r="AC109" i="2"/>
  <c r="AF62" i="2"/>
  <c r="AE66" i="2"/>
  <c r="AD75" i="2"/>
  <c r="AC72" i="2"/>
  <c r="AF80" i="2"/>
  <c r="AC106" i="2"/>
  <c r="AF22" i="2"/>
  <c r="AE19" i="2"/>
  <c r="AE46" i="2"/>
  <c r="AD55" i="2"/>
  <c r="AD9" i="2"/>
  <c r="AE70" i="2"/>
  <c r="AD69" i="2"/>
  <c r="AB21" i="2"/>
  <c r="AE36" i="2"/>
  <c r="AE7" i="2"/>
  <c r="AE89" i="2"/>
  <c r="AF48" i="2"/>
  <c r="AF47" i="2"/>
  <c r="AB85" i="2"/>
  <c r="AD83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67" i="2"/>
  <c r="AE91" i="2"/>
  <c r="AE42" i="2"/>
  <c r="AF76" i="2"/>
  <c r="AF92" i="2"/>
  <c r="AE73" i="2"/>
  <c r="AE97" i="2"/>
  <c r="AC18" i="2"/>
  <c r="AE15" i="2"/>
  <c r="AB88" i="2"/>
  <c r="AD93" i="2"/>
  <c r="AC98" i="2"/>
  <c r="AB33" i="2"/>
  <c r="AB44" i="2"/>
  <c r="AE6" i="2"/>
  <c r="AE30" i="2"/>
  <c r="AB53" i="2"/>
  <c r="AD72" i="2"/>
  <c r="AD88" i="2"/>
  <c r="AE108" i="2"/>
  <c r="AC77" i="2"/>
  <c r="AF74" i="2"/>
  <c r="AE58" i="2"/>
  <c r="AB94" i="2"/>
  <c r="AE11" i="2"/>
  <c r="AF44" i="2"/>
  <c r="AC7" i="2"/>
  <c r="AF20" i="2"/>
  <c r="AB65" i="2"/>
  <c r="AD31" i="2"/>
  <c r="AC49" i="2"/>
  <c r="AE78" i="2"/>
  <c r="AE29" i="2"/>
  <c r="AF57" i="2"/>
  <c r="AE79" i="2"/>
  <c r="AC11" i="2"/>
  <c r="AF91" i="2"/>
  <c r="AC64" i="2"/>
  <c r="AC32" i="2"/>
  <c r="AD85" i="2"/>
  <c r="AC86" i="2"/>
  <c r="AB40" i="2"/>
  <c r="AE51" i="2"/>
  <c r="AD60" i="2"/>
  <c r="AD92" i="2"/>
  <c r="AB47" i="2"/>
  <c r="AC59" i="2"/>
  <c r="AB106" i="2"/>
  <c r="AF40" i="2"/>
  <c r="AC40" i="2"/>
  <c r="AF28" i="2"/>
  <c r="AB77" i="2"/>
  <c r="AD99" i="2"/>
  <c r="AF108" i="2"/>
  <c r="AC90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C105" i="2"/>
  <c r="AF26" i="2"/>
  <c r="AD59" i="2"/>
  <c r="AC45" i="2"/>
  <c r="AE76" i="2"/>
  <c r="AE88" i="2"/>
  <c r="AB43" i="2"/>
  <c r="AB108" i="2"/>
  <c r="AC92" i="2"/>
  <c r="AD77" i="2"/>
  <c r="AC74" i="2"/>
  <c r="AB25" i="2"/>
  <c r="AE18" i="2"/>
  <c r="AE45" i="2"/>
  <c r="AE57" i="2"/>
  <c r="AB18" i="2"/>
  <c r="AB34" i="2"/>
  <c r="AD80" i="2"/>
  <c r="AD108" i="2"/>
  <c r="AE21" i="2"/>
  <c r="AC65" i="2"/>
  <c r="AD11" i="2"/>
  <c r="AD46" i="2"/>
  <c r="AC28" i="2"/>
  <c r="AF90" i="2"/>
  <c r="AF110" i="2"/>
  <c r="AE71" i="2"/>
  <c r="AE95" i="2"/>
  <c r="AB78" i="2"/>
  <c r="AE77" i="2"/>
  <c r="AE105" i="2"/>
  <c r="AB81" i="2"/>
  <c r="AF14" i="2"/>
  <c r="AE31" i="2"/>
  <c r="AC60" i="2"/>
  <c r="AF96" i="2"/>
  <c r="AC69" i="2"/>
  <c r="AE107" i="2"/>
  <c r="AD47" i="2"/>
  <c r="AF83" i="2"/>
  <c r="AF45" i="2"/>
  <c r="AC57" i="2"/>
  <c r="AF60" i="2"/>
  <c r="AB80" i="2"/>
  <c r="AC80" i="2"/>
  <c r="AD105" i="2"/>
  <c r="AB29" i="2"/>
  <c r="AE24" i="2"/>
  <c r="AB26" i="2"/>
  <c r="AD68" i="2"/>
  <c r="AD104" i="2"/>
  <c r="AB12" i="2"/>
  <c r="AC83" i="2"/>
  <c r="AF82" i="2"/>
  <c r="AF21" i="2"/>
  <c r="AB61" i="2"/>
  <c r="AB105" i="2"/>
  <c r="AC93" i="2"/>
  <c r="AC34" i="2"/>
  <c r="AB9" i="2"/>
  <c r="AF9" i="2"/>
  <c r="AF17" i="2"/>
  <c r="AF25" i="2"/>
  <c r="AF52" i="2"/>
  <c r="AC19" i="2"/>
  <c r="AC58" i="2"/>
  <c r="AF55" i="2"/>
  <c r="AB73" i="2"/>
  <c r="AB109" i="2"/>
  <c r="AE90" i="2"/>
  <c r="AC78" i="2"/>
  <c r="AD79" i="2"/>
  <c r="AF68" i="2"/>
  <c r="AD36" i="2"/>
  <c r="AF59" i="2"/>
  <c r="AC95" i="2"/>
  <c r="AC62" i="2"/>
  <c r="AE12" i="2"/>
  <c r="AE33" i="2"/>
  <c r="AD61" i="2"/>
  <c r="AB70" i="2"/>
  <c r="AF56" i="2"/>
  <c r="AD15" i="2"/>
  <c r="AE84" i="2"/>
  <c r="AD67" i="2"/>
  <c r="AC51" i="2"/>
  <c r="AD10" i="2"/>
  <c r="AD18" i="2"/>
  <c r="AD26" i="2"/>
  <c r="AD34" i="2"/>
  <c r="AD45" i="2"/>
  <c r="AD53" i="2"/>
  <c r="AE8" i="2"/>
  <c r="AE20" i="2"/>
  <c r="AE32" i="2"/>
  <c r="AE47" i="2"/>
  <c r="AD5" i="2"/>
  <c r="AD111" i="2" s="1"/>
  <c r="AD21" i="2"/>
  <c r="AD40" i="2"/>
  <c r="AD56" i="2"/>
  <c r="AF65" i="2"/>
  <c r="AF73" i="2"/>
  <c r="AF81" i="2"/>
  <c r="AF89" i="2"/>
  <c r="AF97" i="2"/>
  <c r="AF109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75" i="2"/>
  <c r="AE99" i="2"/>
  <c r="AE63" i="2"/>
  <c r="AD81" i="2"/>
  <c r="AD97" i="2"/>
  <c r="AE27" i="2"/>
  <c r="AE81" i="2"/>
  <c r="AE109" i="2"/>
  <c r="AB19" i="2"/>
  <c r="AB35" i="2"/>
  <c r="AB46" i="2"/>
  <c r="AB54" i="2"/>
  <c r="AC48" i="2"/>
  <c r="AB6" i="2"/>
  <c r="AB41" i="2"/>
  <c r="AD66" i="2"/>
  <c r="AD82" i="2"/>
  <c r="AF6" i="2"/>
  <c r="AC26" i="2"/>
  <c r="AC53" i="2"/>
  <c r="AE80" i="2"/>
  <c r="AB66" i="2"/>
  <c r="AB98" i="2"/>
  <c r="AC43" i="2"/>
  <c r="AC82" i="2"/>
  <c r="AC110" i="2"/>
  <c r="AD7" i="2"/>
  <c r="AE5" i="2"/>
  <c r="AE59" i="2"/>
  <c r="AD95" i="2"/>
  <c r="AE85" i="2"/>
  <c r="AC50" i="2"/>
  <c r="AF13" i="2"/>
  <c r="AC25" i="2"/>
  <c r="AC52" i="2"/>
  <c r="AD50" i="2"/>
  <c r="AF30" i="2"/>
  <c r="AC84" i="2"/>
  <c r="AB11" i="2"/>
  <c r="AB27" i="2"/>
  <c r="AC9" i="2"/>
  <c r="AC21" i="2"/>
  <c r="AC33" i="2"/>
  <c r="AB22" i="2"/>
  <c r="AB57" i="2"/>
  <c r="AD74" i="2"/>
  <c r="AD90" i="2"/>
  <c r="AD98" i="2"/>
  <c r="AD110" i="2"/>
  <c r="AB36" i="2"/>
  <c r="AB64" i="2"/>
  <c r="AE68" i="2"/>
  <c r="AE92" i="2"/>
  <c r="AD19" i="2"/>
  <c r="AD54" i="2"/>
  <c r="AE50" i="2"/>
  <c r="AF78" i="2"/>
  <c r="AF94" i="2"/>
  <c r="AC16" i="2"/>
  <c r="AC76" i="2"/>
  <c r="AC104" i="2"/>
  <c r="AB82" i="2"/>
  <c r="AE56" i="2"/>
  <c r="AF84" i="2"/>
  <c r="AD28" i="2"/>
  <c r="AC35" i="2"/>
  <c r="AD44" i="2"/>
  <c r="AF75" i="2"/>
  <c r="AC6" i="2"/>
  <c r="AE82" i="2"/>
  <c r="AB96" i="2"/>
  <c r="AB56" i="2"/>
  <c r="AB45" i="2"/>
  <c r="AD84" i="2"/>
  <c r="AE9" i="2"/>
  <c r="AC71" i="2"/>
  <c r="AD27" i="2"/>
  <c r="AF98" i="2"/>
  <c r="AF29" i="2"/>
  <c r="AF12" i="2"/>
  <c r="AB69" i="2"/>
  <c r="AB93" i="2"/>
  <c r="AC10" i="2"/>
  <c r="AE60" i="2"/>
  <c r="AE72" i="2"/>
  <c r="AB62" i="2"/>
  <c r="AF72" i="2"/>
  <c r="AA25" i="1" l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31" i="1"/>
  <c r="AA127" i="1"/>
  <c r="AA126" i="1"/>
  <c r="AA125" i="1"/>
  <c r="AA124" i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4" i="1"/>
  <c r="AA23" i="1"/>
  <c r="AA22" i="1"/>
  <c r="AA21" i="1"/>
  <c r="AA20" i="1"/>
  <c r="AA15" i="1"/>
  <c r="AA13" i="1"/>
  <c r="AA9" i="1"/>
  <c r="AA8" i="1"/>
  <c r="AA134" i="1"/>
  <c r="AA10" i="1"/>
  <c r="AA128" i="1"/>
  <c r="AA120" i="1"/>
  <c r="AA253" i="1"/>
  <c r="AA252" i="1"/>
  <c r="AA231" i="1"/>
  <c r="AA194" i="1"/>
  <c r="AA183" i="1"/>
  <c r="AA173" i="1"/>
  <c r="AA161" i="1"/>
  <c r="AA154" i="1"/>
  <c r="AA148" i="1"/>
  <c r="AA26" i="1"/>
  <c r="AA27" i="1" s="1"/>
  <c r="AC113" i="2"/>
  <c r="AB113" i="2"/>
  <c r="AA74" i="1" s="1"/>
  <c r="AF112" i="2"/>
  <c r="AB112" i="2"/>
  <c r="AA73" i="1" s="1"/>
  <c r="AF113" i="2"/>
  <c r="B1" i="9"/>
  <c r="AE111" i="2"/>
  <c r="AC112" i="2"/>
  <c r="L1" i="9"/>
  <c r="AF111" i="2"/>
  <c r="AC111" i="2"/>
  <c r="AD113" i="2"/>
  <c r="AE112" i="2"/>
  <c r="A1" i="9"/>
  <c r="AE113" i="2"/>
  <c r="AD112" i="2"/>
  <c r="AA138" i="1" l="1"/>
  <c r="AA180" i="1"/>
  <c r="AA179" i="1"/>
  <c r="AA175" i="1"/>
  <c r="AA33" i="1"/>
  <c r="AA98" i="1"/>
  <c r="AA244" i="1"/>
  <c r="AA16" i="1"/>
  <c r="AA129" i="1"/>
  <c r="AA168" i="1"/>
  <c r="AA109" i="1" s="1"/>
  <c r="AA246" i="1"/>
  <c r="AA248" i="1"/>
  <c r="AA182" i="1"/>
  <c r="AA37" i="1"/>
  <c r="AA156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28" i="1" l="1"/>
  <c r="AA17" i="1"/>
  <c r="AA181" i="1"/>
  <c r="AA185" i="1"/>
  <c r="AA184" i="1" s="1"/>
  <c r="AA157" i="1"/>
  <c r="AA165" i="1" s="1"/>
  <c r="AA166" i="1" s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34" i="1" l="1"/>
  <c r="AA112" i="1"/>
  <c r="AA29" i="1"/>
  <c r="AA232" i="1"/>
  <c r="AA233" i="1" s="1"/>
  <c r="AA186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0" i="3"/>
  <c r="BM5" i="3"/>
  <c r="BK10" i="3"/>
  <c r="BI15" i="3"/>
  <c r="BG20" i="3"/>
  <c r="BE25" i="3"/>
  <c r="BF5" i="3"/>
  <c r="BL24" i="3"/>
  <c r="BH46" i="3"/>
  <c r="BM24" i="3"/>
  <c r="BN14" i="3"/>
  <c r="BF22" i="3"/>
  <c r="BH41" i="3"/>
  <c r="BF8" i="3"/>
  <c r="BF16" i="3"/>
  <c r="CL20" i="1" s="1"/>
  <c r="BT25" i="3"/>
  <c r="BP28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BU5" i="3"/>
  <c r="BU11" i="3"/>
  <c r="BU17" i="3"/>
  <c r="BU23" i="3"/>
  <c r="BU29" i="3"/>
  <c r="BU35" i="3"/>
  <c r="BU41" i="3"/>
  <c r="BV7" i="3"/>
  <c r="BV13" i="3"/>
  <c r="BT7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J29" i="3"/>
  <c r="BL23" i="3"/>
  <c r="BN42" i="3"/>
  <c r="BJ14" i="3"/>
  <c r="BJ22" i="3"/>
  <c r="BT31" i="3"/>
  <c r="BP34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BQ6" i="3"/>
  <c r="BQ12" i="3"/>
  <c r="BQ18" i="3"/>
  <c r="BQ24" i="3"/>
  <c r="BQ30" i="3"/>
  <c r="BQ36" i="3"/>
  <c r="BQ42" i="3"/>
  <c r="BR8" i="3"/>
  <c r="BS35" i="3"/>
  <c r="BT15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P9" i="3"/>
  <c r="BP19" i="3"/>
  <c r="BK6" i="3"/>
  <c r="BI11" i="3"/>
  <c r="BG16" i="3"/>
  <c r="BE21" i="3"/>
  <c r="BE27" i="3"/>
  <c r="BH8" i="3"/>
  <c r="BN27" i="3"/>
  <c r="BE8" i="3"/>
  <c r="BI28" i="3"/>
  <c r="BL27" i="3"/>
  <c r="BF6" i="3"/>
  <c r="CL8" i="1" s="1"/>
  <c r="BH25" i="3"/>
  <c r="BL45" i="3"/>
  <c r="BN20" i="3"/>
  <c r="BN28" i="3"/>
  <c r="BT37" i="3"/>
  <c r="BP40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U6" i="3"/>
  <c r="BU12" i="3"/>
  <c r="BU18" i="3"/>
  <c r="BU24" i="3"/>
  <c r="BU30" i="3"/>
  <c r="BU36" i="3"/>
  <c r="BU42" i="3"/>
  <c r="BV8" i="3"/>
  <c r="BS36" i="3"/>
  <c r="BT23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L7" i="3"/>
  <c r="BQ7" i="3"/>
  <c r="BQ13" i="3"/>
  <c r="BQ19" i="3"/>
  <c r="BQ25" i="3"/>
  <c r="BQ31" i="3"/>
  <c r="BQ37" i="3"/>
  <c r="BQ45" i="3"/>
  <c r="BR9" i="3"/>
  <c r="BS37" i="3"/>
  <c r="BT29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K25" i="3"/>
  <c r="BF18" i="3"/>
  <c r="CL25" i="1" s="1"/>
  <c r="BP25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H9" i="3"/>
  <c r="BJ28" i="3"/>
  <c r="BL33" i="3"/>
  <c r="BL41" i="3"/>
  <c r="BT8" i="3"/>
  <c r="BM25" i="3"/>
  <c r="BI41" i="3"/>
  <c r="BL18" i="3"/>
  <c r="BF35" i="3"/>
  <c r="CL46" i="1" s="1"/>
  <c r="BG11" i="3"/>
  <c r="BE28" i="3"/>
  <c r="BJ8" i="3"/>
  <c r="BF28" i="3"/>
  <c r="CL32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AA107" i="2"/>
  <c r="BD20" i="3"/>
  <c r="EZ14" i="4" a="1"/>
  <c r="EZ15" i="4" a="1"/>
  <c r="FD13" i="4" a="1"/>
  <c r="FC11" i="4" a="1"/>
  <c r="FD9" i="4" a="1"/>
  <c r="BI30" i="3"/>
  <c r="AA68" i="2"/>
  <c r="BU7" i="3"/>
  <c r="BU13" i="3"/>
  <c r="BU19" i="3"/>
  <c r="BU25" i="3"/>
  <c r="BU31" i="3"/>
  <c r="BU37" i="3"/>
  <c r="BU45" i="3"/>
  <c r="BV9" i="3"/>
  <c r="BO38" i="3"/>
  <c r="BT35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L47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N10" i="3"/>
  <c r="BF30" i="3"/>
  <c r="BJ6" i="3"/>
  <c r="BF40" i="3"/>
  <c r="BH11" i="3"/>
  <c r="BT1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BB34" i="3"/>
  <c r="FC9" i="4" a="1"/>
  <c r="FD12" i="4" a="1"/>
  <c r="FB9" i="4" a="1"/>
  <c r="BJ16" i="3"/>
  <c r="BN40" i="3"/>
  <c r="Y14" i="2"/>
  <c r="Z55" i="2"/>
  <c r="AA53" i="2"/>
  <c r="AA44" i="2"/>
  <c r="Y24" i="2"/>
  <c r="BD42" i="3"/>
  <c r="BQ8" i="3"/>
  <c r="BQ14" i="3"/>
  <c r="BQ20" i="3"/>
  <c r="BQ26" i="3"/>
  <c r="BQ32" i="3"/>
  <c r="BQ38" i="3"/>
  <c r="BQ46" i="3"/>
  <c r="BR10" i="3"/>
  <c r="BO39" i="3"/>
  <c r="BT41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39" i="1" s="1"/>
  <c r="BI8" i="3"/>
  <c r="BG29" i="3"/>
  <c r="BN30" i="3"/>
  <c r="BT16" i="3"/>
  <c r="BP41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J12" i="3"/>
  <c r="BL31" i="3"/>
  <c r="BN12" i="3"/>
  <c r="BM46" i="3"/>
  <c r="BJ30" i="3"/>
  <c r="BT30" i="3"/>
  <c r="BE29" i="3"/>
  <c r="BM45" i="3"/>
  <c r="BL20" i="3"/>
  <c r="BJ37" i="3"/>
  <c r="BI14" i="3"/>
  <c r="AY29" i="3"/>
  <c r="BC25" i="3"/>
  <c r="BU8" i="3"/>
  <c r="BU14" i="3"/>
  <c r="BU20" i="3"/>
  <c r="BU26" i="3"/>
  <c r="BU32" i="3"/>
  <c r="BU38" i="3"/>
  <c r="BU46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F14" i="3"/>
  <c r="CL23" i="1" s="1"/>
  <c r="BH33" i="3"/>
  <c r="BH19" i="3"/>
  <c r="BG45" i="3"/>
  <c r="BT42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Q9" i="3"/>
  <c r="BQ15" i="3"/>
  <c r="BQ21" i="3"/>
  <c r="BQ27" i="3"/>
  <c r="BQ33" i="3"/>
  <c r="BQ39" i="3"/>
  <c r="BR5" i="3"/>
  <c r="BR11" i="3"/>
  <c r="BS41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L15" i="3"/>
  <c r="BN34" i="3"/>
  <c r="BL25" i="3"/>
  <c r="BL17" i="3"/>
  <c r="BP6" i="3"/>
  <c r="BP8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Y81" i="2"/>
  <c r="AA21" i="2"/>
  <c r="Z71" i="2"/>
  <c r="Z26" i="2"/>
  <c r="Z56" i="2"/>
  <c r="BC35" i="3"/>
  <c r="AA57" i="2"/>
  <c r="EY7" i="4" a="1"/>
  <c r="FC8" i="4" a="1"/>
  <c r="FA11" i="4" a="1"/>
  <c r="FE9" i="4" a="1"/>
  <c r="FA9" i="4" a="1"/>
  <c r="FA13" i="4" a="1"/>
  <c r="EZ9" i="4" a="1"/>
  <c r="FE16" i="4" a="1"/>
  <c r="BD22" i="3"/>
  <c r="BB15" i="3"/>
  <c r="Z107" i="2"/>
  <c r="AA9" i="2"/>
  <c r="BU9" i="3"/>
  <c r="BU15" i="3"/>
  <c r="BU21" i="3"/>
  <c r="BU27" i="3"/>
  <c r="BU33" i="3"/>
  <c r="BU39" i="3"/>
  <c r="BV5" i="3"/>
  <c r="BV11" i="3"/>
  <c r="BS42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H17" i="3"/>
  <c r="BJ36" i="3"/>
  <c r="BF32" i="3"/>
  <c r="BF24" i="3"/>
  <c r="BT9" i="3"/>
  <c r="BP14" i="3"/>
  <c r="BG32" i="3"/>
  <c r="BL8" i="3"/>
  <c r="BF25" i="3"/>
  <c r="CL36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BB33" i="3"/>
  <c r="BB8" i="3"/>
  <c r="AA97" i="2"/>
  <c r="Y66" i="2"/>
  <c r="BC22" i="3"/>
  <c r="BD27" i="3"/>
  <c r="Y41" i="2"/>
  <c r="FE5" i="4" a="1"/>
  <c r="BC27" i="3"/>
  <c r="AA79" i="2"/>
  <c r="AA86" i="2"/>
  <c r="BQ10" i="3"/>
  <c r="BQ16" i="3"/>
  <c r="BQ22" i="3"/>
  <c r="BQ28" i="3"/>
  <c r="BQ34" i="3"/>
  <c r="BQ40" i="3"/>
  <c r="BR6" i="3"/>
  <c r="BR12" i="3"/>
  <c r="BO45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32" i="3"/>
  <c r="BP31" i="3"/>
  <c r="BE5" i="3"/>
  <c r="BE85" i="3" s="1"/>
  <c r="BM9" i="3"/>
  <c r="BK14" i="3"/>
  <c r="BI19" i="3"/>
  <c r="BG24" i="3"/>
  <c r="BI45" i="3"/>
  <c r="BN21" i="3"/>
  <c r="BF41" i="3"/>
  <c r="BK21" i="3"/>
  <c r="BE42" i="3"/>
  <c r="BJ42" i="3"/>
  <c r="BN18" i="3"/>
  <c r="BF38" i="3"/>
  <c r="BJ38" i="3"/>
  <c r="BN36" i="3"/>
  <c r="BT13" i="3"/>
  <c r="BP20" i="3"/>
  <c r="BI33" i="3"/>
  <c r="BN9" i="3"/>
  <c r="BH26" i="3"/>
  <c r="BF45" i="3"/>
  <c r="CL63" i="1" s="1"/>
  <c r="CL65" i="1" s="1"/>
  <c r="BK19" i="3"/>
  <c r="BK35" i="3"/>
  <c r="BJ40" i="3"/>
  <c r="AB39" i="3"/>
  <c r="AA61" i="2"/>
  <c r="AA17" i="2"/>
  <c r="Y46" i="2"/>
  <c r="Y23" i="2"/>
  <c r="AA105" i="2"/>
  <c r="Z64" i="2"/>
  <c r="BC18" i="3"/>
  <c r="BU10" i="3"/>
  <c r="BU16" i="3"/>
  <c r="BU22" i="3"/>
  <c r="BU28" i="3"/>
  <c r="BU34" i="3"/>
  <c r="BU40" i="3"/>
  <c r="BV6" i="3"/>
  <c r="BV12" i="3"/>
  <c r="BO46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J20" i="3"/>
  <c r="BL39" i="3"/>
  <c r="BE46" i="3"/>
  <c r="BL9" i="3"/>
  <c r="BT19" i="3"/>
  <c r="BP26" i="3"/>
  <c r="BK34" i="3"/>
  <c r="BJ11" i="3"/>
  <c r="BJ27" i="3"/>
  <c r="BK5" i="3"/>
  <c r="BG21" i="3"/>
  <c r="BG37" i="3"/>
  <c r="BH45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FC12" i="4" a="1"/>
  <c r="EZ8" i="4" a="1"/>
  <c r="EX5" i="4" a="1"/>
  <c r="FD6" i="4" a="1"/>
  <c r="FE14" i="4" a="1"/>
  <c r="FF8" i="4" a="1"/>
  <c r="EX14" i="4" a="1"/>
  <c r="FB15" i="4" a="1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BN26" i="3"/>
  <c r="BH23" i="3"/>
  <c r="BB41" i="3"/>
  <c r="AA35" i="2"/>
  <c r="BC17" i="3"/>
  <c r="BA27" i="3"/>
  <c r="Y8" i="2"/>
  <c r="Z45" i="2"/>
  <c r="BC31" i="3"/>
  <c r="Z88" i="2"/>
  <c r="Y70" i="2"/>
  <c r="Y79" i="2"/>
  <c r="Y105" i="2"/>
  <c r="Y53" i="2"/>
  <c r="FA7" i="4" a="1"/>
  <c r="FC16" i="4" a="1"/>
  <c r="EY15" i="4" a="1"/>
  <c r="EZ13" i="4" a="1"/>
  <c r="BB27" i="3"/>
  <c r="BJ46" i="3"/>
  <c r="BC11" i="3"/>
  <c r="Y91" i="2"/>
  <c r="BD10" i="3"/>
  <c r="BD45" i="3"/>
  <c r="AA85" i="2"/>
  <c r="AA22" i="2"/>
  <c r="BA8" i="3"/>
  <c r="Z16" i="2"/>
  <c r="Z24" i="2"/>
  <c r="BB23" i="3"/>
  <c r="Z82" i="2"/>
  <c r="AA45" i="2"/>
  <c r="FF15" i="4" a="1"/>
  <c r="FB13" i="4" a="1"/>
  <c r="EX6" i="4" a="1"/>
  <c r="FF5" i="4" a="1"/>
  <c r="FF9" i="4" a="1"/>
  <c r="Y90" i="2"/>
  <c r="BD17" i="3"/>
  <c r="Z63" i="2"/>
  <c r="BC46" i="3"/>
  <c r="FC7" i="4" a="1"/>
  <c r="FB11" i="4" a="1"/>
  <c r="FD5" i="4" a="1"/>
  <c r="BA18" i="3"/>
  <c r="AA95" i="2"/>
  <c r="BC24" i="3"/>
  <c r="FA5" i="4" a="1"/>
  <c r="EY8" i="4" a="1"/>
  <c r="FE15" i="4" a="1"/>
  <c r="EY9" i="4" a="1"/>
  <c r="Z42" i="2"/>
  <c r="EY12" i="4" a="1"/>
  <c r="AA49" i="2"/>
  <c r="FD7" i="4" a="1"/>
  <c r="BH27" i="3"/>
  <c r="BD13" i="3"/>
  <c r="AA11" i="2"/>
  <c r="BC19" i="3"/>
  <c r="BB46" i="3"/>
  <c r="Y92" i="2"/>
  <c r="Y77" i="2"/>
  <c r="BD46" i="3"/>
  <c r="Z84" i="2"/>
  <c r="Z27" i="2"/>
  <c r="BD15" i="3"/>
  <c r="Y54" i="2"/>
  <c r="Y87" i="2"/>
  <c r="EX16" i="4" a="1"/>
  <c r="FD16" i="4" a="1"/>
  <c r="FF7" i="4" a="1"/>
  <c r="Z87" i="2"/>
  <c r="FA16" i="4" a="1"/>
  <c r="Z105" i="2"/>
  <c r="FF14" i="4" a="1"/>
  <c r="BH35" i="3"/>
  <c r="Y73" i="2"/>
  <c r="AA62" i="2"/>
  <c r="AA63" i="2"/>
  <c r="BC14" i="3"/>
  <c r="AA28" i="2"/>
  <c r="C5" i="2"/>
  <c r="BC26" i="3"/>
  <c r="BT45" i="3"/>
  <c r="Y76" i="2"/>
  <c r="Y9" i="2"/>
  <c r="AA76" i="2"/>
  <c r="BC7" i="3"/>
  <c r="AA56" i="2"/>
  <c r="Y11" i="2"/>
  <c r="AA92" i="2"/>
  <c r="BD7" i="3"/>
  <c r="BD16" i="3"/>
  <c r="BD14" i="3"/>
  <c r="FB14" i="4" a="1"/>
  <c r="FA14" i="4" a="1"/>
  <c r="EY11" i="4" a="1"/>
  <c r="FC13" i="4" a="1"/>
  <c r="BB35" i="3"/>
  <c r="FE11" i="4" a="1"/>
  <c r="Y75" i="2"/>
  <c r="Z40" i="2"/>
  <c r="Z80" i="2"/>
  <c r="BB19" i="3"/>
  <c r="Y16" i="2"/>
  <c r="AA98" i="2"/>
  <c r="Y30" i="2"/>
  <c r="BB12" i="3"/>
  <c r="BD25" i="3"/>
  <c r="AA69" i="2"/>
  <c r="BB36" i="3"/>
  <c r="Z7" i="2"/>
  <c r="FF13" i="4" a="1"/>
  <c r="FD15" i="4" a="1"/>
  <c r="EZ16" i="4" a="1"/>
  <c r="BG40" i="3"/>
  <c r="Z104" i="2"/>
  <c r="Y108" i="2"/>
  <c r="Z91" i="2"/>
  <c r="BB5" i="3"/>
  <c r="AA108" i="2"/>
  <c r="Y31" i="2"/>
  <c r="AA60" i="2"/>
  <c r="BA33" i="3"/>
  <c r="BB31" i="3"/>
  <c r="Z28" i="2"/>
  <c r="BC40" i="3"/>
  <c r="Y63" i="2"/>
  <c r="FC14" i="4" a="1"/>
  <c r="EX13" i="4" a="1"/>
  <c r="EX9" i="4" a="1"/>
  <c r="FC15" i="4" a="1"/>
  <c r="FE13" i="4" a="1"/>
  <c r="Y55" i="2"/>
  <c r="AA52" i="2"/>
  <c r="BA24" i="3"/>
  <c r="BB6" i="3"/>
  <c r="Y27" i="2"/>
  <c r="Y18" i="2"/>
  <c r="EY13" i="4" a="1"/>
  <c r="Y48" i="2"/>
  <c r="Z69" i="2"/>
  <c r="FF12" i="4" a="1"/>
  <c r="BF17" i="3"/>
  <c r="CL21" i="1" s="1"/>
  <c r="Z30" i="2"/>
  <c r="AA48" i="2"/>
  <c r="Y71" i="2"/>
  <c r="BB14" i="3"/>
  <c r="Y96" i="2"/>
  <c r="BN33" i="3"/>
  <c r="AA94" i="2"/>
  <c r="Z14" i="2"/>
  <c r="Z21" i="2"/>
  <c r="BA40" i="3"/>
  <c r="Z59" i="2"/>
  <c r="BM10" i="3"/>
  <c r="BB24" i="3"/>
  <c r="Y33" i="2"/>
  <c r="Z86" i="2"/>
  <c r="BC29" i="3"/>
  <c r="Z31" i="2"/>
  <c r="AA84" i="2"/>
  <c r="AA33" i="2"/>
  <c r="Y93" i="2"/>
  <c r="BD38" i="3"/>
  <c r="Y95" i="2"/>
  <c r="Z78" i="2"/>
  <c r="AA59" i="2"/>
  <c r="EY14" i="4" a="1"/>
  <c r="FF11" i="4" a="1"/>
  <c r="FF6" i="4" a="1"/>
  <c r="FC6" i="4" a="1"/>
  <c r="BC28" i="3"/>
  <c r="Z18" i="2"/>
  <c r="BD28" i="3"/>
  <c r="BD12" i="3"/>
  <c r="BA30" i="3"/>
  <c r="BB29" i="3"/>
  <c r="FF16" i="4" a="1"/>
  <c r="FD8" i="4" a="1"/>
  <c r="EX15" i="4" a="1"/>
  <c r="EZ5" i="4" a="1"/>
  <c r="FB16" i="4" a="1"/>
  <c r="AA64" i="2"/>
  <c r="AA75" i="2"/>
  <c r="BI26" i="3"/>
  <c r="BD26" i="3"/>
  <c r="Z11" i="2"/>
  <c r="Z15" i="2"/>
  <c r="BA5" i="3"/>
  <c r="Z75" i="2"/>
  <c r="AA46" i="2"/>
  <c r="BB13" i="3"/>
  <c r="AA31" i="2"/>
  <c r="BA23" i="3"/>
  <c r="Z97" i="2"/>
  <c r="Y40" i="2"/>
  <c r="BD34" i="3"/>
  <c r="EZ12" i="4" a="1"/>
  <c r="FA12" i="4" a="1"/>
  <c r="EZ7" i="4" a="1"/>
  <c r="EY16" i="4" a="1"/>
  <c r="BI42" i="3"/>
  <c r="BC32" i="3"/>
  <c r="AA91" i="2"/>
  <c r="BB21" i="3"/>
  <c r="AA65" i="2"/>
  <c r="Z65" i="2"/>
  <c r="AA25" i="2"/>
  <c r="AA52" i="1" l="1"/>
  <c r="AA193" i="1"/>
  <c r="AA195" i="1" s="1"/>
  <c r="AA54" i="1"/>
  <c r="BH59" i="3"/>
  <c r="BH62" i="3"/>
  <c r="BP57" i="3"/>
  <c r="BP50" i="3"/>
  <c r="BP60" i="3"/>
  <c r="BG79" i="3"/>
  <c r="BG66" i="3"/>
  <c r="CL231" i="1"/>
  <c r="CL10" i="1"/>
  <c r="CL194" i="1"/>
  <c r="CL253" i="1"/>
  <c r="CL252" i="1"/>
  <c r="CL26" i="1"/>
  <c r="CL27" i="1" s="1"/>
  <c r="CK64" i="1"/>
  <c r="CK24" i="1"/>
  <c r="CK51" i="1"/>
  <c r="CK20" i="1"/>
  <c r="CK25" i="1"/>
  <c r="CK9" i="1"/>
  <c r="CK23" i="1"/>
  <c r="CK45" i="1"/>
  <c r="CK14" i="1"/>
  <c r="CK35" i="1"/>
  <c r="CK39" i="1"/>
  <c r="CK46" i="1"/>
  <c r="CK63" i="1"/>
  <c r="CK65" i="1" s="1"/>
  <c r="CK32" i="1"/>
  <c r="CK21" i="1"/>
  <c r="CK47" i="1"/>
  <c r="CK13" i="1"/>
  <c r="CK22" i="1"/>
  <c r="CK8" i="1"/>
  <c r="CK10" i="1" s="1"/>
  <c r="CL12" i="1" s="1"/>
  <c r="CK15" i="1"/>
  <c r="CK36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AA202" i="1" s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Y231" i="1" s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CH117" i="1" s="1"/>
  <c r="CI117" i="1" s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K84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J93" i="3"/>
  <c r="BJ57" i="3"/>
  <c r="BJ83" i="3"/>
  <c r="BK67" i="3"/>
  <c r="BK57" i="3"/>
  <c r="BK63" i="3"/>
  <c r="FL5" i="4" a="1"/>
  <c r="GL6" i="4" a="1"/>
  <c r="GQ7" i="4" a="1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BT49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GN7" i="4" a="1"/>
  <c r="FK8" i="4" a="1"/>
  <c r="FL12" i="4" a="1"/>
  <c r="FG11" i="4" a="1"/>
  <c r="HD11" i="4" a="1"/>
  <c r="GX12" i="4" a="1"/>
  <c r="GR13" i="4" a="1"/>
  <c r="GI11" i="4" a="1"/>
  <c r="GC12" i="4" a="1"/>
  <c r="FW13" i="4" a="1"/>
  <c r="FQ14" i="4" a="1"/>
  <c r="FO6" i="4" a="1"/>
  <c r="GQ12" i="4" a="1"/>
  <c r="FL15" i="4" a="1"/>
  <c r="GV15" i="4" a="1"/>
  <c r="FR16" i="4" a="1"/>
  <c r="GP16" i="4" a="1"/>
  <c r="FS12" i="4" a="1"/>
  <c r="HG9" i="4" a="1"/>
  <c r="FV14" i="4" a="1"/>
  <c r="FM11" i="4" a="1"/>
  <c r="FY11" i="4" a="1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BQ62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GG12" i="4" a="1"/>
  <c r="FZ5" i="4" a="1"/>
  <c r="FG8" i="4" a="1"/>
  <c r="BG59" i="3"/>
  <c r="BQ56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GT11" i="4" a="1"/>
  <c r="GN12" i="4" a="1"/>
  <c r="GH13" i="4" a="1"/>
  <c r="GB14" i="4" a="1"/>
  <c r="GT8" i="4" a="1"/>
  <c r="GF13" i="4" a="1"/>
  <c r="GC15" i="4" a="1"/>
  <c r="HB15" i="4" a="1"/>
  <c r="FX16" i="4" a="1"/>
  <c r="GV16" i="4" a="1"/>
  <c r="GD14" i="4" a="1"/>
  <c r="HE11" i="4" a="1"/>
  <c r="GQ14" i="4" a="1"/>
  <c r="HE13" i="4" a="1"/>
  <c r="BU58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U66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V48" i="3"/>
  <c r="BH61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P92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BA67" i="3"/>
  <c r="BF84" i="3"/>
  <c r="CL146" i="1" s="1"/>
  <c r="BB80" i="3"/>
  <c r="BH71" i="3"/>
  <c r="BL87" i="3"/>
  <c r="BF71" i="3"/>
  <c r="BQ80" i="3"/>
  <c r="BV65" i="3"/>
  <c r="BO88" i="3"/>
  <c r="BS78" i="3"/>
  <c r="BU85" i="3"/>
  <c r="BR77" i="3"/>
  <c r="BV94" i="3"/>
  <c r="BT54" i="3"/>
  <c r="BN66" i="3"/>
  <c r="BO48" i="3"/>
  <c r="BG47" i="3"/>
  <c r="BI61" i="3"/>
  <c r="BJ78" i="3"/>
  <c r="BK55" i="3"/>
  <c r="GT14" i="4" a="1"/>
  <c r="GM5" i="4" a="1"/>
  <c r="HE12" i="4" a="1"/>
  <c r="HG6" i="4" a="1"/>
  <c r="FX9" i="4" a="1"/>
  <c r="FK6" i="4" a="1"/>
  <c r="GS5" i="4" a="1"/>
  <c r="GP7" i="4" a="1"/>
  <c r="HF9" i="4" a="1"/>
  <c r="FM6" i="4" a="1"/>
  <c r="FO9" i="4" a="1"/>
  <c r="GN14" i="4" a="1"/>
  <c r="GA6" i="4" a="1"/>
  <c r="FH11" i="4" a="1"/>
  <c r="GW9" i="4" a="1"/>
  <c r="FR12" i="4" a="1"/>
  <c r="FT13" i="4" a="1"/>
  <c r="FK9" i="4" a="1"/>
  <c r="FU12" i="4" a="1"/>
  <c r="FZ13" i="4" a="1"/>
  <c r="GG14" i="4" a="1"/>
  <c r="HC9" i="4" a="1"/>
  <c r="GE14" i="4" a="1"/>
  <c r="GR15" i="4" a="1"/>
  <c r="FT16" i="4" a="1"/>
  <c r="GX16" i="4" a="1"/>
  <c r="GP6" i="4" a="1"/>
  <c r="FX13" i="4" a="1"/>
  <c r="GA15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Y113" i="2"/>
  <c r="BC62" i="3"/>
  <c r="Z112" i="2"/>
  <c r="FG14" i="4" a="1"/>
  <c r="BD95" i="3"/>
  <c r="FM12" i="4" a="1"/>
  <c r="GR16" i="4" a="1"/>
  <c r="GE16" i="4" a="1"/>
  <c r="BC74" i="3"/>
  <c r="BM48" i="3"/>
  <c r="BR80" i="3"/>
  <c r="BA70" i="3"/>
  <c r="BB55" i="3"/>
  <c r="BB82" i="3"/>
  <c r="BH92" i="3"/>
  <c r="BE84" i="3"/>
  <c r="BF65" i="3"/>
  <c r="CL150" i="1" s="1"/>
  <c r="BQ81" i="3"/>
  <c r="BV81" i="3"/>
  <c r="BO89" i="3"/>
  <c r="BS47" i="3"/>
  <c r="BU89" i="3"/>
  <c r="BR69" i="3"/>
  <c r="BV96" i="3"/>
  <c r="BT60" i="3"/>
  <c r="BN68" i="3"/>
  <c r="BO69" i="3"/>
  <c r="BG84" i="3"/>
  <c r="BI50" i="3"/>
  <c r="BJ80" i="3"/>
  <c r="BK88" i="3"/>
  <c r="FK15" i="4" a="1"/>
  <c r="FI6" i="4" a="1"/>
  <c r="GA13" i="4" a="1"/>
  <c r="GC7" i="4" a="1"/>
  <c r="GU11" i="4" a="1"/>
  <c r="GI6" i="4" a="1"/>
  <c r="GK5" i="4" a="1"/>
  <c r="FI8" i="4" a="1"/>
  <c r="FP11" i="4" a="1"/>
  <c r="GK6" i="4" a="1"/>
  <c r="FX8" i="4" a="1"/>
  <c r="FJ15" i="4" a="1"/>
  <c r="FJ8" i="4" a="1"/>
  <c r="FT11" i="4" a="1"/>
  <c r="FK11" i="4" a="1"/>
  <c r="FW12" i="4" a="1"/>
  <c r="FY13" i="4" a="1"/>
  <c r="FP9" i="4" a="1"/>
  <c r="FX12" i="4" a="1"/>
  <c r="GE13" i="4" a="1"/>
  <c r="GJ14" i="4" a="1"/>
  <c r="FQ11" i="4" a="1"/>
  <c r="GP14" i="4" a="1"/>
  <c r="GT15" i="4" a="1"/>
  <c r="FV16" i="4" a="1"/>
  <c r="GZ16" i="4" a="1"/>
  <c r="GJ7" i="4" a="1"/>
  <c r="GS13" i="4" a="1"/>
  <c r="GD15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BC61" i="3"/>
  <c r="BC76" i="3"/>
  <c r="BD66" i="3"/>
  <c r="GZ11" i="4" a="1"/>
  <c r="BD80" i="3"/>
  <c r="BA65" i="3"/>
  <c r="BD68" i="3"/>
  <c r="FM15" i="4" a="1"/>
  <c r="BD58" i="3"/>
  <c r="GN15" i="4" a="1"/>
  <c r="GK15" i="4" a="1"/>
  <c r="BQ71" i="3"/>
  <c r="BS55" i="3"/>
  <c r="BU77" i="3"/>
  <c r="GU8" i="4" a="1"/>
  <c r="FP14" i="4" a="1"/>
  <c r="FQ13" i="4" a="1"/>
  <c r="BD60" i="3"/>
  <c r="BA63" i="3"/>
  <c r="BB69" i="3"/>
  <c r="BA77" i="3"/>
  <c r="BH90" i="3"/>
  <c r="BE78" i="3"/>
  <c r="BF47" i="3"/>
  <c r="BQ82" i="3"/>
  <c r="BV60" i="3"/>
  <c r="BO94" i="3"/>
  <c r="BS77" i="3"/>
  <c r="BU90" i="3"/>
  <c r="BR96" i="3"/>
  <c r="BV63" i="3"/>
  <c r="BT62" i="3"/>
  <c r="BN70" i="3"/>
  <c r="BO54" i="3"/>
  <c r="BG90" i="3"/>
  <c r="BM69" i="3"/>
  <c r="BJ96" i="3"/>
  <c r="BK83" i="3"/>
  <c r="GE15" i="4" a="1"/>
  <c r="FG6" i="4" a="1"/>
  <c r="FH14" i="4" a="1"/>
  <c r="FS8" i="4" a="1"/>
  <c r="GO12" i="4" a="1"/>
  <c r="FX7" i="4" a="1"/>
  <c r="GH11" i="4" a="1"/>
  <c r="GD6" i="4" a="1"/>
  <c r="FX11" i="4" a="1"/>
  <c r="FG7" i="4" a="1"/>
  <c r="GV8" i="4" a="1"/>
  <c r="GE6" i="4" a="1"/>
  <c r="GA8" i="4" a="1"/>
  <c r="GD11" i="4" a="1"/>
  <c r="FO11" i="4" a="1"/>
  <c r="FZ12" i="4" a="1"/>
  <c r="GB13" i="4" a="1"/>
  <c r="GA9" i="4" a="1"/>
  <c r="GF12" i="4" a="1"/>
  <c r="GM13" i="4" a="1"/>
  <c r="GO14" i="4" a="1"/>
  <c r="GG11" i="4" a="1"/>
  <c r="GU14" i="4" a="1"/>
  <c r="GX15" i="4" a="1"/>
  <c r="FZ16" i="4" a="1"/>
  <c r="HB16" i="4" a="1"/>
  <c r="FV8" i="4" a="1"/>
  <c r="HH13" i="4" a="1"/>
  <c r="GD12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BC48" i="3"/>
  <c r="BD97" i="3"/>
  <c r="BC66" i="3"/>
  <c r="GN16" i="4" a="1"/>
  <c r="BC55" i="3"/>
  <c r="GU9" i="4" a="1"/>
  <c r="BO84" i="3"/>
  <c r="BV92" i="3"/>
  <c r="BN56" i="3"/>
  <c r="BK77" i="3"/>
  <c r="FM8" i="4" a="1"/>
  <c r="BP56" i="3"/>
  <c r="BB87" i="3"/>
  <c r="BA78" i="3"/>
  <c r="BH80" i="3"/>
  <c r="BE72" i="3"/>
  <c r="BF66" i="3"/>
  <c r="CL151" i="1" s="1"/>
  <c r="BU72" i="3"/>
  <c r="BT92" i="3"/>
  <c r="BO74" i="3"/>
  <c r="BS69" i="3"/>
  <c r="BU81" i="3"/>
  <c r="BR67" i="3"/>
  <c r="BT68" i="3"/>
  <c r="BN77" i="3"/>
  <c r="BN91" i="3"/>
  <c r="BO78" i="3"/>
  <c r="BL50" i="3"/>
  <c r="BM89" i="3"/>
  <c r="BJ55" i="3"/>
  <c r="BK60" i="3"/>
  <c r="FM5" i="4" a="1"/>
  <c r="GB8" i="4" a="1"/>
  <c r="FY9" i="4" a="1"/>
  <c r="GG6" i="4" a="1"/>
  <c r="FW15" i="4" a="1"/>
  <c r="GX5" i="4" a="1"/>
  <c r="FU14" i="4" a="1"/>
  <c r="GS8" i="4" a="1"/>
  <c r="GU6" i="4" a="1"/>
  <c r="FZ7" i="4" a="1"/>
  <c r="GR9" i="4" a="1"/>
  <c r="FZ8" i="4" a="1"/>
  <c r="HA8" i="4" a="1"/>
  <c r="GO6" i="4" a="1"/>
  <c r="FW11" i="4" a="1"/>
  <c r="GE12" i="4" a="1"/>
  <c r="GG13" i="4" a="1"/>
  <c r="GF9" i="4" a="1"/>
  <c r="GK12" i="4" a="1"/>
  <c r="GP13" i="4" a="1"/>
  <c r="GR14" i="4" a="1"/>
  <c r="GR11" i="4" a="1"/>
  <c r="HF14" i="4" a="1"/>
  <c r="GZ15" i="4" a="1"/>
  <c r="GB16" i="4" a="1"/>
  <c r="HD16" i="4" a="1"/>
  <c r="HB8" i="4" a="1"/>
  <c r="FK14" i="4" a="1"/>
  <c r="GC13" i="4" a="1"/>
  <c r="GL12" i="4" a="1"/>
  <c r="HC14" i="4" a="1"/>
  <c r="GU15" i="4" a="1"/>
  <c r="FQ16" i="4" a="1"/>
  <c r="GO16" i="4" a="1"/>
  <c r="GY9" i="4" a="1"/>
  <c r="BC95" i="3"/>
  <c r="BC75" i="3"/>
  <c r="BD64" i="3"/>
  <c r="BD91" i="3"/>
  <c r="FN14" i="4" a="1"/>
  <c r="GC16" i="4" a="1"/>
  <c r="HA16" i="4" a="1"/>
  <c r="BC69" i="3"/>
  <c r="BC83" i="3"/>
  <c r="BF89" i="3"/>
  <c r="CL153" i="1" s="1"/>
  <c r="CL183" i="1" s="1"/>
  <c r="BH96" i="3"/>
  <c r="BG94" i="3"/>
  <c r="BC56" i="3"/>
  <c r="BL47" i="3"/>
  <c r="BE61" i="3"/>
  <c r="BF80" i="3"/>
  <c r="CL159" i="1" s="1"/>
  <c r="BU74" i="3"/>
  <c r="BT75" i="3"/>
  <c r="BO77" i="3"/>
  <c r="BS64" i="3"/>
  <c r="BU88" i="3"/>
  <c r="BV62" i="3"/>
  <c r="BT63" i="3"/>
  <c r="BN79" i="3"/>
  <c r="BN97" i="3"/>
  <c r="BO91" i="3"/>
  <c r="BE49" i="3"/>
  <c r="BM55" i="3"/>
  <c r="BJ62" i="3"/>
  <c r="BK87" i="3"/>
  <c r="FS5" i="4" a="1"/>
  <c r="GZ8" i="4" a="1"/>
  <c r="HA9" i="4" a="1"/>
  <c r="GA7" i="4" a="1"/>
  <c r="GO7" i="4" a="1"/>
  <c r="FQ6" i="4" a="1"/>
  <c r="GS14" i="4" a="1"/>
  <c r="GP5" i="4" a="1"/>
  <c r="FI12" i="4" a="1"/>
  <c r="HC7" i="4" a="1"/>
  <c r="HD9" i="4" a="1"/>
  <c r="FK5" i="4" a="1"/>
  <c r="HF5" i="4" a="1"/>
  <c r="FS9" i="4" a="1"/>
  <c r="GA11" i="4" a="1"/>
  <c r="GH12" i="4" a="1"/>
  <c r="GJ13" i="4" a="1"/>
  <c r="GL11" i="4" a="1"/>
  <c r="GS12" i="4" a="1"/>
  <c r="GU13" i="4" a="1"/>
  <c r="GW14" i="4" a="1"/>
  <c r="FK12" i="4" a="1"/>
  <c r="FP15" i="4" a="1"/>
  <c r="HD15" i="4" a="1"/>
  <c r="GD16" i="4" a="1"/>
  <c r="HF16" i="4" a="1"/>
  <c r="FV9" i="4" a="1"/>
  <c r="GA14" i="4" a="1"/>
  <c r="GI14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BB93" i="3"/>
  <c r="FR5" i="4" a="1"/>
  <c r="GN5" i="4" a="1"/>
  <c r="GX13" i="4" a="1"/>
  <c r="GF16" i="4" a="1"/>
  <c r="GQ9" i="4" a="1"/>
  <c r="GL14" i="4" a="1"/>
  <c r="FH15" i="4" a="1"/>
  <c r="FQ15" i="4" a="1"/>
  <c r="FU16" i="4" a="1"/>
  <c r="BD65" i="3"/>
  <c r="BD69" i="3"/>
  <c r="GI12" i="4" a="1"/>
  <c r="HG15" i="4" a="1"/>
  <c r="BC84" i="3"/>
  <c r="FO13" i="4" a="1"/>
  <c r="BI74" i="3"/>
  <c r="BK47" i="3"/>
  <c r="GQ6" i="4" a="1"/>
  <c r="FN5" i="4" a="1"/>
  <c r="FP12" i="4" a="1"/>
  <c r="GG16" i="4" a="1"/>
  <c r="BC49" i="3"/>
  <c r="BH64" i="3"/>
  <c r="BC85" i="3"/>
  <c r="BL71" i="3"/>
  <c r="BE48" i="3"/>
  <c r="BF82" i="3"/>
  <c r="CL145" i="1" s="1"/>
  <c r="CL180" i="1" s="1"/>
  <c r="BU75" i="3"/>
  <c r="BT80" i="3"/>
  <c r="BO79" i="3"/>
  <c r="BS61" i="3"/>
  <c r="BU64" i="3"/>
  <c r="BV50" i="3"/>
  <c r="BT58" i="3"/>
  <c r="BN89" i="3"/>
  <c r="BP54" i="3"/>
  <c r="BO93" i="3"/>
  <c r="BE47" i="3"/>
  <c r="BF68" i="3"/>
  <c r="CL134" i="1" s="1"/>
  <c r="BJ64" i="3"/>
  <c r="BK62" i="3"/>
  <c r="GN6" i="4" a="1"/>
  <c r="FR9" i="4" a="1"/>
  <c r="FO5" i="4" a="1"/>
  <c r="FL9" i="4" a="1"/>
  <c r="GX8" i="4" a="1"/>
  <c r="GB6" i="4" a="1"/>
  <c r="FO15" i="4" a="1"/>
  <c r="FL6" i="4" a="1"/>
  <c r="GD13" i="4" a="1"/>
  <c r="FV6" i="4" a="1"/>
  <c r="FN11" i="4" a="1"/>
  <c r="GR12" i="4" a="1"/>
  <c r="GE11" i="4" a="1"/>
  <c r="GM12" i="4" a="1"/>
  <c r="GO13" i="4" a="1"/>
  <c r="GQ11" i="4" a="1"/>
  <c r="GV12" i="4" a="1"/>
  <c r="GZ14" i="4" a="1"/>
  <c r="FV12" i="4" a="1"/>
  <c r="FS15" i="4" a="1"/>
  <c r="HF15" i="4" a="1"/>
  <c r="HH16" i="4" a="1"/>
  <c r="FP13" i="4" a="1"/>
  <c r="GY15" i="4" a="1"/>
  <c r="GS16" i="4" a="1"/>
  <c r="FL16" i="4" a="1"/>
  <c r="FO14" i="4" a="1"/>
  <c r="FT15" i="4" a="1"/>
  <c r="HC16" i="4" a="1"/>
  <c r="BD72" i="3"/>
  <c r="BG86" i="3"/>
  <c r="BT87" i="3"/>
  <c r="BO47" i="3"/>
  <c r="GJ12" i="4" a="1"/>
  <c r="FO7" i="4" a="1"/>
  <c r="GV9" i="4" a="1"/>
  <c r="FY14" i="4" a="1"/>
  <c r="HE16" i="4" a="1"/>
  <c r="BD63" i="3"/>
  <c r="BR56" i="3"/>
  <c r="BF86" i="3"/>
  <c r="BC57" i="3"/>
  <c r="BL64" i="3"/>
  <c r="BE70" i="3"/>
  <c r="BF93" i="3"/>
  <c r="BU76" i="3"/>
  <c r="BT84" i="3"/>
  <c r="BO82" i="3"/>
  <c r="BS57" i="3"/>
  <c r="BU70" i="3"/>
  <c r="BV79" i="3"/>
  <c r="BT59" i="3"/>
  <c r="BN67" i="3"/>
  <c r="BP69" i="3"/>
  <c r="BO96" i="3"/>
  <c r="BE79" i="3"/>
  <c r="BF74" i="3"/>
  <c r="CL137" i="1" s="1"/>
  <c r="BJ92" i="3"/>
  <c r="BK76" i="3"/>
  <c r="FJ7" i="4" a="1"/>
  <c r="GH9" i="4" a="1"/>
  <c r="GA5" i="4" a="1"/>
  <c r="GJ9" i="4" a="1"/>
  <c r="GS9" i="4" a="1"/>
  <c r="FV7" i="4" a="1"/>
  <c r="FI7" i="4" a="1"/>
  <c r="FR6" i="4" a="1"/>
  <c r="HB13" i="4" a="1"/>
  <c r="GF7" i="4" a="1"/>
  <c r="GF11" i="4" a="1"/>
  <c r="GD5" i="4" a="1"/>
  <c r="GW6" i="4" a="1"/>
  <c r="FN13" i="4" a="1"/>
  <c r="GK11" i="4" a="1"/>
  <c r="GP12" i="4" a="1"/>
  <c r="GW13" i="4" a="1"/>
  <c r="GY11" i="4" a="1"/>
  <c r="HA12" i="4" a="1"/>
  <c r="HC13" i="4" a="1"/>
  <c r="HE14" i="4" a="1"/>
  <c r="HB12" i="4" a="1"/>
  <c r="GF15" i="4" a="1"/>
  <c r="HH15" i="4" a="1"/>
  <c r="GH16" i="4" a="1"/>
  <c r="HE7" i="4" a="1"/>
  <c r="FU11" i="4" a="1"/>
  <c r="HB14" i="4" a="1"/>
  <c r="FY15" i="4" a="1"/>
  <c r="GK13" i="4" a="1"/>
  <c r="FU15" i="4" a="1"/>
  <c r="HA15" i="4" a="1"/>
  <c r="FW16" i="4" a="1"/>
  <c r="GU16" i="4" a="1"/>
  <c r="GY12" i="4" a="1"/>
  <c r="BC73" i="3"/>
  <c r="BC89" i="3"/>
  <c r="BC80" i="3"/>
  <c r="GI15" i="4" a="1"/>
  <c r="GT12" i="4" a="1"/>
  <c r="BH79" i="3"/>
  <c r="BJ76" i="3"/>
  <c r="GO5" i="4" a="1"/>
  <c r="GL9" i="4" a="1"/>
  <c r="BN49" i="3"/>
  <c r="BD70" i="3"/>
  <c r="BQ50" i="3"/>
  <c r="BL96" i="3"/>
  <c r="BI90" i="3"/>
  <c r="BQ79" i="3"/>
  <c r="BR50" i="3"/>
  <c r="BO97" i="3"/>
  <c r="BS83" i="3"/>
  <c r="BU59" i="3"/>
  <c r="BR64" i="3"/>
  <c r="BV90" i="3"/>
  <c r="BT57" i="3"/>
  <c r="BN61" i="3"/>
  <c r="BF67" i="3"/>
  <c r="BS87" i="3"/>
  <c r="BE73" i="3"/>
  <c r="BF50" i="3"/>
  <c r="CL74" i="1" s="1"/>
  <c r="BJ71" i="3"/>
  <c r="BK54" i="3"/>
  <c r="GH7" i="4" a="1"/>
  <c r="GX9" i="4" a="1"/>
  <c r="FH5" i="4" a="1"/>
  <c r="GX6" i="4" a="1"/>
  <c r="FG5" i="4" a="1"/>
  <c r="HF8" i="4" a="1"/>
  <c r="GP8" i="4" a="1"/>
  <c r="FK7" i="4" a="1"/>
  <c r="FX14" i="4" a="1"/>
  <c r="GI8" i="4" a="1"/>
  <c r="GZ6" i="4" a="1"/>
  <c r="FU6" i="4" a="1"/>
  <c r="HB7" i="4" a="1"/>
  <c r="FM14" i="4" a="1"/>
  <c r="GN11" i="4" a="1"/>
  <c r="GU12" i="4" a="1"/>
  <c r="GZ13" i="4" a="1"/>
  <c r="HB11" i="4" a="1"/>
  <c r="HD12" i="4" a="1"/>
  <c r="HF13" i="4" a="1"/>
  <c r="HH14" i="4" a="1"/>
  <c r="FU13" i="4" a="1"/>
  <c r="GH15" i="4" a="1"/>
  <c r="FH16" i="4" a="1"/>
  <c r="GJ16" i="4" a="1"/>
  <c r="GO11" i="4" a="1"/>
  <c r="GJ11" i="4" a="1"/>
  <c r="HG14" i="4" a="1"/>
  <c r="HF6" i="4" a="1"/>
  <c r="GV13" i="4" a="1"/>
  <c r="GB15" i="4" a="1"/>
  <c r="HC15" i="4" a="1"/>
  <c r="FY16" i="4" a="1"/>
  <c r="GW16" i="4" a="1"/>
  <c r="GN13" i="4" a="1"/>
  <c r="BC63" i="3"/>
  <c r="BC86" i="3"/>
  <c r="BD47" i="3"/>
  <c r="HH8" i="4" a="1"/>
  <c r="BD84" i="3"/>
  <c r="FQ9" i="4" a="1"/>
  <c r="FR14" i="4" a="1"/>
  <c r="FG16" i="4" a="1"/>
  <c r="BC54" i="3"/>
  <c r="BD67" i="3"/>
  <c r="BD90" i="3"/>
  <c r="BL56" i="3"/>
  <c r="BI91" i="3"/>
  <c r="FJ12" i="4" a="1"/>
  <c r="FP16" i="4" a="1"/>
  <c r="FV15" i="4" a="1"/>
  <c r="FW14" i="4" a="1"/>
  <c r="FI16" i="4" a="1"/>
  <c r="BC96" i="3"/>
  <c r="BG55" i="3"/>
  <c r="BU48" i="3"/>
  <c r="BQ54" i="3"/>
  <c r="BL74" i="3"/>
  <c r="BI94" i="3"/>
  <c r="BQ76" i="3"/>
  <c r="BR58" i="3"/>
  <c r="BO49" i="3"/>
  <c r="BS84" i="3"/>
  <c r="BU60" i="3"/>
  <c r="BR74" i="3"/>
  <c r="BV88" i="3"/>
  <c r="BT47" i="3"/>
  <c r="BN55" i="3"/>
  <c r="BF77" i="3"/>
  <c r="CL140" i="1" s="1"/>
  <c r="BS89" i="3"/>
  <c r="BE77" i="3"/>
  <c r="BJ49" i="3"/>
  <c r="BJ73" i="3"/>
  <c r="BK49" i="3"/>
  <c r="HF7" i="4" a="1"/>
  <c r="FR11" i="4" a="1"/>
  <c r="GH5" i="4" a="1"/>
  <c r="FT8" i="4" a="1"/>
  <c r="GG5" i="4" a="1"/>
  <c r="GM6" i="4" a="1"/>
  <c r="FI5" i="4" a="1"/>
  <c r="FW9" i="4" a="1"/>
  <c r="GV14" i="4" a="1"/>
  <c r="GW8" i="4" a="1"/>
  <c r="GN9" i="4" a="1"/>
  <c r="GS6" i="4" a="1"/>
  <c r="GM9" i="4" a="1"/>
  <c r="GK14" i="4" a="1"/>
  <c r="GS11" i="4" a="1"/>
  <c r="HC12" i="4" a="1"/>
  <c r="FN7" i="4" a="1"/>
  <c r="HG11" i="4" a="1"/>
  <c r="FG13" i="4" a="1"/>
  <c r="FI14" i="4" a="1"/>
  <c r="FY7" i="4" a="1"/>
  <c r="HA13" i="4" a="1"/>
  <c r="GJ15" i="4" a="1"/>
  <c r="FJ16" i="4" a="1"/>
  <c r="GL16" i="4" a="1"/>
  <c r="FH13" i="4" a="1"/>
  <c r="FN12" i="4" a="1"/>
  <c r="FI15" i="4" a="1"/>
  <c r="GD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BG83" i="3"/>
  <c r="BI69" i="3"/>
  <c r="BQ55" i="3"/>
  <c r="BL80" i="3"/>
  <c r="BI47" i="3"/>
  <c r="BQ72" i="3"/>
  <c r="BR63" i="3"/>
  <c r="BO55" i="3"/>
  <c r="BS85" i="3"/>
  <c r="BU62" i="3"/>
  <c r="BR72" i="3"/>
  <c r="BV84" i="3"/>
  <c r="BT56" i="3"/>
  <c r="BN90" i="3"/>
  <c r="BF73" i="3"/>
  <c r="BS49" i="3"/>
  <c r="BE81" i="3"/>
  <c r="BJ74" i="3"/>
  <c r="BJ75" i="3"/>
  <c r="BK65" i="3"/>
  <c r="GR5" i="4" a="1"/>
  <c r="GX11" i="4" a="1"/>
  <c r="GW5" i="4" a="1"/>
  <c r="GB11" i="4" a="1"/>
  <c r="FW7" i="4" a="1"/>
  <c r="GZ9" i="4" a="1"/>
  <c r="FP6" i="4" a="1"/>
  <c r="GW7" i="4" a="1"/>
  <c r="FZ15" i="4" a="1"/>
  <c r="GU5" i="4" a="1"/>
  <c r="GZ12" i="4" a="1"/>
  <c r="FR7" i="4" a="1"/>
  <c r="GJ8" i="4" a="1"/>
  <c r="FG15" i="4" a="1"/>
  <c r="GV11" i="4" a="1"/>
  <c r="HF12" i="4" a="1"/>
  <c r="GI7" i="4" a="1"/>
  <c r="FH12" i="4" a="1"/>
  <c r="FJ13" i="4" a="1"/>
  <c r="FL14" i="4" a="1"/>
  <c r="FN8" i="4" a="1"/>
  <c r="FJ14" i="4" a="1"/>
  <c r="GL15" i="4" a="1"/>
  <c r="BE62" i="3"/>
  <c r="BI86" i="3"/>
  <c r="BH60" i="3"/>
  <c r="BL59" i="3"/>
  <c r="BI57" i="3"/>
  <c r="BQ63" i="3"/>
  <c r="BR54" i="3"/>
  <c r="BO59" i="3"/>
  <c r="BS73" i="3"/>
  <c r="BU71" i="3"/>
  <c r="BR59" i="3"/>
  <c r="BV80" i="3"/>
  <c r="BT55" i="3"/>
  <c r="BN48" i="3"/>
  <c r="BF69" i="3"/>
  <c r="BS54" i="3"/>
  <c r="BI63" i="3"/>
  <c r="BJ82" i="3"/>
  <c r="BJ77" i="3"/>
  <c r="BK97" i="3"/>
  <c r="GK8" i="4" a="1"/>
  <c r="FT12" i="4" a="1"/>
  <c r="FS6" i="4" a="1"/>
  <c r="GJ6" i="4" a="1"/>
  <c r="GU7" i="4" a="1"/>
  <c r="FJ11" i="4" a="1"/>
  <c r="GV6" i="4" a="1"/>
  <c r="FZ9" i="4" a="1"/>
  <c r="FI9" i="4" a="1"/>
  <c r="FT6" i="4" a="1"/>
  <c r="FV13" i="4" a="1"/>
  <c r="GM7" i="4" a="1"/>
  <c r="HG8" i="4" a="1"/>
  <c r="GV5" i="4" a="1"/>
  <c r="FG12" i="4" a="1"/>
  <c r="FL13" i="4" a="1"/>
  <c r="GT7" i="4" a="1"/>
  <c r="FT14" i="4" a="1"/>
  <c r="FN16" i="4" a="1"/>
  <c r="GY14" i="4" a="1"/>
  <c r="BV47" i="3"/>
  <c r="BG62" i="3"/>
  <c r="GD7" i="4" a="1"/>
  <c r="FV11" i="4" a="1"/>
  <c r="GT9" i="4" a="1"/>
  <c r="GR6" i="4" a="1"/>
  <c r="FL8" i="4" a="1"/>
  <c r="FR8" i="4" a="1"/>
  <c r="FR13" i="4" a="1"/>
  <c r="FI11" i="4" a="1"/>
  <c r="BC87" i="3"/>
  <c r="FZ14" i="4" a="1"/>
  <c r="GP15" i="4" a="1"/>
  <c r="GT16" i="4" a="1"/>
  <c r="FM13" i="4" a="1"/>
  <c r="FX15" i="4" a="1"/>
  <c r="GM15" i="4" a="1"/>
  <c r="BC78" i="3"/>
  <c r="Y252" i="1" l="1"/>
  <c r="CH140" i="1"/>
  <c r="CI140" i="1" s="1"/>
  <c r="CO20" i="1"/>
  <c r="CS20" i="1" s="1"/>
  <c r="CL98" i="1"/>
  <c r="CL99" i="1" s="1"/>
  <c r="CL16" i="1"/>
  <c r="CK98" i="1"/>
  <c r="CK99" i="1" s="1"/>
  <c r="Y183" i="1"/>
  <c r="X148" i="1"/>
  <c r="CH126" i="1"/>
  <c r="CI126" i="1" s="1"/>
  <c r="Z154" i="1"/>
  <c r="CH154" i="1" s="1"/>
  <c r="CL161" i="1"/>
  <c r="CL138" i="1"/>
  <c r="CL128" i="1"/>
  <c r="CL148" i="1"/>
  <c r="CL120" i="1"/>
  <c r="CL156" i="1"/>
  <c r="CL185" i="1" s="1"/>
  <c r="CL184" i="1" s="1"/>
  <c r="X180" i="1"/>
  <c r="JQ9" i="4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JW16" i="4" s="1"/>
  <c r="KA9" i="4" s="1"/>
  <c r="JQ16" i="4" s="1"/>
  <c r="JQ21" i="4" s="1"/>
  <c r="CK77" i="1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46" i="1"/>
  <c r="JZ16" i="4" s="1"/>
  <c r="CJ133" i="1"/>
  <c r="CK133" i="1" s="1"/>
  <c r="CM133" i="1" s="1"/>
  <c r="CN133" i="1" s="1"/>
  <c r="CO133" i="1" s="1"/>
  <c r="CP133" i="1" s="1"/>
  <c r="KC9" i="4" s="1"/>
  <c r="JZ9" i="4" s="1"/>
  <c r="JZ21" i="4" s="1"/>
  <c r="CJ125" i="1"/>
  <c r="CK125" i="1" s="1"/>
  <c r="KG16" i="4" s="1"/>
  <c r="KD9" i="4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R16" i="4" s="1"/>
  <c r="KC16" i="4" s="1"/>
  <c r="KH16" i="4" s="1"/>
  <c r="JR9" i="4" s="1"/>
  <c r="JT9" i="4" s="1"/>
  <c r="CI73" i="1"/>
  <c r="JY16" i="4" s="1"/>
  <c r="KH15" i="4" s="1"/>
  <c r="CJ150" i="1"/>
  <c r="JU16" i="4" s="1"/>
  <c r="CJ140" i="1"/>
  <c r="CJ202" i="1" s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JX16" i="4" s="1"/>
  <c r="CK73" i="1"/>
  <c r="CJ154" i="1"/>
  <c r="CJ149" i="1"/>
  <c r="KE9" i="4" s="1"/>
  <c r="JY9" i="4" s="1"/>
  <c r="KA16" i="4" s="1"/>
  <c r="JS16" i="4" s="1"/>
  <c r="KF16" i="4" s="1"/>
  <c r="JW9" i="4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J119" i="1"/>
  <c r="CJ134" i="1"/>
  <c r="CK33" i="1" s="1"/>
  <c r="CJ159" i="1"/>
  <c r="CJ151" i="1"/>
  <c r="CJ152" i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JZ14" i="4" s="1"/>
  <c r="KC15" i="4" s="1"/>
  <c r="KB14" i="4" s="1"/>
  <c r="JS9" i="4" s="1"/>
  <c r="JS21" i="4" s="1"/>
  <c r="JV9" i="4" s="1"/>
  <c r="JX9" i="4" s="1"/>
  <c r="KH9" i="4" s="1"/>
  <c r="CJ74" i="1"/>
  <c r="CJ155" i="1"/>
  <c r="CJ124" i="1"/>
  <c r="CK124" i="1" s="1"/>
  <c r="CM124" i="1" s="1"/>
  <c r="CG73" i="1"/>
  <c r="CJ73" i="1"/>
  <c r="CG74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J180" i="1" s="1"/>
  <c r="CK180" i="1" s="1"/>
  <c r="CH74" i="1"/>
  <c r="KD16" i="4" s="1"/>
  <c r="JV16" i="4" s="1"/>
  <c r="JU9" i="4" s="1"/>
  <c r="KF9" i="4" s="1"/>
  <c r="X73" i="1"/>
  <c r="KB9" i="4" s="1"/>
  <c r="Z74" i="1"/>
  <c r="CJ153" i="1"/>
  <c r="CJ183" i="1" s="1"/>
  <c r="CK183" i="1" s="1"/>
  <c r="KB16" i="4" s="1"/>
  <c r="KB21" i="4" s="1"/>
  <c r="JT16" i="4" s="1"/>
  <c r="CJ147" i="1"/>
  <c r="Y74" i="1"/>
  <c r="CI74" i="1"/>
  <c r="KG9" i="4" s="1"/>
  <c r="Z73" i="1"/>
  <c r="CJ160" i="1"/>
  <c r="CK74" i="1"/>
  <c r="CJ142" i="1"/>
  <c r="CH73" i="1"/>
  <c r="CK26" i="1"/>
  <c r="CK27" i="1" s="1"/>
  <c r="Z148" i="1"/>
  <c r="AA196" i="1" s="1"/>
  <c r="X179" i="1"/>
  <c r="X10" i="1"/>
  <c r="X98" i="1" s="1"/>
  <c r="CK16" i="1"/>
  <c r="Y134" i="1"/>
  <c r="Y138" i="1" s="1"/>
  <c r="Y10" i="1"/>
  <c r="Y98" i="1" s="1"/>
  <c r="Z252" i="1"/>
  <c r="X252" i="1"/>
  <c r="X183" i="1"/>
  <c r="Y161" i="1"/>
  <c r="Y148" i="1"/>
  <c r="Y173" i="1"/>
  <c r="Y26" i="1"/>
  <c r="Y179" i="1"/>
  <c r="CJ137" i="1"/>
  <c r="CJ143" i="1"/>
  <c r="X173" i="1"/>
  <c r="CH159" i="1"/>
  <c r="CH161" i="1" s="1"/>
  <c r="CI209" i="1" s="1"/>
  <c r="Z161" i="1"/>
  <c r="AA209" i="1" s="1"/>
  <c r="X194" i="1"/>
  <c r="X253" i="1"/>
  <c r="Y194" i="1"/>
  <c r="Y253" i="1"/>
  <c r="CH119" i="1"/>
  <c r="CH120" i="1" s="1"/>
  <c r="Z120" i="1"/>
  <c r="AA207" i="1" s="1"/>
  <c r="CH144" i="1"/>
  <c r="Z179" i="1"/>
  <c r="Z231" i="1"/>
  <c r="Z180" i="1"/>
  <c r="Z253" i="1"/>
  <c r="Z183" i="1"/>
  <c r="CH135" i="1"/>
  <c r="CI135" i="1" s="1"/>
  <c r="Z131" i="1"/>
  <c r="CG194" i="1"/>
  <c r="CG253" i="1"/>
  <c r="Y156" i="1"/>
  <c r="CH253" i="1"/>
  <c r="CG252" i="1"/>
  <c r="X134" i="1"/>
  <c r="CI231" i="1"/>
  <c r="CI10" i="1"/>
  <c r="CJ98" i="1"/>
  <c r="Y202" i="1"/>
  <c r="Y180" i="1"/>
  <c r="CG10" i="1"/>
  <c r="CK11" i="1" s="1"/>
  <c r="Z173" i="1"/>
  <c r="Z10" i="1"/>
  <c r="X156" i="1"/>
  <c r="X157" i="1" s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CH156" i="1"/>
  <c r="CH185" i="1" s="1"/>
  <c r="CH128" i="1"/>
  <c r="Z156" i="1"/>
  <c r="AA197" i="1" s="1"/>
  <c r="AA198" i="1" s="1"/>
  <c r="AA199" i="1" s="1"/>
  <c r="X182" i="1"/>
  <c r="JP15" i="4"/>
  <c r="JP14" i="4"/>
  <c r="JP8" i="4"/>
  <c r="JP7" i="4"/>
  <c r="CW20" i="1"/>
  <c r="DA20" i="1" s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KH21" i="4" l="1"/>
  <c r="AA188" i="1"/>
  <c r="AA11" i="1"/>
  <c r="AA206" i="1"/>
  <c r="AA205" i="1" s="1"/>
  <c r="AA249" i="1"/>
  <c r="Y33" i="1"/>
  <c r="Z209" i="1"/>
  <c r="Y182" i="1"/>
  <c r="Z182" i="1"/>
  <c r="Z196" i="1"/>
  <c r="CI128" i="1"/>
  <c r="JW7" i="4"/>
  <c r="JY15" i="4"/>
  <c r="JW14" i="4"/>
  <c r="KF15" i="4"/>
  <c r="KE15" i="4"/>
  <c r="KG15" i="4"/>
  <c r="JY21" i="4"/>
  <c r="KE21" i="4"/>
  <c r="JU7" i="4"/>
  <c r="JX15" i="4"/>
  <c r="JQ8" i="4"/>
  <c r="KD8" i="4"/>
  <c r="JW8" i="4"/>
  <c r="JY7" i="4"/>
  <c r="KB8" i="4"/>
  <c r="KE7" i="4"/>
  <c r="JV14" i="4"/>
  <c r="KF21" i="4"/>
  <c r="JS15" i="4"/>
  <c r="JY8" i="4"/>
  <c r="Z175" i="1"/>
  <c r="JR14" i="4"/>
  <c r="JV15" i="4"/>
  <c r="KA21" i="4"/>
  <c r="JW21" i="4"/>
  <c r="JQ14" i="4"/>
  <c r="KD14" i="4"/>
  <c r="KD21" i="4"/>
  <c r="KG14" i="4"/>
  <c r="JZ8" i="4"/>
  <c r="KA8" i="4"/>
  <c r="JS8" i="4"/>
  <c r="JT21" i="4"/>
  <c r="KD15" i="4"/>
  <c r="JR15" i="4"/>
  <c r="KB7" i="4"/>
  <c r="KG21" i="4"/>
  <c r="JR7" i="4"/>
  <c r="JX7" i="4"/>
  <c r="KD7" i="4"/>
  <c r="KC8" i="4"/>
  <c r="CL19" i="1"/>
  <c r="Y196" i="1"/>
  <c r="CL28" i="1"/>
  <c r="CL17" i="1"/>
  <c r="CL248" i="1"/>
  <c r="CL246" i="1"/>
  <c r="CL129" i="1"/>
  <c r="CL168" i="1"/>
  <c r="CL109" i="1" s="1"/>
  <c r="CL157" i="1"/>
  <c r="CL165" i="1" s="1"/>
  <c r="CL182" i="1"/>
  <c r="CL92" i="1"/>
  <c r="KH8" i="4"/>
  <c r="KH20" i="4" s="1"/>
  <c r="JQ15" i="4"/>
  <c r="JT7" i="4"/>
  <c r="KA14" i="4"/>
  <c r="KH7" i="4"/>
  <c r="KH14" i="4"/>
  <c r="KH19" i="4" s="1"/>
  <c r="JZ15" i="4"/>
  <c r="KF7" i="4"/>
  <c r="JZ7" i="4"/>
  <c r="JZ19" i="4" s="1"/>
  <c r="JW15" i="4"/>
  <c r="KF14" i="4"/>
  <c r="KF19" i="4" s="1"/>
  <c r="JS7" i="4"/>
  <c r="JU15" i="4"/>
  <c r="JR21" i="4"/>
  <c r="CL77" i="1" s="1"/>
  <c r="KE8" i="4"/>
  <c r="CJ156" i="1"/>
  <c r="CJ185" i="1" s="1"/>
  <c r="CJ184" i="1" s="1"/>
  <c r="CK184" i="1" s="1"/>
  <c r="JU21" i="4"/>
  <c r="JQ7" i="4"/>
  <c r="JT14" i="4"/>
  <c r="KB15" i="4"/>
  <c r="JX21" i="4"/>
  <c r="JT15" i="4"/>
  <c r="KF8" i="4"/>
  <c r="JY14" i="4"/>
  <c r="KC14" i="4"/>
  <c r="JV21" i="4"/>
  <c r="JX14" i="4"/>
  <c r="KG8" i="4"/>
  <c r="CJ161" i="1"/>
  <c r="CI16" i="1"/>
  <c r="CL244" i="1"/>
  <c r="CL225" i="1"/>
  <c r="CL188" i="1"/>
  <c r="CL11" i="1"/>
  <c r="CJ128" i="1"/>
  <c r="JV7" i="4"/>
  <c r="Z27" i="1"/>
  <c r="CK140" i="1"/>
  <c r="KG7" i="4"/>
  <c r="JV8" i="4"/>
  <c r="KC21" i="4"/>
  <c r="JU14" i="4"/>
  <c r="JT8" i="4"/>
  <c r="JR8" i="4"/>
  <c r="JR20" i="4" s="1"/>
  <c r="CL79" i="1" s="1"/>
  <c r="KC7" i="4"/>
  <c r="JU8" i="4"/>
  <c r="JX8" i="4"/>
  <c r="JS14" i="4"/>
  <c r="JS19" i="4" s="1"/>
  <c r="KE14" i="4"/>
  <c r="KA15" i="4"/>
  <c r="KA7" i="4"/>
  <c r="CK102" i="1"/>
  <c r="CJ148" i="1"/>
  <c r="X16" i="1"/>
  <c r="X27" i="1"/>
  <c r="Y27" i="1"/>
  <c r="CJ131" i="1"/>
  <c r="CK131" i="1" s="1"/>
  <c r="Y16" i="1"/>
  <c r="Y28" i="1" s="1"/>
  <c r="CJ120" i="1"/>
  <c r="CJ92" i="1" s="1"/>
  <c r="CJ94" i="1" s="1"/>
  <c r="Y11" i="1"/>
  <c r="Y188" i="1"/>
  <c r="CK17" i="1"/>
  <c r="CK28" i="1"/>
  <c r="Z248" i="1"/>
  <c r="CH148" i="1"/>
  <c r="CH182" i="1" s="1"/>
  <c r="CH186" i="1" s="1"/>
  <c r="CH179" i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38" i="1"/>
  <c r="Z134" i="1"/>
  <c r="CH131" i="1"/>
  <c r="AB133" i="1"/>
  <c r="CQ133" i="1"/>
  <c r="CR133" i="1" s="1"/>
  <c r="CS133" i="1" s="1"/>
  <c r="CT133" i="1" s="1"/>
  <c r="CG27" i="1"/>
  <c r="CG16" i="1"/>
  <c r="CK18" i="1" s="1"/>
  <c r="X129" i="1"/>
  <c r="CI27" i="1"/>
  <c r="Y185" i="1"/>
  <c r="Y157" i="1"/>
  <c r="Y165" i="1" s="1"/>
  <c r="X138" i="1"/>
  <c r="Y203" i="1" s="1"/>
  <c r="Y201" i="1" s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H92" i="1"/>
  <c r="CH94" i="1" s="1"/>
  <c r="X185" i="1"/>
  <c r="Y197" i="1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Y246" i="1"/>
  <c r="Y244" i="1"/>
  <c r="CH168" i="1"/>
  <c r="CH248" i="1"/>
  <c r="Z185" i="1"/>
  <c r="Z157" i="1"/>
  <c r="Z197" i="1"/>
  <c r="X181" i="1"/>
  <c r="CH129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CM27" i="1" l="1"/>
  <c r="KE20" i="4"/>
  <c r="KG20" i="4"/>
  <c r="JV19" i="4"/>
  <c r="JS20" i="4"/>
  <c r="KG19" i="4"/>
  <c r="JV20" i="4"/>
  <c r="JU19" i="4"/>
  <c r="JX20" i="4"/>
  <c r="KE19" i="4"/>
  <c r="KA20" i="4"/>
  <c r="Z181" i="1"/>
  <c r="Y181" i="1"/>
  <c r="JW20" i="4"/>
  <c r="Z198" i="1"/>
  <c r="KB20" i="4"/>
  <c r="KF20" i="4"/>
  <c r="JY19" i="4"/>
  <c r="JW19" i="4"/>
  <c r="KD20" i="4"/>
  <c r="CI206" i="1"/>
  <c r="CI249" i="1"/>
  <c r="CJ157" i="1"/>
  <c r="JQ20" i="4"/>
  <c r="CK79" i="1" s="1"/>
  <c r="JY20" i="4"/>
  <c r="KC19" i="4"/>
  <c r="JR19" i="4"/>
  <c r="CL78" i="1" s="1"/>
  <c r="CL166" i="1"/>
  <c r="KA19" i="4"/>
  <c r="KD19" i="4"/>
  <c r="CL31" i="1"/>
  <c r="KC20" i="4"/>
  <c r="KB19" i="4"/>
  <c r="Z28" i="1"/>
  <c r="CL249" i="1"/>
  <c r="CL206" i="1"/>
  <c r="JZ20" i="4"/>
  <c r="JU20" i="4"/>
  <c r="JQ19" i="4"/>
  <c r="CK78" i="1" s="1"/>
  <c r="JT19" i="4"/>
  <c r="JT20" i="4"/>
  <c r="JX19" i="4"/>
  <c r="Y198" i="1"/>
  <c r="CI28" i="1"/>
  <c r="CI17" i="1"/>
  <c r="CL250" i="1"/>
  <c r="CL232" i="1"/>
  <c r="CL233" i="1" s="1"/>
  <c r="CL29" i="1"/>
  <c r="CL34" i="1"/>
  <c r="CL38" i="1" s="1"/>
  <c r="CL181" i="1"/>
  <c r="CL186" i="1"/>
  <c r="CL189" i="1" s="1"/>
  <c r="CL102" i="1"/>
  <c r="CL94" i="1"/>
  <c r="CK209" i="1"/>
  <c r="CJ248" i="1"/>
  <c r="CJ206" i="1"/>
  <c r="CJ129" i="1"/>
  <c r="CJ249" i="1"/>
  <c r="CK202" i="1"/>
  <c r="CL202" i="1"/>
  <c r="CL104" i="1"/>
  <c r="CL96" i="1"/>
  <c r="CL108" i="1"/>
  <c r="CL111" i="1" s="1"/>
  <c r="Y18" i="1"/>
  <c r="X17" i="1"/>
  <c r="CJ182" i="1"/>
  <c r="X28" i="1"/>
  <c r="Y17" i="1"/>
  <c r="CH157" i="1"/>
  <c r="CK29" i="1"/>
  <c r="CK34" i="1"/>
  <c r="CK38" i="1" s="1"/>
  <c r="CI179" i="1"/>
  <c r="CH181" i="1"/>
  <c r="CI181" i="1" s="1"/>
  <c r="CI146" i="1" s="1"/>
  <c r="CJ246" i="1"/>
  <c r="CJ244" i="1"/>
  <c r="Z138" i="1"/>
  <c r="AA203" i="1" s="1"/>
  <c r="AA201" i="1" s="1"/>
  <c r="Z33" i="1"/>
  <c r="CH134" i="1"/>
  <c r="CI131" i="1"/>
  <c r="CI134" i="1" s="1"/>
  <c r="X244" i="1"/>
  <c r="X246" i="1"/>
  <c r="X165" i="1"/>
  <c r="X166" i="1" s="1"/>
  <c r="CU133" i="1"/>
  <c r="CV133" i="1" s="1"/>
  <c r="CW133" i="1" s="1"/>
  <c r="CX133" i="1" s="1"/>
  <c r="AC133" i="1"/>
  <c r="Z18" i="1"/>
  <c r="Z17" i="1"/>
  <c r="CJ96" i="1"/>
  <c r="CJ95" i="1"/>
  <c r="CH96" i="1"/>
  <c r="CG28" i="1"/>
  <c r="CK30" i="1" s="1"/>
  <c r="CG17" i="1"/>
  <c r="CK185" i="1"/>
  <c r="Y184" i="1"/>
  <c r="Y186" i="1"/>
  <c r="CI185" i="1"/>
  <c r="CI152" i="1"/>
  <c r="CM140" i="1"/>
  <c r="Y166" i="1"/>
  <c r="CH95" i="1"/>
  <c r="CI19" i="1"/>
  <c r="CH17" i="1"/>
  <c r="X184" i="1"/>
  <c r="X186" i="1"/>
  <c r="CM125" i="1"/>
  <c r="CJ19" i="1"/>
  <c r="CJ28" i="1"/>
  <c r="CK31" i="1" s="1"/>
  <c r="CJ17" i="1"/>
  <c r="CK206" i="1"/>
  <c r="CK249" i="1"/>
  <c r="CH28" i="1"/>
  <c r="CL30" i="1" s="1"/>
  <c r="CH19" i="1"/>
  <c r="CI37" i="1"/>
  <c r="CH109" i="1"/>
  <c r="Z186" i="1"/>
  <c r="AA189" i="1" s="1"/>
  <c r="AA190" i="1" s="1"/>
  <c r="Z184" i="1"/>
  <c r="Y112" i="1"/>
  <c r="Y34" i="1"/>
  <c r="Y29" i="1"/>
  <c r="Y232" i="1"/>
  <c r="Y233" i="1" s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AA30" i="1" l="1"/>
  <c r="AA250" i="1"/>
  <c r="AA251" i="1" s="1"/>
  <c r="AA210" i="1"/>
  <c r="AA211" i="1" s="1"/>
  <c r="AA213" i="1"/>
  <c r="CL226" i="1"/>
  <c r="CK108" i="1"/>
  <c r="CK104" i="1"/>
  <c r="Z250" i="1"/>
  <c r="Z251" i="1" s="1"/>
  <c r="Z34" i="1"/>
  <c r="Z112" i="1"/>
  <c r="Z29" i="1"/>
  <c r="Z232" i="1"/>
  <c r="Z233" i="1" s="1"/>
  <c r="Z30" i="1"/>
  <c r="CJ165" i="1"/>
  <c r="CL103" i="1"/>
  <c r="CL95" i="1"/>
  <c r="CL107" i="1"/>
  <c r="CL110" i="1" s="1"/>
  <c r="CK107" i="1"/>
  <c r="CK103" i="1"/>
  <c r="CL251" i="1"/>
  <c r="Y189" i="1"/>
  <c r="Y190" i="1" s="1"/>
  <c r="CL112" i="1"/>
  <c r="CL114" i="1" s="1"/>
  <c r="CI34" i="1"/>
  <c r="CI232" i="1"/>
  <c r="CI233" i="1" s="1"/>
  <c r="CI29" i="1"/>
  <c r="CL40" i="1"/>
  <c r="CL41" i="1"/>
  <c r="CJ181" i="1"/>
  <c r="CK181" i="1" s="1"/>
  <c r="CK182" i="1" s="1"/>
  <c r="CK186" i="1" s="1"/>
  <c r="CJ186" i="1"/>
  <c r="Y250" i="1"/>
  <c r="Y251" i="1" s="1"/>
  <c r="X232" i="1"/>
  <c r="X233" i="1" s="1"/>
  <c r="X34" i="1"/>
  <c r="X112" i="1"/>
  <c r="X29" i="1"/>
  <c r="Y30" i="1"/>
  <c r="CI33" i="1"/>
  <c r="CH138" i="1"/>
  <c r="CI250" i="1"/>
  <c r="CI251" i="1" s="1"/>
  <c r="CK112" i="1"/>
  <c r="CI182" i="1"/>
  <c r="Z203" i="1"/>
  <c r="Z201" i="1" s="1"/>
  <c r="Z165" i="1"/>
  <c r="Z166" i="1" s="1"/>
  <c r="Z246" i="1"/>
  <c r="Z244" i="1"/>
  <c r="CJ33" i="1"/>
  <c r="CI138" i="1"/>
  <c r="CJ203" i="1" s="1"/>
  <c r="CJ201" i="1" s="1"/>
  <c r="CK40" i="1"/>
  <c r="CK41" i="1"/>
  <c r="Z189" i="1"/>
  <c r="Z190" i="1" s="1"/>
  <c r="CM17" i="1"/>
  <c r="CY133" i="1"/>
  <c r="CZ133" i="1" s="1"/>
  <c r="DA133" i="1" s="1"/>
  <c r="DB133" i="1" s="1"/>
  <c r="AE133" i="1" s="1"/>
  <c r="AD133" i="1"/>
  <c r="CG29" i="1"/>
  <c r="CG34" i="1"/>
  <c r="CG38" i="1" s="1"/>
  <c r="CG232" i="1"/>
  <c r="CG233" i="1" s="1"/>
  <c r="CM202" i="1"/>
  <c r="CN140" i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H110" i="1"/>
  <c r="CH111" i="1"/>
  <c r="CK194" i="1"/>
  <c r="CK132" i="1"/>
  <c r="Y55" i="1"/>
  <c r="Y38" i="1"/>
  <c r="CN27" i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J166" i="1" l="1"/>
  <c r="Z38" i="1"/>
  <c r="Z55" i="1"/>
  <c r="CL113" i="1"/>
  <c r="CO27" i="1"/>
  <c r="CL44" i="1"/>
  <c r="CI38" i="1"/>
  <c r="CL55" i="1"/>
  <c r="CL234" i="1"/>
  <c r="CL48" i="1"/>
  <c r="CL42" i="1"/>
  <c r="CL245" i="1" s="1"/>
  <c r="X38" i="1"/>
  <c r="X55" i="1"/>
  <c r="CH246" i="1"/>
  <c r="CH165" i="1"/>
  <c r="CH166" i="1" s="1"/>
  <c r="CK134" i="1"/>
  <c r="CL132" i="1"/>
  <c r="CL131" i="1" s="1"/>
  <c r="CM131" i="1" s="1"/>
  <c r="CN131" i="1" s="1"/>
  <c r="CO131" i="1" s="1"/>
  <c r="CP131" i="1" s="1"/>
  <c r="CQ131" i="1" s="1"/>
  <c r="CR131" i="1" s="1"/>
  <c r="CS131" i="1" s="1"/>
  <c r="CT131" i="1" s="1"/>
  <c r="CU131" i="1" s="1"/>
  <c r="CV131" i="1" s="1"/>
  <c r="CW131" i="1" s="1"/>
  <c r="CX131" i="1" s="1"/>
  <c r="CY131" i="1" s="1"/>
  <c r="CZ131" i="1" s="1"/>
  <c r="DA131" i="1" s="1"/>
  <c r="DB131" i="1" s="1"/>
  <c r="CI203" i="1"/>
  <c r="CI201" i="1" s="1"/>
  <c r="CK48" i="1"/>
  <c r="CK42" i="1"/>
  <c r="CG40" i="1"/>
  <c r="CG41" i="1"/>
  <c r="CK43" i="1" s="1"/>
  <c r="CH40" i="1"/>
  <c r="CH41" i="1"/>
  <c r="CJ41" i="1"/>
  <c r="CJ40" i="1"/>
  <c r="CN202" i="1"/>
  <c r="CO140" i="1"/>
  <c r="CN184" i="1"/>
  <c r="CM185" i="1"/>
  <c r="CM181" i="1"/>
  <c r="CO125" i="1"/>
  <c r="CN128" i="1"/>
  <c r="CN249" i="1" s="1"/>
  <c r="CM206" i="1"/>
  <c r="Y40" i="1"/>
  <c r="Y41" i="1"/>
  <c r="Z41" i="1"/>
  <c r="AA43" i="1" s="1"/>
  <c r="Z40" i="1"/>
  <c r="CP27" i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Q27" i="1" l="1"/>
  <c r="CI40" i="1"/>
  <c r="CM40" i="1" s="1"/>
  <c r="CN40" i="1" s="1"/>
  <c r="CI41" i="1"/>
  <c r="X40" i="1"/>
  <c r="X41" i="1"/>
  <c r="CL33" i="1"/>
  <c r="CM33" i="1" s="1"/>
  <c r="CN33" i="1" s="1"/>
  <c r="CO33" i="1" s="1"/>
  <c r="CP33" i="1" s="1"/>
  <c r="CK138" i="1"/>
  <c r="CK203" i="1" s="1"/>
  <c r="CK201" i="1" s="1"/>
  <c r="CL66" i="1"/>
  <c r="CL193" i="1"/>
  <c r="CL195" i="1" s="1"/>
  <c r="CL52" i="1"/>
  <c r="CH234" i="1"/>
  <c r="CH42" i="1"/>
  <c r="CH245" i="1" s="1"/>
  <c r="CL43" i="1"/>
  <c r="CK44" i="1"/>
  <c r="CL227" i="1"/>
  <c r="CH48" i="1"/>
  <c r="CJ48" i="1"/>
  <c r="CI44" i="1"/>
  <c r="CK66" i="1"/>
  <c r="CK52" i="1"/>
  <c r="CJ227" i="1"/>
  <c r="CG234" i="1"/>
  <c r="CG42" i="1"/>
  <c r="CG245" i="1" s="1"/>
  <c r="CH44" i="1"/>
  <c r="CG48" i="1"/>
  <c r="CG193" i="1" s="1"/>
  <c r="CG195" i="1" s="1"/>
  <c r="CJ44" i="1"/>
  <c r="CJ42" i="1"/>
  <c r="CJ245" i="1" s="1"/>
  <c r="CJ234" i="1"/>
  <c r="CO184" i="1"/>
  <c r="CN185" i="1"/>
  <c r="CP140" i="1"/>
  <c r="CP202" i="1" s="1"/>
  <c r="CO202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O17" i="1"/>
  <c r="CP17" i="1" s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J66" i="1"/>
  <c r="CJ193" i="1"/>
  <c r="CJ195" i="1" s="1"/>
  <c r="CJ52" i="1"/>
  <c r="CH193" i="1"/>
  <c r="CH195" i="1" s="1"/>
  <c r="CH66" i="1"/>
  <c r="CH52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EV8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EP14" i="4" a="1"/>
  <c r="AX33" i="3"/>
  <c r="AX28" i="3"/>
  <c r="AY20" i="3"/>
  <c r="AG5" i="6" a="1"/>
  <c r="AB5" i="3"/>
  <c r="AT46" i="3"/>
  <c r="AF8" i="3"/>
  <c r="AV37" i="3"/>
  <c r="AS14" i="3"/>
  <c r="U5" i="6" a="1"/>
  <c r="AQ5" i="6" a="1"/>
  <c r="AW26" i="3"/>
  <c r="AZ40" i="3"/>
  <c r="EP8" i="4" a="1"/>
  <c r="EU8" i="4" a="1"/>
  <c r="EN8" i="4" a="1"/>
  <c r="EW13" i="4" a="1"/>
  <c r="EN15" i="4" a="1"/>
  <c r="ET7" i="4" a="1"/>
  <c r="EL15" i="4" a="1"/>
  <c r="AT21" i="3"/>
  <c r="AU39" i="3"/>
  <c r="AU21" i="3"/>
  <c r="AW34" i="3"/>
  <c r="AZ45" i="3"/>
  <c r="AJ6" i="6" a="1"/>
  <c r="AV17" i="3"/>
  <c r="AW19" i="3"/>
  <c r="AW32" i="3"/>
  <c r="AC5" i="6" a="1"/>
  <c r="AT36" i="3"/>
  <c r="ER8" i="4" a="1"/>
  <c r="EN11" i="4" a="1"/>
  <c r="ER9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ER6" i="4" a="1"/>
  <c r="ES12" i="4" a="1"/>
  <c r="EL12" i="4" a="1"/>
  <c r="EM6" i="4" a="1"/>
  <c r="EV11" i="4" a="1"/>
  <c r="EN7" i="4" a="1"/>
  <c r="ET15" i="4" a="1"/>
  <c r="EO6" i="4" a="1"/>
  <c r="EQ8" i="4" a="1"/>
  <c r="ES13" i="4" a="1"/>
  <c r="AV38" i="3"/>
  <c r="AW45" i="3"/>
  <c r="E5" i="6" a="1"/>
  <c r="AX30" i="3"/>
  <c r="AV29" i="3"/>
  <c r="AW46" i="3"/>
  <c r="AU23" i="3"/>
  <c r="AT27" i="3"/>
  <c r="AY35" i="3"/>
  <c r="AV20" i="3"/>
  <c r="AV45" i="3"/>
  <c r="AS25" i="3"/>
  <c r="AY8" i="3"/>
  <c r="AF16" i="3"/>
  <c r="AX27" i="3"/>
  <c r="AU37" i="3"/>
  <c r="EM9" i="4" a="1"/>
  <c r="ER12" i="4" a="1"/>
  <c r="ES8" i="4" a="1"/>
  <c r="ET14" i="4" a="1"/>
  <c r="E6" i="6" a="1"/>
  <c r="AY16" i="3"/>
  <c r="AT16" i="3"/>
  <c r="X6" i="6" a="1"/>
  <c r="EN14" i="4" a="1"/>
  <c r="EW12" i="4" a="1"/>
  <c r="EQ5" i="4" a="1"/>
  <c r="EO13" i="4" a="1"/>
  <c r="EL7" i="4" a="1"/>
  <c r="AY10" i="3"/>
  <c r="AF12" i="3"/>
  <c r="AY34" i="3"/>
  <c r="AU35" i="3"/>
  <c r="AP6" i="3"/>
  <c r="AZ38" i="3"/>
  <c r="Y6" i="6" a="1"/>
  <c r="EO14" i="4" a="1"/>
  <c r="ES15" i="4" a="1"/>
  <c r="EL5" i="4" a="1"/>
  <c r="AT45" i="3"/>
  <c r="AW36" i="3"/>
  <c r="AS32" i="3"/>
  <c r="AV36" i="3"/>
  <c r="AT11" i="3"/>
  <c r="AR7" i="3"/>
  <c r="AU11" i="3"/>
  <c r="AX15" i="3"/>
  <c r="V6" i="6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D6" i="6" a="1"/>
  <c r="EV15" i="4" a="1"/>
  <c r="EW5" i="4" a="1"/>
  <c r="EP16" i="4" a="1"/>
  <c r="AT23" i="3"/>
  <c r="AW38" i="3"/>
  <c r="AX11" i="3"/>
  <c r="AT6" i="3"/>
  <c r="S6" i="6" a="1"/>
  <c r="EP5" i="4" a="1"/>
  <c r="EU15" i="4" a="1"/>
  <c r="ES11" i="4" a="1"/>
  <c r="AP5" i="3"/>
  <c r="AW33" i="3"/>
  <c r="AP5" i="6" a="1"/>
  <c r="W6" i="6" a="1"/>
  <c r="AV32" i="3"/>
  <c r="AS5" i="3"/>
  <c r="EQ9" i="4" a="1"/>
  <c r="C5" i="4" a="1"/>
  <c r="ES7" i="4" a="1"/>
  <c r="EQ14" i="4" a="1"/>
  <c r="AF9" i="3"/>
  <c r="AU31" i="3"/>
  <c r="EQ11" i="4" a="1"/>
  <c r="EQ13" i="4" a="1"/>
  <c r="EL16" i="4" a="1"/>
  <c r="EO5" i="4" a="1"/>
  <c r="AR6" i="3"/>
  <c r="AN6" i="6" a="1"/>
  <c r="AK6" i="6" a="1"/>
  <c r="AF7" i="3"/>
  <c r="AF6" i="3"/>
  <c r="AY38" i="3"/>
  <c r="AV31" i="3"/>
  <c r="AV6" i="6" a="1"/>
  <c r="EQ15" i="4" a="1"/>
  <c r="EL9" i="4" a="1"/>
  <c r="EV12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V13" i="4" a="1"/>
  <c r="EL13" i="4" a="1"/>
  <c r="EW9" i="4" a="1"/>
  <c r="AV25" i="3"/>
  <c r="AX38" i="3"/>
  <c r="AZ31" i="3"/>
  <c r="F45" i="3"/>
  <c r="AW13" i="3"/>
  <c r="AU6" i="6" a="1"/>
  <c r="AI5" i="6" a="1"/>
  <c r="AY13" i="3"/>
  <c r="AZ23" i="3"/>
  <c r="AS34" i="3"/>
  <c r="AX45" i="3"/>
  <c r="AV23" i="3"/>
  <c r="AZ33" i="3"/>
  <c r="AF31" i="3"/>
  <c r="AF39" i="3"/>
  <c r="AZ19" i="3"/>
  <c r="EO16" i="4" a="1"/>
  <c r="ET11" i="4" a="1"/>
  <c r="EM7" i="4" a="1"/>
  <c r="ET9" i="4" a="1"/>
  <c r="AY18" i="3"/>
  <c r="AH5" i="6" a="1"/>
  <c r="AZ28" i="3"/>
  <c r="AX10" i="3"/>
  <c r="AW22" i="3"/>
  <c r="AT41" i="3"/>
  <c r="AU33" i="3"/>
  <c r="F5" i="6" a="1"/>
  <c r="AF26" i="3"/>
  <c r="AF25" i="3"/>
  <c r="AT31" i="3"/>
  <c r="AE6" i="6" a="1"/>
  <c r="AW6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Y19" i="3"/>
  <c r="AY11" i="3"/>
  <c r="AY28" i="3"/>
  <c r="AF36" i="3"/>
  <c r="W5" i="6" a="1"/>
  <c r="AF28" i="3"/>
  <c r="AF33" i="3"/>
  <c r="AV15" i="3"/>
  <c r="AT34" i="3"/>
  <c r="AS42" i="3"/>
  <c r="ER13" i="4" a="1"/>
  <c r="EU16" i="4" a="1"/>
  <c r="EV5" i="4" a="1"/>
  <c r="AV28" i="3"/>
  <c r="AW14" i="3"/>
  <c r="AT9" i="3"/>
  <c r="AV22" i="3"/>
  <c r="AT18" i="3"/>
  <c r="AF14" i="3"/>
  <c r="G6" i="6" a="1"/>
  <c r="AY41" i="3"/>
  <c r="EQ16" i="4" a="1"/>
  <c r="EU12" i="4" a="1"/>
  <c r="EW14" i="4" a="1"/>
  <c r="EO11" i="4" a="1"/>
  <c r="ET13" i="4" a="1"/>
  <c r="AY36" i="3"/>
  <c r="AU6" i="3"/>
  <c r="AV16" i="3"/>
  <c r="AW8" i="3"/>
  <c r="AX8" i="3"/>
  <c r="AH6" i="6" a="1"/>
  <c r="AU8" i="3"/>
  <c r="AZ29" i="3"/>
  <c r="AF13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N5" i="6" a="1"/>
  <c r="AY32" i="3"/>
  <c r="AT5" i="3"/>
  <c r="AW41" i="3"/>
  <c r="AF22" i="3"/>
  <c r="AT15" i="3"/>
  <c r="AS46" i="3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W9" i="3"/>
  <c r="AV24" i="3"/>
  <c r="AU32" i="3"/>
  <c r="AS39" i="3"/>
  <c r="K6" i="6" a="1"/>
  <c r="AT20" i="3"/>
  <c r="Q6" i="6" a="1"/>
  <c r="AY6" i="6" a="1"/>
  <c r="AW27" i="3"/>
  <c r="AU24" i="3"/>
  <c r="AS6" i="6" a="1"/>
  <c r="AT42" i="3"/>
  <c r="AX12" i="3"/>
  <c r="AZ6" i="3"/>
  <c r="AU18" i="3"/>
  <c r="AF35" i="3"/>
  <c r="AZ18" i="3"/>
  <c r="AU9" i="3"/>
  <c r="AZ36" i="3"/>
  <c r="AY26" i="3"/>
  <c r="AG6" i="6" a="1"/>
  <c r="AX16" i="3"/>
  <c r="V5" i="6" a="1"/>
  <c r="AS20" i="3"/>
  <c r="AX40" i="3"/>
  <c r="AY31" i="3"/>
  <c r="AS37" i="3"/>
  <c r="AV5" i="3"/>
  <c r="AS26" i="3"/>
  <c r="AS30" i="3"/>
  <c r="AS10" i="3"/>
  <c r="EP13" i="4" a="1"/>
  <c r="EW15" i="4" a="1"/>
  <c r="ER5" i="4" a="1"/>
  <c r="EM12" i="4" a="1"/>
  <c r="CR27" i="1" l="1"/>
  <c r="CS27" i="1"/>
  <c r="CO40" i="1"/>
  <c r="CQ33" i="1"/>
  <c r="CR33" i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203" i="1"/>
  <c r="CL201" i="1" s="1"/>
  <c r="CI48" i="1"/>
  <c r="CI234" i="1"/>
  <c r="CI42" i="1"/>
  <c r="CI245" i="1" s="1"/>
  <c r="AB131" i="1"/>
  <c r="CG66" i="1"/>
  <c r="CJ54" i="1"/>
  <c r="CG52" i="1"/>
  <c r="CO185" i="1"/>
  <c r="CP184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Q17" i="1"/>
  <c r="CS124" i="1"/>
  <c r="CR140" i="1"/>
  <c r="CR202" i="1" s="1"/>
  <c r="CR180" i="1"/>
  <c r="CR183" i="1"/>
  <c r="CR179" i="1"/>
  <c r="CJ55" i="1"/>
  <c r="AC46" i="1"/>
  <c r="CV46" i="1"/>
  <c r="CW46" i="1" s="1"/>
  <c r="CX46" i="1" s="1"/>
  <c r="CY46" i="1" s="1"/>
  <c r="AD35" i="1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C89" i="3"/>
  <c r="AZ78" i="3"/>
  <c r="AW61" i="3"/>
  <c r="AF77" i="3"/>
  <c r="AS77" i="3"/>
  <c r="AW82" i="3"/>
  <c r="AU89" i="3"/>
  <c r="AF68" i="3"/>
  <c r="AT66" i="3"/>
  <c r="AF54" i="3"/>
  <c r="AZ85" i="3"/>
  <c r="AT72" i="3"/>
  <c r="AY81" i="3"/>
  <c r="AW64" i="3"/>
  <c r="AX96" i="3"/>
  <c r="AS78" i="3"/>
  <c r="AU88" i="3"/>
  <c r="AX83" i="3"/>
  <c r="AT55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AZ94" i="3"/>
  <c r="AU54" i="3"/>
  <c r="AY72" i="3"/>
  <c r="AT70" i="3"/>
  <c r="AW86" i="3"/>
  <c r="AZ69" i="3"/>
  <c r="AT80" i="3"/>
  <c r="AY82" i="3"/>
  <c r="AW59" i="3"/>
  <c r="AW48" i="3"/>
  <c r="AX50" i="3"/>
  <c r="AZ73" i="3"/>
  <c r="AU73" i="3"/>
  <c r="AS76" i="3"/>
  <c r="AT49" i="3"/>
  <c r="AW54" i="3"/>
  <c r="AV89" i="3"/>
  <c r="AZ71" i="3"/>
  <c r="AY56" i="3"/>
  <c r="AW77" i="3"/>
  <c r="AY73" i="3"/>
  <c r="AF57" i="3"/>
  <c r="C68" i="3"/>
  <c r="AW47" i="3"/>
  <c r="AZ89" i="3"/>
  <c r="AT68" i="3"/>
  <c r="AV82" i="3"/>
  <c r="AU85" i="3"/>
  <c r="C55" i="3"/>
  <c r="AZ97" i="3"/>
  <c r="AW62" i="3"/>
  <c r="AW87" i="3"/>
  <c r="AF60" i="3"/>
  <c r="AT86" i="3"/>
  <c r="AX62" i="3"/>
  <c r="AT63" i="3"/>
  <c r="AV76" i="3"/>
  <c r="AV86" i="3"/>
  <c r="AY74" i="3"/>
  <c r="AU87" i="3"/>
  <c r="C91" i="3"/>
  <c r="AX68" i="3"/>
  <c r="AV64" i="3"/>
  <c r="AT69" i="3"/>
  <c r="AV81" i="3"/>
  <c r="AZ88" i="3"/>
  <c r="AF93" i="3"/>
  <c r="AF85" i="3"/>
  <c r="AX58" i="3"/>
  <c r="AY48" i="3"/>
  <c r="C90" i="3"/>
  <c r="AU58" i="3"/>
  <c r="AT92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X85" i="3"/>
  <c r="C72" i="3"/>
  <c r="AY50" i="3"/>
  <c r="AV71" i="3"/>
  <c r="AS93" i="3"/>
  <c r="AU63" i="3"/>
  <c r="AV87" i="3"/>
  <c r="AY75" i="3"/>
  <c r="AV61" i="3"/>
  <c r="AS59" i="3"/>
  <c r="AU65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S80" i="3"/>
  <c r="AU62" i="3"/>
  <c r="AT56" i="3"/>
  <c r="C92" i="3"/>
  <c r="AS64" i="3"/>
  <c r="AV80" i="3"/>
  <c r="AY67" i="3"/>
  <c r="C78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C57" i="3"/>
  <c r="AZ50" i="3"/>
  <c r="AT75" i="3"/>
  <c r="AW83" i="3"/>
  <c r="AV63" i="3"/>
  <c r="AZ81" i="3"/>
  <c r="AU61" i="3"/>
  <c r="AF82" i="3"/>
  <c r="AT93" i="3"/>
  <c r="AF79" i="3"/>
  <c r="AV95" i="3"/>
  <c r="AU76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F90" i="3"/>
  <c r="AY57" i="3"/>
  <c r="C96" i="3"/>
  <c r="AZ59" i="3"/>
  <c r="AF47" i="3"/>
  <c r="AT88" i="3"/>
  <c r="AX61" i="3"/>
  <c r="AV50" i="3"/>
  <c r="C65" i="3"/>
  <c r="CT27" i="1" l="1"/>
  <c r="CP40" i="1"/>
  <c r="CQ40" i="1"/>
  <c r="CL54" i="1"/>
  <c r="CI119" i="1"/>
  <c r="CI120" i="1" s="1"/>
  <c r="CI52" i="1"/>
  <c r="CI66" i="1"/>
  <c r="CI193" i="1"/>
  <c r="CI195" i="1" s="1"/>
  <c r="AC131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R17" i="1"/>
  <c r="CS17" i="1" s="1"/>
  <c r="CS180" i="1"/>
  <c r="CS183" i="1"/>
  <c r="CS140" i="1"/>
  <c r="CS202" i="1" s="1"/>
  <c r="CS179" i="1"/>
  <c r="CT124" i="1"/>
  <c r="AD46" i="1"/>
  <c r="CZ46" i="1"/>
  <c r="DA46" i="1" s="1"/>
  <c r="DB46" i="1" s="1"/>
  <c r="AE35" i="1"/>
  <c r="U8" i="1"/>
  <c r="V8" i="1"/>
  <c r="W8" i="1"/>
  <c r="CU27" i="1" l="1"/>
  <c r="CR40" i="1"/>
  <c r="CS40" i="1"/>
  <c r="CI207" i="1"/>
  <c r="CI205" i="1" s="1"/>
  <c r="CJ207" i="1"/>
  <c r="CJ205" i="1" s="1"/>
  <c r="CI92" i="1"/>
  <c r="CI129" i="1"/>
  <c r="CJ69" i="1"/>
  <c r="CK69" i="1"/>
  <c r="CL69" i="1"/>
  <c r="AD131" i="1"/>
  <c r="AE131" i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C202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AA59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T17" i="1"/>
  <c r="CU17" i="1" s="1"/>
  <c r="CT140" i="1"/>
  <c r="CT202" i="1" s="1"/>
  <c r="CT179" i="1"/>
  <c r="CT183" i="1"/>
  <c r="CU124" i="1"/>
  <c r="CT180" i="1"/>
  <c r="AE46" i="1"/>
  <c r="V231" i="1"/>
  <c r="W231" i="1"/>
  <c r="U231" i="1"/>
  <c r="CM11" i="1" l="1"/>
  <c r="CV27" i="1"/>
  <c r="CW27" i="1"/>
  <c r="CX27" i="1" s="1"/>
  <c r="CN11" i="1"/>
  <c r="CO11" i="1"/>
  <c r="CT40" i="1"/>
  <c r="CF28" i="1"/>
  <c r="AA60" i="1" s="1"/>
  <c r="CI95" i="1"/>
  <c r="CI96" i="1"/>
  <c r="CI94" i="1"/>
  <c r="CJ87" i="1"/>
  <c r="CJ86" i="1"/>
  <c r="CJ85" i="1"/>
  <c r="CK86" i="1"/>
  <c r="CK87" i="1"/>
  <c r="CK85" i="1"/>
  <c r="CL86" i="1"/>
  <c r="CL87" i="1"/>
  <c r="CL85" i="1"/>
  <c r="CG249" i="1"/>
  <c r="CS184" i="1"/>
  <c r="CR185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V17" i="1"/>
  <c r="CY27" i="1"/>
  <c r="CZ27" i="1" s="1"/>
  <c r="CU179" i="1"/>
  <c r="CV124" i="1"/>
  <c r="CU180" i="1"/>
  <c r="CU183" i="1"/>
  <c r="CU140" i="1"/>
  <c r="AB150" i="1"/>
  <c r="A1" i="1"/>
  <c r="CF30" i="1" l="1"/>
  <c r="CG226" i="1"/>
  <c r="CP11" i="1"/>
  <c r="CU40" i="1"/>
  <c r="CV40" i="1"/>
  <c r="CG251" i="1"/>
  <c r="CS185" i="1"/>
  <c r="CT184" i="1"/>
  <c r="CF166" i="1"/>
  <c r="CR182" i="1"/>
  <c r="CR186" i="1" s="1"/>
  <c r="CS181" i="1"/>
  <c r="CA138" i="1"/>
  <c r="CB33" i="1"/>
  <c r="CB165" i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DA27" i="1"/>
  <c r="DB27" i="1" s="1"/>
  <c r="CW17" i="1"/>
  <c r="CX17" i="1" s="1"/>
  <c r="CV140" i="1"/>
  <c r="CW124" i="1"/>
  <c r="CV179" i="1"/>
  <c r="CV183" i="1"/>
  <c r="CU202" i="1"/>
  <c r="CV180" i="1"/>
  <c r="AC150" i="1"/>
  <c r="CB166" i="1" l="1"/>
  <c r="CW40" i="1"/>
  <c r="CX40" i="1"/>
  <c r="CY40" i="1"/>
  <c r="CU184" i="1"/>
  <c r="CT185" i="1"/>
  <c r="CD111" i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G210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D189" i="1"/>
  <c r="CH189" i="1"/>
  <c r="BZ38" i="1"/>
  <c r="CB55" i="1"/>
  <c r="CD227" i="1"/>
  <c r="CF41" i="1"/>
  <c r="AA61" i="1" s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Y17" i="1"/>
  <c r="CZ17" i="1" s="1"/>
  <c r="CX124" i="1"/>
  <c r="CW180" i="1"/>
  <c r="CW179" i="1"/>
  <c r="CW140" i="1"/>
  <c r="CW183" i="1"/>
  <c r="CV202" i="1"/>
  <c r="AE150" i="1"/>
  <c r="AD150" i="1"/>
  <c r="CZ40" i="1" l="1"/>
  <c r="DA40" i="1"/>
  <c r="DB40" i="1"/>
  <c r="CD114" i="1"/>
  <c r="CF234" i="1"/>
  <c r="CG213" i="1"/>
  <c r="CV184" i="1"/>
  <c r="CU185" i="1"/>
  <c r="CT182" i="1"/>
  <c r="CT186" i="1" s="1"/>
  <c r="CU181" i="1"/>
  <c r="CW125" i="1"/>
  <c r="CV128" i="1"/>
  <c r="CV249" i="1" s="1"/>
  <c r="CU206" i="1"/>
  <c r="CM8" i="1"/>
  <c r="CF43" i="1"/>
  <c r="CF42" i="1"/>
  <c r="CF245" i="1" s="1"/>
  <c r="BZ41" i="1"/>
  <c r="BZ40" i="1"/>
  <c r="CG160" i="1"/>
  <c r="CG161" i="1" s="1"/>
  <c r="CG211" i="1" s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U182" i="1"/>
  <c r="CU186" i="1" s="1"/>
  <c r="CV181" i="1"/>
  <c r="CX125" i="1"/>
  <c r="CW128" i="1"/>
  <c r="CW249" i="1" s="1"/>
  <c r="CV206" i="1"/>
  <c r="CN8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Q11" i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CZ206" i="1"/>
  <c r="CZ249" i="1"/>
  <c r="DA128" i="1"/>
  <c r="DB125" i="1"/>
  <c r="DB128" i="1" s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N13" i="4" a="1"/>
  <c r="K16" i="4" a="1"/>
  <c r="BJ5" i="4" a="1"/>
  <c r="DQ15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AG9" i="4" a="1"/>
  <c r="J7" i="4" a="1"/>
  <c r="W13" i="4" a="1"/>
  <c r="AK6" i="4" a="1"/>
  <c r="DL11" i="4" a="1"/>
  <c r="AB9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DG16" i="4" a="1"/>
  <c r="CL9" i="4" a="1"/>
  <c r="DS6" i="4" a="1"/>
  <c r="CF6" i="4" a="1"/>
  <c r="BB6" i="4" a="1"/>
  <c r="AD12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U28" i="2"/>
  <c r="E45" i="2"/>
  <c r="C46" i="3"/>
  <c r="AR14" i="3"/>
  <c r="AR29" i="3"/>
  <c r="G22" i="3"/>
  <c r="DO5" i="4" a="1"/>
  <c r="DM5" i="4" a="1"/>
  <c r="BC9" i="4" a="1"/>
  <c r="D11" i="2"/>
  <c r="AA46" i="3"/>
  <c r="AD8" i="3"/>
  <c r="E16" i="3"/>
  <c r="G20" i="3"/>
  <c r="D28" i="3"/>
  <c r="DT7" i="4" a="1"/>
  <c r="BN7" i="4" a="1"/>
  <c r="BV14" i="4" a="1"/>
  <c r="AI16" i="4" a="1"/>
  <c r="DU7" i="4" a="1"/>
  <c r="AD8" i="4" a="1"/>
  <c r="AJ14" i="4" a="1"/>
  <c r="Q12" i="4" a="1"/>
  <c r="CT14" i="4" a="1"/>
  <c r="CG12" i="4" a="1"/>
  <c r="DN9" i="4" a="1"/>
  <c r="U16" i="4" a="1"/>
  <c r="AG15" i="4" a="1"/>
  <c r="AO11" i="4" a="1"/>
  <c r="AC15" i="4" a="1"/>
  <c r="DE12" i="4" a="1"/>
  <c r="AM5" i="4" a="1"/>
  <c r="AF9" i="4" a="1"/>
  <c r="BQ9" i="4" a="1"/>
  <c r="BE7" i="4" a="1"/>
  <c r="BC5" i="4" a="1"/>
  <c r="EI6" i="4" a="1"/>
  <c r="CS15" i="4" a="1"/>
  <c r="EA15" i="4" a="1"/>
  <c r="D15" i="4" a="1"/>
  <c r="CR9" i="4" a="1"/>
  <c r="W12" i="4" a="1"/>
  <c r="AX16" i="4" a="1"/>
  <c r="EJ12" i="4" a="1"/>
  <c r="AW14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J23" i="2"/>
  <c r="W45" i="3"/>
  <c r="F6" i="3"/>
  <c r="AO45" i="3"/>
  <c r="Q46" i="3"/>
  <c r="AK45" i="3"/>
  <c r="AZ14" i="4" a="1"/>
  <c r="EC15" i="4" a="1"/>
  <c r="DH14" i="4" a="1"/>
  <c r="AI14" i="4" a="1"/>
  <c r="AC11" i="4" a="1"/>
  <c r="BO8" i="4" a="1"/>
  <c r="AI11" i="4" a="1"/>
  <c r="C23" i="2"/>
  <c r="G11" i="3"/>
  <c r="E33" i="3"/>
  <c r="AR18" i="3"/>
  <c r="D18" i="3"/>
  <c r="R45" i="3"/>
  <c r="EJ14" i="4" a="1"/>
  <c r="Y5" i="4" a="1"/>
  <c r="BJ12" i="4" a="1"/>
  <c r="BW11" i="4" a="1"/>
  <c r="CR8" i="4" a="1"/>
  <c r="AN8" i="4" a="1"/>
  <c r="BL9" i="4" a="1"/>
  <c r="BG5" i="4" a="1"/>
  <c r="AZ7" i="4" a="1"/>
  <c r="AP9" i="4" a="1"/>
  <c r="AB11" i="4" a="1"/>
  <c r="R6" i="4" a="1"/>
  <c r="CV9" i="4" a="1"/>
  <c r="V14" i="4" a="1"/>
  <c r="AO5" i="4" a="1"/>
  <c r="AI13" i="4" a="1"/>
  <c r="X5" i="4" a="1"/>
  <c r="AX6" i="4" a="1"/>
  <c r="DD9" i="4" a="1"/>
  <c r="EC11" i="4" a="1"/>
  <c r="CP13" i="4" a="1"/>
  <c r="V5" i="4" a="1"/>
  <c r="Q5" i="4" a="1"/>
  <c r="CM7" i="4" a="1"/>
  <c r="EF5" i="4" a="1"/>
  <c r="BG11" i="4" a="1"/>
  <c r="CT12" i="4" a="1"/>
  <c r="D7" i="4" a="1"/>
  <c r="BA7" i="4" a="1"/>
  <c r="BM14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AL9" i="4" a="1"/>
  <c r="AZ11" i="4" a="1"/>
  <c r="AR6" i="4" a="1"/>
  <c r="DN5" i="4" a="1"/>
  <c r="O5" i="4" a="1"/>
  <c r="EG11" i="4" a="1"/>
  <c r="CF5" i="4" a="1"/>
  <c r="BA8" i="4" a="1"/>
  <c r="DS7" i="4" a="1"/>
  <c r="BE16" i="4" a="1"/>
  <c r="DV9" i="4" a="1"/>
  <c r="CX13" i="4" a="1"/>
  <c r="E7" i="4" a="1"/>
  <c r="T14" i="4" a="1"/>
  <c r="Q6" i="4" a="1"/>
  <c r="AT12" i="4" a="1"/>
  <c r="CZ6" i="4" a="1"/>
  <c r="EE7" i="4" a="1"/>
  <c r="N5" i="4" a="1"/>
  <c r="DW8" i="4" a="1"/>
  <c r="BW5" i="4" a="1"/>
  <c r="EH14" i="4" a="1"/>
  <c r="BY12" i="4" a="1"/>
  <c r="CA13" i="4" a="1"/>
  <c r="EH12" i="4" a="1"/>
  <c r="BH11" i="4" a="1"/>
  <c r="BF8" i="4" a="1"/>
  <c r="DK11" i="4" a="1"/>
  <c r="DD15" i="4" a="1"/>
  <c r="CR14" i="4" a="1"/>
  <c r="BQ5" i="4" a="1"/>
  <c r="O13" i="4" a="1"/>
  <c r="E34" i="3"/>
  <c r="CC11" i="4" a="1"/>
  <c r="R7" i="2"/>
  <c r="D24" i="3"/>
  <c r="G18" i="3"/>
  <c r="E12" i="3"/>
  <c r="U46" i="3"/>
  <c r="AR16" i="3"/>
  <c r="AF7" i="4" a="1"/>
  <c r="Z8" i="4" a="1"/>
  <c r="AO12" i="4" a="1"/>
  <c r="BE15" i="4" a="1"/>
  <c r="BV5" i="4" a="1"/>
  <c r="BZ15" i="4" a="1"/>
  <c r="CN11" i="4" a="1"/>
  <c r="BC12" i="4" a="1"/>
  <c r="DH12" i="4" a="1"/>
  <c r="EK15" i="4" a="1"/>
  <c r="AR11" i="4" a="1"/>
  <c r="AD11" i="4" a="1"/>
  <c r="AE16" i="4" a="1"/>
  <c r="DL6" i="4" a="1"/>
  <c r="BT9" i="4" a="1"/>
  <c r="CC8" i="4" a="1"/>
  <c r="DI16" i="4" a="1"/>
  <c r="CI13" i="4" a="1"/>
  <c r="CU9" i="4" a="1"/>
  <c r="DZ12" i="4" a="1"/>
  <c r="AH5" i="4" a="1"/>
  <c r="DF11" i="4" a="1"/>
  <c r="AI8" i="4" a="1"/>
  <c r="AR12" i="4" a="1"/>
  <c r="BP8" i="4" a="1"/>
  <c r="CE6" i="4" a="1"/>
  <c r="BG12" i="4" a="1"/>
  <c r="T12" i="4" a="1"/>
  <c r="BA6" i="4" a="1"/>
  <c r="DW15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M15" i="4" a="1"/>
  <c r="BF16" i="4" a="1"/>
  <c r="CP16" i="4" a="1"/>
  <c r="AR14" i="4" a="1"/>
  <c r="DJ13" i="4" a="1"/>
  <c r="H8" i="4" a="1"/>
  <c r="DH16" i="4" a="1"/>
  <c r="DW9" i="4" a="1"/>
  <c r="AE5" i="4" a="1"/>
  <c r="BL5" i="4" a="1"/>
  <c r="BQ12" i="4" a="1"/>
  <c r="Z12" i="4" a="1"/>
  <c r="CA14" i="4" a="1"/>
  <c r="DB15" i="4" a="1"/>
  <c r="Z14" i="4" a="1"/>
  <c r="AC8" i="4" a="1"/>
  <c r="BW9" i="4" a="1"/>
  <c r="CZ14" i="4" a="1"/>
  <c r="AD14" i="4" a="1"/>
  <c r="BF15" i="4" a="1"/>
  <c r="DN16" i="4" a="1"/>
  <c r="N16" i="4" a="1"/>
  <c r="AW16" i="4" a="1"/>
  <c r="DY15" i="4" a="1"/>
  <c r="BC11" i="4" a="1"/>
  <c r="AR91" i="3"/>
  <c r="G5" i="3"/>
  <c r="G6" i="3"/>
  <c r="G12" i="3"/>
  <c r="D31" i="3"/>
  <c r="AD11" i="3"/>
  <c r="CX7" i="4" a="1"/>
  <c r="BK8" i="4" a="1"/>
  <c r="BX9" i="4" a="1"/>
  <c r="E14" i="4" a="1"/>
  <c r="DT12" i="4" a="1"/>
  <c r="DR16" i="4" a="1"/>
  <c r="DP14" i="4" a="1"/>
  <c r="BW15" i="4" a="1"/>
  <c r="CB13" i="4" a="1"/>
  <c r="EG5" i="4" a="1"/>
  <c r="EA5" i="4" a="1"/>
  <c r="X7" i="4" a="1"/>
  <c r="BS7" i="4" a="1"/>
  <c r="DI8" i="4" a="1"/>
  <c r="CJ9" i="4" a="1"/>
  <c r="CA8" i="4" a="1"/>
  <c r="AC12" i="4" a="1"/>
  <c r="AD5" i="4" a="1"/>
  <c r="C7" i="4" a="1"/>
  <c r="DP11" i="4" a="1"/>
  <c r="BI7" i="4" a="1"/>
  <c r="DK13" i="4" a="1"/>
  <c r="DP12" i="4" a="1"/>
  <c r="ED6" i="4" a="1"/>
  <c r="DA8" i="4" a="1"/>
  <c r="EG6" i="4" a="1"/>
  <c r="DZ6" i="4" a="1"/>
  <c r="DF16" i="4" a="1"/>
  <c r="AU7" i="4" a="1"/>
  <c r="BV16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DK15" i="4" a="1"/>
  <c r="S14" i="4" a="1"/>
  <c r="CP5" i="4" a="1"/>
  <c r="BO7" i="4" a="1"/>
  <c r="CK7" i="4" a="1"/>
  <c r="CB6" i="4" a="1"/>
  <c r="BQ13" i="4" a="1"/>
  <c r="CV16" i="4" a="1"/>
  <c r="H11" i="4" a="1"/>
  <c r="DS15" i="4" a="1"/>
  <c r="L15" i="4" a="1"/>
  <c r="BX15" i="4" a="1"/>
  <c r="DB11" i="4" a="1"/>
  <c r="AO6" i="4" a="1"/>
  <c r="CC9" i="4" a="1"/>
  <c r="AN16" i="4" a="1"/>
  <c r="AN14" i="4" a="1"/>
  <c r="BI11" i="4" a="1"/>
  <c r="EJ9" i="4" a="1"/>
  <c r="AO15" i="4" a="1"/>
  <c r="EG13" i="4" a="1"/>
  <c r="DR13" i="4" a="1"/>
  <c r="DI6" i="4" a="1"/>
  <c r="CM5" i="4" a="1"/>
  <c r="G5" i="4" a="1"/>
  <c r="BM7" i="4" a="1"/>
  <c r="DY13" i="4" a="1"/>
  <c r="CO12" i="4" a="1"/>
  <c r="AQ6" i="4" a="1"/>
  <c r="T11" i="4" a="1"/>
  <c r="EH15" i="4" a="1"/>
  <c r="CE9" i="4" a="1"/>
  <c r="O16" i="4" a="1"/>
  <c r="Q7" i="4" a="1"/>
  <c r="AO8" i="4" a="1"/>
  <c r="CU13" i="4" a="1"/>
  <c r="DE13" i="4" a="1"/>
  <c r="G16" i="4" a="1"/>
  <c r="ED12" i="4" a="1"/>
  <c r="BK14" i="4" a="1"/>
  <c r="CI6" i="4" a="1"/>
  <c r="DA6" i="4" a="1"/>
  <c r="CO11" i="4" a="1"/>
  <c r="BA16" i="4" a="1"/>
  <c r="CS9" i="4" a="1"/>
  <c r="AD18" i="3"/>
  <c r="AR45" i="3"/>
  <c r="F40" i="3"/>
  <c r="EH5" i="4" a="1"/>
  <c r="DA11" i="4" a="1"/>
  <c r="N8" i="2"/>
  <c r="D26" i="3"/>
  <c r="F11" i="3"/>
  <c r="AR26" i="3"/>
  <c r="AR23" i="3"/>
  <c r="F28" i="3"/>
  <c r="DO14" i="4" a="1"/>
  <c r="AK11" i="4" a="1"/>
  <c r="EI16" i="4" a="1"/>
  <c r="BI13" i="4" a="1"/>
  <c r="DK5" i="4" a="1"/>
  <c r="CG16" i="4" a="1"/>
  <c r="DV7" i="4" a="1"/>
  <c r="CF9" i="4" a="1"/>
  <c r="T7" i="4" a="1"/>
  <c r="AH8" i="4" a="1"/>
  <c r="DM15" i="4" a="1"/>
  <c r="DF7" i="4" a="1"/>
  <c r="DO12" i="4" a="1"/>
  <c r="K14" i="4" a="1"/>
  <c r="CD8" i="4" a="1"/>
  <c r="DQ8" i="4" a="1"/>
  <c r="X15" i="4" a="1"/>
  <c r="DL13" i="4" a="1"/>
  <c r="BF12" i="4" a="1"/>
  <c r="AF8" i="4" a="1"/>
  <c r="BO5" i="4" a="1"/>
  <c r="DG5" i="4" a="1"/>
  <c r="CF12" i="4" a="1"/>
  <c r="BU13" i="4" a="1"/>
  <c r="BB16" i="4" a="1"/>
  <c r="BK11" i="4" a="1"/>
  <c r="DP15" i="4" a="1"/>
  <c r="BO13" i="4" a="1"/>
  <c r="DU11" i="4" a="1"/>
  <c r="EJ13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5" i="4" a="1"/>
  <c r="AH11" i="4" a="1"/>
  <c r="BQ6" i="4" a="1"/>
  <c r="AB8" i="4" a="1"/>
  <c r="AM9" i="4" a="1"/>
  <c r="EB14" i="4" a="1"/>
  <c r="CE15" i="4" a="1"/>
  <c r="H13" i="4" a="1"/>
  <c r="BS9" i="4" a="1"/>
  <c r="CQ16" i="4" a="1"/>
  <c r="AM15" i="4" a="1"/>
  <c r="P21" i="2"/>
  <c r="N20" i="2"/>
  <c r="AN45" i="3"/>
  <c r="G10" i="3"/>
  <c r="F15" i="3"/>
  <c r="D14" i="3"/>
  <c r="N9" i="4" a="1"/>
  <c r="BY7" i="4" a="1"/>
  <c r="J8" i="4" a="1"/>
  <c r="CT11" i="4" a="1"/>
  <c r="DE11" i="4" a="1"/>
  <c r="BF7" i="4" a="1"/>
  <c r="BD6" i="4" a="1"/>
  <c r="AB13" i="4" a="1"/>
  <c r="CS14" i="4" a="1"/>
  <c r="S15" i="4" a="1"/>
  <c r="K15" i="4" a="1"/>
  <c r="BE12" i="4" a="1"/>
  <c r="W5" i="4" a="1"/>
  <c r="CS8" i="4" a="1"/>
  <c r="BP11" i="4" a="1"/>
  <c r="AQ15" i="4" a="1"/>
  <c r="CK14" i="4" a="1"/>
  <c r="C8" i="4" a="1"/>
  <c r="DP16" i="4" a="1"/>
  <c r="X8" i="4" a="1"/>
  <c r="EK8" i="4" a="1"/>
  <c r="DN12" i="4" a="1"/>
  <c r="EJ7" i="4" a="1"/>
  <c r="DQ14" i="4" a="1"/>
  <c r="DJ14" i="4" a="1"/>
  <c r="DP5" i="4" a="1"/>
  <c r="CS12" i="4" a="1"/>
  <c r="W8" i="4" a="1"/>
  <c r="BZ11" i="4" a="1"/>
  <c r="DC15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H5" i="2"/>
  <c r="AR40" i="3"/>
  <c r="E36" i="3"/>
  <c r="F21" i="3"/>
  <c r="D46" i="3"/>
  <c r="BO14" i="4" a="1"/>
  <c r="CY15" i="4" a="1"/>
  <c r="EJ5" i="4" a="1"/>
  <c r="J16" i="4" a="1"/>
  <c r="EG12" i="4" a="1"/>
  <c r="DG8" i="4" a="1"/>
  <c r="C15" i="4" a="1"/>
  <c r="CX14" i="4" a="1"/>
  <c r="EI14" i="4" a="1"/>
  <c r="AK14" i="4" a="1"/>
  <c r="BZ5" i="4" a="1"/>
  <c r="CY16" i="4" a="1"/>
  <c r="BK6" i="4" a="1"/>
  <c r="DZ16" i="4" a="1"/>
  <c r="P14" i="4" a="1"/>
  <c r="CN14" i="4" a="1"/>
  <c r="M14" i="4" a="1"/>
  <c r="BO12" i="4" a="1"/>
  <c r="AD7" i="4" a="1"/>
  <c r="BL8" i="4" a="1"/>
  <c r="EA13" i="4" a="1"/>
  <c r="DR11" i="4" a="1"/>
  <c r="AP15" i="4" a="1"/>
  <c r="AZ8" i="4" a="1"/>
  <c r="AY6" i="4" a="1"/>
  <c r="BK15" i="4" a="1"/>
  <c r="AM6" i="4" a="1"/>
  <c r="BJ9" i="4" a="1"/>
  <c r="DQ5" i="4" a="1"/>
  <c r="BC8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J11" i="4" a="1"/>
  <c r="EH11" i="4" a="1"/>
  <c r="U9" i="2"/>
  <c r="AH46" i="3"/>
  <c r="N46" i="3"/>
  <c r="AH45" i="3"/>
  <c r="I45" i="3"/>
  <c r="CI14" i="4" a="1"/>
  <c r="BF9" i="4" a="1"/>
  <c r="AG7" i="4" a="1"/>
  <c r="DK7" i="4" a="1"/>
  <c r="AS6" i="4" a="1"/>
  <c r="AK8" i="4" a="1"/>
  <c r="L9" i="4" a="1"/>
  <c r="CD5" i="4" a="1"/>
  <c r="CN16" i="4" a="1"/>
  <c r="BG8" i="4" a="1"/>
  <c r="BA5" i="4" a="1"/>
  <c r="ED14" i="4" a="1"/>
  <c r="CN8" i="4" a="1"/>
  <c r="V12" i="4" a="1"/>
  <c r="AE7" i="4" a="1"/>
  <c r="DY8" i="4" a="1"/>
  <c r="BI6" i="4" a="1"/>
  <c r="CW7" i="4" a="1"/>
  <c r="DX13" i="4" a="1"/>
  <c r="BH14" i="4" a="1"/>
  <c r="CM6" i="4" a="1"/>
  <c r="AP16" i="4" a="1"/>
  <c r="BY15" i="4" a="1"/>
  <c r="DU5" i="4" a="1"/>
  <c r="DI13" i="4" a="1"/>
  <c r="CN15" i="4" a="1"/>
  <c r="P8" i="4" a="1"/>
  <c r="BX5" i="4" a="1"/>
  <c r="CH14" i="4" a="1"/>
  <c r="I13" i="4" a="1"/>
  <c r="U5" i="4" a="1"/>
  <c r="H6" i="4" a="1"/>
  <c r="BI9" i="4" a="1"/>
  <c r="DF12" i="4" a="1"/>
  <c r="AD16" i="4" a="1"/>
  <c r="K9" i="4" a="1"/>
  <c r="AR13" i="4" a="1"/>
  <c r="CD6" i="4" a="1"/>
  <c r="T6" i="4" a="1"/>
  <c r="J34" i="2"/>
  <c r="D10" i="3"/>
  <c r="AD9" i="3"/>
  <c r="AD16" i="3"/>
  <c r="J45" i="3"/>
  <c r="ED16" i="4" a="1"/>
  <c r="CI7" i="4" a="1"/>
  <c r="AK9" i="4" a="1"/>
  <c r="CB7" i="4" a="1"/>
  <c r="DV5" i="4" a="1"/>
  <c r="BH5" i="4" a="1"/>
  <c r="BZ8" i="4" a="1"/>
  <c r="AF16" i="4" a="1"/>
  <c r="EG14" i="4" a="1"/>
  <c r="DI14" i="4" a="1"/>
  <c r="EE14" i="4" a="1"/>
  <c r="AK13" i="4" a="1"/>
  <c r="BX16" i="4" a="1"/>
  <c r="AQ13" i="4" a="1"/>
  <c r="CV6" i="4" a="1"/>
  <c r="CV12" i="4" a="1"/>
  <c r="BY5" i="4" a="1"/>
  <c r="DX6" i="4" a="1"/>
  <c r="F16" i="4" a="1"/>
  <c r="CF14" i="4" a="1"/>
  <c r="BK12" i="4" a="1"/>
  <c r="X6" i="4" a="1"/>
  <c r="AH15" i="4" a="1"/>
  <c r="EA8" i="4" a="1"/>
  <c r="CA9" i="4" a="1"/>
  <c r="AY12" i="4" a="1"/>
  <c r="BS15" i="4" a="1"/>
  <c r="AE12" i="4" a="1"/>
  <c r="BQ8" i="4" a="1"/>
  <c r="AN11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AW8" i="4" a="1"/>
  <c r="DN7" i="4" a="1"/>
  <c r="Z6" i="4" a="1"/>
  <c r="EG8" i="4" a="1"/>
  <c r="CR7" i="4" a="1"/>
  <c r="EI8" i="4" a="1"/>
  <c r="CW6" i="4" a="1"/>
  <c r="ED8" i="4" a="1"/>
  <c r="R12" i="4" a="1"/>
  <c r="Q15" i="4" a="1"/>
  <c r="AA15" i="4" a="1"/>
  <c r="CU12" i="4" a="1"/>
  <c r="BN5" i="4" a="1"/>
  <c r="AF5" i="4" a="1"/>
  <c r="DI11" i="4" a="1"/>
  <c r="H9" i="4" a="1"/>
  <c r="AT11" i="4" a="1"/>
  <c r="DD14" i="4" a="1"/>
  <c r="BS8" i="4" a="1"/>
  <c r="CL14" i="4" a="1"/>
  <c r="CF7" i="4" a="1"/>
  <c r="DQ16" i="4" a="1"/>
  <c r="AC14" i="4" a="1"/>
  <c r="Y8" i="4" a="1"/>
  <c r="DB16" i="4" a="1"/>
  <c r="BS16" i="4" a="1"/>
  <c r="CP12" i="4" a="1"/>
  <c r="AZ6" i="4" a="1"/>
  <c r="BH16" i="4" a="1"/>
  <c r="BX12" i="4" a="1"/>
  <c r="BU14" i="4" a="1"/>
  <c r="AR9" i="4" a="1"/>
  <c r="BW6" i="4" a="1"/>
  <c r="CR16" i="4" a="1"/>
  <c r="CN12" i="4" a="1"/>
  <c r="AZ13" i="4" a="1"/>
  <c r="BR7" i="4" a="1"/>
  <c r="BZ7" i="4" a="1"/>
  <c r="AJ8" i="4" a="1"/>
  <c r="AV14" i="4" a="1"/>
  <c r="BZ14" i="4" a="1"/>
  <c r="DL12" i="4" a="1"/>
  <c r="X16" i="4" a="1"/>
  <c r="CH5" i="4" a="1"/>
  <c r="CH12" i="4" a="1"/>
  <c r="CL5" i="4" a="1"/>
  <c r="AT9" i="4" a="1"/>
  <c r="AY8" i="4" a="1"/>
  <c r="CL13" i="4" a="1"/>
  <c r="BR9" i="4" a="1"/>
  <c r="X12" i="4" a="1"/>
  <c r="CZ13" i="4" a="1"/>
  <c r="DY12" i="4" a="1"/>
  <c r="H7" i="4" a="1"/>
  <c r="AM16" i="4" a="1"/>
  <c r="G15" i="4" a="1"/>
  <c r="CG13" i="4" a="1"/>
  <c r="CY7" i="4" a="1"/>
  <c r="BG9" i="4" a="1"/>
  <c r="AL14" i="4" a="1"/>
  <c r="AP8" i="4" a="1"/>
  <c r="DL8" i="4" a="1"/>
  <c r="DA5" i="4" a="1"/>
  <c r="AT7" i="4" a="1"/>
  <c r="DW12" i="4" a="1"/>
  <c r="DP13" i="4" a="1"/>
  <c r="BT16" i="4" a="1"/>
  <c r="CZ8" i="4" a="1"/>
  <c r="DO16" i="4" a="1"/>
  <c r="CI8" i="4" a="1"/>
  <c r="CI12" i="4" a="1"/>
  <c r="EF7" i="4" a="1"/>
  <c r="DC11" i="4" a="1"/>
  <c r="EC14" i="4" a="1"/>
  <c r="EE15" i="4" a="1"/>
  <c r="AY16" i="4" a="1"/>
  <c r="BT14" i="4" a="1"/>
  <c r="CD7" i="4" a="1"/>
  <c r="J15" i="4" a="1"/>
  <c r="BZ12" i="4" a="1"/>
  <c r="BG16" i="4" a="1"/>
  <c r="CN6" i="4" a="1"/>
  <c r="DY9" i="4" a="1"/>
  <c r="AO16" i="4" a="1"/>
  <c r="BY6" i="4" a="1"/>
  <c r="AJ11" i="4" a="1"/>
  <c r="W16" i="4" a="1"/>
  <c r="DN11" i="4" a="1"/>
  <c r="AL11" i="4" a="1"/>
  <c r="AX7" i="4" a="1"/>
  <c r="CE12" i="4" a="1"/>
  <c r="AN7" i="4" a="1"/>
  <c r="BK13" i="4" a="1"/>
  <c r="M5" i="4" a="1"/>
  <c r="AY7" i="4" a="1"/>
  <c r="DF13" i="4" a="1"/>
  <c r="F8" i="4" a="1"/>
  <c r="CP8" i="4" a="1"/>
  <c r="Z5" i="4" a="1"/>
  <c r="DL15" i="4" a="1"/>
  <c r="V15" i="4" a="1"/>
  <c r="AA12" i="4" a="1"/>
  <c r="BI5" i="4" a="1"/>
  <c r="DQ11" i="4" a="1"/>
  <c r="DR12" i="4" a="1"/>
  <c r="CJ11" i="4" a="1"/>
  <c r="V6" i="4" a="1"/>
  <c r="DJ16" i="4" a="1"/>
  <c r="BD11" i="4" a="1"/>
  <c r="AL6" i="4" a="1"/>
  <c r="CQ11" i="4" a="1"/>
  <c r="EE6" i="4" a="1"/>
  <c r="CC14" i="4" a="1"/>
  <c r="AU15" i="4" a="1"/>
  <c r="AL7" i="4" a="1"/>
  <c r="BK9" i="4" a="1"/>
  <c r="G9" i="4" a="1"/>
  <c r="CC6" i="4" a="1"/>
  <c r="O9" i="4" a="1"/>
  <c r="DK9" i="4" a="1"/>
  <c r="AP5" i="4" a="1"/>
  <c r="S7" i="4" a="1"/>
  <c r="EA11" i="4" a="1"/>
  <c r="AG13" i="4" a="1"/>
  <c r="CB8" i="4" a="1"/>
  <c r="EK9" i="4" a="1"/>
  <c r="BJ13" i="4" a="1"/>
  <c r="DQ12" i="4" a="1"/>
  <c r="AU9" i="4" a="1"/>
  <c r="CR15" i="4" a="1"/>
  <c r="DW11" i="4" a="1"/>
  <c r="AU6" i="4" a="1"/>
  <c r="BA13" i="4" a="1"/>
  <c r="BU16" i="4" a="1"/>
  <c r="R15" i="4" a="1"/>
  <c r="CE16" i="4" a="1"/>
  <c r="L12" i="4" a="1"/>
  <c r="DJ12" i="4" a="1"/>
  <c r="K13" i="4" a="1"/>
  <c r="DA16" i="4" a="1"/>
  <c r="AC7" i="4" a="1"/>
  <c r="EG15" i="4" a="1"/>
  <c r="AJ6" i="4" a="1"/>
  <c r="Q16" i="4" a="1"/>
  <c r="AH14" i="4" a="1"/>
  <c r="DJ15" i="4" a="1"/>
  <c r="BT11" i="4" a="1"/>
  <c r="EB9" i="4" a="1"/>
  <c r="U13" i="4" a="1"/>
  <c r="DT15" i="4" a="1"/>
  <c r="DS14" i="4" a="1"/>
  <c r="DI12" i="4" a="1"/>
  <c r="BO11" i="4" a="1"/>
  <c r="CK12" i="4" a="1"/>
  <c r="Z11" i="4" a="1"/>
  <c r="DF8" i="4" a="1"/>
  <c r="DA7" i="4" a="1"/>
  <c r="DN6" i="4" a="1"/>
  <c r="AE15" i="4" a="1"/>
  <c r="AV5" i="4" a="1"/>
  <c r="DJ9" i="4" a="1"/>
  <c r="AY13" i="4" a="1"/>
  <c r="BN15" i="4" a="1"/>
  <c r="AF12" i="4" a="1"/>
  <c r="CZ7" i="4" a="1"/>
  <c r="EI7" i="4" a="1"/>
  <c r="CW8" i="4" a="1"/>
  <c r="BO6" i="4" a="1"/>
  <c r="C12" i="4" a="1"/>
  <c r="AA13" i="4" a="1"/>
  <c r="S12" i="4" a="1"/>
  <c r="BD9" i="4" a="1"/>
  <c r="CX8" i="4" a="1"/>
  <c r="CH11" i="4" a="1"/>
  <c r="CC15" i="4" a="1"/>
  <c r="BX11" i="4" a="1"/>
  <c r="S13" i="4" a="1"/>
  <c r="BU5" i="4" a="1"/>
  <c r="CQ9" i="4" a="1"/>
  <c r="DA15" i="4" a="1"/>
  <c r="DM7" i="4" a="1"/>
  <c r="CE11" i="4" a="1"/>
  <c r="D16" i="4" a="1"/>
  <c r="BA14" i="4" a="1"/>
  <c r="AD15" i="4" a="1"/>
  <c r="AF15" i="4" a="1"/>
  <c r="DU12" i="4" a="1"/>
  <c r="CH9" i="4" a="1"/>
  <c r="D8" i="4" a="1"/>
  <c r="DR5" i="4" a="1"/>
  <c r="DC12" i="4" a="1"/>
  <c r="AK7" i="4" a="1"/>
  <c r="AK5" i="4" a="1"/>
  <c r="BV15" i="4" a="1"/>
  <c r="CC13" i="4" a="1"/>
  <c r="D9" i="4" a="1"/>
  <c r="BS14" i="4" a="1"/>
  <c r="EG7" i="4" a="1"/>
  <c r="L16" i="4" a="1"/>
  <c r="BD12" i="4" a="1"/>
  <c r="BC13" i="4" a="1"/>
  <c r="DC13" i="4" a="1"/>
  <c r="K12" i="4" a="1"/>
  <c r="ED11" i="4" a="1"/>
  <c r="DS8" i="4" a="1"/>
  <c r="K6" i="4" a="1"/>
  <c r="CJ14" i="4" a="1"/>
  <c r="CG5" i="4" a="1"/>
  <c r="CU14" i="4" a="1"/>
  <c r="W7" i="4" a="1"/>
  <c r="CR12" i="4" a="1"/>
  <c r="EC5" i="4" a="1"/>
  <c r="DR9" i="4" a="1"/>
  <c r="AI6" i="4" a="1"/>
  <c r="AX12" i="4" a="1"/>
  <c r="DH7" i="4" a="1"/>
  <c r="ED15" i="4" a="1"/>
  <c r="CX9" i="4" a="1"/>
  <c r="S8" i="4" a="1"/>
  <c r="AU14" i="4" a="1"/>
  <c r="DZ15" i="4" a="1"/>
  <c r="EF12" i="4" a="1"/>
  <c r="BG14" i="4" a="1"/>
  <c r="EK6" i="4" a="1"/>
  <c r="BI12" i="4" a="1"/>
  <c r="CP11" i="4" a="1"/>
  <c r="BF6" i="4" a="1"/>
  <c r="Q11" i="4" a="1"/>
  <c r="BN14" i="4" a="1"/>
  <c r="DK8" i="4" a="1"/>
  <c r="N12" i="4" a="1"/>
  <c r="CM9" i="4" a="1"/>
  <c r="CE8" i="4" a="1"/>
  <c r="EI11" i="4" a="1"/>
  <c r="BL15" i="4" a="1"/>
  <c r="AF6" i="4" a="1"/>
  <c r="AP12" i="4" a="1"/>
  <c r="CN5" i="4" a="1"/>
  <c r="DG9" i="4" a="1"/>
  <c r="DB6" i="4" a="1"/>
  <c r="BH8" i="4" a="1"/>
  <c r="CE14" i="4" a="1"/>
  <c r="EK7" i="4" a="1"/>
  <c r="AM13" i="4" a="1"/>
  <c r="CW12" i="4" a="1"/>
  <c r="ED13" i="4" a="1"/>
  <c r="CX11" i="4" a="1"/>
  <c r="I6" i="4" a="1"/>
  <c r="BD7" i="4" a="1"/>
  <c r="E11" i="4" a="1"/>
  <c r="W14" i="4" a="1"/>
  <c r="CV8" i="4" a="1"/>
  <c r="CJ15" i="4" a="1"/>
  <c r="DN13" i="4" a="1"/>
  <c r="S6" i="4" a="1"/>
  <c r="R5" i="4" a="1"/>
  <c r="DC8" i="4" a="1"/>
  <c r="AA7" i="4" a="1"/>
  <c r="P12" i="4" a="1"/>
  <c r="DV8" i="4" a="1"/>
  <c r="BX14" i="4" a="1"/>
  <c r="BS5" i="4" a="1"/>
  <c r="EB7" i="4" a="1"/>
  <c r="DE5" i="4" a="1"/>
  <c r="AI12" i="4" a="1"/>
  <c r="AG12" i="4" a="1"/>
  <c r="EK5" i="4" a="1"/>
  <c r="CO9" i="4" a="1"/>
  <c r="CU8" i="4" a="1"/>
  <c r="T8" i="4" a="1"/>
  <c r="DV15" i="4" a="1"/>
  <c r="AY11" i="4" a="1"/>
  <c r="AT8" i="4" a="1"/>
  <c r="F15" i="4" a="1"/>
  <c r="AL13" i="4" a="1"/>
  <c r="CM15" i="4" a="1"/>
  <c r="EA9" i="4" a="1"/>
  <c r="L11" i="4" a="1"/>
  <c r="CP15" i="4" a="1"/>
  <c r="U8" i="4" a="1"/>
  <c r="DB13" i="4" a="1"/>
  <c r="BR14" i="4" a="1"/>
  <c r="DO15" i="4" a="1"/>
  <c r="DI5" i="4" a="1"/>
  <c r="AT13" i="4" a="1"/>
  <c r="BG6" i="4" a="1"/>
  <c r="EB11" i="4" a="1"/>
  <c r="CC5" i="4" a="1"/>
  <c r="M13" i="4" a="1"/>
  <c r="EF9" i="4" a="1"/>
  <c r="CC7" i="4" a="1"/>
  <c r="BN13" i="4" a="1"/>
  <c r="AM8" i="4" a="1"/>
  <c r="CW16" i="4" a="1"/>
  <c r="CL7" i="4" a="1"/>
  <c r="EF16" i="4" a="1"/>
  <c r="DV11" i="4" a="1"/>
  <c r="AG5" i="4" a="1"/>
  <c r="BD13" i="4" a="1"/>
  <c r="AN6" i="4" a="1"/>
  <c r="CI9" i="4" a="1"/>
  <c r="K5" i="4" a="1"/>
  <c r="K11" i="4" a="1"/>
  <c r="CU11" i="4" a="1"/>
  <c r="U9" i="4" a="1"/>
  <c r="C16" i="4" a="1"/>
  <c r="EI15" i="4" a="1"/>
  <c r="BD15" i="4" a="1"/>
  <c r="BN16" i="4" a="1"/>
  <c r="R11" i="4" a="1"/>
  <c r="AL5" i="4" a="1"/>
  <c r="EE11" i="4" a="1"/>
  <c r="CA12" i="4" a="1"/>
  <c r="BH7" i="4" a="1"/>
  <c r="AT6" i="4" a="1"/>
  <c r="AA16" i="4" a="1"/>
  <c r="D11" i="4" a="1"/>
  <c r="CD15" i="4" a="1"/>
  <c r="CY8" i="4" a="1"/>
  <c r="BO15" i="4" a="1"/>
  <c r="BC14" i="4" a="1"/>
  <c r="BP9" i="4" a="1"/>
  <c r="N11" i="4" a="1"/>
  <c r="AF11" i="4" a="1"/>
  <c r="H5" i="4" a="1"/>
  <c r="CQ7" i="4" a="1"/>
  <c r="EB15" i="4" a="1"/>
  <c r="DA9" i="4" a="1"/>
  <c r="M9" i="4" a="1"/>
  <c r="S9" i="4" a="1"/>
  <c r="S5" i="4" a="1"/>
  <c r="R9" i="4" a="1"/>
  <c r="EH6" i="4" a="1"/>
  <c r="M8" i="4" a="1"/>
  <c r="BH15" i="4" a="1"/>
  <c r="BX7" i="4" a="1"/>
  <c r="BM11" i="4" a="1"/>
  <c r="DE6" i="4" a="1"/>
  <c r="CY5" i="4" a="1"/>
  <c r="EA12" i="4" a="1"/>
  <c r="BA12" i="4" a="1"/>
  <c r="BD8" i="4" a="1"/>
  <c r="DB5" i="4" a="1"/>
  <c r="CK16" i="4" a="1"/>
  <c r="CB11" i="4" a="1"/>
  <c r="EC6" i="4" a="1"/>
  <c r="AA5" i="4" a="1"/>
  <c r="AJ15" i="4" a="1"/>
  <c r="DG6" i="4" a="1"/>
  <c r="DD16" i="4" a="1"/>
  <c r="AW6" i="4" a="1"/>
  <c r="AS12" i="4" a="1"/>
  <c r="BV12" i="4" a="1"/>
  <c r="CA15" i="4" a="1"/>
  <c r="CP14" i="4" a="1"/>
  <c r="DE16" i="4" a="1"/>
  <c r="DL5" i="4" a="1"/>
  <c r="DS5" i="4" a="1"/>
  <c r="G11" i="4" a="1"/>
  <c r="V8" i="4" a="1"/>
  <c r="BP14" i="4" a="1"/>
  <c r="AH7" i="4" a="1"/>
  <c r="CV7" i="4" a="1"/>
  <c r="CZ5" i="4" a="1"/>
  <c r="BY16" i="4" a="1"/>
  <c r="CP6" i="4" a="1"/>
  <c r="EC16" i="4" a="1"/>
  <c r="BA11" i="4" a="1"/>
  <c r="CU7" i="4" a="1"/>
  <c r="CL8" i="4" a="1"/>
  <c r="EE5" i="4" a="1"/>
  <c r="DK12" i="4" a="1"/>
  <c r="AV7" i="4" a="1"/>
  <c r="AV13" i="4" a="1"/>
  <c r="D5" i="4" a="1"/>
  <c r="CQ15" i="4" a="1"/>
  <c r="CT16" i="4" a="1"/>
  <c r="DU14" i="4" a="1"/>
  <c r="EK13" i="4" a="1"/>
  <c r="AX5" i="4" a="1"/>
  <c r="DZ5" i="4" a="1"/>
  <c r="AB6" i="4" a="1"/>
  <c r="G13" i="4" a="1"/>
  <c r="BQ7" i="4" a="1"/>
  <c r="BD14" i="4" a="1"/>
  <c r="EJ15" i="4" a="1"/>
  <c r="BE14" i="4" a="1"/>
  <c r="BK7" i="4" a="1"/>
  <c r="F13" i="4" a="1"/>
  <c r="BC6" i="4" a="1"/>
  <c r="I14" i="4" a="1"/>
  <c r="EG16" i="4" a="1"/>
  <c r="CZ15" i="4" a="1"/>
  <c r="BR13" i="4" a="1"/>
  <c r="EE12" i="4" a="1"/>
  <c r="CT7" i="4" a="1"/>
  <c r="V16" i="4" a="1"/>
  <c r="EH13" i="4" a="1"/>
  <c r="AZ12" i="4" a="1"/>
  <c r="AS15" i="4" a="1"/>
  <c r="BM9" i="4" a="1"/>
  <c r="P6" i="4" a="1"/>
  <c r="U6" i="4" a="1"/>
  <c r="DX11" i="4" a="1"/>
  <c r="DP6" i="4" a="1"/>
  <c r="DR14" i="4" a="1"/>
  <c r="BZ6" i="4" a="1"/>
  <c r="AE9" i="4" a="1"/>
  <c r="DJ8" i="4" a="1"/>
  <c r="E13" i="4" a="1"/>
  <c r="EK14" i="4" a="1"/>
  <c r="AW13" i="4" a="1"/>
  <c r="BE13" i="4" a="1"/>
  <c r="C14" i="4" a="1"/>
  <c r="CA16" i="4" a="1"/>
  <c r="N15" i="4" a="1"/>
  <c r="AS16" i="4" a="1"/>
  <c r="AV6" i="4" a="1"/>
  <c r="DS9" i="4" a="1"/>
  <c r="EE9" i="4" a="1"/>
  <c r="DB9" i="4" a="1"/>
  <c r="CB16" i="4" a="1"/>
  <c r="DU15" i="4" a="1"/>
  <c r="Y15" i="4" a="1"/>
  <c r="S16" i="4" a="1"/>
  <c r="DE7" i="4" a="1"/>
  <c r="J6" i="4" a="1"/>
  <c r="AQ11" i="4" a="1"/>
  <c r="EJ11" i="4" a="1"/>
  <c r="AL16" i="4" a="1"/>
  <c r="DH11" i="4" a="1"/>
  <c r="EJ8" i="4" a="1"/>
  <c r="CG15" i="4" a="1"/>
  <c r="BL6" i="4" a="1"/>
  <c r="DW16" i="4" a="1"/>
  <c r="DV14" i="4" a="1"/>
  <c r="DY11" i="4" a="1"/>
  <c r="Q14" i="4" a="1"/>
  <c r="CH7" i="4" a="1"/>
  <c r="EF13" i="4" a="1"/>
  <c r="CE5" i="4" a="1"/>
  <c r="L5" i="4" a="1"/>
  <c r="DG14" i="4" a="1"/>
  <c r="AB5" i="4" a="1"/>
  <c r="CB12" i="4" a="1"/>
  <c r="EB5" i="4" a="1"/>
  <c r="CV14" i="4" a="1"/>
  <c r="AQ7" i="4" a="1"/>
  <c r="AF13" i="4" a="1"/>
  <c r="CO7" i="4" a="1"/>
  <c r="DA13" i="4" a="1"/>
  <c r="M12" i="4" a="1"/>
  <c r="CJ16" i="4" a="1"/>
  <c r="EC7" i="4" a="1"/>
  <c r="J5" i="4" a="1"/>
  <c r="AV16" i="4" a="1"/>
  <c r="O6" i="4" a="1"/>
  <c r="CQ8" i="4" a="1"/>
  <c r="DO6" i="4" a="1"/>
  <c r="BP5" i="4" a="1"/>
  <c r="EI12" i="4" a="1"/>
  <c r="CH15" i="4" a="1"/>
  <c r="AU5" i="4" a="1"/>
  <c r="BJ15" i="4" a="1"/>
  <c r="BB11" i="4" a="1"/>
  <c r="DM16" i="4" a="1"/>
  <c r="CQ5" i="4" a="1"/>
  <c r="DX9" i="4" a="1"/>
  <c r="BB5" i="4" a="1"/>
  <c r="CO5" i="4" a="1"/>
  <c r="DJ7" i="4" a="1"/>
  <c r="H12" i="4" a="1"/>
  <c r="DR8" i="4" a="1"/>
  <c r="AY14" i="4" a="1"/>
  <c r="M11" i="4" a="1"/>
  <c r="AH6" i="4" a="1"/>
  <c r="CD13" i="4" a="1"/>
  <c r="T13" i="4" a="1"/>
  <c r="DM14" i="4" a="1"/>
  <c r="DO13" i="4" a="1"/>
  <c r="BG13" i="4" a="1"/>
  <c r="BB7" i="4" a="1"/>
  <c r="BH13" i="4" a="1"/>
  <c r="AY15" i="4" a="1"/>
  <c r="L8" i="4" a="1"/>
  <c r="AH16" i="4" a="1"/>
  <c r="CU15" i="4" a="1"/>
  <c r="DC6" i="4" a="1"/>
  <c r="N8" i="4" a="1"/>
  <c r="AE13" i="4" a="1"/>
  <c r="EF6" i="4" a="1"/>
  <c r="DX16" i="4" a="1"/>
  <c r="P13" i="4" a="1"/>
  <c r="P15" i="4" a="1"/>
  <c r="EK11" i="4" a="1"/>
  <c r="BP13" i="4" a="1"/>
  <c r="DF5" i="4" a="1"/>
  <c r="R14" i="4" a="1"/>
  <c r="DG11" i="4" a="1"/>
  <c r="BD5" i="4" a="1"/>
  <c r="Y6" i="4" a="1"/>
  <c r="AI5" i="4" a="1"/>
  <c r="EI9" i="4" a="1"/>
  <c r="DX8" i="4" a="1"/>
  <c r="BV11" i="4" a="1"/>
  <c r="CS5" i="4" a="1"/>
  <c r="EB16" i="4" a="1"/>
  <c r="CQ14" i="4" a="1"/>
  <c r="CX6" i="4" a="1"/>
  <c r="O7" i="4" a="1"/>
  <c r="CM13" i="4" a="1"/>
  <c r="AU13" i="4" a="1"/>
  <c r="AP11" i="4" a="1"/>
  <c r="DY14" i="4" a="1"/>
  <c r="AJ9" i="4" a="1"/>
  <c r="EA7" i="4" a="1"/>
  <c r="AO9" i="4" a="1"/>
  <c r="BC16" i="4" a="1"/>
  <c r="AV11" i="4" a="1"/>
  <c r="R8" i="4" a="1"/>
  <c r="CF13" i="4" a="1"/>
  <c r="DZ13" i="4" a="1"/>
  <c r="CD11" i="4" a="1"/>
  <c r="X14" i="4" a="1"/>
  <c r="DW13" i="4" a="1"/>
  <c r="BL7" i="4" a="1"/>
  <c r="BN8" i="4" a="1"/>
  <c r="BB12" i="4" a="1"/>
  <c r="O12" i="4" a="1"/>
  <c r="G8" i="4" a="1"/>
  <c r="AR7" i="4" a="1"/>
  <c r="F14" i="4" a="1"/>
  <c r="CZ11" i="4" a="1"/>
  <c r="DI9" i="4" a="1"/>
  <c r="DY7" i="4" a="1"/>
  <c r="F5" i="4" a="1"/>
  <c r="AQ14" i="4" a="1"/>
  <c r="BW8" i="4" a="1"/>
  <c r="BR16" i="4" a="1"/>
  <c r="O15" i="4" a="1"/>
  <c r="BQ14" i="4" a="1"/>
  <c r="EB13" i="4" a="1"/>
  <c r="CW15" i="4" a="1"/>
  <c r="BW14" i="4" a="1"/>
  <c r="Y13" i="4" a="1"/>
  <c r="AE8" i="4" a="1"/>
  <c r="BI8" i="4" a="1"/>
  <c r="AG6" i="4" a="1"/>
  <c r="BK16" i="4" a="1"/>
  <c r="Q9" i="4" a="1"/>
  <c r="DS11" i="4" a="1"/>
  <c r="DV13" i="4" a="1"/>
  <c r="EA14" i="4" a="1"/>
  <c r="P5" i="4" a="1"/>
  <c r="N6" i="4" a="1"/>
  <c r="EG9" i="4" a="1"/>
  <c r="AB7" i="4" a="1"/>
  <c r="O14" i="4" a="1"/>
  <c r="AP6" i="4" a="1"/>
  <c r="CY11" i="4" a="1"/>
  <c r="CO8" i="4" a="1"/>
  <c r="EI13" i="4" a="1"/>
  <c r="AS7" i="4" a="1"/>
  <c r="BU15" i="4" a="1"/>
  <c r="DO7" i="4" a="1"/>
  <c r="DE9" i="4" a="1"/>
  <c r="DT8" i="4" a="1"/>
  <c r="CC12" i="4" a="1"/>
  <c r="BP6" i="4" a="1"/>
  <c r="E71" i="3"/>
  <c r="E58" i="3"/>
  <c r="G79" i="3"/>
  <c r="E86" i="3"/>
  <c r="F81" i="3"/>
  <c r="G91" i="3"/>
  <c r="E92" i="3"/>
  <c r="G70" i="3"/>
  <c r="F63" i="3"/>
  <c r="G60" i="3"/>
  <c r="E63" i="3"/>
  <c r="G94" i="3"/>
  <c r="E55" i="3"/>
  <c r="F66" i="3"/>
  <c r="F88" i="3"/>
  <c r="E78" i="3"/>
  <c r="F83" i="3"/>
  <c r="G74" i="3"/>
  <c r="F94" i="3"/>
  <c r="F69" i="3"/>
  <c r="F82" i="3"/>
  <c r="G89" i="3"/>
  <c r="F95" i="3"/>
  <c r="E95" i="3"/>
  <c r="G64" i="3"/>
  <c r="F80" i="3"/>
  <c r="G57" i="3"/>
  <c r="E59" i="3"/>
  <c r="F54" i="3"/>
  <c r="G97" i="3"/>
  <c r="E88" i="3"/>
  <c r="G61" i="3"/>
  <c r="G84" i="3"/>
  <c r="G59" i="3"/>
  <c r="G92" i="3"/>
  <c r="F97" i="3"/>
  <c r="F79" i="3"/>
  <c r="F89" i="3"/>
  <c r="G54" i="3"/>
  <c r="E74" i="3"/>
  <c r="G63" i="3"/>
  <c r="G81" i="3"/>
  <c r="E65" i="3"/>
  <c r="G95" i="3"/>
  <c r="E80" i="3"/>
  <c r="E77" i="3"/>
  <c r="G58" i="3"/>
  <c r="F55" i="3"/>
  <c r="G69" i="3"/>
  <c r="G96" i="3"/>
  <c r="G73" i="3"/>
  <c r="F73" i="3"/>
  <c r="G93" i="3"/>
  <c r="F87" i="3"/>
  <c r="G85" i="3"/>
  <c r="E72" i="3"/>
  <c r="F96" i="3"/>
  <c r="F48" i="3"/>
  <c r="F50" i="3"/>
  <c r="F70" i="3"/>
  <c r="E90" i="3"/>
  <c r="F85" i="3"/>
  <c r="F57" i="3"/>
  <c r="F90" i="3"/>
  <c r="F84" i="3"/>
  <c r="G75" i="3"/>
  <c r="F47" i="3"/>
  <c r="F72" i="3"/>
  <c r="F68" i="3"/>
  <c r="G62" i="3"/>
  <c r="F92" i="3"/>
  <c r="G90" i="3"/>
  <c r="E60" i="3"/>
  <c r="F75" i="3"/>
  <c r="F78" i="3"/>
  <c r="E84" i="3"/>
  <c r="E56" i="3"/>
  <c r="G83" i="3"/>
  <c r="E54" i="3"/>
  <c r="F93" i="3"/>
  <c r="G65" i="3"/>
  <c r="E85" i="3"/>
  <c r="F56" i="3"/>
  <c r="F71" i="3"/>
  <c r="E82" i="3"/>
  <c r="G86" i="3"/>
  <c r="G71" i="3"/>
  <c r="E83" i="3"/>
  <c r="E96" i="3"/>
  <c r="E76" i="3"/>
  <c r="E91" i="3"/>
  <c r="E89" i="3"/>
  <c r="F60" i="3"/>
  <c r="F49" i="3"/>
  <c r="G80" i="3"/>
  <c r="F91" i="3"/>
  <c r="F61" i="3"/>
  <c r="G76" i="3"/>
  <c r="F76" i="3"/>
  <c r="E93" i="3"/>
  <c r="F65" i="3"/>
  <c r="G68" i="3"/>
  <c r="F67" i="3"/>
  <c r="G55" i="3"/>
  <c r="E57" i="3"/>
  <c r="G67" i="3"/>
  <c r="F58" i="3"/>
  <c r="G56" i="3"/>
  <c r="G87" i="3"/>
  <c r="G88" i="3"/>
  <c r="F77" i="3"/>
  <c r="G78" i="3"/>
  <c r="E97" i="3"/>
  <c r="F62" i="3"/>
  <c r="G77" i="3"/>
  <c r="E81" i="3"/>
  <c r="F86" i="3"/>
  <c r="G82" i="3"/>
  <c r="G72" i="3"/>
  <c r="F74" i="3"/>
  <c r="F64" i="3"/>
  <c r="G66" i="3"/>
  <c r="F59" i="3"/>
  <c r="E87" i="3" l="1"/>
  <c r="E62" i="3"/>
  <c r="E73" i="3"/>
  <c r="E67" i="3"/>
  <c r="E69" i="3"/>
  <c r="E66" i="3"/>
  <c r="E61" i="3"/>
  <c r="E70" i="3"/>
  <c r="E79" i="3"/>
  <c r="E68" i="3"/>
  <c r="E94" i="3"/>
  <c r="E75" i="3"/>
  <c r="E64" i="3"/>
  <c r="CM65" i="1"/>
  <c r="CN63" i="1"/>
  <c r="CP77" i="1"/>
  <c r="II16" i="4"/>
  <c r="HZ9" i="4" s="1"/>
  <c r="JF16" i="4" s="1"/>
  <c r="JA16" i="4" s="1"/>
  <c r="ID16" i="4" s="1"/>
  <c r="JG9" i="4" s="1"/>
  <c r="JC9" i="4" s="1"/>
  <c r="IC16" i="4" s="1"/>
  <c r="IX16" i="4" s="1"/>
  <c r="HT9" i="4" s="1"/>
  <c r="IW9" i="4" s="1"/>
  <c r="HW16" i="4" s="1"/>
  <c r="IJ16" i="4" s="1"/>
  <c r="HU9" i="4" s="1"/>
  <c r="IQ9" i="4" s="1"/>
  <c r="IS9" i="4" s="1"/>
  <c r="IY9" i="4" s="1"/>
  <c r="IV9" i="4" s="1"/>
  <c r="HR16" i="4" s="1"/>
  <c r="IV8" i="4" s="1"/>
  <c r="IZ9" i="4" s="1"/>
  <c r="JF9" i="4" s="1"/>
  <c r="IW16" i="4" s="1"/>
  <c r="JI9" i="4" s="1"/>
  <c r="HS9" i="4" s="1"/>
  <c r="II9" i="4" s="1"/>
  <c r="IZ16" i="4" s="1"/>
  <c r="JE9" i="4" s="1"/>
  <c r="IE16" i="4" s="1"/>
  <c r="IL16" i="4" s="1"/>
  <c r="IA16" i="4" s="1"/>
  <c r="D57" i="3"/>
  <c r="AJ118" i="1" s="1"/>
  <c r="AK118" i="1" s="1"/>
  <c r="AD86" i="3"/>
  <c r="D74" i="3"/>
  <c r="AJ137" i="1" s="1"/>
  <c r="AK137" i="1" s="1"/>
  <c r="AD82" i="3"/>
  <c r="BJ145" i="1" s="1"/>
  <c r="D71" i="3"/>
  <c r="D65" i="3"/>
  <c r="AJ150" i="1" s="1"/>
  <c r="AK150" i="1" s="1"/>
  <c r="AD75" i="3"/>
  <c r="D63" i="3"/>
  <c r="AJ125" i="1" s="1"/>
  <c r="AK125" i="1" s="1"/>
  <c r="AD93" i="3"/>
  <c r="AD55" i="3"/>
  <c r="D96" i="3"/>
  <c r="AJ163" i="1" s="1"/>
  <c r="AK163" i="1" s="1"/>
  <c r="AD90" i="3"/>
  <c r="BJ126" i="1" s="1"/>
  <c r="BK126" i="1" s="1"/>
  <c r="D94" i="3"/>
  <c r="AD89" i="3"/>
  <c r="BJ153" i="1" s="1"/>
  <c r="AD97" i="3"/>
  <c r="D56" i="3"/>
  <c r="AJ117" i="1" s="1"/>
  <c r="AK117" i="1" s="1"/>
  <c r="D81" i="3"/>
  <c r="AJ144" i="1" s="1"/>
  <c r="AD68" i="3"/>
  <c r="BJ131" i="1" s="1"/>
  <c r="AD62" i="3"/>
  <c r="BJ124" i="1" s="1"/>
  <c r="BK124" i="1" s="1"/>
  <c r="AD59" i="3"/>
  <c r="AD64" i="3"/>
  <c r="BJ149" i="1" s="1"/>
  <c r="AD96" i="3"/>
  <c r="BJ163" i="1" s="1"/>
  <c r="BK163" i="1" s="1"/>
  <c r="AD94" i="3"/>
  <c r="D60" i="3"/>
  <c r="AJ122" i="1" s="1"/>
  <c r="AK122" i="1" s="1"/>
  <c r="D93" i="3"/>
  <c r="AD79" i="3"/>
  <c r="BJ143" i="1" s="1"/>
  <c r="D91" i="3"/>
  <c r="AJ154" i="1" s="1"/>
  <c r="AK154" i="1" s="1"/>
  <c r="AD67" i="3"/>
  <c r="AD87" i="3"/>
  <c r="BJ152" i="1" s="1"/>
  <c r="BK152" i="1" s="1"/>
  <c r="D62" i="3"/>
  <c r="AJ124" i="1" s="1"/>
  <c r="AK124" i="1" s="1"/>
  <c r="AD65" i="3"/>
  <c r="BJ150" i="1" s="1"/>
  <c r="BK150" i="1" s="1"/>
  <c r="D59" i="3"/>
  <c r="D92" i="3"/>
  <c r="AJ155" i="1" s="1"/>
  <c r="AK155" i="1" s="1"/>
  <c r="AD57" i="3"/>
  <c r="BJ118" i="1" s="1"/>
  <c r="BK118" i="1" s="1"/>
  <c r="D54" i="3"/>
  <c r="D70" i="3"/>
  <c r="AJ133" i="1" s="1"/>
  <c r="AD92" i="3"/>
  <c r="BJ155" i="1" s="1"/>
  <c r="BK155" i="1" s="1"/>
  <c r="AD78" i="3"/>
  <c r="BJ142" i="1" s="1"/>
  <c r="BK142" i="1" s="1"/>
  <c r="AD83" i="3"/>
  <c r="BJ160" i="1" s="1"/>
  <c r="D69" i="3"/>
  <c r="AJ132" i="1" s="1"/>
  <c r="AD84" i="3"/>
  <c r="BJ146" i="1" s="1"/>
  <c r="BK146" i="1" s="1"/>
  <c r="AD69" i="3"/>
  <c r="BJ132" i="1" s="1"/>
  <c r="AD85" i="3"/>
  <c r="BJ147" i="1" s="1"/>
  <c r="BK147" i="1" s="1"/>
  <c r="AD88" i="3"/>
  <c r="BJ127" i="1" s="1"/>
  <c r="BK127" i="1" s="1"/>
  <c r="D95" i="3"/>
  <c r="AJ164" i="1" s="1"/>
  <c r="AK164" i="1" s="1"/>
  <c r="D66" i="3"/>
  <c r="AJ151" i="1" s="1"/>
  <c r="AK151" i="1" s="1"/>
  <c r="AD73" i="3"/>
  <c r="D84" i="3"/>
  <c r="AJ146" i="1" s="1"/>
  <c r="AK146" i="1" s="1"/>
  <c r="AD80" i="3"/>
  <c r="BJ159" i="1" s="1"/>
  <c r="AD66" i="3"/>
  <c r="BJ151" i="1" s="1"/>
  <c r="BK151" i="1" s="1"/>
  <c r="D87" i="3"/>
  <c r="AJ152" i="1" s="1"/>
  <c r="AK152" i="1" s="1"/>
  <c r="D97" i="3"/>
  <c r="D90" i="3"/>
  <c r="AJ126" i="1" s="1"/>
  <c r="AK126" i="1" s="1"/>
  <c r="D61" i="3"/>
  <c r="D80" i="3"/>
  <c r="AJ159" i="1" s="1"/>
  <c r="D68" i="3"/>
  <c r="AJ131" i="1" s="1"/>
  <c r="AD72" i="3"/>
  <c r="BJ135" i="1" s="1"/>
  <c r="BK135" i="1" s="1"/>
  <c r="D88" i="3"/>
  <c r="AJ127" i="1" s="1"/>
  <c r="AK127" i="1" s="1"/>
  <c r="AD56" i="3"/>
  <c r="BJ117" i="1" s="1"/>
  <c r="AD61" i="3"/>
  <c r="D79" i="3"/>
  <c r="AJ143" i="1" s="1"/>
  <c r="AK143" i="1" s="1"/>
  <c r="D55" i="3"/>
  <c r="AD77" i="3"/>
  <c r="BJ140" i="1" s="1"/>
  <c r="BK140" i="1" s="1"/>
  <c r="BL202" i="1" s="1"/>
  <c r="D72" i="3"/>
  <c r="AJ135" i="1" s="1"/>
  <c r="AK135" i="1" s="1"/>
  <c r="D67" i="3"/>
  <c r="AD63" i="3"/>
  <c r="BJ125" i="1" s="1"/>
  <c r="BK125" i="1" s="1"/>
  <c r="AD58" i="3"/>
  <c r="BJ119" i="1" s="1"/>
  <c r="D86" i="3"/>
  <c r="AD74" i="3"/>
  <c r="BJ137" i="1" s="1"/>
  <c r="BK137" i="1" s="1"/>
  <c r="D76" i="3"/>
  <c r="D78" i="3"/>
  <c r="AJ142" i="1" s="1"/>
  <c r="AK142" i="1" s="1"/>
  <c r="AD71" i="3"/>
  <c r="D58" i="3"/>
  <c r="AJ119" i="1" s="1"/>
  <c r="AD76" i="3"/>
  <c r="AD81" i="3"/>
  <c r="BJ144" i="1" s="1"/>
  <c r="D82" i="3"/>
  <c r="AJ145" i="1" s="1"/>
  <c r="AD95" i="3"/>
  <c r="BJ164" i="1" s="1"/>
  <c r="AD91" i="3"/>
  <c r="BJ154" i="1" s="1"/>
  <c r="BK154" i="1" s="1"/>
  <c r="D85" i="3"/>
  <c r="AJ147" i="1" s="1"/>
  <c r="AK147" i="1" s="1"/>
  <c r="AD60" i="3"/>
  <c r="BJ122" i="1" s="1"/>
  <c r="BK122" i="1" s="1"/>
  <c r="D73" i="3"/>
  <c r="AD70" i="3"/>
  <c r="BJ133" i="1" s="1"/>
  <c r="D83" i="3"/>
  <c r="AJ160" i="1" s="1"/>
  <c r="AD54" i="3"/>
  <c r="D75" i="3"/>
  <c r="D89" i="3"/>
  <c r="AJ153" i="1" s="1"/>
  <c r="D77" i="3"/>
  <c r="AJ140" i="1" s="1"/>
  <c r="AK140" i="1" s="1"/>
  <c r="D64" i="3"/>
  <c r="AJ149" i="1" s="1"/>
  <c r="AK149" i="1" s="1"/>
  <c r="BJ20" i="1"/>
  <c r="AJ13" i="1"/>
  <c r="HX16" i="4" s="1"/>
  <c r="IB16" i="4" s="1"/>
  <c r="AL22" i="1"/>
  <c r="JB16" i="4" s="1"/>
  <c r="AJ23" i="1"/>
  <c r="AL24" i="1"/>
  <c r="AM13" i="1"/>
  <c r="IA9" i="4" s="1"/>
  <c r="AL32" i="1"/>
  <c r="AL194" i="1" s="1"/>
  <c r="BX35" i="1"/>
  <c r="BX47" i="1"/>
  <c r="AL15" i="1"/>
  <c r="AJ47" i="1"/>
  <c r="BJ25" i="1"/>
  <c r="IB8" i="4" s="1"/>
  <c r="HS16" i="4" s="1"/>
  <c r="IO9" i="4" s="1"/>
  <c r="IK16" i="4" s="1"/>
  <c r="BJ15" i="1"/>
  <c r="AM14" i="1"/>
  <c r="AM8" i="1"/>
  <c r="BX154" i="1"/>
  <c r="BY154" i="1" s="1"/>
  <c r="IM9" i="4" s="1"/>
  <c r="HP15" i="4" s="1"/>
  <c r="JC16" i="4" s="1"/>
  <c r="BX20" i="1"/>
  <c r="AK14" i="1"/>
  <c r="AM25" i="1"/>
  <c r="Q9" i="1"/>
  <c r="AK45" i="1"/>
  <c r="JD9" i="4" s="1"/>
  <c r="IG16" i="4" s="1"/>
  <c r="IF9" i="4" s="1"/>
  <c r="HY16" i="4" s="1"/>
  <c r="IX9" i="4" s="1"/>
  <c r="IB9" i="4" s="1"/>
  <c r="AJ25" i="1"/>
  <c r="BX25" i="1"/>
  <c r="AM15" i="1"/>
  <c r="B35" i="1"/>
  <c r="AL8" i="1"/>
  <c r="AL231" i="1" s="1"/>
  <c r="I35" i="1"/>
  <c r="IJ9" i="4" s="1"/>
  <c r="IE14" i="4" s="1"/>
  <c r="IT9" i="4" s="1"/>
  <c r="IK9" i="4" s="1"/>
  <c r="HU16" i="4" s="1"/>
  <c r="HU21" i="4" s="1"/>
  <c r="AO77" i="1" s="1"/>
  <c r="AJ32" i="1"/>
  <c r="AJ194" i="1" s="1"/>
  <c r="AM9" i="1"/>
  <c r="AK20" i="1"/>
  <c r="C13" i="1"/>
  <c r="BX39" i="1"/>
  <c r="BX23" i="1"/>
  <c r="D122" i="1"/>
  <c r="AL46" i="1"/>
  <c r="AL47" i="1"/>
  <c r="AJ46" i="1"/>
  <c r="BX32" i="1"/>
  <c r="BX194" i="1" s="1"/>
  <c r="AK39" i="1"/>
  <c r="AJ8" i="1"/>
  <c r="AJ231" i="1" s="1"/>
  <c r="AK51" i="1"/>
  <c r="AJ24" i="1"/>
  <c r="AK9" i="1"/>
  <c r="AK47" i="1"/>
  <c r="AK36" i="1"/>
  <c r="B39" i="1"/>
  <c r="W47" i="1"/>
  <c r="BX164" i="1"/>
  <c r="BY164" i="1" s="1"/>
  <c r="S13" i="1"/>
  <c r="O36" i="1"/>
  <c r="B20" i="1"/>
  <c r="D35" i="1"/>
  <c r="K8" i="1"/>
  <c r="F13" i="1"/>
  <c r="O45" i="1"/>
  <c r="G13" i="1"/>
  <c r="E22" i="1"/>
  <c r="C46" i="1"/>
  <c r="G32" i="1"/>
  <c r="G194" i="1" s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E231" i="1" s="1"/>
  <c r="Q46" i="1"/>
  <c r="J46" i="1"/>
  <c r="P127" i="1"/>
  <c r="C45" i="1"/>
  <c r="M13" i="1"/>
  <c r="F21" i="1"/>
  <c r="C22" i="1"/>
  <c r="W22" i="1"/>
  <c r="S51" i="1"/>
  <c r="BX73" i="1"/>
  <c r="I21" i="1"/>
  <c r="S8" i="1"/>
  <c r="S231" i="1" s="1"/>
  <c r="B25" i="1"/>
  <c r="V23" i="1"/>
  <c r="M8" i="1"/>
  <c r="S20" i="1"/>
  <c r="M9" i="1"/>
  <c r="W32" i="1"/>
  <c r="N13" i="1"/>
  <c r="O8" i="1"/>
  <c r="G8" i="1"/>
  <c r="K45" i="1"/>
  <c r="I36" i="1"/>
  <c r="S39" i="1"/>
  <c r="I23" i="1"/>
  <c r="E51" i="1"/>
  <c r="J35" i="1"/>
  <c r="F46" i="1"/>
  <c r="P39" i="1"/>
  <c r="K15" i="1"/>
  <c r="R36" i="1"/>
  <c r="L25" i="1"/>
  <c r="T15" i="1"/>
  <c r="JD16" i="4" s="1"/>
  <c r="JD21" i="4" s="1"/>
  <c r="BX77" i="1" s="1"/>
  <c r="BX46" i="1"/>
  <c r="BX13" i="1"/>
  <c r="AM35" i="1"/>
  <c r="AM22" i="1"/>
  <c r="BX24" i="1"/>
  <c r="AM23" i="1"/>
  <c r="AL14" i="1"/>
  <c r="AL36" i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N10" i="1" s="1"/>
  <c r="J13" i="1"/>
  <c r="P25" i="1"/>
  <c r="T22" i="1"/>
  <c r="E24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AJ9" i="1"/>
  <c r="AM24" i="1"/>
  <c r="BJ24" i="1"/>
  <c r="AL9" i="1"/>
  <c r="U23" i="1"/>
  <c r="J23" i="1"/>
  <c r="C20" i="1"/>
  <c r="J32" i="1"/>
  <c r="J20" i="1"/>
  <c r="E45" i="1"/>
  <c r="Q22" i="1"/>
  <c r="T46" i="1"/>
  <c r="I13" i="1"/>
  <c r="BX122" i="1"/>
  <c r="BY122" i="1" s="1"/>
  <c r="U13" i="1"/>
  <c r="Q32" i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W98" i="1" s="1"/>
  <c r="IR9" i="4" s="1"/>
  <c r="IY16" i="4" s="1"/>
  <c r="IE9" i="4" s="1"/>
  <c r="IN9" i="4" s="1"/>
  <c r="IP16" i="4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HY9" i="4" s="1"/>
  <c r="AK24" i="1"/>
  <c r="BX8" i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U9" i="1"/>
  <c r="U10" i="1" s="1"/>
  <c r="V11" i="1" s="1"/>
  <c r="G47" i="1"/>
  <c r="W20" i="1"/>
  <c r="R32" i="1"/>
  <c r="I25" i="1"/>
  <c r="H32" i="1"/>
  <c r="W46" i="1"/>
  <c r="IO16" i="4" s="1"/>
  <c r="IO21" i="4" s="1"/>
  <c r="BI77" i="1" s="1"/>
  <c r="IG8" i="4" s="1"/>
  <c r="JH16" i="4" s="1"/>
  <c r="BJ8" i="1"/>
  <c r="BJ231" i="1" s="1"/>
  <c r="AL35" i="1"/>
  <c r="BX9" i="1"/>
  <c r="AJ35" i="1"/>
  <c r="AK8" i="1"/>
  <c r="AJ21" i="1"/>
  <c r="AJ26" i="1" s="1"/>
  <c r="BX22" i="1"/>
  <c r="AL25" i="1"/>
  <c r="BX151" i="1"/>
  <c r="BY151" i="1" s="1"/>
  <c r="R13" i="1"/>
  <c r="U32" i="1"/>
  <c r="U194" i="1" s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D231" i="1" s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G15" i="1"/>
  <c r="C8" i="1"/>
  <c r="C231" i="1" s="1"/>
  <c r="V36" i="1"/>
  <c r="V252" i="1" s="1"/>
  <c r="AL155" i="1"/>
  <c r="AM155" i="1" s="1"/>
  <c r="AL74" i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AL135" i="1"/>
  <c r="AM135" i="1" s="1"/>
  <c r="AL133" i="1"/>
  <c r="AL163" i="1"/>
  <c r="AM163" i="1" s="1"/>
  <c r="AL151" i="1"/>
  <c r="AM151" i="1" s="1"/>
  <c r="AL122" i="1"/>
  <c r="AM122" i="1" s="1"/>
  <c r="AL153" i="1"/>
  <c r="AL146" i="1"/>
  <c r="AM146" i="1" s="1"/>
  <c r="AL152" i="1"/>
  <c r="AM152" i="1" s="1"/>
  <c r="AL159" i="1"/>
  <c r="AL144" i="1"/>
  <c r="AL154" i="1"/>
  <c r="AM154" i="1" s="1"/>
  <c r="AL117" i="1"/>
  <c r="AM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AL140" i="1"/>
  <c r="AM140" i="1" s="1"/>
  <c r="AM202" i="1" s="1"/>
  <c r="AL137" i="1"/>
  <c r="AM137" i="1" s="1"/>
  <c r="AL143" i="1"/>
  <c r="IF7" i="4"/>
  <c r="IN7" i="4"/>
  <c r="HV14" i="4"/>
  <c r="IZ7" i="4"/>
  <c r="JF15" i="4"/>
  <c r="IX14" i="4"/>
  <c r="HZ14" i="4"/>
  <c r="HP8" i="4"/>
  <c r="IO15" i="4"/>
  <c r="JA7" i="4"/>
  <c r="HY7" i="4"/>
  <c r="JG14" i="4"/>
  <c r="HU8" i="4"/>
  <c r="IB15" i="4"/>
  <c r="IL14" i="4"/>
  <c r="IK15" i="4"/>
  <c r="JI8" i="4"/>
  <c r="JE8" i="4"/>
  <c r="HU14" i="4"/>
  <c r="IN14" i="4"/>
  <c r="IE8" i="4"/>
  <c r="HZ15" i="4"/>
  <c r="IT15" i="4"/>
  <c r="IZ14" i="4"/>
  <c r="IW15" i="4"/>
  <c r="IO14" i="4"/>
  <c r="IZ8" i="4"/>
  <c r="IA8" i="4"/>
  <c r="HT14" i="4"/>
  <c r="IO7" i="4"/>
  <c r="IK7" i="4"/>
  <c r="IZ15" i="4"/>
  <c r="IY7" i="4"/>
  <c r="IG14" i="4"/>
  <c r="HY15" i="4"/>
  <c r="IY8" i="4"/>
  <c r="IH8" i="4"/>
  <c r="IV7" i="4"/>
  <c r="HU7" i="4"/>
  <c r="HX15" i="4"/>
  <c r="II14" i="4"/>
  <c r="IJ14" i="4"/>
  <c r="ID14" i="4"/>
  <c r="IE15" i="4"/>
  <c r="HS15" i="4"/>
  <c r="HP7" i="4"/>
  <c r="ID7" i="4"/>
  <c r="HW7" i="4"/>
  <c r="JH8" i="4"/>
  <c r="HZ8" i="4"/>
  <c r="IC7" i="4"/>
  <c r="IR15" i="4"/>
  <c r="JA15" i="4"/>
  <c r="HW14" i="4"/>
  <c r="HQ7" i="4"/>
  <c r="HT15" i="4"/>
  <c r="JB7" i="4"/>
  <c r="IT8" i="4"/>
  <c r="IQ14" i="4"/>
  <c r="IU7" i="4"/>
  <c r="IT7" i="4"/>
  <c r="IP14" i="4"/>
  <c r="IH7" i="4"/>
  <c r="IK14" i="4"/>
  <c r="JF14" i="4"/>
  <c r="IF8" i="4"/>
  <c r="IP7" i="4"/>
  <c r="HS8" i="4"/>
  <c r="JB14" i="4"/>
  <c r="JD15" i="4"/>
  <c r="HR14" i="4"/>
  <c r="IS7" i="4"/>
  <c r="IU8" i="4"/>
  <c r="IX7" i="4"/>
  <c r="HS7" i="4"/>
  <c r="HP14" i="4"/>
  <c r="JG15" i="4"/>
  <c r="JD7" i="4"/>
  <c r="IS15" i="4"/>
  <c r="IC15" i="4"/>
  <c r="II7" i="4"/>
  <c r="IA14" i="4"/>
  <c r="HS14" i="4"/>
  <c r="IE7" i="4"/>
  <c r="IP15" i="4"/>
  <c r="JD14" i="4"/>
  <c r="IX15" i="4"/>
  <c r="HR8" i="4"/>
  <c r="IM14" i="4"/>
  <c r="IV15" i="4"/>
  <c r="HT8" i="4"/>
  <c r="II21" i="4"/>
  <c r="BC77" i="1" s="1"/>
  <c r="IQ7" i="4"/>
  <c r="HQ14" i="4"/>
  <c r="IH15" i="4"/>
  <c r="JI15" i="4"/>
  <c r="IR7" i="4"/>
  <c r="JB15" i="4"/>
  <c r="ID8" i="4"/>
  <c r="IH14" i="4"/>
  <c r="JB8" i="4"/>
  <c r="IC8" i="4"/>
  <c r="JC14" i="4"/>
  <c r="IB7" i="4"/>
  <c r="HR15" i="4"/>
  <c r="HQ15" i="4"/>
  <c r="HX14" i="4"/>
  <c r="IL8" i="4"/>
  <c r="HW15" i="4"/>
  <c r="JG8" i="4"/>
  <c r="II15" i="4"/>
  <c r="IJ8" i="4"/>
  <c r="IA15" i="4"/>
  <c r="JI7" i="4"/>
  <c r="HV8" i="4"/>
  <c r="IU14" i="4"/>
  <c r="HY14" i="4"/>
  <c r="HY8" i="4"/>
  <c r="IX8" i="4"/>
  <c r="HZ7" i="4"/>
  <c r="JC7" i="4"/>
  <c r="JH14" i="4"/>
  <c r="HV15" i="4"/>
  <c r="HV20" i="4" s="1"/>
  <c r="AP79" i="1" s="1"/>
  <c r="AP108" i="1" s="1"/>
  <c r="JC8" i="4"/>
  <c r="IP8" i="4"/>
  <c r="HT7" i="4"/>
  <c r="JC15" i="4"/>
  <c r="JC20" i="4" s="1"/>
  <c r="BW79" i="1" s="1"/>
  <c r="BW108" i="1" s="1"/>
  <c r="JE14" i="4"/>
  <c r="IY14" i="4"/>
  <c r="JG7" i="4"/>
  <c r="HU15" i="4"/>
  <c r="IR8" i="4"/>
  <c r="JF8" i="4"/>
  <c r="IN8" i="4"/>
  <c r="JD8" i="4"/>
  <c r="JA14" i="4"/>
  <c r="IJ7" i="4"/>
  <c r="HW8" i="4"/>
  <c r="IT14" i="4"/>
  <c r="IL15" i="4"/>
  <c r="IL20" i="4" s="1"/>
  <c r="BF79" i="1" s="1"/>
  <c r="BF108" i="1" s="1"/>
  <c r="JE7" i="4"/>
  <c r="IM7" i="4"/>
  <c r="IJ15" i="4"/>
  <c r="IJ20" i="4" s="1"/>
  <c r="BD79" i="1" s="1"/>
  <c r="BD108" i="1" s="1"/>
  <c r="IU15" i="4"/>
  <c r="II8" i="4"/>
  <c r="HX7" i="4"/>
  <c r="HX19" i="4" s="1"/>
  <c r="AR78" i="1" s="1"/>
  <c r="AR107" i="1" s="1"/>
  <c r="IW7" i="4"/>
  <c r="JF7" i="4"/>
  <c r="IA7" i="4"/>
  <c r="IV14" i="4"/>
  <c r="HQ8" i="4"/>
  <c r="IW14" i="4"/>
  <c r="IW19" i="4" s="1"/>
  <c r="BQ78" i="1" s="1"/>
  <c r="BQ107" i="1" s="1"/>
  <c r="IW8" i="4"/>
  <c r="IW20" i="4" s="1"/>
  <c r="BQ79" i="1" s="1"/>
  <c r="BQ108" i="1" s="1"/>
  <c r="JH7" i="4"/>
  <c r="IC14" i="4"/>
  <c r="JE15" i="4"/>
  <c r="HX8" i="4"/>
  <c r="IN15" i="4"/>
  <c r="IQ8" i="4"/>
  <c r="CM32" i="1"/>
  <c r="AC140" i="1"/>
  <c r="IW21" i="4" l="1"/>
  <c r="BQ77" i="1" s="1"/>
  <c r="AL252" i="1"/>
  <c r="K252" i="1"/>
  <c r="G252" i="1"/>
  <c r="E10" i="1"/>
  <c r="IZ21" i="4"/>
  <c r="BT77" i="1" s="1"/>
  <c r="JF21" i="4"/>
  <c r="BZ77" i="1" s="1"/>
  <c r="BZ94" i="1" s="1"/>
  <c r="AB77" i="1"/>
  <c r="CQ77" i="1"/>
  <c r="CN65" i="1"/>
  <c r="CO63" i="1"/>
  <c r="HY21" i="4"/>
  <c r="AS77" i="1" s="1"/>
  <c r="JE16" i="4" s="1"/>
  <c r="JE21" i="4" s="1"/>
  <c r="BY77" i="1" s="1"/>
  <c r="JB9" i="4" s="1"/>
  <c r="B252" i="1"/>
  <c r="L253" i="1"/>
  <c r="L252" i="1"/>
  <c r="IX21" i="4"/>
  <c r="BR77" i="1" s="1"/>
  <c r="HS21" i="4"/>
  <c r="AM77" i="1" s="1"/>
  <c r="IJ21" i="4"/>
  <c r="BD77" i="1" s="1"/>
  <c r="P183" i="1"/>
  <c r="Q252" i="1"/>
  <c r="H10" i="1"/>
  <c r="J231" i="1"/>
  <c r="AL253" i="1"/>
  <c r="AJ33" i="1"/>
  <c r="G253" i="1"/>
  <c r="K253" i="1"/>
  <c r="IY21" i="4"/>
  <c r="BS77" i="1" s="1"/>
  <c r="N252" i="1"/>
  <c r="M231" i="1"/>
  <c r="M10" i="1"/>
  <c r="G183" i="1"/>
  <c r="BX26" i="1"/>
  <c r="P252" i="1"/>
  <c r="AM252" i="1"/>
  <c r="P231" i="1"/>
  <c r="S252" i="1"/>
  <c r="BX252" i="1"/>
  <c r="BX161" i="1"/>
  <c r="BY209" i="1" s="1"/>
  <c r="BY120" i="1"/>
  <c r="C252" i="1"/>
  <c r="O10" i="1"/>
  <c r="I10" i="1"/>
  <c r="V16" i="1"/>
  <c r="Q194" i="1"/>
  <c r="Q253" i="1"/>
  <c r="J10" i="1"/>
  <c r="H194" i="1"/>
  <c r="H253" i="1"/>
  <c r="V194" i="1"/>
  <c r="V253" i="1"/>
  <c r="H231" i="1"/>
  <c r="H252" i="1"/>
  <c r="BX179" i="1"/>
  <c r="BY179" i="1" s="1"/>
  <c r="B26" i="1"/>
  <c r="V26" i="1"/>
  <c r="V27" i="1" s="1"/>
  <c r="BX148" i="1"/>
  <c r="BX182" i="1" s="1"/>
  <c r="T26" i="1"/>
  <c r="Q26" i="1"/>
  <c r="IB21" i="4"/>
  <c r="AV77" i="1" s="1"/>
  <c r="HR9" i="4"/>
  <c r="IA21" i="4"/>
  <c r="AU77" i="1" s="1"/>
  <c r="HV16" i="4" s="1"/>
  <c r="IU16" i="4"/>
  <c r="IK21" i="4"/>
  <c r="BE77" i="1" s="1"/>
  <c r="JI16" i="4"/>
  <c r="AM10" i="1"/>
  <c r="AM16" i="1" s="1"/>
  <c r="AM17" i="1" s="1"/>
  <c r="AM231" i="1"/>
  <c r="JC21" i="4"/>
  <c r="BW77" i="1" s="1"/>
  <c r="IS14" i="4"/>
  <c r="K10" i="1"/>
  <c r="K231" i="1"/>
  <c r="W194" i="1"/>
  <c r="W253" i="1"/>
  <c r="G10" i="1"/>
  <c r="G231" i="1"/>
  <c r="J253" i="1"/>
  <c r="J194" i="1"/>
  <c r="B10" i="1"/>
  <c r="B231" i="1"/>
  <c r="R10" i="1"/>
  <c r="R231" i="1"/>
  <c r="O253" i="1"/>
  <c r="O194" i="1"/>
  <c r="I253" i="1"/>
  <c r="I194" i="1"/>
  <c r="O252" i="1"/>
  <c r="L10" i="1"/>
  <c r="IE21" i="4"/>
  <c r="AY77" i="1" s="1"/>
  <c r="C26" i="1"/>
  <c r="Q183" i="1"/>
  <c r="HT20" i="4"/>
  <c r="AN79" i="1" s="1"/>
  <c r="AN108" i="1" s="1"/>
  <c r="AJ179" i="1"/>
  <c r="Q10" i="1"/>
  <c r="Q231" i="1"/>
  <c r="R194" i="1"/>
  <c r="R253" i="1"/>
  <c r="AK10" i="1"/>
  <c r="AK231" i="1"/>
  <c r="C10" i="1"/>
  <c r="E26" i="1"/>
  <c r="K26" i="1"/>
  <c r="C253" i="1"/>
  <c r="O26" i="1"/>
  <c r="HQ19" i="4"/>
  <c r="AK78" i="1" s="1"/>
  <c r="IH20" i="4"/>
  <c r="BB79" i="1" s="1"/>
  <c r="BB108" i="1" s="1"/>
  <c r="JI20" i="4"/>
  <c r="CC79" i="1" s="1"/>
  <c r="IH19" i="4"/>
  <c r="BB78" i="1" s="1"/>
  <c r="BB107" i="1" s="1"/>
  <c r="IC20" i="4"/>
  <c r="AW79" i="1" s="1"/>
  <c r="AW108" i="1" s="1"/>
  <c r="I252" i="1"/>
  <c r="JC19" i="4"/>
  <c r="BW78" i="1" s="1"/>
  <c r="BW107" i="1" s="1"/>
  <c r="HR20" i="4"/>
  <c r="AL79" i="1" s="1"/>
  <c r="IA20" i="4"/>
  <c r="AU79" i="1" s="1"/>
  <c r="AU108" i="1" s="1"/>
  <c r="IU19" i="4"/>
  <c r="BO78" i="1" s="1"/>
  <c r="BO107" i="1" s="1"/>
  <c r="HY19" i="4"/>
  <c r="AS78" i="1" s="1"/>
  <c r="AS107" i="1" s="1"/>
  <c r="HY20" i="4"/>
  <c r="AS79" i="1" s="1"/>
  <c r="AS108" i="1" s="1"/>
  <c r="HZ19" i="4"/>
  <c r="AT78" i="1" s="1"/>
  <c r="AT107" i="1" s="1"/>
  <c r="IP20" i="4"/>
  <c r="BJ79" i="1" s="1"/>
  <c r="BJ108" i="1" s="1"/>
  <c r="HT19" i="4"/>
  <c r="AN78" i="1" s="1"/>
  <c r="AN107" i="1" s="1"/>
  <c r="IY19" i="4"/>
  <c r="BS78" i="1" s="1"/>
  <c r="BS107" i="1" s="1"/>
  <c r="JG19" i="4"/>
  <c r="CA78" i="1" s="1"/>
  <c r="HU20" i="4"/>
  <c r="AO79" i="1" s="1"/>
  <c r="AO108" i="1" s="1"/>
  <c r="IR20" i="4"/>
  <c r="BL79" i="1" s="1"/>
  <c r="BL96" i="1" s="1"/>
  <c r="AL26" i="1"/>
  <c r="M26" i="1"/>
  <c r="JF20" i="4"/>
  <c r="BZ79" i="1" s="1"/>
  <c r="BX180" i="1"/>
  <c r="BY180" i="1" s="1"/>
  <c r="BX134" i="1"/>
  <c r="BY33" i="1" s="1"/>
  <c r="I26" i="1"/>
  <c r="B253" i="1"/>
  <c r="P26" i="1"/>
  <c r="G26" i="1"/>
  <c r="JD20" i="4"/>
  <c r="BX79" i="1" s="1"/>
  <c r="BX108" i="1" s="1"/>
  <c r="JA19" i="4"/>
  <c r="BU78" i="1" s="1"/>
  <c r="BU107" i="1" s="1"/>
  <c r="AM26" i="1"/>
  <c r="R26" i="1"/>
  <c r="M252" i="1"/>
  <c r="J252" i="1"/>
  <c r="BY128" i="1"/>
  <c r="IJ19" i="4"/>
  <c r="BD78" i="1" s="1"/>
  <c r="BD107" i="1" s="1"/>
  <c r="IT19" i="4"/>
  <c r="BN78" i="1" s="1"/>
  <c r="BN107" i="1" s="1"/>
  <c r="IU20" i="4"/>
  <c r="BO79" i="1" s="1"/>
  <c r="BO108" i="1" s="1"/>
  <c r="IA19" i="4"/>
  <c r="AU78" i="1" s="1"/>
  <c r="AU107" i="1" s="1"/>
  <c r="IV19" i="4"/>
  <c r="BP78" i="1" s="1"/>
  <c r="BP107" i="1" s="1"/>
  <c r="IC19" i="4"/>
  <c r="AW78" i="1" s="1"/>
  <c r="AW107" i="1" s="1"/>
  <c r="F26" i="1"/>
  <c r="L26" i="1"/>
  <c r="J26" i="1"/>
  <c r="H26" i="1"/>
  <c r="JE20" i="4"/>
  <c r="BY79" i="1" s="1"/>
  <c r="BY108" i="1" s="1"/>
  <c r="HX20" i="4"/>
  <c r="AR79" i="1" s="1"/>
  <c r="AR108" i="1" s="1"/>
  <c r="X188" i="1"/>
  <c r="AK26" i="1"/>
  <c r="N26" i="1"/>
  <c r="AJ183" i="1"/>
  <c r="S26" i="1"/>
  <c r="U26" i="1"/>
  <c r="W26" i="1"/>
  <c r="W27" i="1" s="1"/>
  <c r="AM98" i="1"/>
  <c r="AM99" i="1" s="1"/>
  <c r="IN20" i="4"/>
  <c r="BH79" i="1" s="1"/>
  <c r="BH108" i="1" s="1"/>
  <c r="BJ183" i="1"/>
  <c r="BK183" i="1" s="1"/>
  <c r="W16" i="1"/>
  <c r="W11" i="1"/>
  <c r="M253" i="1"/>
  <c r="T10" i="1"/>
  <c r="C194" i="1"/>
  <c r="BX10" i="1"/>
  <c r="BY12" i="1" s="1"/>
  <c r="U98" i="1"/>
  <c r="X11" i="1"/>
  <c r="CA98" i="1"/>
  <c r="CA99" i="1" s="1"/>
  <c r="BJ179" i="1"/>
  <c r="BK179" i="1" s="1"/>
  <c r="BX253" i="1"/>
  <c r="U16" i="1"/>
  <c r="W188" i="1"/>
  <c r="BJ180" i="1"/>
  <c r="BK180" i="1" s="1"/>
  <c r="F253" i="1"/>
  <c r="AJ10" i="1"/>
  <c r="D26" i="1"/>
  <c r="S253" i="1"/>
  <c r="F252" i="1"/>
  <c r="U253" i="1"/>
  <c r="T253" i="1"/>
  <c r="BX231" i="1"/>
  <c r="BX183" i="1"/>
  <c r="BY183" i="1" s="1"/>
  <c r="V188" i="1"/>
  <c r="AL183" i="1"/>
  <c r="AM183" i="1" s="1"/>
  <c r="D10" i="1"/>
  <c r="P10" i="1"/>
  <c r="D252" i="1"/>
  <c r="P253" i="1"/>
  <c r="S10" i="1"/>
  <c r="O231" i="1"/>
  <c r="BX128" i="1"/>
  <c r="F10" i="1"/>
  <c r="L194" i="1"/>
  <c r="AL180" i="1"/>
  <c r="AM180" i="1" s="1"/>
  <c r="N253" i="1"/>
  <c r="AL10" i="1"/>
  <c r="AL16" i="1" s="1"/>
  <c r="AL17" i="1" s="1"/>
  <c r="AM253" i="1"/>
  <c r="AL179" i="1"/>
  <c r="AM179" i="1" s="1"/>
  <c r="BX156" i="1"/>
  <c r="BX185" i="1" s="1"/>
  <c r="BX120" i="1"/>
  <c r="D253" i="1"/>
  <c r="H16" i="1"/>
  <c r="H17" i="1" s="1"/>
  <c r="T252" i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HP20" i="4"/>
  <c r="AJ79" i="1" s="1"/>
  <c r="IX19" i="4"/>
  <c r="BR78" i="1" s="1"/>
  <c r="BR107" i="1" s="1"/>
  <c r="II19" i="4"/>
  <c r="BC78" i="1" s="1"/>
  <c r="BC107" i="1" s="1"/>
  <c r="N98" i="1"/>
  <c r="N16" i="1"/>
  <c r="IN19" i="4"/>
  <c r="BH78" i="1" s="1"/>
  <c r="BH107" i="1" s="1"/>
  <c r="ID19" i="4"/>
  <c r="AX78" i="1" s="1"/>
  <c r="AX107" i="1" s="1"/>
  <c r="IZ19" i="4"/>
  <c r="BT78" i="1" s="1"/>
  <c r="BT107" i="1" s="1"/>
  <c r="IP19" i="4"/>
  <c r="BJ78" i="1" s="1"/>
  <c r="BJ107" i="1" s="1"/>
  <c r="IE20" i="4"/>
  <c r="AY79" i="1" s="1"/>
  <c r="AY108" i="1" s="1"/>
  <c r="IT20" i="4"/>
  <c r="BN79" i="1" s="1"/>
  <c r="BN108" i="1" s="1"/>
  <c r="IZ20" i="4"/>
  <c r="BT79" i="1" s="1"/>
  <c r="BT108" i="1" s="1"/>
  <c r="IO19" i="4"/>
  <c r="BI78" i="1" s="1"/>
  <c r="BI107" i="1" s="1"/>
  <c r="HZ20" i="4"/>
  <c r="AT79" i="1" s="1"/>
  <c r="AT108" i="1" s="1"/>
  <c r="IB20" i="4"/>
  <c r="AV79" i="1" s="1"/>
  <c r="AV108" i="1" s="1"/>
  <c r="HW19" i="4"/>
  <c r="AQ78" i="1" s="1"/>
  <c r="AQ107" i="1" s="1"/>
  <c r="HS20" i="4"/>
  <c r="AM79" i="1" s="1"/>
  <c r="JB19" i="4"/>
  <c r="BV78" i="1" s="1"/>
  <c r="BV107" i="1" s="1"/>
  <c r="HU19" i="4"/>
  <c r="AO78" i="1" s="1"/>
  <c r="AO107" i="1" s="1"/>
  <c r="IK19" i="4"/>
  <c r="BE78" i="1" s="1"/>
  <c r="BE107" i="1" s="1"/>
  <c r="AL202" i="1"/>
  <c r="AK202" i="1"/>
  <c r="BK202" i="1"/>
  <c r="BY202" i="1"/>
  <c r="R252" i="1"/>
  <c r="AJ37" i="1"/>
  <c r="HW20" i="4"/>
  <c r="AQ79" i="1" s="1"/>
  <c r="AQ108" i="1" s="1"/>
  <c r="HS19" i="4"/>
  <c r="AM78" i="1" s="1"/>
  <c r="JD19" i="4"/>
  <c r="BX78" i="1" s="1"/>
  <c r="JG20" i="4"/>
  <c r="CA79" i="1" s="1"/>
  <c r="HP19" i="4"/>
  <c r="AJ78" i="1" s="1"/>
  <c r="IE19" i="4"/>
  <c r="AY78" i="1" s="1"/>
  <c r="AY107" i="1" s="1"/>
  <c r="HQ20" i="4"/>
  <c r="AK79" i="1" s="1"/>
  <c r="II20" i="4"/>
  <c r="BC79" i="1" s="1"/>
  <c r="BC108" i="1" s="1"/>
  <c r="JH19" i="4"/>
  <c r="CB78" i="1" s="1"/>
  <c r="JE19" i="4"/>
  <c r="BY78" i="1" s="1"/>
  <c r="IM19" i="4"/>
  <c r="BG78" i="1" s="1"/>
  <c r="BG107" i="1" s="1"/>
  <c r="JB20" i="4"/>
  <c r="BV79" i="1" s="1"/>
  <c r="BV108" i="1" s="1"/>
  <c r="JF19" i="4"/>
  <c r="BZ78" i="1" s="1"/>
  <c r="IX20" i="4"/>
  <c r="BR79" i="1" s="1"/>
  <c r="BR108" i="1" s="1"/>
  <c r="IV20" i="4"/>
  <c r="BP79" i="1" s="1"/>
  <c r="BP108" i="1" s="1"/>
  <c r="IQ19" i="4"/>
  <c r="BK78" i="1" s="1"/>
  <c r="BK107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94" i="1"/>
  <c r="CM132" i="1"/>
  <c r="CM134" i="1" s="1"/>
  <c r="CM138" i="1" s="1"/>
  <c r="CM203" i="1" s="1"/>
  <c r="CM201" i="1" s="1"/>
  <c r="AC202" i="1"/>
  <c r="AB149" i="1"/>
  <c r="AB117" i="1"/>
  <c r="E27" i="1" l="1"/>
  <c r="H98" i="1"/>
  <c r="E98" i="1"/>
  <c r="E16" i="1"/>
  <c r="CR77" i="1"/>
  <c r="CO65" i="1"/>
  <c r="CP63" i="1"/>
  <c r="JB21" i="4"/>
  <c r="BV77" i="1" s="1"/>
  <c r="IY15" i="4"/>
  <c r="R11" i="1"/>
  <c r="M98" i="1"/>
  <c r="N188" i="1"/>
  <c r="Q16" i="1"/>
  <c r="Q17" i="1" s="1"/>
  <c r="Q98" i="1"/>
  <c r="M16" i="1"/>
  <c r="M17" i="1" s="1"/>
  <c r="N11" i="1"/>
  <c r="I11" i="1"/>
  <c r="I188" i="1"/>
  <c r="V17" i="1"/>
  <c r="J98" i="1"/>
  <c r="S16" i="1"/>
  <c r="S17" i="1" s="1"/>
  <c r="AL108" i="1"/>
  <c r="CC96" i="1"/>
  <c r="CC104" i="1"/>
  <c r="CC108" i="1"/>
  <c r="BZ108" i="1"/>
  <c r="BZ111" i="1" s="1"/>
  <c r="BZ96" i="1"/>
  <c r="CC87" i="1"/>
  <c r="CA107" i="1"/>
  <c r="CA95" i="1"/>
  <c r="H11" i="1"/>
  <c r="H188" i="1"/>
  <c r="BY92" i="1"/>
  <c r="BZ207" i="1"/>
  <c r="R188" i="1"/>
  <c r="M11" i="1"/>
  <c r="AK16" i="1"/>
  <c r="AK27" i="1"/>
  <c r="M188" i="1"/>
  <c r="O188" i="1"/>
  <c r="O16" i="1"/>
  <c r="O17" i="1" s="1"/>
  <c r="O11" i="1"/>
  <c r="O98" i="1"/>
  <c r="J16" i="1"/>
  <c r="J17" i="1" s="1"/>
  <c r="K188" i="1"/>
  <c r="U188" i="1"/>
  <c r="U11" i="1"/>
  <c r="T16" i="1"/>
  <c r="BX27" i="1"/>
  <c r="C27" i="1"/>
  <c r="C16" i="1"/>
  <c r="C11" i="1"/>
  <c r="I98" i="1"/>
  <c r="J188" i="1"/>
  <c r="BX186" i="1"/>
  <c r="CB189" i="1" s="1"/>
  <c r="W18" i="1"/>
  <c r="BX138" i="1"/>
  <c r="AM27" i="1"/>
  <c r="BY129" i="1"/>
  <c r="BZ206" i="1"/>
  <c r="T98" i="1"/>
  <c r="C188" i="1"/>
  <c r="I16" i="1"/>
  <c r="J11" i="1"/>
  <c r="BY206" i="1"/>
  <c r="V28" i="1"/>
  <c r="BY134" i="1"/>
  <c r="AM28" i="1"/>
  <c r="AM232" i="1" s="1"/>
  <c r="AM233" i="1" s="1"/>
  <c r="K11" i="1"/>
  <c r="BZ249" i="1"/>
  <c r="BZ251" i="1" s="1"/>
  <c r="W17" i="1"/>
  <c r="X18" i="1"/>
  <c r="W28" i="1"/>
  <c r="U17" i="1"/>
  <c r="V18" i="1"/>
  <c r="AM225" i="1"/>
  <c r="AK12" i="1"/>
  <c r="AJ16" i="1"/>
  <c r="D11" i="1"/>
  <c r="E11" i="1"/>
  <c r="D188" i="1"/>
  <c r="P98" i="1"/>
  <c r="Q188" i="1"/>
  <c r="Q11" i="1"/>
  <c r="P11" i="1"/>
  <c r="G188" i="1"/>
  <c r="F188" i="1"/>
  <c r="F98" i="1"/>
  <c r="G11" i="1"/>
  <c r="F16" i="1"/>
  <c r="F11" i="1"/>
  <c r="T188" i="1"/>
  <c r="AJ27" i="1"/>
  <c r="CC188" i="1"/>
  <c r="BX16" i="1"/>
  <c r="CB11" i="1"/>
  <c r="E188" i="1"/>
  <c r="S188" i="1"/>
  <c r="P16" i="1"/>
  <c r="S11" i="1"/>
  <c r="AL27" i="1"/>
  <c r="AM19" i="1"/>
  <c r="D27" i="1"/>
  <c r="BL108" i="1"/>
  <c r="BL111" i="1" s="1"/>
  <c r="CA103" i="1"/>
  <c r="CA225" i="1"/>
  <c r="AM102" i="1"/>
  <c r="AL184" i="1"/>
  <c r="BX92" i="1"/>
  <c r="BX95" i="1" s="1"/>
  <c r="BY207" i="1"/>
  <c r="BJ184" i="1"/>
  <c r="BX168" i="1"/>
  <c r="BX181" i="1"/>
  <c r="BX184" i="1"/>
  <c r="BX157" i="1"/>
  <c r="BY249" i="1"/>
  <c r="BX248" i="1"/>
  <c r="BX129" i="1"/>
  <c r="BK249" i="1"/>
  <c r="AJ129" i="1"/>
  <c r="HR21" i="4"/>
  <c r="AL77" i="1" s="1"/>
  <c r="JA9" i="4"/>
  <c r="IT16" i="4"/>
  <c r="IN16" i="4"/>
  <c r="JI21" i="4"/>
  <c r="CC77" i="1" s="1"/>
  <c r="IC9" i="4"/>
  <c r="IS19" i="4"/>
  <c r="BM78" i="1" s="1"/>
  <c r="BM107" i="1" s="1"/>
  <c r="HZ16" i="4"/>
  <c r="K16" i="1"/>
  <c r="K98" i="1"/>
  <c r="G16" i="1"/>
  <c r="G98" i="1"/>
  <c r="B16" i="1"/>
  <c r="B27" i="1"/>
  <c r="R16" i="1"/>
  <c r="R17" i="1" s="1"/>
  <c r="R98" i="1"/>
  <c r="L11" i="1"/>
  <c r="L188" i="1"/>
  <c r="L98" i="1"/>
  <c r="L16" i="1"/>
  <c r="L17" i="1" s="1"/>
  <c r="T11" i="1"/>
  <c r="P188" i="1"/>
  <c r="AM12" i="1"/>
  <c r="S98" i="1"/>
  <c r="D16" i="1"/>
  <c r="AL28" i="1"/>
  <c r="AL34" i="1" s="1"/>
  <c r="AL38" i="1" s="1"/>
  <c r="AL12" i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M108" i="1"/>
  <c r="AM104" i="1"/>
  <c r="N17" i="1"/>
  <c r="AM103" i="1"/>
  <c r="BX89" i="1"/>
  <c r="BX107" i="1"/>
  <c r="CA108" i="1"/>
  <c r="CA104" i="1"/>
  <c r="AM107" i="1"/>
  <c r="CA96" i="1"/>
  <c r="BY107" i="1"/>
  <c r="BZ95" i="1"/>
  <c r="BZ89" i="1"/>
  <c r="BZ107" i="1"/>
  <c r="BZ110" i="1" s="1"/>
  <c r="CB86" i="1"/>
  <c r="CB103" i="1"/>
  <c r="CB95" i="1"/>
  <c r="CB107" i="1"/>
  <c r="CB110" i="1" s="1"/>
  <c r="CB113" i="1" s="1"/>
  <c r="BY89" i="1"/>
  <c r="CN32" i="1"/>
  <c r="AB163" i="1"/>
  <c r="AC117" i="1"/>
  <c r="AC149" i="1"/>
  <c r="CB225" i="1"/>
  <c r="BQ1" i="1"/>
  <c r="BR1" i="1" s="1"/>
  <c r="BS1" i="1" s="1"/>
  <c r="BT1" i="1" s="1"/>
  <c r="E28" i="1" l="1"/>
  <c r="E29" i="1" s="1"/>
  <c r="E17" i="1"/>
  <c r="CS77" i="1"/>
  <c r="CP65" i="1"/>
  <c r="CQ63" i="1"/>
  <c r="AJ198" i="1"/>
  <c r="AL165" i="1"/>
  <c r="AL166" i="1" s="1"/>
  <c r="AM203" i="1"/>
  <c r="AM201" i="1" s="1"/>
  <c r="AL246" i="1"/>
  <c r="AK138" i="1"/>
  <c r="AL33" i="1"/>
  <c r="AL109" i="1"/>
  <c r="AM37" i="1"/>
  <c r="AJ203" i="1"/>
  <c r="AJ201" i="1" s="1"/>
  <c r="AL181" i="1"/>
  <c r="AL186" i="1"/>
  <c r="IY20" i="4"/>
  <c r="BS79" i="1" s="1"/>
  <c r="BS108" i="1" s="1"/>
  <c r="ID9" i="4"/>
  <c r="BZ205" i="1"/>
  <c r="BJ95" i="1"/>
  <c r="BJ96" i="1"/>
  <c r="BJ110" i="1"/>
  <c r="BJ111" i="1"/>
  <c r="BJ186" i="1"/>
  <c r="BJ181" i="1"/>
  <c r="BY94" i="1"/>
  <c r="BY96" i="1"/>
  <c r="O18" i="1"/>
  <c r="AL19" i="1"/>
  <c r="AK17" i="1"/>
  <c r="BX246" i="1"/>
  <c r="AJ17" i="1"/>
  <c r="BY19" i="1"/>
  <c r="BK138" i="1"/>
  <c r="BL203" i="1" s="1"/>
  <c r="BL201" i="1" s="1"/>
  <c r="N18" i="1"/>
  <c r="U18" i="1"/>
  <c r="T17" i="1"/>
  <c r="AK28" i="1"/>
  <c r="BY95" i="1"/>
  <c r="C28" i="1"/>
  <c r="C17" i="1"/>
  <c r="I17" i="1"/>
  <c r="I18" i="1"/>
  <c r="J18" i="1"/>
  <c r="V34" i="1"/>
  <c r="V38" i="1" s="1"/>
  <c r="V112" i="1"/>
  <c r="V232" i="1"/>
  <c r="V233" i="1" s="1"/>
  <c r="V29" i="1"/>
  <c r="W30" i="1"/>
  <c r="W232" i="1"/>
  <c r="W233" i="1" s="1"/>
  <c r="X30" i="1"/>
  <c r="X250" i="1"/>
  <c r="W34" i="1"/>
  <c r="W38" i="1" s="1"/>
  <c r="W29" i="1"/>
  <c r="W112" i="1"/>
  <c r="W250" i="1"/>
  <c r="F17" i="1"/>
  <c r="F18" i="1"/>
  <c r="BX94" i="1"/>
  <c r="BX96" i="1"/>
  <c r="BX109" i="1"/>
  <c r="BX111" i="1" s="1"/>
  <c r="BY37" i="1"/>
  <c r="BX17" i="1"/>
  <c r="BX28" i="1"/>
  <c r="P18" i="1"/>
  <c r="Q18" i="1"/>
  <c r="P17" i="1"/>
  <c r="BZ33" i="1"/>
  <c r="BY138" i="1"/>
  <c r="BZ203" i="1" s="1"/>
  <c r="BZ201" i="1" s="1"/>
  <c r="BX165" i="1"/>
  <c r="BX166" i="1" s="1"/>
  <c r="AM34" i="1"/>
  <c r="AM38" i="1" s="1"/>
  <c r="AM29" i="1"/>
  <c r="AJ28" i="1"/>
  <c r="AK19" i="1"/>
  <c r="CB18" i="1"/>
  <c r="T18" i="1"/>
  <c r="BL33" i="1"/>
  <c r="BY205" i="1"/>
  <c r="JA21" i="4"/>
  <c r="BU77" i="1" s="1"/>
  <c r="IG7" i="4"/>
  <c r="IT21" i="4"/>
  <c r="BN77" i="1" s="1"/>
  <c r="IH16" i="4"/>
  <c r="IN21" i="4"/>
  <c r="BH77" i="1" s="1"/>
  <c r="HW9" i="4"/>
  <c r="CC94" i="1"/>
  <c r="CC102" i="1"/>
  <c r="CC85" i="1"/>
  <c r="IC21" i="4"/>
  <c r="AW77" i="1" s="1"/>
  <c r="HV7" i="4"/>
  <c r="HZ21" i="4"/>
  <c r="AT77" i="1" s="1"/>
  <c r="IM8" i="4"/>
  <c r="IB14" i="4" s="1"/>
  <c r="L18" i="1"/>
  <c r="K17" i="1"/>
  <c r="H18" i="1"/>
  <c r="G17" i="1"/>
  <c r="B28" i="1"/>
  <c r="B17" i="1"/>
  <c r="E18" i="1"/>
  <c r="D17" i="1"/>
  <c r="S18" i="1"/>
  <c r="AL40" i="1"/>
  <c r="AJ165" i="1"/>
  <c r="M18" i="1"/>
  <c r="K18" i="1"/>
  <c r="R18" i="1"/>
  <c r="C18" i="1"/>
  <c r="D18" i="1"/>
  <c r="G18" i="1"/>
  <c r="AL232" i="1"/>
  <c r="AL233" i="1" s="1"/>
  <c r="AL94" i="1"/>
  <c r="AM250" i="1"/>
  <c r="AM251" i="1" s="1"/>
  <c r="D28" i="1"/>
  <c r="AL29" i="1"/>
  <c r="AM31" i="1"/>
  <c r="AL41" i="1"/>
  <c r="CN132" i="1"/>
  <c r="CN134" i="1" s="1"/>
  <c r="CO32" i="1" s="1"/>
  <c r="AB137" i="1"/>
  <c r="AD149" i="1"/>
  <c r="AE149" i="1"/>
  <c r="AD117" i="1"/>
  <c r="AE117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BY203" i="1" l="1"/>
  <c r="BY201" i="1" s="1"/>
  <c r="AK203" i="1"/>
  <c r="AK201" i="1" s="1"/>
  <c r="AL203" i="1"/>
  <c r="AL201" i="1" s="1"/>
  <c r="CT77" i="1"/>
  <c r="CQ65" i="1"/>
  <c r="CR63" i="1"/>
  <c r="AL111" i="1"/>
  <c r="ID21" i="4"/>
  <c r="AX77" i="1" s="1"/>
  <c r="HT16" i="4"/>
  <c r="HT21" i="4" s="1"/>
  <c r="AN77" i="1" s="1"/>
  <c r="AK31" i="1"/>
  <c r="AJ29" i="1"/>
  <c r="BX232" i="1"/>
  <c r="BX233" i="1" s="1"/>
  <c r="BY31" i="1"/>
  <c r="BY250" i="1"/>
  <c r="BY251" i="1" s="1"/>
  <c r="AJ232" i="1"/>
  <c r="AJ233" i="1" s="1"/>
  <c r="AJ34" i="1"/>
  <c r="AJ38" i="1" s="1"/>
  <c r="BX110" i="1"/>
  <c r="AK232" i="1"/>
  <c r="AK233" i="1" s="1"/>
  <c r="AL31" i="1"/>
  <c r="AK29" i="1"/>
  <c r="AK34" i="1"/>
  <c r="AK38" i="1" s="1"/>
  <c r="AM112" i="1"/>
  <c r="BX29" i="1"/>
  <c r="BX34" i="1"/>
  <c r="CB30" i="1"/>
  <c r="CA112" i="1"/>
  <c r="AL250" i="1"/>
  <c r="AL251" i="1" s="1"/>
  <c r="C29" i="1"/>
  <c r="C30" i="1"/>
  <c r="V41" i="1"/>
  <c r="V40" i="1"/>
  <c r="W41" i="1"/>
  <c r="W40" i="1"/>
  <c r="AM41" i="1"/>
  <c r="AM40" i="1"/>
  <c r="AM226" i="1"/>
  <c r="D232" i="1"/>
  <c r="D233" i="1" s="1"/>
  <c r="D30" i="1"/>
  <c r="E30" i="1"/>
  <c r="D250" i="1"/>
  <c r="AL234" i="1"/>
  <c r="AL48" i="1"/>
  <c r="AL42" i="1"/>
  <c r="AL245" i="1" s="1"/>
  <c r="IG19" i="4"/>
  <c r="BA78" i="1" s="1"/>
  <c r="BA107" i="1" s="1"/>
  <c r="IH9" i="4"/>
  <c r="JH9" i="4" s="1"/>
  <c r="IH21" i="4"/>
  <c r="BB77" i="1" s="1"/>
  <c r="IR14" i="4"/>
  <c r="HW21" i="4"/>
  <c r="AQ77" i="1" s="1"/>
  <c r="IR16" i="4"/>
  <c r="HV19" i="4"/>
  <c r="AP78" i="1" s="1"/>
  <c r="AP107" i="1" s="1"/>
  <c r="IM15" i="4"/>
  <c r="IM20" i="4" s="1"/>
  <c r="BG79" i="1" s="1"/>
  <c r="BG108" i="1" s="1"/>
  <c r="IB19" i="4"/>
  <c r="AV78" i="1" s="1"/>
  <c r="AV107" i="1" s="1"/>
  <c r="HQ16" i="4"/>
  <c r="B29" i="1"/>
  <c r="B112" i="1"/>
  <c r="AJ166" i="1"/>
  <c r="C250" i="1"/>
  <c r="D29" i="1"/>
  <c r="D34" i="1"/>
  <c r="D38" i="1" s="1"/>
  <c r="D112" i="1"/>
  <c r="CO194" i="1"/>
  <c r="CO132" i="1"/>
  <c r="CN138" i="1"/>
  <c r="CN194" i="1"/>
  <c r="AD163" i="1"/>
  <c r="AE163" i="1"/>
  <c r="AD140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C77" i="1" l="1"/>
  <c r="CU77" i="1"/>
  <c r="CR65" i="1"/>
  <c r="CS63" i="1"/>
  <c r="V42" i="1"/>
  <c r="V245" i="1" s="1"/>
  <c r="AJ40" i="1"/>
  <c r="AJ41" i="1"/>
  <c r="AK40" i="1"/>
  <c r="AK41" i="1"/>
  <c r="CA55" i="1"/>
  <c r="BX38" i="1"/>
  <c r="V48" i="1"/>
  <c r="W43" i="1"/>
  <c r="W48" i="1"/>
  <c r="W52" i="1" s="1"/>
  <c r="W234" i="1"/>
  <c r="W42" i="1"/>
  <c r="W245" i="1" s="1"/>
  <c r="X43" i="1"/>
  <c r="AM42" i="1"/>
  <c r="AM245" i="1" s="1"/>
  <c r="AM44" i="1"/>
  <c r="AL193" i="1"/>
  <c r="AL195" i="1" s="1"/>
  <c r="AL66" i="1"/>
  <c r="AL52" i="1"/>
  <c r="AM234" i="1"/>
  <c r="D40" i="1"/>
  <c r="JH21" i="4"/>
  <c r="CB77" i="1" s="1"/>
  <c r="JA8" i="4"/>
  <c r="IR19" i="4"/>
  <c r="BL78" i="1" s="1"/>
  <c r="IV16" i="4"/>
  <c r="IR21" i="4"/>
  <c r="BL77" i="1" s="1"/>
  <c r="BL94" i="1" s="1"/>
  <c r="IF16" i="4"/>
  <c r="D41" i="1"/>
  <c r="D234" i="1"/>
  <c r="D42" i="1"/>
  <c r="D48" i="1"/>
  <c r="D193" i="1" s="1"/>
  <c r="D195" i="1" s="1"/>
  <c r="T250" i="1"/>
  <c r="P250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AD202" i="1"/>
  <c r="AB142" i="1"/>
  <c r="AE137" i="1"/>
  <c r="AD137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CT63" i="1" l="1"/>
  <c r="CV77" i="1"/>
  <c r="CS65" i="1"/>
  <c r="D52" i="1"/>
  <c r="AM227" i="1"/>
  <c r="AK44" i="1"/>
  <c r="AJ234" i="1"/>
  <c r="AJ48" i="1"/>
  <c r="AJ42" i="1"/>
  <c r="AL44" i="1"/>
  <c r="AK42" i="1"/>
  <c r="AK48" i="1"/>
  <c r="AK234" i="1"/>
  <c r="BX41" i="1"/>
  <c r="BX40" i="1"/>
  <c r="CB85" i="1"/>
  <c r="CB102" i="1"/>
  <c r="CB94" i="1"/>
  <c r="IS8" i="4"/>
  <c r="JA20" i="4"/>
  <c r="BU79" i="1" s="1"/>
  <c r="BU108" i="1" s="1"/>
  <c r="IF15" i="4"/>
  <c r="BL95" i="1"/>
  <c r="BL107" i="1"/>
  <c r="BL110" i="1" s="1"/>
  <c r="IV21" i="4"/>
  <c r="BP77" i="1" s="1"/>
  <c r="IS16" i="4"/>
  <c r="IF21" i="4"/>
  <c r="AZ77" i="1" s="1"/>
  <c r="IP9" i="4"/>
  <c r="IP21" i="4" s="1"/>
  <c r="BJ77" i="1" s="1"/>
  <c r="BJ94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AJ52" i="1" l="1"/>
  <c r="AJ66" i="1"/>
  <c r="AJ207" i="1"/>
  <c r="AJ205" i="1" s="1"/>
  <c r="AJ193" i="1"/>
  <c r="AJ195" i="1" s="1"/>
  <c r="AJ199" i="1" s="1"/>
  <c r="AJ213" i="1" s="1"/>
  <c r="AK66" i="1"/>
  <c r="AK52" i="1"/>
  <c r="AK193" i="1"/>
  <c r="AK195" i="1" s="1"/>
  <c r="AK119" i="1"/>
  <c r="AK120" i="1" s="1"/>
  <c r="BY44" i="1"/>
  <c r="BX48" i="1"/>
  <c r="BX42" i="1"/>
  <c r="BX245" i="1" s="1"/>
  <c r="CB43" i="1"/>
  <c r="BX234" i="1"/>
  <c r="IS20" i="4"/>
  <c r="BM79" i="1" s="1"/>
  <c r="BM108" i="1" s="1"/>
  <c r="HR7" i="4"/>
  <c r="IF20" i="4"/>
  <c r="AZ79" i="1" s="1"/>
  <c r="AZ108" i="1" s="1"/>
  <c r="ID15" i="4"/>
  <c r="IS21" i="4"/>
  <c r="BM77" i="1" s="1"/>
  <c r="HQ9" i="4"/>
  <c r="R43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AJ210" i="1" l="1"/>
  <c r="AJ211" i="1" s="1"/>
  <c r="AL207" i="1"/>
  <c r="AL205" i="1" s="1"/>
  <c r="AK207" i="1"/>
  <c r="AK205" i="1" s="1"/>
  <c r="AK129" i="1"/>
  <c r="BX193" i="1"/>
  <c r="BX195" i="1" s="1"/>
  <c r="BX52" i="1"/>
  <c r="CA54" i="1"/>
  <c r="BX66" i="1"/>
  <c r="CA69" i="1" s="1"/>
  <c r="HR19" i="4"/>
  <c r="AL78" i="1" s="1"/>
  <c r="IL7" i="4"/>
  <c r="ID20" i="4"/>
  <c r="AX79" i="1" s="1"/>
  <c r="AX108" i="1" s="1"/>
  <c r="IM16" i="4"/>
  <c r="HQ21" i="4"/>
  <c r="AK77" i="1" s="1"/>
  <c r="IF14" i="4" s="1"/>
  <c r="IG9" i="4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A87" i="1" l="1"/>
  <c r="BW89" i="1"/>
  <c r="CA86" i="1"/>
  <c r="CE70" i="1"/>
  <c r="AL95" i="1"/>
  <c r="AL107" i="1"/>
  <c r="AL110" i="1" s="1"/>
  <c r="IL19" i="4"/>
  <c r="BF78" i="1" s="1"/>
  <c r="BF107" i="1" s="1"/>
  <c r="IQ15" i="4"/>
  <c r="IM21" i="4"/>
  <c r="BG77" i="1" s="1"/>
  <c r="JH15" i="4"/>
  <c r="IK8" i="4"/>
  <c r="IF19" i="4"/>
  <c r="AZ78" i="1" s="1"/>
  <c r="AZ107" i="1" s="1"/>
  <c r="IG21" i="4"/>
  <c r="BA77" i="1" s="1"/>
  <c r="HP9" i="4"/>
  <c r="IQ16" i="4" s="1"/>
  <c r="IQ21" i="4" s="1"/>
  <c r="BK77" i="1" s="1"/>
  <c r="JG16" i="4" s="1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IQ20" i="4" l="1"/>
  <c r="BK79" i="1" s="1"/>
  <c r="BK108" i="1" s="1"/>
  <c r="HX9" i="4"/>
  <c r="HX21" i="4" s="1"/>
  <c r="AR77" i="1" s="1"/>
  <c r="JH20" i="4"/>
  <c r="CB79" i="1" s="1"/>
  <c r="HV9" i="4"/>
  <c r="IK20" i="4"/>
  <c r="BE79" i="1" s="1"/>
  <c r="BE108" i="1" s="1"/>
  <c r="IU9" i="4"/>
  <c r="JG21" i="4"/>
  <c r="CA77" i="1" s="1"/>
  <c r="HP16" i="4"/>
  <c r="HP21" i="4" s="1"/>
  <c r="AJ77" i="1" s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T72" i="2"/>
  <c r="T85" i="2"/>
  <c r="D49" i="2"/>
  <c r="Q48" i="2"/>
  <c r="T79" i="2"/>
  <c r="F60" i="2"/>
  <c r="S48" i="2"/>
  <c r="Q105" i="2"/>
  <c r="R47" i="2"/>
  <c r="L49" i="2"/>
  <c r="Q112" i="2"/>
  <c r="G104" i="2"/>
  <c r="O80" i="2"/>
  <c r="C54" i="2"/>
  <c r="H69" i="2"/>
  <c r="K92" i="2"/>
  <c r="N75" i="2"/>
  <c r="U59" i="2"/>
  <c r="T71" i="2"/>
  <c r="E40" i="2"/>
  <c r="E80" i="2"/>
  <c r="H108" i="2"/>
  <c r="P60" i="2"/>
  <c r="E113" i="2"/>
  <c r="W86" i="2"/>
  <c r="U43" i="2"/>
  <c r="X97" i="2"/>
  <c r="G42" i="2"/>
  <c r="T74" i="2"/>
  <c r="P48" i="2"/>
  <c r="R59" i="2"/>
  <c r="G55" i="2"/>
  <c r="N70" i="2"/>
  <c r="H109" i="2"/>
  <c r="K63" i="2"/>
  <c r="J81" i="2"/>
  <c r="F82" i="2"/>
  <c r="G83" i="2"/>
  <c r="N47" i="2"/>
  <c r="AP70" i="3"/>
  <c r="AB48" i="3"/>
  <c r="AP71" i="3"/>
  <c r="AP58" i="3"/>
  <c r="AP74" i="3"/>
  <c r="AB70" i="3"/>
  <c r="AP73" i="3"/>
  <c r="W5" i="3"/>
  <c r="C37" i="3"/>
  <c r="H41" i="3"/>
  <c r="AK31" i="3"/>
  <c r="X3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E47" i="2"/>
  <c r="P78" i="2"/>
  <c r="C64" i="2"/>
  <c r="D84" i="2"/>
  <c r="W54" i="2"/>
  <c r="R112" i="2"/>
  <c r="D96" i="2"/>
  <c r="Q90" i="2"/>
  <c r="R93" i="2"/>
  <c r="N111" i="2"/>
  <c r="O51" i="2"/>
  <c r="R70" i="2"/>
  <c r="J113" i="2"/>
  <c r="W58" i="2"/>
  <c r="X56" i="2"/>
  <c r="M84" i="2"/>
  <c r="F64" i="2"/>
  <c r="E59" i="2"/>
  <c r="Q42" i="2"/>
  <c r="K55" i="2"/>
  <c r="C104" i="2"/>
  <c r="D73" i="2"/>
  <c r="W45" i="2"/>
  <c r="V59" i="2"/>
  <c r="J96" i="2"/>
  <c r="T52" i="2"/>
  <c r="N71" i="2"/>
  <c r="N54" i="2"/>
  <c r="S111" i="2"/>
  <c r="J45" i="2"/>
  <c r="Q44" i="2"/>
  <c r="J95" i="2"/>
  <c r="I44" i="2"/>
  <c r="H93" i="2"/>
  <c r="G60" i="2"/>
  <c r="M111" i="2"/>
  <c r="L105" i="2"/>
  <c r="F69" i="2"/>
  <c r="L83" i="2"/>
  <c r="AB88" i="3"/>
  <c r="AB77" i="3"/>
  <c r="AP78" i="3"/>
  <c r="AB75" i="3"/>
  <c r="AP54" i="3"/>
  <c r="AP77" i="3"/>
  <c r="AB84" i="3"/>
  <c r="P32" i="3"/>
  <c r="L19" i="3"/>
  <c r="Y22" i="3"/>
  <c r="M17" i="3"/>
  <c r="M10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70" i="2"/>
  <c r="W72" i="2"/>
  <c r="J110" i="2"/>
  <c r="N80" i="2"/>
  <c r="G95" i="2"/>
  <c r="G91" i="2"/>
  <c r="E111" i="2"/>
  <c r="G68" i="2"/>
  <c r="D46" i="2"/>
  <c r="C82" i="2"/>
  <c r="E68" i="2"/>
  <c r="Q75" i="2"/>
  <c r="K81" i="2"/>
  <c r="V66" i="2"/>
  <c r="O93" i="2"/>
  <c r="M72" i="2"/>
  <c r="U69" i="2"/>
  <c r="M90" i="2"/>
  <c r="I55" i="2"/>
  <c r="V70" i="2"/>
  <c r="R43" i="2"/>
  <c r="W110" i="2"/>
  <c r="H106" i="2"/>
  <c r="C110" i="2"/>
  <c r="I110" i="2"/>
  <c r="O91" i="2"/>
  <c r="V44" i="2"/>
  <c r="G94" i="2"/>
  <c r="I88" i="2"/>
  <c r="S58" i="2"/>
  <c r="G64" i="2"/>
  <c r="U85" i="2"/>
  <c r="K58" i="2"/>
  <c r="L67" i="2"/>
  <c r="Q47" i="2"/>
  <c r="N57" i="2"/>
  <c r="K111" i="2"/>
  <c r="M47" i="2"/>
  <c r="V95" i="2"/>
  <c r="AB73" i="3"/>
  <c r="AP97" i="3"/>
  <c r="C47" i="3"/>
  <c r="AP47" i="3"/>
  <c r="AP85" i="3"/>
  <c r="AB69" i="3"/>
  <c r="AB95" i="3"/>
  <c r="I22" i="3"/>
  <c r="N24" i="3"/>
  <c r="C23" i="3"/>
  <c r="T17" i="3"/>
  <c r="W28" i="3"/>
  <c r="S16" i="3"/>
  <c r="P112" i="2"/>
  <c r="H81" i="2"/>
  <c r="I72" i="2"/>
  <c r="W85" i="2"/>
  <c r="V54" i="2"/>
  <c r="F90" i="2"/>
  <c r="E57" i="2"/>
  <c r="X42" i="2"/>
  <c r="N108" i="2"/>
  <c r="O110" i="2"/>
  <c r="E83" i="2"/>
  <c r="W41" i="2"/>
  <c r="J111" i="2"/>
  <c r="M83" i="2"/>
  <c r="D64" i="2"/>
  <c r="J69" i="2"/>
  <c r="I87" i="2"/>
  <c r="W82" i="2"/>
  <c r="C90" i="2"/>
  <c r="N49" i="2"/>
  <c r="X87" i="2"/>
  <c r="P58" i="2"/>
  <c r="M68" i="2"/>
  <c r="H58" i="2"/>
  <c r="H63" i="2"/>
  <c r="E97" i="2"/>
  <c r="P57" i="2"/>
  <c r="H88" i="2"/>
  <c r="K73" i="2"/>
  <c r="V78" i="2"/>
  <c r="R108" i="2"/>
  <c r="T104" i="2"/>
  <c r="C43" i="2"/>
  <c r="C99" i="2"/>
  <c r="C57" i="2"/>
  <c r="G93" i="2"/>
  <c r="W80" i="2"/>
  <c r="R83" i="2"/>
  <c r="S72" i="2"/>
  <c r="H71" i="2"/>
  <c r="G88" i="2"/>
  <c r="X76" i="2"/>
  <c r="M43" i="2"/>
  <c r="N86" i="2"/>
  <c r="N42" i="2"/>
  <c r="L59" i="2"/>
  <c r="X44" i="2"/>
  <c r="J108" i="2"/>
  <c r="R98" i="2"/>
  <c r="D86" i="2"/>
  <c r="I86" i="2"/>
  <c r="S88" i="2"/>
  <c r="C107" i="2"/>
  <c r="W51" i="2"/>
  <c r="C86" i="2"/>
  <c r="P44" i="2"/>
  <c r="O92" i="2"/>
  <c r="V112" i="2"/>
  <c r="R72" i="2"/>
  <c r="G63" i="2"/>
  <c r="R96" i="2"/>
  <c r="Q61" i="2"/>
  <c r="T56" i="2"/>
  <c r="K65" i="2"/>
  <c r="P93" i="2"/>
  <c r="N48" i="2"/>
  <c r="W81" i="2"/>
  <c r="S55" i="2"/>
  <c r="O72" i="2"/>
  <c r="R82" i="2"/>
  <c r="O46" i="2"/>
  <c r="I97" i="2"/>
  <c r="S76" i="2"/>
  <c r="Q64" i="2"/>
  <c r="L73" i="2"/>
  <c r="F91" i="2"/>
  <c r="P61" i="2"/>
  <c r="V104" i="2"/>
  <c r="O65" i="2"/>
  <c r="M95" i="2"/>
  <c r="D95" i="2"/>
  <c r="M70" i="2"/>
  <c r="U106" i="2"/>
  <c r="D58" i="2"/>
  <c r="S47" i="2"/>
  <c r="X43" i="2"/>
  <c r="T96" i="2"/>
  <c r="O52" i="2"/>
  <c r="C78" i="2"/>
  <c r="R107" i="2"/>
  <c r="D56" i="2"/>
  <c r="G67" i="2"/>
  <c r="I75" i="2"/>
  <c r="J60" i="2"/>
  <c r="D41" i="2"/>
  <c r="G70" i="2"/>
  <c r="Q73" i="2"/>
  <c r="H97" i="2"/>
  <c r="P92" i="2"/>
  <c r="W96" i="2"/>
  <c r="O109" i="2"/>
  <c r="U40" i="2"/>
  <c r="S98" i="2"/>
  <c r="AP68" i="3"/>
  <c r="AB59" i="3"/>
  <c r="AP90" i="3"/>
  <c r="AP65" i="3"/>
  <c r="AP82" i="3"/>
  <c r="AB97" i="3"/>
  <c r="AB66" i="3"/>
  <c r="C28" i="3"/>
  <c r="AN8" i="3"/>
  <c r="Z19" i="3"/>
  <c r="AJ17" i="3"/>
  <c r="AL20" i="3"/>
  <c r="J41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N59" i="2"/>
  <c r="I96" i="2"/>
  <c r="U88" i="2"/>
  <c r="M49" i="2"/>
  <c r="H73" i="2"/>
  <c r="L76" i="2"/>
  <c r="X88" i="2"/>
  <c r="J84" i="2"/>
  <c r="N74" i="2"/>
  <c r="T47" i="2"/>
  <c r="C105" i="2"/>
  <c r="D55" i="2"/>
  <c r="G59" i="2"/>
  <c r="E72" i="2"/>
  <c r="O55" i="2"/>
  <c r="X52" i="2"/>
  <c r="V82" i="2"/>
  <c r="D104" i="2"/>
  <c r="P86" i="2"/>
  <c r="S83" i="2"/>
  <c r="X91" i="2"/>
  <c r="X53" i="2"/>
  <c r="M63" i="2"/>
  <c r="D40" i="2"/>
  <c r="U86" i="2"/>
  <c r="U110" i="2"/>
  <c r="V97" i="2"/>
  <c r="O70" i="2"/>
  <c r="P74" i="2"/>
  <c r="C66" i="2"/>
  <c r="G79" i="2"/>
  <c r="J98" i="2"/>
  <c r="V45" i="2"/>
  <c r="H76" i="2"/>
  <c r="H59" i="2"/>
  <c r="N92" i="2"/>
  <c r="F67" i="2"/>
  <c r="R60" i="2"/>
  <c r="AB61" i="3"/>
  <c r="AP93" i="3"/>
  <c r="AP83" i="3"/>
  <c r="AP79" i="3"/>
  <c r="AP87" i="3"/>
  <c r="C49" i="3"/>
  <c r="AP49" i="3"/>
  <c r="H34" i="3"/>
  <c r="H17" i="3"/>
  <c r="V16" i="3"/>
  <c r="R18" i="3"/>
  <c r="AM32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V51" i="2"/>
  <c r="D44" i="2"/>
  <c r="L89" i="2"/>
  <c r="M60" i="2"/>
  <c r="F86" i="2"/>
  <c r="U73" i="2"/>
  <c r="L53" i="2"/>
  <c r="N62" i="2"/>
  <c r="M112" i="2"/>
  <c r="N53" i="2"/>
  <c r="V63" i="2"/>
  <c r="O99" i="2"/>
  <c r="F107" i="2"/>
  <c r="C68" i="2"/>
  <c r="X107" i="2"/>
  <c r="F79" i="2"/>
  <c r="L66" i="2"/>
  <c r="E74" i="2"/>
  <c r="O104" i="2"/>
  <c r="S52" i="2"/>
  <c r="J77" i="2"/>
  <c r="F98" i="2"/>
  <c r="Q86" i="2"/>
  <c r="I51" i="2"/>
  <c r="V91" i="2"/>
  <c r="I69" i="2"/>
  <c r="D75" i="2"/>
  <c r="I93" i="2"/>
  <c r="G86" i="2"/>
  <c r="T57" i="2"/>
  <c r="N44" i="2"/>
  <c r="P77" i="2"/>
  <c r="W52" i="2"/>
  <c r="I79" i="2"/>
  <c r="P45" i="2"/>
  <c r="T110" i="2"/>
  <c r="L109" i="2"/>
  <c r="F93" i="2"/>
  <c r="AB81" i="3"/>
  <c r="AP66" i="3"/>
  <c r="AB93" i="3"/>
  <c r="AP63" i="3"/>
  <c r="AP94" i="3"/>
  <c r="AB86" i="3"/>
  <c r="AP64" i="3"/>
  <c r="AM33" i="3"/>
  <c r="AP12" i="3"/>
  <c r="L32" i="3"/>
  <c r="AK5" i="3"/>
  <c r="AQ39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V58" i="2"/>
  <c r="V86" i="2"/>
  <c r="W94" i="2"/>
  <c r="Q82" i="2"/>
  <c r="W111" i="2"/>
  <c r="S97" i="2"/>
  <c r="M41" i="2"/>
  <c r="J68" i="2"/>
  <c r="L79" i="2"/>
  <c r="K48" i="2"/>
  <c r="J42" i="2"/>
  <c r="V56" i="2"/>
  <c r="E93" i="2"/>
  <c r="K68" i="2"/>
  <c r="O112" i="2"/>
  <c r="C52" i="2"/>
  <c r="C77" i="2"/>
  <c r="N109" i="2"/>
  <c r="J48" i="2"/>
  <c r="V109" i="2"/>
  <c r="K112" i="2"/>
  <c r="D43" i="2"/>
  <c r="D67" i="2"/>
  <c r="S56" i="2"/>
  <c r="Q50" i="2"/>
  <c r="F77" i="2"/>
  <c r="F45" i="2"/>
  <c r="F59" i="2"/>
  <c r="X78" i="2"/>
  <c r="E87" i="2"/>
  <c r="P56" i="2"/>
  <c r="I40" i="2"/>
  <c r="N55" i="2"/>
  <c r="F81" i="2"/>
  <c r="E77" i="2"/>
  <c r="U64" i="2"/>
  <c r="M42" i="2"/>
  <c r="V79" i="2"/>
  <c r="AB68" i="3"/>
  <c r="AB78" i="3"/>
  <c r="AB92" i="3"/>
  <c r="AB96" i="3"/>
  <c r="AB87" i="3"/>
  <c r="AP50" i="3"/>
  <c r="AB76" i="3"/>
  <c r="C21" i="3"/>
  <c r="T8" i="3"/>
  <c r="AC18" i="3"/>
  <c r="AM16" i="3"/>
  <c r="AP10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K47" i="2"/>
  <c r="E94" i="2"/>
  <c r="R75" i="2"/>
  <c r="J99" i="2"/>
  <c r="R49" i="2"/>
  <c r="K66" i="2"/>
  <c r="H56" i="2"/>
  <c r="R113" i="2"/>
  <c r="J73" i="2"/>
  <c r="J40" i="2"/>
  <c r="L98" i="2"/>
  <c r="O60" i="2"/>
  <c r="U89" i="2"/>
  <c r="M58" i="2"/>
  <c r="J85" i="2"/>
  <c r="E56" i="2"/>
  <c r="L99" i="2"/>
  <c r="I111" i="2"/>
  <c r="S113" i="2"/>
  <c r="G54" i="2"/>
  <c r="S59" i="2"/>
  <c r="C40" i="2"/>
  <c r="Q60" i="2"/>
  <c r="F85" i="2"/>
  <c r="I105" i="2"/>
  <c r="N110" i="2"/>
  <c r="P110" i="2"/>
  <c r="F66" i="2"/>
  <c r="K83" i="2"/>
  <c r="H45" i="2"/>
  <c r="T70" i="2"/>
  <c r="H77" i="2"/>
  <c r="R97" i="2"/>
  <c r="K64" i="2"/>
  <c r="C56" i="2"/>
  <c r="O62" i="2"/>
  <c r="E96" i="2"/>
  <c r="N77" i="2"/>
  <c r="AB60" i="3"/>
  <c r="AB80" i="3"/>
  <c r="AP55" i="3"/>
  <c r="AB71" i="3"/>
  <c r="AB54" i="3"/>
  <c r="AB67" i="3"/>
  <c r="AP60" i="3"/>
  <c r="R29" i="3"/>
  <c r="O22" i="3"/>
  <c r="AN33" i="3"/>
  <c r="G36" i="3"/>
  <c r="Q34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F92" i="2"/>
  <c r="I84" i="2"/>
  <c r="H50" i="2"/>
  <c r="I63" i="2"/>
  <c r="U50" i="2"/>
  <c r="O45" i="2"/>
  <c r="V69" i="2"/>
  <c r="X67" i="2"/>
  <c r="F44" i="2"/>
  <c r="U95" i="2"/>
  <c r="X55" i="2"/>
  <c r="V41" i="2"/>
  <c r="G105" i="2"/>
  <c r="X105" i="2"/>
  <c r="P53" i="2"/>
  <c r="U46" i="2"/>
  <c r="L64" i="2"/>
  <c r="D59" i="2"/>
  <c r="N79" i="2"/>
  <c r="C83" i="2"/>
  <c r="X111" i="2"/>
  <c r="G80" i="2"/>
  <c r="T86" i="2"/>
  <c r="W64" i="2"/>
  <c r="O67" i="2"/>
  <c r="M56" i="2"/>
  <c r="M64" i="2"/>
  <c r="W104" i="2"/>
  <c r="T62" i="2"/>
  <c r="N46" i="2"/>
  <c r="E48" i="2"/>
  <c r="R40" i="2"/>
  <c r="G69" i="2"/>
  <c r="X81" i="2"/>
  <c r="O61" i="2"/>
  <c r="V83" i="2"/>
  <c r="M59" i="2"/>
  <c r="U113" i="2"/>
  <c r="AP84" i="3"/>
  <c r="AB55" i="3"/>
  <c r="AP59" i="3"/>
  <c r="AP91" i="3"/>
  <c r="AB82" i="3"/>
  <c r="AP72" i="3"/>
  <c r="AP69" i="3"/>
  <c r="S7" i="3"/>
  <c r="J36" i="3"/>
  <c r="AH23" i="3"/>
  <c r="AJ31" i="3"/>
  <c r="AH31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D60" i="2"/>
  <c r="R45" i="2"/>
  <c r="T58" i="2"/>
  <c r="X109" i="2"/>
  <c r="U51" i="2"/>
  <c r="AB50" i="3"/>
  <c r="T23" i="3"/>
  <c r="AP25" i="3"/>
  <c r="AN31" i="3"/>
  <c r="AP41" i="3"/>
  <c r="N40" i="3"/>
  <c r="AE25" i="3"/>
  <c r="AH15" i="3"/>
  <c r="AK17" i="3"/>
  <c r="L5" i="3"/>
  <c r="AL9" i="3"/>
  <c r="P20" i="3"/>
  <c r="N21" i="3"/>
  <c r="AL10" i="3"/>
  <c r="L16" i="3"/>
  <c r="AP15" i="3"/>
  <c r="K21" i="3"/>
  <c r="K15" i="3"/>
  <c r="T14" i="3"/>
  <c r="L36" i="3"/>
  <c r="N29" i="3"/>
  <c r="AJ32" i="3"/>
  <c r="M38" i="3"/>
  <c r="U36" i="3"/>
  <c r="AJ12" i="3"/>
  <c r="AI20" i="3"/>
  <c r="Y20" i="3"/>
  <c r="L9" i="3"/>
  <c r="U39" i="3"/>
  <c r="X40" i="3"/>
  <c r="AD36" i="3"/>
  <c r="AG31" i="3"/>
  <c r="Z21" i="3"/>
  <c r="U27" i="3"/>
  <c r="Y26" i="3"/>
  <c r="AN21" i="3"/>
  <c r="AJ35" i="3"/>
  <c r="AN42" i="3"/>
  <c r="AN11" i="3"/>
  <c r="AM28" i="3"/>
  <c r="O14" i="3"/>
  <c r="Z5" i="3"/>
  <c r="AN1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AE27" i="3"/>
  <c r="O33" i="3"/>
  <c r="W14" i="3"/>
  <c r="Q17" i="3"/>
  <c r="AH20" i="3"/>
  <c r="T5" i="3"/>
  <c r="AP32" i="3"/>
  <c r="AI33" i="3"/>
  <c r="V15" i="3"/>
  <c r="AB28" i="3"/>
  <c r="W23" i="3"/>
  <c r="U10" i="3"/>
  <c r="O36" i="3"/>
  <c r="C29" i="3"/>
  <c r="K11" i="3"/>
  <c r="L40" i="3"/>
  <c r="X8" i="3"/>
  <c r="R22" i="3"/>
  <c r="X39" i="3"/>
  <c r="AK8" i="3"/>
  <c r="R8" i="3"/>
  <c r="AJ37" i="3"/>
  <c r="AN36" i="3"/>
  <c r="AC34" i="3"/>
  <c r="AC41" i="3"/>
  <c r="AL19" i="3"/>
  <c r="Q18" i="3"/>
  <c r="L10" i="3"/>
  <c r="M18" i="3"/>
  <c r="Q10" i="3"/>
  <c r="N27" i="3"/>
  <c r="M40" i="3"/>
  <c r="AK13" i="3"/>
  <c r="AL11" i="3"/>
  <c r="C39" i="3"/>
  <c r="AM34" i="3"/>
  <c r="AK40" i="3"/>
  <c r="AH38" i="3"/>
  <c r="AL5" i="3"/>
  <c r="R11" i="3"/>
  <c r="K32" i="3"/>
  <c r="Z33" i="3"/>
  <c r="M75" i="2"/>
  <c r="V68" i="2"/>
  <c r="N67" i="2"/>
  <c r="E78" i="2"/>
  <c r="C87" i="2"/>
  <c r="AP92" i="3"/>
  <c r="K13" i="3"/>
  <c r="I38" i="3"/>
  <c r="AH33" i="3"/>
  <c r="AI16" i="3"/>
  <c r="AN9" i="3"/>
  <c r="H13" i="3"/>
  <c r="W29" i="3"/>
  <c r="AG28" i="3"/>
  <c r="AB37" i="3"/>
  <c r="O41" i="3"/>
  <c r="AI5" i="3"/>
  <c r="AL22" i="3"/>
  <c r="R17" i="3"/>
  <c r="C34" i="3"/>
  <c r="R28" i="3"/>
  <c r="V27" i="3"/>
  <c r="Z31" i="3"/>
  <c r="AP33" i="3"/>
  <c r="AP22" i="3"/>
  <c r="X29" i="3"/>
  <c r="W41" i="3"/>
  <c r="N42" i="3"/>
  <c r="Y32" i="3"/>
  <c r="T21" i="3"/>
  <c r="Y33" i="3"/>
  <c r="AC26" i="3"/>
  <c r="X32" i="3"/>
  <c r="J9" i="3"/>
  <c r="P42" i="3"/>
  <c r="W42" i="3"/>
  <c r="AK14" i="3"/>
  <c r="AQ27" i="3"/>
  <c r="T7" i="3"/>
  <c r="AG19" i="3"/>
  <c r="N7" i="3"/>
  <c r="G33" i="3"/>
  <c r="Z42" i="3"/>
  <c r="M28" i="3"/>
  <c r="Q13" i="3"/>
  <c r="K17" i="3"/>
  <c r="L7" i="3"/>
  <c r="J28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W8" i="3"/>
  <c r="H33" i="3"/>
  <c r="AE15" i="3"/>
  <c r="X42" i="3"/>
  <c r="U13" i="3"/>
  <c r="AN30" i="3"/>
  <c r="O31" i="3"/>
  <c r="AE26" i="3"/>
  <c r="H8" i="3"/>
  <c r="AM6" i="3"/>
  <c r="T15" i="3"/>
  <c r="W30" i="3"/>
  <c r="AH18" i="3"/>
  <c r="AD23" i="3"/>
  <c r="AE22" i="3"/>
  <c r="AO22" i="3"/>
  <c r="AH8" i="3"/>
  <c r="K20" i="3"/>
  <c r="J11" i="3"/>
  <c r="S15" i="3"/>
  <c r="AJ27" i="3"/>
  <c r="J19" i="3"/>
  <c r="T31" i="3"/>
  <c r="AA17" i="3"/>
  <c r="L18" i="3"/>
  <c r="AO38" i="3"/>
  <c r="AE30" i="3"/>
  <c r="AO28" i="3"/>
  <c r="U35" i="3"/>
  <c r="AL18" i="3"/>
  <c r="AK38" i="3"/>
  <c r="M24" i="3"/>
  <c r="X18" i="3"/>
  <c r="AD49" i="3"/>
  <c r="AK15" i="3"/>
  <c r="AO13" i="3"/>
  <c r="AQ24" i="3"/>
  <c r="T29" i="3"/>
  <c r="AC40" i="3"/>
  <c r="U93" i="2"/>
  <c r="L106" i="2"/>
  <c r="C51" i="2"/>
  <c r="R50" i="2"/>
  <c r="F88" i="2"/>
  <c r="AP81" i="3"/>
  <c r="AI6" i="3"/>
  <c r="W26" i="3"/>
  <c r="AK37" i="3"/>
  <c r="AH13" i="3"/>
  <c r="Z34" i="3"/>
  <c r="AO20" i="3"/>
  <c r="AQ8" i="3"/>
  <c r="X10" i="3"/>
  <c r="X15" i="3"/>
  <c r="O35" i="3"/>
  <c r="C19" i="3"/>
  <c r="Y38" i="3"/>
  <c r="P6" i="3"/>
  <c r="AO11" i="3"/>
  <c r="P35" i="3"/>
  <c r="AK41" i="3"/>
  <c r="AK36" i="3"/>
  <c r="E50" i="3"/>
  <c r="U6" i="3"/>
  <c r="AL8" i="3"/>
  <c r="V11" i="3"/>
  <c r="R37" i="3"/>
  <c r="AK39" i="3"/>
  <c r="Y23" i="3"/>
  <c r="H15" i="3"/>
  <c r="M27" i="3"/>
  <c r="AE23" i="3"/>
  <c r="T19" i="3"/>
  <c r="L42" i="3"/>
  <c r="Y8" i="3"/>
  <c r="L17" i="3"/>
  <c r="AN10" i="3"/>
  <c r="AJ26" i="3"/>
  <c r="T37" i="3"/>
  <c r="AP42" i="3"/>
  <c r="Z18" i="3"/>
  <c r="AK6" i="3"/>
  <c r="AQ25" i="3"/>
  <c r="Y5" i="3"/>
  <c r="S8" i="3"/>
  <c r="AA18" i="3"/>
  <c r="AC30" i="3"/>
  <c r="AQ35" i="3"/>
  <c r="S22" i="3"/>
  <c r="V35" i="3"/>
  <c r="V28" i="3"/>
  <c r="O12" i="3"/>
  <c r="AA28" i="3"/>
  <c r="S10" i="3"/>
  <c r="K37" i="3"/>
  <c r="J10" i="3"/>
  <c r="J31" i="3"/>
  <c r="V39" i="3"/>
  <c r="K5" i="3"/>
  <c r="AJ29" i="3"/>
  <c r="N23" i="3"/>
  <c r="AN15" i="3"/>
  <c r="Y41" i="3"/>
  <c r="O8" i="3"/>
  <c r="R42" i="3"/>
  <c r="K24" i="3"/>
  <c r="AP39" i="3"/>
  <c r="AH39" i="3"/>
  <c r="G87" i="2"/>
  <c r="H57" i="2"/>
  <c r="K77" i="2"/>
  <c r="S95" i="2"/>
  <c r="AB83" i="3"/>
  <c r="AB62" i="3"/>
  <c r="AG39" i="3"/>
  <c r="T24" i="3"/>
  <c r="I23" i="3"/>
  <c r="AB41" i="3"/>
  <c r="AA12" i="3"/>
  <c r="K36" i="3"/>
  <c r="N5" i="3"/>
  <c r="AB22" i="3"/>
  <c r="V9" i="3"/>
  <c r="M22" i="3"/>
  <c r="Q29" i="3"/>
  <c r="AP26" i="3"/>
  <c r="O20" i="3"/>
  <c r="M7" i="3"/>
  <c r="G50" i="3"/>
  <c r="H25" i="3"/>
  <c r="AJ11" i="3"/>
  <c r="AB13" i="3"/>
  <c r="AO23" i="3"/>
  <c r="AK20" i="3"/>
  <c r="AD19" i="3"/>
  <c r="N28" i="3"/>
  <c r="P23" i="3"/>
  <c r="AQ30" i="3"/>
  <c r="J32" i="3"/>
  <c r="J20" i="3"/>
  <c r="R23" i="3"/>
  <c r="O25" i="3"/>
  <c r="AK35" i="3"/>
  <c r="AL6" i="3"/>
  <c r="R41" i="3"/>
  <c r="L13" i="3"/>
  <c r="U5" i="3"/>
  <c r="AG41" i="3"/>
  <c r="AG24" i="3"/>
  <c r="V42" i="3"/>
  <c r="C36" i="3"/>
  <c r="R19" i="3"/>
  <c r="AO36" i="3"/>
  <c r="N18" i="3"/>
  <c r="U40" i="3"/>
  <c r="Q7" i="3"/>
  <c r="AJ40" i="3"/>
  <c r="G47" i="3"/>
  <c r="L21" i="3"/>
  <c r="L35" i="3"/>
  <c r="J8" i="3"/>
  <c r="AC16" i="3"/>
  <c r="P15" i="3"/>
  <c r="AM17" i="3"/>
  <c r="P37" i="3"/>
  <c r="L12" i="3"/>
  <c r="X37" i="3"/>
  <c r="T39" i="3"/>
  <c r="S25" i="3"/>
  <c r="V23" i="3"/>
  <c r="AA11" i="3"/>
  <c r="C31" i="3"/>
  <c r="T91" i="2"/>
  <c r="P52" i="2"/>
  <c r="N63" i="2"/>
  <c r="W112" i="2"/>
  <c r="AP96" i="3"/>
  <c r="AB56" i="3"/>
  <c r="M35" i="3"/>
  <c r="AQ29" i="3"/>
  <c r="H5" i="3"/>
  <c r="Q27" i="3"/>
  <c r="AM25" i="3"/>
  <c r="Q33" i="3"/>
  <c r="T34" i="3"/>
  <c r="M36" i="3"/>
  <c r="J25" i="3"/>
  <c r="AE11" i="3"/>
  <c r="V29" i="3"/>
  <c r="AQ32" i="3"/>
  <c r="AC19" i="3"/>
  <c r="AJ20" i="3"/>
  <c r="AH35" i="3"/>
  <c r="AO31" i="3"/>
  <c r="I21" i="3"/>
  <c r="O30" i="3"/>
  <c r="W10" i="3"/>
  <c r="AP18" i="3"/>
  <c r="AL21" i="3"/>
  <c r="AL38" i="3"/>
  <c r="O26" i="3"/>
  <c r="AN5" i="3"/>
  <c r="AO17" i="3"/>
  <c r="AM23" i="3"/>
  <c r="AB35" i="3"/>
  <c r="AL29" i="3"/>
  <c r="AE36" i="3"/>
  <c r="Q30" i="3"/>
  <c r="I20" i="3"/>
  <c r="AA7" i="3"/>
  <c r="O32" i="3"/>
  <c r="Y14" i="3"/>
  <c r="AG20" i="3"/>
  <c r="U29" i="3"/>
  <c r="W17" i="3"/>
  <c r="AI8" i="3"/>
  <c r="AQ5" i="3"/>
  <c r="J30" i="3"/>
  <c r="C13" i="3"/>
  <c r="Y9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AG40" i="3"/>
  <c r="K8" i="3"/>
  <c r="AO5" i="3"/>
  <c r="V20" i="3"/>
  <c r="S37" i="3"/>
  <c r="AC33" i="3"/>
  <c r="R10" i="3"/>
  <c r="M37" i="3"/>
  <c r="AL26" i="3"/>
  <c r="T9" i="3"/>
  <c r="Y10" i="3"/>
  <c r="N33" i="3"/>
  <c r="AQ20" i="3"/>
  <c r="C97" i="2"/>
  <c r="X104" i="2"/>
  <c r="U107" i="2"/>
  <c r="D107" i="2"/>
  <c r="AP75" i="3"/>
  <c r="AP76" i="3"/>
  <c r="AJ38" i="3"/>
  <c r="AE10" i="3"/>
  <c r="X12" i="3"/>
  <c r="X7" i="3"/>
  <c r="AE21" i="3"/>
  <c r="AD20" i="3"/>
  <c r="AN12" i="3"/>
  <c r="AJ16" i="3"/>
  <c r="P8" i="3"/>
  <c r="L31" i="3"/>
  <c r="AM5" i="3"/>
  <c r="W7" i="3"/>
  <c r="AP28" i="3"/>
  <c r="AC25" i="3"/>
  <c r="AH40" i="3"/>
  <c r="AG30" i="3"/>
  <c r="AB29" i="3"/>
  <c r="V7" i="3"/>
  <c r="X26" i="3"/>
  <c r="Z36" i="3"/>
  <c r="AA23" i="3"/>
  <c r="P29" i="3"/>
  <c r="AE28" i="3"/>
  <c r="AA33" i="3"/>
  <c r="I10" i="3"/>
  <c r="J23" i="3"/>
  <c r="AL36" i="3"/>
  <c r="AJ18" i="3"/>
  <c r="AD26" i="3"/>
  <c r="AL25" i="3"/>
  <c r="Q6" i="3"/>
  <c r="U34" i="3"/>
  <c r="R27" i="3"/>
  <c r="S6" i="3"/>
  <c r="AM10" i="3"/>
  <c r="AD27" i="3"/>
  <c r="S5" i="3"/>
  <c r="AE35" i="3"/>
  <c r="AA29" i="3"/>
  <c r="P28" i="3"/>
  <c r="K39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X6" i="3"/>
  <c r="Q42" i="3"/>
  <c r="AL32" i="3"/>
  <c r="AP29" i="3"/>
  <c r="C10" i="3"/>
  <c r="Q20" i="3"/>
  <c r="AL14" i="3"/>
  <c r="AP27" i="3"/>
  <c r="AD34" i="3"/>
  <c r="V17" i="3"/>
  <c r="AH9" i="3"/>
  <c r="V10" i="3"/>
  <c r="X41" i="3"/>
  <c r="J22" i="3"/>
  <c r="AJ9" i="3"/>
  <c r="V37" i="3"/>
  <c r="X23" i="3"/>
  <c r="AI26" i="3"/>
  <c r="AJ6" i="3"/>
  <c r="AO40" i="3"/>
  <c r="AC11" i="3"/>
  <c r="AO19" i="3"/>
  <c r="I17" i="3"/>
  <c r="H31" i="3"/>
  <c r="AE16" i="3"/>
  <c r="AB17" i="3"/>
  <c r="J5" i="3"/>
  <c r="V46" i="2"/>
  <c r="J90" i="2"/>
  <c r="D113" i="2"/>
  <c r="S64" i="2"/>
  <c r="AB57" i="3"/>
  <c r="AB49" i="3"/>
  <c r="AI12" i="3"/>
  <c r="Y40" i="3"/>
  <c r="M34" i="3"/>
  <c r="C38" i="3"/>
  <c r="O17" i="3"/>
  <c r="Q35" i="3"/>
  <c r="H11" i="3"/>
  <c r="P13" i="3"/>
  <c r="AP40" i="3"/>
  <c r="L6" i="3"/>
  <c r="O18" i="3"/>
  <c r="AJ15" i="3"/>
  <c r="L14" i="3"/>
  <c r="L23" i="3"/>
  <c r="AQ12" i="3"/>
  <c r="P16" i="3"/>
  <c r="U33" i="3"/>
  <c r="W9" i="3"/>
  <c r="M30" i="3"/>
  <c r="Y7" i="3"/>
  <c r="AE41" i="3"/>
  <c r="W13" i="3"/>
  <c r="P17" i="3"/>
  <c r="AB27" i="3"/>
  <c r="R39" i="3"/>
  <c r="J13" i="3"/>
  <c r="AD47" i="3"/>
  <c r="Z20" i="3"/>
  <c r="AO12" i="3"/>
  <c r="AB7" i="3"/>
  <c r="C14" i="3"/>
  <c r="C20" i="3"/>
  <c r="J40" i="3"/>
  <c r="AI37" i="3"/>
  <c r="N38" i="3"/>
  <c r="AA20" i="3"/>
  <c r="Y35" i="3"/>
  <c r="V26" i="3"/>
  <c r="R31" i="3"/>
  <c r="AM36" i="3"/>
  <c r="C18" i="3"/>
  <c r="W39" i="3"/>
  <c r="M14" i="3"/>
  <c r="AK16" i="3"/>
  <c r="U17" i="3"/>
  <c r="V19" i="3"/>
  <c r="N41" i="3"/>
  <c r="H22" i="3"/>
  <c r="AO27" i="3"/>
  <c r="O40" i="3"/>
  <c r="S29" i="3"/>
  <c r="V21" i="3"/>
  <c r="AJ10" i="3"/>
  <c r="AI29" i="3"/>
  <c r="U42" i="3"/>
  <c r="AB31" i="3"/>
  <c r="K16" i="3"/>
  <c r="AA10" i="3"/>
  <c r="AQ26" i="3"/>
  <c r="AN39" i="3"/>
  <c r="AB8" i="3"/>
  <c r="K34" i="3"/>
  <c r="X11" i="3"/>
  <c r="AB9" i="3"/>
  <c r="J35" i="3"/>
  <c r="AG29" i="3"/>
  <c r="C35" i="3"/>
  <c r="AG11" i="3"/>
  <c r="I81" i="2"/>
  <c r="H90" i="2"/>
  <c r="Q51" i="2"/>
  <c r="O47" i="2"/>
  <c r="AB72" i="3"/>
  <c r="AB64" i="3"/>
  <c r="AQ13" i="3"/>
  <c r="AG42" i="3"/>
  <c r="AE24" i="3"/>
  <c r="H14" i="3"/>
  <c r="N39" i="3"/>
  <c r="X28" i="3"/>
  <c r="U41" i="3"/>
  <c r="Z12" i="3"/>
  <c r="C22" i="3"/>
  <c r="AN27" i="3"/>
  <c r="V33" i="3"/>
  <c r="AK11" i="3"/>
  <c r="AO32" i="3"/>
  <c r="R26" i="3"/>
  <c r="AG23" i="3"/>
  <c r="T10" i="3"/>
  <c r="AL15" i="3"/>
  <c r="L38" i="3"/>
  <c r="W27" i="3"/>
  <c r="R38" i="3"/>
  <c r="Y36" i="3"/>
  <c r="AI36" i="3"/>
  <c r="R9" i="3"/>
  <c r="C6" i="3"/>
  <c r="AD33" i="3"/>
  <c r="AE17" i="3"/>
  <c r="AN38" i="3"/>
  <c r="AL17" i="3"/>
  <c r="AP20" i="3"/>
  <c r="V6" i="3"/>
  <c r="AI25" i="3"/>
  <c r="J6" i="3"/>
  <c r="W38" i="3"/>
  <c r="Z41" i="3"/>
  <c r="U18" i="3"/>
  <c r="I27" i="3"/>
  <c r="Q24" i="3"/>
  <c r="AQ31" i="3"/>
  <c r="K14" i="3"/>
  <c r="N31" i="3"/>
  <c r="AP24" i="3"/>
  <c r="K27" i="3"/>
  <c r="AC32" i="3"/>
  <c r="T18" i="3"/>
  <c r="AI40" i="3"/>
  <c r="AQ7" i="3"/>
  <c r="X20" i="3"/>
  <c r="AO8" i="3"/>
  <c r="AC24" i="3"/>
  <c r="AO26" i="3"/>
  <c r="H16" i="3"/>
  <c r="L24" i="3"/>
  <c r="AA39" i="3"/>
  <c r="C44" i="2"/>
  <c r="L42" i="2"/>
  <c r="F62" i="2"/>
  <c r="O108" i="2"/>
  <c r="AB47" i="3"/>
  <c r="AP67" i="3"/>
  <c r="U21" i="3"/>
  <c r="U30" i="3"/>
  <c r="AJ25" i="3"/>
  <c r="E47" i="3"/>
  <c r="I16" i="3"/>
  <c r="AM11" i="3"/>
  <c r="Y34" i="3"/>
  <c r="AC37" i="3"/>
  <c r="N35" i="3"/>
  <c r="Z24" i="3"/>
  <c r="AI23" i="3"/>
  <c r="AD30" i="3"/>
  <c r="Z32" i="3"/>
  <c r="Q21" i="3"/>
  <c r="H29" i="3"/>
  <c r="AN41" i="3"/>
  <c r="S28" i="3"/>
  <c r="L41" i="3"/>
  <c r="Q8" i="3"/>
  <c r="X19" i="3"/>
  <c r="AQ17" i="3"/>
  <c r="S13" i="3"/>
  <c r="P49" i="2"/>
  <c r="R65" i="2"/>
  <c r="X112" i="2"/>
  <c r="F97" i="2"/>
  <c r="AP48" i="3"/>
  <c r="AB91" i="3"/>
  <c r="P39" i="3"/>
  <c r="Y17" i="3"/>
  <c r="AE32" i="3"/>
  <c r="I9" i="3"/>
  <c r="AG17" i="3"/>
  <c r="AI21" i="3"/>
  <c r="AB38" i="3"/>
  <c r="AG15" i="3"/>
  <c r="AM12" i="3"/>
  <c r="I13" i="3"/>
  <c r="C17" i="3"/>
  <c r="L30" i="3"/>
  <c r="X38" i="3"/>
  <c r="O6" i="3"/>
  <c r="AG32" i="3"/>
  <c r="AP31" i="3"/>
  <c r="X25" i="3"/>
  <c r="D50" i="3"/>
  <c r="AH41" i="3"/>
  <c r="Q40" i="3"/>
  <c r="AQ42" i="3"/>
  <c r="L27" i="3"/>
  <c r="U23" i="3"/>
  <c r="I30" i="3"/>
  <c r="G49" i="3"/>
  <c r="S39" i="3"/>
  <c r="AD25" i="3"/>
  <c r="Q14" i="3"/>
  <c r="Z13" i="3"/>
  <c r="Z22" i="3"/>
  <c r="AH26" i="3"/>
  <c r="AH19" i="3"/>
  <c r="AB14" i="3"/>
  <c r="N6" i="3"/>
  <c r="AI39" i="3"/>
  <c r="R34" i="3"/>
  <c r="K30" i="3"/>
  <c r="M42" i="3"/>
  <c r="C4" i="3"/>
  <c r="K12" i="3"/>
  <c r="AI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AI27" i="3"/>
  <c r="AI22" i="3"/>
  <c r="V22" i="3"/>
  <c r="J33" i="3"/>
  <c r="AG14" i="3"/>
  <c r="R16" i="3"/>
  <c r="T112" i="2"/>
  <c r="C61" i="2"/>
  <c r="S66" i="2"/>
  <c r="L97" i="2"/>
  <c r="AB79" i="3"/>
  <c r="AB74" i="3"/>
  <c r="O23" i="3"/>
  <c r="AC20" i="3"/>
  <c r="C7" i="3"/>
  <c r="AO7" i="3"/>
  <c r="W21" i="3"/>
  <c r="AI30" i="3"/>
  <c r="X36" i="3"/>
  <c r="AI9" i="3"/>
  <c r="AK27" i="3"/>
  <c r="AA40" i="3"/>
  <c r="AH7" i="3"/>
  <c r="T28" i="3"/>
  <c r="O9" i="3"/>
  <c r="N36" i="3"/>
  <c r="T26" i="3"/>
  <c r="AL42" i="3"/>
  <c r="AN24" i="3"/>
  <c r="X13" i="3"/>
  <c r="S24" i="3"/>
  <c r="AC31" i="3"/>
  <c r="I24" i="3"/>
  <c r="I33" i="3"/>
  <c r="X33" i="3"/>
  <c r="AO35" i="3"/>
  <c r="Q37" i="3"/>
  <c r="U7" i="3"/>
  <c r="C16" i="3"/>
  <c r="AO37" i="3"/>
  <c r="C11" i="3"/>
  <c r="K46" i="2"/>
  <c r="U70" i="2"/>
  <c r="S54" i="2"/>
  <c r="H55" i="2"/>
  <c r="AB94" i="3"/>
  <c r="H20" i="3"/>
  <c r="AO33" i="3"/>
  <c r="P10" i="3"/>
  <c r="K38" i="3"/>
  <c r="AI11" i="3"/>
  <c r="S35" i="3"/>
  <c r="W19" i="3"/>
  <c r="Y39" i="3"/>
  <c r="AA36" i="3"/>
  <c r="C32" i="3"/>
  <c r="AI10" i="3"/>
  <c r="AO24" i="3"/>
  <c r="AN6" i="3"/>
  <c r="AO34" i="3"/>
  <c r="AQ19" i="3"/>
  <c r="AB24" i="3"/>
  <c r="C40" i="3"/>
  <c r="AA5" i="3"/>
  <c r="AA41" i="3"/>
  <c r="AD48" i="3"/>
  <c r="AE20" i="3"/>
  <c r="AQ40" i="3"/>
  <c r="P40" i="3"/>
  <c r="Z23" i="3"/>
  <c r="P11" i="3"/>
  <c r="AM37" i="3"/>
  <c r="H23" i="3"/>
  <c r="R21" i="3"/>
  <c r="AB36" i="3"/>
  <c r="AC28" i="3"/>
  <c r="AM7" i="3"/>
  <c r="AK33" i="3"/>
  <c r="X9" i="3"/>
  <c r="AK42" i="3"/>
  <c r="AJ39" i="3"/>
  <c r="AC12" i="3"/>
  <c r="AG5" i="3"/>
  <c r="Y12" i="3"/>
  <c r="AA22" i="3"/>
  <c r="AK32" i="3"/>
  <c r="K31" i="3"/>
  <c r="W20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W55" i="3"/>
  <c r="N59" i="3"/>
  <c r="AM78" i="3"/>
  <c r="AO86" i="3"/>
  <c r="AG76" i="3"/>
  <c r="AC77" i="3"/>
  <c r="AM83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H66" i="3"/>
  <c r="AI64" i="3"/>
  <c r="AK56" i="3"/>
  <c r="AI58" i="3"/>
  <c r="Q58" i="3"/>
  <c r="H81" i="3"/>
  <c r="O95" i="3"/>
  <c r="AN75" i="3"/>
  <c r="M61" i="3"/>
  <c r="AN96" i="3"/>
  <c r="M91" i="3"/>
  <c r="N85" i="3"/>
  <c r="Z49" i="3"/>
  <c r="J48" i="3"/>
  <c r="K79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E65" i="3"/>
  <c r="I50" i="3"/>
  <c r="AI65" i="3"/>
  <c r="N69" i="3"/>
  <c r="L67" i="3"/>
  <c r="H64" i="3"/>
  <c r="AE6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N94" i="3"/>
  <c r="O60" i="3"/>
  <c r="AI70" i="3"/>
  <c r="X91" i="3"/>
  <c r="O50" i="3"/>
  <c r="Z92" i="3"/>
  <c r="N78" i="3"/>
  <c r="J66" i="3"/>
  <c r="AG61" i="3"/>
  <c r="Q76" i="3"/>
  <c r="AO48" i="3"/>
  <c r="S97" i="3"/>
  <c r="U64" i="3"/>
  <c r="AQ87" i="3"/>
  <c r="W75" i="3"/>
  <c r="P69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AM84" i="3"/>
  <c r="AN64" i="3"/>
  <c r="L70" i="3"/>
  <c r="AC82" i="3"/>
  <c r="M47" i="3"/>
  <c r="AC68" i="3"/>
  <c r="N62" i="3"/>
  <c r="AJ97" i="3"/>
  <c r="S87" i="3"/>
  <c r="AE70" i="3"/>
  <c r="V80" i="3"/>
  <c r="S66" i="3"/>
  <c r="U86" i="3"/>
  <c r="AQ72" i="3"/>
  <c r="H47" i="3"/>
  <c r="O71" i="3"/>
  <c r="U66" i="3"/>
  <c r="V96" i="3"/>
  <c r="I81" i="3"/>
  <c r="H77" i="3"/>
  <c r="X81" i="3"/>
  <c r="W50" i="3"/>
  <c r="AO81" i="3"/>
  <c r="AN76" i="3"/>
  <c r="AH48" i="3"/>
  <c r="AQ97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Y93" i="3"/>
  <c r="I74" i="3"/>
  <c r="AQ48" i="3"/>
  <c r="AG55" i="3"/>
  <c r="N66" i="3"/>
  <c r="X61" i="3"/>
  <c r="M66" i="3"/>
  <c r="W61" i="3"/>
  <c r="U92" i="3"/>
  <c r="AH90" i="3"/>
  <c r="AN66" i="3"/>
  <c r="W47" i="3"/>
  <c r="Y92" i="3"/>
  <c r="K78" i="3"/>
  <c r="AC85" i="3"/>
  <c r="Q77" i="3"/>
  <c r="V73" i="3"/>
  <c r="R77" i="3"/>
  <c r="R81" i="3"/>
  <c r="AM68" i="3"/>
  <c r="AM90" i="3"/>
  <c r="K68" i="3"/>
  <c r="V91" i="3"/>
  <c r="R68" i="3"/>
  <c r="W83" i="3"/>
  <c r="L55" i="3"/>
  <c r="AI48" i="3"/>
  <c r="M97" i="3"/>
  <c r="J86" i="3"/>
  <c r="L72" i="3"/>
  <c r="AE72" i="3"/>
  <c r="AA93" i="3"/>
  <c r="AC84" i="3"/>
  <c r="N83" i="3"/>
  <c r="AN70" i="3"/>
  <c r="AH56" i="3"/>
  <c r="AJ85" i="3"/>
  <c r="V55" i="3"/>
  <c r="S96" i="3"/>
  <c r="Y96" i="3"/>
  <c r="R54" i="3"/>
  <c r="M69" i="3"/>
  <c r="J69" i="3"/>
  <c r="AO63" i="3"/>
  <c r="I68" i="3"/>
  <c r="AQ57" i="3"/>
  <c r="P76" i="3"/>
  <c r="V85" i="3"/>
  <c r="Z55" i="3"/>
  <c r="W85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W67" i="3"/>
  <c r="N92" i="3"/>
  <c r="AG84" i="3"/>
  <c r="AG59" i="3"/>
  <c r="R90" i="3"/>
  <c r="AN91" i="3"/>
  <c r="V86" i="3"/>
  <c r="S82" i="3"/>
  <c r="U91" i="3"/>
  <c r="AQ73" i="3"/>
  <c r="I62" i="3"/>
  <c r="AQ70" i="3"/>
  <c r="X62" i="3"/>
  <c r="AC63" i="3"/>
  <c r="R82" i="3"/>
  <c r="P54" i="3"/>
  <c r="X60" i="3"/>
  <c r="W97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AK86" i="3"/>
  <c r="M82" i="3"/>
  <c r="AE73" i="3"/>
  <c r="AE97" i="3"/>
  <c r="V84" i="3"/>
  <c r="V50" i="3"/>
  <c r="I75" i="3"/>
  <c r="P85" i="3"/>
  <c r="AA70" i="3"/>
  <c r="AG80" i="3"/>
  <c r="AQ75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N73" i="3"/>
  <c r="AQ55" i="3"/>
  <c r="N57" i="3"/>
  <c r="P97" i="3"/>
  <c r="L49" i="3"/>
  <c r="P89" i="3"/>
  <c r="O79" i="3"/>
  <c r="AA94" i="3"/>
  <c r="P70" i="3"/>
  <c r="J78" i="3"/>
  <c r="AJ56" i="3"/>
  <c r="AN80" i="3"/>
  <c r="Y97" i="3"/>
  <c r="AK79" i="3"/>
  <c r="AI86" i="3"/>
  <c r="M73" i="3"/>
  <c r="V62" i="3"/>
  <c r="AH88" i="3"/>
  <c r="Z62" i="3"/>
  <c r="AG79" i="3"/>
  <c r="N75" i="3"/>
  <c r="AM77" i="3"/>
  <c r="I56" i="3"/>
  <c r="J49" i="3"/>
  <c r="AM66" i="3"/>
  <c r="J89" i="3"/>
  <c r="K84" i="3"/>
  <c r="AC54" i="3"/>
  <c r="AH82" i="3"/>
  <c r="U71" i="3"/>
  <c r="AM49" i="3"/>
  <c r="AK92" i="3"/>
  <c r="J65" i="3"/>
  <c r="H75" i="3"/>
  <c r="AE80" i="3"/>
  <c r="P60" i="3"/>
  <c r="AC78" i="3"/>
  <c r="Q70" i="3"/>
  <c r="AO97" i="3"/>
  <c r="N77" i="3"/>
  <c r="AC55" i="3"/>
  <c r="U60" i="3"/>
  <c r="AN57" i="3"/>
  <c r="S73" i="3"/>
  <c r="Y84" i="3"/>
  <c r="R47" i="3"/>
  <c r="AG58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X82" i="3"/>
  <c r="S49" i="3"/>
  <c r="U76" i="3"/>
  <c r="AQ61" i="3"/>
  <c r="I69" i="3"/>
  <c r="AQ64" i="3"/>
  <c r="X84" i="3"/>
  <c r="K82" i="3"/>
  <c r="R71" i="3"/>
  <c r="AA64" i="3"/>
  <c r="AC70" i="3"/>
  <c r="N90" i="3"/>
  <c r="AG54" i="3"/>
  <c r="V48" i="3"/>
  <c r="AQ77" i="3"/>
  <c r="AI79" i="3"/>
  <c r="O56" i="3"/>
  <c r="W58" i="3"/>
  <c r="AO90" i="3"/>
  <c r="I89" i="3"/>
  <c r="S86" i="3"/>
  <c r="P48" i="3"/>
  <c r="AO61" i="3"/>
  <c r="AH63" i="3"/>
  <c r="K69" i="3"/>
  <c r="M84" i="3"/>
  <c r="AE86" i="3"/>
  <c r="R94" i="3"/>
  <c r="O93" i="3"/>
  <c r="I72" i="3"/>
  <c r="H94" i="3"/>
  <c r="X85" i="3"/>
  <c r="V93" i="3"/>
  <c r="U90" i="3"/>
  <c r="U82" i="3"/>
  <c r="AN68" i="3"/>
  <c r="AI91" i="3"/>
  <c r="AG77" i="3"/>
  <c r="S68" i="3"/>
  <c r="R67" i="3"/>
  <c r="AO94" i="3"/>
  <c r="AE63" i="3"/>
  <c r="X71" i="3"/>
  <c r="AN47" i="3"/>
  <c r="AC92" i="3"/>
  <c r="AK76" i="3"/>
  <c r="Y71" i="3"/>
  <c r="M79" i="3"/>
  <c r="I73" i="3"/>
  <c r="AO91" i="3"/>
  <c r="J72" i="3"/>
  <c r="AO59" i="3"/>
  <c r="AM92" i="3"/>
  <c r="AG67" i="3"/>
  <c r="V54" i="3"/>
  <c r="Y75" i="3"/>
  <c r="AM65" i="3"/>
  <c r="P74" i="3"/>
  <c r="AH78" i="3"/>
  <c r="AE61" i="3"/>
  <c r="AM47" i="3"/>
  <c r="X69" i="3"/>
  <c r="M96" i="3"/>
  <c r="V56" i="3"/>
  <c r="J87" i="3"/>
  <c r="AH72" i="3"/>
  <c r="AK89" i="3"/>
  <c r="U65" i="3"/>
  <c r="AN86" i="3"/>
  <c r="AH64" i="3"/>
  <c r="Y94" i="3"/>
  <c r="R84" i="3"/>
  <c r="K6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S56" i="3"/>
  <c r="U87" i="3"/>
  <c r="AQ79" i="3"/>
  <c r="W70" i="3"/>
  <c r="R76" i="3"/>
  <c r="Z61" i="3"/>
  <c r="K56" i="3"/>
  <c r="R72" i="3"/>
  <c r="Q78" i="3"/>
  <c r="AO47" i="3"/>
  <c r="N72" i="3"/>
  <c r="AG97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K63" i="3"/>
  <c r="O72" i="3"/>
  <c r="W88" i="3"/>
  <c r="O80" i="3"/>
  <c r="W73" i="3"/>
  <c r="Z76" i="3"/>
  <c r="H63" i="3"/>
  <c r="AM59" i="3"/>
  <c r="L80" i="3"/>
  <c r="Q57" i="3"/>
  <c r="O88" i="3"/>
  <c r="AJ94" i="3"/>
  <c r="V92" i="3"/>
  <c r="U47" i="3"/>
  <c r="X67" i="3"/>
  <c r="R70" i="3"/>
  <c r="S81" i="3"/>
  <c r="AN74" i="3"/>
  <c r="Z84" i="3"/>
  <c r="AQ47" i="3"/>
  <c r="P68" i="3"/>
  <c r="M80" i="3"/>
  <c r="N95" i="3"/>
  <c r="AO7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AN79" i="3"/>
  <c r="AO65" i="3"/>
  <c r="X73" i="3"/>
  <c r="W66" i="3"/>
  <c r="AK71" i="3"/>
  <c r="AA54" i="3"/>
  <c r="S78" i="3"/>
  <c r="Z78" i="3"/>
  <c r="S57" i="3"/>
  <c r="Y49" i="3"/>
  <c r="I88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N81" i="3"/>
  <c r="AG48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M73" i="3"/>
  <c r="AJ71" i="3"/>
  <c r="Y66" i="3"/>
  <c r="AH95" i="3"/>
  <c r="Z50" i="3"/>
  <c r="AJ49" i="3"/>
  <c r="Z59" i="3"/>
  <c r="Q65" i="3"/>
  <c r="X48" i="3"/>
  <c r="N60" i="3"/>
  <c r="U72" i="3"/>
  <c r="AH92" i="3"/>
  <c r="I91" i="3"/>
  <c r="AJ78" i="3"/>
  <c r="Z95" i="3"/>
  <c r="J67" i="3"/>
  <c r="AH65" i="3"/>
  <c r="L71" i="3"/>
  <c r="AN93" i="3"/>
  <c r="O89" i="3"/>
  <c r="AA62" i="3"/>
  <c r="AH75" i="3"/>
  <c r="K71" i="3"/>
  <c r="AN55" i="3"/>
  <c r="Q83" i="3"/>
  <c r="N63" i="3"/>
  <c r="AH47" i="3"/>
  <c r="AJ68" i="3"/>
  <c r="R85" i="3"/>
  <c r="X64" i="3"/>
  <c r="AJ90" i="3"/>
  <c r="J68" i="3"/>
  <c r="AH83" i="3"/>
  <c r="X93" i="3"/>
  <c r="AE88" i="3"/>
  <c r="K97" i="3"/>
  <c r="N79" i="3"/>
  <c r="N73" i="3"/>
  <c r="L75" i="3"/>
  <c r="L50" i="3"/>
  <c r="AQ54" i="3"/>
  <c r="AA47" i="3"/>
  <c r="X77" i="3"/>
  <c r="U81" i="3"/>
  <c r="J55" i="3"/>
  <c r="V74" i="3"/>
  <c r="V68" i="3"/>
  <c r="P63" i="3"/>
  <c r="H49" i="3"/>
  <c r="P71" i="3"/>
  <c r="P59" i="3"/>
  <c r="AO66" i="3"/>
  <c r="M87" i="3"/>
  <c r="AC56" i="3"/>
  <c r="W77" i="3"/>
  <c r="AM76" i="3"/>
  <c r="R48" i="3"/>
  <c r="X59" i="3"/>
  <c r="AH76" i="3"/>
  <c r="Y70" i="3"/>
  <c r="I64" i="3"/>
  <c r="AH68" i="3"/>
  <c r="AN95" i="3"/>
  <c r="AC95" i="3"/>
  <c r="R63" i="3"/>
  <c r="J82" i="3"/>
  <c r="V81" i="3"/>
  <c r="J54" i="3"/>
  <c r="AK58" i="3"/>
  <c r="S88" i="3"/>
  <c r="V63" i="3"/>
  <c r="R91" i="3"/>
  <c r="AC93" i="3"/>
  <c r="I96" i="3"/>
  <c r="P82" i="3"/>
  <c r="AK74" i="3"/>
  <c r="AK83" i="3"/>
  <c r="AI73" i="3"/>
  <c r="Q56" i="3"/>
  <c r="M86" i="3"/>
  <c r="O67" i="3"/>
  <c r="AA96" i="3"/>
  <c r="Z90" i="3"/>
  <c r="AA90" i="3"/>
  <c r="N58" i="3"/>
  <c r="Z77" i="3"/>
  <c r="J50" i="3"/>
  <c r="K48" i="3"/>
  <c r="W60" i="3"/>
  <c r="AK82" i="3"/>
  <c r="AA61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I82" i="3"/>
  <c r="AM95" i="3"/>
  <c r="W54" i="3"/>
  <c r="P81" i="3"/>
  <c r="AN87" i="3"/>
  <c r="X87" i="3"/>
  <c r="W72" i="3"/>
  <c r="V59" i="3"/>
  <c r="S64" i="3"/>
  <c r="AE77" i="3"/>
  <c r="AA68" i="3"/>
  <c r="AM70" i="3"/>
  <c r="X74" i="3"/>
  <c r="AQ50" i="3"/>
  <c r="AG89" i="3"/>
  <c r="AO87" i="3"/>
  <c r="S62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AK47" i="3"/>
  <c r="AQ89" i="3"/>
  <c r="I61" i="3"/>
  <c r="H57" i="3"/>
  <c r="U55" i="3"/>
  <c r="AJ62" i="3"/>
  <c r="AN56" i="3"/>
  <c r="K95" i="3"/>
  <c r="Z71" i="3"/>
  <c r="H56" i="3"/>
  <c r="J63" i="3"/>
  <c r="R57" i="3"/>
  <c r="U70" i="3"/>
  <c r="AH93" i="3"/>
  <c r="J91" i="3"/>
  <c r="K63" i="3"/>
  <c r="R61" i="3"/>
  <c r="O75" i="3"/>
  <c r="U54" i="3"/>
  <c r="L90" i="3"/>
  <c r="AO64" i="3"/>
  <c r="M62" i="3"/>
  <c r="V70" i="3"/>
  <c r="AI89" i="3"/>
  <c r="H88" i="3"/>
  <c r="Q85" i="3"/>
  <c r="O69" i="3"/>
  <c r="J95" i="3"/>
  <c r="W87" i="3"/>
  <c r="AM60" i="3"/>
  <c r="R88" i="3"/>
  <c r="Z70" i="3"/>
  <c r="K72" i="3"/>
  <c r="AH57" i="3"/>
  <c r="Y62" i="3"/>
  <c r="I47" i="3"/>
  <c r="Y78" i="3"/>
  <c r="X57" i="3"/>
  <c r="R95" i="3"/>
  <c r="Y86" i="3"/>
  <c r="Z87" i="3"/>
  <c r="AM97" i="3"/>
  <c r="U88" i="3"/>
  <c r="R56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H85" i="3"/>
  <c r="Q84" i="3"/>
  <c r="AC47" i="3"/>
  <c r="K87" i="3"/>
  <c r="AH91" i="3"/>
  <c r="Y65" i="3"/>
  <c r="R69" i="3"/>
  <c r="M63" i="3"/>
  <c r="O82" i="3"/>
  <c r="AE71" i="3"/>
  <c r="K76" i="3"/>
  <c r="N55" i="3"/>
  <c r="AA67" i="3"/>
  <c r="AC62" i="3"/>
  <c r="AQ68" i="3"/>
  <c r="AJ92" i="3"/>
  <c r="AI85" i="3"/>
  <c r="V57" i="3"/>
  <c r="W86" i="3"/>
  <c r="AQ59" i="3"/>
  <c r="J88" i="3"/>
  <c r="AC72" i="3"/>
  <c r="AG65" i="3"/>
  <c r="W71" i="3"/>
  <c r="J64" i="3"/>
  <c r="Q79" i="3"/>
  <c r="Y81" i="3"/>
  <c r="R64" i="3"/>
  <c r="I67" i="3"/>
  <c r="Z94" i="3"/>
  <c r="AH54" i="3"/>
  <c r="AJ73" i="3"/>
  <c r="AA78" i="3"/>
  <c r="AI76" i="3"/>
  <c r="L92" i="3"/>
  <c r="P92" i="3"/>
  <c r="H97" i="3"/>
  <c r="AG62" i="3"/>
  <c r="S72" i="3"/>
  <c r="W56" i="3"/>
  <c r="AM86" i="3"/>
  <c r="AG93" i="3"/>
  <c r="AG73" i="3"/>
  <c r="AC65" i="3"/>
  <c r="K77" i="3"/>
  <c r="U97" i="3"/>
  <c r="Y73" i="3"/>
  <c r="I59" i="3"/>
  <c r="AQ88" i="3"/>
  <c r="Z75" i="3"/>
  <c r="K90" i="3"/>
  <c r="R80" i="3"/>
  <c r="AN49" i="3"/>
  <c r="Q72" i="3"/>
  <c r="AO69" i="3"/>
  <c r="AG74" i="3"/>
  <c r="R62" i="3"/>
  <c r="S80" i="3"/>
  <c r="I92" i="3"/>
  <c r="K60" i="3"/>
  <c r="AM48" i="3"/>
  <c r="L96" i="3"/>
  <c r="AI82" i="3"/>
  <c r="N67" i="3"/>
  <c r="AM87" i="3"/>
  <c r="L54" i="3"/>
  <c r="AE59" i="3"/>
  <c r="AC74" i="3"/>
  <c r="L48" i="3"/>
  <c r="H87" i="3"/>
  <c r="AE89" i="3"/>
  <c r="Q67" i="3"/>
  <c r="AH89" i="3"/>
  <c r="Q47" i="3"/>
  <c r="X58" i="3"/>
  <c r="Y59" i="3"/>
  <c r="W92" i="3"/>
  <c r="AM72" i="3"/>
  <c r="AE91" i="3"/>
  <c r="AG96" i="3"/>
  <c r="U73" i="3"/>
  <c r="J57" i="3"/>
  <c r="K83" i="3"/>
  <c r="AH62" i="3"/>
  <c r="Y76" i="3"/>
  <c r="R59" i="3"/>
  <c r="AE57" i="3"/>
  <c r="AO60" i="3"/>
  <c r="I60" i="3"/>
  <c r="S67" i="3"/>
  <c r="I95" i="3"/>
  <c r="O61" i="3"/>
  <c r="AA69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M70" i="3"/>
  <c r="AI67" i="3"/>
  <c r="O85" i="3"/>
  <c r="V90" i="3"/>
  <c r="Z69" i="3"/>
  <c r="AM55" i="3"/>
  <c r="S91" i="3"/>
  <c r="Y68" i="3"/>
  <c r="AC80" i="3"/>
  <c r="M90" i="3"/>
  <c r="N80" i="3"/>
  <c r="K70" i="3"/>
  <c r="AA75" i="3"/>
  <c r="U49" i="3"/>
  <c r="AQ71" i="3"/>
  <c r="AE87" i="3"/>
  <c r="V76" i="3"/>
  <c r="W79" i="3"/>
  <c r="X72" i="3"/>
  <c r="AC66" i="3"/>
  <c r="R97" i="3"/>
  <c r="W63" i="3"/>
  <c r="AQ93" i="3"/>
  <c r="L94" i="3"/>
  <c r="H85" i="3"/>
  <c r="AE68" i="3"/>
  <c r="P50" i="3"/>
  <c r="L63" i="3"/>
  <c r="J81" i="3"/>
  <c r="H84" i="3"/>
  <c r="Y47" i="3"/>
  <c r="Q68" i="3"/>
  <c r="AO82" i="3"/>
  <c r="N56" i="3"/>
  <c r="AM88" i="3"/>
  <c r="AJ47" i="3"/>
  <c r="K55" i="3"/>
  <c r="AH96" i="3"/>
  <c r="Y87" i="3"/>
  <c r="AJ75" i="3"/>
  <c r="AO84" i="3"/>
  <c r="X94" i="3"/>
  <c r="J74" i="3"/>
  <c r="I78" i="3"/>
  <c r="L84" i="3"/>
  <c r="H67" i="3"/>
  <c r="AJ82" i="3"/>
  <c r="AN89" i="3"/>
  <c r="AI68" i="3"/>
  <c r="H55" i="3"/>
  <c r="V69" i="3"/>
  <c r="Q93" i="3"/>
  <c r="R79" i="3"/>
  <c r="Z57" i="3"/>
  <c r="AJ81" i="3"/>
  <c r="AK77" i="3"/>
  <c r="L61" i="3"/>
  <c r="H89" i="3"/>
  <c r="AC97" i="3"/>
  <c r="AI74" i="3"/>
  <c r="Z80" i="3"/>
  <c r="W48" i="3"/>
  <c r="U48" i="3"/>
  <c r="AG68" i="3"/>
  <c r="AG49" i="3"/>
  <c r="AC76" i="3"/>
  <c r="S55" i="3"/>
  <c r="U96" i="3"/>
  <c r="AQ62" i="3"/>
  <c r="I97" i="3"/>
  <c r="R93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X89" i="3"/>
  <c r="Z58" i="3"/>
  <c r="AQ94" i="3"/>
  <c r="AG85" i="3"/>
  <c r="U58" i="3"/>
  <c r="AJ59" i="3"/>
  <c r="AO62" i="3"/>
  <c r="I49" i="3"/>
  <c r="K6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N59" i="3"/>
  <c r="AK65" i="3"/>
  <c r="S63" i="3"/>
  <c r="X83" i="3"/>
  <c r="O64" i="3"/>
  <c r="AJ88" i="3"/>
  <c r="Y67" i="3"/>
  <c r="I55" i="3"/>
  <c r="V72" i="3"/>
  <c r="K92" i="3"/>
  <c r="K93" i="3"/>
  <c r="K58" i="3"/>
  <c r="AG82" i="3"/>
  <c r="K85" i="3"/>
  <c r="P55" i="3"/>
  <c r="N86" i="3"/>
  <c r="AN67" i="3"/>
  <c r="AO76" i="3"/>
  <c r="Y74" i="3"/>
  <c r="AH84" i="3"/>
  <c r="Z54" i="3"/>
  <c r="AA81" i="3"/>
  <c r="X97" i="3"/>
  <c r="AC79" i="3"/>
  <c r="AH79" i="3"/>
  <c r="U95" i="3"/>
  <c r="AQ95" i="3"/>
  <c r="N49" i="3"/>
  <c r="O54" i="3"/>
  <c r="Q87" i="3"/>
  <c r="M67" i="3"/>
  <c r="P86" i="3"/>
  <c r="X47" i="3"/>
  <c r="W57" i="3"/>
  <c r="AA87" i="3"/>
  <c r="AG88" i="3"/>
  <c r="S79" i="3"/>
  <c r="AO83" i="3"/>
  <c r="S94" i="3"/>
  <c r="U62" i="3"/>
  <c r="AQ56" i="3"/>
  <c r="W78" i="3"/>
  <c r="I80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R49" i="3"/>
  <c r="AG94" i="3"/>
  <c r="U93" i="3"/>
  <c r="AH87" i="3"/>
  <c r="AO92" i="3"/>
  <c r="Q90" i="3"/>
  <c r="AO80" i="3"/>
  <c r="AQ60" i="3"/>
  <c r="L95" i="3"/>
  <c r="P72" i="3"/>
  <c r="Y60" i="3"/>
  <c r="AG91" i="3"/>
  <c r="S60" i="3"/>
  <c r="AH58" i="3"/>
  <c r="S83" i="3"/>
  <c r="J84" i="3"/>
  <c r="AM63" i="3"/>
  <c r="Y48" i="3"/>
  <c r="I93" i="3"/>
  <c r="AH50" i="3"/>
  <c r="AN48" i="3"/>
  <c r="Z72" i="3"/>
  <c r="AQ92" i="3"/>
  <c r="Z68" i="3"/>
  <c r="J73" i="3"/>
  <c r="W76" i="3"/>
  <c r="Z82" i="3"/>
  <c r="X86" i="3"/>
  <c r="Y69" i="3"/>
  <c r="I87" i="3"/>
  <c r="AI54" i="3"/>
  <c r="P66" i="3"/>
  <c r="J70" i="3"/>
  <c r="AI96" i="3"/>
  <c r="N64" i="3"/>
  <c r="P47" i="3"/>
  <c r="P56" i="3"/>
  <c r="X90" i="3"/>
  <c r="O92" i="3"/>
  <c r="U50" i="3"/>
  <c r="X75" i="3"/>
  <c r="V94" i="3"/>
  <c r="AE76" i="3"/>
  <c r="M64" i="3"/>
  <c r="I86" i="3"/>
  <c r="AA84" i="3"/>
  <c r="Q95" i="3"/>
  <c r="Y50" i="3"/>
  <c r="AC49" i="3"/>
  <c r="Z63" i="3"/>
  <c r="Q49" i="3"/>
  <c r="R50" i="3"/>
  <c r="K57" i="3"/>
  <c r="M81" i="3"/>
  <c r="W95" i="3"/>
  <c r="Z91" i="3"/>
  <c r="W94" i="3"/>
  <c r="K65" i="3"/>
  <c r="AK88" i="3"/>
  <c r="X66" i="3"/>
  <c r="Q64" i="3"/>
  <c r="R65" i="3"/>
  <c r="Q66" i="3"/>
  <c r="V75" i="3"/>
  <c r="AC64" i="3"/>
  <c r="AN97" i="3"/>
  <c r="Y77" i="3"/>
  <c r="AG71" i="3"/>
  <c r="V58" i="3"/>
  <c r="AO57" i="3"/>
  <c r="P77" i="3"/>
  <c r="AK73" i="3"/>
  <c r="AE58" i="3"/>
  <c r="AE60" i="3"/>
  <c r="Z96" i="3"/>
  <c r="AO85" i="3"/>
  <c r="AH97" i="3"/>
  <c r="S77" i="3" l="1"/>
  <c r="AA60" i="3"/>
  <c r="AK48" i="3"/>
  <c r="AN92" i="3"/>
  <c r="AQ74" i="3"/>
  <c r="AQ63" i="3"/>
  <c r="I76" i="3"/>
  <c r="AG92" i="3"/>
  <c r="AA49" i="3"/>
  <c r="Y54" i="3"/>
  <c r="Y80" i="3"/>
  <c r="AQ67" i="3"/>
  <c r="AA73" i="3"/>
  <c r="AH71" i="3"/>
  <c r="CB87" i="1"/>
  <c r="CB104" i="1"/>
  <c r="CB108" i="1"/>
  <c r="CB111" i="1" s="1"/>
  <c r="CB114" i="1" s="1"/>
  <c r="CB96" i="1"/>
  <c r="HV21" i="4"/>
  <c r="AP77" i="1" s="1"/>
  <c r="JI14" i="4"/>
  <c r="JI19" i="4" s="1"/>
  <c r="CC78" i="1" s="1"/>
  <c r="IU21" i="4"/>
  <c r="BO77" i="1" s="1"/>
  <c r="IO8" i="4"/>
  <c r="CA85" i="1"/>
  <c r="CA102" i="1"/>
  <c r="CA94" i="1"/>
  <c r="V65" i="3"/>
  <c r="M71" i="3"/>
  <c r="AA50" i="3"/>
  <c r="AL96" i="3"/>
  <c r="AL85" i="3"/>
  <c r="AL54" i="3"/>
  <c r="AL50" i="3"/>
  <c r="AL69" i="3"/>
  <c r="AL47" i="3"/>
  <c r="AL76" i="3"/>
  <c r="AL77" i="3"/>
  <c r="AL86" i="3"/>
  <c r="AL57" i="3"/>
  <c r="AL64" i="3"/>
  <c r="AL90" i="3"/>
  <c r="AL84" i="3"/>
  <c r="AL49" i="3"/>
  <c r="AL72" i="3"/>
  <c r="AL60" i="3"/>
  <c r="AL78" i="3"/>
  <c r="AL74" i="3"/>
  <c r="AL87" i="3"/>
  <c r="AL83" i="3"/>
  <c r="AL73" i="3"/>
  <c r="AL59" i="3"/>
  <c r="AL93" i="3"/>
  <c r="AL56" i="3"/>
  <c r="AL65" i="3"/>
  <c r="AL67" i="3"/>
  <c r="AL82" i="3"/>
  <c r="AL81" i="3"/>
  <c r="AL88" i="3"/>
  <c r="AL75" i="3"/>
  <c r="AL91" i="3"/>
  <c r="AL89" i="3"/>
  <c r="AL61" i="3"/>
  <c r="AL63" i="3"/>
  <c r="AL62" i="3"/>
  <c r="AL92" i="3"/>
  <c r="AL80" i="3"/>
  <c r="AL68" i="3"/>
  <c r="AL58" i="3"/>
  <c r="AL71" i="3"/>
  <c r="AL70" i="3"/>
  <c r="AL95" i="3"/>
  <c r="AL55" i="3"/>
  <c r="AL97" i="3"/>
  <c r="AL48" i="3"/>
  <c r="AL66" i="3"/>
  <c r="AL79" i="3"/>
  <c r="AL94" i="3"/>
  <c r="AM54" i="3"/>
  <c r="AG83" i="3"/>
  <c r="AG87" i="3"/>
  <c r="AQ76" i="3"/>
  <c r="AC59" i="3"/>
  <c r="P65" i="3"/>
  <c r="AC89" i="3"/>
  <c r="AA92" i="3"/>
  <c r="I83" i="3"/>
  <c r="S84" i="3"/>
  <c r="N65" i="3"/>
  <c r="K50" i="3"/>
  <c r="Y90" i="3"/>
  <c r="S50" i="3"/>
  <c r="U89" i="3"/>
  <c r="T63" i="3"/>
  <c r="AZ125" i="1" s="1"/>
  <c r="BA125" i="1" s="1"/>
  <c r="T97" i="3"/>
  <c r="T49" i="3"/>
  <c r="AZ73" i="1" s="1"/>
  <c r="T58" i="3"/>
  <c r="AZ119" i="1" s="1"/>
  <c r="T75" i="3"/>
  <c r="T54" i="3"/>
  <c r="T84" i="3"/>
  <c r="AZ146" i="1" s="1"/>
  <c r="BA146" i="1" s="1"/>
  <c r="T65" i="3"/>
  <c r="AZ150" i="1" s="1"/>
  <c r="BA150" i="1" s="1"/>
  <c r="T61" i="3"/>
  <c r="T96" i="3"/>
  <c r="AZ163" i="1" s="1"/>
  <c r="BA163" i="1" s="1"/>
  <c r="T69" i="3"/>
  <c r="AZ132" i="1" s="1"/>
  <c r="T94" i="3"/>
  <c r="T93" i="3"/>
  <c r="T76" i="3"/>
  <c r="T78" i="3"/>
  <c r="AZ142" i="1" s="1"/>
  <c r="BA142" i="1" s="1"/>
  <c r="T77" i="3"/>
  <c r="AZ140" i="1" s="1"/>
  <c r="BA140" i="1" s="1"/>
  <c r="T57" i="3"/>
  <c r="AZ118" i="1" s="1"/>
  <c r="BA118" i="1" s="1"/>
  <c r="T92" i="3"/>
  <c r="AZ155" i="1" s="1"/>
  <c r="BA155" i="1" s="1"/>
  <c r="T71" i="3"/>
  <c r="T89" i="3"/>
  <c r="AZ153" i="1" s="1"/>
  <c r="T91" i="3"/>
  <c r="AZ154" i="1" s="1"/>
  <c r="BA154" i="1" s="1"/>
  <c r="T80" i="3"/>
  <c r="AZ159" i="1" s="1"/>
  <c r="T70" i="3"/>
  <c r="AZ133" i="1" s="1"/>
  <c r="T72" i="3"/>
  <c r="AZ135" i="1" s="1"/>
  <c r="BA135" i="1" s="1"/>
  <c r="T87" i="3"/>
  <c r="AZ152" i="1" s="1"/>
  <c r="BA152" i="1" s="1"/>
  <c r="T81" i="3"/>
  <c r="AZ144" i="1" s="1"/>
  <c r="T82" i="3"/>
  <c r="AZ145" i="1" s="1"/>
  <c r="T50" i="3"/>
  <c r="AZ74" i="1" s="1"/>
  <c r="T62" i="3"/>
  <c r="AZ124" i="1" s="1"/>
  <c r="BA124" i="1" s="1"/>
  <c r="T86" i="3"/>
  <c r="T64" i="3"/>
  <c r="AZ149" i="1" s="1"/>
  <c r="BA149" i="1" s="1"/>
  <c r="T56" i="3"/>
  <c r="AZ117" i="1" s="1"/>
  <c r="BA117" i="1" s="1"/>
  <c r="T55" i="3"/>
  <c r="T59" i="3"/>
  <c r="T48" i="3"/>
  <c r="T79" i="3"/>
  <c r="AZ143" i="1" s="1"/>
  <c r="T88" i="3"/>
  <c r="AZ127" i="1" s="1"/>
  <c r="BA127" i="1" s="1"/>
  <c r="T67" i="3"/>
  <c r="T74" i="3"/>
  <c r="AZ137" i="1" s="1"/>
  <c r="BA137" i="1" s="1"/>
  <c r="T95" i="3"/>
  <c r="AZ164" i="1" s="1"/>
  <c r="BA164" i="1" s="1"/>
  <c r="T66" i="3"/>
  <c r="AZ151" i="1" s="1"/>
  <c r="BA151" i="1" s="1"/>
  <c r="T60" i="3"/>
  <c r="AZ122" i="1" s="1"/>
  <c r="BA122" i="1" s="1"/>
  <c r="T90" i="3"/>
  <c r="AZ126" i="1" s="1"/>
  <c r="BA126" i="1" s="1"/>
  <c r="T85" i="3"/>
  <c r="AZ147" i="1" s="1"/>
  <c r="BA147" i="1" s="1"/>
  <c r="T83" i="3"/>
  <c r="AZ160" i="1" s="1"/>
  <c r="T68" i="3"/>
  <c r="AZ131" i="1" s="1"/>
  <c r="T73" i="3"/>
  <c r="T47" i="3"/>
  <c r="AT36" i="1"/>
  <c r="BM46" i="1"/>
  <c r="AW15" i="1"/>
  <c r="AY25" i="1"/>
  <c r="BN14" i="1"/>
  <c r="AV23" i="1"/>
  <c r="BQ36" i="1"/>
  <c r="BT47" i="1"/>
  <c r="BB23" i="1"/>
  <c r="BU51" i="1"/>
  <c r="BR35" i="1"/>
  <c r="AJ73" i="1"/>
  <c r="BM14" i="1"/>
  <c r="BC9" i="1"/>
  <c r="BE14" i="1"/>
  <c r="BI14" i="1"/>
  <c r="BQ51" i="1"/>
  <c r="BI32" i="1"/>
  <c r="AX22" i="1"/>
  <c r="AN35" i="1"/>
  <c r="AV15" i="1"/>
  <c r="BF35" i="1"/>
  <c r="BK9" i="1"/>
  <c r="BU45" i="1"/>
  <c r="BT8" i="1"/>
  <c r="BO13" i="1"/>
  <c r="AY46" i="1"/>
  <c r="BO15" i="1"/>
  <c r="AV13" i="1"/>
  <c r="AN9" i="1"/>
  <c r="R153" i="1"/>
  <c r="R183" i="1" s="1"/>
  <c r="AI15" i="1"/>
  <c r="AI20" i="1"/>
  <c r="BU46" i="1"/>
  <c r="BR51" i="1"/>
  <c r="AZ47" i="1"/>
  <c r="AZ32" i="1"/>
  <c r="BC22" i="1"/>
  <c r="BI9" i="1"/>
  <c r="AU35" i="1"/>
  <c r="BH137" i="1"/>
  <c r="BI137" i="1" s="1"/>
  <c r="BH143" i="1"/>
  <c r="BI143" i="1" s="1"/>
  <c r="S73" i="1"/>
  <c r="AX20" i="1"/>
  <c r="BM23" i="1"/>
  <c r="BG46" i="1"/>
  <c r="BV22" i="1"/>
  <c r="AI47" i="1"/>
  <c r="BA20" i="1"/>
  <c r="AQ47" i="1"/>
  <c r="BO23" i="1"/>
  <c r="BK14" i="1"/>
  <c r="AS22" i="1"/>
  <c r="BW20" i="1"/>
  <c r="BW13" i="1"/>
  <c r="AT14" i="1"/>
  <c r="AV47" i="1"/>
  <c r="BI46" i="1"/>
  <c r="BJ51" i="1"/>
  <c r="AQ14" i="1"/>
  <c r="AS51" i="1"/>
  <c r="AX45" i="1"/>
  <c r="AT8" i="1"/>
  <c r="BH23" i="1"/>
  <c r="BN47" i="1"/>
  <c r="AW23" i="1"/>
  <c r="BJ36" i="1"/>
  <c r="BJ252" i="1" s="1"/>
  <c r="AM73" i="1"/>
  <c r="BA35" i="1"/>
  <c r="BW51" i="1"/>
  <c r="AJ74" i="1"/>
  <c r="BD36" i="1"/>
  <c r="AU8" i="1"/>
  <c r="AI21" i="1"/>
  <c r="BS14" i="1"/>
  <c r="BM24" i="1"/>
  <c r="BO22" i="1"/>
  <c r="BM21" i="1"/>
  <c r="BE21" i="1"/>
  <c r="BH154" i="1"/>
  <c r="BI154" i="1" s="1"/>
  <c r="W73" i="1"/>
  <c r="O163" i="1"/>
  <c r="BW21" i="1"/>
  <c r="AY32" i="1"/>
  <c r="AY194" i="1" s="1"/>
  <c r="AN39" i="1"/>
  <c r="AW22" i="1"/>
  <c r="BO35" i="1"/>
  <c r="AT46" i="1"/>
  <c r="BE45" i="1"/>
  <c r="BS15" i="1"/>
  <c r="AO20" i="1"/>
  <c r="BP36" i="1"/>
  <c r="BA22" i="1"/>
  <c r="N79" i="1"/>
  <c r="K118" i="1"/>
  <c r="AN20" i="1"/>
  <c r="BU47" i="1"/>
  <c r="BU8" i="1"/>
  <c r="BU231" i="1" s="1"/>
  <c r="BD9" i="1"/>
  <c r="AZ25" i="1"/>
  <c r="AQ23" i="1"/>
  <c r="BA25" i="1"/>
  <c r="AP8" i="1"/>
  <c r="AP231" i="1" s="1"/>
  <c r="BO36" i="1"/>
  <c r="BB8" i="1"/>
  <c r="BB231" i="1" s="1"/>
  <c r="BV9" i="1"/>
  <c r="BR21" i="1"/>
  <c r="BK21" i="1"/>
  <c r="AI8" i="1"/>
  <c r="BR24" i="1"/>
  <c r="AZ13" i="1"/>
  <c r="BM35" i="1"/>
  <c r="AX47" i="1"/>
  <c r="BQ15" i="1"/>
  <c r="BF14" i="1"/>
  <c r="BD32" i="1"/>
  <c r="BD194" i="1" s="1"/>
  <c r="AN23" i="1"/>
  <c r="BM51" i="1"/>
  <c r="BH149" i="1"/>
  <c r="BI149" i="1" s="1"/>
  <c r="BH135" i="1"/>
  <c r="BI135" i="1" s="1"/>
  <c r="N124" i="1"/>
  <c r="P150" i="1"/>
  <c r="BM15" i="1"/>
  <c r="AI46" i="1"/>
  <c r="BM39" i="1"/>
  <c r="AP46" i="1"/>
  <c r="BD15" i="1"/>
  <c r="AQ45" i="1"/>
  <c r="BW47" i="1"/>
  <c r="BG13" i="1"/>
  <c r="AQ20" i="1"/>
  <c r="BA51" i="1"/>
  <c r="BO39" i="1"/>
  <c r="BP13" i="1"/>
  <c r="BB22" i="1"/>
  <c r="AY39" i="1"/>
  <c r="BA21" i="1"/>
  <c r="BQ20" i="1"/>
  <c r="AS23" i="1"/>
  <c r="AI25" i="1"/>
  <c r="BB47" i="1"/>
  <c r="BE46" i="1"/>
  <c r="BG9" i="1"/>
  <c r="AI9" i="1"/>
  <c r="AI10" i="1" s="1"/>
  <c r="AI23" i="1"/>
  <c r="BU14" i="1"/>
  <c r="BF9" i="1"/>
  <c r="AV21" i="1"/>
  <c r="AV20" i="1"/>
  <c r="BW14" i="1"/>
  <c r="AR35" i="1"/>
  <c r="AR23" i="1"/>
  <c r="BP24" i="1"/>
  <c r="AU25" i="1"/>
  <c r="AR8" i="1"/>
  <c r="AR231" i="1" s="1"/>
  <c r="AN15" i="1"/>
  <c r="AW46" i="1"/>
  <c r="AU21" i="1"/>
  <c r="AS45" i="1"/>
  <c r="BO14" i="1"/>
  <c r="BH73" i="1"/>
  <c r="BH118" i="1"/>
  <c r="BI118" i="1" s="1"/>
  <c r="R133" i="1"/>
  <c r="C74" i="1"/>
  <c r="BH21" i="1"/>
  <c r="BK20" i="1"/>
  <c r="AO21" i="1"/>
  <c r="BI15" i="1"/>
  <c r="BP8" i="1"/>
  <c r="BP231" i="1" s="1"/>
  <c r="BO47" i="1"/>
  <c r="BD35" i="1"/>
  <c r="BB13" i="1"/>
  <c r="BB21" i="1"/>
  <c r="BJ45" i="1"/>
  <c r="BR23" i="1"/>
  <c r="AW9" i="1"/>
  <c r="AI13" i="1"/>
  <c r="BV39" i="1"/>
  <c r="AW51" i="1"/>
  <c r="BD8" i="1"/>
  <c r="BN8" i="1"/>
  <c r="BN231" i="1" s="1"/>
  <c r="BQ32" i="1"/>
  <c r="BQ194" i="1" s="1"/>
  <c r="BE22" i="1"/>
  <c r="AZ8" i="1"/>
  <c r="AP47" i="1"/>
  <c r="AV14" i="1"/>
  <c r="AM45" i="1"/>
  <c r="BO21" i="1"/>
  <c r="BG24" i="1"/>
  <c r="AR45" i="1"/>
  <c r="AT21" i="1"/>
  <c r="BP51" i="1"/>
  <c r="BC36" i="1"/>
  <c r="BE51" i="1"/>
  <c r="AN47" i="1"/>
  <c r="AV32" i="1"/>
  <c r="AV194" i="1" s="1"/>
  <c r="BG39" i="1"/>
  <c r="BK46" i="1"/>
  <c r="BS13" i="1"/>
  <c r="AY8" i="1"/>
  <c r="BA45" i="1"/>
  <c r="AW8" i="1"/>
  <c r="BR36" i="1"/>
  <c r="BJ47" i="1"/>
  <c r="BP25" i="1"/>
  <c r="AP35" i="1"/>
  <c r="AO13" i="1"/>
  <c r="BK32" i="1"/>
  <c r="AV39" i="1"/>
  <c r="BG35" i="1"/>
  <c r="BD47" i="1"/>
  <c r="BH39" i="1"/>
  <c r="BI36" i="1"/>
  <c r="BV32" i="1"/>
  <c r="BV194" i="1" s="1"/>
  <c r="BP20" i="1"/>
  <c r="BT14" i="1"/>
  <c r="BJ9" i="1"/>
  <c r="BJ10" i="1" s="1"/>
  <c r="BJ16" i="1" s="1"/>
  <c r="BK22" i="1"/>
  <c r="BD14" i="1"/>
  <c r="BK13" i="1"/>
  <c r="C78" i="1"/>
  <c r="T78" i="1"/>
  <c r="BW9" i="1"/>
  <c r="BE13" i="1"/>
  <c r="BR47" i="1"/>
  <c r="AX13" i="1"/>
  <c r="BB9" i="1"/>
  <c r="BW15" i="1"/>
  <c r="BW32" i="1"/>
  <c r="BW194" i="1" s="1"/>
  <c r="BG47" i="1"/>
  <c r="AN14" i="1"/>
  <c r="AY9" i="1"/>
  <c r="AQ32" i="1"/>
  <c r="AQ194" i="1" s="1"/>
  <c r="BQ35" i="1"/>
  <c r="BS25" i="1"/>
  <c r="BV46" i="1"/>
  <c r="BI13" i="1"/>
  <c r="AT15" i="1"/>
  <c r="AZ51" i="1"/>
  <c r="BC21" i="1"/>
  <c r="BA39" i="1"/>
  <c r="BM9" i="1"/>
  <c r="BE23" i="1"/>
  <c r="AO9" i="1"/>
  <c r="BR39" i="1"/>
  <c r="BH46" i="1"/>
  <c r="BS35" i="1"/>
  <c r="BU21" i="1"/>
  <c r="AU47" i="1"/>
  <c r="BR22" i="1"/>
  <c r="BV25" i="1"/>
  <c r="BC13" i="1"/>
  <c r="AO22" i="1"/>
  <c r="BN46" i="1"/>
  <c r="BP9" i="1"/>
  <c r="BB39" i="1"/>
  <c r="BK15" i="1"/>
  <c r="AP36" i="1"/>
  <c r="AZ45" i="1"/>
  <c r="BS36" i="1"/>
  <c r="BW39" i="1"/>
  <c r="AS46" i="1"/>
  <c r="BH117" i="1"/>
  <c r="BI117" i="1" s="1"/>
  <c r="BV163" i="1"/>
  <c r="BW163" i="1" s="1"/>
  <c r="V73" i="1"/>
  <c r="M132" i="1"/>
  <c r="O151" i="1"/>
  <c r="BG15" i="1"/>
  <c r="BB35" i="1"/>
  <c r="AY36" i="1"/>
  <c r="AR14" i="1"/>
  <c r="BS21" i="1"/>
  <c r="AV24" i="1"/>
  <c r="BI20" i="1"/>
  <c r="AR46" i="1"/>
  <c r="AR22" i="1"/>
  <c r="AT25" i="1"/>
  <c r="BB51" i="1"/>
  <c r="BR8" i="1"/>
  <c r="BQ46" i="1"/>
  <c r="AU36" i="1"/>
  <c r="AX35" i="1"/>
  <c r="AP9" i="1"/>
  <c r="AV35" i="1"/>
  <c r="AT32" i="1"/>
  <c r="AT194" i="1" s="1"/>
  <c r="BQ9" i="1"/>
  <c r="BU35" i="1"/>
  <c r="BP15" i="1"/>
  <c r="AN36" i="1"/>
  <c r="AM74" i="1"/>
  <c r="AU9" i="1"/>
  <c r="BV47" i="1"/>
  <c r="AW39" i="1"/>
  <c r="BG14" i="1"/>
  <c r="AO35" i="1"/>
  <c r="BH124" i="1"/>
  <c r="BI124" i="1" s="1"/>
  <c r="BH160" i="1"/>
  <c r="R171" i="1"/>
  <c r="J145" i="1"/>
  <c r="J180" i="1" s="1"/>
  <c r="G155" i="1"/>
  <c r="F126" i="1"/>
  <c r="F154" i="1" s="1"/>
  <c r="AX51" i="1"/>
  <c r="BT24" i="1"/>
  <c r="AT35" i="1"/>
  <c r="BP39" i="1"/>
  <c r="AP13" i="1"/>
  <c r="AY13" i="1"/>
  <c r="BG32" i="1"/>
  <c r="AU14" i="1"/>
  <c r="BB32" i="1"/>
  <c r="BB46" i="1"/>
  <c r="BW46" i="1"/>
  <c r="BG25" i="1"/>
  <c r="BW36" i="1"/>
  <c r="BQ8" i="1"/>
  <c r="BF25" i="1"/>
  <c r="BV51" i="1"/>
  <c r="BP47" i="1"/>
  <c r="BT13" i="1"/>
  <c r="AR21" i="1"/>
  <c r="AR51" i="1"/>
  <c r="BK35" i="1"/>
  <c r="AN24" i="1"/>
  <c r="BE35" i="1"/>
  <c r="BB15" i="1"/>
  <c r="BA8" i="1"/>
  <c r="AK74" i="1"/>
  <c r="AV46" i="1"/>
  <c r="BU15" i="1"/>
  <c r="AV8" i="1"/>
  <c r="AU46" i="1"/>
  <c r="BD24" i="1"/>
  <c r="BD13" i="1"/>
  <c r="BW8" i="1"/>
  <c r="BU9" i="1"/>
  <c r="BF45" i="1"/>
  <c r="BC47" i="1"/>
  <c r="BO8" i="1"/>
  <c r="BV144" i="1"/>
  <c r="Q149" i="1"/>
  <c r="B150" i="1"/>
  <c r="K77" i="1"/>
  <c r="T172" i="1"/>
  <c r="AZ39" i="1"/>
  <c r="BQ24" i="1"/>
  <c r="BJ73" i="1"/>
  <c r="BD25" i="1"/>
  <c r="BR25" i="1"/>
  <c r="BA46" i="1"/>
  <c r="BU32" i="1"/>
  <c r="AR25" i="1"/>
  <c r="BG21" i="1"/>
  <c r="AY24" i="1"/>
  <c r="AP15" i="1"/>
  <c r="AQ9" i="1"/>
  <c r="BJ35" i="1"/>
  <c r="BN25" i="1"/>
  <c r="AZ24" i="1"/>
  <c r="BS8" i="1"/>
  <c r="BS231" i="1" s="1"/>
  <c r="BK47" i="1"/>
  <c r="BD51" i="1"/>
  <c r="BK24" i="1"/>
  <c r="BH24" i="1"/>
  <c r="BA9" i="1"/>
  <c r="BJ39" i="1"/>
  <c r="BM36" i="1"/>
  <c r="BQ25" i="1"/>
  <c r="AX14" i="1"/>
  <c r="BH20" i="1"/>
  <c r="AS20" i="1"/>
  <c r="BR46" i="1"/>
  <c r="BW45" i="1"/>
  <c r="BF20" i="1"/>
  <c r="BM20" i="1"/>
  <c r="BE24" i="1"/>
  <c r="AP32" i="1"/>
  <c r="AQ21" i="1"/>
  <c r="AS32" i="1"/>
  <c r="BF51" i="1"/>
  <c r="BQ23" i="1"/>
  <c r="BC51" i="1"/>
  <c r="AV51" i="1"/>
  <c r="BI47" i="1"/>
  <c r="AZ22" i="1"/>
  <c r="AT51" i="1"/>
  <c r="BD39" i="1"/>
  <c r="AX32" i="1"/>
  <c r="AI45" i="1"/>
  <c r="AX21" i="1"/>
  <c r="BM32" i="1"/>
  <c r="BC39" i="1"/>
  <c r="BO20" i="1"/>
  <c r="BV155" i="1"/>
  <c r="BW155" i="1" s="1"/>
  <c r="B126" i="1"/>
  <c r="B154" i="1" s="1"/>
  <c r="D160" i="1"/>
  <c r="M137" i="1"/>
  <c r="U136" i="1"/>
  <c r="L159" i="1"/>
  <c r="AX15" i="1"/>
  <c r="BS45" i="1"/>
  <c r="BR15" i="1"/>
  <c r="AW13" i="1"/>
  <c r="AS25" i="1"/>
  <c r="AR13" i="1"/>
  <c r="AW25" i="1"/>
  <c r="BI45" i="1"/>
  <c r="AQ15" i="1"/>
  <c r="AI39" i="1"/>
  <c r="BA13" i="1"/>
  <c r="BC35" i="1"/>
  <c r="BH32" i="1"/>
  <c r="BB24" i="1"/>
  <c r="BN9" i="1"/>
  <c r="AW21" i="1"/>
  <c r="BC23" i="1"/>
  <c r="BI24" i="1"/>
  <c r="AP23" i="1"/>
  <c r="BS51" i="1"/>
  <c r="AW36" i="1"/>
  <c r="AQ36" i="1"/>
  <c r="AY23" i="1"/>
  <c r="BP22" i="1"/>
  <c r="BF21" i="1"/>
  <c r="AU45" i="1"/>
  <c r="BS24" i="1"/>
  <c r="BF23" i="1"/>
  <c r="BQ47" i="1"/>
  <c r="AT20" i="1"/>
  <c r="BT25" i="1"/>
  <c r="AU23" i="1"/>
  <c r="BS32" i="1"/>
  <c r="BS194" i="1" s="1"/>
  <c r="BT15" i="1"/>
  <c r="BT51" i="1"/>
  <c r="BP46" i="1"/>
  <c r="BT22" i="1"/>
  <c r="BE47" i="1"/>
  <c r="BF22" i="1"/>
  <c r="BE9" i="1"/>
  <c r="BO9" i="1"/>
  <c r="BP14" i="1"/>
  <c r="AT39" i="1"/>
  <c r="AZ23" i="1"/>
  <c r="AQ24" i="1"/>
  <c r="AQ22" i="1"/>
  <c r="BV24" i="1"/>
  <c r="AR20" i="1"/>
  <c r="BR13" i="1"/>
  <c r="AT22" i="1"/>
  <c r="AV9" i="1"/>
  <c r="BQ21" i="1"/>
  <c r="BN24" i="1"/>
  <c r="BK36" i="1"/>
  <c r="BV36" i="1"/>
  <c r="AZ35" i="1"/>
  <c r="BH74" i="1"/>
  <c r="T150" i="1"/>
  <c r="Q122" i="1"/>
  <c r="BR45" i="1"/>
  <c r="AO23" i="1"/>
  <c r="BN39" i="1"/>
  <c r="BC15" i="1"/>
  <c r="AS8" i="1"/>
  <c r="AS231" i="1" s="1"/>
  <c r="BM8" i="1"/>
  <c r="BM231" i="1" s="1"/>
  <c r="BU36" i="1"/>
  <c r="BT23" i="1"/>
  <c r="AZ20" i="1"/>
  <c r="AP24" i="1"/>
  <c r="BH14" i="1"/>
  <c r="BK25" i="1"/>
  <c r="BH13" i="1"/>
  <c r="BM47" i="1"/>
  <c r="AP25" i="1"/>
  <c r="BU23" i="1"/>
  <c r="AS36" i="1"/>
  <c r="AS252" i="1" s="1"/>
  <c r="BD20" i="1"/>
  <c r="AM46" i="1"/>
  <c r="AS35" i="1"/>
  <c r="BV35" i="1"/>
  <c r="BN21" i="1"/>
  <c r="AX46" i="1"/>
  <c r="AM51" i="1"/>
  <c r="BJ74" i="1"/>
  <c r="BN35" i="1"/>
  <c r="BV132" i="1"/>
  <c r="BV135" i="1"/>
  <c r="BW135" i="1" s="1"/>
  <c r="BH145" i="1"/>
  <c r="BV154" i="1"/>
  <c r="BW154" i="1" s="1"/>
  <c r="BV146" i="1"/>
  <c r="BW146" i="1" s="1"/>
  <c r="T74" i="1"/>
  <c r="U164" i="1"/>
  <c r="D125" i="1"/>
  <c r="L133" i="1"/>
  <c r="L127" i="1"/>
  <c r="N137" i="1"/>
  <c r="V133" i="1"/>
  <c r="S135" i="1"/>
  <c r="S131" i="1" s="1"/>
  <c r="F147" i="1"/>
  <c r="B164" i="1"/>
  <c r="M146" i="1"/>
  <c r="K133" i="1"/>
  <c r="U117" i="1"/>
  <c r="T171" i="1"/>
  <c r="W137" i="1"/>
  <c r="N122" i="1"/>
  <c r="T149" i="1"/>
  <c r="H132" i="1"/>
  <c r="G149" i="1"/>
  <c r="AU13" i="1"/>
  <c r="BG23" i="1"/>
  <c r="AW32" i="1"/>
  <c r="BN45" i="1"/>
  <c r="AP39" i="1"/>
  <c r="AY35" i="1"/>
  <c r="BI23" i="1"/>
  <c r="BU39" i="1"/>
  <c r="AP22" i="1"/>
  <c r="AO46" i="1"/>
  <c r="BS9" i="1"/>
  <c r="BH8" i="1"/>
  <c r="AN46" i="1"/>
  <c r="AR47" i="1"/>
  <c r="BW35" i="1"/>
  <c r="AR32" i="1"/>
  <c r="AR194" i="1" s="1"/>
  <c r="AV25" i="1"/>
  <c r="BH22" i="1"/>
  <c r="AP45" i="1"/>
  <c r="BH15" i="1"/>
  <c r="BV20" i="1"/>
  <c r="BB25" i="1"/>
  <c r="BN23" i="1"/>
  <c r="AZ46" i="1"/>
  <c r="BE25" i="1"/>
  <c r="BC14" i="1"/>
  <c r="BH45" i="1"/>
  <c r="AN8" i="1"/>
  <c r="BB14" i="1"/>
  <c r="AW20" i="1"/>
  <c r="BF24" i="1"/>
  <c r="BQ14" i="1"/>
  <c r="AV45" i="1"/>
  <c r="AT24" i="1"/>
  <c r="AW45" i="1"/>
  <c r="AX39" i="1"/>
  <c r="BV122" i="1"/>
  <c r="BW122" i="1" s="1"/>
  <c r="BH159" i="1"/>
  <c r="BH122" i="1"/>
  <c r="BI122" i="1" s="1"/>
  <c r="M145" i="1"/>
  <c r="M180" i="1" s="1"/>
  <c r="B127" i="1"/>
  <c r="J133" i="1"/>
  <c r="G145" i="1"/>
  <c r="G180" i="1" s="1"/>
  <c r="G122" i="1"/>
  <c r="J164" i="1"/>
  <c r="O67" i="1"/>
  <c r="M67" i="1"/>
  <c r="E170" i="1"/>
  <c r="F153" i="1"/>
  <c r="F183" i="1" s="1"/>
  <c r="R74" i="1"/>
  <c r="D127" i="1"/>
  <c r="I170" i="1"/>
  <c r="I143" i="1"/>
  <c r="Q74" i="1"/>
  <c r="G127" i="1"/>
  <c r="Q163" i="1"/>
  <c r="Q159" i="1"/>
  <c r="J124" i="1"/>
  <c r="BE39" i="1"/>
  <c r="BR32" i="1"/>
  <c r="BR194" i="1" s="1"/>
  <c r="BD21" i="1"/>
  <c r="AW14" i="1"/>
  <c r="AO14" i="1"/>
  <c r="AR24" i="1"/>
  <c r="AW24" i="1"/>
  <c r="BW24" i="1"/>
  <c r="BN36" i="1"/>
  <c r="BN32" i="1"/>
  <c r="BN33" i="1" s="1"/>
  <c r="AS14" i="1"/>
  <c r="BU20" i="1"/>
  <c r="AO8" i="1"/>
  <c r="AN13" i="1"/>
  <c r="BF39" i="1"/>
  <c r="AZ14" i="1"/>
  <c r="BC46" i="1"/>
  <c r="BI35" i="1"/>
  <c r="BO32" i="1"/>
  <c r="BO194" i="1" s="1"/>
  <c r="AU15" i="1"/>
  <c r="BG22" i="1"/>
  <c r="AX9" i="1"/>
  <c r="BM13" i="1"/>
  <c r="AU20" i="1"/>
  <c r="BT36" i="1"/>
  <c r="BT252" i="1" s="1"/>
  <c r="AP51" i="1"/>
  <c r="BE15" i="1"/>
  <c r="BS22" i="1"/>
  <c r="BK45" i="1"/>
  <c r="BD46" i="1"/>
  <c r="BA24" i="1"/>
  <c r="BG36" i="1"/>
  <c r="BF8" i="1"/>
  <c r="BF231" i="1" s="1"/>
  <c r="AX36" i="1"/>
  <c r="BV13" i="1"/>
  <c r="BS20" i="1"/>
  <c r="BI25" i="1"/>
  <c r="AI22" i="1"/>
  <c r="BV74" i="1"/>
  <c r="BH152" i="1"/>
  <c r="BI152" i="1" s="1"/>
  <c r="BH163" i="1"/>
  <c r="BI163" i="1" s="1"/>
  <c r="BH155" i="1"/>
  <c r="BI155" i="1" s="1"/>
  <c r="BH142" i="1"/>
  <c r="BH131" i="1"/>
  <c r="U146" i="1"/>
  <c r="L118" i="1"/>
  <c r="T133" i="1"/>
  <c r="D145" i="1"/>
  <c r="D180" i="1" s="1"/>
  <c r="O127" i="1"/>
  <c r="D126" i="1"/>
  <c r="D154" i="1" s="1"/>
  <c r="W160" i="1"/>
  <c r="E122" i="1"/>
  <c r="E145" i="1"/>
  <c r="E180" i="1" s="1"/>
  <c r="P149" i="1"/>
  <c r="P156" i="1" s="1"/>
  <c r="P185" i="1" s="1"/>
  <c r="P184" i="1" s="1"/>
  <c r="R127" i="1"/>
  <c r="C137" i="1"/>
  <c r="C119" i="1"/>
  <c r="J73" i="1"/>
  <c r="I125" i="1"/>
  <c r="B145" i="1"/>
  <c r="B180" i="1" s="1"/>
  <c r="B151" i="1"/>
  <c r="N73" i="1"/>
  <c r="J136" i="1"/>
  <c r="D172" i="1"/>
  <c r="U127" i="1"/>
  <c r="I118" i="1"/>
  <c r="J125" i="1"/>
  <c r="K146" i="1"/>
  <c r="I136" i="1"/>
  <c r="L117" i="1"/>
  <c r="U135" i="1"/>
  <c r="U131" i="1" s="1"/>
  <c r="BH51" i="1"/>
  <c r="BV15" i="1"/>
  <c r="BE20" i="1"/>
  <c r="AI24" i="1"/>
  <c r="BC8" i="1"/>
  <c r="BK51" i="1"/>
  <c r="AW35" i="1"/>
  <c r="AR9" i="1"/>
  <c r="AN22" i="1"/>
  <c r="AU24" i="1"/>
  <c r="BS47" i="1"/>
  <c r="BQ39" i="1"/>
  <c r="BV45" i="1"/>
  <c r="BI39" i="1"/>
  <c r="BU22" i="1"/>
  <c r="AO47" i="1"/>
  <c r="BF15" i="1"/>
  <c r="BA15" i="1"/>
  <c r="AR39" i="1"/>
  <c r="AT23" i="1"/>
  <c r="BN20" i="1"/>
  <c r="BJ46" i="1"/>
  <c r="AO32" i="1"/>
  <c r="AO194" i="1" s="1"/>
  <c r="AK73" i="1"/>
  <c r="BV14" i="1"/>
  <c r="BV149" i="1"/>
  <c r="BW149" i="1" s="1"/>
  <c r="BV125" i="1"/>
  <c r="BW125" i="1" s="1"/>
  <c r="BV151" i="1"/>
  <c r="BW151" i="1" s="1"/>
  <c r="BH144" i="1"/>
  <c r="E172" i="1"/>
  <c r="S67" i="1"/>
  <c r="O122" i="1"/>
  <c r="H146" i="1"/>
  <c r="V151" i="1"/>
  <c r="O145" i="1"/>
  <c r="O180" i="1" s="1"/>
  <c r="S155" i="1"/>
  <c r="F135" i="1"/>
  <c r="F131" i="1" s="1"/>
  <c r="H172" i="1"/>
  <c r="C159" i="1"/>
  <c r="H150" i="1"/>
  <c r="P135" i="1"/>
  <c r="P131" i="1" s="1"/>
  <c r="I145" i="1"/>
  <c r="I180" i="1" s="1"/>
  <c r="R151" i="1"/>
  <c r="E146" i="1"/>
  <c r="W78" i="1"/>
  <c r="B136" i="1"/>
  <c r="E78" i="1"/>
  <c r="U132" i="1"/>
  <c r="L73" i="1"/>
  <c r="T143" i="1"/>
  <c r="E135" i="1"/>
  <c r="E131" i="1" s="1"/>
  <c r="U150" i="1"/>
  <c r="BA23" i="1"/>
  <c r="BA36" i="1"/>
  <c r="AQ13" i="1"/>
  <c r="BJ22" i="1"/>
  <c r="BJ26" i="1" s="1"/>
  <c r="BM45" i="1"/>
  <c r="AQ8" i="1"/>
  <c r="AQ231" i="1" s="1"/>
  <c r="BT39" i="1"/>
  <c r="AO25" i="1"/>
  <c r="BV21" i="1"/>
  <c r="AZ15" i="1"/>
  <c r="BI21" i="1"/>
  <c r="AN51" i="1"/>
  <c r="BO45" i="1"/>
  <c r="BR20" i="1"/>
  <c r="AX8" i="1"/>
  <c r="BG8" i="1"/>
  <c r="BN15" i="1"/>
  <c r="AI36" i="1"/>
  <c r="BV8" i="1"/>
  <c r="BV231" i="1" s="1"/>
  <c r="AS9" i="1"/>
  <c r="AY45" i="1"/>
  <c r="BN51" i="1"/>
  <c r="BW25" i="1"/>
  <c r="AT45" i="1"/>
  <c r="AQ39" i="1"/>
  <c r="BJ32" i="1"/>
  <c r="AS39" i="1"/>
  <c r="BH9" i="1"/>
  <c r="BQ22" i="1"/>
  <c r="AR36" i="1"/>
  <c r="BF13" i="1"/>
  <c r="AX25" i="1"/>
  <c r="BB20" i="1"/>
  <c r="AN21" i="1"/>
  <c r="AN45" i="1"/>
  <c r="BV73" i="1"/>
  <c r="AI73" i="1"/>
  <c r="BV152" i="1"/>
  <c r="BW152" i="1" s="1"/>
  <c r="BV143" i="1"/>
  <c r="BW143" i="1" s="1"/>
  <c r="BV160" i="1"/>
  <c r="E137" i="1"/>
  <c r="G144" i="1"/>
  <c r="G179" i="1" s="1"/>
  <c r="U122" i="1"/>
  <c r="F146" i="1"/>
  <c r="T67" i="1"/>
  <c r="T135" i="1"/>
  <c r="T131" i="1" s="1"/>
  <c r="L132" i="1"/>
  <c r="R164" i="1"/>
  <c r="O135" i="1"/>
  <c r="O131" i="1" s="1"/>
  <c r="C63" i="1"/>
  <c r="W151" i="1"/>
  <c r="D142" i="1"/>
  <c r="B64" i="1"/>
  <c r="S124" i="1"/>
  <c r="K144" i="1"/>
  <c r="K179" i="1" s="1"/>
  <c r="G143" i="1"/>
  <c r="L163" i="1"/>
  <c r="AO15" i="1"/>
  <c r="BS46" i="1"/>
  <c r="BT20" i="1"/>
  <c r="BI22" i="1"/>
  <c r="AZ9" i="1"/>
  <c r="BG20" i="1"/>
  <c r="BO46" i="1"/>
  <c r="BU25" i="1"/>
  <c r="BT32" i="1"/>
  <c r="AY47" i="1"/>
  <c r="BR14" i="1"/>
  <c r="BK39" i="1"/>
  <c r="BQ13" i="1"/>
  <c r="AQ25" i="1"/>
  <c r="AO45" i="1"/>
  <c r="BM25" i="1"/>
  <c r="BU13" i="1"/>
  <c r="BN13" i="1"/>
  <c r="AO39" i="1"/>
  <c r="AV22" i="1"/>
  <c r="BT21" i="1"/>
  <c r="AI51" i="1"/>
  <c r="AO36" i="1"/>
  <c r="BA14" i="1"/>
  <c r="BT45" i="1"/>
  <c r="BP23" i="1"/>
  <c r="AT9" i="1"/>
  <c r="AM47" i="1"/>
  <c r="BH25" i="1"/>
  <c r="BG51" i="1"/>
  <c r="AT13" i="1"/>
  <c r="BF32" i="1"/>
  <c r="BF194" i="1" s="1"/>
  <c r="BI51" i="1"/>
  <c r="AQ46" i="1"/>
  <c r="BS23" i="1"/>
  <c r="BK23" i="1"/>
  <c r="BC25" i="1"/>
  <c r="AR15" i="1"/>
  <c r="AU32" i="1"/>
  <c r="BU24" i="1"/>
  <c r="AU22" i="1"/>
  <c r="BR9" i="1"/>
  <c r="BP21" i="1"/>
  <c r="AI32" i="1"/>
  <c r="AI194" i="1" s="1"/>
  <c r="BH151" i="1"/>
  <c r="BI151" i="1" s="1"/>
  <c r="BV145" i="1"/>
  <c r="BV150" i="1"/>
  <c r="BW150" i="1" s="1"/>
  <c r="BV126" i="1"/>
  <c r="BW126" i="1" s="1"/>
  <c r="BV131" i="1"/>
  <c r="P143" i="1"/>
  <c r="C117" i="1"/>
  <c r="H159" i="1"/>
  <c r="F137" i="1"/>
  <c r="C127" i="1"/>
  <c r="Q78" i="1"/>
  <c r="B160" i="1"/>
  <c r="N151" i="1"/>
  <c r="W119" i="1"/>
  <c r="R124" i="1"/>
  <c r="T77" i="1"/>
  <c r="C171" i="1"/>
  <c r="L171" i="1"/>
  <c r="K143" i="1"/>
  <c r="P133" i="1"/>
  <c r="R144" i="1"/>
  <c r="R179" i="1" s="1"/>
  <c r="N142" i="1"/>
  <c r="M125" i="1"/>
  <c r="O172" i="1"/>
  <c r="S127" i="1"/>
  <c r="F132" i="1"/>
  <c r="Q142" i="1"/>
  <c r="U73" i="1"/>
  <c r="B135" i="1"/>
  <c r="V150" i="1"/>
  <c r="B78" i="1"/>
  <c r="H135" i="1"/>
  <c r="H131" i="1" s="1"/>
  <c r="C135" i="1"/>
  <c r="I79" i="1"/>
  <c r="M118" i="1"/>
  <c r="M135" i="1"/>
  <c r="M131" i="1" s="1"/>
  <c r="L119" i="1"/>
  <c r="W144" i="1"/>
  <c r="G140" i="1"/>
  <c r="R142" i="1"/>
  <c r="Q164" i="1"/>
  <c r="V147" i="1"/>
  <c r="F172" i="1"/>
  <c r="B155" i="1"/>
  <c r="B119" i="1"/>
  <c r="Q79" i="1"/>
  <c r="U160" i="1"/>
  <c r="J143" i="1"/>
  <c r="O155" i="1"/>
  <c r="G132" i="1"/>
  <c r="L136" i="1"/>
  <c r="W126" i="1"/>
  <c r="W154" i="1" s="1"/>
  <c r="M163" i="1"/>
  <c r="H126" i="1"/>
  <c r="H154" i="1" s="1"/>
  <c r="C133" i="1"/>
  <c r="C134" i="1" s="1"/>
  <c r="L164" i="1"/>
  <c r="V117" i="1"/>
  <c r="D164" i="1"/>
  <c r="N67" i="1"/>
  <c r="M79" i="1"/>
  <c r="W118" i="1"/>
  <c r="D155" i="1"/>
  <c r="U153" i="1"/>
  <c r="U183" i="1" s="1"/>
  <c r="V170" i="1"/>
  <c r="H142" i="1"/>
  <c r="O73" i="1"/>
  <c r="AY20" i="1"/>
  <c r="BC32" i="1"/>
  <c r="AZ21" i="1"/>
  <c r="AI35" i="1"/>
  <c r="BH164" i="1"/>
  <c r="BI164" i="1" s="1"/>
  <c r="BH132" i="1"/>
  <c r="BV147" i="1"/>
  <c r="BW147" i="1" s="1"/>
  <c r="U171" i="1"/>
  <c r="L124" i="1"/>
  <c r="M155" i="1"/>
  <c r="P124" i="1"/>
  <c r="K137" i="1"/>
  <c r="T170" i="1"/>
  <c r="F133" i="1"/>
  <c r="H67" i="1"/>
  <c r="B67" i="1"/>
  <c r="G77" i="1"/>
  <c r="V67" i="1"/>
  <c r="Q119" i="1"/>
  <c r="L142" i="1"/>
  <c r="N172" i="1"/>
  <c r="P159" i="1"/>
  <c r="P161" i="1" s="1"/>
  <c r="Q209" i="1" s="1"/>
  <c r="D136" i="1"/>
  <c r="F136" i="1"/>
  <c r="F171" i="1"/>
  <c r="M147" i="1"/>
  <c r="I67" i="1"/>
  <c r="V142" i="1"/>
  <c r="BO25" i="1"/>
  <c r="BH36" i="1"/>
  <c r="BP32" i="1"/>
  <c r="BA47" i="1"/>
  <c r="BS39" i="1"/>
  <c r="BD22" i="1"/>
  <c r="AY22" i="1"/>
  <c r="BF47" i="1"/>
  <c r="BK8" i="1"/>
  <c r="AO51" i="1"/>
  <c r="BW23" i="1"/>
  <c r="BP45" i="1"/>
  <c r="BC20" i="1"/>
  <c r="BI8" i="1"/>
  <c r="AP21" i="1"/>
  <c r="BV23" i="1"/>
  <c r="AO24" i="1"/>
  <c r="BE32" i="1"/>
  <c r="BE194" i="1" s="1"/>
  <c r="BP35" i="1"/>
  <c r="AY15" i="1"/>
  <c r="AU51" i="1"/>
  <c r="AI14" i="1"/>
  <c r="BT9" i="1"/>
  <c r="BT10" i="1" s="1"/>
  <c r="BE36" i="1"/>
  <c r="AX24" i="1"/>
  <c r="AY51" i="1"/>
  <c r="BC45" i="1"/>
  <c r="BD23" i="1"/>
  <c r="BF36" i="1"/>
  <c r="AP14" i="1"/>
  <c r="BG45" i="1"/>
  <c r="AN32" i="1"/>
  <c r="AY14" i="1"/>
  <c r="AU39" i="1"/>
  <c r="AS13" i="1"/>
  <c r="AS21" i="1"/>
  <c r="BH146" i="1"/>
  <c r="BI146" i="1" s="1"/>
  <c r="BV140" i="1"/>
  <c r="BW140" i="1" s="1"/>
  <c r="BX202" i="1" s="1"/>
  <c r="BV142" i="1"/>
  <c r="BW142" i="1" s="1"/>
  <c r="BH140" i="1"/>
  <c r="BI140" i="1" s="1"/>
  <c r="BJ202" i="1" s="1"/>
  <c r="BH127" i="1"/>
  <c r="BI127" i="1" s="1"/>
  <c r="K164" i="1"/>
  <c r="G172" i="1"/>
  <c r="I171" i="1"/>
  <c r="I122" i="1"/>
  <c r="M153" i="1"/>
  <c r="M183" i="1" s="1"/>
  <c r="M140" i="1"/>
  <c r="S151" i="1"/>
  <c r="V122" i="1"/>
  <c r="C143" i="1"/>
  <c r="B63" i="1"/>
  <c r="P118" i="1"/>
  <c r="E133" i="1"/>
  <c r="W127" i="1"/>
  <c r="I74" i="1"/>
  <c r="N150" i="1"/>
  <c r="Q172" i="1"/>
  <c r="Q73" i="1"/>
  <c r="V153" i="1"/>
  <c r="V183" i="1" s="1"/>
  <c r="B133" i="1"/>
  <c r="O160" i="1"/>
  <c r="D124" i="1"/>
  <c r="BO51" i="1"/>
  <c r="AN25" i="1"/>
  <c r="BH47" i="1"/>
  <c r="BW22" i="1"/>
  <c r="BQ45" i="1"/>
  <c r="AX23" i="1"/>
  <c r="BA32" i="1"/>
  <c r="BA194" i="1" s="1"/>
  <c r="BM22" i="1"/>
  <c r="AQ51" i="1"/>
  <c r="BB36" i="1"/>
  <c r="AS47" i="1"/>
  <c r="AY21" i="1"/>
  <c r="BT35" i="1"/>
  <c r="BB45" i="1"/>
  <c r="AQ35" i="1"/>
  <c r="AW47" i="1"/>
  <c r="BT46" i="1"/>
  <c r="BF46" i="1"/>
  <c r="BH35" i="1"/>
  <c r="BC24" i="1"/>
  <c r="BO24" i="1"/>
  <c r="AS24" i="1"/>
  <c r="AV36" i="1"/>
  <c r="BD45" i="1"/>
  <c r="AS15" i="1"/>
  <c r="BE8" i="1"/>
  <c r="BN22" i="1"/>
  <c r="BH133" i="1"/>
  <c r="BV137" i="1"/>
  <c r="BW137" i="1" s="1"/>
  <c r="BV119" i="1"/>
  <c r="BV133" i="1"/>
  <c r="M124" i="1"/>
  <c r="F164" i="1"/>
  <c r="J132" i="1"/>
  <c r="O125" i="1"/>
  <c r="F118" i="1"/>
  <c r="T119" i="1"/>
  <c r="V135" i="1"/>
  <c r="V131" i="1" s="1"/>
  <c r="D74" i="1"/>
  <c r="G79" i="1"/>
  <c r="D147" i="1"/>
  <c r="S140" i="1"/>
  <c r="M159" i="1"/>
  <c r="M161" i="1" s="1"/>
  <c r="B153" i="1"/>
  <c r="B183" i="1" s="1"/>
  <c r="N147" i="1"/>
  <c r="P73" i="1"/>
  <c r="K163" i="1"/>
  <c r="Q124" i="1"/>
  <c r="R125" i="1"/>
  <c r="S146" i="1"/>
  <c r="P125" i="1"/>
  <c r="C163" i="1"/>
  <c r="S170" i="1"/>
  <c r="S142" i="1"/>
  <c r="H119" i="1"/>
  <c r="E119" i="1"/>
  <c r="T145" i="1"/>
  <c r="T180" i="1" s="1"/>
  <c r="S117" i="1"/>
  <c r="V137" i="1"/>
  <c r="P146" i="1"/>
  <c r="W150" i="1"/>
  <c r="G146" i="1"/>
  <c r="T164" i="1"/>
  <c r="J137" i="1"/>
  <c r="H124" i="1"/>
  <c r="E136" i="1"/>
  <c r="C144" i="1"/>
  <c r="C179" i="1" s="1"/>
  <c r="W74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P142" i="1"/>
  <c r="I163" i="1"/>
  <c r="F163" i="1"/>
  <c r="Q143" i="1"/>
  <c r="N146" i="1"/>
  <c r="G118" i="1"/>
  <c r="F127" i="1"/>
  <c r="B172" i="1"/>
  <c r="K147" i="1"/>
  <c r="H118" i="1"/>
  <c r="U124" i="1"/>
  <c r="I126" i="1"/>
  <c r="I154" i="1" s="1"/>
  <c r="E73" i="1"/>
  <c r="C140" i="1"/>
  <c r="M119" i="1"/>
  <c r="K127" i="1"/>
  <c r="Q147" i="1"/>
  <c r="N132" i="1"/>
  <c r="M151" i="1"/>
  <c r="R172" i="1"/>
  <c r="F67" i="1"/>
  <c r="J142" i="1"/>
  <c r="S136" i="1"/>
  <c r="S125" i="1"/>
  <c r="H127" i="1"/>
  <c r="C146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J140" i="1"/>
  <c r="P78" i="1"/>
  <c r="U172" i="1"/>
  <c r="D78" i="1"/>
  <c r="F149" i="1"/>
  <c r="O119" i="1"/>
  <c r="D153" i="1"/>
  <c r="D183" i="1" s="1"/>
  <c r="B131" i="1"/>
  <c r="V77" i="1"/>
  <c r="F151" i="1"/>
  <c r="J150" i="1"/>
  <c r="K79" i="1"/>
  <c r="D150" i="1"/>
  <c r="C153" i="1"/>
  <c r="C183" i="1" s="1"/>
  <c r="T126" i="1"/>
  <c r="T154" i="1" s="1"/>
  <c r="P172" i="1"/>
  <c r="Q133" i="1"/>
  <c r="U140" i="1"/>
  <c r="K122" i="1"/>
  <c r="G170" i="1"/>
  <c r="Q150" i="1"/>
  <c r="O124" i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N135" i="1"/>
  <c r="N131" i="1" s="1"/>
  <c r="E150" i="1"/>
  <c r="D140" i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V118" i="1"/>
  <c r="Q132" i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BH119" i="1"/>
  <c r="BH150" i="1"/>
  <c r="BI150" i="1" s="1"/>
  <c r="W122" i="1"/>
  <c r="S132" i="1"/>
  <c r="H143" i="1"/>
  <c r="I137" i="1"/>
  <c r="N149" i="1"/>
  <c r="F144" i="1"/>
  <c r="F179" i="1" s="1"/>
  <c r="L137" i="1"/>
  <c r="D73" i="1"/>
  <c r="C136" i="1"/>
  <c r="I150" i="1"/>
  <c r="U145" i="1"/>
  <c r="U180" i="1" s="1"/>
  <c r="J160" i="1"/>
  <c r="L150" i="1"/>
  <c r="G136" i="1"/>
  <c r="G137" i="1"/>
  <c r="E127" i="1"/>
  <c r="Q140" i="1"/>
  <c r="W125" i="1"/>
  <c r="H122" i="1"/>
  <c r="M74" i="1"/>
  <c r="L146" i="1"/>
  <c r="M77" i="1"/>
  <c r="Q144" i="1"/>
  <c r="Q179" i="1" s="1"/>
  <c r="D149" i="1"/>
  <c r="S164" i="1"/>
  <c r="C73" i="1"/>
  <c r="B77" i="1"/>
  <c r="R140" i="1"/>
  <c r="C126" i="1"/>
  <c r="C154" i="1" s="1"/>
  <c r="O79" i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AZ36" i="1"/>
  <c r="AP20" i="1"/>
  <c r="AT47" i="1"/>
  <c r="BH147" i="1"/>
  <c r="BI147" i="1" s="1"/>
  <c r="BV153" i="1"/>
  <c r="BV159" i="1"/>
  <c r="BV124" i="1"/>
  <c r="BW124" i="1" s="1"/>
  <c r="BV118" i="1"/>
  <c r="BW118" i="1" s="1"/>
  <c r="BH126" i="1"/>
  <c r="BI126" i="1" s="1"/>
  <c r="BV117" i="1"/>
  <c r="B132" i="1"/>
  <c r="K160" i="1"/>
  <c r="W170" i="1"/>
  <c r="L79" i="1"/>
  <c r="F150" i="1"/>
  <c r="T79" i="1"/>
  <c r="V146" i="1"/>
  <c r="F160" i="1"/>
  <c r="S163" i="1"/>
  <c r="Q136" i="1"/>
  <c r="J117" i="1"/>
  <c r="W135" i="1"/>
  <c r="W131" i="1" s="1"/>
  <c r="U79" i="1"/>
  <c r="S172" i="1"/>
  <c r="G147" i="1"/>
  <c r="R67" i="1"/>
  <c r="J155" i="1"/>
  <c r="G124" i="1"/>
  <c r="N133" i="1"/>
  <c r="V160" i="1"/>
  <c r="R117" i="1"/>
  <c r="T73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T153" i="1"/>
  <c r="T183" i="1" s="1"/>
  <c r="F119" i="1"/>
  <c r="K153" i="1"/>
  <c r="K183" i="1" s="1"/>
  <c r="U118" i="1"/>
  <c r="I153" i="1"/>
  <c r="I183" i="1" s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BV164" i="1"/>
  <c r="BW164" i="1" s="1"/>
  <c r="BH125" i="1"/>
  <c r="BI125" i="1" s="1"/>
  <c r="BV127" i="1"/>
  <c r="BW127" i="1" s="1"/>
  <c r="BH153" i="1"/>
  <c r="D118" i="1"/>
  <c r="C118" i="1"/>
  <c r="W136" i="1"/>
  <c r="B79" i="1"/>
  <c r="B171" i="1"/>
  <c r="W153" i="1"/>
  <c r="J77" i="1"/>
  <c r="B146" i="1"/>
  <c r="R118" i="1"/>
  <c r="W147" i="1"/>
  <c r="C77" i="1"/>
  <c r="D143" i="1"/>
  <c r="F170" i="1"/>
  <c r="B147" i="1"/>
  <c r="J170" i="1"/>
  <c r="V144" i="1"/>
  <c r="V179" i="1" s="1"/>
  <c r="P147" i="1"/>
  <c r="B159" i="1"/>
  <c r="I135" i="1"/>
  <c r="I131" i="1" s="1"/>
  <c r="R159" i="1"/>
  <c r="C145" i="1"/>
  <c r="C180" i="1" s="1"/>
  <c r="L78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BT131" i="1"/>
  <c r="BP155" i="1"/>
  <c r="BQ155" i="1" s="1"/>
  <c r="BP73" i="1"/>
  <c r="BF125" i="1"/>
  <c r="BG125" i="1" s="1"/>
  <c r="AP146" i="1"/>
  <c r="AQ146" i="1" s="1"/>
  <c r="BI73" i="1"/>
  <c r="AX144" i="1"/>
  <c r="BF74" i="1"/>
  <c r="BD135" i="1"/>
  <c r="BE135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BF154" i="1"/>
  <c r="BG154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W73" i="1"/>
  <c r="BP126" i="1"/>
  <c r="BQ126" i="1" s="1"/>
  <c r="BD152" i="1"/>
  <c r="BE15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P144" i="1"/>
  <c r="AT159" i="1"/>
  <c r="BF164" i="1"/>
  <c r="BG164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BP131" i="1"/>
  <c r="AV144" i="1"/>
  <c r="BW73" i="1"/>
  <c r="BN155" i="1"/>
  <c r="BO155" i="1" s="1"/>
  <c r="BP119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N118" i="1"/>
  <c r="AO118" i="1" s="1"/>
  <c r="AN74" i="1"/>
  <c r="BE74" i="1"/>
  <c r="AX122" i="1"/>
  <c r="AY122" i="1" s="1"/>
  <c r="AX160" i="1"/>
  <c r="BB119" i="1"/>
  <c r="BT144" i="1"/>
  <c r="BT179" i="1" s="1"/>
  <c r="BU179" i="1" s="1"/>
  <c r="AP119" i="1"/>
  <c r="AT133" i="1"/>
  <c r="AX150" i="1"/>
  <c r="AY150" i="1" s="1"/>
  <c r="BN146" i="1"/>
  <c r="BO146" i="1" s="1"/>
  <c r="BN132" i="1"/>
  <c r="BB160" i="1"/>
  <c r="BD131" i="1"/>
  <c r="BT153" i="1"/>
  <c r="BT183" i="1" s="1"/>
  <c r="BU183" i="1" s="1"/>
  <c r="BA74" i="1"/>
  <c r="BB127" i="1"/>
  <c r="BC127" i="1" s="1"/>
  <c r="BP145" i="1"/>
  <c r="AT144" i="1"/>
  <c r="AT179" i="1" s="1"/>
  <c r="AU179" i="1" s="1"/>
  <c r="BC73" i="1"/>
  <c r="BD151" i="1"/>
  <c r="BE151" i="1" s="1"/>
  <c r="BT159" i="1"/>
  <c r="AV149" i="1"/>
  <c r="AW149" i="1" s="1"/>
  <c r="BN142" i="1"/>
  <c r="BO142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BP149" i="1"/>
  <c r="BQ149" i="1" s="1"/>
  <c r="AV151" i="1"/>
  <c r="AW151" i="1" s="1"/>
  <c r="BT127" i="1"/>
  <c r="BU127" i="1" s="1"/>
  <c r="AR147" i="1"/>
  <c r="AS147" i="1" s="1"/>
  <c r="BB145" i="1"/>
  <c r="AT118" i="1"/>
  <c r="AU118" i="1" s="1"/>
  <c r="BO73" i="1"/>
  <c r="AX163" i="1"/>
  <c r="AY163" i="1" s="1"/>
  <c r="BB140" i="1"/>
  <c r="BC140" i="1" s="1"/>
  <c r="BD117" i="1"/>
  <c r="BB153" i="1"/>
  <c r="BF160" i="1"/>
  <c r="BP153" i="1"/>
  <c r="AX155" i="1"/>
  <c r="AY155" i="1" s="1"/>
  <c r="BN159" i="1"/>
  <c r="AX131" i="1"/>
  <c r="BN144" i="1"/>
  <c r="BF145" i="1"/>
  <c r="BS73" i="1"/>
  <c r="BQ74" i="1"/>
  <c r="AT135" i="1"/>
  <c r="AU135" i="1" s="1"/>
  <c r="AT126" i="1"/>
  <c r="AU126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BF153" i="1"/>
  <c r="BF135" i="1"/>
  <c r="BG135" i="1" s="1"/>
  <c r="BD150" i="1"/>
  <c r="BE150" i="1" s="1"/>
  <c r="BN150" i="1"/>
  <c r="BO150" i="1" s="1"/>
  <c r="BD146" i="1"/>
  <c r="BE146" i="1" s="1"/>
  <c r="BD124" i="1"/>
  <c r="BE124" i="1" s="1"/>
  <c r="BT135" i="1"/>
  <c r="BU135" i="1" s="1"/>
  <c r="BP74" i="1"/>
  <c r="AV154" i="1"/>
  <c r="AW154" i="1" s="1"/>
  <c r="BN74" i="1"/>
  <c r="AN164" i="1"/>
  <c r="AO164" i="1" s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54" i="1"/>
  <c r="BO154" i="1" s="1"/>
  <c r="AY73" i="1"/>
  <c r="BB149" i="1"/>
  <c r="BC149" i="1" s="1"/>
  <c r="BB151" i="1"/>
  <c r="BC151" i="1" s="1"/>
  <c r="BF142" i="1"/>
  <c r="BG142" i="1" s="1"/>
  <c r="BD145" i="1"/>
  <c r="BT154" i="1"/>
  <c r="BU154" i="1" s="1"/>
  <c r="BT160" i="1"/>
  <c r="BP143" i="1"/>
  <c r="BQ143" i="1" s="1"/>
  <c r="BP151" i="1"/>
  <c r="BQ151" i="1" s="1"/>
  <c r="AP118" i="1"/>
  <c r="AQ118" i="1" s="1"/>
  <c r="AX126" i="1"/>
  <c r="AY126" i="1" s="1"/>
  <c r="AX142" i="1"/>
  <c r="AY142" i="1" s="1"/>
  <c r="BN147" i="1"/>
  <c r="BO147" i="1" s="1"/>
  <c r="BB122" i="1"/>
  <c r="BC122" i="1" s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F119" i="1"/>
  <c r="BD119" i="1"/>
  <c r="BD140" i="1"/>
  <c r="BE140" i="1" s="1"/>
  <c r="AP74" i="1"/>
  <c r="BF122" i="1"/>
  <c r="BG122" i="1" s="1"/>
  <c r="BF140" i="1"/>
  <c r="BG140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BP146" i="1"/>
  <c r="BQ146" i="1" s="1"/>
  <c r="AN146" i="1"/>
  <c r="AO146" i="1" s="1"/>
  <c r="BT145" i="1"/>
  <c r="BD153" i="1"/>
  <c r="BF126" i="1"/>
  <c r="BG126" i="1" s="1"/>
  <c r="BT150" i="1"/>
  <c r="BU150" i="1" s="1"/>
  <c r="AN159" i="1"/>
  <c r="AP126" i="1"/>
  <c r="AQ126" i="1" s="1"/>
  <c r="AP144" i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AX153" i="1"/>
  <c r="BB73" i="1"/>
  <c r="BD159" i="1"/>
  <c r="BT132" i="1"/>
  <c r="BK74" i="1"/>
  <c r="AX117" i="1"/>
  <c r="AX154" i="1"/>
  <c r="AY154" i="1" s="1"/>
  <c r="BB125" i="1"/>
  <c r="BC125" i="1" s="1"/>
  <c r="BF144" i="1"/>
  <c r="BT125" i="1"/>
  <c r="BU125" i="1" s="1"/>
  <c r="AX124" i="1"/>
  <c r="BT124" i="1"/>
  <c r="AP155" i="1"/>
  <c r="AQ155" i="1" s="1"/>
  <c r="AT164" i="1"/>
  <c r="AU164" i="1" s="1"/>
  <c r="AT152" i="1"/>
  <c r="AU152" i="1" s="1"/>
  <c r="BC74" i="1"/>
  <c r="BF152" i="1"/>
  <c r="BG152" i="1" s="1"/>
  <c r="BD144" i="1"/>
  <c r="AT74" i="1"/>
  <c r="BB144" i="1"/>
  <c r="BB147" i="1"/>
  <c r="BC147" i="1" s="1"/>
  <c r="AN140" i="1"/>
  <c r="BP150" i="1"/>
  <c r="BQ150" i="1" s="1"/>
  <c r="AN133" i="1"/>
  <c r="BT7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BF146" i="1"/>
  <c r="BG146" i="1" s="1"/>
  <c r="BF127" i="1"/>
  <c r="BG127" i="1" s="1"/>
  <c r="BD133" i="1"/>
  <c r="BN140" i="1"/>
  <c r="BB164" i="1"/>
  <c r="BC164" i="1" s="1"/>
  <c r="BF149" i="1"/>
  <c r="BG149" i="1" s="1"/>
  <c r="BD118" i="1"/>
  <c r="BE118" i="1" s="1"/>
  <c r="BT164" i="1"/>
  <c r="BU164" i="1" s="1"/>
  <c r="BP160" i="1"/>
  <c r="AP132" i="1"/>
  <c r="AV132" i="1"/>
  <c r="BN131" i="1"/>
  <c r="AX133" i="1"/>
  <c r="AX146" i="1"/>
  <c r="AY146" i="1" s="1"/>
  <c r="BN160" i="1"/>
  <c r="BN118" i="1"/>
  <c r="BO118" i="1" s="1"/>
  <c r="BN149" i="1"/>
  <c r="BO149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B155" i="1"/>
  <c r="BC155" i="1" s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BT142" i="1"/>
  <c r="BU142" i="1" s="1"/>
  <c r="AP164" i="1"/>
  <c r="AQ164" i="1" s="1"/>
  <c r="BB117" i="1"/>
  <c r="AN145" i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AR159" i="1"/>
  <c r="BD132" i="1"/>
  <c r="AN144" i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AV137" i="1"/>
  <c r="AW137" i="1" s="1"/>
  <c r="AV143" i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T137" i="1"/>
  <c r="BU137" i="1" s="1"/>
  <c r="BB137" i="1"/>
  <c r="BC137" i="1" s="1"/>
  <c r="BT143" i="1"/>
  <c r="BB143" i="1"/>
  <c r="BF143" i="1"/>
  <c r="AX143" i="1"/>
  <c r="BD143" i="1"/>
  <c r="BN143" i="1"/>
  <c r="CQ134" i="1"/>
  <c r="DB77" i="1"/>
  <c r="CY65" i="1"/>
  <c r="CZ63" i="1"/>
  <c r="AZ183" i="1" l="1"/>
  <c r="BA183" i="1" s="1"/>
  <c r="AZ179" i="1"/>
  <c r="BA179" i="1" s="1"/>
  <c r="AZ180" i="1"/>
  <c r="BA180" i="1" s="1"/>
  <c r="BG73" i="1"/>
  <c r="BT155" i="1"/>
  <c r="BU155" i="1" s="1"/>
  <c r="AT231" i="1"/>
  <c r="AI183" i="1"/>
  <c r="AI185" i="1"/>
  <c r="AI182" i="1"/>
  <c r="AL98" i="1"/>
  <c r="AL99" i="1" s="1"/>
  <c r="AL104" i="1" s="1"/>
  <c r="AT252" i="1"/>
  <c r="AI180" i="1"/>
  <c r="AU231" i="1"/>
  <c r="BI194" i="1"/>
  <c r="AZ194" i="1"/>
  <c r="BT231" i="1"/>
  <c r="AI179" i="1"/>
  <c r="AI231" i="1"/>
  <c r="AI26" i="1"/>
  <c r="BC252" i="1"/>
  <c r="F202" i="1"/>
  <c r="O173" i="1"/>
  <c r="BP183" i="1"/>
  <c r="BQ183" i="1" s="1"/>
  <c r="BN179" i="1"/>
  <c r="BO179" i="1" s="1"/>
  <c r="CC86" i="1"/>
  <c r="CC103" i="1"/>
  <c r="CC107" i="1"/>
  <c r="CC95" i="1"/>
  <c r="IO20" i="4"/>
  <c r="BI79" i="1" s="1"/>
  <c r="BI108" i="1" s="1"/>
  <c r="IL9" i="4"/>
  <c r="BM10" i="1"/>
  <c r="BP10" i="1"/>
  <c r="AP252" i="1"/>
  <c r="AY252" i="1"/>
  <c r="AU252" i="1"/>
  <c r="AP10" i="1"/>
  <c r="BH179" i="1"/>
  <c r="BI179" i="1" s="1"/>
  <c r="C161" i="1"/>
  <c r="P134" i="1"/>
  <c r="BR126" i="1"/>
  <c r="BS126" i="1" s="1"/>
  <c r="BR159" i="1"/>
  <c r="BR127" i="1"/>
  <c r="BS127" i="1" s="1"/>
  <c r="BR132" i="1"/>
  <c r="BR149" i="1"/>
  <c r="BS149" i="1" s="1"/>
  <c r="BR73" i="1"/>
  <c r="BR151" i="1"/>
  <c r="BS151" i="1" s="1"/>
  <c r="BR144" i="1"/>
  <c r="BR146" i="1"/>
  <c r="BS146" i="1" s="1"/>
  <c r="BR145" i="1"/>
  <c r="BR135" i="1"/>
  <c r="BS135" i="1" s="1"/>
  <c r="BR118" i="1"/>
  <c r="BS118" i="1" s="1"/>
  <c r="BR74" i="1"/>
  <c r="BR164" i="1"/>
  <c r="BS164" i="1" s="1"/>
  <c r="BN180" i="1"/>
  <c r="BO180" i="1" s="1"/>
  <c r="BR142" i="1"/>
  <c r="BS142" i="1" s="1"/>
  <c r="BR133" i="1"/>
  <c r="BR155" i="1"/>
  <c r="BS155" i="1" s="1"/>
  <c r="BR150" i="1"/>
  <c r="BS150" i="1" s="1"/>
  <c r="BB150" i="1"/>
  <c r="BC150" i="1" s="1"/>
  <c r="BG74" i="1"/>
  <c r="BR124" i="1"/>
  <c r="BS124" i="1" s="1"/>
  <c r="BR154" i="1"/>
  <c r="BS154" i="1" s="1"/>
  <c r="BR140" i="1"/>
  <c r="BR152" i="1"/>
  <c r="BS152" i="1" s="1"/>
  <c r="BR119" i="1"/>
  <c r="BR125" i="1"/>
  <c r="BS125" i="1" s="1"/>
  <c r="BR117" i="1"/>
  <c r="BR147" i="1"/>
  <c r="BS147" i="1" s="1"/>
  <c r="BR160" i="1"/>
  <c r="BR122" i="1"/>
  <c r="BS122" i="1" s="1"/>
  <c r="BR131" i="1"/>
  <c r="BR163" i="1"/>
  <c r="BS163" i="1" s="1"/>
  <c r="BR153" i="1"/>
  <c r="BR137" i="1"/>
  <c r="BS137" i="1" s="1"/>
  <c r="BR143" i="1"/>
  <c r="BP252" i="1"/>
  <c r="AZ253" i="1"/>
  <c r="AW252" i="1"/>
  <c r="BJ17" i="1"/>
  <c r="AN252" i="1"/>
  <c r="AU10" i="1"/>
  <c r="T148" i="1"/>
  <c r="BB253" i="1"/>
  <c r="BK37" i="1"/>
  <c r="BW253" i="1"/>
  <c r="BU10" i="1"/>
  <c r="BK252" i="1"/>
  <c r="BU252" i="1"/>
  <c r="BH180" i="1"/>
  <c r="BI180" i="1" s="1"/>
  <c r="BE26" i="1"/>
  <c r="BA252" i="1"/>
  <c r="AS10" i="1"/>
  <c r="BH10" i="1"/>
  <c r="C65" i="1"/>
  <c r="BT253" i="1"/>
  <c r="AT10" i="1"/>
  <c r="V173" i="1"/>
  <c r="E148" i="1"/>
  <c r="C202" i="1"/>
  <c r="B148" i="1"/>
  <c r="V161" i="1"/>
  <c r="W209" i="1" s="1"/>
  <c r="E173" i="1"/>
  <c r="T161" i="1"/>
  <c r="F128" i="1"/>
  <c r="F37" i="1" s="1"/>
  <c r="D173" i="1"/>
  <c r="K202" i="1"/>
  <c r="F156" i="1"/>
  <c r="U202" i="1"/>
  <c r="G173" i="1"/>
  <c r="O128" i="1"/>
  <c r="L161" i="1"/>
  <c r="H161" i="1"/>
  <c r="K134" i="1"/>
  <c r="AZ252" i="1"/>
  <c r="Q173" i="1"/>
  <c r="H120" i="1"/>
  <c r="AT150" i="1"/>
  <c r="G161" i="1"/>
  <c r="BH183" i="1"/>
  <c r="BI183" i="1" s="1"/>
  <c r="R161" i="1"/>
  <c r="U128" i="1"/>
  <c r="N173" i="1"/>
  <c r="O161" i="1"/>
  <c r="T128" i="1"/>
  <c r="AV150" i="1"/>
  <c r="AW150" i="1" s="1"/>
  <c r="AY74" i="1"/>
  <c r="AQ74" i="1"/>
  <c r="AY10" i="1"/>
  <c r="R173" i="1"/>
  <c r="AY26" i="1"/>
  <c r="BO26" i="1"/>
  <c r="D161" i="1"/>
  <c r="BN10" i="1"/>
  <c r="AW26" i="1"/>
  <c r="AV26" i="1"/>
  <c r="AO252" i="1"/>
  <c r="BV180" i="1"/>
  <c r="BW180" i="1" s="1"/>
  <c r="F134" i="1"/>
  <c r="F138" i="1" s="1"/>
  <c r="H134" i="1"/>
  <c r="D202" i="1"/>
  <c r="T134" i="1"/>
  <c r="O134" i="1"/>
  <c r="L202" i="1"/>
  <c r="H173" i="1"/>
  <c r="J202" i="1"/>
  <c r="B120" i="1"/>
  <c r="R148" i="1"/>
  <c r="I156" i="1"/>
  <c r="R202" i="1"/>
  <c r="W128" i="1"/>
  <c r="S202" i="1"/>
  <c r="F161" i="1"/>
  <c r="M156" i="1"/>
  <c r="G128" i="1"/>
  <c r="F120" i="1"/>
  <c r="J128" i="1"/>
  <c r="AT180" i="1"/>
  <c r="AU180" i="1" s="1"/>
  <c r="BN183" i="1"/>
  <c r="BO183" i="1" s="1"/>
  <c r="BT180" i="1"/>
  <c r="BU180" i="1" s="1"/>
  <c r="AP179" i="1"/>
  <c r="AQ179" i="1" s="1"/>
  <c r="AY253" i="1"/>
  <c r="AY231" i="1"/>
  <c r="BK194" i="1"/>
  <c r="BK33" i="1"/>
  <c r="BK253" i="1"/>
  <c r="BK203" i="1"/>
  <c r="BK201" i="1" s="1"/>
  <c r="AW194" i="1"/>
  <c r="AW253" i="1"/>
  <c r="BH231" i="1"/>
  <c r="BK98" i="1"/>
  <c r="BK99" i="1" s="1"/>
  <c r="BK104" i="1" s="1"/>
  <c r="AP98" i="1"/>
  <c r="AP99" i="1" s="1"/>
  <c r="AO98" i="1"/>
  <c r="AO99" i="1" s="1"/>
  <c r="AN98" i="1"/>
  <c r="AN99" i="1" s="1"/>
  <c r="AN231" i="1"/>
  <c r="AN10" i="1"/>
  <c r="AO10" i="1"/>
  <c r="AO231" i="1"/>
  <c r="BC194" i="1"/>
  <c r="BC253" i="1"/>
  <c r="BN98" i="1"/>
  <c r="BN99" i="1" s="1"/>
  <c r="BM98" i="1"/>
  <c r="BM99" i="1" s="1"/>
  <c r="BK231" i="1"/>
  <c r="BI231" i="1"/>
  <c r="BI10" i="1"/>
  <c r="BI253" i="1"/>
  <c r="AN253" i="1"/>
  <c r="AN194" i="1"/>
  <c r="AN33" i="1"/>
  <c r="M202" i="1"/>
  <c r="N202" i="1"/>
  <c r="BE231" i="1"/>
  <c r="BE10" i="1"/>
  <c r="BW117" i="1"/>
  <c r="BV120" i="1"/>
  <c r="BV92" i="1" s="1"/>
  <c r="AM48" i="1"/>
  <c r="BV134" i="1"/>
  <c r="BV161" i="1"/>
  <c r="BK10" i="1"/>
  <c r="BW26" i="1"/>
  <c r="K120" i="1"/>
  <c r="BR26" i="1"/>
  <c r="BG10" i="1"/>
  <c r="AO26" i="1"/>
  <c r="AT26" i="1"/>
  <c r="AX98" i="1"/>
  <c r="AX99" i="1" s="1"/>
  <c r="BR252" i="1"/>
  <c r="BP26" i="1"/>
  <c r="BI26" i="1"/>
  <c r="BQ10" i="1"/>
  <c r="B156" i="1"/>
  <c r="AU26" i="1"/>
  <c r="BF26" i="1"/>
  <c r="BN252" i="1"/>
  <c r="AX10" i="1"/>
  <c r="BG252" i="1"/>
  <c r="AX252" i="1"/>
  <c r="L120" i="1"/>
  <c r="BQ26" i="1"/>
  <c r="BQ27" i="1" s="1"/>
  <c r="D156" i="1"/>
  <c r="U173" i="1"/>
  <c r="L148" i="1"/>
  <c r="BH252" i="1"/>
  <c r="BP253" i="1"/>
  <c r="AP26" i="1"/>
  <c r="BD26" i="1"/>
  <c r="R134" i="1"/>
  <c r="K128" i="1"/>
  <c r="J173" i="1"/>
  <c r="L173" i="1"/>
  <c r="U161" i="1"/>
  <c r="V209" i="1" s="1"/>
  <c r="Q134" i="1"/>
  <c r="K156" i="1"/>
  <c r="O156" i="1"/>
  <c r="O185" i="1" s="1"/>
  <c r="S134" i="1"/>
  <c r="K173" i="1"/>
  <c r="K161" i="1"/>
  <c r="J120" i="1"/>
  <c r="W134" i="1"/>
  <c r="R120" i="1"/>
  <c r="D65" i="1"/>
  <c r="D107" i="1" s="1"/>
  <c r="M173" i="1"/>
  <c r="B173" i="1"/>
  <c r="J134" i="1"/>
  <c r="K148" i="1"/>
  <c r="P202" i="1"/>
  <c r="T120" i="1"/>
  <c r="J161" i="1"/>
  <c r="N156" i="1"/>
  <c r="C173" i="1"/>
  <c r="C128" i="1"/>
  <c r="C37" i="1" s="1"/>
  <c r="H128" i="1"/>
  <c r="BW128" i="1"/>
  <c r="D148" i="1"/>
  <c r="F173" i="1"/>
  <c r="I134" i="1"/>
  <c r="M148" i="1"/>
  <c r="L156" i="1"/>
  <c r="I202" i="1"/>
  <c r="N161" i="1"/>
  <c r="O209" i="1" s="1"/>
  <c r="M128" i="1"/>
  <c r="H156" i="1"/>
  <c r="H185" i="1" s="1"/>
  <c r="H184" i="1" s="1"/>
  <c r="B128" i="1"/>
  <c r="I148" i="1"/>
  <c r="C156" i="1"/>
  <c r="AX179" i="1"/>
  <c r="AY179" i="1" s="1"/>
  <c r="BP179" i="1"/>
  <c r="BQ179" i="1" s="1"/>
  <c r="AV179" i="1"/>
  <c r="AW179" i="1" s="1"/>
  <c r="BP180" i="1"/>
  <c r="BQ180" i="1" s="1"/>
  <c r="AV183" i="1"/>
  <c r="AW183" i="1" s="1"/>
  <c r="AX180" i="1"/>
  <c r="AY180" i="1" s="1"/>
  <c r="AP183" i="1"/>
  <c r="AQ183" i="1" s="1"/>
  <c r="AV180" i="1"/>
  <c r="AW180" i="1" s="1"/>
  <c r="AX183" i="1"/>
  <c r="AY183" i="1" s="1"/>
  <c r="BB179" i="1"/>
  <c r="BC179" i="1" s="1"/>
  <c r="AP180" i="1"/>
  <c r="AQ180" i="1" s="1"/>
  <c r="AN180" i="1"/>
  <c r="AO180" i="1" s="1"/>
  <c r="AN183" i="1"/>
  <c r="AO183" i="1" s="1"/>
  <c r="AN179" i="1"/>
  <c r="AO179" i="1" s="1"/>
  <c r="AZ231" i="1"/>
  <c r="AZ10" i="1"/>
  <c r="AZ16" i="1" s="1"/>
  <c r="BR231" i="1"/>
  <c r="BR253" i="1"/>
  <c r="BR10" i="1"/>
  <c r="BG194" i="1"/>
  <c r="BG253" i="1"/>
  <c r="BQ253" i="1"/>
  <c r="BQ252" i="1"/>
  <c r="BQ231" i="1"/>
  <c r="BS98" i="1"/>
  <c r="BS99" i="1" s="1"/>
  <c r="BA231" i="1"/>
  <c r="BA10" i="1"/>
  <c r="BA253" i="1"/>
  <c r="AV231" i="1"/>
  <c r="AV252" i="1"/>
  <c r="AV10" i="1"/>
  <c r="AV98" i="1"/>
  <c r="AV99" i="1" s="1"/>
  <c r="AV253" i="1"/>
  <c r="BR98" i="1"/>
  <c r="BR99" i="1" s="1"/>
  <c r="BO98" i="1"/>
  <c r="BO99" i="1" s="1"/>
  <c r="BP98" i="1"/>
  <c r="BP99" i="1" s="1"/>
  <c r="BO10" i="1"/>
  <c r="BO231" i="1"/>
  <c r="BO252" i="1"/>
  <c r="BQ98" i="1"/>
  <c r="BQ99" i="1" s="1"/>
  <c r="BO253" i="1"/>
  <c r="BU253" i="1"/>
  <c r="BU194" i="1"/>
  <c r="BM252" i="1"/>
  <c r="BM37" i="1"/>
  <c r="AP194" i="1"/>
  <c r="AP253" i="1"/>
  <c r="AS253" i="1"/>
  <c r="AS194" i="1"/>
  <c r="AX194" i="1"/>
  <c r="AX253" i="1"/>
  <c r="BM194" i="1"/>
  <c r="BM33" i="1"/>
  <c r="BM253" i="1"/>
  <c r="BM203" i="1"/>
  <c r="BM201" i="1" s="1"/>
  <c r="BH194" i="1"/>
  <c r="BH253" i="1"/>
  <c r="BI142" i="1"/>
  <c r="BH148" i="1"/>
  <c r="BH182" i="1" s="1"/>
  <c r="BC231" i="1"/>
  <c r="BC10" i="1"/>
  <c r="BJ28" i="1"/>
  <c r="BJ27" i="1"/>
  <c r="BA98" i="1"/>
  <c r="BA99" i="1" s="1"/>
  <c r="AX231" i="1"/>
  <c r="BJ98" i="1"/>
  <c r="BJ99" i="1" s="1"/>
  <c r="BJ102" i="1" s="1"/>
  <c r="BG231" i="1"/>
  <c r="BJ194" i="1"/>
  <c r="BJ253" i="1"/>
  <c r="AU194" i="1"/>
  <c r="AU253" i="1"/>
  <c r="W202" i="1"/>
  <c r="X202" i="1"/>
  <c r="AW231" i="1"/>
  <c r="BF10" i="1"/>
  <c r="BS252" i="1"/>
  <c r="BB194" i="1"/>
  <c r="Q120" i="1"/>
  <c r="S148" i="1"/>
  <c r="G148" i="1"/>
  <c r="S156" i="1"/>
  <c r="S173" i="1"/>
  <c r="V120" i="1"/>
  <c r="V175" i="1" s="1"/>
  <c r="D134" i="1"/>
  <c r="D138" i="1" s="1"/>
  <c r="J156" i="1"/>
  <c r="W173" i="1"/>
  <c r="Q156" i="1"/>
  <c r="N134" i="1"/>
  <c r="P128" i="1"/>
  <c r="E134" i="1"/>
  <c r="BF252" i="1"/>
  <c r="L128" i="1"/>
  <c r="H202" i="1"/>
  <c r="Q148" i="1"/>
  <c r="R128" i="1"/>
  <c r="R37" i="1" s="1"/>
  <c r="BS26" i="1"/>
  <c r="AX26" i="1"/>
  <c r="U134" i="1"/>
  <c r="I128" i="1"/>
  <c r="Q161" i="1"/>
  <c r="BV26" i="1"/>
  <c r="L134" i="1"/>
  <c r="L138" i="1" s="1"/>
  <c r="T156" i="1"/>
  <c r="AQ252" i="1"/>
  <c r="AZ26" i="1"/>
  <c r="AR26" i="1"/>
  <c r="BC26" i="1"/>
  <c r="BG98" i="1"/>
  <c r="BG99" i="1" s="1"/>
  <c r="BG102" i="1" s="1"/>
  <c r="BK26" i="1"/>
  <c r="AN26" i="1"/>
  <c r="BD252" i="1"/>
  <c r="P120" i="1"/>
  <c r="R156" i="1"/>
  <c r="N128" i="1"/>
  <c r="E156" i="1"/>
  <c r="V156" i="1"/>
  <c r="V185" i="1" s="1"/>
  <c r="S161" i="1"/>
  <c r="T209" i="1" s="1"/>
  <c r="M120" i="1"/>
  <c r="G120" i="1"/>
  <c r="P148" i="1"/>
  <c r="Q128" i="1"/>
  <c r="C148" i="1"/>
  <c r="J148" i="1"/>
  <c r="M134" i="1"/>
  <c r="BU26" i="1"/>
  <c r="BN26" i="1"/>
  <c r="BH134" i="1"/>
  <c r="U120" i="1"/>
  <c r="BT26" i="1"/>
  <c r="BH26" i="1"/>
  <c r="BH161" i="1"/>
  <c r="BI252" i="1"/>
  <c r="BG26" i="1"/>
  <c r="BA26" i="1"/>
  <c r="BM26" i="1"/>
  <c r="BB26" i="1"/>
  <c r="AQ253" i="1"/>
  <c r="BI202" i="1"/>
  <c r="AQ98" i="1"/>
  <c r="AQ99" i="1" s="1"/>
  <c r="AQ104" i="1" s="1"/>
  <c r="AU98" i="1"/>
  <c r="AU99" i="1" s="1"/>
  <c r="G134" i="1"/>
  <c r="I161" i="1"/>
  <c r="P173" i="1"/>
  <c r="E202" i="1"/>
  <c r="S120" i="1"/>
  <c r="AS26" i="1"/>
  <c r="V148" i="1"/>
  <c r="AI37" i="1"/>
  <c r="N148" i="1"/>
  <c r="N182" i="1" s="1"/>
  <c r="I120" i="1"/>
  <c r="I173" i="1"/>
  <c r="T173" i="1"/>
  <c r="B134" i="1"/>
  <c r="BE253" i="1"/>
  <c r="BT194" i="1"/>
  <c r="BP194" i="1"/>
  <c r="BF183" i="1"/>
  <c r="BG183" i="1" s="1"/>
  <c r="H148" i="1"/>
  <c r="H182" i="1" s="1"/>
  <c r="AQ26" i="1"/>
  <c r="AQ10" i="1"/>
  <c r="AW10" i="1"/>
  <c r="AZ98" i="1"/>
  <c r="AZ99" i="1" s="1"/>
  <c r="O202" i="1"/>
  <c r="V134" i="1"/>
  <c r="AT98" i="1"/>
  <c r="AT99" i="1" s="1"/>
  <c r="AW98" i="1"/>
  <c r="AW99" i="1" s="1"/>
  <c r="AW103" i="1" s="1"/>
  <c r="AY98" i="1"/>
  <c r="AY99" i="1" s="1"/>
  <c r="BF180" i="1"/>
  <c r="BG180" i="1" s="1"/>
  <c r="BF179" i="1"/>
  <c r="BG179" i="1" s="1"/>
  <c r="BV252" i="1"/>
  <c r="BW10" i="1"/>
  <c r="BH202" i="1"/>
  <c r="BV148" i="1"/>
  <c r="BV182" i="1" s="1"/>
  <c r="BY98" i="1"/>
  <c r="BY99" i="1" s="1"/>
  <c r="BV128" i="1"/>
  <c r="BW252" i="1"/>
  <c r="BZ98" i="1"/>
  <c r="BZ99" i="1" s="1"/>
  <c r="BW231" i="1"/>
  <c r="E128" i="1"/>
  <c r="BV253" i="1"/>
  <c r="G156" i="1"/>
  <c r="BD183" i="1"/>
  <c r="BE183" i="1" s="1"/>
  <c r="V202" i="1"/>
  <c r="BD180" i="1"/>
  <c r="BE180" i="1" s="1"/>
  <c r="BV183" i="1"/>
  <c r="BW183" i="1" s="1"/>
  <c r="BT98" i="1"/>
  <c r="BT99" i="1" s="1"/>
  <c r="BN253" i="1"/>
  <c r="B65" i="1"/>
  <c r="C120" i="1"/>
  <c r="BS253" i="1"/>
  <c r="AR252" i="1"/>
  <c r="BS10" i="1"/>
  <c r="BW98" i="1"/>
  <c r="BW99" i="1" s="1"/>
  <c r="AI203" i="1"/>
  <c r="AI201" i="1" s="1"/>
  <c r="AR183" i="1"/>
  <c r="AS183" i="1" s="1"/>
  <c r="G202" i="1"/>
  <c r="V128" i="1"/>
  <c r="E120" i="1"/>
  <c r="N120" i="1"/>
  <c r="BD179" i="1"/>
  <c r="BE179" i="1" s="1"/>
  <c r="AI33" i="1"/>
  <c r="BE98" i="1"/>
  <c r="BE99" i="1" s="1"/>
  <c r="BN194" i="1"/>
  <c r="BD98" i="1"/>
  <c r="BD99" i="1" s="1"/>
  <c r="BD102" i="1" s="1"/>
  <c r="BV98" i="1"/>
  <c r="BV99" i="1" s="1"/>
  <c r="BV104" i="1" s="1"/>
  <c r="AR10" i="1"/>
  <c r="BU98" i="1"/>
  <c r="BU99" i="1" s="1"/>
  <c r="BD231" i="1"/>
  <c r="BH128" i="1"/>
  <c r="S128" i="1"/>
  <c r="Q202" i="1"/>
  <c r="D128" i="1"/>
  <c r="BB98" i="1"/>
  <c r="BB99" i="1" s="1"/>
  <c r="BF253" i="1"/>
  <c r="AR253" i="1"/>
  <c r="BD253" i="1"/>
  <c r="BH120" i="1"/>
  <c r="BH92" i="1" s="1"/>
  <c r="BH96" i="1" s="1"/>
  <c r="BI128" i="1"/>
  <c r="O148" i="1"/>
  <c r="B161" i="1"/>
  <c r="D120" i="1"/>
  <c r="O120" i="1"/>
  <c r="BI98" i="1"/>
  <c r="BI99" i="1" s="1"/>
  <c r="AS98" i="1"/>
  <c r="AS99" i="1" s="1"/>
  <c r="BH98" i="1"/>
  <c r="BH99" i="1" s="1"/>
  <c r="BX98" i="1"/>
  <c r="BX99" i="1" s="1"/>
  <c r="BX102" i="1" s="1"/>
  <c r="BD10" i="1"/>
  <c r="BH156" i="1"/>
  <c r="BH185" i="1" s="1"/>
  <c r="F148" i="1"/>
  <c r="U148" i="1"/>
  <c r="BB180" i="1"/>
  <c r="BC180" i="1" s="1"/>
  <c r="BB252" i="1"/>
  <c r="BF98" i="1"/>
  <c r="BF99" i="1" s="1"/>
  <c r="AT253" i="1"/>
  <c r="BV179" i="1"/>
  <c r="BW179" i="1" s="1"/>
  <c r="U156" i="1"/>
  <c r="T202" i="1"/>
  <c r="BC98" i="1"/>
  <c r="BC99" i="1" s="1"/>
  <c r="BV156" i="1"/>
  <c r="BV185" i="1" s="1"/>
  <c r="BB10" i="1"/>
  <c r="AR98" i="1"/>
  <c r="AR99" i="1" s="1"/>
  <c r="BL98" i="1"/>
  <c r="BL99" i="1" s="1"/>
  <c r="BV10" i="1"/>
  <c r="AO253" i="1"/>
  <c r="BB183" i="1"/>
  <c r="BC183" i="1" s="1"/>
  <c r="AR179" i="1"/>
  <c r="AS179" i="1" s="1"/>
  <c r="BW202" i="1"/>
  <c r="BE252" i="1"/>
  <c r="N209" i="1"/>
  <c r="C138" i="1"/>
  <c r="C33" i="1"/>
  <c r="AR134" i="1"/>
  <c r="BD161" i="1"/>
  <c r="BE209" i="1" s="1"/>
  <c r="AN161" i="1"/>
  <c r="AO209" i="1" s="1"/>
  <c r="AV161" i="1"/>
  <c r="AW209" i="1" s="1"/>
  <c r="BN161" i="1"/>
  <c r="BO209" i="1" s="1"/>
  <c r="AX161" i="1"/>
  <c r="AY209" i="1" s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U202" i="1"/>
  <c r="BE117" i="1"/>
  <c r="BD120" i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U124" i="1"/>
  <c r="BU128" i="1" s="1"/>
  <c r="BT128" i="1"/>
  <c r="AO140" i="1"/>
  <c r="AN202" i="1"/>
  <c r="BF202" i="1"/>
  <c r="AQ128" i="1"/>
  <c r="AT202" i="1"/>
  <c r="AN134" i="1"/>
  <c r="AP161" i="1"/>
  <c r="BN134" i="1"/>
  <c r="AX134" i="1"/>
  <c r="BB134" i="1"/>
  <c r="AT161" i="1"/>
  <c r="AU209" i="1" s="1"/>
  <c r="AZ120" i="1"/>
  <c r="AR156" i="1"/>
  <c r="BN120" i="1"/>
  <c r="AS202" i="1"/>
  <c r="BP156" i="1"/>
  <c r="BP185" i="1" s="1"/>
  <c r="BT120" i="1"/>
  <c r="BF128" i="1"/>
  <c r="BE202" i="1"/>
  <c r="BP148" i="1"/>
  <c r="BP182" i="1" s="1"/>
  <c r="AZ128" i="1"/>
  <c r="BQ202" i="1"/>
  <c r="AP128" i="1"/>
  <c r="AP120" i="1"/>
  <c r="AP92" i="1" s="1"/>
  <c r="BD156" i="1"/>
  <c r="BD185" i="1" s="1"/>
  <c r="BP120" i="1"/>
  <c r="BP92" i="1" s="1"/>
  <c r="BP94" i="1" s="1"/>
  <c r="BN156" i="1"/>
  <c r="BN185" i="1" s="1"/>
  <c r="AN156" i="1"/>
  <c r="AN185" i="1" s="1"/>
  <c r="BP128" i="1"/>
  <c r="BG128" i="1"/>
  <c r="BA128" i="1"/>
  <c r="AT128" i="1"/>
  <c r="AP156" i="1"/>
  <c r="BF156" i="1"/>
  <c r="BF185" i="1" s="1"/>
  <c r="BF120" i="1"/>
  <c r="BQ128" i="1"/>
  <c r="BD128" i="1"/>
  <c r="AZ156" i="1"/>
  <c r="AZ185" i="1" s="1"/>
  <c r="AZ184" i="1" s="1"/>
  <c r="AV120" i="1"/>
  <c r="AU128" i="1"/>
  <c r="AI184" i="1"/>
  <c r="AW143" i="1"/>
  <c r="AV148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A143" i="1"/>
  <c r="AZ148" i="1"/>
  <c r="AU202" i="1"/>
  <c r="AV202" i="1"/>
  <c r="BB202" i="1"/>
  <c r="BA202" i="1"/>
  <c r="AY202" i="1"/>
  <c r="AZ202" i="1"/>
  <c r="BC202" i="1"/>
  <c r="BD202" i="1"/>
  <c r="AI27" i="1"/>
  <c r="N58" i="1"/>
  <c r="AL244" i="1"/>
  <c r="AJ12" i="1"/>
  <c r="AM11" i="1"/>
  <c r="AL225" i="1"/>
  <c r="AI16" i="1"/>
  <c r="BG202" i="1"/>
  <c r="AI181" i="1"/>
  <c r="AL102" i="1"/>
  <c r="AL103" i="1"/>
  <c r="BX11" i="1"/>
  <c r="BT16" i="1"/>
  <c r="BT11" i="1"/>
  <c r="CQ138" i="1"/>
  <c r="CR32" i="1"/>
  <c r="AE77" i="1"/>
  <c r="AB125" i="1"/>
  <c r="AB128" i="1" s="1"/>
  <c r="AB249" i="1" s="1"/>
  <c r="AD142" i="1"/>
  <c r="CZ65" i="1"/>
  <c r="DA63" i="1"/>
  <c r="BM11" i="1" l="1"/>
  <c r="AT27" i="1"/>
  <c r="AP27" i="1"/>
  <c r="P138" i="1"/>
  <c r="P33" i="1"/>
  <c r="BM27" i="1"/>
  <c r="D209" i="1"/>
  <c r="T182" i="1"/>
  <c r="BE27" i="1"/>
  <c r="AI186" i="1"/>
  <c r="AP16" i="1"/>
  <c r="AP11" i="1"/>
  <c r="BM16" i="1"/>
  <c r="BM12" i="1"/>
  <c r="BP16" i="1"/>
  <c r="AU16" i="1"/>
  <c r="BP11" i="1"/>
  <c r="BR179" i="1"/>
  <c r="BS179" i="1" s="1"/>
  <c r="BR180" i="1"/>
  <c r="BS180" i="1" s="1"/>
  <c r="BR183" i="1"/>
  <c r="BS183" i="1" s="1"/>
  <c r="BT156" i="1"/>
  <c r="BT185" i="1" s="1"/>
  <c r="BT184" i="1" s="1"/>
  <c r="BP184" i="1"/>
  <c r="BR134" i="1"/>
  <c r="BS128" i="1"/>
  <c r="BS143" i="1"/>
  <c r="BR148" i="1"/>
  <c r="BG104" i="1"/>
  <c r="BG103" i="1"/>
  <c r="BT27" i="1"/>
  <c r="AV16" i="1"/>
  <c r="BA188" i="1"/>
  <c r="AZ11" i="1"/>
  <c r="AV12" i="1"/>
  <c r="BI33" i="1"/>
  <c r="AW102" i="1"/>
  <c r="AW104" i="1"/>
  <c r="BJ29" i="1"/>
  <c r="BJ34" i="1"/>
  <c r="BJ38" i="1" s="1"/>
  <c r="BJ232" i="1"/>
  <c r="BJ233" i="1" s="1"/>
  <c r="BI134" i="1"/>
  <c r="BI209" i="1"/>
  <c r="CF90" i="1"/>
  <c r="CE90" i="1"/>
  <c r="CD90" i="1"/>
  <c r="BS140" i="1"/>
  <c r="BR202" i="1"/>
  <c r="IL21" i="4"/>
  <c r="BF77" i="1" s="1"/>
  <c r="IG15" i="4"/>
  <c r="IG20" i="4" s="1"/>
  <c r="BA79" i="1" s="1"/>
  <c r="BA108" i="1" s="1"/>
  <c r="P196" i="1"/>
  <c r="BS117" i="1"/>
  <c r="BR120" i="1"/>
  <c r="BR92" i="1" s="1"/>
  <c r="BR161" i="1"/>
  <c r="BR156" i="1"/>
  <c r="BR185" i="1" s="1"/>
  <c r="BB156" i="1"/>
  <c r="BB185" i="1" s="1"/>
  <c r="BR128" i="1"/>
  <c r="BZ244" i="1"/>
  <c r="CA11" i="1"/>
  <c r="BZ225" i="1"/>
  <c r="BX12" i="1"/>
  <c r="AW12" i="1"/>
  <c r="AY188" i="1"/>
  <c r="H197" i="1"/>
  <c r="R175" i="1"/>
  <c r="R54" i="1"/>
  <c r="C249" i="1"/>
  <c r="C251" i="1" s="1"/>
  <c r="BS12" i="1"/>
  <c r="U196" i="1"/>
  <c r="J182" i="1"/>
  <c r="J181" i="1" s="1"/>
  <c r="G138" i="1"/>
  <c r="G33" i="1"/>
  <c r="J175" i="1"/>
  <c r="J54" i="1"/>
  <c r="J207" i="1"/>
  <c r="C182" i="1"/>
  <c r="C181" i="1" s="1"/>
  <c r="D196" i="1"/>
  <c r="L209" i="1"/>
  <c r="D66" i="1"/>
  <c r="D108" i="1"/>
  <c r="K182" i="1"/>
  <c r="K181" i="1" s="1"/>
  <c r="D182" i="1"/>
  <c r="D181" i="1" s="1"/>
  <c r="W138" i="1"/>
  <c r="X203" i="1" s="1"/>
  <c r="W33" i="1"/>
  <c r="P182" i="1"/>
  <c r="P157" i="1"/>
  <c r="P165" i="1" s="1"/>
  <c r="C185" i="1"/>
  <c r="P175" i="1"/>
  <c r="P244" i="1"/>
  <c r="P246" i="1"/>
  <c r="S175" i="1"/>
  <c r="Q249" i="1"/>
  <c r="Q251" i="1" s="1"/>
  <c r="AZ27" i="1"/>
  <c r="BH138" i="1"/>
  <c r="J129" i="1"/>
  <c r="J55" i="1" s="1"/>
  <c r="R207" i="1"/>
  <c r="K196" i="1"/>
  <c r="E196" i="1"/>
  <c r="BH181" i="1"/>
  <c r="J197" i="1"/>
  <c r="L168" i="1"/>
  <c r="L109" i="1" s="1"/>
  <c r="BC27" i="1"/>
  <c r="BK27" i="1"/>
  <c r="F33" i="1"/>
  <c r="N206" i="1"/>
  <c r="H207" i="1"/>
  <c r="C196" i="1"/>
  <c r="BU27" i="1"/>
  <c r="BN27" i="1"/>
  <c r="BH27" i="1"/>
  <c r="BA27" i="1"/>
  <c r="AT16" i="1"/>
  <c r="AS27" i="1"/>
  <c r="L54" i="1"/>
  <c r="P197" i="1"/>
  <c r="F249" i="1"/>
  <c r="F251" i="1" s="1"/>
  <c r="T33" i="1"/>
  <c r="T138" i="1"/>
  <c r="F207" i="1"/>
  <c r="L175" i="1"/>
  <c r="D248" i="1"/>
  <c r="BC225" i="1"/>
  <c r="P209" i="1"/>
  <c r="U209" i="1"/>
  <c r="H175" i="1"/>
  <c r="H54" i="1"/>
  <c r="I209" i="1"/>
  <c r="H248" i="1"/>
  <c r="C108" i="1"/>
  <c r="C66" i="1"/>
  <c r="C107" i="1"/>
  <c r="T168" i="1"/>
  <c r="T109" i="1" s="1"/>
  <c r="U249" i="1"/>
  <c r="U251" i="1" s="1"/>
  <c r="H138" i="1"/>
  <c r="H33" i="1"/>
  <c r="R168" i="1"/>
  <c r="R109" i="1" s="1"/>
  <c r="S185" i="1"/>
  <c r="T197" i="1"/>
  <c r="G209" i="1"/>
  <c r="F248" i="1"/>
  <c r="F168" i="1"/>
  <c r="F109" i="1" s="1"/>
  <c r="F175" i="1"/>
  <c r="F54" i="1"/>
  <c r="F129" i="1"/>
  <c r="F55" i="1" s="1"/>
  <c r="R209" i="1"/>
  <c r="Q248" i="1"/>
  <c r="U33" i="1"/>
  <c r="U138" i="1"/>
  <c r="E209" i="1"/>
  <c r="J37" i="1"/>
  <c r="J249" i="1"/>
  <c r="J251" i="1" s="1"/>
  <c r="F185" i="1"/>
  <c r="E182" i="1"/>
  <c r="E181" i="1" s="1"/>
  <c r="Q168" i="1"/>
  <c r="Q109" i="1" s="1"/>
  <c r="K207" i="1"/>
  <c r="G206" i="1"/>
  <c r="G249" i="1"/>
  <c r="G251" i="1" s="1"/>
  <c r="Q196" i="1"/>
  <c r="E33" i="1"/>
  <c r="E138" i="1"/>
  <c r="K248" i="1"/>
  <c r="B175" i="1"/>
  <c r="B54" i="1"/>
  <c r="T37" i="1"/>
  <c r="T129" i="1"/>
  <c r="T55" i="1" s="1"/>
  <c r="O37" i="1"/>
  <c r="O168" i="1"/>
  <c r="O109" i="1" s="1"/>
  <c r="K54" i="1"/>
  <c r="L207" i="1"/>
  <c r="K175" i="1"/>
  <c r="W37" i="1"/>
  <c r="X249" i="1"/>
  <c r="X251" i="1" s="1"/>
  <c r="X206" i="1"/>
  <c r="Q182" i="1"/>
  <c r="Q181" i="1" s="1"/>
  <c r="R196" i="1"/>
  <c r="K157" i="1"/>
  <c r="D157" i="1"/>
  <c r="I37" i="1"/>
  <c r="I206" i="1"/>
  <c r="J206" i="1"/>
  <c r="K33" i="1"/>
  <c r="K138" i="1"/>
  <c r="D185" i="1"/>
  <c r="E197" i="1"/>
  <c r="S209" i="1"/>
  <c r="R248" i="1"/>
  <c r="L182" i="1"/>
  <c r="L196" i="1"/>
  <c r="M196" i="1"/>
  <c r="R182" i="1"/>
  <c r="R181" i="1" s="1"/>
  <c r="C197" i="1"/>
  <c r="I249" i="1"/>
  <c r="I251" i="1" s="1"/>
  <c r="Q33" i="1"/>
  <c r="Q138" i="1"/>
  <c r="G37" i="1"/>
  <c r="G168" i="1"/>
  <c r="G109" i="1" s="1"/>
  <c r="U206" i="1"/>
  <c r="U168" i="1"/>
  <c r="U109" i="1" s="1"/>
  <c r="U37" i="1"/>
  <c r="U129" i="1"/>
  <c r="U55" i="1" s="1"/>
  <c r="Q206" i="1"/>
  <c r="I157" i="1"/>
  <c r="I197" i="1"/>
  <c r="I185" i="1"/>
  <c r="Q185" i="1"/>
  <c r="Q157" i="1"/>
  <c r="Q197" i="1"/>
  <c r="R197" i="1"/>
  <c r="H209" i="1"/>
  <c r="B182" i="1"/>
  <c r="M209" i="1"/>
  <c r="AP181" i="1"/>
  <c r="M185" i="1"/>
  <c r="AU150" i="1"/>
  <c r="AT156" i="1"/>
  <c r="AT185" i="1" s="1"/>
  <c r="AT184" i="1" s="1"/>
  <c r="AV156" i="1"/>
  <c r="AV185" i="1" s="1"/>
  <c r="AV184" i="1" s="1"/>
  <c r="BK11" i="1"/>
  <c r="AT12" i="1"/>
  <c r="AY27" i="1"/>
  <c r="AZ12" i="1"/>
  <c r="AY16" i="1"/>
  <c r="BJ103" i="1"/>
  <c r="BJ104" i="1"/>
  <c r="BR102" i="1"/>
  <c r="BR104" i="1"/>
  <c r="BR103" i="1"/>
  <c r="BU16" i="1"/>
  <c r="BA12" i="1"/>
  <c r="AS16" i="1"/>
  <c r="BJ11" i="1"/>
  <c r="BF16" i="1"/>
  <c r="BY11" i="1"/>
  <c r="BO11" i="1"/>
  <c r="BP12" i="1"/>
  <c r="BO27" i="1"/>
  <c r="BO16" i="1"/>
  <c r="AT11" i="1"/>
  <c r="AU12" i="1"/>
  <c r="AT188" i="1"/>
  <c r="BR27" i="1"/>
  <c r="BI16" i="1"/>
  <c r="BL244" i="1"/>
  <c r="BL225" i="1"/>
  <c r="BQ188" i="1"/>
  <c r="AY11" i="1"/>
  <c r="AU27" i="1"/>
  <c r="BE16" i="1"/>
  <c r="BI11" i="1"/>
  <c r="BK225" i="1"/>
  <c r="T58" i="1"/>
  <c r="BL188" i="1"/>
  <c r="BK103" i="1"/>
  <c r="BK102" i="1"/>
  <c r="AY12" i="1"/>
  <c r="BP27" i="1"/>
  <c r="AN27" i="1"/>
  <c r="AP12" i="1"/>
  <c r="BJ12" i="1"/>
  <c r="BI27" i="1"/>
  <c r="BM188" i="1"/>
  <c r="BN11" i="1"/>
  <c r="BN188" i="1"/>
  <c r="BN16" i="1"/>
  <c r="BN12" i="1"/>
  <c r="BR11" i="1"/>
  <c r="BR188" i="1"/>
  <c r="AN102" i="1"/>
  <c r="AN103" i="1"/>
  <c r="AN104" i="1"/>
  <c r="BM104" i="1"/>
  <c r="BM102" i="1"/>
  <c r="BM103" i="1"/>
  <c r="U58" i="1"/>
  <c r="BQ225" i="1"/>
  <c r="BO12" i="1"/>
  <c r="AP188" i="1"/>
  <c r="BU12" i="1"/>
  <c r="BY188" i="1"/>
  <c r="AX188" i="1"/>
  <c r="AX12" i="1"/>
  <c r="AX16" i="1"/>
  <c r="AZ225" i="1"/>
  <c r="AX102" i="1"/>
  <c r="AX104" i="1"/>
  <c r="AX103" i="1"/>
  <c r="AX11" i="1"/>
  <c r="BP225" i="1"/>
  <c r="BO225" i="1"/>
  <c r="AO11" i="1"/>
  <c r="AS11" i="1"/>
  <c r="AO188" i="1"/>
  <c r="AO16" i="1"/>
  <c r="AO27" i="1"/>
  <c r="CB188" i="1"/>
  <c r="X58" i="1"/>
  <c r="BW16" i="1"/>
  <c r="AV27" i="1"/>
  <c r="AN11" i="1"/>
  <c r="AO225" i="1"/>
  <c r="AN16" i="1"/>
  <c r="AN12" i="1"/>
  <c r="AN225" i="1"/>
  <c r="AO12" i="1"/>
  <c r="BH16" i="1"/>
  <c r="BL11" i="1"/>
  <c r="BI12" i="1"/>
  <c r="BO188" i="1"/>
  <c r="BN225" i="1"/>
  <c r="BA103" i="1"/>
  <c r="BG27" i="1"/>
  <c r="BJ225" i="1"/>
  <c r="BJ244" i="1"/>
  <c r="BH12" i="1"/>
  <c r="BG16" i="1"/>
  <c r="BV138" i="1"/>
  <c r="BW33" i="1"/>
  <c r="BW134" i="1"/>
  <c r="AP102" i="1"/>
  <c r="AP104" i="1"/>
  <c r="AP103" i="1"/>
  <c r="AO102" i="1"/>
  <c r="AO104" i="1"/>
  <c r="AO103" i="1"/>
  <c r="BW27" i="1"/>
  <c r="BG11" i="1"/>
  <c r="AN188" i="1"/>
  <c r="V207" i="1"/>
  <c r="AX27" i="1"/>
  <c r="M207" i="1"/>
  <c r="BX188" i="1"/>
  <c r="O138" i="1"/>
  <c r="O33" i="1"/>
  <c r="AP225" i="1"/>
  <c r="O58" i="1"/>
  <c r="BN102" i="1"/>
  <c r="BN104" i="1"/>
  <c r="BN103" i="1"/>
  <c r="AM52" i="1"/>
  <c r="AM66" i="1"/>
  <c r="AM69" i="1" s="1"/>
  <c r="AM193" i="1"/>
  <c r="AM195" i="1" s="1"/>
  <c r="AM119" i="1"/>
  <c r="AM120" i="1" s="1"/>
  <c r="AM129" i="1" s="1"/>
  <c r="BM225" i="1"/>
  <c r="BK16" i="1"/>
  <c r="BL12" i="1"/>
  <c r="BK12" i="1"/>
  <c r="BQ12" i="1"/>
  <c r="BQ16" i="1"/>
  <c r="BQ28" i="1" s="1"/>
  <c r="BQ11" i="1"/>
  <c r="BU11" i="1"/>
  <c r="V58" i="1"/>
  <c r="BR225" i="1"/>
  <c r="BU188" i="1"/>
  <c r="BT225" i="1"/>
  <c r="B185" i="1"/>
  <c r="B184" i="1" s="1"/>
  <c r="B157" i="1"/>
  <c r="L248" i="1"/>
  <c r="R33" i="1"/>
  <c r="R138" i="1"/>
  <c r="L197" i="1"/>
  <c r="K185" i="1"/>
  <c r="S33" i="1"/>
  <c r="S138" i="1"/>
  <c r="J138" i="1"/>
  <c r="J33" i="1"/>
  <c r="T207" i="1"/>
  <c r="T248" i="1"/>
  <c r="T175" i="1"/>
  <c r="T54" i="1"/>
  <c r="J168" i="1"/>
  <c r="J109" i="1" s="1"/>
  <c r="J248" i="1"/>
  <c r="K209" i="1"/>
  <c r="N185" i="1"/>
  <c r="N184" i="1" s="1"/>
  <c r="N197" i="1"/>
  <c r="O197" i="1"/>
  <c r="H249" i="1"/>
  <c r="H251" i="1" s="1"/>
  <c r="H206" i="1"/>
  <c r="H168" i="1"/>
  <c r="H109" i="1" s="1"/>
  <c r="H129" i="1"/>
  <c r="H55" i="1" s="1"/>
  <c r="H37" i="1"/>
  <c r="I33" i="1"/>
  <c r="I138" i="1"/>
  <c r="M182" i="1"/>
  <c r="M181" i="1" s="1"/>
  <c r="M157" i="1"/>
  <c r="M197" i="1"/>
  <c r="L185" i="1"/>
  <c r="L184" i="1" s="1"/>
  <c r="L157" i="1"/>
  <c r="L165" i="1" s="1"/>
  <c r="M168" i="1"/>
  <c r="M109" i="1" s="1"/>
  <c r="M37" i="1"/>
  <c r="I182" i="1"/>
  <c r="I181" i="1" s="1"/>
  <c r="J196" i="1"/>
  <c r="C157" i="1"/>
  <c r="C165" i="1" s="1"/>
  <c r="D197" i="1"/>
  <c r="S196" i="1"/>
  <c r="S182" i="1"/>
  <c r="S181" i="1" s="1"/>
  <c r="N33" i="1"/>
  <c r="N138" i="1"/>
  <c r="P206" i="1"/>
  <c r="P37" i="1"/>
  <c r="P249" i="1"/>
  <c r="P251" i="1" s="1"/>
  <c r="P168" i="1"/>
  <c r="P109" i="1" s="1"/>
  <c r="P129" i="1"/>
  <c r="P55" i="1" s="1"/>
  <c r="T185" i="1"/>
  <c r="T184" i="1" s="1"/>
  <c r="T157" i="1"/>
  <c r="P54" i="1"/>
  <c r="P207" i="1"/>
  <c r="P248" i="1"/>
  <c r="S197" i="1"/>
  <c r="R157" i="1"/>
  <c r="R185" i="1"/>
  <c r="E185" i="1"/>
  <c r="F197" i="1"/>
  <c r="E157" i="1"/>
  <c r="Q129" i="1"/>
  <c r="Q55" i="1" s="1"/>
  <c r="Q37" i="1"/>
  <c r="U207" i="1"/>
  <c r="U54" i="1"/>
  <c r="AU104" i="1"/>
  <c r="AU102" i="1"/>
  <c r="AU103" i="1"/>
  <c r="J209" i="1"/>
  <c r="I248" i="1"/>
  <c r="I129" i="1"/>
  <c r="I55" i="1" s="1"/>
  <c r="I175" i="1"/>
  <c r="I54" i="1"/>
  <c r="I207" i="1"/>
  <c r="B138" i="1"/>
  <c r="C203" i="1" s="1"/>
  <c r="C201" i="1" s="1"/>
  <c r="B33" i="1"/>
  <c r="AQ16" i="1"/>
  <c r="AQ12" i="1"/>
  <c r="AW16" i="1"/>
  <c r="AW27" i="1"/>
  <c r="BA11" i="1"/>
  <c r="AW11" i="1"/>
  <c r="AW225" i="1"/>
  <c r="V138" i="1"/>
  <c r="V33" i="1"/>
  <c r="T206" i="1"/>
  <c r="S206" i="1"/>
  <c r="S249" i="1"/>
  <c r="S251" i="1" s="1"/>
  <c r="S37" i="1"/>
  <c r="C209" i="1"/>
  <c r="B248" i="1"/>
  <c r="O248" i="1"/>
  <c r="O129" i="1"/>
  <c r="O55" i="1" s="1"/>
  <c r="BH11" i="1"/>
  <c r="BD12" i="1"/>
  <c r="F182" i="1"/>
  <c r="F181" i="1" s="1"/>
  <c r="F196" i="1"/>
  <c r="F157" i="1"/>
  <c r="F165" i="1" s="1"/>
  <c r="F246" i="1"/>
  <c r="F244" i="1"/>
  <c r="U182" i="1"/>
  <c r="U181" i="1" s="1"/>
  <c r="U157" i="1"/>
  <c r="U185" i="1"/>
  <c r="V197" i="1"/>
  <c r="BW209" i="1"/>
  <c r="BV248" i="1"/>
  <c r="BX206" i="1"/>
  <c r="BX249" i="1"/>
  <c r="BS102" i="1"/>
  <c r="BS103" i="1"/>
  <c r="BS104" i="1"/>
  <c r="AV102" i="1"/>
  <c r="AV104" i="1"/>
  <c r="AV103" i="1"/>
  <c r="BO102" i="1"/>
  <c r="BO103" i="1"/>
  <c r="BO104" i="1"/>
  <c r="BP103" i="1"/>
  <c r="BP104" i="1"/>
  <c r="BP102" i="1"/>
  <c r="BA102" i="1"/>
  <c r="BW103" i="1"/>
  <c r="BW104" i="1"/>
  <c r="BW102" i="1"/>
  <c r="BI103" i="1"/>
  <c r="BI102" i="1"/>
  <c r="AS102" i="1"/>
  <c r="AS104" i="1"/>
  <c r="AS103" i="1"/>
  <c r="BH103" i="1"/>
  <c r="BH102" i="1"/>
  <c r="BH186" i="1"/>
  <c r="BL189" i="1" s="1"/>
  <c r="BH184" i="1"/>
  <c r="BW12" i="1"/>
  <c r="BY225" i="1"/>
  <c r="S157" i="1"/>
  <c r="N168" i="1"/>
  <c r="N109" i="1" s="1"/>
  <c r="V196" i="1"/>
  <c r="AQ27" i="1"/>
  <c r="BH188" i="1"/>
  <c r="BV184" i="1"/>
  <c r="AX184" i="1"/>
  <c r="BP181" i="1"/>
  <c r="BH206" i="1"/>
  <c r="BF184" i="1"/>
  <c r="K249" i="1"/>
  <c r="K251" i="1" s="1"/>
  <c r="K129" i="1"/>
  <c r="K55" i="1" s="1"/>
  <c r="K206" i="1"/>
  <c r="K37" i="1"/>
  <c r="K168" i="1"/>
  <c r="K109" i="1" s="1"/>
  <c r="C206" i="1"/>
  <c r="C168" i="1"/>
  <c r="C109" i="1" s="1"/>
  <c r="B168" i="1"/>
  <c r="B109" i="1" s="1"/>
  <c r="B129" i="1"/>
  <c r="B55" i="1" s="1"/>
  <c r="B37" i="1"/>
  <c r="AZ17" i="1"/>
  <c r="AZ28" i="1"/>
  <c r="BR16" i="1"/>
  <c r="BS225" i="1"/>
  <c r="BR12" i="1"/>
  <c r="BU225" i="1"/>
  <c r="BA16" i="1"/>
  <c r="BA19" i="1" s="1"/>
  <c r="BA225" i="1"/>
  <c r="BE11" i="1"/>
  <c r="AZ188" i="1"/>
  <c r="AX225" i="1"/>
  <c r="AV225" i="1"/>
  <c r="Q58" i="1"/>
  <c r="AY225" i="1"/>
  <c r="BP188" i="1"/>
  <c r="BS11" i="1"/>
  <c r="BQ102" i="1"/>
  <c r="BQ103" i="1"/>
  <c r="BQ104" i="1"/>
  <c r="BC11" i="1"/>
  <c r="BC16" i="1"/>
  <c r="BK188" i="1"/>
  <c r="BG12" i="1"/>
  <c r="BI225" i="1"/>
  <c r="BJ188" i="1"/>
  <c r="BF27" i="1"/>
  <c r="BH225" i="1"/>
  <c r="BF12" i="1"/>
  <c r="Q54" i="1"/>
  <c r="Q175" i="1"/>
  <c r="Q207" i="1"/>
  <c r="G182" i="1"/>
  <c r="H196" i="1"/>
  <c r="M33" i="1"/>
  <c r="M138" i="1"/>
  <c r="U175" i="1"/>
  <c r="U248" i="1"/>
  <c r="S54" i="1"/>
  <c r="S207" i="1"/>
  <c r="AZ102" i="1"/>
  <c r="AZ104" i="1"/>
  <c r="AZ103" i="1"/>
  <c r="AT103" i="1"/>
  <c r="AT104" i="1"/>
  <c r="AT102" i="1"/>
  <c r="AY102" i="1"/>
  <c r="AY103" i="1"/>
  <c r="AY104" i="1"/>
  <c r="BV181" i="1"/>
  <c r="BV186" i="1"/>
  <c r="BZ189" i="1" s="1"/>
  <c r="BY103" i="1"/>
  <c r="BY104" i="1"/>
  <c r="BY102" i="1"/>
  <c r="BW249" i="1"/>
  <c r="BV129" i="1"/>
  <c r="BZ103" i="1"/>
  <c r="BZ102" i="1"/>
  <c r="BZ104" i="1"/>
  <c r="G197" i="1"/>
  <c r="G157" i="1"/>
  <c r="G185" i="1"/>
  <c r="G184" i="1" s="1"/>
  <c r="BT104" i="1"/>
  <c r="BT103" i="1"/>
  <c r="BT102" i="1"/>
  <c r="C248" i="1"/>
  <c r="C207" i="1"/>
  <c r="BT188" i="1"/>
  <c r="BS188" i="1"/>
  <c r="BS27" i="1"/>
  <c r="BW11" i="1"/>
  <c r="BS16" i="1"/>
  <c r="BT12" i="1"/>
  <c r="V37" i="1"/>
  <c r="W206" i="1"/>
  <c r="W249" i="1"/>
  <c r="W251" i="1" s="1"/>
  <c r="V129" i="1"/>
  <c r="V55" i="1" s="1"/>
  <c r="N207" i="1"/>
  <c r="N248" i="1"/>
  <c r="BE104" i="1"/>
  <c r="BE102" i="1"/>
  <c r="BE103" i="1"/>
  <c r="AR27" i="1"/>
  <c r="AS12" i="1"/>
  <c r="AS188" i="1"/>
  <c r="AW188" i="1"/>
  <c r="AR11" i="1"/>
  <c r="BU103" i="1"/>
  <c r="BU102" i="1"/>
  <c r="BU104" i="1"/>
  <c r="S129" i="1"/>
  <c r="S55" i="1" s="1"/>
  <c r="T249" i="1"/>
  <c r="T251" i="1" s="1"/>
  <c r="D168" i="1"/>
  <c r="D109" i="1" s="1"/>
  <c r="D249" i="1"/>
  <c r="D251" i="1" s="1"/>
  <c r="D206" i="1"/>
  <c r="BB103" i="1"/>
  <c r="BB104" i="1"/>
  <c r="BB102" i="1"/>
  <c r="BF104" i="1"/>
  <c r="BF103" i="1"/>
  <c r="BC103" i="1"/>
  <c r="BC104" i="1"/>
  <c r="BC102" i="1"/>
  <c r="AR104" i="1"/>
  <c r="AR103" i="1"/>
  <c r="AR102" i="1"/>
  <c r="BL102" i="1"/>
  <c r="BL104" i="1"/>
  <c r="BV16" i="1"/>
  <c r="BZ11" i="1"/>
  <c r="BD184" i="1"/>
  <c r="N249" i="1"/>
  <c r="N251" i="1" s="1"/>
  <c r="O157" i="1"/>
  <c r="C129" i="1"/>
  <c r="C55" i="1" s="1"/>
  <c r="BH129" i="1"/>
  <c r="BB16" i="1"/>
  <c r="BV102" i="1"/>
  <c r="BW206" i="1"/>
  <c r="AQ188" i="1"/>
  <c r="BB27" i="1"/>
  <c r="BV103" i="1"/>
  <c r="BD27" i="1"/>
  <c r="AW202" i="1"/>
  <c r="V157" i="1"/>
  <c r="R206" i="1"/>
  <c r="N129" i="1"/>
  <c r="N55" i="1" s="1"/>
  <c r="O182" i="1"/>
  <c r="O181" i="1" s="1"/>
  <c r="J185" i="1"/>
  <c r="L129" i="1"/>
  <c r="L55" i="1" s="1"/>
  <c r="G54" i="1"/>
  <c r="R129" i="1"/>
  <c r="R55" i="1" s="1"/>
  <c r="N37" i="1"/>
  <c r="BV168" i="1"/>
  <c r="BV109" i="1" s="1"/>
  <c r="AS225" i="1"/>
  <c r="AQ102" i="1"/>
  <c r="BZ188" i="1"/>
  <c r="BI188" i="1"/>
  <c r="BX103" i="1"/>
  <c r="BD16" i="1"/>
  <c r="O249" i="1"/>
  <c r="O251" i="1" s="1"/>
  <c r="H157" i="1"/>
  <c r="K197" i="1"/>
  <c r="M206" i="1"/>
  <c r="G207" i="1"/>
  <c r="G196" i="1"/>
  <c r="AR225" i="1"/>
  <c r="BB225" i="1"/>
  <c r="AQ225" i="1"/>
  <c r="AU188" i="1"/>
  <c r="BV27" i="1"/>
  <c r="V54" i="1"/>
  <c r="L206" i="1"/>
  <c r="R249" i="1"/>
  <c r="R251" i="1" s="1"/>
  <c r="V248" i="1"/>
  <c r="J157" i="1"/>
  <c r="D33" i="1"/>
  <c r="T196" i="1"/>
  <c r="O206" i="1"/>
  <c r="G129" i="1"/>
  <c r="G55" i="1" s="1"/>
  <c r="O196" i="1"/>
  <c r="N196" i="1"/>
  <c r="BD103" i="1"/>
  <c r="M129" i="1"/>
  <c r="M55" i="1" s="1"/>
  <c r="L249" i="1"/>
  <c r="L251" i="1" s="1"/>
  <c r="G248" i="1"/>
  <c r="I196" i="1"/>
  <c r="M248" i="1"/>
  <c r="M175" i="1"/>
  <c r="AR12" i="1"/>
  <c r="AU11" i="1"/>
  <c r="BF188" i="1"/>
  <c r="L37" i="1"/>
  <c r="V182" i="1"/>
  <c r="V181" i="1" s="1"/>
  <c r="U197" i="1"/>
  <c r="S168" i="1"/>
  <c r="S109" i="1" s="1"/>
  <c r="BG225" i="1"/>
  <c r="AQ11" i="1"/>
  <c r="AV188" i="1"/>
  <c r="M249" i="1"/>
  <c r="M251" i="1" s="1"/>
  <c r="N157" i="1"/>
  <c r="S248" i="1"/>
  <c r="L33" i="1"/>
  <c r="M54" i="1"/>
  <c r="I168" i="1"/>
  <c r="I109" i="1" s="1"/>
  <c r="AQ103" i="1"/>
  <c r="G175" i="1"/>
  <c r="W58" i="1"/>
  <c r="BF225" i="1"/>
  <c r="BV12" i="1"/>
  <c r="F206" i="1"/>
  <c r="BW225" i="1"/>
  <c r="BI249" i="1"/>
  <c r="BI206" i="1"/>
  <c r="E37" i="1"/>
  <c r="E168" i="1"/>
  <c r="E109" i="1" s="1"/>
  <c r="BD104" i="1"/>
  <c r="BX104" i="1"/>
  <c r="BV188" i="1"/>
  <c r="CA188" i="1"/>
  <c r="BX244" i="1"/>
  <c r="BV225" i="1"/>
  <c r="BW188" i="1"/>
  <c r="BX225" i="1"/>
  <c r="BV11" i="1"/>
  <c r="BH157" i="1"/>
  <c r="BH168" i="1"/>
  <c r="BH104" i="1"/>
  <c r="BE188" i="1"/>
  <c r="BD188" i="1"/>
  <c r="D129" i="1"/>
  <c r="D55" i="1" s="1"/>
  <c r="D37" i="1"/>
  <c r="BF11" i="1"/>
  <c r="V249" i="1"/>
  <c r="V251" i="1" s="1"/>
  <c r="AU225" i="1"/>
  <c r="BJ206" i="1"/>
  <c r="BE12" i="1"/>
  <c r="B107" i="1"/>
  <c r="B108" i="1"/>
  <c r="B66" i="1"/>
  <c r="E206" i="1"/>
  <c r="BB11" i="1"/>
  <c r="BH248" i="1"/>
  <c r="BB188" i="1"/>
  <c r="AR16" i="1"/>
  <c r="BJ249" i="1"/>
  <c r="BD11" i="1"/>
  <c r="D203" i="1"/>
  <c r="D201" i="1" s="1"/>
  <c r="O175" i="1"/>
  <c r="O207" i="1"/>
  <c r="O54" i="1"/>
  <c r="AV11" i="1"/>
  <c r="BC12" i="1"/>
  <c r="P58" i="1"/>
  <c r="BE225" i="1"/>
  <c r="BB12" i="1"/>
  <c r="D54" i="1"/>
  <c r="D175" i="1"/>
  <c r="D207" i="1"/>
  <c r="E175" i="1"/>
  <c r="E207" i="1"/>
  <c r="E54" i="1"/>
  <c r="BD225" i="1"/>
  <c r="BC188" i="1"/>
  <c r="R58" i="1"/>
  <c r="BG188" i="1"/>
  <c r="AR188" i="1"/>
  <c r="AT225" i="1"/>
  <c r="BL103" i="1"/>
  <c r="S58" i="1"/>
  <c r="BH95" i="1"/>
  <c r="E129" i="1"/>
  <c r="E55" i="1" s="1"/>
  <c r="V168" i="1"/>
  <c r="V109" i="1" s="1"/>
  <c r="BI104" i="1"/>
  <c r="C54" i="1"/>
  <c r="C175" i="1"/>
  <c r="BV157" i="1"/>
  <c r="BH94" i="1"/>
  <c r="AR181" i="1"/>
  <c r="V206" i="1"/>
  <c r="N54" i="1"/>
  <c r="N175" i="1"/>
  <c r="L244" i="1"/>
  <c r="L246" i="1"/>
  <c r="AR138" i="1"/>
  <c r="AS134" i="1"/>
  <c r="AS33" i="1"/>
  <c r="H181" i="1"/>
  <c r="H186" i="1"/>
  <c r="AR202" i="1"/>
  <c r="AQ202" i="1"/>
  <c r="BB168" i="1"/>
  <c r="AV168" i="1"/>
  <c r="AQ249" i="1"/>
  <c r="AN92" i="1"/>
  <c r="AN95" i="1" s="1"/>
  <c r="AN248" i="1"/>
  <c r="AV249" i="1"/>
  <c r="AR206" i="1"/>
  <c r="AR249" i="1"/>
  <c r="AO134" i="1"/>
  <c r="AO33" i="1"/>
  <c r="AN138" i="1"/>
  <c r="AN246" i="1" s="1"/>
  <c r="BC33" i="1"/>
  <c r="BB138" i="1"/>
  <c r="BC134" i="1"/>
  <c r="AV206" i="1"/>
  <c r="BT129" i="1"/>
  <c r="V184" i="1"/>
  <c r="BN168" i="1"/>
  <c r="BN129" i="1"/>
  <c r="BC206" i="1"/>
  <c r="BC249" i="1"/>
  <c r="T181" i="1"/>
  <c r="N181" i="1"/>
  <c r="O184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AT182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V249" i="1"/>
  <c r="BU249" i="1"/>
  <c r="BU206" i="1"/>
  <c r="BV206" i="1"/>
  <c r="BT168" i="1"/>
  <c r="AP202" i="1"/>
  <c r="AO202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AY206" i="1"/>
  <c r="AY249" i="1"/>
  <c r="AQ209" i="1"/>
  <c r="AP248" i="1"/>
  <c r="AZ92" i="1"/>
  <c r="AZ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BB182" i="1"/>
  <c r="BD182" i="1"/>
  <c r="BD157" i="1"/>
  <c r="AX182" i="1"/>
  <c r="AX157" i="1"/>
  <c r="BF182" i="1"/>
  <c r="BF157" i="1"/>
  <c r="BT182" i="1"/>
  <c r="BT157" i="1"/>
  <c r="BR182" i="1"/>
  <c r="BN182" i="1"/>
  <c r="BN157" i="1"/>
  <c r="AZ182" i="1"/>
  <c r="AZ157" i="1"/>
  <c r="BV96" i="1"/>
  <c r="BV95" i="1"/>
  <c r="BV94" i="1"/>
  <c r="AP28" i="1"/>
  <c r="AP18" i="1"/>
  <c r="AP17" i="1"/>
  <c r="BP28" i="1"/>
  <c r="BP18" i="1"/>
  <c r="BP17" i="1"/>
  <c r="BN184" i="1"/>
  <c r="BM17" i="1"/>
  <c r="BM28" i="1"/>
  <c r="BM19" i="1"/>
  <c r="AJ19" i="1"/>
  <c r="AI17" i="1"/>
  <c r="AM18" i="1"/>
  <c r="AI28" i="1"/>
  <c r="N59" i="1"/>
  <c r="AV19" i="1"/>
  <c r="AU28" i="1"/>
  <c r="AU17" i="1"/>
  <c r="AT95" i="1"/>
  <c r="AT96" i="1"/>
  <c r="AT94" i="1"/>
  <c r="AV28" i="1"/>
  <c r="AV17" i="1"/>
  <c r="AZ18" i="1"/>
  <c r="BT28" i="1"/>
  <c r="BX18" i="1"/>
  <c r="BT17" i="1"/>
  <c r="BT18" i="1"/>
  <c r="AO18" i="1"/>
  <c r="AO28" i="1"/>
  <c r="AO17" i="1"/>
  <c r="O59" i="1"/>
  <c r="BJ41" i="1"/>
  <c r="BJ40" i="1"/>
  <c r="CR194" i="1"/>
  <c r="CR132" i="1"/>
  <c r="CQ203" i="1"/>
  <c r="CQ201" i="1" s="1"/>
  <c r="AB206" i="1"/>
  <c r="DB63" i="1"/>
  <c r="DB65" i="1" s="1"/>
  <c r="DA65" i="1"/>
  <c r="BT206" i="1" l="1"/>
  <c r="BB157" i="1"/>
  <c r="BR96" i="1"/>
  <c r="BR94" i="1"/>
  <c r="BT249" i="1"/>
  <c r="BR248" i="1"/>
  <c r="BR186" i="1"/>
  <c r="BS33" i="1"/>
  <c r="BS134" i="1"/>
  <c r="BR138" i="1"/>
  <c r="BS209" i="1"/>
  <c r="BR157" i="1"/>
  <c r="BR95" i="1"/>
  <c r="BA104" i="1"/>
  <c r="BR184" i="1"/>
  <c r="O244" i="1"/>
  <c r="BB184" i="1"/>
  <c r="BR249" i="1"/>
  <c r="O205" i="1"/>
  <c r="BR206" i="1"/>
  <c r="BT202" i="1"/>
  <c r="BS202" i="1"/>
  <c r="F198" i="1"/>
  <c r="F199" i="1" s="1"/>
  <c r="BJ33" i="1"/>
  <c r="BI138" i="1"/>
  <c r="BJ203" i="1" s="1"/>
  <c r="BJ201" i="1" s="1"/>
  <c r="L166" i="1"/>
  <c r="H198" i="1"/>
  <c r="H199" i="1" s="1"/>
  <c r="BF102" i="1"/>
  <c r="BR129" i="1"/>
  <c r="BS249" i="1"/>
  <c r="BS206" i="1"/>
  <c r="BR168" i="1"/>
  <c r="T203" i="1"/>
  <c r="T201" i="1" s="1"/>
  <c r="H205" i="1"/>
  <c r="R165" i="1"/>
  <c r="I205" i="1"/>
  <c r="T246" i="1"/>
  <c r="T244" i="1"/>
  <c r="T205" i="1"/>
  <c r="F166" i="1"/>
  <c r="X201" i="1"/>
  <c r="AT28" i="1"/>
  <c r="AT17" i="1"/>
  <c r="G165" i="1"/>
  <c r="C205" i="1"/>
  <c r="N205" i="1"/>
  <c r="H246" i="1"/>
  <c r="H244" i="1"/>
  <c r="U246" i="1"/>
  <c r="U203" i="1"/>
  <c r="U201" i="1" s="1"/>
  <c r="U244" i="1"/>
  <c r="O165" i="1"/>
  <c r="O166" i="1" s="1"/>
  <c r="S244" i="1"/>
  <c r="V165" i="1"/>
  <c r="R205" i="1"/>
  <c r="U198" i="1"/>
  <c r="U199" i="1" s="1"/>
  <c r="S246" i="1"/>
  <c r="M205" i="1"/>
  <c r="T198" i="1"/>
  <c r="T199" i="1" s="1"/>
  <c r="R246" i="1"/>
  <c r="J244" i="1"/>
  <c r="C69" i="1"/>
  <c r="S184" i="1"/>
  <c r="L203" i="1"/>
  <c r="L201" i="1" s="1"/>
  <c r="D198" i="1"/>
  <c r="D199" i="1" s="1"/>
  <c r="F184" i="1"/>
  <c r="E198" i="1"/>
  <c r="E199" i="1" s="1"/>
  <c r="K198" i="1"/>
  <c r="K199" i="1" s="1"/>
  <c r="J198" i="1"/>
  <c r="J199" i="1" s="1"/>
  <c r="U165" i="1"/>
  <c r="U166" i="1" s="1"/>
  <c r="W203" i="1"/>
  <c r="W201" i="1" s="1"/>
  <c r="D165" i="1"/>
  <c r="Q198" i="1"/>
  <c r="Q199" i="1" s="1"/>
  <c r="L205" i="1"/>
  <c r="G244" i="1"/>
  <c r="D68" i="1"/>
  <c r="C186" i="1"/>
  <c r="P186" i="1"/>
  <c r="P181" i="1"/>
  <c r="BH165" i="1"/>
  <c r="F205" i="1"/>
  <c r="S165" i="1"/>
  <c r="V205" i="1"/>
  <c r="R203" i="1"/>
  <c r="R201" i="1" s="1"/>
  <c r="R244" i="1"/>
  <c r="J246" i="1"/>
  <c r="C68" i="1"/>
  <c r="S186" i="1"/>
  <c r="K203" i="1"/>
  <c r="K201" i="1" s="1"/>
  <c r="S198" i="1"/>
  <c r="S199" i="1" s="1"/>
  <c r="F186" i="1"/>
  <c r="U205" i="1"/>
  <c r="J205" i="1"/>
  <c r="I165" i="1"/>
  <c r="I166" i="1" s="1"/>
  <c r="G203" i="1"/>
  <c r="G201" i="1" s="1"/>
  <c r="G246" i="1"/>
  <c r="D69" i="1"/>
  <c r="C184" i="1"/>
  <c r="M186" i="1"/>
  <c r="M184" i="1"/>
  <c r="BH246" i="1"/>
  <c r="BH244" i="1"/>
  <c r="BF28" i="1"/>
  <c r="P198" i="1"/>
  <c r="P199" i="1" s="1"/>
  <c r="S203" i="1"/>
  <c r="S201" i="1" s="1"/>
  <c r="T165" i="1"/>
  <c r="T166" i="1" s="1"/>
  <c r="B165" i="1"/>
  <c r="K205" i="1"/>
  <c r="Q205" i="1"/>
  <c r="S205" i="1"/>
  <c r="AW17" i="1"/>
  <c r="BA18" i="1"/>
  <c r="AW28" i="1"/>
  <c r="H165" i="1"/>
  <c r="G205" i="1"/>
  <c r="I198" i="1"/>
  <c r="I199" i="1" s="1"/>
  <c r="N165" i="1"/>
  <c r="N166" i="1" s="1"/>
  <c r="E165" i="1"/>
  <c r="V198" i="1"/>
  <c r="V199" i="1" s="1"/>
  <c r="H203" i="1"/>
  <c r="H201" i="1" s="1"/>
  <c r="I203" i="1"/>
  <c r="I201" i="1" s="1"/>
  <c r="I244" i="1"/>
  <c r="I246" i="1"/>
  <c r="J203" i="1"/>
  <c r="J201" i="1" s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K165" i="1"/>
  <c r="K166" i="1" s="1"/>
  <c r="P166" i="1"/>
  <c r="E203" i="1"/>
  <c r="E201" i="1" s="1"/>
  <c r="L181" i="1"/>
  <c r="L186" i="1"/>
  <c r="C198" i="1"/>
  <c r="C199" i="1" s="1"/>
  <c r="D184" i="1"/>
  <c r="D186" i="1"/>
  <c r="Q165" i="1"/>
  <c r="Q166" i="1" s="1"/>
  <c r="R198" i="1"/>
  <c r="R199" i="1" s="1"/>
  <c r="M198" i="1"/>
  <c r="M199" i="1" s="1"/>
  <c r="B186" i="1"/>
  <c r="B181" i="1"/>
  <c r="J184" i="1"/>
  <c r="J186" i="1"/>
  <c r="L198" i="1"/>
  <c r="L199" i="1" s="1"/>
  <c r="P205" i="1"/>
  <c r="K244" i="1"/>
  <c r="K246" i="1"/>
  <c r="Q246" i="1"/>
  <c r="Q244" i="1"/>
  <c r="Q203" i="1"/>
  <c r="Q201" i="1" s="1"/>
  <c r="O246" i="1"/>
  <c r="P203" i="1"/>
  <c r="P201" i="1" s="1"/>
  <c r="Q186" i="1"/>
  <c r="Q184" i="1"/>
  <c r="I184" i="1"/>
  <c r="I186" i="1"/>
  <c r="K184" i="1"/>
  <c r="K186" i="1"/>
  <c r="T186" i="1"/>
  <c r="N186" i="1"/>
  <c r="R186" i="1"/>
  <c r="R184" i="1"/>
  <c r="AT157" i="1"/>
  <c r="AV186" i="1"/>
  <c r="AV157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BQ17" i="1"/>
  <c r="BU18" i="1"/>
  <c r="BU28" i="1"/>
  <c r="BY18" i="1"/>
  <c r="BU17" i="1"/>
  <c r="BQ34" i="1"/>
  <c r="BQ38" i="1" s="1"/>
  <c r="BQ29" i="1"/>
  <c r="BQ232" i="1"/>
  <c r="BQ233" i="1" s="1"/>
  <c r="AS17" i="1"/>
  <c r="AS28" i="1"/>
  <c r="AT19" i="1"/>
  <c r="AW18" i="1"/>
  <c r="BI18" i="1"/>
  <c r="BI17" i="1"/>
  <c r="BM18" i="1"/>
  <c r="BI28" i="1"/>
  <c r="BJ19" i="1"/>
  <c r="BQ19" i="1"/>
  <c r="BQ18" i="1"/>
  <c r="BF17" i="1"/>
  <c r="BJ18" i="1"/>
  <c r="BE28" i="1"/>
  <c r="BE17" i="1"/>
  <c r="BF19" i="1"/>
  <c r="AU18" i="1"/>
  <c r="Q59" i="1"/>
  <c r="BO28" i="1"/>
  <c r="BP19" i="1"/>
  <c r="BO18" i="1"/>
  <c r="BO17" i="1"/>
  <c r="AU19" i="1"/>
  <c r="AY18" i="1"/>
  <c r="AQ19" i="1"/>
  <c r="BH28" i="1"/>
  <c r="BH17" i="1"/>
  <c r="BL18" i="1"/>
  <c r="AX19" i="1"/>
  <c r="AX17" i="1"/>
  <c r="AX18" i="1"/>
  <c r="AX28" i="1"/>
  <c r="BN18" i="1"/>
  <c r="BN28" i="1"/>
  <c r="U59" i="1"/>
  <c r="BN17" i="1"/>
  <c r="BN19" i="1"/>
  <c r="BO19" i="1"/>
  <c r="BG19" i="1"/>
  <c r="BG17" i="1"/>
  <c r="BH19" i="1"/>
  <c r="BK18" i="1"/>
  <c r="T59" i="1"/>
  <c r="BG28" i="1"/>
  <c r="AN28" i="1"/>
  <c r="AO19" i="1"/>
  <c r="AN18" i="1"/>
  <c r="AN19" i="1"/>
  <c r="AN17" i="1"/>
  <c r="AW19" i="1"/>
  <c r="BW17" i="1"/>
  <c r="X59" i="1"/>
  <c r="CA18" i="1"/>
  <c r="BX19" i="1"/>
  <c r="BW28" i="1"/>
  <c r="BU19" i="1"/>
  <c r="BW138" i="1"/>
  <c r="BX33" i="1"/>
  <c r="AY19" i="1"/>
  <c r="BI19" i="1"/>
  <c r="BV244" i="1"/>
  <c r="BV246" i="1"/>
  <c r="AS18" i="1"/>
  <c r="BV165" i="1"/>
  <c r="AQ28" i="1"/>
  <c r="AQ18" i="1"/>
  <c r="AQ17" i="1"/>
  <c r="G198" i="1"/>
  <c r="G199" i="1" s="1"/>
  <c r="J165" i="1"/>
  <c r="J166" i="1" s="1"/>
  <c r="O198" i="1"/>
  <c r="O199" i="1" s="1"/>
  <c r="N198" i="1"/>
  <c r="N199" i="1" s="1"/>
  <c r="S166" i="1"/>
  <c r="N244" i="1"/>
  <c r="N246" i="1"/>
  <c r="O203" i="1"/>
  <c r="O201" i="1" s="1"/>
  <c r="E184" i="1"/>
  <c r="E186" i="1"/>
  <c r="V246" i="1"/>
  <c r="V244" i="1"/>
  <c r="V203" i="1"/>
  <c r="V201" i="1" s="1"/>
  <c r="U184" i="1"/>
  <c r="U186" i="1"/>
  <c r="G181" i="1"/>
  <c r="G186" i="1"/>
  <c r="M165" i="1"/>
  <c r="M244" i="1"/>
  <c r="M246" i="1"/>
  <c r="N203" i="1"/>
  <c r="N201" i="1" s="1"/>
  <c r="M203" i="1"/>
  <c r="M201" i="1" s="1"/>
  <c r="D110" i="1"/>
  <c r="D113" i="1" s="1"/>
  <c r="D111" i="1"/>
  <c r="D114" i="1" s="1"/>
  <c r="BZ18" i="1"/>
  <c r="BV19" i="1"/>
  <c r="BW19" i="1"/>
  <c r="BB19" i="1"/>
  <c r="BB17" i="1"/>
  <c r="R59" i="1"/>
  <c r="BB28" i="1"/>
  <c r="BF18" i="1"/>
  <c r="BV17" i="1"/>
  <c r="BV28" i="1"/>
  <c r="BE18" i="1"/>
  <c r="BA17" i="1"/>
  <c r="BA28" i="1"/>
  <c r="D205" i="1"/>
  <c r="BA31" i="1"/>
  <c r="AZ34" i="1"/>
  <c r="AZ38" i="1" s="1"/>
  <c r="AZ232" i="1"/>
  <c r="AZ233" i="1" s="1"/>
  <c r="AZ29" i="1"/>
  <c r="BV18" i="1"/>
  <c r="BR28" i="1"/>
  <c r="BR18" i="1"/>
  <c r="BR17" i="1"/>
  <c r="BR19" i="1"/>
  <c r="BS19" i="1"/>
  <c r="V59" i="1"/>
  <c r="BD19" i="1"/>
  <c r="BC18" i="1"/>
  <c r="BG18" i="1"/>
  <c r="BC17" i="1"/>
  <c r="BC28" i="1"/>
  <c r="S59" i="1"/>
  <c r="AT34" i="1"/>
  <c r="AT38" i="1" s="1"/>
  <c r="AT232" i="1"/>
  <c r="AT233" i="1" s="1"/>
  <c r="AT29" i="1"/>
  <c r="BW18" i="1"/>
  <c r="BS18" i="1"/>
  <c r="BS28" i="1"/>
  <c r="BS17" i="1"/>
  <c r="BT19" i="1"/>
  <c r="BB18" i="1"/>
  <c r="BC19" i="1"/>
  <c r="BD18" i="1"/>
  <c r="BD28" i="1"/>
  <c r="BE19" i="1"/>
  <c r="BD17" i="1"/>
  <c r="BH109" i="1"/>
  <c r="BI37" i="1"/>
  <c r="AR28" i="1"/>
  <c r="AS19" i="1"/>
  <c r="AR17" i="1"/>
  <c r="AR18" i="1"/>
  <c r="AV18" i="1"/>
  <c r="P59" i="1"/>
  <c r="AR19" i="1"/>
  <c r="BW37" i="1"/>
  <c r="O186" i="1"/>
  <c r="BH18" i="1"/>
  <c r="V186" i="1"/>
  <c r="B69" i="1"/>
  <c r="B68" i="1"/>
  <c r="E205" i="1"/>
  <c r="AR165" i="1"/>
  <c r="AR166" i="1" s="1"/>
  <c r="C244" i="1"/>
  <c r="C166" i="1"/>
  <c r="AR246" i="1"/>
  <c r="AR244" i="1"/>
  <c r="AS138" i="1"/>
  <c r="AS203" i="1" s="1"/>
  <c r="AS201" i="1" s="1"/>
  <c r="AT33" i="1"/>
  <c r="D244" i="1"/>
  <c r="D166" i="1"/>
  <c r="AW37" i="1"/>
  <c r="AV109" i="1"/>
  <c r="BS138" i="1"/>
  <c r="BT33" i="1"/>
  <c r="BR246" i="1"/>
  <c r="BR244" i="1"/>
  <c r="AP33" i="1"/>
  <c r="AO138" i="1"/>
  <c r="AN94" i="1"/>
  <c r="AN96" i="1"/>
  <c r="BR165" i="1"/>
  <c r="BR166" i="1" s="1"/>
  <c r="BB109" i="1"/>
  <c r="BC37" i="1"/>
  <c r="AN165" i="1"/>
  <c r="AN166" i="1" s="1"/>
  <c r="BP165" i="1"/>
  <c r="BP166" i="1" s="1"/>
  <c r="BN109" i="1"/>
  <c r="BO37" i="1"/>
  <c r="AZ33" i="1"/>
  <c r="AY138" i="1"/>
  <c r="BN203" i="1"/>
  <c r="BN201" i="1" s="1"/>
  <c r="BN246" i="1"/>
  <c r="BN244" i="1"/>
  <c r="BN96" i="1"/>
  <c r="BN95" i="1"/>
  <c r="BN94" i="1"/>
  <c r="BP109" i="1"/>
  <c r="BQ37" i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AX165" i="1"/>
  <c r="AX166" i="1" s="1"/>
  <c r="BP33" i="1"/>
  <c r="BO138" i="1"/>
  <c r="BP246" i="1"/>
  <c r="BP244" i="1"/>
  <c r="AY37" i="1"/>
  <c r="AX109" i="1"/>
  <c r="AT246" i="1"/>
  <c r="AT244" i="1"/>
  <c r="AP109" i="1"/>
  <c r="AQ37" i="1"/>
  <c r="AZ109" i="1"/>
  <c r="BA37" i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AZ186" i="1"/>
  <c r="AZ181" i="1"/>
  <c r="AP29" i="1"/>
  <c r="AP30" i="1"/>
  <c r="AP232" i="1"/>
  <c r="AP233" i="1" s="1"/>
  <c r="AP34" i="1"/>
  <c r="AP38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232" i="1"/>
  <c r="BM233" i="1" s="1"/>
  <c r="BM250" i="1"/>
  <c r="BM251" i="1" s="1"/>
  <c r="AP31" i="1"/>
  <c r="AJ31" i="1"/>
  <c r="AL112" i="1"/>
  <c r="AI29" i="1"/>
  <c r="AM30" i="1"/>
  <c r="AI34" i="1"/>
  <c r="N60" i="1"/>
  <c r="AL226" i="1"/>
  <c r="AI232" i="1"/>
  <c r="AI233" i="1" s="1"/>
  <c r="AU232" i="1"/>
  <c r="AU233" i="1" s="1"/>
  <c r="AU29" i="1"/>
  <c r="AU34" i="1"/>
  <c r="AU38" i="1" s="1"/>
  <c r="AV31" i="1"/>
  <c r="AV250" i="1"/>
  <c r="AV251" i="1" s="1"/>
  <c r="BV110" i="1"/>
  <c r="BV111" i="1"/>
  <c r="AP250" i="1"/>
  <c r="AP251" i="1" s="1"/>
  <c r="AV34" i="1"/>
  <c r="AZ30" i="1"/>
  <c r="AV29" i="1"/>
  <c r="AV232" i="1"/>
  <c r="AV233" i="1" s="1"/>
  <c r="AO232" i="1"/>
  <c r="AO233" i="1" s="1"/>
  <c r="AO34" i="1"/>
  <c r="AO38" i="1" s="1"/>
  <c r="AO40" i="1" s="1"/>
  <c r="AO30" i="1"/>
  <c r="AO29" i="1"/>
  <c r="BT34" i="1"/>
  <c r="BT29" i="1"/>
  <c r="BX30" i="1"/>
  <c r="BT232" i="1"/>
  <c r="BT233" i="1" s="1"/>
  <c r="BT30" i="1"/>
  <c r="BJ234" i="1"/>
  <c r="BJ42" i="1"/>
  <c r="BJ245" i="1" s="1"/>
  <c r="BJ48" i="1"/>
  <c r="CR134" i="1"/>
  <c r="AE142" i="1"/>
  <c r="AC124" i="1"/>
  <c r="BV189" i="1" l="1"/>
  <c r="V166" i="1"/>
  <c r="AT30" i="1"/>
  <c r="U210" i="1"/>
  <c r="U211" i="1" s="1"/>
  <c r="G166" i="1"/>
  <c r="K213" i="1"/>
  <c r="T213" i="1"/>
  <c r="C87" i="1"/>
  <c r="C86" i="1"/>
  <c r="D213" i="1"/>
  <c r="D87" i="1"/>
  <c r="BI203" i="1"/>
  <c r="BI201" i="1" s="1"/>
  <c r="D210" i="1"/>
  <c r="D211" i="1" s="1"/>
  <c r="R166" i="1"/>
  <c r="P189" i="1"/>
  <c r="P190" i="1" s="1"/>
  <c r="D70" i="1"/>
  <c r="T210" i="1"/>
  <c r="T211" i="1" s="1"/>
  <c r="C85" i="1"/>
  <c r="B89" i="1"/>
  <c r="D85" i="1"/>
  <c r="D86" i="1"/>
  <c r="C89" i="1"/>
  <c r="U213" i="1"/>
  <c r="BH166" i="1"/>
  <c r="M189" i="1"/>
  <c r="M190" i="1" s="1"/>
  <c r="AQ250" i="1"/>
  <c r="AQ251" i="1" s="1"/>
  <c r="AQ31" i="1"/>
  <c r="M166" i="1"/>
  <c r="O60" i="1"/>
  <c r="AX226" i="1"/>
  <c r="AW226" i="1"/>
  <c r="AW112" i="1"/>
  <c r="AU31" i="1"/>
  <c r="AU250" i="1"/>
  <c r="AU251" i="1" s="1"/>
  <c r="AU30" i="1"/>
  <c r="AQ226" i="1"/>
  <c r="AZ41" i="1"/>
  <c r="AZ40" i="1"/>
  <c r="BR31" i="1"/>
  <c r="BR232" i="1"/>
  <c r="BR233" i="1" s="1"/>
  <c r="AP226" i="1"/>
  <c r="AP112" i="1"/>
  <c r="BG29" i="1"/>
  <c r="BG34" i="1"/>
  <c r="BG232" i="1"/>
  <c r="BG233" i="1" s="1"/>
  <c r="AN250" i="1"/>
  <c r="AN251" i="1" s="1"/>
  <c r="AN34" i="1"/>
  <c r="AO226" i="1"/>
  <c r="AN31" i="1"/>
  <c r="AN29" i="1"/>
  <c r="AN232" i="1"/>
  <c r="AN233" i="1" s="1"/>
  <c r="AN226" i="1"/>
  <c r="AO112" i="1"/>
  <c r="AN112" i="1"/>
  <c r="AO31" i="1"/>
  <c r="AN30" i="1"/>
  <c r="BN34" i="1"/>
  <c r="BN29" i="1"/>
  <c r="BN31" i="1"/>
  <c r="BN232" i="1"/>
  <c r="BN233" i="1" s="1"/>
  <c r="BN250" i="1"/>
  <c r="BN251" i="1" s="1"/>
  <c r="BN30" i="1"/>
  <c r="AX232" i="1"/>
  <c r="AX233" i="1" s="1"/>
  <c r="AX30" i="1"/>
  <c r="AX34" i="1"/>
  <c r="AX29" i="1"/>
  <c r="BW232" i="1"/>
  <c r="BW233" i="1" s="1"/>
  <c r="BX31" i="1"/>
  <c r="X60" i="1"/>
  <c r="BW29" i="1"/>
  <c r="BZ112" i="1"/>
  <c r="BZ226" i="1"/>
  <c r="BW34" i="1"/>
  <c r="CA30" i="1"/>
  <c r="BX250" i="1"/>
  <c r="BX251" i="1" s="1"/>
  <c r="AQ29" i="1"/>
  <c r="AQ232" i="1"/>
  <c r="AQ233" i="1" s="1"/>
  <c r="AQ34" i="1"/>
  <c r="AQ30" i="1"/>
  <c r="AO250" i="1"/>
  <c r="AO251" i="1" s="1"/>
  <c r="N213" i="1"/>
  <c r="N210" i="1"/>
  <c r="N211" i="1" s="1"/>
  <c r="G213" i="1"/>
  <c r="O213" i="1"/>
  <c r="O210" i="1"/>
  <c r="O211" i="1" s="1"/>
  <c r="BX203" i="1"/>
  <c r="BX201" i="1" s="1"/>
  <c r="BW203" i="1"/>
  <c r="BW201" i="1" s="1"/>
  <c r="BV166" i="1"/>
  <c r="BF232" i="1"/>
  <c r="BF233" i="1" s="1"/>
  <c r="BF34" i="1"/>
  <c r="BF38" i="1" s="1"/>
  <c r="BF29" i="1"/>
  <c r="BJ30" i="1"/>
  <c r="H166" i="1"/>
  <c r="E166" i="1"/>
  <c r="B244" i="1"/>
  <c r="B166" i="1"/>
  <c r="M213" i="1"/>
  <c r="P213" i="1"/>
  <c r="AW29" i="1"/>
  <c r="AW232" i="1"/>
  <c r="AW233" i="1" s="1"/>
  <c r="BA30" i="1"/>
  <c r="AW34" i="1"/>
  <c r="AW38" i="1" s="1"/>
  <c r="E210" i="1"/>
  <c r="E211" i="1" s="1"/>
  <c r="H210" i="1"/>
  <c r="H211" i="1" s="1"/>
  <c r="I213" i="1"/>
  <c r="S210" i="1"/>
  <c r="S211" i="1" s="1"/>
  <c r="S213" i="1"/>
  <c r="J210" i="1"/>
  <c r="J211" i="1" s="1"/>
  <c r="Q213" i="1"/>
  <c r="I210" i="1"/>
  <c r="I211" i="1" s="1"/>
  <c r="G210" i="1"/>
  <c r="G211" i="1" s="1"/>
  <c r="F213" i="1"/>
  <c r="F210" i="1"/>
  <c r="F211" i="1" s="1"/>
  <c r="C210" i="1"/>
  <c r="C211" i="1" s="1"/>
  <c r="V210" i="1"/>
  <c r="V211" i="1" s="1"/>
  <c r="V213" i="1"/>
  <c r="J189" i="1"/>
  <c r="J190" i="1" s="1"/>
  <c r="R210" i="1"/>
  <c r="R211" i="1" s="1"/>
  <c r="R213" i="1"/>
  <c r="L213" i="1"/>
  <c r="L210" i="1"/>
  <c r="L211" i="1" s="1"/>
  <c r="L189" i="1"/>
  <c r="L190" i="1" s="1"/>
  <c r="K189" i="1"/>
  <c r="K190" i="1" s="1"/>
  <c r="C189" i="1"/>
  <c r="C190" i="1" s="1"/>
  <c r="D189" i="1"/>
  <c r="D190" i="1" s="1"/>
  <c r="N189" i="1"/>
  <c r="N190" i="1" s="1"/>
  <c r="BR112" i="1"/>
  <c r="J213" i="1"/>
  <c r="K210" i="1"/>
  <c r="K211" i="1" s="1"/>
  <c r="P210" i="1"/>
  <c r="P211" i="1" s="1"/>
  <c r="H213" i="1"/>
  <c r="Q210" i="1"/>
  <c r="Q211" i="1" s="1"/>
  <c r="M210" i="1"/>
  <c r="M211" i="1" s="1"/>
  <c r="I189" i="1"/>
  <c r="I190" i="1" s="1"/>
  <c r="E213" i="1"/>
  <c r="C213" i="1"/>
  <c r="Q189" i="1"/>
  <c r="Q190" i="1" s="1"/>
  <c r="S189" i="1"/>
  <c r="S190" i="1" s="1"/>
  <c r="O189" i="1"/>
  <c r="O190" i="1" s="1"/>
  <c r="AV165" i="1"/>
  <c r="AV166" i="1" s="1"/>
  <c r="AZ189" i="1"/>
  <c r="V60" i="1"/>
  <c r="R189" i="1"/>
  <c r="R190" i="1" s="1"/>
  <c r="T189" i="1"/>
  <c r="T190" i="1" s="1"/>
  <c r="AT165" i="1"/>
  <c r="AT166" i="1" s="1"/>
  <c r="BR226" i="1"/>
  <c r="BL112" i="1"/>
  <c r="BO30" i="1"/>
  <c r="BK30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BM112" i="1"/>
  <c r="BM226" i="1"/>
  <c r="BU30" i="1"/>
  <c r="BU29" i="1"/>
  <c r="BU232" i="1"/>
  <c r="BU233" i="1" s="1"/>
  <c r="BY30" i="1"/>
  <c r="BU34" i="1"/>
  <c r="BU38" i="1" s="1"/>
  <c r="BK112" i="1"/>
  <c r="U60" i="1"/>
  <c r="AS232" i="1"/>
  <c r="AS233" i="1" s="1"/>
  <c r="AS34" i="1"/>
  <c r="AS38" i="1" s="1"/>
  <c r="AW30" i="1"/>
  <c r="AT31" i="1"/>
  <c r="AS29" i="1"/>
  <c r="AT250" i="1"/>
  <c r="AT251" i="1" s="1"/>
  <c r="BF250" i="1"/>
  <c r="BF251" i="1" s="1"/>
  <c r="BI232" i="1"/>
  <c r="BI233" i="1" s="1"/>
  <c r="BI34" i="1"/>
  <c r="BI29" i="1"/>
  <c r="BL226" i="1"/>
  <c r="BJ31" i="1"/>
  <c r="BJ250" i="1"/>
  <c r="BJ251" i="1" s="1"/>
  <c r="BM30" i="1"/>
  <c r="BI30" i="1"/>
  <c r="BE232" i="1"/>
  <c r="BE233" i="1" s="1"/>
  <c r="BE29" i="1"/>
  <c r="BE34" i="1"/>
  <c r="BE38" i="1" s="1"/>
  <c r="BF31" i="1"/>
  <c r="BO29" i="1"/>
  <c r="BO34" i="1"/>
  <c r="BO38" i="1" s="1"/>
  <c r="BO232" i="1"/>
  <c r="BO233" i="1" s="1"/>
  <c r="BP31" i="1"/>
  <c r="BP250" i="1"/>
  <c r="BP251" i="1" s="1"/>
  <c r="AV226" i="1"/>
  <c r="AY30" i="1"/>
  <c r="BR34" i="1"/>
  <c r="BN112" i="1"/>
  <c r="BN226" i="1"/>
  <c r="BA112" i="1"/>
  <c r="AX112" i="1"/>
  <c r="AY112" i="1"/>
  <c r="AY226" i="1"/>
  <c r="AY31" i="1"/>
  <c r="AY250" i="1"/>
  <c r="AY251" i="1" s="1"/>
  <c r="AZ112" i="1"/>
  <c r="AQ112" i="1"/>
  <c r="BK226" i="1"/>
  <c r="BX112" i="1"/>
  <c r="AV112" i="1"/>
  <c r="Q60" i="1"/>
  <c r="BC112" i="1"/>
  <c r="BC226" i="1"/>
  <c r="BB226" i="1"/>
  <c r="R60" i="1"/>
  <c r="AW250" i="1"/>
  <c r="AW251" i="1" s="1"/>
  <c r="AW31" i="1"/>
  <c r="BH226" i="1"/>
  <c r="T60" i="1"/>
  <c r="BJ112" i="1"/>
  <c r="BG250" i="1"/>
  <c r="BG251" i="1" s="1"/>
  <c r="BI226" i="1"/>
  <c r="BI112" i="1"/>
  <c r="BH112" i="1"/>
  <c r="BJ226" i="1"/>
  <c r="BH31" i="1"/>
  <c r="BG31" i="1"/>
  <c r="BL30" i="1"/>
  <c r="BH29" i="1"/>
  <c r="BH34" i="1"/>
  <c r="BH38" i="1" s="1"/>
  <c r="BH232" i="1"/>
  <c r="BH233" i="1" s="1"/>
  <c r="BH250" i="1"/>
  <c r="BH251" i="1" s="1"/>
  <c r="BI250" i="1"/>
  <c r="BI251" i="1" s="1"/>
  <c r="BI31" i="1"/>
  <c r="BP226" i="1"/>
  <c r="BO226" i="1"/>
  <c r="BQ112" i="1"/>
  <c r="BO31" i="1"/>
  <c r="BO250" i="1"/>
  <c r="BO251" i="1" s="1"/>
  <c r="BP112" i="1"/>
  <c r="BQ226" i="1"/>
  <c r="BO112" i="1"/>
  <c r="AX250" i="1"/>
  <c r="AX251" i="1" s="1"/>
  <c r="AZ226" i="1"/>
  <c r="AX31" i="1"/>
  <c r="AS30" i="1"/>
  <c r="BU250" i="1"/>
  <c r="BU251" i="1" s="1"/>
  <c r="BU31" i="1"/>
  <c r="BQ40" i="1"/>
  <c r="BQ41" i="1"/>
  <c r="E189" i="1"/>
  <c r="E190" i="1" s="1"/>
  <c r="F189" i="1"/>
  <c r="F190" i="1" s="1"/>
  <c r="V189" i="1"/>
  <c r="V190" i="1" s="1"/>
  <c r="U189" i="1"/>
  <c r="U190" i="1" s="1"/>
  <c r="H189" i="1"/>
  <c r="H190" i="1" s="1"/>
  <c r="G189" i="1"/>
  <c r="G190" i="1" s="1"/>
  <c r="BE112" i="1"/>
  <c r="BB34" i="1"/>
  <c r="BB250" i="1"/>
  <c r="BB251" i="1" s="1"/>
  <c r="BB29" i="1"/>
  <c r="BB232" i="1"/>
  <c r="BB233" i="1" s="1"/>
  <c r="BF30" i="1"/>
  <c r="BB30" i="1"/>
  <c r="BE226" i="1"/>
  <c r="BY112" i="1"/>
  <c r="BW250" i="1"/>
  <c r="BW251" i="1" s="1"/>
  <c r="BX226" i="1"/>
  <c r="BW31" i="1"/>
  <c r="BW112" i="1"/>
  <c r="BW226" i="1"/>
  <c r="BY226" i="1"/>
  <c r="BV250" i="1"/>
  <c r="BV251" i="1" s="1"/>
  <c r="BV31" i="1"/>
  <c r="BE30" i="1"/>
  <c r="BA226" i="1"/>
  <c r="BB112" i="1"/>
  <c r="BB31" i="1"/>
  <c r="BD112" i="1"/>
  <c r="BV30" i="1"/>
  <c r="BR30" i="1"/>
  <c r="BR29" i="1"/>
  <c r="BR250" i="1"/>
  <c r="BR251" i="1" s="1"/>
  <c r="BT226" i="1"/>
  <c r="BU112" i="1"/>
  <c r="BS226" i="1"/>
  <c r="BS112" i="1"/>
  <c r="BC31" i="1"/>
  <c r="BC34" i="1"/>
  <c r="BC29" i="1"/>
  <c r="S60" i="1"/>
  <c r="BG30" i="1"/>
  <c r="BF112" i="1"/>
  <c r="BC232" i="1"/>
  <c r="BC233" i="1" s="1"/>
  <c r="BD31" i="1"/>
  <c r="BC250" i="1"/>
  <c r="BC251" i="1" s="1"/>
  <c r="BF226" i="1"/>
  <c r="BC30" i="1"/>
  <c r="AT40" i="1"/>
  <c r="AT41" i="1"/>
  <c r="BS250" i="1"/>
  <c r="BS251" i="1" s="1"/>
  <c r="BT112" i="1"/>
  <c r="BV112" i="1"/>
  <c r="BT250" i="1"/>
  <c r="BT251" i="1" s="1"/>
  <c r="BT31" i="1"/>
  <c r="BV226" i="1"/>
  <c r="BS31" i="1"/>
  <c r="BG226" i="1"/>
  <c r="BD232" i="1"/>
  <c r="BD233" i="1" s="1"/>
  <c r="BE250" i="1"/>
  <c r="BE251" i="1" s="1"/>
  <c r="BD29" i="1"/>
  <c r="BD34" i="1"/>
  <c r="BD38" i="1" s="1"/>
  <c r="BE31" i="1"/>
  <c r="BD250" i="1"/>
  <c r="BD251" i="1" s="1"/>
  <c r="BG112" i="1"/>
  <c r="BD226" i="1"/>
  <c r="BH111" i="1"/>
  <c r="BH110" i="1"/>
  <c r="AR30" i="1"/>
  <c r="AU226" i="1"/>
  <c r="AT226" i="1"/>
  <c r="P60" i="1"/>
  <c r="AU112" i="1"/>
  <c r="AR250" i="1"/>
  <c r="AR251" i="1" s="1"/>
  <c r="AT112" i="1"/>
  <c r="AR112" i="1"/>
  <c r="AS250" i="1"/>
  <c r="AS251" i="1" s="1"/>
  <c r="AS226" i="1"/>
  <c r="AV30" i="1"/>
  <c r="AS112" i="1"/>
  <c r="AR226" i="1"/>
  <c r="AR31" i="1"/>
  <c r="BV232" i="1"/>
  <c r="BV233" i="1" s="1"/>
  <c r="BV34" i="1"/>
  <c r="BV38" i="1" s="1"/>
  <c r="BV29" i="1"/>
  <c r="BZ30" i="1"/>
  <c r="BA34" i="1"/>
  <c r="BA232" i="1"/>
  <c r="BA233" i="1" s="1"/>
  <c r="BA29" i="1"/>
  <c r="BA250" i="1"/>
  <c r="BA251" i="1" s="1"/>
  <c r="AS31" i="1"/>
  <c r="AR34" i="1"/>
  <c r="AR232" i="1"/>
  <c r="AR233" i="1" s="1"/>
  <c r="AR29" i="1"/>
  <c r="BS30" i="1"/>
  <c r="BS34" i="1"/>
  <c r="BS29" i="1"/>
  <c r="BS232" i="1"/>
  <c r="BS233" i="1" s="1"/>
  <c r="BW30" i="1"/>
  <c r="BD30" i="1"/>
  <c r="BH30" i="1"/>
  <c r="AT203" i="1"/>
  <c r="AT201" i="1" s="1"/>
  <c r="B87" i="1"/>
  <c r="B85" i="1"/>
  <c r="B86" i="1"/>
  <c r="C70" i="1"/>
  <c r="AV110" i="1"/>
  <c r="AV111" i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0" i="1"/>
  <c r="BP110" i="1"/>
  <c r="BP111" i="1"/>
  <c r="AY203" i="1"/>
  <c r="AY201" i="1" s="1"/>
  <c r="AZ203" i="1"/>
  <c r="AZ201" i="1" s="1"/>
  <c r="BF111" i="1"/>
  <c r="BF110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1" i="1"/>
  <c r="BE203" i="1"/>
  <c r="BE201" i="1" s="1"/>
  <c r="BF203" i="1"/>
  <c r="BF201" i="1" s="1"/>
  <c r="AT111" i="1"/>
  <c r="AT110" i="1"/>
  <c r="AN111" i="1"/>
  <c r="AN110" i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0" i="1"/>
  <c r="BD111" i="1"/>
  <c r="BD110" i="1"/>
  <c r="BO203" i="1"/>
  <c r="BO201" i="1" s="1"/>
  <c r="BP203" i="1"/>
  <c r="BP201" i="1" s="1"/>
  <c r="AX110" i="1"/>
  <c r="AX111" i="1"/>
  <c r="AP110" i="1"/>
  <c r="AP111" i="1"/>
  <c r="AZ110" i="1"/>
  <c r="AZ111" i="1"/>
  <c r="BH189" i="1"/>
  <c r="BD189" i="1"/>
  <c r="BN189" i="1"/>
  <c r="BR189" i="1"/>
  <c r="BB189" i="1"/>
  <c r="BF189" i="1"/>
  <c r="BT189" i="1"/>
  <c r="BX189" i="1"/>
  <c r="AP40" i="1"/>
  <c r="AP41" i="1"/>
  <c r="AP43" i="1" s="1"/>
  <c r="BP40" i="1"/>
  <c r="BP41" i="1"/>
  <c r="BM40" i="1"/>
  <c r="BM41" i="1"/>
  <c r="AL114" i="1"/>
  <c r="AL113" i="1"/>
  <c r="AI38" i="1"/>
  <c r="AL55" i="1"/>
  <c r="AU41" i="1"/>
  <c r="AU40" i="1"/>
  <c r="AO41" i="1"/>
  <c r="AV38" i="1"/>
  <c r="BT38" i="1"/>
  <c r="BJ52" i="1"/>
  <c r="BJ193" i="1"/>
  <c r="BJ195" i="1" s="1"/>
  <c r="BJ66" i="1"/>
  <c r="CR138" i="1"/>
  <c r="CS32" i="1"/>
  <c r="AW40" i="1" l="1"/>
  <c r="AW41" i="1"/>
  <c r="BV55" i="1"/>
  <c r="AV113" i="1"/>
  <c r="AV114" i="1"/>
  <c r="BN114" i="1"/>
  <c r="BN113" i="1"/>
  <c r="AN113" i="1"/>
  <c r="BL113" i="1"/>
  <c r="AZ48" i="1"/>
  <c r="AP55" i="1"/>
  <c r="AX38" i="1"/>
  <c r="AQ38" i="1"/>
  <c r="BW38" i="1"/>
  <c r="AN38" i="1"/>
  <c r="BZ114" i="1"/>
  <c r="AP114" i="1"/>
  <c r="BK41" i="1"/>
  <c r="AN55" i="1"/>
  <c r="BZ113" i="1"/>
  <c r="BG38" i="1"/>
  <c r="BR113" i="1"/>
  <c r="BR114" i="1"/>
  <c r="AN114" i="1"/>
  <c r="AP113" i="1"/>
  <c r="BL114" i="1"/>
  <c r="AZ234" i="1"/>
  <c r="AZ42" i="1"/>
  <c r="AZ245" i="1" s="1"/>
  <c r="BN38" i="1"/>
  <c r="BZ55" i="1"/>
  <c r="BF40" i="1"/>
  <c r="BF41" i="1"/>
  <c r="BD55" i="1"/>
  <c r="BP113" i="1"/>
  <c r="BP114" i="1"/>
  <c r="BF114" i="1"/>
  <c r="BF113" i="1"/>
  <c r="BD114" i="1"/>
  <c r="BD113" i="1"/>
  <c r="AX113" i="1"/>
  <c r="AX114" i="1"/>
  <c r="AZ113" i="1"/>
  <c r="AZ114" i="1"/>
  <c r="BK40" i="1"/>
  <c r="AY40" i="1"/>
  <c r="AY41" i="1"/>
  <c r="BU41" i="1"/>
  <c r="BY43" i="1" s="1"/>
  <c r="BU40" i="1"/>
  <c r="AS40" i="1"/>
  <c r="AS41" i="1"/>
  <c r="BQ44" i="1"/>
  <c r="BI38" i="1"/>
  <c r="BL55" i="1"/>
  <c r="BV113" i="1"/>
  <c r="BE40" i="1"/>
  <c r="BE41" i="1"/>
  <c r="BD40" i="1"/>
  <c r="BD41" i="1"/>
  <c r="BO41" i="1"/>
  <c r="BO40" i="1"/>
  <c r="BC38" i="1"/>
  <c r="BF55" i="1"/>
  <c r="BX113" i="1"/>
  <c r="BX114" i="1"/>
  <c r="BR38" i="1"/>
  <c r="BR55" i="1"/>
  <c r="BV114" i="1"/>
  <c r="AZ55" i="1"/>
  <c r="BP55" i="1"/>
  <c r="BH41" i="1"/>
  <c r="BH40" i="1"/>
  <c r="AT55" i="1"/>
  <c r="BX55" i="1"/>
  <c r="BB38" i="1"/>
  <c r="BH113" i="1"/>
  <c r="BH114" i="1"/>
  <c r="AV55" i="1"/>
  <c r="AX55" i="1"/>
  <c r="BJ113" i="1"/>
  <c r="BJ114" i="1"/>
  <c r="BN55" i="1"/>
  <c r="BY55" i="1"/>
  <c r="BJ55" i="1"/>
  <c r="BH55" i="1"/>
  <c r="BQ42" i="1"/>
  <c r="BQ245" i="1" s="1"/>
  <c r="BQ48" i="1"/>
  <c r="BQ234" i="1"/>
  <c r="AT48" i="1"/>
  <c r="AT234" i="1"/>
  <c r="AT42" i="1"/>
  <c r="AT245" i="1" s="1"/>
  <c r="AT114" i="1"/>
  <c r="AT113" i="1"/>
  <c r="BT114" i="1"/>
  <c r="BT113" i="1"/>
  <c r="AR38" i="1"/>
  <c r="AR55" i="1"/>
  <c r="BV40" i="1"/>
  <c r="BV41" i="1"/>
  <c r="BA38" i="1"/>
  <c r="BB55" i="1"/>
  <c r="BS38" i="1"/>
  <c r="BT55" i="1"/>
  <c r="AT43" i="1"/>
  <c r="AP234" i="1"/>
  <c r="AP48" i="1"/>
  <c r="AP42" i="1"/>
  <c r="AP245" i="1" s="1"/>
  <c r="BP48" i="1"/>
  <c r="BP43" i="1"/>
  <c r="BP234" i="1"/>
  <c r="BP42" i="1"/>
  <c r="BP245" i="1" s="1"/>
  <c r="BM48" i="1"/>
  <c r="BM44" i="1"/>
  <c r="BM234" i="1"/>
  <c r="BQ43" i="1"/>
  <c r="BM42" i="1"/>
  <c r="BM245" i="1" s="1"/>
  <c r="AI41" i="1"/>
  <c r="AI40" i="1"/>
  <c r="AU42" i="1"/>
  <c r="AU245" i="1" s="1"/>
  <c r="AU234" i="1"/>
  <c r="AU48" i="1"/>
  <c r="AU44" i="1"/>
  <c r="AP44" i="1"/>
  <c r="AO48" i="1"/>
  <c r="AO43" i="1"/>
  <c r="AO234" i="1"/>
  <c r="AO42" i="1"/>
  <c r="AO245" i="1" s="1"/>
  <c r="BN41" i="1"/>
  <c r="BN40" i="1"/>
  <c r="BT41" i="1"/>
  <c r="BT40" i="1"/>
  <c r="AV40" i="1"/>
  <c r="AV41" i="1"/>
  <c r="CS194" i="1"/>
  <c r="CS132" i="1"/>
  <c r="CR203" i="1"/>
  <c r="CR201" i="1" s="1"/>
  <c r="AC125" i="1"/>
  <c r="AC128" i="1" s="1"/>
  <c r="AC249" i="1" s="1"/>
  <c r="AW48" i="1" l="1"/>
  <c r="AW234" i="1"/>
  <c r="AW42" i="1"/>
  <c r="AW245" i="1" s="1"/>
  <c r="BL44" i="1"/>
  <c r="BK48" i="1"/>
  <c r="BK42" i="1"/>
  <c r="BK245" i="1" s="1"/>
  <c r="BK44" i="1"/>
  <c r="BK234" i="1"/>
  <c r="BM227" i="1"/>
  <c r="AZ66" i="1"/>
  <c r="BW40" i="1"/>
  <c r="AQ41" i="1"/>
  <c r="AX41" i="1"/>
  <c r="AZ52" i="1"/>
  <c r="AN41" i="1"/>
  <c r="BG41" i="1"/>
  <c r="AX40" i="1"/>
  <c r="AZ193" i="1"/>
  <c r="AZ195" i="1" s="1"/>
  <c r="BW41" i="1"/>
  <c r="AQ40" i="1"/>
  <c r="AN40" i="1"/>
  <c r="BG40" i="1"/>
  <c r="BJ43" i="1"/>
  <c r="BF48" i="1"/>
  <c r="BF42" i="1"/>
  <c r="BF245" i="1" s="1"/>
  <c r="BF234" i="1"/>
  <c r="AR40" i="1"/>
  <c r="AR41" i="1"/>
  <c r="AU227" i="1" s="1"/>
  <c r="AY234" i="1"/>
  <c r="AY42" i="1"/>
  <c r="AY245" i="1" s="1"/>
  <c r="AZ44" i="1"/>
  <c r="AY48" i="1"/>
  <c r="BU42" i="1"/>
  <c r="BU245" i="1" s="1"/>
  <c r="BU234" i="1"/>
  <c r="BU48" i="1"/>
  <c r="AS48" i="1"/>
  <c r="AS42" i="1"/>
  <c r="AS245" i="1" s="1"/>
  <c r="BV44" i="1"/>
  <c r="BU43" i="1"/>
  <c r="AS234" i="1"/>
  <c r="AT44" i="1"/>
  <c r="AY43" i="1"/>
  <c r="BR41" i="1"/>
  <c r="BR40" i="1"/>
  <c r="AW43" i="1"/>
  <c r="BI41" i="1"/>
  <c r="BI44" i="1" s="1"/>
  <c r="BI40" i="1"/>
  <c r="BE42" i="1"/>
  <c r="BE245" i="1" s="1"/>
  <c r="BE48" i="1"/>
  <c r="BE234" i="1"/>
  <c r="BF44" i="1"/>
  <c r="BC41" i="1"/>
  <c r="BC40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BH43" i="1"/>
  <c r="AS43" i="1"/>
  <c r="BH48" i="1"/>
  <c r="BL43" i="1"/>
  <c r="BH234" i="1"/>
  <c r="BH42" i="1"/>
  <c r="BH245" i="1" s="1"/>
  <c r="BB41" i="1"/>
  <c r="BB40" i="1"/>
  <c r="BQ193" i="1"/>
  <c r="BQ195" i="1" s="1"/>
  <c r="BQ119" i="1"/>
  <c r="BQ120" i="1" s="1"/>
  <c r="BQ66" i="1"/>
  <c r="BQ52" i="1"/>
  <c r="AT66" i="1"/>
  <c r="AT193" i="1"/>
  <c r="AT195" i="1" s="1"/>
  <c r="AT52" i="1"/>
  <c r="BZ43" i="1"/>
  <c r="BV234" i="1"/>
  <c r="BV48" i="1"/>
  <c r="BV42" i="1"/>
  <c r="BV245" i="1" s="1"/>
  <c r="BA41" i="1"/>
  <c r="BA40" i="1"/>
  <c r="BS41" i="1"/>
  <c r="BS40" i="1"/>
  <c r="AP193" i="1"/>
  <c r="AP195" i="1" s="1"/>
  <c r="AP66" i="1"/>
  <c r="AP52" i="1"/>
  <c r="BM66" i="1"/>
  <c r="BM52" i="1"/>
  <c r="BP52" i="1"/>
  <c r="BP193" i="1"/>
  <c r="BP195" i="1" s="1"/>
  <c r="BP66" i="1"/>
  <c r="BM119" i="1"/>
  <c r="BM120" i="1" s="1"/>
  <c r="BM193" i="1"/>
  <c r="BM195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X43" i="1"/>
  <c r="BT42" i="1"/>
  <c r="BT245" i="1" s="1"/>
  <c r="BT234" i="1"/>
  <c r="BT48" i="1"/>
  <c r="BU44" i="1"/>
  <c r="BT43" i="1"/>
  <c r="AZ43" i="1"/>
  <c r="AV42" i="1"/>
  <c r="AV245" i="1" s="1"/>
  <c r="AV234" i="1"/>
  <c r="AV48" i="1"/>
  <c r="AW227" i="1"/>
  <c r="AW44" i="1"/>
  <c r="AV44" i="1"/>
  <c r="AV227" i="1"/>
  <c r="BN234" i="1"/>
  <c r="BN48" i="1"/>
  <c r="BN43" i="1"/>
  <c r="BN42" i="1"/>
  <c r="BN245" i="1" s="1"/>
  <c r="BO44" i="1"/>
  <c r="BN227" i="1"/>
  <c r="BQ227" i="1"/>
  <c r="BN44" i="1"/>
  <c r="BO227" i="1"/>
  <c r="BP227" i="1"/>
  <c r="CS134" i="1"/>
  <c r="AC206" i="1"/>
  <c r="CA226" i="1"/>
  <c r="CB226" i="1"/>
  <c r="BU226" i="1"/>
  <c r="BK119" i="1" l="1"/>
  <c r="BK120" i="1" s="1"/>
  <c r="BK66" i="1"/>
  <c r="AQ227" i="1"/>
  <c r="AO44" i="1"/>
  <c r="AN227" i="1"/>
  <c r="AN43" i="1"/>
  <c r="AP227" i="1"/>
  <c r="AR43" i="1"/>
  <c r="AO227" i="1"/>
  <c r="AN48" i="1"/>
  <c r="AN44" i="1"/>
  <c r="AN234" i="1"/>
  <c r="AN42" i="1"/>
  <c r="AN245" i="1" s="1"/>
  <c r="BR42" i="1"/>
  <c r="BR245" i="1" s="1"/>
  <c r="BR234" i="1"/>
  <c r="BR48" i="1"/>
  <c r="BV43" i="1"/>
  <c r="BR44" i="1"/>
  <c r="BR227" i="1"/>
  <c r="BW227" i="1"/>
  <c r="BR207" i="1"/>
  <c r="BR205" i="1" s="1"/>
  <c r="AW193" i="1"/>
  <c r="AW195" i="1" s="1"/>
  <c r="AW66" i="1"/>
  <c r="AW119" i="1"/>
  <c r="AW120" i="1" s="1"/>
  <c r="AW52" i="1"/>
  <c r="BK52" i="1"/>
  <c r="BK193" i="1"/>
  <c r="BK195" i="1" s="1"/>
  <c r="AY227" i="1"/>
  <c r="AV43" i="1"/>
  <c r="AX227" i="1"/>
  <c r="AR44" i="1"/>
  <c r="AQ43" i="1"/>
  <c r="AQ234" i="1"/>
  <c r="AQ48" i="1"/>
  <c r="AQ42" i="1"/>
  <c r="AQ245" i="1" s="1"/>
  <c r="AQ44" i="1"/>
  <c r="AU43" i="1"/>
  <c r="AT227" i="1"/>
  <c r="AS227" i="1"/>
  <c r="AR227" i="1"/>
  <c r="BR43" i="1"/>
  <c r="BQ54" i="1"/>
  <c r="BB42" i="1"/>
  <c r="BB245" i="1" s="1"/>
  <c r="BF43" i="1"/>
  <c r="BB234" i="1"/>
  <c r="BB48" i="1"/>
  <c r="BC44" i="1"/>
  <c r="BE227" i="1"/>
  <c r="BB43" i="1"/>
  <c r="AX48" i="1"/>
  <c r="AX234" i="1"/>
  <c r="AX42" i="1"/>
  <c r="AX245" i="1" s="1"/>
  <c r="AZ227" i="1"/>
  <c r="AX44" i="1"/>
  <c r="AY44" i="1"/>
  <c r="AX43" i="1"/>
  <c r="BH52" i="1"/>
  <c r="BH66" i="1"/>
  <c r="BH193" i="1"/>
  <c r="BH195" i="1" s="1"/>
  <c r="BK43" i="1"/>
  <c r="BG48" i="1"/>
  <c r="BH227" i="1"/>
  <c r="BG42" i="1"/>
  <c r="BG245" i="1" s="1"/>
  <c r="BH44" i="1"/>
  <c r="BG227" i="1"/>
  <c r="BG234" i="1"/>
  <c r="BG44" i="1"/>
  <c r="BX227" i="1"/>
  <c r="BW234" i="1"/>
  <c r="BW44" i="1"/>
  <c r="BX44" i="1"/>
  <c r="BW48" i="1"/>
  <c r="X61" i="1"/>
  <c r="BY227" i="1"/>
  <c r="CA43" i="1"/>
  <c r="BW42" i="1"/>
  <c r="BW245" i="1" s="1"/>
  <c r="BZ227" i="1"/>
  <c r="BQ207" i="1"/>
  <c r="BQ205" i="1" s="1"/>
  <c r="BQ129" i="1"/>
  <c r="BQ55" i="1" s="1"/>
  <c r="BQ92" i="1"/>
  <c r="BF66" i="1"/>
  <c r="BF193" i="1"/>
  <c r="BF195" i="1" s="1"/>
  <c r="BF52" i="1"/>
  <c r="AR234" i="1"/>
  <c r="AR48" i="1"/>
  <c r="AR42" i="1"/>
  <c r="AR245" i="1" s="1"/>
  <c r="AS44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43" i="1"/>
  <c r="BL227" i="1"/>
  <c r="BI48" i="1"/>
  <c r="BI234" i="1"/>
  <c r="BJ44" i="1"/>
  <c r="BI42" i="1"/>
  <c r="BI24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BA227" i="1"/>
  <c r="BT227" i="1"/>
  <c r="BG43" i="1"/>
  <c r="BJ227" i="1"/>
  <c r="BI227" i="1"/>
  <c r="BV227" i="1"/>
  <c r="BT44" i="1"/>
  <c r="BV66" i="1"/>
  <c r="BV193" i="1"/>
  <c r="BV195" i="1" s="1"/>
  <c r="BV52" i="1"/>
  <c r="BE43" i="1"/>
  <c r="BA43" i="1"/>
  <c r="BA48" i="1"/>
  <c r="BA44" i="1"/>
  <c r="BA42" i="1"/>
  <c r="BA245" i="1" s="1"/>
  <c r="BA234" i="1"/>
  <c r="BS42" i="1"/>
  <c r="BS245" i="1" s="1"/>
  <c r="BS43" i="1"/>
  <c r="BS234" i="1"/>
  <c r="BW43" i="1"/>
  <c r="BS48" i="1"/>
  <c r="BD227" i="1"/>
  <c r="BB227" i="1"/>
  <c r="BB44" i="1"/>
  <c r="BC227" i="1"/>
  <c r="BM54" i="1"/>
  <c r="BM207" i="1"/>
  <c r="BM205" i="1" s="1"/>
  <c r="BM129" i="1"/>
  <c r="BM55" i="1" s="1"/>
  <c r="BM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P207" i="1"/>
  <c r="AP205" i="1" s="1"/>
  <c r="AO92" i="1"/>
  <c r="AO129" i="1"/>
  <c r="AO55" i="1" s="1"/>
  <c r="AO207" i="1"/>
  <c r="AO205" i="1" s="1"/>
  <c r="AV207" i="1"/>
  <c r="AV205" i="1" s="1"/>
  <c r="BN207" i="1"/>
  <c r="BN205" i="1" s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BT193" i="1"/>
  <c r="BT195" i="1" s="1"/>
  <c r="BT52" i="1"/>
  <c r="BT66" i="1"/>
  <c r="CS138" i="1"/>
  <c r="CT32" i="1"/>
  <c r="AD124" i="1"/>
  <c r="W59" i="1"/>
  <c r="BM69" i="1" l="1"/>
  <c r="BI89" i="1" s="1"/>
  <c r="BK92" i="1"/>
  <c r="BL207" i="1"/>
  <c r="BL205" i="1" s="1"/>
  <c r="BK207" i="1"/>
  <c r="BK205" i="1" s="1"/>
  <c r="BK129" i="1"/>
  <c r="BK55" i="1" s="1"/>
  <c r="AO54" i="1"/>
  <c r="AN52" i="1"/>
  <c r="AP54" i="1"/>
  <c r="AN66" i="1"/>
  <c r="AN193" i="1"/>
  <c r="AN195" i="1" s="1"/>
  <c r="AN54" i="1"/>
  <c r="O61" i="1"/>
  <c r="AN207" i="1"/>
  <c r="AN205" i="1" s="1"/>
  <c r="BR52" i="1"/>
  <c r="BR193" i="1"/>
  <c r="BR195" i="1" s="1"/>
  <c r="BR66" i="1"/>
  <c r="BR54" i="1"/>
  <c r="V61" i="1"/>
  <c r="BL54" i="1"/>
  <c r="BI52" i="1"/>
  <c r="BI193" i="1"/>
  <c r="BI195" i="1" s="1"/>
  <c r="BI66" i="1"/>
  <c r="BI119" i="1"/>
  <c r="BI120" i="1" s="1"/>
  <c r="AW92" i="1"/>
  <c r="AW207" i="1"/>
  <c r="AW205" i="1" s="1"/>
  <c r="AW129" i="1"/>
  <c r="AW55" i="1" s="1"/>
  <c r="AR193" i="1"/>
  <c r="AR195" i="1" s="1"/>
  <c r="AR66" i="1"/>
  <c r="AR52" i="1"/>
  <c r="BV207" i="1"/>
  <c r="BV205" i="1" s="1"/>
  <c r="BU207" i="1"/>
  <c r="BU205" i="1" s="1"/>
  <c r="BU92" i="1"/>
  <c r="BU129" i="1"/>
  <c r="BU55" i="1" s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W54" i="1"/>
  <c r="BW119" i="1"/>
  <c r="BW120" i="1" s="1"/>
  <c r="BW193" i="1"/>
  <c r="BW195" i="1" s="1"/>
  <c r="BW52" i="1"/>
  <c r="AX52" i="1"/>
  <c r="AX66" i="1"/>
  <c r="BB66" i="1"/>
  <c r="BB193" i="1"/>
  <c r="BB195" i="1" s="1"/>
  <c r="AQ52" i="1"/>
  <c r="BG66" i="1"/>
  <c r="BG193" i="1"/>
  <c r="BG195" i="1" s="1"/>
  <c r="BQ94" i="1"/>
  <c r="AX207" i="1"/>
  <c r="AX205" i="1" s="1"/>
  <c r="BY54" i="1"/>
  <c r="BW66" i="1"/>
  <c r="AX54" i="1"/>
  <c r="AZ54" i="1"/>
  <c r="AQ119" i="1"/>
  <c r="AQ120" i="1" s="1"/>
  <c r="BG119" i="1"/>
  <c r="BG120" i="1" s="1"/>
  <c r="BQ95" i="1"/>
  <c r="BX54" i="1"/>
  <c r="BZ54" i="1"/>
  <c r="Q61" i="1"/>
  <c r="AX193" i="1"/>
  <c r="AX195" i="1" s="1"/>
  <c r="BB52" i="1"/>
  <c r="AQ193" i="1"/>
  <c r="AQ195" i="1" s="1"/>
  <c r="AQ66" i="1"/>
  <c r="BG52" i="1"/>
  <c r="BH54" i="1"/>
  <c r="BQ96" i="1"/>
  <c r="AT207" i="1"/>
  <c r="AT205" i="1" s="1"/>
  <c r="BK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U54" i="1"/>
  <c r="AY54" i="1"/>
  <c r="BT54" i="1"/>
  <c r="BV54" i="1"/>
  <c r="BO54" i="1"/>
  <c r="BU54" i="1"/>
  <c r="BB54" i="1"/>
  <c r="R61" i="1"/>
  <c r="BD54" i="1"/>
  <c r="BE54" i="1"/>
  <c r="AS54" i="1"/>
  <c r="AR54" i="1"/>
  <c r="AT54" i="1"/>
  <c r="P61" i="1"/>
  <c r="BJ54" i="1"/>
  <c r="T61" i="1"/>
  <c r="BA119" i="1"/>
  <c r="BA120" i="1" s="1"/>
  <c r="BA66" i="1"/>
  <c r="BA193" i="1"/>
  <c r="BA195" i="1" s="1"/>
  <c r="BA52" i="1"/>
  <c r="BS66" i="1"/>
  <c r="BS119" i="1"/>
  <c r="BS120" i="1" s="1"/>
  <c r="BS52" i="1"/>
  <c r="BS193" i="1"/>
  <c r="BS195" i="1" s="1"/>
  <c r="AI210" i="1"/>
  <c r="AI211" i="1" s="1"/>
  <c r="BM95" i="1"/>
  <c r="BM96" i="1"/>
  <c r="BM94" i="1"/>
  <c r="AL85" i="1"/>
  <c r="AL86" i="1"/>
  <c r="AL87" i="1"/>
  <c r="AU95" i="1"/>
  <c r="AU96" i="1"/>
  <c r="AU94" i="1"/>
  <c r="AO96" i="1"/>
  <c r="AO94" i="1"/>
  <c r="AO95" i="1"/>
  <c r="AV69" i="1"/>
  <c r="AW69" i="1"/>
  <c r="BQ69" i="1"/>
  <c r="BO69" i="1"/>
  <c r="BN69" i="1"/>
  <c r="BP69" i="1"/>
  <c r="AC32" i="1"/>
  <c r="CT194" i="1"/>
  <c r="CT132" i="1"/>
  <c r="CS203" i="1"/>
  <c r="CS201" i="1" s="1"/>
  <c r="W60" i="1"/>
  <c r="BM85" i="1" l="1"/>
  <c r="BM87" i="1"/>
  <c r="BM86" i="1"/>
  <c r="BK96" i="1"/>
  <c r="BK94" i="1"/>
  <c r="AP69" i="1"/>
  <c r="BK95" i="1"/>
  <c r="BR69" i="1"/>
  <c r="BR86" i="1" s="1"/>
  <c r="AN69" i="1"/>
  <c r="AO69" i="1"/>
  <c r="BK69" i="1"/>
  <c r="AU69" i="1"/>
  <c r="AY95" i="1"/>
  <c r="AS94" i="1"/>
  <c r="BI129" i="1"/>
  <c r="BI55" i="1" s="1"/>
  <c r="BI54" i="1"/>
  <c r="BU94" i="1"/>
  <c r="BU96" i="1"/>
  <c r="BU95" i="1"/>
  <c r="AY94" i="1"/>
  <c r="AY96" i="1"/>
  <c r="BL69" i="1"/>
  <c r="AS95" i="1"/>
  <c r="AS96" i="1"/>
  <c r="BI92" i="1"/>
  <c r="BI207" i="1"/>
  <c r="BI205" i="1" s="1"/>
  <c r="BJ207" i="1"/>
  <c r="BJ205" i="1" s="1"/>
  <c r="AW94" i="1"/>
  <c r="AW96" i="1"/>
  <c r="AW95" i="1"/>
  <c r="BD69" i="1"/>
  <c r="AZ69" i="1"/>
  <c r="AY69" i="1"/>
  <c r="AY86" i="1" s="1"/>
  <c r="AX69" i="1"/>
  <c r="AT69" i="1"/>
  <c r="AR69" i="1"/>
  <c r="AS69" i="1"/>
  <c r="AQ69" i="1"/>
  <c r="BJ69" i="1"/>
  <c r="BF89" i="1" s="1"/>
  <c r="BG69" i="1"/>
  <c r="BH69" i="1"/>
  <c r="BI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AU87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BC69" i="1"/>
  <c r="BA69" i="1"/>
  <c r="BE69" i="1"/>
  <c r="BE86" i="1" s="1"/>
  <c r="BB69" i="1"/>
  <c r="BV69" i="1"/>
  <c r="BT69" i="1"/>
  <c r="BS69" i="1"/>
  <c r="BA54" i="1"/>
  <c r="BA129" i="1"/>
  <c r="BA55" i="1" s="1"/>
  <c r="BA92" i="1"/>
  <c r="BA207" i="1"/>
  <c r="BA205" i="1" s="1"/>
  <c r="BB207" i="1"/>
  <c r="BB205" i="1" s="1"/>
  <c r="BS54" i="1"/>
  <c r="BS207" i="1"/>
  <c r="BS205" i="1" s="1"/>
  <c r="BS129" i="1"/>
  <c r="BS55" i="1" s="1"/>
  <c r="BS92" i="1"/>
  <c r="BT207" i="1"/>
  <c r="BT205" i="1" s="1"/>
  <c r="BQ86" i="1"/>
  <c r="BM89" i="1"/>
  <c r="BO85" i="1"/>
  <c r="BK89" i="1"/>
  <c r="BO86" i="1"/>
  <c r="BO87" i="1"/>
  <c r="BQ85" i="1"/>
  <c r="BQ70" i="1"/>
  <c r="BQ87" i="1"/>
  <c r="AW85" i="1"/>
  <c r="AW86" i="1"/>
  <c r="AS89" i="1"/>
  <c r="AW87" i="1"/>
  <c r="BL89" i="1"/>
  <c r="BP86" i="1"/>
  <c r="BP87" i="1"/>
  <c r="BP85" i="1"/>
  <c r="AV86" i="1"/>
  <c r="AV85" i="1"/>
  <c r="AV87" i="1"/>
  <c r="AR89" i="1"/>
  <c r="BJ89" i="1"/>
  <c r="BN87" i="1"/>
  <c r="BN85" i="1"/>
  <c r="BN86" i="1"/>
  <c r="AC194" i="1"/>
  <c r="AC132" i="1"/>
  <c r="AC134" i="1" s="1"/>
  <c r="AC33" i="1" s="1"/>
  <c r="CT134" i="1"/>
  <c r="AD125" i="1"/>
  <c r="AD128" i="1" s="1"/>
  <c r="AD249" i="1" s="1"/>
  <c r="AR109" i="1"/>
  <c r="W61" i="1"/>
  <c r="BN89" i="1" l="1"/>
  <c r="BR85" i="1"/>
  <c r="BR87" i="1"/>
  <c r="AN87" i="1"/>
  <c r="AN86" i="1"/>
  <c r="AN85" i="1"/>
  <c r="BO70" i="1"/>
  <c r="AO87" i="1"/>
  <c r="AO85" i="1"/>
  <c r="AP87" i="1"/>
  <c r="AL89" i="1"/>
  <c r="AP86" i="1"/>
  <c r="AP85" i="1"/>
  <c r="BR70" i="1"/>
  <c r="AO86" i="1"/>
  <c r="AP70" i="1"/>
  <c r="BK85" i="1"/>
  <c r="BK86" i="1"/>
  <c r="BK87" i="1"/>
  <c r="BG89" i="1"/>
  <c r="BT70" i="1"/>
  <c r="BC95" i="1"/>
  <c r="BC94" i="1"/>
  <c r="BC96" i="1"/>
  <c r="AW89" i="1"/>
  <c r="BA70" i="1"/>
  <c r="BC87" i="1"/>
  <c r="AY89" i="1"/>
  <c r="BC86" i="1"/>
  <c r="BC85" i="1"/>
  <c r="BV70" i="1"/>
  <c r="BP89" i="1"/>
  <c r="BT87" i="1"/>
  <c r="BT85" i="1"/>
  <c r="BT86" i="1"/>
  <c r="BS87" i="1"/>
  <c r="BO89" i="1"/>
  <c r="BS86" i="1"/>
  <c r="BS85" i="1"/>
  <c r="BE70" i="1"/>
  <c r="BA87" i="1"/>
  <c r="BE87" i="1"/>
  <c r="BE85" i="1"/>
  <c r="BS70" i="1"/>
  <c r="BA85" i="1"/>
  <c r="BA86" i="1"/>
  <c r="BA89" i="1"/>
  <c r="AX89" i="1"/>
  <c r="BF70" i="1"/>
  <c r="BB87" i="1"/>
  <c r="BB86" i="1"/>
  <c r="BB85" i="1"/>
  <c r="AU85" i="1"/>
  <c r="AQ89" i="1"/>
  <c r="AU86" i="1"/>
  <c r="BH89" i="1"/>
  <c r="BL87" i="1"/>
  <c r="BI95" i="1"/>
  <c r="BI96" i="1"/>
  <c r="BI94" i="1"/>
  <c r="BL85" i="1"/>
  <c r="BL86" i="1"/>
  <c r="BP70" i="1"/>
  <c r="BV89" i="1"/>
  <c r="BY70" i="1"/>
  <c r="BQ89" i="1"/>
  <c r="BU87" i="1"/>
  <c r="BU86" i="1"/>
  <c r="BW85" i="1"/>
  <c r="AQ86" i="1"/>
  <c r="AQ85" i="1"/>
  <c r="BU70" i="1"/>
  <c r="AX70" i="1"/>
  <c r="CD70" i="1"/>
  <c r="BZ87" i="1"/>
  <c r="BX86" i="1"/>
  <c r="BT89" i="1"/>
  <c r="BX87" i="1"/>
  <c r="CB70" i="1"/>
  <c r="BX85" i="1"/>
  <c r="AR70" i="1"/>
  <c r="AP89" i="1"/>
  <c r="CA70" i="1"/>
  <c r="BS89" i="1"/>
  <c r="BW87" i="1"/>
  <c r="BI70" i="1"/>
  <c r="BJ86" i="1"/>
  <c r="BJ70" i="1"/>
  <c r="BJ85" i="1"/>
  <c r="AU70" i="1"/>
  <c r="AQ70" i="1"/>
  <c r="AQ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G70" i="1"/>
  <c r="BM70" i="1"/>
  <c r="BI87" i="1"/>
  <c r="BI85" i="1"/>
  <c r="BI86" i="1"/>
  <c r="BE89" i="1"/>
  <c r="AS70" i="1"/>
  <c r="AS86" i="1"/>
  <c r="AO89" i="1"/>
  <c r="AS87" i="1"/>
  <c r="AS85" i="1"/>
  <c r="AW70" i="1"/>
  <c r="AZ70" i="1"/>
  <c r="BG85" i="1"/>
  <c r="BG86" i="1"/>
  <c r="BG87" i="1"/>
  <c r="BK70" i="1"/>
  <c r="AT87" i="1"/>
  <c r="AT85" i="1"/>
  <c r="AY85" i="1"/>
  <c r="BZ86" i="1"/>
  <c r="CC90" i="1" s="1"/>
  <c r="BN70" i="1"/>
  <c r="BZ85" i="1"/>
  <c r="CC70" i="1"/>
  <c r="BY87" i="1"/>
  <c r="BU89" i="1"/>
  <c r="BY86" i="1"/>
  <c r="BY85" i="1"/>
  <c r="BH85" i="1"/>
  <c r="BD89" i="1"/>
  <c r="BH86" i="1"/>
  <c r="AT70" i="1"/>
  <c r="AN89" i="1"/>
  <c r="AR87" i="1"/>
  <c r="AR85" i="1"/>
  <c r="AV70" i="1"/>
  <c r="BB70" i="1"/>
  <c r="AT89" i="1"/>
  <c r="BW94" i="1"/>
  <c r="BW95" i="1"/>
  <c r="BG96" i="1"/>
  <c r="BG95" i="1"/>
  <c r="AQ96" i="1"/>
  <c r="AQ94" i="1"/>
  <c r="BC89" i="1"/>
  <c r="BH87" i="1"/>
  <c r="BL70" i="1"/>
  <c r="AR86" i="1"/>
  <c r="AX86" i="1"/>
  <c r="AX85" i="1"/>
  <c r="AX87" i="1"/>
  <c r="BW96" i="1"/>
  <c r="BG94" i="1"/>
  <c r="AQ95" i="1"/>
  <c r="BZ70" i="1"/>
  <c r="BW70" i="1"/>
  <c r="BX70" i="1"/>
  <c r="BR89" i="1"/>
  <c r="BV87" i="1"/>
  <c r="BV86" i="1"/>
  <c r="BV85" i="1"/>
  <c r="BA96" i="1"/>
  <c r="BA94" i="1"/>
  <c r="BA95" i="1"/>
  <c r="BS96" i="1"/>
  <c r="BS95" i="1"/>
  <c r="BS94" i="1"/>
  <c r="AP90" i="1"/>
  <c r="AO90" i="1"/>
  <c r="BP90" i="1"/>
  <c r="BR90" i="1"/>
  <c r="BS90" i="1"/>
  <c r="BQ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AS90" i="1" l="1"/>
  <c r="AQ90" i="1"/>
  <c r="AR90" i="1"/>
  <c r="BT90" i="1"/>
  <c r="BN90" i="1"/>
  <c r="AU90" i="1"/>
  <c r="AY90" i="1"/>
  <c r="BO90" i="1"/>
  <c r="AX90" i="1"/>
  <c r="CB90" i="1"/>
  <c r="BH90" i="1"/>
  <c r="BM90" i="1"/>
  <c r="BG90" i="1"/>
  <c r="BB90" i="1"/>
  <c r="BI90" i="1"/>
  <c r="AW90" i="1"/>
  <c r="BL90" i="1"/>
  <c r="BY90" i="1"/>
  <c r="AZ90" i="1"/>
  <c r="AV90" i="1"/>
  <c r="BJ90" i="1"/>
  <c r="BE90" i="1"/>
  <c r="AT90" i="1"/>
  <c r="BZ90" i="1"/>
  <c r="BF90" i="1"/>
  <c r="BK90" i="1"/>
  <c r="BW90" i="1"/>
  <c r="BA90" i="1"/>
  <c r="BC90" i="1"/>
  <c r="BD90" i="1"/>
  <c r="BX90" i="1"/>
  <c r="BU90" i="1"/>
  <c r="CA90" i="1"/>
  <c r="BV90" i="1"/>
  <c r="CT203" i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2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L198" i="1"/>
  <c r="CL199" i="1" s="1"/>
  <c r="CL213" i="1" s="1"/>
  <c r="CU253" i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26" i="1"/>
  <c r="CU23" i="1" s="1"/>
  <c r="CU144" i="1"/>
  <c r="CU16" i="1"/>
  <c r="CU153" i="1"/>
  <c r="CU152" i="1"/>
  <c r="CU145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Y253" i="1"/>
  <c r="CY10" i="1"/>
  <c r="CY145" i="1" s="1"/>
  <c r="CY231" i="1"/>
  <c r="CU148" i="1"/>
  <c r="CU157" i="1" s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Y26" i="1"/>
  <c r="CY23" i="1" s="1"/>
  <c r="CY152" i="1"/>
  <c r="CY146" i="1"/>
  <c r="CY144" i="1"/>
  <c r="CY153" i="1"/>
  <c r="CY156" i="1" s="1"/>
  <c r="CY16" i="1"/>
  <c r="CY15" i="1" s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Y148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9" i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Y30" i="1"/>
  <c r="CY29" i="1"/>
  <c r="CY34" i="1"/>
  <c r="CY232" i="1"/>
  <c r="CY233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5" i="1"/>
  <c r="CK96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Q37" i="1" l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CK110" i="1"/>
  <c r="CK113" i="1" s="1"/>
  <c r="CK111" i="1"/>
  <c r="CK114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L89" i="1" l="1"/>
  <c r="CP72" i="1"/>
  <c r="CP70" i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M65" i="1"/>
  <c r="M108" i="1"/>
  <c r="Z65" i="1"/>
  <c r="Z92" i="1"/>
  <c r="V65" i="1"/>
  <c r="V66" i="1"/>
  <c r="V68" i="1"/>
  <c r="L63" i="1"/>
  <c r="K63" i="1"/>
  <c r="J63" i="1"/>
  <c r="I63" i="1"/>
  <c r="H63" i="1"/>
  <c r="G63" i="1"/>
  <c r="G65" i="1"/>
  <c r="G66" i="1"/>
  <c r="Z66" i="1"/>
  <c r="O65" i="1"/>
  <c r="O107" i="1"/>
  <c r="O66" i="1"/>
  <c r="O69" i="1"/>
  <c r="O87" i="1"/>
  <c r="X65" i="1"/>
  <c r="X107" i="1"/>
  <c r="AC63" i="1"/>
  <c r="AC65" i="1"/>
  <c r="AC99" i="1"/>
  <c r="AC104" i="1"/>
  <c r="L65" i="1"/>
  <c r="L66" i="1"/>
  <c r="L69" i="1"/>
  <c r="L70" i="1"/>
  <c r="Q65" i="1"/>
  <c r="Q99" i="1"/>
  <c r="AD63" i="1"/>
  <c r="AE63" i="1"/>
  <c r="AE65" i="1"/>
  <c r="AE99" i="1"/>
  <c r="AE102" i="1"/>
  <c r="O92" i="1"/>
  <c r="AE66" i="1"/>
  <c r="AE69" i="1"/>
  <c r="AE103" i="1"/>
  <c r="M111" i="1"/>
  <c r="Z95" i="1"/>
  <c r="Q66" i="1"/>
  <c r="AD65" i="1"/>
  <c r="AD66" i="1"/>
  <c r="AD69" i="1"/>
  <c r="Q69" i="1"/>
  <c r="X66" i="1"/>
  <c r="X69" i="1"/>
  <c r="X70" i="1"/>
  <c r="G68" i="1"/>
  <c r="S65" i="1"/>
  <c r="S107" i="1"/>
  <c r="S110" i="1"/>
  <c r="W65" i="1"/>
  <c r="W99" i="1"/>
  <c r="Z69" i="1"/>
  <c r="AD89" i="1"/>
  <c r="AE92" i="1"/>
  <c r="AE94" i="1"/>
  <c r="O110" i="1"/>
  <c r="R65" i="1"/>
  <c r="R108" i="1"/>
  <c r="R111" i="1"/>
  <c r="X110" i="1"/>
  <c r="F63" i="1"/>
  <c r="F65" i="1"/>
  <c r="F99" i="1"/>
  <c r="X92" i="1"/>
  <c r="AE96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Q103" i="1"/>
  <c r="F66" i="1"/>
  <c r="G107" i="1"/>
  <c r="M99" i="1"/>
  <c r="AE95" i="1"/>
  <c r="W92" i="1"/>
  <c r="W96" i="1"/>
  <c r="W107" i="1"/>
  <c r="AC103" i="1"/>
  <c r="M102" i="1"/>
  <c r="AD108" i="1"/>
  <c r="AD86" i="1"/>
  <c r="X113" i="1"/>
  <c r="AC107" i="1"/>
  <c r="J65" i="1"/>
  <c r="J66" i="1"/>
  <c r="J69" i="1"/>
  <c r="I89" i="1"/>
  <c r="W102" i="1"/>
  <c r="Q86" i="1"/>
  <c r="P89" i="1"/>
  <c r="Z107" i="1"/>
  <c r="O113" i="1"/>
  <c r="AC108" i="1"/>
  <c r="Z85" i="1"/>
  <c r="W89" i="1"/>
  <c r="G99" i="1"/>
  <c r="V69" i="1"/>
  <c r="Z110" i="1"/>
  <c r="F102" i="1"/>
  <c r="U65" i="1"/>
  <c r="U99" i="1"/>
  <c r="U103" i="1"/>
  <c r="V86" i="1"/>
  <c r="AB65" i="1"/>
  <c r="AB66" i="1"/>
  <c r="AB68" i="1"/>
  <c r="M103" i="1"/>
  <c r="I65" i="1"/>
  <c r="I108" i="1"/>
  <c r="I111" i="1"/>
  <c r="R114" i="1"/>
  <c r="Z96" i="1"/>
  <c r="K65" i="1"/>
  <c r="K99" i="1"/>
  <c r="K102" i="1"/>
  <c r="F64" i="1"/>
  <c r="W66" i="1"/>
  <c r="P65" i="1"/>
  <c r="P66" i="1"/>
  <c r="P69" i="1"/>
  <c r="O99" i="1"/>
  <c r="O102" i="1"/>
  <c r="O108" i="1"/>
  <c r="F92" i="1"/>
  <c r="Y65" i="1"/>
  <c r="Y92" i="1"/>
  <c r="Y95" i="1"/>
  <c r="Y89" i="1"/>
  <c r="O70" i="1"/>
  <c r="L92" i="1"/>
  <c r="AC92" i="1"/>
  <c r="AE85" i="1"/>
  <c r="Z70" i="1"/>
  <c r="I99" i="1"/>
  <c r="X96" i="1"/>
  <c r="AE87" i="1"/>
  <c r="Z87" i="1"/>
  <c r="Q104" i="1"/>
  <c r="N65" i="1"/>
  <c r="N66" i="1"/>
  <c r="N69" i="1"/>
  <c r="N87" i="1"/>
  <c r="F108" i="1"/>
  <c r="N70" i="1"/>
  <c r="R92" i="1"/>
  <c r="R94" i="1"/>
  <c r="Q108" i="1"/>
  <c r="AD70" i="1"/>
  <c r="O68" i="1"/>
  <c r="L99" i="1"/>
  <c r="Z86" i="1"/>
  <c r="P108" i="1"/>
  <c r="P111" i="1"/>
  <c r="P114" i="1"/>
  <c r="P99" i="1"/>
  <c r="P104" i="1"/>
  <c r="P103" i="1"/>
  <c r="M66" i="1"/>
  <c r="F69" i="1"/>
  <c r="F70" i="1"/>
  <c r="AB107" i="1"/>
  <c r="AB110" i="1"/>
  <c r="AB113" i="1"/>
  <c r="L107" i="1"/>
  <c r="L110" i="1"/>
  <c r="L113" i="1"/>
  <c r="AD85" i="1"/>
  <c r="J99" i="1"/>
  <c r="J102" i="1"/>
  <c r="T65" i="1"/>
  <c r="T66" i="1"/>
  <c r="T69" i="1"/>
  <c r="S89" i="1"/>
  <c r="K92" i="1"/>
  <c r="K95" i="1"/>
  <c r="J92" i="1"/>
  <c r="N92" i="1"/>
  <c r="N94" i="1"/>
  <c r="K96" i="1"/>
  <c r="F104" i="1"/>
  <c r="J104" i="1"/>
  <c r="H65" i="1"/>
  <c r="H66" i="1"/>
  <c r="H69" i="1"/>
  <c r="AD92" i="1"/>
  <c r="AD94" i="1"/>
  <c r="T87" i="1"/>
  <c r="AE70" i="1"/>
  <c r="V107" i="1"/>
  <c r="Z68" i="1"/>
  <c r="L68" i="1"/>
  <c r="L87" i="1"/>
  <c r="G89" i="1"/>
  <c r="N96" i="1"/>
  <c r="G108" i="1"/>
  <c r="N108" i="1"/>
  <c r="V108" i="1"/>
  <c r="AE108" i="1"/>
  <c r="Z99" i="1"/>
  <c r="W94" i="1"/>
  <c r="M69" i="1"/>
  <c r="M86" i="1"/>
  <c r="W110" i="1"/>
  <c r="U102" i="1"/>
  <c r="K104" i="1"/>
  <c r="P85" i="1"/>
  <c r="F87" i="1"/>
  <c r="I66" i="1"/>
  <c r="F111" i="1"/>
  <c r="AE86" i="1"/>
  <c r="Q70" i="1"/>
  <c r="AE107" i="1"/>
  <c r="R66" i="1"/>
  <c r="G69" i="1"/>
  <c r="K89" i="1"/>
  <c r="H108" i="1"/>
  <c r="O111" i="1"/>
  <c r="W103" i="1"/>
  <c r="F114" i="1"/>
  <c r="AA65" i="1"/>
  <c r="AA92" i="1"/>
  <c r="AA96" i="1"/>
  <c r="J85" i="1"/>
  <c r="T99" i="1"/>
  <c r="M87" i="1"/>
  <c r="X95" i="1"/>
  <c r="Y99" i="1"/>
  <c r="R68" i="1"/>
  <c r="X87" i="1"/>
  <c r="X108" i="1"/>
  <c r="Q87" i="1"/>
  <c r="I68" i="1"/>
  <c r="F86" i="1"/>
  <c r="AD96" i="1"/>
  <c r="M107" i="1"/>
  <c r="N99" i="1"/>
  <c r="S99" i="1"/>
  <c r="S103" i="1"/>
  <c r="H99" i="1"/>
  <c r="L104" i="1"/>
  <c r="J87" i="1"/>
  <c r="S102" i="1"/>
  <c r="W69" i="1"/>
  <c r="W86" i="1"/>
  <c r="K103" i="1"/>
  <c r="W87" i="1"/>
  <c r="Y94" i="1"/>
  <c r="E64" i="1"/>
  <c r="W68" i="1"/>
  <c r="P86" i="1"/>
  <c r="O104" i="1"/>
  <c r="T70" i="1"/>
  <c r="I114" i="1"/>
  <c r="M89" i="1"/>
  <c r="F94" i="1"/>
  <c r="Y66" i="1"/>
  <c r="Y69" i="1"/>
  <c r="AC102" i="1"/>
  <c r="Z102" i="1"/>
  <c r="O89" i="1"/>
  <c r="X68" i="1"/>
  <c r="U107" i="1"/>
  <c r="Y107" i="1"/>
  <c r="Y110" i="1"/>
  <c r="Y113" i="1"/>
  <c r="O96" i="1"/>
  <c r="AD99" i="1"/>
  <c r="H107" i="1"/>
  <c r="G110" i="1"/>
  <c r="M92" i="1"/>
  <c r="V99" i="1"/>
  <c r="AC64" i="1"/>
  <c r="J96" i="1"/>
  <c r="L89" i="1"/>
  <c r="Q68" i="1"/>
  <c r="V92" i="1"/>
  <c r="AD107" i="1"/>
  <c r="U66" i="1"/>
  <c r="U68" i="1"/>
  <c r="P92" i="1"/>
  <c r="L85" i="1"/>
  <c r="V110" i="1"/>
  <c r="G111" i="1"/>
  <c r="O95" i="1"/>
  <c r="N111" i="1"/>
  <c r="R99" i="1"/>
  <c r="O86" i="1"/>
  <c r="H92" i="1"/>
  <c r="T92" i="1"/>
  <c r="T94" i="1"/>
  <c r="P102" i="1"/>
  <c r="T95" i="1"/>
  <c r="R103" i="1"/>
  <c r="P68" i="1"/>
  <c r="U69" i="1"/>
  <c r="T89" i="1"/>
  <c r="U86" i="1"/>
  <c r="Q111" i="1"/>
  <c r="I107" i="1"/>
  <c r="I110" i="1"/>
  <c r="I113" i="1"/>
  <c r="AB99" i="1"/>
  <c r="AB102" i="1"/>
  <c r="J95" i="1"/>
  <c r="V103" i="1"/>
  <c r="W108" i="1"/>
  <c r="J94" i="1"/>
  <c r="O103" i="1"/>
  <c r="X86" i="1"/>
  <c r="R96" i="1"/>
  <c r="K94" i="1"/>
  <c r="AE68" i="1"/>
  <c r="E89" i="1"/>
  <c r="X85" i="1"/>
  <c r="E63" i="1"/>
  <c r="E65" i="1"/>
  <c r="E92" i="1"/>
  <c r="E96" i="1"/>
  <c r="F107" i="1"/>
  <c r="F110" i="1"/>
  <c r="Q107" i="1"/>
  <c r="Q110" i="1"/>
  <c r="J107" i="1"/>
  <c r="J110" i="1"/>
  <c r="J113" i="1"/>
  <c r="AC66" i="1"/>
  <c r="AC69" i="1"/>
  <c r="AC85" i="1"/>
  <c r="G92" i="1"/>
  <c r="S108" i="1"/>
  <c r="S111" i="1"/>
  <c r="R107" i="1"/>
  <c r="R110" i="1"/>
  <c r="R113" i="1"/>
  <c r="AB108" i="1"/>
  <c r="AB111" i="1"/>
  <c r="L108" i="1"/>
  <c r="L111" i="1"/>
  <c r="L114" i="1"/>
  <c r="R95" i="1"/>
  <c r="Q85" i="1"/>
  <c r="P87" i="1"/>
  <c r="Z108" i="1"/>
  <c r="Z111" i="1"/>
  <c r="Z114" i="1"/>
  <c r="M85" i="1"/>
  <c r="X99" i="1"/>
  <c r="K107" i="1"/>
  <c r="AB69" i="1"/>
  <c r="I69" i="1"/>
  <c r="G94" i="1"/>
  <c r="AB86" i="1"/>
  <c r="Q114" i="1"/>
  <c r="F103" i="1"/>
  <c r="R69" i="1"/>
  <c r="AB104" i="1"/>
  <c r="N85" i="1"/>
  <c r="W104" i="1"/>
  <c r="F68" i="1"/>
  <c r="Y96" i="1"/>
  <c r="Q113" i="1"/>
  <c r="M96" i="1"/>
  <c r="AD64" i="1"/>
  <c r="AB85" i="1"/>
  <c r="W111" i="1"/>
  <c r="J86" i="1"/>
  <c r="K66" i="1"/>
  <c r="K69" i="1"/>
  <c r="K85" i="1"/>
  <c r="T104" i="1"/>
  <c r="M68" i="1"/>
  <c r="AA66" i="1"/>
  <c r="AA69" i="1"/>
  <c r="AA85" i="1"/>
  <c r="AD110" i="1"/>
  <c r="I92" i="1"/>
  <c r="I95" i="1"/>
  <c r="AD95" i="1"/>
  <c r="V111" i="1"/>
  <c r="AD87" i="1"/>
  <c r="Z94" i="1"/>
  <c r="S66" i="1"/>
  <c r="AE104" i="1"/>
  <c r="Q92" i="1"/>
  <c r="Z113" i="1"/>
  <c r="X89" i="1"/>
  <c r="H111" i="1"/>
  <c r="Q89" i="1"/>
  <c r="AA108" i="1"/>
  <c r="K110" i="1"/>
  <c r="AC89" i="1"/>
  <c r="Y68" i="1"/>
  <c r="U110" i="1"/>
  <c r="U113" i="1"/>
  <c r="T103" i="1"/>
  <c r="Y85" i="1"/>
  <c r="Y70" i="1"/>
  <c r="J70" i="1"/>
  <c r="W114" i="1"/>
  <c r="L94" i="1"/>
  <c r="AD103" i="1"/>
  <c r="Z104" i="1"/>
  <c r="K113" i="1"/>
  <c r="R102" i="1"/>
  <c r="X111" i="1"/>
  <c r="X114" i="1"/>
  <c r="Q95" i="1"/>
  <c r="F95" i="1"/>
  <c r="R104" i="1"/>
  <c r="H95" i="1"/>
  <c r="V89" i="1"/>
  <c r="AC86" i="1"/>
  <c r="R85" i="1"/>
  <c r="G85" i="1"/>
  <c r="E95" i="1"/>
  <c r="AC96" i="1"/>
  <c r="X102" i="1"/>
  <c r="AA86" i="1"/>
  <c r="AA99" i="1"/>
  <c r="AA104" i="1"/>
  <c r="AA94" i="1"/>
  <c r="AA95" i="1"/>
  <c r="E99" i="1"/>
  <c r="E104" i="1"/>
  <c r="E102" i="1"/>
  <c r="AD113" i="1"/>
  <c r="E103" i="1"/>
  <c r="Z89" i="1"/>
  <c r="H110" i="1"/>
  <c r="H113" i="1"/>
  <c r="K86" i="1"/>
  <c r="F89" i="1"/>
  <c r="V70" i="1"/>
  <c r="W70" i="1"/>
  <c r="I104" i="1"/>
  <c r="E66" i="1"/>
  <c r="E68" i="1"/>
  <c r="I102" i="1"/>
  <c r="I94" i="1"/>
  <c r="V85" i="1"/>
  <c r="AC94" i="1"/>
  <c r="K108" i="1"/>
  <c r="K111" i="1"/>
  <c r="K114" i="1"/>
  <c r="V114" i="1"/>
  <c r="G86" i="1"/>
  <c r="O114" i="1"/>
  <c r="H104" i="1"/>
  <c r="H103" i="1"/>
  <c r="N102" i="1"/>
  <c r="F96" i="1"/>
  <c r="U89" i="1"/>
  <c r="N103" i="1"/>
  <c r="E107" i="1"/>
  <c r="E110" i="1"/>
  <c r="E113" i="1"/>
  <c r="AC95" i="1"/>
  <c r="W85" i="1"/>
  <c r="H114" i="1"/>
  <c r="P107" i="1"/>
  <c r="P110" i="1"/>
  <c r="P113" i="1"/>
  <c r="T108" i="1"/>
  <c r="T111" i="1"/>
  <c r="T114" i="1"/>
  <c r="I103" i="1"/>
  <c r="AC110" i="1"/>
  <c r="Y108" i="1"/>
  <c r="F113" i="1"/>
  <c r="AC87" i="1"/>
  <c r="J103" i="1"/>
  <c r="U108" i="1"/>
  <c r="U111" i="1"/>
  <c r="U114" i="1"/>
  <c r="G102" i="1"/>
  <c r="AD111" i="1"/>
  <c r="H85" i="1"/>
  <c r="J68" i="1"/>
  <c r="E69" i="1"/>
  <c r="G104" i="1"/>
  <c r="AB92" i="1"/>
  <c r="E94" i="1"/>
  <c r="AA107" i="1"/>
  <c r="AA110" i="1"/>
  <c r="AA113" i="1"/>
  <c r="AA68" i="1"/>
  <c r="L95" i="1"/>
  <c r="S104" i="1"/>
  <c r="N89" i="1"/>
  <c r="AE111" i="1"/>
  <c r="AE114" i="1"/>
  <c r="U104" i="1"/>
  <c r="R86" i="1"/>
  <c r="E108" i="1"/>
  <c r="E111" i="1"/>
  <c r="E114" i="1"/>
  <c r="Y111" i="1"/>
  <c r="Y114" i="1"/>
  <c r="K70" i="1"/>
  <c r="D89" i="1"/>
  <c r="U87" i="1"/>
  <c r="G87" i="1"/>
  <c r="X103" i="1"/>
  <c r="G70" i="1"/>
  <c r="H87" i="1"/>
  <c r="I96" i="1"/>
  <c r="AD104" i="1"/>
  <c r="AC113" i="1"/>
  <c r="U70" i="1"/>
  <c r="N104" i="1"/>
  <c r="S68" i="1"/>
  <c r="AA103" i="1"/>
  <c r="I70" i="1"/>
  <c r="H102" i="1"/>
  <c r="Y104" i="1"/>
  <c r="AB94" i="1"/>
  <c r="E87" i="1"/>
  <c r="AD114" i="1"/>
  <c r="AB96" i="1"/>
  <c r="E70" i="1"/>
  <c r="E86" i="1"/>
  <c r="E85" i="1"/>
  <c r="AB95" i="1"/>
  <c r="M94" i="1"/>
  <c r="S113" i="1"/>
  <c r="AE110" i="1"/>
  <c r="AE113" i="1"/>
  <c r="X94" i="1"/>
  <c r="H86" i="1"/>
  <c r="R70" i="1"/>
  <c r="T86" i="1"/>
  <c r="J108" i="1"/>
  <c r="J89" i="1"/>
  <c r="L86" i="1"/>
  <c r="U92" i="1"/>
  <c r="AA102" i="1"/>
  <c r="N86" i="1"/>
  <c r="M104" i="1"/>
  <c r="S92" i="1"/>
  <c r="Y103" i="1"/>
  <c r="T96" i="1"/>
  <c r="AC111" i="1"/>
  <c r="M114" i="1"/>
  <c r="W95" i="1"/>
  <c r="O85" i="1"/>
  <c r="AD68" i="1"/>
  <c r="S69" i="1"/>
  <c r="M110" i="1"/>
  <c r="M113" i="1"/>
  <c r="O94" i="1"/>
  <c r="Q102" i="1"/>
  <c r="T85" i="1"/>
  <c r="N95" i="1"/>
  <c r="AB70" i="1"/>
  <c r="AA111" i="1"/>
  <c r="P96" i="1"/>
  <c r="G113" i="1"/>
  <c r="H94" i="1"/>
  <c r="H96" i="1"/>
  <c r="N107" i="1"/>
  <c r="N110" i="1"/>
  <c r="AC68" i="1"/>
  <c r="AD102" i="1"/>
  <c r="V96" i="1"/>
  <c r="U85" i="1"/>
  <c r="V87" i="1"/>
  <c r="P70" i="1"/>
  <c r="Y102" i="1"/>
  <c r="G103" i="1"/>
  <c r="T107" i="1"/>
  <c r="T110" i="1"/>
  <c r="M70" i="1"/>
  <c r="W113" i="1"/>
  <c r="H68" i="1"/>
  <c r="H70" i="1"/>
  <c r="I85" i="1"/>
  <c r="AA89" i="1"/>
  <c r="G95" i="1"/>
  <c r="I87" i="1"/>
  <c r="I86" i="1"/>
  <c r="F85" i="1"/>
  <c r="K87" i="1"/>
  <c r="AC70" i="1"/>
  <c r="H89" i="1"/>
  <c r="N68" i="1"/>
  <c r="L102" i="1"/>
  <c r="G114" i="1"/>
  <c r="K68" i="1"/>
  <c r="S94" i="1"/>
  <c r="Z103" i="1"/>
  <c r="P95" i="1"/>
  <c r="L103" i="1"/>
  <c r="Y87" i="1"/>
  <c r="P94" i="1"/>
  <c r="T102" i="1"/>
  <c r="U94" i="1"/>
  <c r="G96" i="1"/>
  <c r="T68" i="1"/>
  <c r="V102" i="1"/>
  <c r="V104" i="1"/>
  <c r="L96" i="1"/>
  <c r="Q94" i="1"/>
  <c r="R89" i="1"/>
  <c r="AC114" i="1"/>
  <c r="AB87" i="1"/>
  <c r="M95" i="1"/>
  <c r="AE64" i="1"/>
  <c r="AB103" i="1"/>
  <c r="X104" i="1"/>
  <c r="J111" i="1"/>
  <c r="J114" i="1"/>
  <c r="V95" i="1"/>
  <c r="V94" i="1"/>
  <c r="N114" i="1"/>
  <c r="V113" i="1"/>
  <c r="AB114" i="1"/>
  <c r="Q96" i="1"/>
  <c r="AB89" i="1"/>
  <c r="R87" i="1"/>
  <c r="AA70" i="1"/>
  <c r="AA87" i="1"/>
  <c r="S114" i="1"/>
  <c r="Y86" i="1"/>
  <c r="S70" i="1"/>
  <c r="N113" i="1"/>
  <c r="S87" i="1"/>
  <c r="T113" i="1"/>
  <c r="S95" i="1"/>
  <c r="S96" i="1"/>
  <c r="U95" i="1"/>
  <c r="U96" i="1"/>
  <c r="S86" i="1"/>
  <c r="S85" i="1"/>
  <c r="AA1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<sst xmlns="http://schemas.openxmlformats.org/spreadsheetml/2006/main" count="662" uniqueCount="523">
  <si>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</si>
  <si>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</si>
  <si>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</si>
  <si>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</si>
  <si>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</si>
  <si>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</si>
  <si>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</si>
  <si>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</si>
  <si>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</si>
  <si>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</si>
  <si>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</si>
  <si>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</si>
  <si>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</si>
  <si>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</si>
  <si>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</si>
  <si>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</si>
  <si>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</si>
  <si>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</si>
  <si>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</si>
  <si>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</si>
  <si>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</si>
  <si>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</si>
  <si>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</si>
  <si>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</si>
  <si>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</si>
  <si>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</si>
  <si>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</si>
  <si>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</si>
  <si>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</si>
  <si>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</si>
  <si>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</si>
  <si>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</si>
  <si>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</si>
  <si>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</si>
  <si>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</si>
  <si>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</si>
  <si>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</si>
  <si>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</si>
  <si>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</si>
  <si>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</si>
  <si>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</si>
  <si>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</si>
  <si>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</si>
  <si>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</si>
  <si>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</si>
  <si>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</si>
  <si>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</si>
  <si>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</si>
  <si>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</si>
  <si>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</si>
  <si>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</si>
  <si>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</si>
  <si>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</si>
  <si>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</si>
  <si>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</si>
  <si>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</si>
  <si>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</si>
  <si>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</si>
  <si>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</si>
  <si>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</si>
  <si>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</si>
  <si>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</si>
  <si>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</si>
  <si>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</si>
  <si>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</si>
  <si>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</si>
  <si>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</si>
  <si>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</si>
  <si>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</si>
  <si>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</si>
  <si>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</si>
  <si>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</si>
  <si>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</si>
  <si>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</si>
  <si>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</si>
  <si>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</si>
  <si>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</si>
  <si>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</si>
  <si>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</si>
  <si>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</si>
  <si>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</si>
  <si>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</si>
  <si>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</si>
  <si>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</si>
  <si>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</si>
  <si>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</si>
  <si>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</si>
  <si>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</si>
  <si>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</si>
  <si>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</si>
  <si>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</si>
  <si>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</si>
  <si>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</si>
  <si>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</si>
  <si>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</si>
  <si>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</si>
  <si>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</si>
  <si>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</si>
  <si>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</si>
  <si>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</si>
  <si>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</si>
  <si>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</si>
  <si>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</si>
  <si>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</si>
  <si>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</si>
  <si>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</si>
  <si>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</si>
  <si>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</si>
  <si>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</si>
  <si>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</si>
  <si>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</si>
  <si>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</si>
  <si>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</si>
  <si>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</si>
  <si>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</si>
  <si>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</si>
  <si>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</si>
  <si>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</si>
  <si>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</si>
  <si>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</si>
  <si>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</si>
  <si>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</si>
  <si>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</si>
  <si>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</si>
  <si>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</si>
  <si>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</si>
  <si>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</si>
  <si>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</si>
  <si>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</si>
  <si>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</si>
  <si>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</si>
  <si>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</si>
  <si>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</si>
  <si>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</si>
  <si>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</si>
  <si>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</si>
  <si>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</si>
  <si>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</si>
  <si>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</si>
  <si>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</si>
  <si>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</si>
  <si>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</si>
  <si>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</si>
  <si>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</si>
  <si>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</si>
  <si>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</si>
  <si>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</si>
  <si>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</si>
  <si>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</si>
  <si>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</si>
  <si>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</si>
  <si>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</si>
  <si>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</si>
  <si>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</si>
  <si>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</si>
  <si>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</si>
  <si>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</si>
  <si>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</si>
  <si>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</si>
  <si>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</si>
  <si>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</si>
  <si>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</si>
  <si>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</si>
  <si>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</si>
  <si>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</si>
  <si>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</si>
  <si>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</si>
  <si>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</si>
  <si>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</si>
  <si>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</si>
  <si>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</si>
  <si>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</si>
  <si>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</si>
  <si>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</si>
  <si>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</si>
  <si>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</si>
  <si>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</si>
  <si>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</si>
  <si>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</si>
  <si>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</si>
  <si>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</si>
  <si>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</si>
  <si>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</si>
  <si>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</si>
  <si>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</si>
  <si>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</si>
  <si>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</si>
  <si>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</si>
  <si>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</si>
  <si>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</si>
  <si>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</si>
  <si>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</si>
  <si>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</si>
  <si>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</si>
  <si>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</si>
  <si>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</si>
  <si>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</si>
  <si>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</si>
  <si>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</si>
  <si>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</si>
  <si>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</si>
  <si>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</si>
  <si>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</si>
  <si>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</si>
  <si>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</si>
  <si>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</si>
  <si>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</si>
  <si>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</si>
  <si>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</si>
  <si>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</si>
  <si>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</si>
  <si>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</si>
  <si>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</si>
  <si>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</si>
  <si>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</si>
  <si>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</si>
  <si>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</si>
  <si>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</si>
  <si>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</si>
  <si>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</si>
  <si>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</si>
  <si>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</si>
  <si>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</si>
  <si>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</si>
  <si>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</si>
  <si>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</si>
  <si>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</si>
  <si>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</si>
  <si>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</si>
  <si>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</si>
  <si>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</si>
  <si>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</si>
  <si>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</si>
  <si>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</si>
  <si>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</si>
  <si>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</si>
  <si>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</si>
  <si>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</si>
  <si>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</si>
  <si>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</si>
  <si>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</si>
  <si>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</si>
  <si>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</si>
  <si>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</si>
  <si>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</si>
  <si>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</si>
  <si>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</si>
  <si>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</si>
  <si>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</si>
  <si>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</si>
  <si>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</si>
  <si>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</si>
  <si>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</si>
  <si>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</si>
  <si>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</si>
  <si>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</si>
  <si>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</si>
  <si>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</si>
  <si>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</si>
  <si>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</si>
  <si>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</si>
  <si>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</si>
  <si>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</si>
  <si>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</si>
  <si>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</si>
  <si>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</si>
  <si>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</si>
  <si>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</si>
  <si>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</si>
  <si>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</si>
  <si>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</si>
  <si>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</si>
  <si>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</si>
  <si>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</si>
  <si>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</si>
  <si>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</si>
  <si>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</si>
  <si>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</si>
  <si>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</si>
  <si>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</si>
  <si>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</si>
  <si>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</si>
  <si>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</si>
  <si>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</si>
  <si>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</si>
  <si>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</si>
  <si>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</si>
  <si>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</si>
  <si>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</si>
  <si>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</si>
  <si>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</si>
  <si>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</si>
  <si>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</si>
  <si>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</si>
  <si>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</si>
  <si>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</si>
  <si>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</si>
  <si>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</si>
  <si>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</si>
  <si>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</si>
  <si>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</si>
  <si>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</si>
  <si>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</si>
  <si>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</si>
  <si>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</si>
  <si>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</si>
  <si>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</si>
  <si>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</si>
  <si>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</si>
  <si>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</si>
  <si>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</si>
  <si>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</si>
  <si>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</si>
  <si>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</si>
  <si>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</si>
  <si>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</si>
  <si>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</si>
  <si>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</si>
  <si>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</si>
  <si>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</si>
  <si>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</si>
  <si>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</si>
  <si>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</si>
  <si>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</si>
  <si>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</si>
  <si>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</si>
  <si>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</si>
  <si>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</si>
  <si>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</si>
  <si>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</si>
  <si>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</si>
  <si>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</si>
  <si>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</si>
  <si>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</si>
  <si>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</si>
  <si>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</si>
  <si>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</si>
  <si>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</si>
  <si>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</si>
  <si>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</si>
  <si>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</si>
  <si>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</si>
  <si>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</si>
  <si>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</si>
  <si>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</si>
  <si>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</si>
  <si>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</si>
  <si>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</si>
  <si>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</si>
  <si>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</si>
  <si>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</si>
  <si>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</si>
  <si>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</si>
  <si>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</si>
  <si>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</si>
  <si>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</si>
  <si>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</si>
  <si>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</si>
  <si>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</si>
  <si>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</si>
  <si>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</si>
  <si>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</si>
  <si>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</si>
  <si>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</si>
  <si>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</si>
  <si>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</si>
  <si>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</si>
  <si>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</si>
  <si>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</si>
  <si>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</si>
  <si>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</si>
  <si>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</si>
  <si>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</si>
  <si>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</si>
  <si>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</si>
  <si>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</si>
  <si>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</si>
  <si>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</si>
  <si>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</si>
  <si>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</si>
  <si>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</si>
  <si>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</si>
  <si>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</si>
  <si>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</si>
  <si>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</si>
  <si>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</si>
  <si>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</si>
  <si>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</si>
  <si>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</si>
  <si>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</si>
  <si>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</si>
  <si>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</si>
  <si>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</si>
  <si>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</si>
  <si>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</si>
  <si>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</si>
  <si>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</si>
  <si>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</si>
  <si>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</si>
  <si>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</si>
  <si>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</si>
  <si>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</si>
  <si>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</si>
  <si>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</si>
  <si>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</si>
  <si>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</si>
  <si>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</si>
  <si>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</si>
  <si>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</si>
  <si>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</si>
  <si>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</si>
  <si>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</si>
  <si>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</si>
  <si>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</si>
  <si>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</si>
  <si>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</si>
  <si>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</si>
  <si>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</si>
  <si>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</si>
  <si>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</si>
  <si>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</si>
  <si>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</si>
  <si>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</si>
  <si>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</si>
  <si>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</si>
  <si>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</si>
  <si>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</si>
  <si>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</si>
  <si>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</si>
  <si>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</si>
  <si>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</si>
  <si>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</si>
  <si>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</si>
  <si>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</si>
  <si>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</si>
  <si>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</si>
  <si>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</si>
  <si>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</si>
  <si>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</si>
  <si>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</si>
  <si>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</si>
  <si>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</si>
  <si>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</si>
  <si>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</si>
  <si>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</si>
  <si>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</si>
  <si>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</si>
  <si>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</si>
  <si>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</si>
  <si>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</si>
  <si>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</si>
  <si>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</si>
  <si>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</si>
  <si>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</si>
  <si>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</si>
  <si>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</si>
  <si>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</si>
  <si>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</si>
  <si>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</si>
  <si>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</si>
  <si>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</si>
  <si>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</si>
  <si>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</si>
  <si>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</si>
  <si>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</si>
  <si>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</si>
  <si>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</si>
  <si>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</si>
  <si>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</si>
  <si>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</si>
  <si>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</si>
  <si>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</si>
  <si>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</si>
  <si>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</si>
  <si>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</si>
  <si>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</si>
  <si>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</si>
  <si>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</si>
  <si>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</si>
  <si>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</si>
  <si>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</si>
  <si>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</si>
  <si>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</si>
  <si>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</si>
  <si>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</si>
  <si>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</si>
  <si>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</si>
  <si>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</si>
  <si>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</si>
  <si>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</si>
  <si>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</si>
  <si>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</si>
  <si>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</si>
  <si>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</si>
  <si>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</si>
  <si>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</si>
  <si>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</si>
  <si>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</si>
  <si>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</si>
  <si>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</si>
  <si>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</si>
  <si>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</si>
  <si>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</si>
  <si>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</si>
  <si>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</si>
  <si>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</si>
  <si>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</si>
  <si>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</si>
  <si>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</si>
  <si>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</si>
  <si>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</si>
  <si>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</si>
  <si>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</si>
  <si>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</si>
  <si>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</si>
  <si>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L&amp;T Technology Services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</si>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</sst>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L&amp;T Technology Services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6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6"/>
      <c r="CL5" s="156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4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0</v>
      </c>
      <c r="J8" s="25">
        <f>'Annual Raw'!K6</f>
        <v>0</v>
      </c>
      <c r="K8" s="25">
        <f>'Annual Raw'!L6</f>
        <v>0</v>
      </c>
      <c r="L8" s="25">
        <f>'Annual Raw'!M6</f>
        <v>0</v>
      </c>
      <c r="M8" s="25">
        <f>'Annual Raw'!N6</f>
        <v>0</v>
      </c>
      <c r="N8" s="25">
        <f>'Annual Raw'!O6</f>
        <v>0</v>
      </c>
      <c r="O8" s="25">
        <f>'Annual Raw'!P6</f>
        <v>126.17</v>
      </c>
      <c r="P8" s="25">
        <f>'Annual Raw'!Q6</f>
        <v>2618.627</v>
      </c>
      <c r="Q8" s="25">
        <f>'Annual Raw'!R6</f>
        <v>3066.2</v>
      </c>
      <c r="R8" s="25">
        <f>'Annual Raw'!S6</f>
        <v>3248.3</v>
      </c>
      <c r="S8" s="25">
        <f>'Annual Raw'!T6</f>
        <v>3747.1</v>
      </c>
      <c r="T8" s="25">
        <f>'Annual Raw'!U6</f>
        <v>5078.3</v>
      </c>
      <c r="U8" s="25">
        <f>'Annual Raw'!V6</f>
        <v>5619.1</v>
      </c>
      <c r="V8" s="25">
        <f>'Annual Raw'!W6</f>
        <v>5449.7</v>
      </c>
      <c r="W8" s="25">
        <f>'Annual Raw'!X6</f>
        <v>6569.7</v>
      </c>
      <c r="X8" s="25">
        <f>'Annual Raw'!Y6</f>
        <v>8815.5</v>
      </c>
      <c r="Y8" s="25">
        <f>'Annual Raw'!Z6</f>
        <v>9647.2999999999993</v>
      </c>
      <c r="Z8" s="25">
        <f>'Annual Raw'!AA6</f>
        <v>9642.2000000000007</v>
      </c>
      <c r="AA8" s="25">
        <f>'Annual Raw'!AB6</f>
        <v>10995.9</v>
      </c>
      <c r="AB8" s="17">
        <f>+SUM(CM8:CP8)</f>
        <v>12631.364443930825</v>
      </c>
      <c r="AC8" s="17">
        <f>+SUM(CQ8:CT8)</f>
        <v>13657.870552299477</v>
      </c>
      <c r="AD8" s="17">
        <f>+SUM(CU8:CX8)</f>
        <v>14753.211878892746</v>
      </c>
      <c r="AE8" s="17">
        <f>+SUM(CY8:DB8)</f>
        <v>15933.681118417095</v>
      </c>
      <c r="AI8" s="25">
        <f>'QTR Raw'!C6+'QTR Raw'!C8</f>
        <v>0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0</v>
      </c>
      <c r="AT8" s="25">
        <f>'QTR Raw'!N6+'QTR Raw'!N8</f>
        <v>0</v>
      </c>
      <c r="AU8" s="25">
        <f>'QTR Raw'!O6+'QTR Raw'!O8</f>
        <v>0</v>
      </c>
      <c r="AV8" s="25">
        <f>'QTR Raw'!P6+'QTR Raw'!P8</f>
        <v>771.6</v>
      </c>
      <c r="AW8" s="25">
        <f>'QTR Raw'!Q6+'QTR Raw'!Q8</f>
        <v>780.2</v>
      </c>
      <c r="AX8" s="25">
        <f>'QTR Raw'!R6+'QTR Raw'!R8</f>
        <v>801.4</v>
      </c>
      <c r="AY8" s="25">
        <f>'QTR Raw'!S6+'QTR Raw'!S8</f>
        <v>802.9</v>
      </c>
      <c r="AZ8" s="25">
        <f>'QTR Raw'!T6+'QTR Raw'!T8</f>
        <v>822.7</v>
      </c>
      <c r="BA8" s="25">
        <f>'QTR Raw'!U6+'QTR Raw'!U8</f>
        <v>810.4</v>
      </c>
      <c r="BB8" s="25">
        <f>'QTR Raw'!V6+'QTR Raw'!V8</f>
        <v>812.3</v>
      </c>
      <c r="BC8" s="25">
        <f>'QTR Raw'!W6+'QTR Raw'!W8</f>
        <v>822.6</v>
      </c>
      <c r="BD8" s="25">
        <f>'QTR Raw'!X6+'QTR Raw'!X8</f>
        <v>900.6</v>
      </c>
      <c r="BE8" s="25">
        <f>'QTR Raw'!Y6+'QTR Raw'!Y8</f>
        <v>969.1</v>
      </c>
      <c r="BF8" s="25">
        <f>'QTR Raw'!Z6+'QTR Raw'!Z8</f>
        <v>1054.8</v>
      </c>
      <c r="BG8" s="25">
        <f>'QTR Raw'!AA6+'QTR Raw'!AA8</f>
        <v>1152.2</v>
      </c>
      <c r="BH8" s="25">
        <f>'QTR Raw'!AB6+'QTR Raw'!AB8</f>
        <v>1266.0999999999999</v>
      </c>
      <c r="BI8" s="25">
        <f>'QTR Raw'!AC6+'QTR Raw'!AC8</f>
        <v>1316.9</v>
      </c>
      <c r="BJ8" s="25">
        <f>'QTR Raw'!AD6+'QTR Raw'!AD8</f>
        <v>1343.1</v>
      </c>
      <c r="BK8" s="25">
        <f>'QTR Raw'!AE6+'QTR Raw'!AE8</f>
        <v>1347.5</v>
      </c>
      <c r="BL8" s="25">
        <f>'QTR Raw'!AF6+'QTR Raw'!AF8</f>
        <v>1402.1</v>
      </c>
      <c r="BM8" s="25">
        <f>'QTR Raw'!AG6+'QTR Raw'!AG8</f>
        <v>1422.9</v>
      </c>
      <c r="BN8" s="25">
        <f>'QTR Raw'!AH6+'QTR Raw'!AH8</f>
        <v>1446.6</v>
      </c>
      <c r="BO8" s="25">
        <f>'QTR Raw'!AI6+'QTR Raw'!AI8</f>
        <v>1294.7</v>
      </c>
      <c r="BP8" s="25">
        <f>'QTR Raw'!AJ6+'QTR Raw'!AJ8</f>
        <v>1313.8</v>
      </c>
      <c r="BQ8" s="25">
        <f>'QTR Raw'!AK6+'QTR Raw'!AK8</f>
        <v>1400.7</v>
      </c>
      <c r="BR8" s="25">
        <f>'QTR Raw'!AL6+'QTR Raw'!AL8</f>
        <v>1440.5</v>
      </c>
      <c r="BS8" s="25">
        <f>'QTR Raw'!AM6+'QTR Raw'!AM8</f>
        <v>1518.4</v>
      </c>
      <c r="BT8" s="25">
        <f>'QTR Raw'!AN6+'QTR Raw'!AN8</f>
        <v>1607.7</v>
      </c>
      <c r="BU8" s="25">
        <f>'QTR Raw'!AO6+'QTR Raw'!AO8</f>
        <v>1687.5</v>
      </c>
      <c r="BV8" s="25">
        <f>'QTR Raw'!AP6+'QTR Raw'!AP8</f>
        <v>1756.1</v>
      </c>
      <c r="BW8" s="25">
        <f>'QTR Raw'!AQ6+'QTR Raw'!AQ8</f>
        <v>2006.2</v>
      </c>
      <c r="BX8" s="25">
        <f>'QTR Raw'!AR6+'QTR Raw'!AR8</f>
        <v>2281.6999999999998</v>
      </c>
      <c r="BY8" s="25">
        <f>'QTR Raw'!AS6+'QTR Raw'!AS8</f>
        <v>2157</v>
      </c>
      <c r="BZ8" s="25">
        <f>'QTR Raw'!AT6+'QTR Raw'!AT8</f>
        <v>2370.6</v>
      </c>
      <c r="CA8" s="25">
        <f>'QTR Raw'!AU6+'QTR Raw'!AU8</f>
        <v>2301.4</v>
      </c>
      <c r="CB8" s="25">
        <f>'QTR Raw'!AV6+'QTR Raw'!AV8</f>
        <v>2386.5</v>
      </c>
      <c r="CC8" s="25">
        <f>'QTR Raw'!AW6+'QTR Raw'!AW8</f>
        <v>2421.8000000000002</v>
      </c>
      <c r="CD8" s="25">
        <f>'QTR Raw'!AX6+'QTR Raw'!AX8</f>
        <v>2537.5</v>
      </c>
      <c r="CE8" s="25">
        <f>'QTR Raw'!AY6+'QTR Raw'!AY8</f>
        <v>2461.9</v>
      </c>
      <c r="CF8" s="25">
        <f>'QTR Raw'!AZ6+'QTR Raw'!AZ8</f>
        <v>2572.9</v>
      </c>
      <c r="CG8" s="25">
        <f>'QTR Raw'!BA6+'QTR Raw'!BA8</f>
        <v>2653</v>
      </c>
      <c r="CH8" s="25">
        <f>'QTR Raw'!BB6+'QTR Raw'!BB8</f>
        <v>2637.8</v>
      </c>
      <c r="CI8" s="25">
        <f>'QTR Raw'!BC6+'QTR Raw'!BC8</f>
        <v>2866</v>
      </c>
      <c r="CJ8" s="25">
        <f>'QTR Raw'!BD6+'QTR Raw'!BD8</f>
        <v>2979.5</v>
      </c>
      <c r="CK8" s="25">
        <f>'QTR Raw'!BE6+'QTR Raw'!BE8</f>
        <v>2923.5</v>
      </c>
      <c r="CL8" s="25">
        <f>'QTR Raw'!BF6+'QTR Raw'!BF8</f>
        <v>2857.9</v>
      </c>
      <c r="CM8" s="17">
        <f t="shared" ref="CM8:DB8" si="33">+CI10+(CM11*CI10)</f>
        <v>3172.3568433244541</v>
      </c>
      <c r="CN8" s="17">
        <f t="shared" si="33"/>
        <v>3255.3466607854439</v>
      </c>
      <c r="CO8" s="17">
        <f t="shared" si="33"/>
        <v>3146.3261324169148</v>
      </c>
      <c r="CP8" s="17">
        <f t="shared" si="33"/>
        <v>3057.3348074040118</v>
      </c>
      <c r="CQ8" s="17">
        <f t="shared" si="33"/>
        <v>3446.3514825463599</v>
      </c>
      <c r="CR8" s="17">
        <f t="shared" si="33"/>
        <v>3519.8058183134758</v>
      </c>
      <c r="CS8" s="17">
        <f t="shared" si="33"/>
        <v>3393.0063428392414</v>
      </c>
      <c r="CT8" s="17">
        <f t="shared" si="33"/>
        <v>3298.7069086003999</v>
      </c>
      <c r="CU8" s="17">
        <f t="shared" si="33"/>
        <v>3726.3321985316484</v>
      </c>
      <c r="CV8" s="17">
        <f t="shared" si="33"/>
        <v>3801.2400757603755</v>
      </c>
      <c r="CW8" s="17">
        <f t="shared" si="33"/>
        <v>3663.2153785775172</v>
      </c>
      <c r="CX8" s="17">
        <f t="shared" si="33"/>
        <v>3562.4242260232045</v>
      </c>
      <c r="CY8" s="17">
        <f t="shared" si="33"/>
        <v>4025.16521439388</v>
      </c>
      <c r="CZ8" s="17">
        <f t="shared" si="33"/>
        <v>4105.087443501533</v>
      </c>
      <c r="DA8" s="17">
        <f t="shared" si="33"/>
        <v>3956.0083234225608</v>
      </c>
      <c r="DB8" s="17">
        <f t="shared" si="33"/>
        <v>3847.4201370991204</v>
      </c>
      <c r="DE8" s="119"/>
      <c r="DF8" s="25">
        <v>10995.9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0</v>
      </c>
      <c r="J10" s="26">
        <f t="shared" si="34"/>
        <v>0</v>
      </c>
      <c r="K10" s="26">
        <f t="shared" si="34"/>
        <v>0</v>
      </c>
      <c r="L10" s="26">
        <f t="shared" si="34"/>
        <v>0</v>
      </c>
      <c r="M10" s="26">
        <f t="shared" si="34"/>
        <v>0</v>
      </c>
      <c r="N10" s="26">
        <f t="shared" si="34"/>
        <v>0</v>
      </c>
      <c r="O10" s="26">
        <f t="shared" si="34"/>
        <v>126.17</v>
      </c>
      <c r="P10" s="26">
        <f t="shared" si="34"/>
        <v>2618.627</v>
      </c>
      <c r="Q10" s="26">
        <f t="shared" si="34"/>
        <v>3066.2</v>
      </c>
      <c r="R10" s="26">
        <f t="shared" si="34"/>
        <v>3248.3</v>
      </c>
      <c r="S10" s="26">
        <f t="shared" si="34"/>
        <v>3747.1</v>
      </c>
      <c r="T10" s="26">
        <f t="shared" si="34"/>
        <v>5078.3</v>
      </c>
      <c r="U10" s="26">
        <f t="shared" si="34"/>
        <v>5619.1</v>
      </c>
      <c r="V10" s="26">
        <f t="shared" ref="V10:AA10" si="35">+V8-V9</f>
        <v>5449.7</v>
      </c>
      <c r="W10" s="26">
        <f t="shared" si="35"/>
        <v>6569.7</v>
      </c>
      <c r="X10" s="26">
        <f t="shared" si="35"/>
        <v>8815.5</v>
      </c>
      <c r="Y10" s="26">
        <f t="shared" si="35"/>
        <v>9647.2999999999993</v>
      </c>
      <c r="Z10" s="26">
        <f t="shared" si="35"/>
        <v>9642.2000000000007</v>
      </c>
      <c r="AA10" s="26">
        <f t="shared" ref="AA10" si="36">+AA8-AA9</f>
        <v>10995.9</v>
      </c>
      <c r="AB10" s="27">
        <f t="shared" ref="AB10:AD10" si="37">+AB8-AB9</f>
        <v>12631.364443930825</v>
      </c>
      <c r="AC10" s="27">
        <f t="shared" si="37"/>
        <v>13657.870552299477</v>
      </c>
      <c r="AD10" s="27">
        <f t="shared" si="37"/>
        <v>14753.211878892746</v>
      </c>
      <c r="AE10" s="27">
        <f t="shared" ref="AE10" si="38">+AE8-AE9</f>
        <v>15933.681118417095</v>
      </c>
      <c r="AI10" s="26">
        <f t="shared" ref="AI10" si="39">+AI8-AI9</f>
        <v>0</v>
      </c>
      <c r="AJ10" s="26">
        <f t="shared" ref="AJ10" si="40">+AJ8-AJ9</f>
        <v>0</v>
      </c>
      <c r="AK10" s="26">
        <f t="shared" ref="AK10:AM10" si="41">+AK8-AK9</f>
        <v>0</v>
      </c>
      <c r="AL10" s="26">
        <f t="shared" si="41"/>
        <v>0</v>
      </c>
      <c r="AM10" s="26">
        <f t="shared" si="41"/>
        <v>0</v>
      </c>
      <c r="AN10" s="26">
        <f t="shared" ref="AN10:AO10" si="42">+AN8-AN9</f>
        <v>0</v>
      </c>
      <c r="AO10" s="26">
        <f t="shared" si="42"/>
        <v>0</v>
      </c>
      <c r="AP10" s="26">
        <f t="shared" ref="AP10:AW10" si="43">+AP8-AP9</f>
        <v>0</v>
      </c>
      <c r="AQ10" s="26">
        <f t="shared" si="43"/>
        <v>0</v>
      </c>
      <c r="AR10" s="26">
        <f t="shared" si="43"/>
        <v>0</v>
      </c>
      <c r="AS10" s="26">
        <f t="shared" si="43"/>
        <v>0</v>
      </c>
      <c r="AT10" s="26">
        <f t="shared" si="43"/>
        <v>0</v>
      </c>
      <c r="AU10" s="26">
        <f t="shared" si="43"/>
        <v>0</v>
      </c>
      <c r="AV10" s="26">
        <f t="shared" si="43"/>
        <v>771.6</v>
      </c>
      <c r="AW10" s="26">
        <f t="shared" si="43"/>
        <v>780.2</v>
      </c>
      <c r="AX10" s="26">
        <f t="shared" ref="AX10:CF10" si="44">+AX8-AX9</f>
        <v>801.4</v>
      </c>
      <c r="AY10" s="26">
        <f t="shared" si="44"/>
        <v>802.9</v>
      </c>
      <c r="AZ10" s="26">
        <f t="shared" si="44"/>
        <v>822.7</v>
      </c>
      <c r="BA10" s="26">
        <f t="shared" si="44"/>
        <v>810.4</v>
      </c>
      <c r="BB10" s="26">
        <f t="shared" si="44"/>
        <v>812.3</v>
      </c>
      <c r="BC10" s="26">
        <f t="shared" si="44"/>
        <v>822.6</v>
      </c>
      <c r="BD10" s="26">
        <f t="shared" si="44"/>
        <v>900.6</v>
      </c>
      <c r="BE10" s="26">
        <f t="shared" si="44"/>
        <v>969.1</v>
      </c>
      <c r="BF10" s="26">
        <f t="shared" si="44"/>
        <v>1054.8</v>
      </c>
      <c r="BG10" s="26">
        <f t="shared" si="44"/>
        <v>1152.2</v>
      </c>
      <c r="BH10" s="26">
        <f t="shared" si="44"/>
        <v>1266.0999999999999</v>
      </c>
      <c r="BI10" s="26">
        <f t="shared" si="44"/>
        <v>1316.9</v>
      </c>
      <c r="BJ10" s="26">
        <f t="shared" si="44"/>
        <v>1343.1</v>
      </c>
      <c r="BK10" s="26">
        <f t="shared" si="44"/>
        <v>1347.5</v>
      </c>
      <c r="BL10" s="26">
        <f t="shared" si="44"/>
        <v>1402.1</v>
      </c>
      <c r="BM10" s="26">
        <f t="shared" si="44"/>
        <v>1422.9</v>
      </c>
      <c r="BN10" s="26">
        <f t="shared" si="44"/>
        <v>1446.6</v>
      </c>
      <c r="BO10" s="26">
        <f t="shared" si="44"/>
        <v>1294.7</v>
      </c>
      <c r="BP10" s="26">
        <f t="shared" si="44"/>
        <v>1313.8</v>
      </c>
      <c r="BQ10" s="26">
        <f t="shared" si="44"/>
        <v>1400.7</v>
      </c>
      <c r="BR10" s="26">
        <f t="shared" si="44"/>
        <v>1440.5</v>
      </c>
      <c r="BS10" s="26">
        <f t="shared" si="44"/>
        <v>1518.4</v>
      </c>
      <c r="BT10" s="26">
        <f t="shared" si="44"/>
        <v>1607.7</v>
      </c>
      <c r="BU10" s="26">
        <f t="shared" si="44"/>
        <v>1687.5</v>
      </c>
      <c r="BV10" s="26">
        <f t="shared" si="44"/>
        <v>1756.1</v>
      </c>
      <c r="BW10" s="26">
        <f t="shared" si="44"/>
        <v>2006.2</v>
      </c>
      <c r="BX10" s="26">
        <f t="shared" si="44"/>
        <v>2281.6999999999998</v>
      </c>
      <c r="BY10" s="26">
        <f t="shared" si="44"/>
        <v>2157</v>
      </c>
      <c r="BZ10" s="26">
        <f t="shared" si="44"/>
        <v>2370.6</v>
      </c>
      <c r="CA10" s="26">
        <f t="shared" si="44"/>
        <v>2301.4</v>
      </c>
      <c r="CB10" s="26">
        <f t="shared" si="44"/>
        <v>2386.5</v>
      </c>
      <c r="CC10" s="26">
        <f t="shared" si="44"/>
        <v>2421.8000000000002</v>
      </c>
      <c r="CD10" s="26">
        <f t="shared" si="44"/>
        <v>2537.5</v>
      </c>
      <c r="CE10" s="26">
        <f t="shared" si="44"/>
        <v>2461.9</v>
      </c>
      <c r="CF10" s="26">
        <f t="shared" si="44"/>
        <v>2572.9</v>
      </c>
      <c r="CG10" s="26">
        <f t="shared" ref="CG10:CH10" si="45">+CG8-CG9</f>
        <v>2653</v>
      </c>
      <c r="CH10" s="26">
        <f t="shared" si="45"/>
        <v>2637.8</v>
      </c>
      <c r="CI10" s="26">
        <f t="shared" ref="CI10:CJ10" si="46">+CI8-CI9</f>
        <v>2866</v>
      </c>
      <c r="CJ10" s="26">
        <f t="shared" si="46"/>
        <v>2979.5</v>
      </c>
      <c r="CK10" s="26">
        <f t="shared" ref="CK10:CL10" si="47">+CK8-CK9</f>
        <v>2923.5</v>
      </c>
      <c r="CL10" s="26">
        <f t="shared" si="47"/>
        <v>2857.9</v>
      </c>
      <c r="CM10" s="27">
        <f t="shared" ref="CM10:DB10" si="48">+CM8-CM9</f>
        <v>3172.3568433244541</v>
      </c>
      <c r="CN10" s="27">
        <f t="shared" si="48"/>
        <v>3255.3466607854439</v>
      </c>
      <c r="CO10" s="27">
        <f t="shared" si="48"/>
        <v>3146.3261324169148</v>
      </c>
      <c r="CP10" s="27">
        <f t="shared" si="48"/>
        <v>3057.3348074040118</v>
      </c>
      <c r="CQ10" s="27">
        <f t="shared" si="48"/>
        <v>3446.3514825463599</v>
      </c>
      <c r="CR10" s="27">
        <f t="shared" si="48"/>
        <v>3519.8058183134758</v>
      </c>
      <c r="CS10" s="27">
        <f t="shared" si="48"/>
        <v>3393.0063428392414</v>
      </c>
      <c r="CT10" s="27">
        <f t="shared" si="48"/>
        <v>3298.7069086003999</v>
      </c>
      <c r="CU10" s="27">
        <f t="shared" si="48"/>
        <v>3726.3321985316484</v>
      </c>
      <c r="CV10" s="27">
        <f t="shared" si="48"/>
        <v>3801.2400757603755</v>
      </c>
      <c r="CW10" s="27">
        <f t="shared" si="48"/>
        <v>3663.2153785775172</v>
      </c>
      <c r="CX10" s="27">
        <f t="shared" si="48"/>
        <v>3562.4242260232045</v>
      </c>
      <c r="CY10" s="27">
        <f t="shared" si="48"/>
        <v>4025.16521439388</v>
      </c>
      <c r="CZ10" s="27">
        <f t="shared" si="48"/>
        <v>4105.087443501533</v>
      </c>
      <c r="DA10" s="27">
        <f t="shared" si="48"/>
        <v>3956.0083234225608</v>
      </c>
      <c r="DB10" s="27">
        <f t="shared" si="48"/>
        <v>3847.4201370991204</v>
      </c>
      <c r="DE10" s="121"/>
      <c r="DF10" s="26">
        <v>10995.9</v>
      </c>
    </row>
    <row r="11" spans="1:110" s="39" customFormat="1" x14ac:dyDescent="0.2">
      <c r="A11" s="39" t="s">
        <v>484</v>
      </c>
      <c r="C11" s="39" t="e">
        <f t="shared" ref="C11" si="49">C10/B10-1</f>
        <v>#DIV/0!</v>
      </c>
      <c r="D11" s="39" t="e">
        <f t="shared" ref="D11" si="50">D10/C10-1</f>
        <v>#DIV/0!</v>
      </c>
      <c r="E11" s="39" t="e">
        <f t="shared" ref="E11" si="51">E10/D10-1</f>
        <v>#DIV/0!</v>
      </c>
      <c r="F11" s="39" t="e">
        <f t="shared" ref="F11:R11" si="52">F10/E10-1</f>
        <v>#DIV/0!</v>
      </c>
      <c r="G11" s="39" t="e">
        <f t="shared" si="52"/>
        <v>#DIV/0!</v>
      </c>
      <c r="H11" s="39" t="e">
        <f t="shared" si="52"/>
        <v>#DIV/0!</v>
      </c>
      <c r="I11" s="39" t="e">
        <f t="shared" si="52"/>
        <v>#DIV/0!</v>
      </c>
      <c r="J11" s="39" t="e">
        <f t="shared" si="52"/>
        <v>#DIV/0!</v>
      </c>
      <c r="K11" s="39" t="e">
        <f>K10/J10-1</f>
        <v>#DIV/0!</v>
      </c>
      <c r="L11" s="39" t="e">
        <f t="shared" si="52"/>
        <v>#DIV/0!</v>
      </c>
      <c r="M11" s="39" t="e">
        <f t="shared" si="52"/>
        <v>#DIV/0!</v>
      </c>
      <c r="N11" s="39" t="e">
        <f t="shared" si="52"/>
        <v>#DIV/0!</v>
      </c>
      <c r="O11" s="39" t="e">
        <f t="shared" si="52"/>
        <v>#DIV/0!</v>
      </c>
      <c r="P11" s="39">
        <f t="shared" si="52"/>
        <v>19.754751525719268</v>
      </c>
      <c r="Q11" s="39">
        <f t="shared" si="52"/>
        <v>0.17091895867567231</v>
      </c>
      <c r="R11" s="39">
        <f t="shared" si="52"/>
        <v>5.9389472311003999E-2</v>
      </c>
      <c r="S11" s="39">
        <f t="shared" ref="S11:AA11" si="53">S10/R10-1</f>
        <v>0.1535572453283256</v>
      </c>
      <c r="T11" s="39">
        <f t="shared" si="53"/>
        <v>0.35526140215099677</v>
      </c>
      <c r="U11" s="39">
        <f t="shared" si="53"/>
        <v>0.1064923301104701</v>
      </c>
      <c r="V11" s="39">
        <f t="shared" si="53"/>
        <v>-3.0147176594116587E-2</v>
      </c>
      <c r="W11" s="39">
        <f t="shared" si="53"/>
        <v>0.20551589995779596</v>
      </c>
      <c r="X11" s="39">
        <f t="shared" si="53"/>
        <v>0.34184209324626691</v>
      </c>
      <c r="Y11" s="39">
        <f t="shared" si="53"/>
        <v>9.4356531109976771E-2</v>
      </c>
      <c r="Z11" s="39">
        <f t="shared" si="53"/>
        <v>-5.2864532045215906E-4</v>
      </c>
      <c r="AA11" s="39">
        <f t="shared" si="53"/>
        <v>0.14039327124515144</v>
      </c>
      <c r="AB11" s="40">
        <f t="shared" ref="AB11" si="54">AB10/AA10-1</f>
        <v>0.14873402303866223</v>
      </c>
      <c r="AC11" s="40">
        <f t="shared" ref="AC11" si="55">AC10/AB10-1</f>
        <v>8.1266446940486459E-2</v>
      </c>
      <c r="AD11" s="40">
        <f t="shared" ref="AD11" si="56">AD10/AC10-1</f>
        <v>8.0198543572288727E-2</v>
      </c>
      <c r="AE11" s="40">
        <f t="shared" ref="AE11" si="57">AE10/AD10-1</f>
        <v>8.0014389355665294E-2</v>
      </c>
      <c r="AM11" s="39" t="e">
        <f t="shared" ref="AM11:CI11" si="58">+IF(AI10&lt;0,1-AM10/AI10,AM10/AI10-1)</f>
        <v>#DIV/0!</v>
      </c>
      <c r="AN11" s="39" t="e">
        <f t="shared" si="58"/>
        <v>#DIV/0!</v>
      </c>
      <c r="AO11" s="39" t="e">
        <f t="shared" si="58"/>
        <v>#DIV/0!</v>
      </c>
      <c r="AP11" s="39" t="e">
        <f t="shared" si="58"/>
        <v>#DIV/0!</v>
      </c>
      <c r="AQ11" s="39" t="e">
        <f t="shared" si="58"/>
        <v>#DIV/0!</v>
      </c>
      <c r="AR11" s="39" t="e">
        <f t="shared" si="58"/>
        <v>#DIV/0!</v>
      </c>
      <c r="AS11" s="39" t="e">
        <f t="shared" si="58"/>
        <v>#DIV/0!</v>
      </c>
      <c r="AT11" s="39" t="e">
        <f t="shared" si="58"/>
        <v>#DIV/0!</v>
      </c>
      <c r="AU11" s="39" t="e">
        <f t="shared" si="58"/>
        <v>#DIV/0!</v>
      </c>
      <c r="AV11" s="39" t="e">
        <f t="shared" si="58"/>
        <v>#DIV/0!</v>
      </c>
      <c r="AW11" s="39" t="e">
        <f t="shared" si="58"/>
        <v>#DIV/0!</v>
      </c>
      <c r="AX11" s="39" t="e">
        <f t="shared" si="58"/>
        <v>#DIV/0!</v>
      </c>
      <c r="AY11" s="39" t="e">
        <f t="shared" si="58"/>
        <v>#DIV/0!</v>
      </c>
      <c r="AZ11" s="39">
        <f t="shared" si="58"/>
        <v>6.6226023846552629E-2</v>
      </c>
      <c r="BA11" s="39">
        <f t="shared" si="58"/>
        <v>3.8708023583696294E-2</v>
      </c>
      <c r="BB11" s="39">
        <f t="shared" si="58"/>
        <v>1.3601197903668538E-2</v>
      </c>
      <c r="BC11" s="39">
        <f t="shared" si="58"/>
        <v>2.4536056794121297E-2</v>
      </c>
      <c r="BD11" s="39">
        <f t="shared" si="58"/>
        <v>9.4688221709006815E-2</v>
      </c>
      <c r="BE11" s="39">
        <f t="shared" si="58"/>
        <v>0.19582922013820347</v>
      </c>
      <c r="BF11" s="39">
        <f t="shared" si="58"/>
        <v>0.29853502400590926</v>
      </c>
      <c r="BG11" s="39">
        <f t="shared" si="58"/>
        <v>0.40068076829564792</v>
      </c>
      <c r="BH11" s="39">
        <f t="shared" si="58"/>
        <v>0.40584055074394842</v>
      </c>
      <c r="BI11" s="39">
        <f t="shared" si="58"/>
        <v>0.35888969146630911</v>
      </c>
      <c r="BJ11" s="39">
        <f t="shared" si="58"/>
        <v>0.27332195676905569</v>
      </c>
      <c r="BK11" s="39">
        <f t="shared" si="58"/>
        <v>0.16950182260024294</v>
      </c>
      <c r="BL11" s="39">
        <f t="shared" si="58"/>
        <v>0.10741647579180169</v>
      </c>
      <c r="BM11" s="39">
        <f t="shared" si="58"/>
        <v>8.0492064697395449E-2</v>
      </c>
      <c r="BN11" s="39">
        <f t="shared" si="58"/>
        <v>7.7060531605986249E-2</v>
      </c>
      <c r="BO11" s="39">
        <f t="shared" si="58"/>
        <v>-3.918367346938767E-2</v>
      </c>
      <c r="BP11" s="39">
        <f t="shared" si="58"/>
        <v>-6.2976963126738394E-2</v>
      </c>
      <c r="BQ11" s="39">
        <f t="shared" si="58"/>
        <v>-1.5601939700611411E-2</v>
      </c>
      <c r="BR11" s="39">
        <f t="shared" si="58"/>
        <v>-4.2167841836028286E-3</v>
      </c>
      <c r="BS11" s="39">
        <f t="shared" si="58"/>
        <v>0.17278133930640305</v>
      </c>
      <c r="BT11" s="39">
        <f t="shared" si="58"/>
        <v>0.22370223778352871</v>
      </c>
      <c r="BU11" s="39">
        <f t="shared" si="58"/>
        <v>0.20475476547440552</v>
      </c>
      <c r="BV11" s="39">
        <f t="shared" si="58"/>
        <v>0.21909059354390825</v>
      </c>
      <c r="BW11" s="39">
        <f t="shared" si="58"/>
        <v>0.32125922023182296</v>
      </c>
      <c r="BX11" s="39">
        <f t="shared" si="58"/>
        <v>0.41923244386390479</v>
      </c>
      <c r="BY11" s="39">
        <f t="shared" si="58"/>
        <v>0.27822222222222215</v>
      </c>
      <c r="BZ11" s="39">
        <f t="shared" si="58"/>
        <v>0.3499231251067707</v>
      </c>
      <c r="CA11" s="39">
        <f t="shared" si="58"/>
        <v>0.14714385405243746</v>
      </c>
      <c r="CB11" s="39">
        <f t="shared" si="58"/>
        <v>4.5930665731691356E-2</v>
      </c>
      <c r="CC11" s="39">
        <f t="shared" si="58"/>
        <v>0.12276309689383402</v>
      </c>
      <c r="CD11" s="39">
        <f t="shared" si="58"/>
        <v>7.0404117101155794E-2</v>
      </c>
      <c r="CE11" s="39">
        <f t="shared" si="58"/>
        <v>6.9740158164595556E-2</v>
      </c>
      <c r="CF11" s="39">
        <f t="shared" si="58"/>
        <v>7.8106012989733964E-2</v>
      </c>
      <c r="CG11" s="39">
        <f t="shared" si="58"/>
        <v>9.5466182178544745E-2</v>
      </c>
      <c r="CH11" s="39">
        <f t="shared" si="58"/>
        <v>3.9527093596059215E-2</v>
      </c>
      <c r="CI11" s="39">
        <f t="shared" si="58"/>
        <v>0.16414151671473243</v>
      </c>
      <c r="CJ11" s="39">
        <f>+IF(CF10&lt;0,1-CJ10/CF10,CJ10/CF10-1)</f>
        <v>0.15803179291849667</v>
      </c>
      <c r="CK11" s="39">
        <f>+IF(CG10&lt;0,1-CK10/CG10,CK10/CG10-1)</f>
        <v>0.10196004523181301</v>
      </c>
      <c r="CL11" s="39">
        <f>+IF(CH10&lt;0,1-CL10/CH10,CL10/CH10-1)</f>
        <v>8.3440746076275607E-2</v>
      </c>
      <c r="CM11" s="40">
        <f>+AVERAGE(CI11:CL11)-2%</f>
        <v>0.10689352523532943</v>
      </c>
      <c r="CN11" s="40">
        <f t="shared" ref="CN11:CP11" si="59">+AVERAGE(CJ11:CM11)-2%</f>
        <v>9.2581527365478672E-2</v>
      </c>
      <c r="CO11" s="40">
        <f t="shared" si="59"/>
        <v>7.6218960977224179E-2</v>
      </c>
      <c r="CP11" s="40">
        <f t="shared" si="59"/>
        <v>6.9783689913576974E-2</v>
      </c>
      <c r="CQ11" s="40">
        <f t="shared" ref="CQ11" si="60">+AVERAGE(CM11:CP11)</f>
        <v>8.636942587290232E-2</v>
      </c>
      <c r="CR11" s="40">
        <f t="shared" ref="CR11" si="61">+AVERAGE(CN11:CQ11)</f>
        <v>8.1238401032295529E-2</v>
      </c>
      <c r="CS11" s="40">
        <f t="shared" ref="CS11" si="62">+AVERAGE(CO11:CR11)</f>
        <v>7.8402619448999747E-2</v>
      </c>
      <c r="CT11" s="40">
        <f t="shared" ref="CT11" si="63">+AVERAGE(CP11:CS11)</f>
        <v>7.8948534066943632E-2</v>
      </c>
      <c r="CU11" s="40">
        <f t="shared" ref="CU11" si="64">+AVERAGE(CQ11:CT11)</f>
        <v>8.123974510528531E-2</v>
      </c>
      <c r="CV11" s="40">
        <f t="shared" ref="CV11" si="65">+AVERAGE(CR11:CU11)</f>
        <v>7.9957324913381062E-2</v>
      </c>
      <c r="CW11" s="40">
        <f t="shared" ref="CW11" si="66">+AVERAGE(CS11:CV11)</f>
        <v>7.9637055883652441E-2</v>
      </c>
      <c r="CX11" s="40">
        <f t="shared" ref="CX11" si="67">+AVERAGE(CT11:CW11)</f>
        <v>7.9945664992315618E-2</v>
      </c>
      <c r="CY11" s="40">
        <f t="shared" ref="CY11" si="68">+AVERAGE(CU11:CX11)</f>
        <v>8.0194947723658608E-2</v>
      </c>
      <c r="CZ11" s="40">
        <f t="shared" ref="CZ11" si="69">+AVERAGE(CV11:CY11)</f>
        <v>7.9933748378251929E-2</v>
      </c>
      <c r="DA11" s="40">
        <f t="shared" ref="DA11" si="70">+AVERAGE(CW11:CZ11)</f>
        <v>7.9927854244469659E-2</v>
      </c>
      <c r="DB11" s="40">
        <f t="shared" ref="DB11" si="71">+AVERAGE(CX11:DA11)</f>
        <v>8.0000553834673957E-2</v>
      </c>
      <c r="DE11" s="122"/>
      <c r="DF11" s="39">
        <v>0.14039327124515144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si="72">+IF(AI10&lt;0,1-AJ10/AI10,AJ10/AI10-1)</f>
        <v>#DIV/0!</v>
      </c>
      <c r="AK12" s="39" t="e">
        <f t="shared" si="72"/>
        <v>#DIV/0!</v>
      </c>
      <c r="AL12" s="39" t="e">
        <f t="shared" si="72"/>
        <v>#DIV/0!</v>
      </c>
      <c r="AM12" s="39" t="e">
        <f t="shared" ref="AM12:CI12" si="73">+IF(AL10&lt;0,1-AM10/AL10,AM10/AL10-1)</f>
        <v>#DIV/0!</v>
      </c>
      <c r="AN12" s="39" t="e">
        <f t="shared" si="73"/>
        <v>#DIV/0!</v>
      </c>
      <c r="AO12" s="39" t="e">
        <f t="shared" si="73"/>
        <v>#DIV/0!</v>
      </c>
      <c r="AP12" s="39" t="e">
        <f t="shared" si="73"/>
        <v>#DIV/0!</v>
      </c>
      <c r="AQ12" s="39" t="e">
        <f t="shared" si="73"/>
        <v>#DIV/0!</v>
      </c>
      <c r="AR12" s="39" t="e">
        <f t="shared" si="73"/>
        <v>#DIV/0!</v>
      </c>
      <c r="AS12" s="39" t="e">
        <f t="shared" si="73"/>
        <v>#DIV/0!</v>
      </c>
      <c r="AT12" s="39" t="e">
        <f t="shared" si="73"/>
        <v>#DIV/0!</v>
      </c>
      <c r="AU12" s="39" t="e">
        <f t="shared" si="73"/>
        <v>#DIV/0!</v>
      </c>
      <c r="AV12" s="39" t="e">
        <f t="shared" si="73"/>
        <v>#DIV/0!</v>
      </c>
      <c r="AW12" s="39">
        <f t="shared" si="73"/>
        <v>1.1145671332296603E-2</v>
      </c>
      <c r="AX12" s="39">
        <f t="shared" si="73"/>
        <v>2.7172519866700773E-2</v>
      </c>
      <c r="AY12" s="39">
        <f t="shared" si="73"/>
        <v>1.8717244821562229E-3</v>
      </c>
      <c r="AZ12" s="39">
        <f t="shared" si="73"/>
        <v>2.4660605305766747E-2</v>
      </c>
      <c r="BA12" s="39">
        <f t="shared" si="73"/>
        <v>-1.4950771848790678E-2</v>
      </c>
      <c r="BB12" s="39">
        <f t="shared" si="73"/>
        <v>2.344521224086904E-3</v>
      </c>
      <c r="BC12" s="39">
        <f t="shared" si="73"/>
        <v>1.268004431860148E-2</v>
      </c>
      <c r="BD12" s="39">
        <f t="shared" si="73"/>
        <v>9.4821298322392389E-2</v>
      </c>
      <c r="BE12" s="39">
        <f t="shared" si="73"/>
        <v>7.6060404174994378E-2</v>
      </c>
      <c r="BF12" s="39">
        <f t="shared" si="73"/>
        <v>8.8432566298627613E-2</v>
      </c>
      <c r="BG12" s="39">
        <f t="shared" si="73"/>
        <v>9.2339780053090736E-2</v>
      </c>
      <c r="BH12" s="39">
        <f t="shared" si="73"/>
        <v>9.8854365561534374E-2</v>
      </c>
      <c r="BI12" s="39">
        <f t="shared" si="73"/>
        <v>4.0123213016349579E-2</v>
      </c>
      <c r="BJ12" s="39">
        <f t="shared" si="73"/>
        <v>1.9895208444073109E-2</v>
      </c>
      <c r="BK12" s="39">
        <f t="shared" si="73"/>
        <v>3.2760032760033031E-3</v>
      </c>
      <c r="BL12" s="39">
        <f t="shared" si="73"/>
        <v>4.05194805194804E-2</v>
      </c>
      <c r="BM12" s="39">
        <f t="shared" si="73"/>
        <v>1.4834890521360888E-2</v>
      </c>
      <c r="BN12" s="39">
        <f t="shared" si="73"/>
        <v>1.6656124815517481E-2</v>
      </c>
      <c r="BO12" s="39">
        <f t="shared" si="73"/>
        <v>-0.10500483893266965</v>
      </c>
      <c r="BP12" s="39">
        <f t="shared" si="73"/>
        <v>1.4752452305553332E-2</v>
      </c>
      <c r="BQ12" s="39">
        <f t="shared" si="73"/>
        <v>6.6144009742731047E-2</v>
      </c>
      <c r="BR12" s="39">
        <f t="shared" si="73"/>
        <v>2.8414364246448276E-2</v>
      </c>
      <c r="BS12" s="39">
        <f t="shared" si="73"/>
        <v>5.4078444984380525E-2</v>
      </c>
      <c r="BT12" s="39">
        <f t="shared" si="73"/>
        <v>5.8811907270811314E-2</v>
      </c>
      <c r="BU12" s="39">
        <f t="shared" si="73"/>
        <v>4.9636126142936998E-2</v>
      </c>
      <c r="BV12" s="39">
        <f t="shared" si="73"/>
        <v>4.0651851851851717E-2</v>
      </c>
      <c r="BW12" s="39">
        <f t="shared" si="73"/>
        <v>0.14241785775297533</v>
      </c>
      <c r="BX12" s="39">
        <f t="shared" si="73"/>
        <v>0.13732429468647189</v>
      </c>
      <c r="BY12" s="39">
        <f t="shared" si="73"/>
        <v>-5.4652232984178428E-2</v>
      </c>
      <c r="BZ12" s="39">
        <f t="shared" si="73"/>
        <v>9.9026425591098644E-2</v>
      </c>
      <c r="CA12" s="39">
        <f t="shared" si="73"/>
        <v>-2.919092212941865E-2</v>
      </c>
      <c r="CB12" s="39">
        <f t="shared" si="73"/>
        <v>3.6977491961414755E-2</v>
      </c>
      <c r="CC12" s="39">
        <f t="shared" si="73"/>
        <v>1.4791535721768279E-2</v>
      </c>
      <c r="CD12" s="39">
        <f t="shared" si="73"/>
        <v>4.7774382690560557E-2</v>
      </c>
      <c r="CE12" s="39">
        <f t="shared" si="73"/>
        <v>-2.9793103448275793E-2</v>
      </c>
      <c r="CF12" s="39">
        <f t="shared" si="73"/>
        <v>4.5087127828100204E-2</v>
      </c>
      <c r="CG12" s="39">
        <f t="shared" si="73"/>
        <v>3.1132185471646645E-2</v>
      </c>
      <c r="CH12" s="39">
        <f t="shared" si="73"/>
        <v>-5.7293629852995798E-3</v>
      </c>
      <c r="CI12" s="39">
        <f t="shared" si="73"/>
        <v>8.6511486845098018E-2</v>
      </c>
      <c r="CJ12" s="39">
        <f>+IF(CI10&lt;0,1-CJ10/CI10,CJ10/CI10-1)</f>
        <v>3.9602233077459914E-2</v>
      </c>
      <c r="CK12" s="39">
        <f>+IF(CJ10&lt;0,1-CK10/CJ10,CK10/CJ10-1)</f>
        <v>-1.8795099848967989E-2</v>
      </c>
      <c r="CL12" s="39">
        <f>+IF(CK10&lt;0,1-CL10/CK10,CL10/CK10-1)</f>
        <v>-2.2438857533777945E-2</v>
      </c>
      <c r="CM12" s="40">
        <f t="shared" ref="CM12" si="74">+CM10/CL10-1</f>
        <v>0.11003073701824895</v>
      </c>
      <c r="CN12" s="40">
        <f t="shared" ref="CN12" si="75">+CN10/CM10-1</f>
        <v>2.6160303383153227E-2</v>
      </c>
      <c r="CO12" s="40">
        <f t="shared" ref="CO12" si="76">+CO10/CN10-1</f>
        <v>-3.3489683197741149E-2</v>
      </c>
      <c r="CP12" s="40">
        <f t="shared" ref="CP12" si="77">+CP10/CO10-1</f>
        <v>-2.8284202357796384E-2</v>
      </c>
      <c r="CQ12" s="40">
        <f t="shared" ref="CQ12" si="78">+CQ10/CP10-1</f>
        <v>0.12724045603388223</v>
      </c>
      <c r="CR12" s="40">
        <f t="shared" ref="CR12" si="79">+CR10/CQ10-1</f>
        <v>2.1313651883482221E-2</v>
      </c>
      <c r="CS12" s="40">
        <f t="shared" ref="CS12" si="80">+CS10/CR10-1</f>
        <v>-3.6024565563957944E-2</v>
      </c>
      <c r="CT12" s="40">
        <f t="shared" ref="CT12" si="81">+CT10/CS10-1</f>
        <v>-2.7792295301143577E-2</v>
      </c>
      <c r="CU12" s="40">
        <f t="shared" ref="CU12" si="82">+CU10/CT10-1</f>
        <v>0.12963421782527651</v>
      </c>
      <c r="CV12" s="40">
        <f t="shared" ref="CV12" si="83">+CV10/CU10-1</f>
        <v>2.0102307909703798E-2</v>
      </c>
      <c r="CW12" s="40">
        <f t="shared" ref="CW12" si="84">+CW10/CV10-1</f>
        <v>-3.6310439338733125E-2</v>
      </c>
      <c r="CX12" s="40">
        <f t="shared" ref="CX12" si="85">+CX10/CW10-1</f>
        <v>-2.7514394360686367E-2</v>
      </c>
      <c r="CY12" s="40">
        <f t="shared" ref="CY12" si="86">+CY10/CX10-1</f>
        <v>0.12989497011343909</v>
      </c>
      <c r="CZ12" s="40">
        <f t="shared" ref="CZ12" si="87">+CZ10/CY10-1</f>
        <v>1.9855639421172855E-2</v>
      </c>
      <c r="DA12" s="40">
        <f t="shared" ref="DA12" si="88">+DA10/CZ10-1</f>
        <v>-3.6315699027305359E-2</v>
      </c>
      <c r="DB12" s="40">
        <f t="shared" ref="DB12" si="89">+DB10/DA10-1</f>
        <v>-2.7448927667951595E-2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0</v>
      </c>
      <c r="X13" s="23">
        <f>'Annual Raw'!Y11</f>
        <v>0</v>
      </c>
      <c r="Y13" s="23">
        <f>'Annual Raw'!Z11</f>
        <v>0</v>
      </c>
      <c r="Z13" s="23">
        <f>'Annual Raw'!AA11</f>
        <v>0</v>
      </c>
      <c r="AA13" s="23">
        <f>'Annual Raw'!AB11</f>
        <v>0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5.5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</v>
      </c>
      <c r="BZ13" s="23">
        <f>'QTR Raw'!AT10</f>
        <v>0</v>
      </c>
      <c r="CA13" s="23">
        <f>'QTR Raw'!AU10</f>
        <v>0</v>
      </c>
      <c r="CB13" s="23">
        <f>'QTR Raw'!AV10</f>
        <v>0</v>
      </c>
      <c r="CC13" s="23">
        <f>'QTR Raw'!AW10</f>
        <v>0</v>
      </c>
      <c r="CD13" s="23">
        <f>'QTR Raw'!AX10</f>
        <v>0</v>
      </c>
      <c r="CE13" s="23">
        <f>'QTR Raw'!AY10</f>
        <v>0</v>
      </c>
      <c r="CF13" s="23">
        <f>'QTR Raw'!AZ10</f>
        <v>0</v>
      </c>
      <c r="CG13" s="23">
        <f>'QTR Raw'!BA10</f>
        <v>0</v>
      </c>
      <c r="CH13" s="23">
        <f>'QTR Raw'!BB10</f>
        <v>0</v>
      </c>
      <c r="CI13" s="23">
        <f>'QTR Raw'!BC10</f>
        <v>0</v>
      </c>
      <c r="CJ13" s="23">
        <f>'QTR Raw'!BD10</f>
        <v>0</v>
      </c>
      <c r="CK13" s="23">
        <f>'QTR Raw'!BE10</f>
        <v>0</v>
      </c>
      <c r="CL13" s="23">
        <f>'QTR Raw'!BF10</f>
        <v>0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0</v>
      </c>
      <c r="R15" s="23">
        <f>'Annual Raw'!S12</f>
        <v>0</v>
      </c>
      <c r="S15" s="23">
        <f>'Annual Raw'!T12</f>
        <v>0</v>
      </c>
      <c r="T15" s="23">
        <f>'Annual Raw'!U12</f>
        <v>0</v>
      </c>
      <c r="U15" s="23">
        <f>'Annual Raw'!V12</f>
        <v>0</v>
      </c>
      <c r="V15" s="23">
        <f>'Annual Raw'!W12</f>
        <v>0</v>
      </c>
      <c r="W15" s="23">
        <f>'Annual Raw'!X12</f>
        <v>0</v>
      </c>
      <c r="X15" s="23">
        <f>'Annual Raw'!Y12</f>
        <v>0</v>
      </c>
      <c r="Y15" s="23">
        <f>'Annual Raw'!Z12</f>
        <v>0</v>
      </c>
      <c r="Z15" s="23">
        <f>'Annual Raw'!AA12</f>
        <v>0</v>
      </c>
      <c r="AA15" s="23">
        <f>'Annual Raw'!AB12</f>
        <v>0</v>
      </c>
      <c r="AB15" s="24">
        <f>+SUM(CM15:CP15)</f>
        <v>0</v>
      </c>
      <c r="AC15" s="24">
        <f>+SUM(CQ15:CT15)</f>
        <v>0</v>
      </c>
      <c r="AD15" s="24">
        <f>+SUM(CU15:CX15)</f>
        <v>0</v>
      </c>
      <c r="AE15" s="24">
        <f>+SUM(CY15:DB15)</f>
        <v>0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0</v>
      </c>
      <c r="CB15" s="23">
        <f>'QTR Raw'!AV11</f>
        <v>0</v>
      </c>
      <c r="CC15" s="23">
        <f>'QTR Raw'!AW11</f>
        <v>0</v>
      </c>
      <c r="CD15" s="23">
        <f>'QTR Raw'!AX11</f>
        <v>0</v>
      </c>
      <c r="CE15" s="23">
        <f>'QTR Raw'!AY11</f>
        <v>0</v>
      </c>
      <c r="CF15" s="23">
        <f>'QTR Raw'!AZ11</f>
        <v>0</v>
      </c>
      <c r="CG15" s="23">
        <f>'QTR Raw'!BA11</f>
        <v>0</v>
      </c>
      <c r="CH15" s="23">
        <f>'QTR Raw'!BB11</f>
        <v>0</v>
      </c>
      <c r="CI15" s="23">
        <f>'QTR Raw'!BC11</f>
        <v>0</v>
      </c>
      <c r="CJ15" s="23">
        <f>'QTR Raw'!BD11</f>
        <v>0</v>
      </c>
      <c r="CK15" s="23">
        <f>'QTR Raw'!BE11</f>
        <v>0</v>
      </c>
      <c r="CL15" s="23">
        <f>'QTR Raw'!BF11</f>
        <v>0</v>
      </c>
      <c r="CM15" s="24">
        <f t="shared" ref="CM15:DB15" si="90">+CM10-CM16</f>
        <v>0</v>
      </c>
      <c r="CN15" s="24">
        <f t="shared" si="90"/>
        <v>0</v>
      </c>
      <c r="CO15" s="24">
        <f t="shared" si="90"/>
        <v>0</v>
      </c>
      <c r="CP15" s="24">
        <f t="shared" si="90"/>
        <v>0</v>
      </c>
      <c r="CQ15" s="24">
        <f t="shared" si="90"/>
        <v>0</v>
      </c>
      <c r="CR15" s="24">
        <f t="shared" si="90"/>
        <v>0</v>
      </c>
      <c r="CS15" s="24">
        <f t="shared" si="90"/>
        <v>0</v>
      </c>
      <c r="CT15" s="24">
        <f t="shared" si="90"/>
        <v>0</v>
      </c>
      <c r="CU15" s="24">
        <f t="shared" si="90"/>
        <v>0</v>
      </c>
      <c r="CV15" s="24">
        <f t="shared" si="90"/>
        <v>0</v>
      </c>
      <c r="CW15" s="24">
        <f t="shared" si="90"/>
        <v>0</v>
      </c>
      <c r="CX15" s="24">
        <f t="shared" si="90"/>
        <v>0</v>
      </c>
      <c r="CY15" s="24">
        <f t="shared" si="90"/>
        <v>0</v>
      </c>
      <c r="CZ15" s="24">
        <f t="shared" si="90"/>
        <v>0</v>
      </c>
      <c r="DA15" s="24">
        <f t="shared" si="90"/>
        <v>0</v>
      </c>
      <c r="DB15" s="24">
        <f t="shared" si="90"/>
        <v>0</v>
      </c>
      <c r="DE15" s="123"/>
      <c r="DF15" s="23">
        <v>0</v>
      </c>
    </row>
    <row r="16" spans="1:110" s="31" customFormat="1" x14ac:dyDescent="0.2">
      <c r="A16" s="31" t="s">
        <v>5</v>
      </c>
      <c r="B16" s="31">
        <f t="shared" ref="B16:T16" si="91">B10-B13-B15-B14</f>
        <v>0</v>
      </c>
      <c r="C16" s="31">
        <f t="shared" si="91"/>
        <v>0</v>
      </c>
      <c r="D16" s="31">
        <f t="shared" si="91"/>
        <v>0</v>
      </c>
      <c r="E16" s="31">
        <f t="shared" si="91"/>
        <v>0</v>
      </c>
      <c r="F16" s="31">
        <f t="shared" si="91"/>
        <v>0</v>
      </c>
      <c r="G16" s="31">
        <f t="shared" si="91"/>
        <v>0</v>
      </c>
      <c r="H16" s="31">
        <f t="shared" si="91"/>
        <v>0</v>
      </c>
      <c r="I16" s="31">
        <f t="shared" si="91"/>
        <v>0</v>
      </c>
      <c r="J16" s="31">
        <f t="shared" si="91"/>
        <v>0</v>
      </c>
      <c r="K16" s="31">
        <f t="shared" si="91"/>
        <v>0</v>
      </c>
      <c r="L16" s="31">
        <f t="shared" si="91"/>
        <v>0</v>
      </c>
      <c r="M16" s="31">
        <f t="shared" si="91"/>
        <v>0</v>
      </c>
      <c r="N16" s="31">
        <f t="shared" si="91"/>
        <v>0</v>
      </c>
      <c r="O16" s="31">
        <f t="shared" si="91"/>
        <v>126.17</v>
      </c>
      <c r="P16" s="31">
        <f t="shared" si="91"/>
        <v>2618.627</v>
      </c>
      <c r="Q16" s="31">
        <f t="shared" si="91"/>
        <v>3066.2</v>
      </c>
      <c r="R16" s="31">
        <f t="shared" si="91"/>
        <v>3248.3</v>
      </c>
      <c r="S16" s="31">
        <f t="shared" si="91"/>
        <v>3747.1</v>
      </c>
      <c r="T16" s="31">
        <f t="shared" si="91"/>
        <v>5078.3</v>
      </c>
      <c r="U16" s="31">
        <f t="shared" ref="U16:Z16" si="92">U10-U13-U15-U14</f>
        <v>5619.1</v>
      </c>
      <c r="V16" s="31">
        <f t="shared" si="92"/>
        <v>5449.7</v>
      </c>
      <c r="W16" s="31">
        <f t="shared" si="92"/>
        <v>6569.7</v>
      </c>
      <c r="X16" s="31">
        <f t="shared" si="92"/>
        <v>8815.5</v>
      </c>
      <c r="Y16" s="31">
        <f t="shared" si="92"/>
        <v>9647.2999999999993</v>
      </c>
      <c r="Z16" s="31">
        <f t="shared" si="92"/>
        <v>9642.2000000000007</v>
      </c>
      <c r="AA16" s="31">
        <f t="shared" ref="AA16" si="93">AA10-AA13-AA15-AA14</f>
        <v>10995.9</v>
      </c>
      <c r="AB16" s="32">
        <f t="shared" ref="AB16:AD16" si="94">AB10-AB13-AB15-AB14</f>
        <v>12631.364443930825</v>
      </c>
      <c r="AC16" s="32">
        <f t="shared" si="94"/>
        <v>13657.870552299477</v>
      </c>
      <c r="AD16" s="32">
        <f t="shared" si="94"/>
        <v>14753.211878892746</v>
      </c>
      <c r="AE16" s="32">
        <f t="shared" ref="AE16" si="95">AE10-AE13-AE15-AE14</f>
        <v>15933.681118417095</v>
      </c>
      <c r="AI16" s="31">
        <f t="shared" ref="AI16" si="96">AI10-AI13-AI15-AI14</f>
        <v>0</v>
      </c>
      <c r="AJ16" s="31">
        <f t="shared" ref="AJ16" si="97">AJ10-AJ13-AJ15-AJ14</f>
        <v>0</v>
      </c>
      <c r="AK16" s="31">
        <f t="shared" ref="AK16:AM16" si="98">AK10-AK13-AK15-AK14</f>
        <v>0</v>
      </c>
      <c r="AL16" s="31">
        <f t="shared" si="98"/>
        <v>0</v>
      </c>
      <c r="AM16" s="31">
        <f t="shared" si="98"/>
        <v>0</v>
      </c>
      <c r="AN16" s="31">
        <f t="shared" ref="AN16:AO16" si="99">AN10-AN13-AN15-AN14</f>
        <v>0</v>
      </c>
      <c r="AO16" s="31">
        <f t="shared" si="99"/>
        <v>0</v>
      </c>
      <c r="AP16" s="31">
        <f t="shared" ref="AP16:CD16" si="100">AP10-AP13-AP15-AP14</f>
        <v>0</v>
      </c>
      <c r="AQ16" s="31">
        <f t="shared" si="100"/>
        <v>0</v>
      </c>
      <c r="AR16" s="31">
        <f t="shared" si="100"/>
        <v>0</v>
      </c>
      <c r="AS16" s="31">
        <f t="shared" si="100"/>
        <v>0</v>
      </c>
      <c r="AT16" s="31">
        <f t="shared" si="100"/>
        <v>0</v>
      </c>
      <c r="AU16" s="31">
        <f t="shared" si="100"/>
        <v>0</v>
      </c>
      <c r="AV16" s="31">
        <f t="shared" si="100"/>
        <v>771.6</v>
      </c>
      <c r="AW16" s="31">
        <f t="shared" si="100"/>
        <v>780.2</v>
      </c>
      <c r="AX16" s="31">
        <f t="shared" si="100"/>
        <v>801.4</v>
      </c>
      <c r="AY16" s="31">
        <f t="shared" si="100"/>
        <v>802.9</v>
      </c>
      <c r="AZ16" s="31">
        <f t="shared" si="100"/>
        <v>822.7</v>
      </c>
      <c r="BA16" s="31">
        <f t="shared" si="100"/>
        <v>810.4</v>
      </c>
      <c r="BB16" s="31">
        <f t="shared" si="100"/>
        <v>812.3</v>
      </c>
      <c r="BC16" s="31">
        <f t="shared" si="100"/>
        <v>822.6</v>
      </c>
      <c r="BD16" s="31">
        <f t="shared" si="100"/>
        <v>900.6</v>
      </c>
      <c r="BE16" s="31">
        <f t="shared" si="100"/>
        <v>969.1</v>
      </c>
      <c r="BF16" s="31">
        <f t="shared" si="100"/>
        <v>1049.3</v>
      </c>
      <c r="BG16" s="31">
        <f t="shared" si="100"/>
        <v>1152.2</v>
      </c>
      <c r="BH16" s="31">
        <f t="shared" si="100"/>
        <v>1266.0999999999999</v>
      </c>
      <c r="BI16" s="31">
        <f t="shared" si="100"/>
        <v>1316.9</v>
      </c>
      <c r="BJ16" s="31">
        <f t="shared" si="100"/>
        <v>1343.1</v>
      </c>
      <c r="BK16" s="31">
        <f t="shared" si="100"/>
        <v>1347.5</v>
      </c>
      <c r="BL16" s="31">
        <f t="shared" si="100"/>
        <v>1402.1</v>
      </c>
      <c r="BM16" s="31">
        <f t="shared" si="100"/>
        <v>1422.9</v>
      </c>
      <c r="BN16" s="31">
        <f t="shared" si="100"/>
        <v>1446.6</v>
      </c>
      <c r="BO16" s="31">
        <f t="shared" si="100"/>
        <v>1294.7</v>
      </c>
      <c r="BP16" s="31">
        <f t="shared" si="100"/>
        <v>1313.8</v>
      </c>
      <c r="BQ16" s="31">
        <f t="shared" si="100"/>
        <v>1400.7</v>
      </c>
      <c r="BR16" s="31">
        <f t="shared" si="100"/>
        <v>1440.5</v>
      </c>
      <c r="BS16" s="31">
        <f t="shared" si="100"/>
        <v>1518.4</v>
      </c>
      <c r="BT16" s="31">
        <f t="shared" si="100"/>
        <v>1607.7</v>
      </c>
      <c r="BU16" s="31">
        <f t="shared" si="100"/>
        <v>1687.5</v>
      </c>
      <c r="BV16" s="31">
        <f t="shared" si="100"/>
        <v>1756.1</v>
      </c>
      <c r="BW16" s="31">
        <f t="shared" si="100"/>
        <v>2006.2</v>
      </c>
      <c r="BX16" s="31">
        <f t="shared" si="100"/>
        <v>2281.6999999999998</v>
      </c>
      <c r="BY16" s="31">
        <f t="shared" si="100"/>
        <v>2157</v>
      </c>
      <c r="BZ16" s="31">
        <f t="shared" si="100"/>
        <v>2370.6</v>
      </c>
      <c r="CA16" s="31">
        <f t="shared" si="100"/>
        <v>2301.4</v>
      </c>
      <c r="CB16" s="31">
        <f t="shared" si="100"/>
        <v>2386.5</v>
      </c>
      <c r="CC16" s="31">
        <f t="shared" si="100"/>
        <v>2421.8000000000002</v>
      </c>
      <c r="CD16" s="31">
        <f t="shared" si="100"/>
        <v>2537.5</v>
      </c>
      <c r="CE16" s="31">
        <f t="shared" ref="CE16:CF16" si="101">CE10-CE13-CE15-CE14</f>
        <v>2461.9</v>
      </c>
      <c r="CF16" s="31">
        <f t="shared" si="101"/>
        <v>2572.9</v>
      </c>
      <c r="CG16" s="31">
        <f t="shared" ref="CG16:CH16" si="102">CG10-CG13-CG15-CG14</f>
        <v>2653</v>
      </c>
      <c r="CH16" s="31">
        <f t="shared" si="102"/>
        <v>2637.8</v>
      </c>
      <c r="CI16" s="31">
        <f t="shared" ref="CI16:CJ16" si="103">CI10-CI13-CI15-CI14</f>
        <v>2866</v>
      </c>
      <c r="CJ16" s="31">
        <f t="shared" si="103"/>
        <v>2979.5</v>
      </c>
      <c r="CK16" s="31">
        <f t="shared" ref="CK16:CL16" si="104">CK10-CK13-CK15-CK14</f>
        <v>2923.5</v>
      </c>
      <c r="CL16" s="31">
        <f t="shared" si="104"/>
        <v>2857.9</v>
      </c>
      <c r="CM16" s="32">
        <f t="shared" ref="CM16:DB16" si="105">+CM17*CM10</f>
        <v>3172.3568433244541</v>
      </c>
      <c r="CN16" s="32">
        <f t="shared" si="105"/>
        <v>3255.3466607854439</v>
      </c>
      <c r="CO16" s="32">
        <f t="shared" si="105"/>
        <v>3146.3261324169148</v>
      </c>
      <c r="CP16" s="32">
        <f t="shared" si="105"/>
        <v>3057.3348074040118</v>
      </c>
      <c r="CQ16" s="32">
        <f t="shared" si="105"/>
        <v>3446.3514825463599</v>
      </c>
      <c r="CR16" s="32">
        <f t="shared" si="105"/>
        <v>3519.8058183134758</v>
      </c>
      <c r="CS16" s="32">
        <f t="shared" si="105"/>
        <v>3393.0063428392414</v>
      </c>
      <c r="CT16" s="32">
        <f t="shared" si="105"/>
        <v>3298.7069086003999</v>
      </c>
      <c r="CU16" s="32">
        <f t="shared" si="105"/>
        <v>3726.3321985316484</v>
      </c>
      <c r="CV16" s="32">
        <f t="shared" si="105"/>
        <v>3801.2400757603755</v>
      </c>
      <c r="CW16" s="32">
        <f t="shared" si="105"/>
        <v>3663.2153785775172</v>
      </c>
      <c r="CX16" s="32">
        <f t="shared" si="105"/>
        <v>3562.4242260232045</v>
      </c>
      <c r="CY16" s="32">
        <f t="shared" si="105"/>
        <v>4025.16521439388</v>
      </c>
      <c r="CZ16" s="32">
        <f t="shared" si="105"/>
        <v>4105.087443501533</v>
      </c>
      <c r="DA16" s="32">
        <f t="shared" si="105"/>
        <v>3956.0083234225608</v>
      </c>
      <c r="DB16" s="32">
        <f t="shared" si="105"/>
        <v>3847.4201370991204</v>
      </c>
      <c r="DE16" s="124"/>
      <c r="DF16" s="31">
        <v>10995.9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6">C16/C10</f>
        <v>#DIV/0!</v>
      </c>
      <c r="D17" s="41" t="e">
        <f t="shared" si="106"/>
        <v>#DIV/0!</v>
      </c>
      <c r="E17" s="41" t="e">
        <f t="shared" si="106"/>
        <v>#DIV/0!</v>
      </c>
      <c r="F17" s="41" t="e">
        <f t="shared" si="106"/>
        <v>#DIV/0!</v>
      </c>
      <c r="G17" s="41" t="e">
        <f t="shared" si="106"/>
        <v>#DIV/0!</v>
      </c>
      <c r="H17" s="41" t="e">
        <f t="shared" si="106"/>
        <v>#DIV/0!</v>
      </c>
      <c r="I17" s="41" t="e">
        <f t="shared" si="106"/>
        <v>#DIV/0!</v>
      </c>
      <c r="J17" s="41" t="e">
        <f t="shared" si="106"/>
        <v>#DIV/0!</v>
      </c>
      <c r="K17" s="41" t="e">
        <f t="shared" si="106"/>
        <v>#DIV/0!</v>
      </c>
      <c r="L17" s="41" t="e">
        <f t="shared" si="106"/>
        <v>#DIV/0!</v>
      </c>
      <c r="M17" s="41" t="e">
        <f t="shared" si="106"/>
        <v>#DIV/0!</v>
      </c>
      <c r="N17" s="41" t="e">
        <f t="shared" si="106"/>
        <v>#DIV/0!</v>
      </c>
      <c r="O17" s="41">
        <f t="shared" si="106"/>
        <v>1</v>
      </c>
      <c r="P17" s="41">
        <f t="shared" si="106"/>
        <v>1</v>
      </c>
      <c r="Q17" s="41">
        <f t="shared" si="106"/>
        <v>1</v>
      </c>
      <c r="R17" s="41">
        <f t="shared" si="106"/>
        <v>1</v>
      </c>
      <c r="S17" s="41">
        <f t="shared" si="106"/>
        <v>1</v>
      </c>
      <c r="T17" s="41">
        <f t="shared" si="106"/>
        <v>1</v>
      </c>
      <c r="U17" s="41">
        <f t="shared" si="106"/>
        <v>1</v>
      </c>
      <c r="V17" s="41">
        <f t="shared" ref="V17:AA17" si="107">V16/V10</f>
        <v>1</v>
      </c>
      <c r="W17" s="41">
        <f t="shared" si="107"/>
        <v>1</v>
      </c>
      <c r="X17" s="41">
        <f t="shared" si="107"/>
        <v>1</v>
      </c>
      <c r="Y17" s="41">
        <f t="shared" si="107"/>
        <v>1</v>
      </c>
      <c r="Z17" s="41">
        <f t="shared" si="107"/>
        <v>1</v>
      </c>
      <c r="AA17" s="41">
        <f t="shared" ref="AA17" si="108">AA16/AA10</f>
        <v>1</v>
      </c>
      <c r="AB17" s="42">
        <f t="shared" ref="AB17:AD17" si="109">AB16/AB10</f>
        <v>1</v>
      </c>
      <c r="AC17" s="42">
        <f t="shared" si="109"/>
        <v>1</v>
      </c>
      <c r="AD17" s="42">
        <f t="shared" si="109"/>
        <v>1</v>
      </c>
      <c r="AE17" s="42">
        <f t="shared" ref="AE17" si="110">AE16/AE10</f>
        <v>1</v>
      </c>
      <c r="AI17" s="41" t="e">
        <f t="shared" ref="AI17" si="111">AI16/AI10</f>
        <v>#DIV/0!</v>
      </c>
      <c r="AJ17" s="41" t="e">
        <f t="shared" ref="AJ17" si="112">AJ16/AJ10</f>
        <v>#DIV/0!</v>
      </c>
      <c r="AK17" s="41" t="e">
        <f t="shared" ref="AK17:AM17" si="113">AK16/AK10</f>
        <v>#DIV/0!</v>
      </c>
      <c r="AL17" s="41" t="e">
        <f t="shared" si="113"/>
        <v>#DIV/0!</v>
      </c>
      <c r="AM17" s="41" t="e">
        <f t="shared" si="113"/>
        <v>#DIV/0!</v>
      </c>
      <c r="AN17" s="41" t="e">
        <f t="shared" ref="AN17:AO17" si="114">AN16/AN10</f>
        <v>#DIV/0!</v>
      </c>
      <c r="AO17" s="41" t="e">
        <f t="shared" si="114"/>
        <v>#DIV/0!</v>
      </c>
      <c r="AP17" s="41" t="e">
        <f t="shared" ref="AP17:CD17" si="115">AP16/AP10</f>
        <v>#DIV/0!</v>
      </c>
      <c r="AQ17" s="41" t="e">
        <f t="shared" si="115"/>
        <v>#DIV/0!</v>
      </c>
      <c r="AR17" s="41" t="e">
        <f t="shared" si="115"/>
        <v>#DIV/0!</v>
      </c>
      <c r="AS17" s="41" t="e">
        <f t="shared" si="115"/>
        <v>#DIV/0!</v>
      </c>
      <c r="AT17" s="41" t="e">
        <f t="shared" si="115"/>
        <v>#DIV/0!</v>
      </c>
      <c r="AU17" s="41" t="e">
        <f t="shared" si="115"/>
        <v>#DIV/0!</v>
      </c>
      <c r="AV17" s="41">
        <f t="shared" si="115"/>
        <v>1</v>
      </c>
      <c r="AW17" s="41">
        <f t="shared" si="115"/>
        <v>1</v>
      </c>
      <c r="AX17" s="41">
        <f t="shared" si="115"/>
        <v>1</v>
      </c>
      <c r="AY17" s="41">
        <f t="shared" si="115"/>
        <v>1</v>
      </c>
      <c r="AZ17" s="41">
        <f t="shared" si="115"/>
        <v>1</v>
      </c>
      <c r="BA17" s="41">
        <f t="shared" si="115"/>
        <v>1</v>
      </c>
      <c r="BB17" s="41">
        <f t="shared" si="115"/>
        <v>1</v>
      </c>
      <c r="BC17" s="41">
        <f t="shared" si="115"/>
        <v>1</v>
      </c>
      <c r="BD17" s="41">
        <f t="shared" si="115"/>
        <v>1</v>
      </c>
      <c r="BE17" s="41">
        <f t="shared" si="115"/>
        <v>1</v>
      </c>
      <c r="BF17" s="41">
        <f t="shared" si="115"/>
        <v>0.99478574137277209</v>
      </c>
      <c r="BG17" s="41">
        <f t="shared" si="115"/>
        <v>1</v>
      </c>
      <c r="BH17" s="41">
        <f t="shared" si="115"/>
        <v>1</v>
      </c>
      <c r="BI17" s="41">
        <f t="shared" si="115"/>
        <v>1</v>
      </c>
      <c r="BJ17" s="41">
        <f t="shared" si="115"/>
        <v>1</v>
      </c>
      <c r="BK17" s="41">
        <f t="shared" si="115"/>
        <v>1</v>
      </c>
      <c r="BL17" s="41">
        <f t="shared" si="115"/>
        <v>1</v>
      </c>
      <c r="BM17" s="41">
        <f t="shared" si="115"/>
        <v>1</v>
      </c>
      <c r="BN17" s="41">
        <f t="shared" si="115"/>
        <v>1</v>
      </c>
      <c r="BO17" s="41">
        <f t="shared" si="115"/>
        <v>1</v>
      </c>
      <c r="BP17" s="41">
        <f t="shared" si="115"/>
        <v>1</v>
      </c>
      <c r="BQ17" s="41">
        <f t="shared" si="115"/>
        <v>1</v>
      </c>
      <c r="BR17" s="41">
        <f t="shared" si="115"/>
        <v>1</v>
      </c>
      <c r="BS17" s="41">
        <f t="shared" si="115"/>
        <v>1</v>
      </c>
      <c r="BT17" s="41">
        <f t="shared" si="115"/>
        <v>1</v>
      </c>
      <c r="BU17" s="41">
        <f t="shared" si="115"/>
        <v>1</v>
      </c>
      <c r="BV17" s="41">
        <f t="shared" si="115"/>
        <v>1</v>
      </c>
      <c r="BW17" s="41">
        <f t="shared" si="115"/>
        <v>1</v>
      </c>
      <c r="BX17" s="41">
        <f t="shared" si="115"/>
        <v>1</v>
      </c>
      <c r="BY17" s="41">
        <f t="shared" si="115"/>
        <v>1</v>
      </c>
      <c r="BZ17" s="41">
        <f t="shared" si="115"/>
        <v>1</v>
      </c>
      <c r="CA17" s="41">
        <f t="shared" si="115"/>
        <v>1</v>
      </c>
      <c r="CB17" s="41">
        <f t="shared" si="115"/>
        <v>1</v>
      </c>
      <c r="CC17" s="41">
        <f t="shared" si="115"/>
        <v>1</v>
      </c>
      <c r="CD17" s="41">
        <f t="shared" si="115"/>
        <v>1</v>
      </c>
      <c r="CE17" s="41">
        <f t="shared" ref="CE17:CF17" si="116">CE16/CE10</f>
        <v>1</v>
      </c>
      <c r="CF17" s="41">
        <f t="shared" si="116"/>
        <v>1</v>
      </c>
      <c r="CG17" s="41">
        <f t="shared" ref="CG17:CH17" si="117">CG16/CG10</f>
        <v>1</v>
      </c>
      <c r="CH17" s="41">
        <f t="shared" si="117"/>
        <v>1</v>
      </c>
      <c r="CI17" s="41">
        <f t="shared" ref="CI17:CJ17" si="118">CI16/CI10</f>
        <v>1</v>
      </c>
      <c r="CJ17" s="41">
        <f t="shared" si="118"/>
        <v>1</v>
      </c>
      <c r="CK17" s="41">
        <f t="shared" ref="CK17:CL17" si="119">CK16/CK10</f>
        <v>1</v>
      </c>
      <c r="CL17" s="41">
        <f t="shared" si="119"/>
        <v>1</v>
      </c>
      <c r="CM17" s="42">
        <f t="shared" ref="CM17:DB17" si="120">AVERAGE(CI17:CL17)</f>
        <v>1</v>
      </c>
      <c r="CN17" s="42">
        <f t="shared" si="120"/>
        <v>1</v>
      </c>
      <c r="CO17" s="42">
        <f t="shared" si="120"/>
        <v>1</v>
      </c>
      <c r="CP17" s="42">
        <f t="shared" si="120"/>
        <v>1</v>
      </c>
      <c r="CQ17" s="42">
        <f t="shared" si="120"/>
        <v>1</v>
      </c>
      <c r="CR17" s="42">
        <f t="shared" si="120"/>
        <v>1</v>
      </c>
      <c r="CS17" s="42">
        <f t="shared" si="120"/>
        <v>1</v>
      </c>
      <c r="CT17" s="42">
        <f t="shared" si="120"/>
        <v>1</v>
      </c>
      <c r="CU17" s="42">
        <f t="shared" si="120"/>
        <v>1</v>
      </c>
      <c r="CV17" s="42">
        <f t="shared" si="120"/>
        <v>1</v>
      </c>
      <c r="CW17" s="42">
        <f t="shared" si="120"/>
        <v>1</v>
      </c>
      <c r="CX17" s="42">
        <f t="shared" si="120"/>
        <v>1</v>
      </c>
      <c r="CY17" s="42">
        <f t="shared" si="120"/>
        <v>1</v>
      </c>
      <c r="CZ17" s="42">
        <f t="shared" si="120"/>
        <v>1</v>
      </c>
      <c r="DA17" s="42">
        <f t="shared" si="120"/>
        <v>1</v>
      </c>
      <c r="DB17" s="42">
        <f t="shared" si="120"/>
        <v>1</v>
      </c>
      <c r="DE17" s="125"/>
      <c r="DF17" s="41">
        <v>1</v>
      </c>
    </row>
    <row r="18" spans="1:110" s="39" customFormat="1" x14ac:dyDescent="0.2">
      <c r="A18" s="39" t="s">
        <v>447</v>
      </c>
      <c r="C18" s="39" t="e">
        <f t="shared" ref="C18:AE18" si="121">+IF(B16&lt;0,1-C16/B16,C16/B16-1)</f>
        <v>#DIV/0!</v>
      </c>
      <c r="D18" s="39" t="e">
        <f t="shared" si="121"/>
        <v>#DIV/0!</v>
      </c>
      <c r="E18" s="39" t="e">
        <f t="shared" si="121"/>
        <v>#DIV/0!</v>
      </c>
      <c r="F18" s="39" t="e">
        <f t="shared" si="121"/>
        <v>#DIV/0!</v>
      </c>
      <c r="G18" s="39" t="e">
        <f t="shared" si="121"/>
        <v>#DIV/0!</v>
      </c>
      <c r="H18" s="39" t="e">
        <f t="shared" si="121"/>
        <v>#DIV/0!</v>
      </c>
      <c r="I18" s="39" t="e">
        <f t="shared" si="121"/>
        <v>#DIV/0!</v>
      </c>
      <c r="J18" s="39" t="e">
        <f t="shared" si="121"/>
        <v>#DIV/0!</v>
      </c>
      <c r="K18" s="39" t="e">
        <f t="shared" si="121"/>
        <v>#DIV/0!</v>
      </c>
      <c r="L18" s="39" t="e">
        <f t="shared" si="121"/>
        <v>#DIV/0!</v>
      </c>
      <c r="M18" s="39" t="e">
        <f t="shared" si="121"/>
        <v>#DIV/0!</v>
      </c>
      <c r="N18" s="39" t="e">
        <f t="shared" si="121"/>
        <v>#DIV/0!</v>
      </c>
      <c r="O18" s="39" t="e">
        <f t="shared" si="121"/>
        <v>#DIV/0!</v>
      </c>
      <c r="P18" s="39">
        <f t="shared" si="121"/>
        <v>19.754751525719268</v>
      </c>
      <c r="Q18" s="39">
        <f t="shared" si="121"/>
        <v>0.17091895867567231</v>
      </c>
      <c r="R18" s="39">
        <f t="shared" si="121"/>
        <v>5.9389472311003999E-2</v>
      </c>
      <c r="S18" s="39">
        <f t="shared" si="121"/>
        <v>0.1535572453283256</v>
      </c>
      <c r="T18" s="39">
        <f t="shared" si="121"/>
        <v>0.35526140215099677</v>
      </c>
      <c r="U18" s="39">
        <f t="shared" si="121"/>
        <v>0.1064923301104701</v>
      </c>
      <c r="V18" s="39">
        <f t="shared" si="121"/>
        <v>-3.0147176594116587E-2</v>
      </c>
      <c r="W18" s="39">
        <f t="shared" si="121"/>
        <v>0.20551589995779596</v>
      </c>
      <c r="X18" s="39">
        <f t="shared" si="121"/>
        <v>0.34184209324626691</v>
      </c>
      <c r="Y18" s="39">
        <f t="shared" si="121"/>
        <v>9.4356531109976771E-2</v>
      </c>
      <c r="Z18" s="39">
        <f t="shared" si="121"/>
        <v>-5.2864532045215906E-4</v>
      </c>
      <c r="AA18" s="39">
        <f t="shared" si="121"/>
        <v>0.14039327124515144</v>
      </c>
      <c r="AB18" s="40">
        <f t="shared" si="121"/>
        <v>0.14873402303866223</v>
      </c>
      <c r="AC18" s="40">
        <f t="shared" si="121"/>
        <v>8.1266446940486459E-2</v>
      </c>
      <c r="AD18" s="40">
        <f t="shared" si="121"/>
        <v>8.0198543572288727E-2</v>
      </c>
      <c r="AE18" s="40">
        <f t="shared" si="121"/>
        <v>8.0014389355665294E-2</v>
      </c>
      <c r="AM18" s="39" t="e">
        <f>+IF(AI16&lt;0,1-AM16/AI16,AM16/AI16-1)</f>
        <v>#DIV/0!</v>
      </c>
      <c r="AN18" s="39" t="e">
        <f t="shared" ref="AN18" si="122">+IF(AJ16&lt;0,1-AN16/AJ16,AN16/AJ16-1)</f>
        <v>#DIV/0!</v>
      </c>
      <c r="AO18" s="39" t="e">
        <f t="shared" ref="AO18" si="123">+IF(AK16&lt;0,1-AO16/AK16,AO16/AK16-1)</f>
        <v>#DIV/0!</v>
      </c>
      <c r="AP18" s="39" t="e">
        <f t="shared" ref="AP18" si="124">+IF(AL16&lt;0,1-AP16/AL16,AP16/AL16-1)</f>
        <v>#DIV/0!</v>
      </c>
      <c r="AQ18" s="39" t="e">
        <f t="shared" ref="AQ18" si="125">+IF(AM16&lt;0,1-AQ16/AM16,AQ16/AM16-1)</f>
        <v>#DIV/0!</v>
      </c>
      <c r="AR18" s="39" t="e">
        <f t="shared" ref="AR18" si="126">+IF(AN16&lt;0,1-AR16/AN16,AR16/AN16-1)</f>
        <v>#DIV/0!</v>
      </c>
      <c r="AS18" s="39" t="e">
        <f t="shared" ref="AS18" si="127">+IF(AO16&lt;0,1-AS16/AO16,AS16/AO16-1)</f>
        <v>#DIV/0!</v>
      </c>
      <c r="AT18" s="39" t="e">
        <f t="shared" ref="AT18" si="128">+IF(AP16&lt;0,1-AT16/AP16,AT16/AP16-1)</f>
        <v>#DIV/0!</v>
      </c>
      <c r="AU18" s="39" t="e">
        <f t="shared" ref="AU18" si="129">+IF(AQ16&lt;0,1-AU16/AQ16,AU16/AQ16-1)</f>
        <v>#DIV/0!</v>
      </c>
      <c r="AV18" s="39" t="e">
        <f t="shared" ref="AV18" si="130">+IF(AR16&lt;0,1-AV16/AR16,AV16/AR16-1)</f>
        <v>#DIV/0!</v>
      </c>
      <c r="AW18" s="39" t="e">
        <f t="shared" ref="AW18" si="131">+IF(AS16&lt;0,1-AW16/AS16,AW16/AS16-1)</f>
        <v>#DIV/0!</v>
      </c>
      <c r="AX18" s="39" t="e">
        <f t="shared" ref="AX18" si="132">+IF(AT16&lt;0,1-AX16/AT16,AX16/AT16-1)</f>
        <v>#DIV/0!</v>
      </c>
      <c r="AY18" s="39" t="e">
        <f t="shared" ref="AY18" si="133">+IF(AU16&lt;0,1-AY16/AU16,AY16/AU16-1)</f>
        <v>#DIV/0!</v>
      </c>
      <c r="AZ18" s="39">
        <f t="shared" ref="AZ18" si="134">+IF(AV16&lt;0,1-AZ16/AV16,AZ16/AV16-1)</f>
        <v>6.6226023846552629E-2</v>
      </c>
      <c r="BA18" s="39">
        <f t="shared" ref="BA18" si="135">+IF(AW16&lt;0,1-BA16/AW16,BA16/AW16-1)</f>
        <v>3.8708023583696294E-2</v>
      </c>
      <c r="BB18" s="39">
        <f t="shared" ref="BB18" si="136">+IF(AX16&lt;0,1-BB16/AX16,BB16/AX16-1)</f>
        <v>1.3601197903668538E-2</v>
      </c>
      <c r="BC18" s="39">
        <f t="shared" ref="BC18" si="137">+IF(AY16&lt;0,1-BC16/AY16,BC16/AY16-1)</f>
        <v>2.4536056794121297E-2</v>
      </c>
      <c r="BD18" s="39">
        <f t="shared" ref="BD18" si="138">+IF(AZ16&lt;0,1-BD16/AZ16,BD16/AZ16-1)</f>
        <v>9.4688221709006815E-2</v>
      </c>
      <c r="BE18" s="39">
        <f t="shared" ref="BE18" si="139">+IF(BA16&lt;0,1-BE16/BA16,BE16/BA16-1)</f>
        <v>0.19582922013820347</v>
      </c>
      <c r="BF18" s="39">
        <f t="shared" ref="BF18" si="140">+IF(BB16&lt;0,1-BF16/BB16,BF16/BB16-1)</f>
        <v>0.29176412655422879</v>
      </c>
      <c r="BG18" s="39">
        <f t="shared" ref="BG18" si="141">+IF(BC16&lt;0,1-BG16/BC16,BG16/BC16-1)</f>
        <v>0.40068076829564792</v>
      </c>
      <c r="BH18" s="39">
        <f t="shared" ref="BH18" si="142">+IF(BD16&lt;0,1-BH16/BD16,BH16/BD16-1)</f>
        <v>0.40584055074394842</v>
      </c>
      <c r="BI18" s="39">
        <f t="shared" ref="BI18" si="143">+IF(BE16&lt;0,1-BI16/BE16,BI16/BE16-1)</f>
        <v>0.35888969146630911</v>
      </c>
      <c r="BJ18" s="39">
        <f t="shared" ref="BJ18" si="144">+IF(BF16&lt;0,1-BJ16/BF16,BJ16/BF16-1)</f>
        <v>0.27999618793481362</v>
      </c>
      <c r="BK18" s="39">
        <f t="shared" ref="BK18" si="145">+IF(BG16&lt;0,1-BK16/BG16,BK16/BG16-1)</f>
        <v>0.16950182260024294</v>
      </c>
      <c r="BL18" s="39">
        <f t="shared" ref="BL18" si="146">+IF(BH16&lt;0,1-BL16/BH16,BL16/BH16-1)</f>
        <v>0.10741647579180169</v>
      </c>
      <c r="BM18" s="39">
        <f t="shared" ref="BM18" si="147">+IF(BI16&lt;0,1-BM16/BI16,BM16/BI16-1)</f>
        <v>8.0492064697395449E-2</v>
      </c>
      <c r="BN18" s="39">
        <f t="shared" ref="BN18" si="148">+IF(BJ16&lt;0,1-BN16/BJ16,BN16/BJ16-1)</f>
        <v>7.7060531605986249E-2</v>
      </c>
      <c r="BO18" s="39">
        <f t="shared" ref="BO18" si="149">+IF(BK16&lt;0,1-BO16/BK16,BO16/BK16-1)</f>
        <v>-3.918367346938767E-2</v>
      </c>
      <c r="BP18" s="39">
        <f t="shared" ref="BP18" si="150">+IF(BL16&lt;0,1-BP16/BL16,BP16/BL16-1)</f>
        <v>-6.2976963126738394E-2</v>
      </c>
      <c r="BQ18" s="39">
        <f t="shared" ref="BQ18" si="151">+IF(BM16&lt;0,1-BQ16/BM16,BQ16/BM16-1)</f>
        <v>-1.5601939700611411E-2</v>
      </c>
      <c r="BR18" s="39">
        <f t="shared" ref="BR18" si="152">+IF(BN16&lt;0,1-BR16/BN16,BR16/BN16-1)</f>
        <v>-4.2167841836028286E-3</v>
      </c>
      <c r="BS18" s="39">
        <f t="shared" ref="BS18" si="153">+IF(BO16&lt;0,1-BS16/BO16,BS16/BO16-1)</f>
        <v>0.17278133930640305</v>
      </c>
      <c r="BT18" s="39">
        <f t="shared" ref="BT18" si="154">+IF(BP16&lt;0,1-BT16/BP16,BT16/BP16-1)</f>
        <v>0.22370223778352871</v>
      </c>
      <c r="BU18" s="39">
        <f t="shared" ref="BU18" si="155">+IF(BQ16&lt;0,1-BU16/BQ16,BU16/BQ16-1)</f>
        <v>0.20475476547440552</v>
      </c>
      <c r="BV18" s="39">
        <f t="shared" ref="BV18" si="156">+IF(BR16&lt;0,1-BV16/BR16,BV16/BR16-1)</f>
        <v>0.21909059354390825</v>
      </c>
      <c r="BW18" s="39">
        <f t="shared" ref="BW18" si="157">+IF(BS16&lt;0,1-BW16/BS16,BW16/BS16-1)</f>
        <v>0.32125922023182296</v>
      </c>
      <c r="BX18" s="39">
        <f t="shared" ref="BX18" si="158">+IF(BT16&lt;0,1-BX16/BT16,BX16/BT16-1)</f>
        <v>0.41923244386390479</v>
      </c>
      <c r="BY18" s="39">
        <f t="shared" ref="BY18" si="159">+IF(BU16&lt;0,1-BY16/BU16,BY16/BU16-1)</f>
        <v>0.27822222222222215</v>
      </c>
      <c r="BZ18" s="39">
        <f t="shared" ref="BZ18" si="160">+IF(BV16&lt;0,1-BZ16/BV16,BZ16/BV16-1)</f>
        <v>0.3499231251067707</v>
      </c>
      <c r="CA18" s="39">
        <f t="shared" ref="CA18" si="161">+IF(BW16&lt;0,1-CA16/BW16,CA16/BW16-1)</f>
        <v>0.14714385405243746</v>
      </c>
      <c r="CB18" s="39">
        <f t="shared" ref="CB18" si="162">+IF(BX16&lt;0,1-CB16/BX16,CB16/BX16-1)</f>
        <v>4.5930665731691356E-2</v>
      </c>
      <c r="CC18" s="39">
        <f t="shared" ref="CC18" si="163">+IF(BY16&lt;0,1-CC16/BY16,CC16/BY16-1)</f>
        <v>0.12276309689383402</v>
      </c>
      <c r="CD18" s="39">
        <f t="shared" ref="CD18" si="164">+IF(BZ16&lt;0,1-CD16/BZ16,CD16/BZ16-1)</f>
        <v>7.0404117101155794E-2</v>
      </c>
      <c r="CE18" s="39">
        <f t="shared" ref="CE18" si="165">+IF(CA16&lt;0,1-CE16/CA16,CE16/CA16-1)</f>
        <v>6.9740158164595556E-2</v>
      </c>
      <c r="CF18" s="39">
        <f t="shared" ref="CF18" si="166">+IF(CB16&lt;0,1-CF16/CB16,CF16/CB16-1)</f>
        <v>7.8106012989733964E-2</v>
      </c>
      <c r="CG18" s="39">
        <f t="shared" ref="CG18" si="167">+IF(CC16&lt;0,1-CG16/CC16,CG16/CC16-1)</f>
        <v>9.5466182178544745E-2</v>
      </c>
      <c r="CH18" s="39">
        <f t="shared" ref="CH18:CL18" si="168">+IF(CD16&lt;0,1-CH16/CD16,CH16/CD16-1)</f>
        <v>3.9527093596059215E-2</v>
      </c>
      <c r="CI18" s="39">
        <f t="shared" si="168"/>
        <v>0.16414151671473243</v>
      </c>
      <c r="CJ18" s="39">
        <f t="shared" si="168"/>
        <v>0.15803179291849667</v>
      </c>
      <c r="CK18" s="39">
        <f t="shared" si="168"/>
        <v>0.10196004523181301</v>
      </c>
      <c r="CL18" s="39">
        <f t="shared" si="168"/>
        <v>8.3440746076275607E-2</v>
      </c>
      <c r="CM18" s="40">
        <f t="shared" ref="CM18" si="169">+CM16/CI16-1</f>
        <v>0.10689352523532936</v>
      </c>
      <c r="CN18" s="40">
        <f t="shared" ref="CN18" si="170">+CN16/CJ16-1</f>
        <v>9.2581527365478644E-2</v>
      </c>
      <c r="CO18" s="40">
        <f t="shared" ref="CO18" si="171">+CO16/CK16-1</f>
        <v>7.6218960977224137E-2</v>
      </c>
      <c r="CP18" s="40">
        <f t="shared" ref="CP18" si="172">+CP16/CL16-1</f>
        <v>6.9783689913577085E-2</v>
      </c>
      <c r="CQ18" s="40">
        <f t="shared" ref="CQ18" si="173">+CQ16/CM16-1</f>
        <v>8.6369425872902417E-2</v>
      </c>
      <c r="CR18" s="40">
        <f t="shared" ref="CR18" si="174">+CR16/CN16-1</f>
        <v>8.1238401032295515E-2</v>
      </c>
      <c r="CS18" s="40">
        <f t="shared" ref="CS18" si="175">+CS16/CO16-1</f>
        <v>7.8402619448999733E-2</v>
      </c>
      <c r="CT18" s="40">
        <f t="shared" ref="CT18" si="176">+CT16/CP16-1</f>
        <v>7.8948534066943576E-2</v>
      </c>
      <c r="CU18" s="40">
        <f t="shared" ref="CU18" si="177">+CU16/CQ16-1</f>
        <v>8.123974510528531E-2</v>
      </c>
      <c r="CV18" s="40">
        <f t="shared" ref="CV18" si="178">+CV16/CR16-1</f>
        <v>7.9957324913381145E-2</v>
      </c>
      <c r="CW18" s="40">
        <f t="shared" ref="CW18" si="179">+CW16/CS16-1</f>
        <v>7.963705588365233E-2</v>
      </c>
      <c r="CX18" s="40">
        <f t="shared" ref="CX18" si="180">+CX16/CT16-1</f>
        <v>7.994566499231559E-2</v>
      </c>
      <c r="CY18" s="40">
        <f t="shared" ref="CY18" si="181">+CY16/CU16-1</f>
        <v>8.019494772365876E-2</v>
      </c>
      <c r="CZ18" s="40">
        <f t="shared" ref="CZ18" si="182">+CZ16/CV16-1</f>
        <v>7.9933748378252067E-2</v>
      </c>
      <c r="DA18" s="40">
        <f t="shared" ref="DA18" si="183">+DA16/CW16-1</f>
        <v>7.9927854244469687E-2</v>
      </c>
      <c r="DB18" s="40">
        <f t="shared" ref="DB18" si="184">+DB16/CX16-1</f>
        <v>8.0000553834673971E-2</v>
      </c>
      <c r="DE18" s="122"/>
      <c r="DF18" s="39">
        <v>0.14039327124515144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>+IF(AI16&lt;0,1-AJ16/AI16,AJ16/AI16-1)</f>
        <v>#DIV/0!</v>
      </c>
      <c r="AK19" s="39" t="e">
        <f t="shared" ref="AK19" si="185">+IF(AJ16&lt;0,1-AK16/AJ16,AK16/AJ16-1)</f>
        <v>#DIV/0!</v>
      </c>
      <c r="AL19" s="39" t="e">
        <f t="shared" ref="AL19" si="186">+IF(AK16&lt;0,1-AL16/AK16,AL16/AK16-1)</f>
        <v>#DIV/0!</v>
      </c>
      <c r="AM19" s="39" t="e">
        <f t="shared" ref="AM19" si="187">+IF(AL16&lt;0,1-AM16/AL16,AM16/AL16-1)</f>
        <v>#DIV/0!</v>
      </c>
      <c r="AN19" s="39" t="e">
        <f t="shared" ref="AN19" si="188">+IF(AM16&lt;0,1-AN16/AM16,AN16/AM16-1)</f>
        <v>#DIV/0!</v>
      </c>
      <c r="AO19" s="39" t="e">
        <f t="shared" ref="AO19" si="189">+IF(AN16&lt;0,1-AO16/AN16,AO16/AN16-1)</f>
        <v>#DIV/0!</v>
      </c>
      <c r="AP19" s="39" t="e">
        <f t="shared" ref="AP19" si="190">+IF(AO16&lt;0,1-AP16/AO16,AP16/AO16-1)</f>
        <v>#DIV/0!</v>
      </c>
      <c r="AQ19" s="39" t="e">
        <f t="shared" ref="AQ19" si="191">+IF(AP16&lt;0,1-AQ16/AP16,AQ16/AP16-1)</f>
        <v>#DIV/0!</v>
      </c>
      <c r="AR19" s="39" t="e">
        <f t="shared" ref="AR19" si="192">+IF(AQ16&lt;0,1-AR16/AQ16,AR16/AQ16-1)</f>
        <v>#DIV/0!</v>
      </c>
      <c r="AS19" s="39" t="e">
        <f t="shared" ref="AS19" si="193">+IF(AR16&lt;0,1-AS16/AR16,AS16/AR16-1)</f>
        <v>#DIV/0!</v>
      </c>
      <c r="AT19" s="39" t="e">
        <f t="shared" ref="AT19" si="194">+IF(AS16&lt;0,1-AT16/AS16,AT16/AS16-1)</f>
        <v>#DIV/0!</v>
      </c>
      <c r="AU19" s="39" t="e">
        <f t="shared" ref="AU19" si="195">+IF(AT16&lt;0,1-AU16/AT16,AU16/AT16-1)</f>
        <v>#DIV/0!</v>
      </c>
      <c r="AV19" s="39" t="e">
        <f t="shared" ref="AV19" si="196">+IF(AU16&lt;0,1-AV16/AU16,AV16/AU16-1)</f>
        <v>#DIV/0!</v>
      </c>
      <c r="AW19" s="39">
        <f t="shared" ref="AW19" si="197">+IF(AV16&lt;0,1-AW16/AV16,AW16/AV16-1)</f>
        <v>1.1145671332296603E-2</v>
      </c>
      <c r="AX19" s="39">
        <f t="shared" ref="AX19" si="198">+IF(AW16&lt;0,1-AX16/AW16,AX16/AW16-1)</f>
        <v>2.7172519866700773E-2</v>
      </c>
      <c r="AY19" s="39">
        <f t="shared" ref="AY19" si="199">+IF(AX16&lt;0,1-AY16/AX16,AY16/AX16-1)</f>
        <v>1.8717244821562229E-3</v>
      </c>
      <c r="AZ19" s="39">
        <f t="shared" ref="AZ19" si="200">+IF(AY16&lt;0,1-AZ16/AY16,AZ16/AY16-1)</f>
        <v>2.4660605305766747E-2</v>
      </c>
      <c r="BA19" s="39">
        <f t="shared" ref="BA19" si="201">+IF(AZ16&lt;0,1-BA16/AZ16,BA16/AZ16-1)</f>
        <v>-1.4950771848790678E-2</v>
      </c>
      <c r="BB19" s="39">
        <f t="shared" ref="BB19" si="202">+IF(BA16&lt;0,1-BB16/BA16,BB16/BA16-1)</f>
        <v>2.344521224086904E-3</v>
      </c>
      <c r="BC19" s="39">
        <f t="shared" ref="BC19" si="203">+IF(BB16&lt;0,1-BC16/BB16,BC16/BB16-1)</f>
        <v>1.268004431860148E-2</v>
      </c>
      <c r="BD19" s="39">
        <f t="shared" ref="BD19" si="204">+IF(BC16&lt;0,1-BD16/BC16,BD16/BC16-1)</f>
        <v>9.4821298322392389E-2</v>
      </c>
      <c r="BE19" s="39">
        <f t="shared" ref="BE19" si="205">+IF(BD16&lt;0,1-BE16/BD16,BE16/BD16-1)</f>
        <v>7.6060404174994378E-2</v>
      </c>
      <c r="BF19" s="39">
        <f t="shared" ref="BF19" si="206">+IF(BE16&lt;0,1-BF16/BE16,BF16/BE16-1)</f>
        <v>8.2757197399649041E-2</v>
      </c>
      <c r="BG19" s="39">
        <f t="shared" ref="BG19" si="207">+IF(BF16&lt;0,1-BG16/BF16,BG16/BF16-1)</f>
        <v>9.8065376917945368E-2</v>
      </c>
      <c r="BH19" s="39">
        <f t="shared" ref="BH19" si="208">+IF(BG16&lt;0,1-BH16/BG16,BH16/BG16-1)</f>
        <v>9.8854365561534374E-2</v>
      </c>
      <c r="BI19" s="39">
        <f t="shared" ref="BI19" si="209">+IF(BH16&lt;0,1-BI16/BH16,BI16/BH16-1)</f>
        <v>4.0123213016349579E-2</v>
      </c>
      <c r="BJ19" s="39">
        <f t="shared" ref="BJ19" si="210">+IF(BI16&lt;0,1-BJ16/BI16,BJ16/BI16-1)</f>
        <v>1.9895208444073109E-2</v>
      </c>
      <c r="BK19" s="39">
        <f t="shared" ref="BK19" si="211">+IF(BJ16&lt;0,1-BK16/BJ16,BK16/BJ16-1)</f>
        <v>3.2760032760033031E-3</v>
      </c>
      <c r="BL19" s="39">
        <f t="shared" ref="BL19" si="212">+IF(BK16&lt;0,1-BL16/BK16,BL16/BK16-1)</f>
        <v>4.05194805194804E-2</v>
      </c>
      <c r="BM19" s="39">
        <f t="shared" ref="BM19" si="213">+IF(BL16&lt;0,1-BM16/BL16,BM16/BL16-1)</f>
        <v>1.4834890521360888E-2</v>
      </c>
      <c r="BN19" s="39">
        <f t="shared" ref="BN19" si="214">+IF(BM16&lt;0,1-BN16/BM16,BN16/BM16-1)</f>
        <v>1.6656124815517481E-2</v>
      </c>
      <c r="BO19" s="39">
        <f t="shared" ref="BO19" si="215">+IF(BN16&lt;0,1-BO16/BN16,BO16/BN16-1)</f>
        <v>-0.10500483893266965</v>
      </c>
      <c r="BP19" s="39">
        <f t="shared" ref="BP19" si="216">+IF(BO16&lt;0,1-BP16/BO16,BP16/BO16-1)</f>
        <v>1.4752452305553332E-2</v>
      </c>
      <c r="BQ19" s="39">
        <f t="shared" ref="BQ19" si="217">+IF(BP16&lt;0,1-BQ16/BP16,BQ16/BP16-1)</f>
        <v>6.6144009742731047E-2</v>
      </c>
      <c r="BR19" s="39">
        <f t="shared" ref="BR19" si="218">+IF(BQ16&lt;0,1-BR16/BQ16,BR16/BQ16-1)</f>
        <v>2.8414364246448276E-2</v>
      </c>
      <c r="BS19" s="39">
        <f t="shared" ref="BS19" si="219">+IF(BR16&lt;0,1-BS16/BR16,BS16/BR16-1)</f>
        <v>5.4078444984380525E-2</v>
      </c>
      <c r="BT19" s="39">
        <f t="shared" ref="BT19" si="220">+IF(BS16&lt;0,1-BT16/BS16,BT16/BS16-1)</f>
        <v>5.8811907270811314E-2</v>
      </c>
      <c r="BU19" s="39">
        <f t="shared" ref="BU19" si="221">+IF(BT16&lt;0,1-BU16/BT16,BU16/BT16-1)</f>
        <v>4.9636126142936998E-2</v>
      </c>
      <c r="BV19" s="39">
        <f t="shared" ref="BV19" si="222">+IF(BU16&lt;0,1-BV16/BU16,BV16/BU16-1)</f>
        <v>4.0651851851851717E-2</v>
      </c>
      <c r="BW19" s="39">
        <f t="shared" ref="BW19" si="223">+IF(BV16&lt;0,1-BW16/BV16,BW16/BV16-1)</f>
        <v>0.14241785775297533</v>
      </c>
      <c r="BX19" s="39">
        <f t="shared" ref="BX19" si="224">+IF(BW16&lt;0,1-BX16/BW16,BX16/BW16-1)</f>
        <v>0.13732429468647189</v>
      </c>
      <c r="BY19" s="39">
        <f t="shared" ref="BY19" si="225">+IF(BX16&lt;0,1-BY16/BX16,BY16/BX16-1)</f>
        <v>-5.4652232984178428E-2</v>
      </c>
      <c r="BZ19" s="39">
        <f t="shared" ref="BZ19" si="226">+IF(BY16&lt;0,1-BZ16/BY16,BZ16/BY16-1)</f>
        <v>9.9026425591098644E-2</v>
      </c>
      <c r="CA19" s="39">
        <f t="shared" ref="CA19" si="227">+IF(BZ16&lt;0,1-CA16/BZ16,CA16/BZ16-1)</f>
        <v>-2.919092212941865E-2</v>
      </c>
      <c r="CB19" s="39">
        <f t="shared" ref="CB19" si="228">+IF(CA16&lt;0,1-CB16/CA16,CB16/CA16-1)</f>
        <v>3.6977491961414755E-2</v>
      </c>
      <c r="CC19" s="39">
        <f t="shared" ref="CC19" si="229">+IF(CB16&lt;0,1-CC16/CB16,CC16/CB16-1)</f>
        <v>1.4791535721768279E-2</v>
      </c>
      <c r="CD19" s="39">
        <f t="shared" ref="CD19" si="230">+IF(CC16&lt;0,1-CD16/CC16,CD16/CC16-1)</f>
        <v>4.7774382690560557E-2</v>
      </c>
      <c r="CE19" s="39">
        <f t="shared" ref="CE19" si="231">+IF(CD16&lt;0,1-CE16/CD16,CE16/CD16-1)</f>
        <v>-2.9793103448275793E-2</v>
      </c>
      <c r="CF19" s="39">
        <f t="shared" ref="CF19" si="232">+IF(CE16&lt;0,1-CF16/CE16,CF16/CE16-1)</f>
        <v>4.5087127828100204E-2</v>
      </c>
      <c r="CG19" s="39">
        <f t="shared" ref="CG19" si="233">+IF(CF16&lt;0,1-CG16/CF16,CG16/CF16-1)</f>
        <v>3.1132185471646645E-2</v>
      </c>
      <c r="CH19" s="39">
        <f t="shared" ref="CH19:CL19" si="234">+IF(CG16&lt;0,1-CH16/CG16,CH16/CG16-1)</f>
        <v>-5.7293629852995798E-3</v>
      </c>
      <c r="CI19" s="39">
        <f t="shared" si="234"/>
        <v>8.6511486845098018E-2</v>
      </c>
      <c r="CJ19" s="39">
        <f t="shared" si="234"/>
        <v>3.9602233077459914E-2</v>
      </c>
      <c r="CK19" s="39">
        <f t="shared" si="234"/>
        <v>-1.8795099848967989E-2</v>
      </c>
      <c r="CL19" s="39">
        <f t="shared" si="234"/>
        <v>-2.2438857533777945E-2</v>
      </c>
      <c r="CM19" s="40">
        <f t="shared" ref="CM19" si="235">+CM16/CL16-1</f>
        <v>0.11003073701824895</v>
      </c>
      <c r="CN19" s="40">
        <f t="shared" ref="CN19" si="236">+CN16/CM16-1</f>
        <v>2.6160303383153227E-2</v>
      </c>
      <c r="CO19" s="40">
        <f t="shared" ref="CO19" si="237">+CO16/CN16-1</f>
        <v>-3.3489683197741149E-2</v>
      </c>
      <c r="CP19" s="40">
        <f t="shared" ref="CP19" si="238">+CP16/CO16-1</f>
        <v>-2.8284202357796384E-2</v>
      </c>
      <c r="CQ19" s="40">
        <f t="shared" ref="CQ19" si="239">+CQ16/CP16-1</f>
        <v>0.12724045603388223</v>
      </c>
      <c r="CR19" s="40">
        <f t="shared" ref="CR19" si="240">+CR16/CQ16-1</f>
        <v>2.1313651883482221E-2</v>
      </c>
      <c r="CS19" s="40">
        <f t="shared" ref="CS19" si="241">+CS16/CR16-1</f>
        <v>-3.6024565563957944E-2</v>
      </c>
      <c r="CT19" s="40">
        <f t="shared" ref="CT19" si="242">+CT16/CS16-1</f>
        <v>-2.7792295301143577E-2</v>
      </c>
      <c r="CU19" s="40">
        <f t="shared" ref="CU19" si="243">+CU16/CT16-1</f>
        <v>0.12963421782527651</v>
      </c>
      <c r="CV19" s="40">
        <f t="shared" ref="CV19" si="244">+CV16/CU16-1</f>
        <v>2.0102307909703798E-2</v>
      </c>
      <c r="CW19" s="40">
        <f t="shared" ref="CW19" si="245">+CW16/CV16-1</f>
        <v>-3.6310439338733125E-2</v>
      </c>
      <c r="CX19" s="40">
        <f t="shared" ref="CX19" si="246">+CX16/CW16-1</f>
        <v>-2.7514394360686367E-2</v>
      </c>
      <c r="CY19" s="40">
        <f t="shared" ref="CY19" si="247">+CY16/CX16-1</f>
        <v>0.12989497011343909</v>
      </c>
      <c r="CZ19" s="40">
        <f t="shared" ref="CZ19" si="248">+CZ16/CY16-1</f>
        <v>1.9855639421172855E-2</v>
      </c>
      <c r="DA19" s="40">
        <f t="shared" ref="DA19" si="249">+DA16/CZ16-1</f>
        <v>-3.6315699027305359E-2</v>
      </c>
      <c r="DB19" s="40">
        <f t="shared" ref="DB19" si="250">+DB16/DA16-1</f>
        <v>-2.7448927667951595E-2</v>
      </c>
      <c r="DE19" s="122"/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0</v>
      </c>
      <c r="J20" s="23">
        <f>'Annual Raw'!K14</f>
        <v>0</v>
      </c>
      <c r="K20" s="23">
        <f>'Annual Raw'!L14</f>
        <v>0</v>
      </c>
      <c r="L20" s="23">
        <f>'Annual Raw'!M14</f>
        <v>0</v>
      </c>
      <c r="M20" s="23">
        <f>'Annual Raw'!N14</f>
        <v>0</v>
      </c>
      <c r="N20" s="23">
        <f>'Annual Raw'!O14</f>
        <v>0</v>
      </c>
      <c r="O20" s="23">
        <f>'Annual Raw'!P14</f>
        <v>73.19</v>
      </c>
      <c r="P20" s="23">
        <f>'Annual Raw'!Q14</f>
        <v>1486.61</v>
      </c>
      <c r="Q20" s="23">
        <f>'Annual Raw'!R14</f>
        <v>1968.1</v>
      </c>
      <c r="R20" s="23">
        <f>'Annual Raw'!S14</f>
        <v>2095.8000000000002</v>
      </c>
      <c r="S20" s="23">
        <f>'Annual Raw'!T14</f>
        <v>2460</v>
      </c>
      <c r="T20" s="23">
        <f>'Annual Raw'!U14</f>
        <v>3031.8</v>
      </c>
      <c r="U20" s="23">
        <f>'Annual Raw'!V14</f>
        <v>3251.6</v>
      </c>
      <c r="V20" s="23">
        <f>'Annual Raw'!W14</f>
        <v>3355</v>
      </c>
      <c r="W20" s="23">
        <f>'Annual Raw'!X14</f>
        <v>3650.5</v>
      </c>
      <c r="X20" s="23">
        <f>'Annual Raw'!Y14</f>
        <v>4630.8</v>
      </c>
      <c r="Y20" s="23">
        <f>'Annual Raw'!Z14</f>
        <v>4929.8</v>
      </c>
      <c r="Z20" s="23">
        <f>'Annual Raw'!AA14</f>
        <v>5592.3</v>
      </c>
      <c r="AA20" s="23">
        <f>'Annual Raw'!AB14</f>
        <v>6457.4</v>
      </c>
      <c r="AB20" s="76">
        <f t="shared" ref="AB20:AB25" si="251">+SUM(CM20:CP20)</f>
        <v>6972.7620000000006</v>
      </c>
      <c r="AC20" s="76">
        <f t="shared" ref="AC20:AC25" si="252">+SUM(CQ20:CT20)</f>
        <v>7460.855340000001</v>
      </c>
      <c r="AD20" s="76">
        <f t="shared" ref="AD20:AD25" si="253">+SUM(CU20:CX20)</f>
        <v>7983.1152138000016</v>
      </c>
      <c r="AE20" s="76">
        <f t="shared" ref="AE20:AE25" si="254">+SUM(CY20:DB20)</f>
        <v>8541.9332787660023</v>
      </c>
      <c r="AI20" s="23">
        <f>'QTR Raw'!C16</f>
        <v>0</v>
      </c>
      <c r="AJ20" s="23">
        <f>'QTR Raw'!D16</f>
        <v>0</v>
      </c>
      <c r="AK20" s="23">
        <f>'QTR Raw'!E16</f>
        <v>0</v>
      </c>
      <c r="AL20" s="23">
        <f>'QTR Raw'!F16</f>
        <v>0</v>
      </c>
      <c r="AM20" s="23">
        <f>'QTR Raw'!G16</f>
        <v>0</v>
      </c>
      <c r="AN20" s="23">
        <f>'QTR Raw'!H16</f>
        <v>0</v>
      </c>
      <c r="AO20" s="23">
        <f>'QTR Raw'!I16</f>
        <v>0</v>
      </c>
      <c r="AP20" s="23">
        <f>'QTR Raw'!J16</f>
        <v>0</v>
      </c>
      <c r="AQ20" s="23">
        <f>'QTR Raw'!K16</f>
        <v>0</v>
      </c>
      <c r="AR20" s="23">
        <f>'QTR Raw'!L16</f>
        <v>0</v>
      </c>
      <c r="AS20" s="23">
        <f>'QTR Raw'!M16</f>
        <v>0</v>
      </c>
      <c r="AT20" s="23">
        <f>'QTR Raw'!N16</f>
        <v>0</v>
      </c>
      <c r="AU20" s="23">
        <f>'QTR Raw'!O16</f>
        <v>0</v>
      </c>
      <c r="AV20" s="23">
        <f>'QTR Raw'!P16</f>
        <v>501.6</v>
      </c>
      <c r="AW20" s="23">
        <f>'QTR Raw'!Q16</f>
        <v>494.4</v>
      </c>
      <c r="AX20" s="23">
        <f>'QTR Raw'!R16</f>
        <v>504.4</v>
      </c>
      <c r="AY20" s="23">
        <f>'QTR Raw'!S16</f>
        <v>520.79999999999995</v>
      </c>
      <c r="AZ20" s="23">
        <f>'QTR Raw'!T16</f>
        <v>522.79999999999995</v>
      </c>
      <c r="BA20" s="23">
        <f>'QTR Raw'!U16</f>
        <v>525</v>
      </c>
      <c r="BB20" s="23">
        <f>'QTR Raw'!V16</f>
        <v>527</v>
      </c>
      <c r="BC20" s="23">
        <f>'QTR Raw'!W16</f>
        <v>533.70000000000005</v>
      </c>
      <c r="BD20" s="23">
        <f>'QTR Raw'!X16</f>
        <v>612.5</v>
      </c>
      <c r="BE20" s="23">
        <f>'QTR Raw'!Y16</f>
        <v>632</v>
      </c>
      <c r="BF20" s="23">
        <f>'QTR Raw'!Z16</f>
        <v>681.8</v>
      </c>
      <c r="BG20" s="23">
        <f>'QTR Raw'!AA16</f>
        <v>738.1</v>
      </c>
      <c r="BH20" s="23">
        <f>'QTR Raw'!AB16</f>
        <v>792.4</v>
      </c>
      <c r="BI20" s="23">
        <f>'QTR Raw'!AC16</f>
        <v>829.8</v>
      </c>
      <c r="BJ20" s="23">
        <f>'QTR Raw'!AD16</f>
        <v>783.7</v>
      </c>
      <c r="BK20" s="23">
        <f>'QTR Raw'!AE16</f>
        <v>781.5</v>
      </c>
      <c r="BL20" s="23">
        <f>'QTR Raw'!AF16</f>
        <v>822.8</v>
      </c>
      <c r="BM20" s="23">
        <f>'QTR Raw'!AG16</f>
        <v>819.2</v>
      </c>
      <c r="BN20" s="23">
        <f>'QTR Raw'!AH16</f>
        <v>833.7</v>
      </c>
      <c r="BO20" s="23">
        <f>'QTR Raw'!AI16</f>
        <v>833.7</v>
      </c>
      <c r="BP20" s="23">
        <f>'QTR Raw'!AJ16</f>
        <v>816.1</v>
      </c>
      <c r="BQ20" s="23">
        <f>'QTR Raw'!AK16</f>
        <v>855.6</v>
      </c>
      <c r="BR20" s="23">
        <f>'QTR Raw'!AL16</f>
        <v>849.6</v>
      </c>
      <c r="BS20" s="23">
        <f>'QTR Raw'!AM16</f>
        <v>875.8</v>
      </c>
      <c r="BT20" s="23">
        <f>'QTR Raw'!AN16</f>
        <v>903.8</v>
      </c>
      <c r="BU20" s="23">
        <f>'QTR Raw'!AO16</f>
        <v>922.4</v>
      </c>
      <c r="BV20" s="23">
        <f>'QTR Raw'!AP16</f>
        <v>948.5</v>
      </c>
      <c r="BW20" s="23">
        <f>'QTR Raw'!AQ16</f>
        <v>1084.2</v>
      </c>
      <c r="BX20" s="23">
        <f>'QTR Raw'!AR16</f>
        <v>1170</v>
      </c>
      <c r="BY20" s="23">
        <f>'QTR Raw'!AS16</f>
        <v>1191.8</v>
      </c>
      <c r="BZ20" s="23">
        <f>'QTR Raw'!AT16</f>
        <v>1184.8</v>
      </c>
      <c r="CA20" s="23">
        <f>'QTR Raw'!AU16</f>
        <v>1215.0999999999999</v>
      </c>
      <c r="CB20" s="23">
        <f>'QTR Raw'!AV16</f>
        <v>1241.7</v>
      </c>
      <c r="CC20" s="23">
        <f>'QTR Raw'!AW16</f>
        <v>1253.9000000000001</v>
      </c>
      <c r="CD20" s="23">
        <f>'QTR Raw'!AX16</f>
        <v>1219.0999999999999</v>
      </c>
      <c r="CE20" s="23">
        <f>'QTR Raw'!AY16</f>
        <v>1331.7</v>
      </c>
      <c r="CF20" s="23">
        <f>'QTR Raw'!AZ16</f>
        <v>1385.2</v>
      </c>
      <c r="CG20" s="23">
        <f>'QTR Raw'!BA16</f>
        <v>1395.1</v>
      </c>
      <c r="CH20" s="23">
        <f>'QTR Raw'!BB16</f>
        <v>1548.5</v>
      </c>
      <c r="CI20" s="23">
        <f>'QTR Raw'!BC16</f>
        <v>1591.2</v>
      </c>
      <c r="CJ20" s="23">
        <f>'QTR Raw'!BD16</f>
        <v>1601.2</v>
      </c>
      <c r="CK20" s="23">
        <f>'QTR Raw'!BE16</f>
        <v>1642.5</v>
      </c>
      <c r="CL20" s="23">
        <f>'QTR Raw'!BF16</f>
        <v>1681.7</v>
      </c>
      <c r="CM20" s="24">
        <f t="shared" ref="CM20:DB20" si="255">CI20*107%</f>
        <v>1702.5840000000001</v>
      </c>
      <c r="CN20" s="24">
        <f t="shared" si="255"/>
        <v>1713.2840000000001</v>
      </c>
      <c r="CO20" s="24">
        <f t="shared" si="255"/>
        <v>1757.4750000000001</v>
      </c>
      <c r="CP20" s="24">
        <f t="shared" si="255"/>
        <v>1799.4190000000001</v>
      </c>
      <c r="CQ20" s="24">
        <f t="shared" si="255"/>
        <v>1821.7648800000002</v>
      </c>
      <c r="CR20" s="24">
        <f t="shared" si="255"/>
        <v>1833.2138800000002</v>
      </c>
      <c r="CS20" s="24">
        <f t="shared" si="255"/>
        <v>1880.4982500000003</v>
      </c>
      <c r="CT20" s="24">
        <f t="shared" si="255"/>
        <v>1925.3783300000002</v>
      </c>
      <c r="CU20" s="24">
        <f t="shared" si="255"/>
        <v>1949.2884216000002</v>
      </c>
      <c r="CV20" s="24">
        <f t="shared" si="255"/>
        <v>1961.5388516000003</v>
      </c>
      <c r="CW20" s="24">
        <f t="shared" si="255"/>
        <v>2012.1331275000005</v>
      </c>
      <c r="CX20" s="24">
        <f t="shared" si="255"/>
        <v>2060.1548131000004</v>
      </c>
      <c r="CY20" s="24">
        <f t="shared" si="255"/>
        <v>2085.7386111120004</v>
      </c>
      <c r="CZ20" s="24">
        <f t="shared" si="255"/>
        <v>2098.8465712120005</v>
      </c>
      <c r="DA20" s="24">
        <f t="shared" si="255"/>
        <v>2152.9824464250005</v>
      </c>
      <c r="DB20" s="24">
        <f t="shared" si="255"/>
        <v>2204.3656500170005</v>
      </c>
      <c r="DE20" s="123"/>
      <c r="DF20" s="23">
        <v>6457.4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0</v>
      </c>
      <c r="J21" s="23">
        <f>'Annual Raw'!K17</f>
        <v>0</v>
      </c>
      <c r="K21" s="23">
        <f>'Annual Raw'!L17</f>
        <v>0</v>
      </c>
      <c r="L21" s="23">
        <f>'Annual Raw'!M17</f>
        <v>0</v>
      </c>
      <c r="M21" s="23">
        <f>'Annual Raw'!N17</f>
        <v>0</v>
      </c>
      <c r="N21" s="23">
        <f>'Annual Raw'!O17</f>
        <v>3.0000000000000001E-3</v>
      </c>
      <c r="O21" s="23">
        <f>'Annual Raw'!P17</f>
        <v>15.429</v>
      </c>
      <c r="P21" s="23">
        <f>'Annual Raw'!Q17</f>
        <v>180.57900000000001</v>
      </c>
      <c r="Q21" s="23">
        <f>'Annual Raw'!R17</f>
        <v>167.3</v>
      </c>
      <c r="R21" s="23">
        <f>'Annual Raw'!S17</f>
        <v>182</v>
      </c>
      <c r="S21" s="23">
        <f>'Annual Raw'!T17</f>
        <v>208.2</v>
      </c>
      <c r="T21" s="23">
        <f>'Annual Raw'!U17</f>
        <v>420.9</v>
      </c>
      <c r="U21" s="23">
        <f>'Annual Raw'!V17</f>
        <v>431.3</v>
      </c>
      <c r="V21" s="23">
        <f>'Annual Raw'!W17</f>
        <v>313.3</v>
      </c>
      <c r="W21" s="23">
        <f>'Annual Raw'!X17</f>
        <v>379.4</v>
      </c>
      <c r="X21" s="23">
        <f>'Annual Raw'!Y17</f>
        <v>444.4</v>
      </c>
      <c r="Y21" s="23">
        <f>'Annual Raw'!Z17</f>
        <v>477.7</v>
      </c>
      <c r="Z21" s="23">
        <f>'Annual Raw'!AA17</f>
        <v>502.1</v>
      </c>
      <c r="AA21" s="23">
        <f>'Annual Raw'!AB17</f>
        <v>522.79999999999995</v>
      </c>
      <c r="AB21" s="76">
        <f t="shared" si="251"/>
        <v>0</v>
      </c>
      <c r="AC21" s="76">
        <f t="shared" si="252"/>
        <v>0</v>
      </c>
      <c r="AD21" s="76">
        <f t="shared" si="253"/>
        <v>0</v>
      </c>
      <c r="AE21" s="76">
        <f t="shared" si="254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522.79999999999995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0</v>
      </c>
      <c r="K22" s="23">
        <f>'Annual Raw'!L19-'Annual Raw'!L20</f>
        <v>0</v>
      </c>
      <c r="L22" s="23">
        <f>'Annual Raw'!M19-'Annual Raw'!M20</f>
        <v>0</v>
      </c>
      <c r="M22" s="23">
        <f>'Annual Raw'!N19-'Annual Raw'!N20</f>
        <v>0</v>
      </c>
      <c r="N22" s="23">
        <f>'Annual Raw'!O19-'Annual Raw'!O20</f>
        <v>0</v>
      </c>
      <c r="O22" s="23">
        <f>'Annual Raw'!P19-'Annual Raw'!P20</f>
        <v>4.1289999999999996</v>
      </c>
      <c r="P22" s="23">
        <f>'Annual Raw'!Q19-'Annual Raw'!Q20</f>
        <v>13.16</v>
      </c>
      <c r="Q22" s="23">
        <f>'Annual Raw'!R19-'Annual Raw'!R20</f>
        <v>26.3</v>
      </c>
      <c r="R22" s="23">
        <f>'Annual Raw'!S19-'Annual Raw'!S20</f>
        <v>53.7</v>
      </c>
      <c r="S22" s="23">
        <f>'Annual Raw'!T19-'Annual Raw'!T20</f>
        <v>40.6</v>
      </c>
      <c r="T22" s="23">
        <f>'Annual Raw'!U19-'Annual Raw'!U20</f>
        <v>51</v>
      </c>
      <c r="U22" s="23">
        <f>'Annual Raw'!V19-'Annual Raw'!V20</f>
        <v>76</v>
      </c>
      <c r="V22" s="23">
        <f>'Annual Raw'!W19-'Annual Raw'!W20</f>
        <v>62.1</v>
      </c>
      <c r="W22" s="23">
        <f>'Annual Raw'!X19-'Annual Raw'!X20</f>
        <v>85.6</v>
      </c>
      <c r="X22" s="23">
        <f>'Annual Raw'!Y19-'Annual Raw'!Y20</f>
        <v>94.4</v>
      </c>
      <c r="Y22" s="23">
        <f>'Annual Raw'!Z19-'Annual Raw'!Z20</f>
        <v>107.1</v>
      </c>
      <c r="Z22" s="23">
        <f>'Annual Raw'!AA19-'Annual Raw'!AA20</f>
        <v>92.3</v>
      </c>
      <c r="AA22" s="23">
        <f>'Annual Raw'!AB19-'Annual Raw'!AB20</f>
        <v>161.5</v>
      </c>
      <c r="AB22" s="76">
        <f t="shared" si="251"/>
        <v>0</v>
      </c>
      <c r="AC22" s="76">
        <f t="shared" si="252"/>
        <v>0</v>
      </c>
      <c r="AD22" s="76">
        <f t="shared" si="253"/>
        <v>0</v>
      </c>
      <c r="AE22" s="76">
        <f t="shared" si="254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1.1000000000000001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161.5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17.547000000000001</v>
      </c>
      <c r="P23" s="23">
        <f>'Annual Raw'!Q15+'Annual Raw'!Q16</f>
        <v>519.25599999999997</v>
      </c>
      <c r="Q23" s="23">
        <f>'Annual Raw'!R15+'Annual Raw'!R16</f>
        <v>367.1</v>
      </c>
      <c r="R23" s="23">
        <f>'Annual Raw'!S15+'Annual Raw'!S16</f>
        <v>329.4</v>
      </c>
      <c r="S23" s="23">
        <f>'Annual Raw'!T15+'Annual Raw'!T16</f>
        <v>446.1</v>
      </c>
      <c r="T23" s="23">
        <f>'Annual Raw'!U15+'Annual Raw'!U16</f>
        <v>623</v>
      </c>
      <c r="U23" s="23">
        <f>'Annual Raw'!V15+'Annual Raw'!V16</f>
        <v>708.2</v>
      </c>
      <c r="V23" s="23">
        <f>'Annual Raw'!W15+'Annual Raw'!W16</f>
        <v>719.3</v>
      </c>
      <c r="W23" s="23">
        <f>'Annual Raw'!X15+'Annual Raw'!X16</f>
        <v>1032.8</v>
      </c>
      <c r="X23" s="23">
        <f>'Annual Raw'!Y15+'Annual Raw'!Y16</f>
        <v>1840.6</v>
      </c>
      <c r="Y23" s="23">
        <f>'Annual Raw'!Z15+'Annual Raw'!Z16</f>
        <v>2151.3000000000002</v>
      </c>
      <c r="Z23" s="23">
        <f>'Annual Raw'!AA15+'Annual Raw'!AA16</f>
        <v>1596.3</v>
      </c>
      <c r="AA23" s="23">
        <f>'Annual Raw'!AB15+'Annual Raw'!AB16</f>
        <v>1861.1</v>
      </c>
      <c r="AB23" s="76">
        <f t="shared" si="251"/>
        <v>3410.1911815148351</v>
      </c>
      <c r="AC23" s="76">
        <f t="shared" si="252"/>
        <v>3765.412653785238</v>
      </c>
      <c r="AD23" s="76">
        <f t="shared" si="253"/>
        <v>4142.8319141398933</v>
      </c>
      <c r="AE23" s="76">
        <f t="shared" si="254"/>
        <v>4554.0688461810532</v>
      </c>
      <c r="AI23" s="23">
        <f>'QTR Raw'!C14</f>
        <v>0</v>
      </c>
      <c r="AJ23" s="23">
        <f>'QTR Raw'!D14</f>
        <v>0</v>
      </c>
      <c r="AK23" s="23">
        <f>'QTR Raw'!E14</f>
        <v>0</v>
      </c>
      <c r="AL23" s="23">
        <f>'QTR Raw'!F14</f>
        <v>0</v>
      </c>
      <c r="AM23" s="23">
        <f>'QTR Raw'!G14</f>
        <v>0</v>
      </c>
      <c r="AN23" s="23">
        <f>'QTR Raw'!H14</f>
        <v>0</v>
      </c>
      <c r="AO23" s="23">
        <f>'QTR Raw'!I14</f>
        <v>0</v>
      </c>
      <c r="AP23" s="23">
        <f>'QTR Raw'!J14</f>
        <v>0</v>
      </c>
      <c r="AQ23" s="23">
        <f>'QTR Raw'!K14</f>
        <v>0</v>
      </c>
      <c r="AR23" s="23">
        <f>'QTR Raw'!L14</f>
        <v>0</v>
      </c>
      <c r="AS23" s="23">
        <f>'QTR Raw'!M14</f>
        <v>0</v>
      </c>
      <c r="AT23" s="23">
        <f>'QTR Raw'!N14</f>
        <v>0</v>
      </c>
      <c r="AU23" s="23">
        <f>'QTR Raw'!O14</f>
        <v>0</v>
      </c>
      <c r="AV23" s="23">
        <f>'QTR Raw'!P14</f>
        <v>147.5</v>
      </c>
      <c r="AW23" s="23">
        <f>'QTR Raw'!Q14</f>
        <v>132.1</v>
      </c>
      <c r="AX23" s="23">
        <f>'QTR Raw'!R14</f>
        <v>151.6</v>
      </c>
      <c r="AY23" s="23">
        <f>'QTR Raw'!S14</f>
        <v>133.1</v>
      </c>
      <c r="AZ23" s="23">
        <f>'QTR Raw'!T14</f>
        <v>143.69999999999999</v>
      </c>
      <c r="BA23" s="23">
        <f>'QTR Raw'!U14</f>
        <v>139.69999999999999</v>
      </c>
      <c r="BB23" s="23">
        <f>'QTR Raw'!V14</f>
        <v>150.69999999999999</v>
      </c>
      <c r="BC23" s="23">
        <f>'QTR Raw'!W14</f>
        <v>163.19999999999999</v>
      </c>
      <c r="BD23" s="23">
        <f>'QTR Raw'!X14</f>
        <v>150.69999999999999</v>
      </c>
      <c r="BE23" s="23">
        <f>'QTR Raw'!Y14</f>
        <v>188.6</v>
      </c>
      <c r="BF23" s="23">
        <f>'QTR Raw'!Z14</f>
        <v>203.5</v>
      </c>
      <c r="BG23" s="23">
        <f>'QTR Raw'!AA14</f>
        <v>218</v>
      </c>
      <c r="BH23" s="23">
        <f>'QTR Raw'!AB14</f>
        <v>244.9</v>
      </c>
      <c r="BI23" s="23">
        <f>'QTR Raw'!AC14</f>
        <v>245.4</v>
      </c>
      <c r="BJ23" s="23">
        <f>'QTR Raw'!AD14</f>
        <v>310.2</v>
      </c>
      <c r="BK23" s="23">
        <f>'QTR Raw'!AE14</f>
        <v>293.3</v>
      </c>
      <c r="BL23" s="23">
        <f>'QTR Raw'!AF14</f>
        <v>296.10000000000002</v>
      </c>
      <c r="BM23" s="23">
        <f>'QTR Raw'!AG14</f>
        <v>317.39999999999998</v>
      </c>
      <c r="BN23" s="23">
        <f>'QTR Raw'!AH14</f>
        <v>344.6</v>
      </c>
      <c r="BO23" s="23">
        <f>'QTR Raw'!AI14</f>
        <v>255.1</v>
      </c>
      <c r="BP23" s="23">
        <f>'QTR Raw'!AJ14</f>
        <v>264.89999999999998</v>
      </c>
      <c r="BQ23" s="23">
        <f>'QTR Raw'!AK14</f>
        <v>269.5</v>
      </c>
      <c r="BR23" s="23">
        <f>'QTR Raw'!AL14</f>
        <v>297.8</v>
      </c>
      <c r="BS23" s="23">
        <f>'QTR Raw'!AM14</f>
        <v>324.89999999999998</v>
      </c>
      <c r="BT23" s="23">
        <f>'QTR Raw'!AN14</f>
        <v>354.6</v>
      </c>
      <c r="BU23" s="23">
        <f>'QTR Raw'!AO14</f>
        <v>397.7</v>
      </c>
      <c r="BV23" s="23">
        <f>'QTR Raw'!AP14</f>
        <v>427.1</v>
      </c>
      <c r="BW23" s="23">
        <f>'QTR Raw'!AQ14</f>
        <v>514.29999999999995</v>
      </c>
      <c r="BX23" s="23">
        <f>'QTR Raw'!AR14</f>
        <v>674.3</v>
      </c>
      <c r="BY23" s="23">
        <f>'QTR Raw'!AS14</f>
        <v>529.6</v>
      </c>
      <c r="BZ23" s="23">
        <f>'QTR Raw'!AT14</f>
        <v>705.6</v>
      </c>
      <c r="CA23" s="23">
        <f>'QTR Raw'!AU14</f>
        <v>633.5</v>
      </c>
      <c r="CB23" s="23">
        <f>'QTR Raw'!AV14</f>
        <v>669.2</v>
      </c>
      <c r="CC23" s="23">
        <f>'QTR Raw'!AW14</f>
        <v>680.2</v>
      </c>
      <c r="CD23" s="23">
        <f>'QTR Raw'!AX14</f>
        <v>815.6</v>
      </c>
      <c r="CE23" s="23">
        <f>'QTR Raw'!AY14</f>
        <v>674</v>
      </c>
      <c r="CF23" s="23">
        <f>'QTR Raw'!AZ14</f>
        <v>721.7</v>
      </c>
      <c r="CG23" s="23">
        <f>'QTR Raw'!BA14</f>
        <v>763.2</v>
      </c>
      <c r="CH23" s="23">
        <f>'QTR Raw'!BB14</f>
        <v>656.6</v>
      </c>
      <c r="CI23" s="23">
        <f>'QTR Raw'!BC14</f>
        <v>812.4</v>
      </c>
      <c r="CJ23" s="23">
        <f>'QTR Raw'!BD14</f>
        <v>887.5</v>
      </c>
      <c r="CK23" s="23">
        <f>'QTR Raw'!BE14</f>
        <v>767.2</v>
      </c>
      <c r="CL23" s="23">
        <f>'QTR Raw'!BF14</f>
        <v>654.79999999999995</v>
      </c>
      <c r="CM23" s="24">
        <f t="shared" ref="CM23:DB23" si="256">CM26-CM20-CM21-CM22-CM24-CM25</f>
        <v>900.80047782170436</v>
      </c>
      <c r="CN23" s="24">
        <f t="shared" si="256"/>
        <v>970.53061991449295</v>
      </c>
      <c r="CO23" s="24">
        <f t="shared" si="256"/>
        <v>827.93174979743594</v>
      </c>
      <c r="CP23" s="24">
        <f t="shared" si="256"/>
        <v>710.9283339812016</v>
      </c>
      <c r="CQ23" s="24">
        <f t="shared" si="256"/>
        <v>1011.0431066048423</v>
      </c>
      <c r="CR23" s="24">
        <f t="shared" si="256"/>
        <v>1061.1386159140384</v>
      </c>
      <c r="CS23" s="24">
        <f t="shared" si="256"/>
        <v>907.78118595867568</v>
      </c>
      <c r="CT23" s="24">
        <f t="shared" si="256"/>
        <v>785.44974530768218</v>
      </c>
      <c r="CU23" s="24">
        <f t="shared" si="256"/>
        <v>1113.6031523251672</v>
      </c>
      <c r="CV23" s="24">
        <f t="shared" si="256"/>
        <v>1162.9103925642403</v>
      </c>
      <c r="CW23" s="24">
        <f t="shared" si="256"/>
        <v>998.54606272010665</v>
      </c>
      <c r="CX23" s="24">
        <f t="shared" si="256"/>
        <v>867.77230653037896</v>
      </c>
      <c r="CY23" s="24">
        <f t="shared" si="256"/>
        <v>1222.6188799902357</v>
      </c>
      <c r="CZ23" s="24">
        <f t="shared" si="256"/>
        <v>1275.1590384933374</v>
      </c>
      <c r="DA23" s="24">
        <f t="shared" si="256"/>
        <v>1098.4473958675335</v>
      </c>
      <c r="DB23" s="24">
        <f t="shared" si="256"/>
        <v>957.8435318299471</v>
      </c>
      <c r="DE23" s="123"/>
      <c r="DF23" s="23">
        <v>1861.1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0</v>
      </c>
      <c r="N24" s="23">
        <f>'Annual Raw'!O13</f>
        <v>0</v>
      </c>
      <c r="O24" s="23">
        <f>'Annual Raw'!P13</f>
        <v>0.05</v>
      </c>
      <c r="P24" s="23">
        <f>'Annual Raw'!Q13</f>
        <v>12.378</v>
      </c>
      <c r="Q24" s="23">
        <f>'Annual Raw'!R13</f>
        <v>10.6</v>
      </c>
      <c r="R24" s="23">
        <f>'Annual Raw'!S13</f>
        <v>11.6</v>
      </c>
      <c r="S24" s="23">
        <f>'Annual Raw'!T13</f>
        <v>12.3</v>
      </c>
      <c r="T24" s="23">
        <f>'Annual Raw'!U13</f>
        <v>14.7</v>
      </c>
      <c r="U24" s="23">
        <f>'Annual Raw'!V13</f>
        <v>16.600000000000001</v>
      </c>
      <c r="V24" s="23">
        <f>'Annual Raw'!W13</f>
        <v>18.2</v>
      </c>
      <c r="W24" s="23">
        <f>'Annual Raw'!X13</f>
        <v>19</v>
      </c>
      <c r="X24" s="23">
        <f>'Annual Raw'!Y13</f>
        <v>30.7</v>
      </c>
      <c r="Y24" s="23">
        <f>'Annual Raw'!Z13</f>
        <v>38</v>
      </c>
      <c r="Z24" s="23">
        <f>'Annual Raw'!AA13</f>
        <v>29.5</v>
      </c>
      <c r="AA24" s="23">
        <f>'Annual Raw'!AB13</f>
        <v>27</v>
      </c>
      <c r="AB24" s="76">
        <f t="shared" si="251"/>
        <v>0</v>
      </c>
      <c r="AC24" s="76">
        <f t="shared" si="252"/>
        <v>0</v>
      </c>
      <c r="AD24" s="76">
        <f t="shared" si="253"/>
        <v>0</v>
      </c>
      <c r="AE24" s="76">
        <f t="shared" si="254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27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0</v>
      </c>
      <c r="N25" s="23">
        <f>'Annual Raw'!O18</f>
        <v>0</v>
      </c>
      <c r="O25" s="23">
        <f>'Annual Raw'!P18</f>
        <v>0.245</v>
      </c>
      <c r="P25" s="23">
        <f>'Annual Raw'!Q18</f>
        <v>7.9080000000000004</v>
      </c>
      <c r="Q25" s="23">
        <f>'Annual Raw'!R18</f>
        <v>7.4</v>
      </c>
      <c r="R25" s="23">
        <f>'Annual Raw'!S18</f>
        <v>11.4</v>
      </c>
      <c r="S25" s="23">
        <f>'Annual Raw'!T18</f>
        <v>17</v>
      </c>
      <c r="T25" s="23">
        <f>'Annual Raw'!U18</f>
        <v>22.3</v>
      </c>
      <c r="U25" s="23">
        <f>'Annual Raw'!V18</f>
        <v>27</v>
      </c>
      <c r="V25" s="23">
        <f>'Annual Raw'!W18</f>
        <v>15</v>
      </c>
      <c r="W25" s="23">
        <f>'Annual Raw'!X18</f>
        <v>20.3</v>
      </c>
      <c r="X25" s="23">
        <f>'Annual Raw'!Y18</f>
        <v>28.2</v>
      </c>
      <c r="Y25" s="23">
        <f>'Annual Raw'!Z18</f>
        <v>35.9</v>
      </c>
      <c r="Z25" s="23">
        <f>'Annual Raw'!AA18</f>
        <v>43.2</v>
      </c>
      <c r="AA25" s="23">
        <f>'Annual Raw'!AB18</f>
        <v>56</v>
      </c>
      <c r="AB25" s="76">
        <f t="shared" si="251"/>
        <v>0</v>
      </c>
      <c r="AC25" s="76">
        <f t="shared" si="252"/>
        <v>0</v>
      </c>
      <c r="AD25" s="76">
        <f t="shared" si="253"/>
        <v>0</v>
      </c>
      <c r="AE25" s="76">
        <f t="shared" si="254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56</v>
      </c>
    </row>
    <row r="26" spans="1:110" s="22" customFormat="1" x14ac:dyDescent="0.2">
      <c r="A26" s="33" t="s">
        <v>348</v>
      </c>
      <c r="B26" s="22">
        <f t="shared" ref="B26:E26" si="257">+SUM(B20:B25)</f>
        <v>0</v>
      </c>
      <c r="C26" s="22">
        <f t="shared" si="257"/>
        <v>0</v>
      </c>
      <c r="D26" s="22">
        <f t="shared" si="257"/>
        <v>0</v>
      </c>
      <c r="E26" s="22">
        <f t="shared" si="257"/>
        <v>0</v>
      </c>
      <c r="F26" s="22">
        <f t="shared" ref="F26:AE26" si="258">+SUM(F20:F25)</f>
        <v>0</v>
      </c>
      <c r="G26" s="22">
        <f t="shared" si="258"/>
        <v>0</v>
      </c>
      <c r="H26" s="22">
        <f t="shared" si="258"/>
        <v>0</v>
      </c>
      <c r="I26" s="22">
        <f t="shared" si="258"/>
        <v>0</v>
      </c>
      <c r="J26" s="22">
        <f t="shared" si="258"/>
        <v>0</v>
      </c>
      <c r="K26" s="22">
        <f t="shared" si="258"/>
        <v>0</v>
      </c>
      <c r="L26" s="22">
        <f t="shared" si="258"/>
        <v>0</v>
      </c>
      <c r="M26" s="22">
        <f t="shared" si="258"/>
        <v>0</v>
      </c>
      <c r="N26" s="22">
        <f t="shared" si="258"/>
        <v>3.0000000000000001E-3</v>
      </c>
      <c r="O26" s="22">
        <f t="shared" si="258"/>
        <v>110.59</v>
      </c>
      <c r="P26" s="22">
        <f t="shared" si="258"/>
        <v>2219.8910000000001</v>
      </c>
      <c r="Q26" s="22">
        <f t="shared" si="258"/>
        <v>2546.8000000000002</v>
      </c>
      <c r="R26" s="22">
        <f t="shared" si="258"/>
        <v>2683.9</v>
      </c>
      <c r="S26" s="22">
        <f t="shared" si="258"/>
        <v>3184.2</v>
      </c>
      <c r="T26" s="22">
        <f t="shared" si="258"/>
        <v>4163.7000000000007</v>
      </c>
      <c r="U26" s="22">
        <f t="shared" si="258"/>
        <v>4510.7000000000007</v>
      </c>
      <c r="V26" s="22">
        <f t="shared" si="258"/>
        <v>4482.8999999999996</v>
      </c>
      <c r="W26" s="22">
        <f t="shared" si="258"/>
        <v>5187.6000000000004</v>
      </c>
      <c r="X26" s="22">
        <f t="shared" si="258"/>
        <v>7069.0999999999985</v>
      </c>
      <c r="Y26" s="22">
        <f t="shared" si="258"/>
        <v>7739.8</v>
      </c>
      <c r="Z26" s="22">
        <f t="shared" ref="Z26:AA26" si="259">+SUM(Z20:Z25)</f>
        <v>7855.7000000000007</v>
      </c>
      <c r="AA26" s="22">
        <f t="shared" si="259"/>
        <v>9085.7999999999993</v>
      </c>
      <c r="AB26" s="21">
        <f t="shared" si="258"/>
        <v>10382.953181514837</v>
      </c>
      <c r="AC26" s="21">
        <f t="shared" si="258"/>
        <v>11226.267993785239</v>
      </c>
      <c r="AD26" s="21">
        <f t="shared" si="258"/>
        <v>12125.947127939895</v>
      </c>
      <c r="AE26" s="21">
        <f t="shared" si="258"/>
        <v>13096.002124947056</v>
      </c>
      <c r="AI26" s="22">
        <f t="shared" ref="AI26:BN26" si="260">+SUM(AI20:AI25)</f>
        <v>0</v>
      </c>
      <c r="AJ26" s="22">
        <f t="shared" si="260"/>
        <v>0</v>
      </c>
      <c r="AK26" s="22">
        <f t="shared" si="260"/>
        <v>0</v>
      </c>
      <c r="AL26" s="22">
        <f t="shared" si="260"/>
        <v>0</v>
      </c>
      <c r="AM26" s="22">
        <f t="shared" si="260"/>
        <v>0</v>
      </c>
      <c r="AN26" s="22">
        <f t="shared" si="260"/>
        <v>0</v>
      </c>
      <c r="AO26" s="22">
        <f t="shared" si="260"/>
        <v>0</v>
      </c>
      <c r="AP26" s="22">
        <f t="shared" si="260"/>
        <v>0</v>
      </c>
      <c r="AQ26" s="22">
        <f t="shared" si="260"/>
        <v>0</v>
      </c>
      <c r="AR26" s="22">
        <f t="shared" si="260"/>
        <v>0</v>
      </c>
      <c r="AS26" s="22">
        <f t="shared" si="260"/>
        <v>0</v>
      </c>
      <c r="AT26" s="22">
        <f t="shared" si="260"/>
        <v>0</v>
      </c>
      <c r="AU26" s="22">
        <f t="shared" si="260"/>
        <v>0</v>
      </c>
      <c r="AV26" s="22">
        <f t="shared" si="260"/>
        <v>649.1</v>
      </c>
      <c r="AW26" s="22">
        <f t="shared" si="260"/>
        <v>626.5</v>
      </c>
      <c r="AX26" s="22">
        <f t="shared" si="260"/>
        <v>656</v>
      </c>
      <c r="AY26" s="22">
        <f t="shared" si="260"/>
        <v>653.9</v>
      </c>
      <c r="AZ26" s="22">
        <f t="shared" si="260"/>
        <v>666.5</v>
      </c>
      <c r="BA26" s="22">
        <f t="shared" si="260"/>
        <v>664.7</v>
      </c>
      <c r="BB26" s="22">
        <f t="shared" si="260"/>
        <v>677.7</v>
      </c>
      <c r="BC26" s="22">
        <f t="shared" si="260"/>
        <v>696.90000000000009</v>
      </c>
      <c r="BD26" s="22">
        <f t="shared" si="260"/>
        <v>763.2</v>
      </c>
      <c r="BE26" s="22">
        <f t="shared" si="260"/>
        <v>820.6</v>
      </c>
      <c r="BF26" s="22">
        <f t="shared" si="260"/>
        <v>885.3</v>
      </c>
      <c r="BG26" s="22">
        <f t="shared" si="260"/>
        <v>956.1</v>
      </c>
      <c r="BH26" s="22">
        <f t="shared" si="260"/>
        <v>1037.3</v>
      </c>
      <c r="BI26" s="22">
        <f t="shared" si="260"/>
        <v>1075.2</v>
      </c>
      <c r="BJ26" s="22">
        <f t="shared" si="260"/>
        <v>1095</v>
      </c>
      <c r="BK26" s="22">
        <f t="shared" si="260"/>
        <v>1074.8</v>
      </c>
      <c r="BL26" s="22">
        <f t="shared" si="260"/>
        <v>1118.9000000000001</v>
      </c>
      <c r="BM26" s="22">
        <f t="shared" si="260"/>
        <v>1136.5999999999999</v>
      </c>
      <c r="BN26" s="22">
        <f t="shared" si="260"/>
        <v>1178.3000000000002</v>
      </c>
      <c r="BO26" s="22">
        <f t="shared" ref="BO26:CH26" si="261">+SUM(BO20:BO25)</f>
        <v>1088.8</v>
      </c>
      <c r="BP26" s="22">
        <f t="shared" si="261"/>
        <v>1081</v>
      </c>
      <c r="BQ26" s="22">
        <f t="shared" si="261"/>
        <v>1125.0999999999999</v>
      </c>
      <c r="BR26" s="22">
        <f t="shared" si="261"/>
        <v>1147.4000000000001</v>
      </c>
      <c r="BS26" s="22">
        <f t="shared" si="261"/>
        <v>1200.6999999999998</v>
      </c>
      <c r="BT26" s="22">
        <f t="shared" si="261"/>
        <v>1258.4000000000001</v>
      </c>
      <c r="BU26" s="22">
        <f t="shared" si="261"/>
        <v>1320.1</v>
      </c>
      <c r="BV26" s="22">
        <f t="shared" si="261"/>
        <v>1375.6</v>
      </c>
      <c r="BW26" s="22">
        <f t="shared" si="261"/>
        <v>1598.5</v>
      </c>
      <c r="BX26" s="22">
        <f t="shared" si="261"/>
        <v>1844.3</v>
      </c>
      <c r="BY26" s="22">
        <f t="shared" si="261"/>
        <v>1721.4</v>
      </c>
      <c r="BZ26" s="22">
        <f t="shared" si="261"/>
        <v>1890.4</v>
      </c>
      <c r="CA26" s="22">
        <f t="shared" si="261"/>
        <v>1848.6</v>
      </c>
      <c r="CB26" s="22">
        <f t="shared" si="261"/>
        <v>1910.9</v>
      </c>
      <c r="CC26" s="22">
        <f t="shared" si="261"/>
        <v>1934.1000000000001</v>
      </c>
      <c r="CD26" s="22">
        <f t="shared" si="261"/>
        <v>2034.6999999999998</v>
      </c>
      <c r="CE26" s="22">
        <f t="shared" si="261"/>
        <v>2005.7</v>
      </c>
      <c r="CF26" s="22">
        <f t="shared" si="261"/>
        <v>2106.9</v>
      </c>
      <c r="CG26" s="22">
        <f t="shared" si="261"/>
        <v>2158.3000000000002</v>
      </c>
      <c r="CH26" s="22">
        <f t="shared" si="261"/>
        <v>2205.1</v>
      </c>
      <c r="CI26" s="22">
        <f t="shared" ref="CI26:CJ26" si="262">+SUM(CI20:CI25)</f>
        <v>2403.6</v>
      </c>
      <c r="CJ26" s="22">
        <f t="shared" si="262"/>
        <v>2488.6999999999998</v>
      </c>
      <c r="CK26" s="22">
        <f t="shared" ref="CK26:CL26" si="263">+SUM(CK20:CK25)</f>
        <v>2409.6999999999998</v>
      </c>
      <c r="CL26" s="22">
        <f t="shared" si="263"/>
        <v>2336.5</v>
      </c>
      <c r="CM26" s="21">
        <f t="shared" ref="CM26:DB26" si="264">CM27*CM10</f>
        <v>2603.3844778217044</v>
      </c>
      <c r="CN26" s="21">
        <f t="shared" si="264"/>
        <v>2683.8146199144931</v>
      </c>
      <c r="CO26" s="21">
        <f t="shared" si="264"/>
        <v>2585.4067497974361</v>
      </c>
      <c r="CP26" s="21">
        <f t="shared" si="264"/>
        <v>2510.3473339812017</v>
      </c>
      <c r="CQ26" s="21">
        <f t="shared" si="264"/>
        <v>2832.8079866048424</v>
      </c>
      <c r="CR26" s="21">
        <f t="shared" si="264"/>
        <v>2894.3524959140386</v>
      </c>
      <c r="CS26" s="21">
        <f t="shared" si="264"/>
        <v>2788.279435958676</v>
      </c>
      <c r="CT26" s="21">
        <f t="shared" si="264"/>
        <v>2710.8280753076824</v>
      </c>
      <c r="CU26" s="21">
        <f t="shared" si="264"/>
        <v>3062.8915739251674</v>
      </c>
      <c r="CV26" s="21">
        <f t="shared" si="264"/>
        <v>3124.4492441642406</v>
      </c>
      <c r="CW26" s="21">
        <f t="shared" si="264"/>
        <v>3010.6791902201071</v>
      </c>
      <c r="CX26" s="21">
        <f t="shared" si="264"/>
        <v>2927.9271196303794</v>
      </c>
      <c r="CY26" s="21">
        <f t="shared" si="264"/>
        <v>3308.3574911022361</v>
      </c>
      <c r="CZ26" s="21">
        <f t="shared" si="264"/>
        <v>3374.005609705338</v>
      </c>
      <c r="DA26" s="21">
        <f t="shared" si="264"/>
        <v>3251.429842292534</v>
      </c>
      <c r="DB26" s="21">
        <f t="shared" si="264"/>
        <v>3162.2091818469476</v>
      </c>
      <c r="DE26" s="126"/>
      <c r="DF26" s="22">
        <v>9085.7999999999993</v>
      </c>
    </row>
    <row r="27" spans="1:110" s="44" customFormat="1" x14ac:dyDescent="0.2">
      <c r="A27" s="43" t="s">
        <v>349</v>
      </c>
      <c r="B27" s="44" t="e">
        <f t="shared" ref="B27:E27" si="265">B26/B10</f>
        <v>#DIV/0!</v>
      </c>
      <c r="C27" s="44" t="e">
        <f t="shared" si="265"/>
        <v>#DIV/0!</v>
      </c>
      <c r="D27" s="44" t="e">
        <f t="shared" si="265"/>
        <v>#DIV/0!</v>
      </c>
      <c r="E27" s="44" t="e">
        <f t="shared" si="265"/>
        <v>#DIV/0!</v>
      </c>
      <c r="F27" s="44" t="e">
        <f t="shared" ref="F27:AE27" si="266">F26/F10</f>
        <v>#DIV/0!</v>
      </c>
      <c r="G27" s="44" t="e">
        <f t="shared" si="266"/>
        <v>#DIV/0!</v>
      </c>
      <c r="H27" s="44" t="e">
        <f t="shared" si="266"/>
        <v>#DIV/0!</v>
      </c>
      <c r="I27" s="44" t="e">
        <f t="shared" si="266"/>
        <v>#DIV/0!</v>
      </c>
      <c r="J27" s="44" t="e">
        <f t="shared" si="266"/>
        <v>#DIV/0!</v>
      </c>
      <c r="K27" s="44" t="e">
        <f t="shared" si="266"/>
        <v>#DIV/0!</v>
      </c>
      <c r="L27" s="44" t="e">
        <f t="shared" si="266"/>
        <v>#DIV/0!</v>
      </c>
      <c r="M27" s="44" t="e">
        <f t="shared" si="266"/>
        <v>#DIV/0!</v>
      </c>
      <c r="N27" s="44" t="e">
        <f t="shared" si="266"/>
        <v>#DIV/0!</v>
      </c>
      <c r="O27" s="44">
        <f t="shared" si="266"/>
        <v>0.87651581199968298</v>
      </c>
      <c r="P27" s="44">
        <f t="shared" si="266"/>
        <v>0.84773089103564581</v>
      </c>
      <c r="Q27" s="44">
        <f t="shared" si="266"/>
        <v>0.83060465723044818</v>
      </c>
      <c r="R27" s="44">
        <f t="shared" si="266"/>
        <v>0.82624757565495799</v>
      </c>
      <c r="S27" s="44">
        <f t="shared" si="266"/>
        <v>0.84977716100451017</v>
      </c>
      <c r="T27" s="44">
        <f t="shared" si="266"/>
        <v>0.81990036035681246</v>
      </c>
      <c r="U27" s="44">
        <f t="shared" si="266"/>
        <v>0.80274421170650112</v>
      </c>
      <c r="V27" s="44">
        <f t="shared" si="266"/>
        <v>0.82259573921500262</v>
      </c>
      <c r="W27" s="44">
        <f t="shared" si="266"/>
        <v>0.78962509703639439</v>
      </c>
      <c r="X27" s="44">
        <f t="shared" si="266"/>
        <v>0.80189439056207801</v>
      </c>
      <c r="Y27" s="44">
        <f t="shared" si="266"/>
        <v>0.80227628455630084</v>
      </c>
      <c r="Z27" s="44">
        <f t="shared" ref="Z27:AA27" si="267">Z26/Z10</f>
        <v>0.81472070689261789</v>
      </c>
      <c r="AA27" s="44">
        <f t="shared" si="267"/>
        <v>0.82628979892505383</v>
      </c>
      <c r="AB27" s="52">
        <f t="shared" si="266"/>
        <v>0.82199775230962357</v>
      </c>
      <c r="AC27" s="52">
        <f t="shared" si="266"/>
        <v>0.82196327390840251</v>
      </c>
      <c r="AD27" s="52">
        <f t="shared" si="266"/>
        <v>0.82191913377780135</v>
      </c>
      <c r="AE27" s="52">
        <f t="shared" si="266"/>
        <v>0.82190687937201901</v>
      </c>
      <c r="AI27" s="44" t="e">
        <f t="shared" ref="AI27:BN27" si="268">AI26/AI10</f>
        <v>#DIV/0!</v>
      </c>
      <c r="AJ27" s="44" t="e">
        <f t="shared" si="268"/>
        <v>#DIV/0!</v>
      </c>
      <c r="AK27" s="44" t="e">
        <f t="shared" si="268"/>
        <v>#DIV/0!</v>
      </c>
      <c r="AL27" s="44" t="e">
        <f t="shared" si="268"/>
        <v>#DIV/0!</v>
      </c>
      <c r="AM27" s="44" t="e">
        <f t="shared" si="268"/>
        <v>#DIV/0!</v>
      </c>
      <c r="AN27" s="44" t="e">
        <f t="shared" si="268"/>
        <v>#DIV/0!</v>
      </c>
      <c r="AO27" s="44" t="e">
        <f t="shared" si="268"/>
        <v>#DIV/0!</v>
      </c>
      <c r="AP27" s="44" t="e">
        <f t="shared" si="268"/>
        <v>#DIV/0!</v>
      </c>
      <c r="AQ27" s="44" t="e">
        <f t="shared" si="268"/>
        <v>#DIV/0!</v>
      </c>
      <c r="AR27" s="44" t="e">
        <f t="shared" si="268"/>
        <v>#DIV/0!</v>
      </c>
      <c r="AS27" s="44" t="e">
        <f t="shared" si="268"/>
        <v>#DIV/0!</v>
      </c>
      <c r="AT27" s="44" t="e">
        <f t="shared" si="268"/>
        <v>#DIV/0!</v>
      </c>
      <c r="AU27" s="44" t="e">
        <f t="shared" si="268"/>
        <v>#DIV/0!</v>
      </c>
      <c r="AV27" s="44">
        <f t="shared" si="268"/>
        <v>0.84123898392949714</v>
      </c>
      <c r="AW27" s="44">
        <f t="shared" si="268"/>
        <v>0.80299923096641879</v>
      </c>
      <c r="AX27" s="44">
        <f t="shared" si="268"/>
        <v>0.81856750686298985</v>
      </c>
      <c r="AY27" s="44">
        <f t="shared" si="268"/>
        <v>0.81442271764852414</v>
      </c>
      <c r="AZ27" s="44">
        <f t="shared" si="268"/>
        <v>0.81013735261942377</v>
      </c>
      <c r="BA27" s="44">
        <f t="shared" si="268"/>
        <v>0.82021224086870692</v>
      </c>
      <c r="BB27" s="44">
        <f t="shared" si="268"/>
        <v>0.8342976732734213</v>
      </c>
      <c r="BC27" s="44">
        <f t="shared" si="268"/>
        <v>0.84719183078045235</v>
      </c>
      <c r="BD27" s="44">
        <f t="shared" si="268"/>
        <v>0.84743504330446373</v>
      </c>
      <c r="BE27" s="44">
        <f t="shared" si="268"/>
        <v>0.84676503972758232</v>
      </c>
      <c r="BF27" s="44">
        <f t="shared" si="268"/>
        <v>0.83930602957906708</v>
      </c>
      <c r="BG27" s="44">
        <f t="shared" si="268"/>
        <v>0.82980385349765662</v>
      </c>
      <c r="BH27" s="44">
        <f t="shared" si="268"/>
        <v>0.81928757602085145</v>
      </c>
      <c r="BI27" s="44">
        <f t="shared" si="268"/>
        <v>0.81646290530792009</v>
      </c>
      <c r="BJ27" s="44">
        <f t="shared" si="268"/>
        <v>0.81527808800536083</v>
      </c>
      <c r="BK27" s="44">
        <f t="shared" si="268"/>
        <v>0.79762523191094614</v>
      </c>
      <c r="BL27" s="44">
        <f t="shared" si="268"/>
        <v>0.79801725982454896</v>
      </c>
      <c r="BM27" s="44">
        <f t="shared" si="268"/>
        <v>0.79879120106824075</v>
      </c>
      <c r="BN27" s="44">
        <f t="shared" si="268"/>
        <v>0.81453062353103844</v>
      </c>
      <c r="BO27" s="44">
        <f t="shared" ref="BO27:CH27" si="269">BO26/BO10</f>
        <v>0.84096701938673046</v>
      </c>
      <c r="BP27" s="44">
        <f t="shared" si="269"/>
        <v>0.82280407976861014</v>
      </c>
      <c r="BQ27" s="44">
        <f t="shared" si="269"/>
        <v>0.80324123652459478</v>
      </c>
      <c r="BR27" s="44">
        <f t="shared" si="269"/>
        <v>0.79652898299201669</v>
      </c>
      <c r="BS27" s="44">
        <f t="shared" si="269"/>
        <v>0.7907665964172812</v>
      </c>
      <c r="BT27" s="44">
        <f t="shared" si="269"/>
        <v>0.78273309697082794</v>
      </c>
      <c r="BU27" s="44">
        <f t="shared" si="269"/>
        <v>0.78228148148148147</v>
      </c>
      <c r="BV27" s="44">
        <f t="shared" si="269"/>
        <v>0.78332668982404186</v>
      </c>
      <c r="BW27" s="44">
        <f t="shared" si="269"/>
        <v>0.7967799820556275</v>
      </c>
      <c r="BX27" s="44">
        <f t="shared" si="269"/>
        <v>0.80830082832975414</v>
      </c>
      <c r="BY27" s="44">
        <f t="shared" si="269"/>
        <v>0.79805285118219749</v>
      </c>
      <c r="BZ27" s="44">
        <f t="shared" si="269"/>
        <v>0.79743524846030545</v>
      </c>
      <c r="CA27" s="44">
        <f t="shared" si="269"/>
        <v>0.80325019553315369</v>
      </c>
      <c r="CB27" s="44">
        <f t="shared" si="269"/>
        <v>0.80071234024722404</v>
      </c>
      <c r="CC27" s="44">
        <f t="shared" si="269"/>
        <v>0.7986208605169709</v>
      </c>
      <c r="CD27" s="44">
        <f t="shared" si="269"/>
        <v>0.80185221674876839</v>
      </c>
      <c r="CE27" s="44">
        <f t="shared" si="269"/>
        <v>0.81469596652991594</v>
      </c>
      <c r="CF27" s="44">
        <f t="shared" si="269"/>
        <v>0.8188814178553383</v>
      </c>
      <c r="CG27" s="44">
        <f t="shared" si="269"/>
        <v>0.81353185073501699</v>
      </c>
      <c r="CH27" s="44">
        <f t="shared" si="269"/>
        <v>0.83596178633709906</v>
      </c>
      <c r="CI27" s="44">
        <f t="shared" ref="CI27:CJ27" si="270">CI26/CI10</f>
        <v>0.8386601535240753</v>
      </c>
      <c r="CJ27" s="44">
        <f t="shared" si="270"/>
        <v>0.83527437489511658</v>
      </c>
      <c r="CK27" s="44">
        <f t="shared" ref="CK27:CL27" si="271">CK26/CK10</f>
        <v>0.82425175303574472</v>
      </c>
      <c r="CL27" s="44">
        <f t="shared" si="271"/>
        <v>0.81755834703803487</v>
      </c>
      <c r="CM27" s="52">
        <f>AVERAGE(CI27:CL27)*0.99</f>
        <v>0.82064679555201048</v>
      </c>
      <c r="CN27" s="52">
        <f t="shared" ref="CN27:DB27" si="272">AVERAGE(CJ27:CM27)</f>
        <v>0.82443281763022669</v>
      </c>
      <c r="CO27" s="52">
        <f t="shared" si="272"/>
        <v>0.82172242831400411</v>
      </c>
      <c r="CP27" s="52">
        <f t="shared" si="272"/>
        <v>0.82109009713356906</v>
      </c>
      <c r="CQ27" s="52">
        <f>AVERAGE(CM27:CP27)</f>
        <v>0.82197303465745264</v>
      </c>
      <c r="CR27" s="52">
        <f t="shared" ref="CR27:CT27" si="273">AVERAGE(CN27:CQ27)</f>
        <v>0.82230459443381321</v>
      </c>
      <c r="CS27" s="52">
        <f t="shared" si="273"/>
        <v>0.82177253863470978</v>
      </c>
      <c r="CT27" s="52">
        <f t="shared" si="273"/>
        <v>0.82178506621488623</v>
      </c>
      <c r="CU27" s="52">
        <f t="shared" si="272"/>
        <v>0.82195880848521552</v>
      </c>
      <c r="CV27" s="52">
        <f t="shared" si="272"/>
        <v>0.82195525194215624</v>
      </c>
      <c r="CW27" s="52">
        <f t="shared" si="272"/>
        <v>0.82186791631924194</v>
      </c>
      <c r="CX27" s="52">
        <f t="shared" si="272"/>
        <v>0.82189176074037507</v>
      </c>
      <c r="CY27" s="52">
        <f t="shared" si="272"/>
        <v>0.82191843437174716</v>
      </c>
      <c r="CZ27" s="52">
        <f t="shared" si="272"/>
        <v>0.82190834084338016</v>
      </c>
      <c r="DA27" s="52">
        <f t="shared" si="272"/>
        <v>0.82189661306868611</v>
      </c>
      <c r="DB27" s="52">
        <f t="shared" si="272"/>
        <v>0.82190378725604718</v>
      </c>
      <c r="DE27" s="128"/>
      <c r="DF27" s="44">
        <v>0.82628979892505383</v>
      </c>
    </row>
    <row r="28" spans="1:110" s="26" customFormat="1" x14ac:dyDescent="0.2">
      <c r="A28" s="34" t="s">
        <v>13</v>
      </c>
      <c r="B28" s="26">
        <f t="shared" ref="B28:E28" si="274">B16-B26</f>
        <v>0</v>
      </c>
      <c r="C28" s="26">
        <f t="shared" si="274"/>
        <v>0</v>
      </c>
      <c r="D28" s="26">
        <f t="shared" si="274"/>
        <v>0</v>
      </c>
      <c r="E28" s="26">
        <f t="shared" si="274"/>
        <v>0</v>
      </c>
      <c r="F28" s="26">
        <f t="shared" ref="F28:AE28" si="275">F16-F26</f>
        <v>0</v>
      </c>
      <c r="G28" s="26">
        <f t="shared" si="275"/>
        <v>0</v>
      </c>
      <c r="H28" s="26">
        <f t="shared" si="275"/>
        <v>0</v>
      </c>
      <c r="I28" s="26">
        <f t="shared" si="275"/>
        <v>0</v>
      </c>
      <c r="J28" s="26">
        <f t="shared" si="275"/>
        <v>0</v>
      </c>
      <c r="K28" s="26">
        <f t="shared" si="275"/>
        <v>0</v>
      </c>
      <c r="L28" s="26">
        <f t="shared" si="275"/>
        <v>0</v>
      </c>
      <c r="M28" s="26">
        <f t="shared" si="275"/>
        <v>0</v>
      </c>
      <c r="N28" s="26">
        <f t="shared" si="275"/>
        <v>-3.0000000000000001E-3</v>
      </c>
      <c r="O28" s="26">
        <f t="shared" si="275"/>
        <v>15.579999999999998</v>
      </c>
      <c r="P28" s="26">
        <f t="shared" si="275"/>
        <v>398.73599999999988</v>
      </c>
      <c r="Q28" s="26">
        <f t="shared" si="275"/>
        <v>519.39999999999964</v>
      </c>
      <c r="R28" s="26">
        <f t="shared" si="275"/>
        <v>564.40000000000009</v>
      </c>
      <c r="S28" s="26">
        <f t="shared" si="275"/>
        <v>562.90000000000009</v>
      </c>
      <c r="T28" s="26">
        <f t="shared" si="275"/>
        <v>914.59999999999945</v>
      </c>
      <c r="U28" s="26">
        <f t="shared" si="275"/>
        <v>1108.3999999999996</v>
      </c>
      <c r="V28" s="26">
        <f t="shared" si="275"/>
        <v>966.80000000000018</v>
      </c>
      <c r="W28" s="26">
        <f t="shared" si="275"/>
        <v>1382.0999999999995</v>
      </c>
      <c r="X28" s="26">
        <f t="shared" si="275"/>
        <v>1746.4000000000015</v>
      </c>
      <c r="Y28" s="26">
        <f t="shared" si="275"/>
        <v>1907.4999999999991</v>
      </c>
      <c r="Z28" s="26">
        <f t="shared" ref="Z28:AA28" si="276">Z16-Z26</f>
        <v>1786.5</v>
      </c>
      <c r="AA28" s="26">
        <f t="shared" si="276"/>
        <v>1910.1000000000004</v>
      </c>
      <c r="AB28" s="27">
        <f t="shared" si="275"/>
        <v>2248.4112624159879</v>
      </c>
      <c r="AC28" s="27">
        <f t="shared" si="275"/>
        <v>2431.6025585142379</v>
      </c>
      <c r="AD28" s="27">
        <f t="shared" si="275"/>
        <v>2627.2647509528506</v>
      </c>
      <c r="AE28" s="27">
        <f t="shared" si="275"/>
        <v>2837.6789934700391</v>
      </c>
      <c r="AI28" s="26">
        <f t="shared" ref="AI28:BN28" si="277">AI16-AI26</f>
        <v>0</v>
      </c>
      <c r="AJ28" s="26">
        <f t="shared" si="277"/>
        <v>0</v>
      </c>
      <c r="AK28" s="26">
        <f t="shared" si="277"/>
        <v>0</v>
      </c>
      <c r="AL28" s="26">
        <f t="shared" si="277"/>
        <v>0</v>
      </c>
      <c r="AM28" s="26">
        <f t="shared" si="277"/>
        <v>0</v>
      </c>
      <c r="AN28" s="26">
        <f t="shared" si="277"/>
        <v>0</v>
      </c>
      <c r="AO28" s="26">
        <f t="shared" si="277"/>
        <v>0</v>
      </c>
      <c r="AP28" s="26">
        <f t="shared" si="277"/>
        <v>0</v>
      </c>
      <c r="AQ28" s="26">
        <f t="shared" si="277"/>
        <v>0</v>
      </c>
      <c r="AR28" s="26">
        <f t="shared" si="277"/>
        <v>0</v>
      </c>
      <c r="AS28" s="26">
        <f t="shared" si="277"/>
        <v>0</v>
      </c>
      <c r="AT28" s="26">
        <f t="shared" si="277"/>
        <v>0</v>
      </c>
      <c r="AU28" s="26">
        <f t="shared" si="277"/>
        <v>0</v>
      </c>
      <c r="AV28" s="26">
        <f t="shared" si="277"/>
        <v>122.5</v>
      </c>
      <c r="AW28" s="26">
        <f t="shared" si="277"/>
        <v>153.70000000000005</v>
      </c>
      <c r="AX28" s="26">
        <f t="shared" si="277"/>
        <v>145.39999999999998</v>
      </c>
      <c r="AY28" s="26">
        <f t="shared" si="277"/>
        <v>149</v>
      </c>
      <c r="AZ28" s="26">
        <f t="shared" si="277"/>
        <v>156.20000000000005</v>
      </c>
      <c r="BA28" s="26">
        <f t="shared" si="277"/>
        <v>145.69999999999993</v>
      </c>
      <c r="BB28" s="26">
        <f t="shared" si="277"/>
        <v>134.59999999999991</v>
      </c>
      <c r="BC28" s="26">
        <f t="shared" si="277"/>
        <v>125.69999999999993</v>
      </c>
      <c r="BD28" s="26">
        <f t="shared" si="277"/>
        <v>137.39999999999998</v>
      </c>
      <c r="BE28" s="26">
        <f t="shared" si="277"/>
        <v>148.5</v>
      </c>
      <c r="BF28" s="26">
        <f t="shared" si="277"/>
        <v>164</v>
      </c>
      <c r="BG28" s="26">
        <f t="shared" si="277"/>
        <v>196.10000000000002</v>
      </c>
      <c r="BH28" s="26">
        <f t="shared" si="277"/>
        <v>228.79999999999995</v>
      </c>
      <c r="BI28" s="26">
        <f t="shared" si="277"/>
        <v>241.70000000000005</v>
      </c>
      <c r="BJ28" s="26">
        <f t="shared" si="277"/>
        <v>248.09999999999991</v>
      </c>
      <c r="BK28" s="26">
        <f t="shared" si="277"/>
        <v>272.70000000000005</v>
      </c>
      <c r="BL28" s="26">
        <f t="shared" si="277"/>
        <v>283.19999999999982</v>
      </c>
      <c r="BM28" s="26">
        <f t="shared" si="277"/>
        <v>286.30000000000018</v>
      </c>
      <c r="BN28" s="26">
        <f t="shared" si="277"/>
        <v>268.29999999999973</v>
      </c>
      <c r="BO28" s="26">
        <f t="shared" ref="BO28:CT28" si="278">BO16-BO26</f>
        <v>205.90000000000009</v>
      </c>
      <c r="BP28" s="26">
        <f t="shared" si="278"/>
        <v>232.79999999999995</v>
      </c>
      <c r="BQ28" s="26">
        <f t="shared" si="278"/>
        <v>275.60000000000014</v>
      </c>
      <c r="BR28" s="26">
        <f t="shared" si="278"/>
        <v>293.09999999999991</v>
      </c>
      <c r="BS28" s="26">
        <f t="shared" si="278"/>
        <v>317.70000000000027</v>
      </c>
      <c r="BT28" s="26">
        <f t="shared" si="278"/>
        <v>349.29999999999995</v>
      </c>
      <c r="BU28" s="26">
        <f t="shared" si="278"/>
        <v>367.40000000000009</v>
      </c>
      <c r="BV28" s="26">
        <f t="shared" si="278"/>
        <v>380.5</v>
      </c>
      <c r="BW28" s="26">
        <f t="shared" si="278"/>
        <v>407.70000000000005</v>
      </c>
      <c r="BX28" s="26">
        <f t="shared" si="278"/>
        <v>437.39999999999986</v>
      </c>
      <c r="BY28" s="26">
        <f t="shared" si="278"/>
        <v>435.59999999999991</v>
      </c>
      <c r="BZ28" s="26">
        <f t="shared" si="278"/>
        <v>480.19999999999982</v>
      </c>
      <c r="CA28" s="26">
        <f t="shared" si="278"/>
        <v>452.80000000000018</v>
      </c>
      <c r="CB28" s="26">
        <f t="shared" si="278"/>
        <v>475.59999999999991</v>
      </c>
      <c r="CC28" s="26">
        <f t="shared" si="278"/>
        <v>487.70000000000005</v>
      </c>
      <c r="CD28" s="26">
        <f t="shared" si="278"/>
        <v>502.80000000000018</v>
      </c>
      <c r="CE28" s="26">
        <f t="shared" si="278"/>
        <v>456.20000000000005</v>
      </c>
      <c r="CF28" s="26">
        <f t="shared" si="278"/>
        <v>466</v>
      </c>
      <c r="CG28" s="26">
        <f t="shared" si="278"/>
        <v>494.69999999999982</v>
      </c>
      <c r="CH28" s="26">
        <f t="shared" si="278"/>
        <v>432.70000000000027</v>
      </c>
      <c r="CI28" s="26">
        <f t="shared" ref="CI28:CJ28" si="279">CI16-CI26</f>
        <v>462.40000000000009</v>
      </c>
      <c r="CJ28" s="26">
        <f t="shared" si="279"/>
        <v>490.80000000000018</v>
      </c>
      <c r="CK28" s="26">
        <f t="shared" ref="CK28:CL28" si="280">CK16-CK26</f>
        <v>513.80000000000018</v>
      </c>
      <c r="CL28" s="26">
        <f t="shared" si="280"/>
        <v>521.40000000000009</v>
      </c>
      <c r="CM28" s="27">
        <f t="shared" si="278"/>
        <v>568.97236550274965</v>
      </c>
      <c r="CN28" s="27">
        <f t="shared" si="278"/>
        <v>571.53204087095082</v>
      </c>
      <c r="CO28" s="27">
        <f t="shared" si="278"/>
        <v>560.91938261947871</v>
      </c>
      <c r="CP28" s="27">
        <f t="shared" si="278"/>
        <v>546.98747342281013</v>
      </c>
      <c r="CQ28" s="27">
        <f t="shared" si="278"/>
        <v>613.54349594151745</v>
      </c>
      <c r="CR28" s="27">
        <f t="shared" si="278"/>
        <v>625.45332239943718</v>
      </c>
      <c r="CS28" s="27">
        <f t="shared" si="278"/>
        <v>604.72690688056537</v>
      </c>
      <c r="CT28" s="27">
        <f t="shared" si="278"/>
        <v>587.87883329271745</v>
      </c>
      <c r="CU28" s="27">
        <f t="shared" ref="CU28:DB28" si="281">CU16-CU26</f>
        <v>663.44062460648092</v>
      </c>
      <c r="CV28" s="27">
        <f t="shared" si="281"/>
        <v>676.79083159613492</v>
      </c>
      <c r="CW28" s="27">
        <f t="shared" si="281"/>
        <v>652.53618835741008</v>
      </c>
      <c r="CX28" s="27">
        <f t="shared" si="281"/>
        <v>634.49710639282512</v>
      </c>
      <c r="CY28" s="27">
        <f t="shared" si="281"/>
        <v>716.80772329164392</v>
      </c>
      <c r="CZ28" s="27">
        <f t="shared" si="281"/>
        <v>731.08183379619504</v>
      </c>
      <c r="DA28" s="27">
        <f t="shared" si="281"/>
        <v>704.57848113002683</v>
      </c>
      <c r="DB28" s="27">
        <f t="shared" si="281"/>
        <v>685.21095525217288</v>
      </c>
      <c r="DE28" s="121"/>
      <c r="DF28" s="26">
        <v>1910.1000000000004</v>
      </c>
    </row>
    <row r="29" spans="1:110" s="168" customFormat="1" x14ac:dyDescent="0.2">
      <c r="A29" s="165" t="s">
        <v>14</v>
      </c>
      <c r="B29" s="166" t="e">
        <f t="shared" ref="B29:E29" si="282">B28/B10</f>
        <v>#DIV/0!</v>
      </c>
      <c r="C29" s="166" t="e">
        <f t="shared" si="282"/>
        <v>#DIV/0!</v>
      </c>
      <c r="D29" s="166" t="e">
        <f t="shared" si="282"/>
        <v>#DIV/0!</v>
      </c>
      <c r="E29" s="166" t="e">
        <f t="shared" si="282"/>
        <v>#DIV/0!</v>
      </c>
      <c r="F29" s="166" t="e">
        <f t="shared" ref="F29:AE29" si="283">F28/F10</f>
        <v>#DIV/0!</v>
      </c>
      <c r="G29" s="166" t="e">
        <f t="shared" si="283"/>
        <v>#DIV/0!</v>
      </c>
      <c r="H29" s="166" t="e">
        <f t="shared" si="283"/>
        <v>#DIV/0!</v>
      </c>
      <c r="I29" s="166" t="e">
        <f t="shared" si="283"/>
        <v>#DIV/0!</v>
      </c>
      <c r="J29" s="166" t="e">
        <f t="shared" si="283"/>
        <v>#DIV/0!</v>
      </c>
      <c r="K29" s="166" t="e">
        <f t="shared" si="283"/>
        <v>#DIV/0!</v>
      </c>
      <c r="L29" s="166" t="e">
        <f t="shared" si="283"/>
        <v>#DIV/0!</v>
      </c>
      <c r="M29" s="166" t="e">
        <f t="shared" si="283"/>
        <v>#DIV/0!</v>
      </c>
      <c r="N29" s="166" t="e">
        <f t="shared" si="283"/>
        <v>#DIV/0!</v>
      </c>
      <c r="O29" s="166">
        <f t="shared" si="283"/>
        <v>0.12348418800031702</v>
      </c>
      <c r="P29" s="166">
        <f t="shared" si="283"/>
        <v>0.15226910896435417</v>
      </c>
      <c r="Q29" s="166">
        <f t="shared" si="283"/>
        <v>0.16939534276955179</v>
      </c>
      <c r="R29" s="166">
        <f t="shared" si="283"/>
        <v>0.17375242434504204</v>
      </c>
      <c r="S29" s="166">
        <f t="shared" si="283"/>
        <v>0.15022283899548988</v>
      </c>
      <c r="T29" s="166">
        <f t="shared" si="283"/>
        <v>0.18009963964318756</v>
      </c>
      <c r="U29" s="166">
        <f t="shared" si="283"/>
        <v>0.19725578829349888</v>
      </c>
      <c r="V29" s="166">
        <f t="shared" si="283"/>
        <v>0.17740426078499738</v>
      </c>
      <c r="W29" s="166">
        <f t="shared" si="283"/>
        <v>0.21037490296360556</v>
      </c>
      <c r="X29" s="166">
        <f t="shared" si="283"/>
        <v>0.19810560943792202</v>
      </c>
      <c r="Y29" s="166">
        <f t="shared" si="283"/>
        <v>0.19772371544369918</v>
      </c>
      <c r="Z29" s="166">
        <f t="shared" ref="Z29:AA29" si="284">Z28/Z10</f>
        <v>0.18527929310738211</v>
      </c>
      <c r="AA29" s="166">
        <f t="shared" si="284"/>
        <v>0.17371020107494617</v>
      </c>
      <c r="AB29" s="167">
        <f t="shared" si="283"/>
        <v>0.17800224769037637</v>
      </c>
      <c r="AC29" s="167">
        <f t="shared" si="283"/>
        <v>0.17803672609159754</v>
      </c>
      <c r="AD29" s="167">
        <f t="shared" si="283"/>
        <v>0.17808086622219862</v>
      </c>
      <c r="AE29" s="167">
        <f t="shared" si="283"/>
        <v>0.17809312062798102</v>
      </c>
      <c r="AI29" s="166" t="e">
        <f t="shared" ref="AI29:BN29" si="285">AI28/AI10</f>
        <v>#DIV/0!</v>
      </c>
      <c r="AJ29" s="166" t="e">
        <f t="shared" si="285"/>
        <v>#DIV/0!</v>
      </c>
      <c r="AK29" s="166" t="e">
        <f t="shared" si="285"/>
        <v>#DIV/0!</v>
      </c>
      <c r="AL29" s="166" t="e">
        <f t="shared" si="285"/>
        <v>#DIV/0!</v>
      </c>
      <c r="AM29" s="166" t="e">
        <f t="shared" si="285"/>
        <v>#DIV/0!</v>
      </c>
      <c r="AN29" s="166" t="e">
        <f t="shared" si="285"/>
        <v>#DIV/0!</v>
      </c>
      <c r="AO29" s="166" t="e">
        <f t="shared" si="285"/>
        <v>#DIV/0!</v>
      </c>
      <c r="AP29" s="166" t="e">
        <f t="shared" si="285"/>
        <v>#DIV/0!</v>
      </c>
      <c r="AQ29" s="166" t="e">
        <f t="shared" si="285"/>
        <v>#DIV/0!</v>
      </c>
      <c r="AR29" s="166" t="e">
        <f t="shared" si="285"/>
        <v>#DIV/0!</v>
      </c>
      <c r="AS29" s="166" t="e">
        <f t="shared" si="285"/>
        <v>#DIV/0!</v>
      </c>
      <c r="AT29" s="166" t="e">
        <f t="shared" si="285"/>
        <v>#DIV/0!</v>
      </c>
      <c r="AU29" s="166" t="e">
        <f t="shared" si="285"/>
        <v>#DIV/0!</v>
      </c>
      <c r="AV29" s="166">
        <f t="shared" si="285"/>
        <v>0.15876101607050286</v>
      </c>
      <c r="AW29" s="166">
        <f t="shared" si="285"/>
        <v>0.19700076903358119</v>
      </c>
      <c r="AX29" s="166">
        <f t="shared" si="285"/>
        <v>0.18143249313701021</v>
      </c>
      <c r="AY29" s="166">
        <f t="shared" si="285"/>
        <v>0.18557728235147591</v>
      </c>
      <c r="AZ29" s="166">
        <f t="shared" si="285"/>
        <v>0.1898626473805762</v>
      </c>
      <c r="BA29" s="166">
        <f t="shared" si="285"/>
        <v>0.17978775913129311</v>
      </c>
      <c r="BB29" s="166">
        <f t="shared" si="285"/>
        <v>0.16570232672657875</v>
      </c>
      <c r="BC29" s="166">
        <f t="shared" si="285"/>
        <v>0.15280816921954768</v>
      </c>
      <c r="BD29" s="166">
        <f t="shared" si="285"/>
        <v>0.15256495669553627</v>
      </c>
      <c r="BE29" s="166">
        <f t="shared" si="285"/>
        <v>0.1532349602724177</v>
      </c>
      <c r="BF29" s="166">
        <f t="shared" si="285"/>
        <v>0.15547971179370498</v>
      </c>
      <c r="BG29" s="166">
        <f t="shared" si="285"/>
        <v>0.17019614650234335</v>
      </c>
      <c r="BH29" s="166">
        <f t="shared" si="285"/>
        <v>0.18071242397914855</v>
      </c>
      <c r="BI29" s="166">
        <f t="shared" si="285"/>
        <v>0.18353709469207991</v>
      </c>
      <c r="BJ29" s="166">
        <f t="shared" si="285"/>
        <v>0.18472191199463922</v>
      </c>
      <c r="BK29" s="166">
        <f t="shared" si="285"/>
        <v>0.20237476808905383</v>
      </c>
      <c r="BL29" s="166">
        <f t="shared" si="285"/>
        <v>0.20198274017545098</v>
      </c>
      <c r="BM29" s="166">
        <f t="shared" si="285"/>
        <v>0.20120879893175919</v>
      </c>
      <c r="BN29" s="166">
        <f t="shared" si="285"/>
        <v>0.18546937646896153</v>
      </c>
      <c r="BO29" s="166">
        <f t="shared" ref="BO29:CT29" si="286">BO28/BO10</f>
        <v>0.15903298061326954</v>
      </c>
      <c r="BP29" s="166">
        <f t="shared" si="286"/>
        <v>0.17719592023138983</v>
      </c>
      <c r="BQ29" s="166">
        <f t="shared" si="286"/>
        <v>0.19675876347540525</v>
      </c>
      <c r="BR29" s="166">
        <f t="shared" si="286"/>
        <v>0.20347101700798328</v>
      </c>
      <c r="BS29" s="166">
        <f t="shared" si="286"/>
        <v>0.20923340358271883</v>
      </c>
      <c r="BT29" s="166">
        <f t="shared" si="286"/>
        <v>0.21726690302917206</v>
      </c>
      <c r="BU29" s="166">
        <f t="shared" si="286"/>
        <v>0.21771851851851856</v>
      </c>
      <c r="BV29" s="166">
        <f t="shared" si="286"/>
        <v>0.21667331017595809</v>
      </c>
      <c r="BW29" s="166">
        <f t="shared" si="286"/>
        <v>0.20322001794437247</v>
      </c>
      <c r="BX29" s="166">
        <f t="shared" si="286"/>
        <v>0.19169917167024583</v>
      </c>
      <c r="BY29" s="166">
        <f t="shared" si="286"/>
        <v>0.20194714881780246</v>
      </c>
      <c r="BZ29" s="166">
        <f t="shared" si="286"/>
        <v>0.20256475153969453</v>
      </c>
      <c r="CA29" s="166">
        <f t="shared" si="286"/>
        <v>0.19674980446684634</v>
      </c>
      <c r="CB29" s="166">
        <f t="shared" si="286"/>
        <v>0.19928765975277599</v>
      </c>
      <c r="CC29" s="166">
        <f t="shared" si="286"/>
        <v>0.20137913948302916</v>
      </c>
      <c r="CD29" s="166">
        <f t="shared" si="286"/>
        <v>0.19814778325123159</v>
      </c>
      <c r="CE29" s="166">
        <f t="shared" si="286"/>
        <v>0.18530403347008409</v>
      </c>
      <c r="CF29" s="166">
        <f t="shared" si="286"/>
        <v>0.18111858214466167</v>
      </c>
      <c r="CG29" s="166">
        <f t="shared" si="286"/>
        <v>0.18646814926498298</v>
      </c>
      <c r="CH29" s="166">
        <f t="shared" si="286"/>
        <v>0.164038213662901</v>
      </c>
      <c r="CI29" s="166">
        <f t="shared" ref="CI29:CJ29" si="287">CI28/CI10</f>
        <v>0.16133984647592467</v>
      </c>
      <c r="CJ29" s="166">
        <f t="shared" si="287"/>
        <v>0.16472562510488342</v>
      </c>
      <c r="CK29" s="166">
        <f t="shared" ref="CK29:CL29" si="288">CK28/CK10</f>
        <v>0.17574824696425523</v>
      </c>
      <c r="CL29" s="166">
        <f t="shared" si="288"/>
        <v>0.1824416529619651</v>
      </c>
      <c r="CM29" s="167">
        <f t="shared" si="286"/>
        <v>0.17935320444798958</v>
      </c>
      <c r="CN29" s="167">
        <f t="shared" si="286"/>
        <v>0.17556718236977337</v>
      </c>
      <c r="CO29" s="167">
        <f t="shared" si="286"/>
        <v>0.17827757168599589</v>
      </c>
      <c r="CP29" s="167">
        <f t="shared" si="286"/>
        <v>0.17890990286643094</v>
      </c>
      <c r="CQ29" s="167">
        <f t="shared" si="286"/>
        <v>0.17802696534254733</v>
      </c>
      <c r="CR29" s="167">
        <f t="shared" si="286"/>
        <v>0.17769540556618682</v>
      </c>
      <c r="CS29" s="167">
        <f t="shared" si="286"/>
        <v>0.17822746136529016</v>
      </c>
      <c r="CT29" s="167">
        <f t="shared" si="286"/>
        <v>0.17821493378511372</v>
      </c>
      <c r="CU29" s="167">
        <f t="shared" ref="CU29:DB29" si="289">CU28/CU10</f>
        <v>0.17804119151478442</v>
      </c>
      <c r="CV29" s="167">
        <f t="shared" si="289"/>
        <v>0.17804474805784373</v>
      </c>
      <c r="CW29" s="167">
        <f t="shared" si="289"/>
        <v>0.17813208368075806</v>
      </c>
      <c r="CX29" s="167">
        <f t="shared" si="289"/>
        <v>0.17810823925962493</v>
      </c>
      <c r="CY29" s="167">
        <f t="shared" si="289"/>
        <v>0.17808156562825278</v>
      </c>
      <c r="CZ29" s="167">
        <f t="shared" si="289"/>
        <v>0.17809165915661987</v>
      </c>
      <c r="DA29" s="167">
        <f t="shared" si="289"/>
        <v>0.17810338693131392</v>
      </c>
      <c r="DB29" s="167">
        <f t="shared" si="289"/>
        <v>0.17809621274395276</v>
      </c>
      <c r="DE29" s="169"/>
      <c r="DF29" s="168">
        <v>0.17371020107494617</v>
      </c>
    </row>
    <row r="30" spans="1:110" s="38" customFormat="1" x14ac:dyDescent="0.2">
      <c r="A30" s="39" t="s">
        <v>449</v>
      </c>
      <c r="B30" s="39"/>
      <c r="C30" s="39" t="e">
        <f t="shared" ref="C30:E30" si="290">+IF(B28&lt;0,1-C28/B28,C28/B28-1)</f>
        <v>#DIV/0!</v>
      </c>
      <c r="D30" s="39" t="e">
        <f t="shared" si="290"/>
        <v>#DIV/0!</v>
      </c>
      <c r="E30" s="39" t="e">
        <f t="shared" si="290"/>
        <v>#DIV/0!</v>
      </c>
      <c r="F30" s="39" t="e">
        <f t="shared" ref="F30:Y30" si="291">+IF(E28&lt;0,1-F28/E28,F28/E28-1)</f>
        <v>#DIV/0!</v>
      </c>
      <c r="G30" s="39" t="e">
        <f t="shared" si="291"/>
        <v>#DIV/0!</v>
      </c>
      <c r="H30" s="39" t="e">
        <f t="shared" si="291"/>
        <v>#DIV/0!</v>
      </c>
      <c r="I30" s="39" t="e">
        <f t="shared" si="291"/>
        <v>#DIV/0!</v>
      </c>
      <c r="J30" s="39" t="e">
        <f t="shared" si="291"/>
        <v>#DIV/0!</v>
      </c>
      <c r="K30" s="39" t="e">
        <f t="shared" si="291"/>
        <v>#DIV/0!</v>
      </c>
      <c r="L30" s="39" t="e">
        <f t="shared" si="291"/>
        <v>#DIV/0!</v>
      </c>
      <c r="M30" s="39" t="e">
        <f t="shared" si="291"/>
        <v>#DIV/0!</v>
      </c>
      <c r="N30" s="39" t="e">
        <f t="shared" si="291"/>
        <v>#DIV/0!</v>
      </c>
      <c r="O30" s="39">
        <f t="shared" si="291"/>
        <v>5194.333333333333</v>
      </c>
      <c r="P30" s="39">
        <f t="shared" si="291"/>
        <v>24.592811296534013</v>
      </c>
      <c r="Q30" s="39">
        <f t="shared" si="291"/>
        <v>0.30261626740499925</v>
      </c>
      <c r="R30" s="39">
        <f t="shared" si="291"/>
        <v>8.6638428956489211E-2</v>
      </c>
      <c r="S30" s="39">
        <f t="shared" si="291"/>
        <v>-2.6576895818568591E-3</v>
      </c>
      <c r="T30" s="39">
        <f t="shared" si="291"/>
        <v>0.62480014212115709</v>
      </c>
      <c r="U30" s="39">
        <f t="shared" si="291"/>
        <v>0.21189591078066949</v>
      </c>
      <c r="V30" s="39">
        <f t="shared" si="291"/>
        <v>-0.12775171418260511</v>
      </c>
      <c r="W30" s="39">
        <f t="shared" si="291"/>
        <v>0.42956143980140582</v>
      </c>
      <c r="X30" s="39">
        <f t="shared" si="291"/>
        <v>0.2635844005498893</v>
      </c>
      <c r="Y30" s="39">
        <f t="shared" si="291"/>
        <v>9.2246907924872668E-2</v>
      </c>
      <c r="Z30" s="39">
        <f t="shared" ref="Z30:AE30" si="292">+IF(Y28&lt;0,1-Z28/Y28,Z28/Y28-1)</f>
        <v>-6.3433813892529001E-2</v>
      </c>
      <c r="AA30" s="39">
        <f t="shared" si="292"/>
        <v>6.9185558354324384E-2</v>
      </c>
      <c r="AB30" s="40">
        <f t="shared" si="292"/>
        <v>0.17711704225746683</v>
      </c>
      <c r="AC30" s="40">
        <f t="shared" si="292"/>
        <v>8.1475884399104581E-2</v>
      </c>
      <c r="AD30" s="40">
        <f t="shared" si="292"/>
        <v>8.0466354073161828E-2</v>
      </c>
      <c r="AE30" s="40">
        <f t="shared" si="292"/>
        <v>8.0088709156881155E-2</v>
      </c>
      <c r="AI30" s="39"/>
      <c r="AJ30" s="39"/>
      <c r="AK30" s="39"/>
      <c r="AL30" s="39"/>
      <c r="AM30" s="39" t="e">
        <f>+IF(AI28&lt;0,1-AM28/AI28,AM28/AI28-1)</f>
        <v>#DIV/0!</v>
      </c>
      <c r="AN30" s="39" t="e">
        <f t="shared" ref="AN30" si="293">+IF(AJ28&lt;0,1-AN28/AJ28,AN28/AJ28-1)</f>
        <v>#DIV/0!</v>
      </c>
      <c r="AO30" s="39" t="e">
        <f t="shared" ref="AO30" si="294">+IF(AK28&lt;0,1-AO28/AK28,AO28/AK28-1)</f>
        <v>#DIV/0!</v>
      </c>
      <c r="AP30" s="39" t="e">
        <f t="shared" ref="AP30" si="295">+IF(AL28&lt;0,1-AP28/AL28,AP28/AL28-1)</f>
        <v>#DIV/0!</v>
      </c>
      <c r="AQ30" s="39" t="e">
        <f t="shared" ref="AQ30" si="296">+IF(AM28&lt;0,1-AQ28/AM28,AQ28/AM28-1)</f>
        <v>#DIV/0!</v>
      </c>
      <c r="AR30" s="39" t="e">
        <f t="shared" ref="AR30" si="297">+IF(AN28&lt;0,1-AR28/AN28,AR28/AN28-1)</f>
        <v>#DIV/0!</v>
      </c>
      <c r="AS30" s="39" t="e">
        <f t="shared" ref="AS30" si="298">+IF(AO28&lt;0,1-AS28/AO28,AS28/AO28-1)</f>
        <v>#DIV/0!</v>
      </c>
      <c r="AT30" s="39" t="e">
        <f t="shared" ref="AT30" si="299">+IF(AP28&lt;0,1-AT28/AP28,AT28/AP28-1)</f>
        <v>#DIV/0!</v>
      </c>
      <c r="AU30" s="39" t="e">
        <f t="shared" ref="AU30" si="300">+IF(AQ28&lt;0,1-AU28/AQ28,AU28/AQ28-1)</f>
        <v>#DIV/0!</v>
      </c>
      <c r="AV30" s="39" t="e">
        <f t="shared" ref="AV30" si="301">+IF(AR28&lt;0,1-AV28/AR28,AV28/AR28-1)</f>
        <v>#DIV/0!</v>
      </c>
      <c r="AW30" s="39" t="e">
        <f t="shared" ref="AW30" si="302">+IF(AS28&lt;0,1-AW28/AS28,AW28/AS28-1)</f>
        <v>#DIV/0!</v>
      </c>
      <c r="AX30" s="39" t="e">
        <f t="shared" ref="AX30" si="303">+IF(AT28&lt;0,1-AX28/AT28,AX28/AT28-1)</f>
        <v>#DIV/0!</v>
      </c>
      <c r="AY30" s="39" t="e">
        <f t="shared" ref="AY30" si="304">+IF(AU28&lt;0,1-AY28/AU28,AY28/AU28-1)</f>
        <v>#DIV/0!</v>
      </c>
      <c r="AZ30" s="39">
        <f t="shared" ref="AZ30" si="305">+IF(AV28&lt;0,1-AZ28/AV28,AZ28/AV28-1)</f>
        <v>0.27510204081632694</v>
      </c>
      <c r="BA30" s="39">
        <f t="shared" ref="BA30" si="306">+IF(AW28&lt;0,1-BA28/AW28,BA28/AW28-1)</f>
        <v>-5.2049446974626656E-2</v>
      </c>
      <c r="BB30" s="39">
        <f t="shared" ref="BB30" si="307">+IF(AX28&lt;0,1-BB28/AX28,BB28/AX28-1)</f>
        <v>-7.4277854195323734E-2</v>
      </c>
      <c r="BC30" s="39">
        <f t="shared" ref="BC30" si="308">+IF(AY28&lt;0,1-BC28/AY28,BC28/AY28-1)</f>
        <v>-0.1563758389261749</v>
      </c>
      <c r="BD30" s="39">
        <f t="shared" ref="BD30" si="309">+IF(AZ28&lt;0,1-BD28/AZ28,BD28/AZ28-1)</f>
        <v>-0.12035851472471226</v>
      </c>
      <c r="BE30" s="39">
        <f t="shared" ref="BE30" si="310">+IF(BA28&lt;0,1-BE28/BA28,BE28/BA28-1)</f>
        <v>1.9217570350034796E-2</v>
      </c>
      <c r="BF30" s="39">
        <f t="shared" ref="BF30" si="311">+IF(BB28&lt;0,1-BF28/BB28,BF28/BB28-1)</f>
        <v>0.21842496285289825</v>
      </c>
      <c r="BG30" s="39">
        <f t="shared" ref="BG30" si="312">+IF(BC28&lt;0,1-BG28/BC28,BG28/BC28-1)</f>
        <v>0.56006364359586414</v>
      </c>
      <c r="BH30" s="39">
        <f t="shared" ref="BH30" si="313">+IF(BD28&lt;0,1-BH28/BD28,BH28/BD28-1)</f>
        <v>0.66521106259097529</v>
      </c>
      <c r="BI30" s="39">
        <f t="shared" ref="BI30" si="314">+IF(BE28&lt;0,1-BI28/BE28,BI28/BE28-1)</f>
        <v>0.62760942760942795</v>
      </c>
      <c r="BJ30" s="39">
        <f t="shared" ref="BJ30" si="315">+IF(BF28&lt;0,1-BJ28/BF28,BJ28/BF28-1)</f>
        <v>0.51280487804877994</v>
      </c>
      <c r="BK30" s="39">
        <f t="shared" ref="BK30" si="316">+IF(BG28&lt;0,1-BK28/BG28,BK28/BG28-1)</f>
        <v>0.39061703212646615</v>
      </c>
      <c r="BL30" s="39">
        <f t="shared" ref="BL30" si="317">+IF(BH28&lt;0,1-BL28/BH28,BL28/BH28-1)</f>
        <v>0.23776223776223726</v>
      </c>
      <c r="BM30" s="39">
        <f t="shared" ref="BM30" si="318">+IF(BI28&lt;0,1-BM28/BI28,BM28/BI28-1)</f>
        <v>0.18452627223831253</v>
      </c>
      <c r="BN30" s="39">
        <f t="shared" ref="BN30" si="319">+IF(BJ28&lt;0,1-BN28/BJ28,BN28/BJ28-1)</f>
        <v>8.1418782748890806E-2</v>
      </c>
      <c r="BO30" s="39">
        <f t="shared" ref="BO30" si="320">+IF(BK28&lt;0,1-BO28/BK28,BO28/BK28-1)</f>
        <v>-0.24495782911624475</v>
      </c>
      <c r="BP30" s="39">
        <f t="shared" ref="BP30" si="321">+IF(BL28&lt;0,1-BP28/BL28,BP28/BL28-1)</f>
        <v>-0.17796610169491489</v>
      </c>
      <c r="BQ30" s="39">
        <f t="shared" ref="BQ30" si="322">+IF(BM28&lt;0,1-BQ28/BM28,BQ28/BM28-1)</f>
        <v>-3.7373384561648737E-2</v>
      </c>
      <c r="BR30" s="39">
        <f t="shared" ref="BR30" si="323">+IF(BN28&lt;0,1-BR28/BN28,BR28/BN28-1)</f>
        <v>9.2433842713381287E-2</v>
      </c>
      <c r="BS30" s="39">
        <f t="shared" ref="BS30" si="324">+IF(BO28&lt;0,1-BS28/BO28,BS28/BO28-1)</f>
        <v>0.54298203011170543</v>
      </c>
      <c r="BT30" s="39">
        <f t="shared" ref="BT30" si="325">+IF(BP28&lt;0,1-BT28/BP28,BT28/BP28-1)</f>
        <v>0.50042955326460481</v>
      </c>
      <c r="BU30" s="39">
        <f t="shared" ref="BU30" si="326">+IF(BQ28&lt;0,1-BU28/BQ28,BU28/BQ28-1)</f>
        <v>0.33309143686502152</v>
      </c>
      <c r="BV30" s="39">
        <f t="shared" ref="BV30" si="327">+IF(BR28&lt;0,1-BV28/BR28,BV28/BR28-1)</f>
        <v>0.29819174343227606</v>
      </c>
      <c r="BW30" s="39">
        <f t="shared" ref="BW30" si="328">+IF(BS28&lt;0,1-BW28/BS28,BW28/BS28-1)</f>
        <v>0.28328611898016898</v>
      </c>
      <c r="BX30" s="39">
        <f t="shared" ref="BX30" si="329">+IF(BT28&lt;0,1-BX28/BT28,BX28/BT28-1)</f>
        <v>0.25221872316060678</v>
      </c>
      <c r="BY30" s="39">
        <f t="shared" ref="BY30" si="330">+IF(BU28&lt;0,1-BY28/BU28,BY28/BU28-1)</f>
        <v>0.18562874251496941</v>
      </c>
      <c r="BZ30" s="39">
        <f t="shared" ref="BZ30" si="331">+IF(BV28&lt;0,1-BZ28/BV28,BZ28/BV28-1)</f>
        <v>0.26202365308804154</v>
      </c>
      <c r="CA30" s="39">
        <f t="shared" ref="CA30" si="332">+IF(BW28&lt;0,1-CA28/BW28,CA28/BW28-1)</f>
        <v>0.11062055432916384</v>
      </c>
      <c r="CB30" s="39">
        <f t="shared" ref="CB30" si="333">+IF(BX28&lt;0,1-CB28/BX28,CB28/BX28-1)</f>
        <v>8.7334247828075195E-2</v>
      </c>
      <c r="CC30" s="39">
        <f t="shared" ref="CC30" si="334">+IF(BY28&lt;0,1-CC28/BY28,CC28/BY28-1)</f>
        <v>0.11960514233241537</v>
      </c>
      <c r="CD30" s="39">
        <f t="shared" ref="CD30" si="335">+IF(BZ28&lt;0,1-CD28/BZ28,CD28/BZ28-1)</f>
        <v>4.7063723448563799E-2</v>
      </c>
      <c r="CE30" s="39">
        <f t="shared" ref="CE30" si="336">+IF(CA28&lt;0,1-CE28/CA28,CE28/CA28-1)</f>
        <v>7.5088339222610934E-3</v>
      </c>
      <c r="CF30" s="39">
        <f t="shared" ref="CF30" si="337">+IF(CB28&lt;0,1-CF28/CB28,CF28/CB28-1)</f>
        <v>-2.0185029436501023E-2</v>
      </c>
      <c r="CG30" s="39">
        <f t="shared" ref="CG30" si="338">+IF(CC28&lt;0,1-CG28/CC28,CG28/CC28-1)</f>
        <v>1.4353085913470842E-2</v>
      </c>
      <c r="CH30" s="39">
        <f t="shared" ref="CH30:CL30" si="339">+IF(CD28&lt;0,1-CH28/CD28,CH28/CD28-1)</f>
        <v>-0.13941925218774842</v>
      </c>
      <c r="CI30" s="39">
        <f t="shared" si="339"/>
        <v>1.3590530469092643E-2</v>
      </c>
      <c r="CJ30" s="39">
        <f t="shared" si="339"/>
        <v>5.3218884120172172E-2</v>
      </c>
      <c r="CK30" s="39">
        <f t="shared" si="339"/>
        <v>3.8609258136244939E-2</v>
      </c>
      <c r="CL30" s="39">
        <f t="shared" si="339"/>
        <v>0.20499191125491056</v>
      </c>
      <c r="CM30" s="40">
        <f t="shared" ref="CM30" si="340">+CM28/CI28-1</f>
        <v>0.23047656899383551</v>
      </c>
      <c r="CN30" s="40">
        <f t="shared" ref="CN30" si="341">+CN28/CJ28-1</f>
        <v>0.16449071082100786</v>
      </c>
      <c r="CO30" s="40">
        <f t="shared" ref="CO30" si="342">+CO28/CK28-1</f>
        <v>9.1707634526038362E-2</v>
      </c>
      <c r="CP30" s="40">
        <f t="shared" ref="CP30" si="343">+CP28/CL28-1</f>
        <v>4.9074555855024959E-2</v>
      </c>
      <c r="CQ30" s="40">
        <f t="shared" ref="CQ30" si="344">+CQ28/CM28-1</f>
        <v>7.8336195465986025E-2</v>
      </c>
      <c r="CR30" s="40">
        <f t="shared" ref="CR30" si="345">+CR28/CN28-1</f>
        <v>9.4345159453031568E-2</v>
      </c>
      <c r="CS30" s="40">
        <f t="shared" ref="CS30" si="346">+CS28/CO28-1</f>
        <v>7.8099501672605154E-2</v>
      </c>
      <c r="CT30" s="40">
        <f t="shared" ref="CT30" si="347">+CT28/CP28-1</f>
        <v>7.4757397302038564E-2</v>
      </c>
      <c r="CU30" s="40">
        <f t="shared" ref="CU30" si="348">+CU28/CQ28-1</f>
        <v>8.1326147200686316E-2</v>
      </c>
      <c r="CV30" s="40">
        <f t="shared" ref="CV30" si="349">+CV28/CR28-1</f>
        <v>8.2080480442170867E-2</v>
      </c>
      <c r="CW30" s="40">
        <f t="shared" ref="CW30" si="350">+CW28/CS28-1</f>
        <v>7.9059292604433562E-2</v>
      </c>
      <c r="CX30" s="40">
        <f t="shared" ref="CX30" si="351">+CX28/CT28-1</f>
        <v>7.9299118219647635E-2</v>
      </c>
      <c r="CY30" s="40">
        <f t="shared" ref="CY30" si="352">+CY28/CU28-1</f>
        <v>8.0439901787469958E-2</v>
      </c>
      <c r="CZ30" s="40">
        <f t="shared" ref="CZ30" si="353">+CZ28/CV28-1</f>
        <v>8.0218288525009784E-2</v>
      </c>
      <c r="DA30" s="40">
        <f t="shared" ref="DA30" si="354">+DA28/CW28-1</f>
        <v>7.9753879863153188E-2</v>
      </c>
      <c r="DB30" s="40">
        <f t="shared" ref="DB30" si="355">+DB28/CX28-1</f>
        <v>7.9927628271877715E-2</v>
      </c>
      <c r="DE30" s="122"/>
      <c r="DF30" s="38">
        <v>6.9185558354324384E-2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>+IF(AI28&lt;0,1-AJ28/AI28,AJ28/AI28-1)</f>
        <v>#DIV/0!</v>
      </c>
      <c r="AK31" s="39" t="e">
        <f t="shared" ref="AK31:AM31" si="356">+IF(AJ28&lt;0,1-AK28/AJ28,AK28/AJ28-1)</f>
        <v>#DIV/0!</v>
      </c>
      <c r="AL31" s="39" t="e">
        <f t="shared" si="356"/>
        <v>#DIV/0!</v>
      </c>
      <c r="AM31" s="39" t="e">
        <f t="shared" si="356"/>
        <v>#DIV/0!</v>
      </c>
      <c r="AN31" s="39" t="e">
        <f t="shared" ref="AN31" si="357">+IF(AM28&lt;0,1-AN28/AM28,AN28/AM28-1)</f>
        <v>#DIV/0!</v>
      </c>
      <c r="AO31" s="39" t="e">
        <f t="shared" ref="AO31" si="358">+IF(AN28&lt;0,1-AO28/AN28,AO28/AN28-1)</f>
        <v>#DIV/0!</v>
      </c>
      <c r="AP31" s="39" t="e">
        <f t="shared" ref="AP31" si="359">+IF(AO28&lt;0,1-AP28/AO28,AP28/AO28-1)</f>
        <v>#DIV/0!</v>
      </c>
      <c r="AQ31" s="39" t="e">
        <f t="shared" ref="AQ31" si="360">+IF(AP28&lt;0,1-AQ28/AP28,AQ28/AP28-1)</f>
        <v>#DIV/0!</v>
      </c>
      <c r="AR31" s="39" t="e">
        <f t="shared" ref="AR31" si="361">+IF(AQ28&lt;0,1-AR28/AQ28,AR28/AQ28-1)</f>
        <v>#DIV/0!</v>
      </c>
      <c r="AS31" s="39" t="e">
        <f t="shared" ref="AS31" si="362">+IF(AR28&lt;0,1-AS28/AR28,AS28/AR28-1)</f>
        <v>#DIV/0!</v>
      </c>
      <c r="AT31" s="39" t="e">
        <f t="shared" ref="AT31" si="363">+IF(AS28&lt;0,1-AT28/AS28,AT28/AS28-1)</f>
        <v>#DIV/0!</v>
      </c>
      <c r="AU31" s="39" t="e">
        <f t="shared" ref="AU31" si="364">+IF(AT28&lt;0,1-AU28/AT28,AU28/AT28-1)</f>
        <v>#DIV/0!</v>
      </c>
      <c r="AV31" s="39" t="e">
        <f t="shared" ref="AV31" si="365">+IF(AU28&lt;0,1-AV28/AU28,AV28/AU28-1)</f>
        <v>#DIV/0!</v>
      </c>
      <c r="AW31" s="39">
        <f t="shared" ref="AW31" si="366">+IF(AV28&lt;0,1-AW28/AV28,AW28/AV28-1)</f>
        <v>0.2546938775510208</v>
      </c>
      <c r="AX31" s="39">
        <f t="shared" ref="AX31" si="367">+IF(AW28&lt;0,1-AX28/AW28,AX28/AW28-1)</f>
        <v>-5.4001301236174748E-2</v>
      </c>
      <c r="AY31" s="39">
        <f t="shared" ref="AY31" si="368">+IF(AX28&lt;0,1-AY28/AX28,AY28/AX28-1)</f>
        <v>2.4759284731774578E-2</v>
      </c>
      <c r="AZ31" s="39">
        <f t="shared" ref="AZ31" si="369">+IF(AY28&lt;0,1-AZ28/AY28,AZ28/AY28-1)</f>
        <v>4.8322147651006953E-2</v>
      </c>
      <c r="BA31" s="39">
        <f t="shared" ref="BA31" si="370">+IF(AZ28&lt;0,1-BA28/AZ28,BA28/AZ28-1)</f>
        <v>-6.7221510883483382E-2</v>
      </c>
      <c r="BB31" s="39">
        <f t="shared" ref="BB31" si="371">+IF(BA28&lt;0,1-BB28/BA28,BB28/BA28-1)</f>
        <v>-7.6183939601921935E-2</v>
      </c>
      <c r="BC31" s="39">
        <f t="shared" ref="BC31" si="372">+IF(BB28&lt;0,1-BC28/BB28,BC28/BB28-1)</f>
        <v>-6.6121842496285166E-2</v>
      </c>
      <c r="BD31" s="39">
        <f t="shared" ref="BD31" si="373">+IF(BC28&lt;0,1-BD28/BC28,BD28/BC28-1)</f>
        <v>9.3078758949881157E-2</v>
      </c>
      <c r="BE31" s="39">
        <f t="shared" ref="BE31" si="374">+IF(BD28&lt;0,1-BE28/BD28,BE28/BD28-1)</f>
        <v>8.0786026200873495E-2</v>
      </c>
      <c r="BF31" s="39">
        <f t="shared" ref="BF31" si="375">+IF(BE28&lt;0,1-BF28/BE28,BF28/BE28-1)</f>
        <v>0.10437710437710446</v>
      </c>
      <c r="BG31" s="39">
        <f t="shared" ref="BG31" si="376">+IF(BF28&lt;0,1-BG28/BF28,BG28/BF28-1)</f>
        <v>0.19573170731707323</v>
      </c>
      <c r="BH31" s="39">
        <f t="shared" ref="BH31" si="377">+IF(BG28&lt;0,1-BH28/BG28,BH28/BG28-1)</f>
        <v>0.16675165731769459</v>
      </c>
      <c r="BI31" s="39">
        <f t="shared" ref="BI31" si="378">+IF(BH28&lt;0,1-BI28/BH28,BI28/BH28-1)</f>
        <v>5.6381118881119185E-2</v>
      </c>
      <c r="BJ31" s="39">
        <f t="shared" ref="BJ31" si="379">+IF(BI28&lt;0,1-BJ28/BI28,BJ28/BI28-1)</f>
        <v>2.6479106330160818E-2</v>
      </c>
      <c r="BK31" s="39">
        <f t="shared" ref="BK31" si="380">+IF(BJ28&lt;0,1-BK28/BJ28,BK28/BJ28-1)</f>
        <v>9.9153567110036755E-2</v>
      </c>
      <c r="BL31" s="39">
        <f t="shared" ref="BL31" si="381">+IF(BK28&lt;0,1-BL28/BK28,BL28/BK28-1)</f>
        <v>3.8503850385037675E-2</v>
      </c>
      <c r="BM31" s="39">
        <f t="shared" ref="BM31" si="382">+IF(BL28&lt;0,1-BM28/BL28,BM28/BL28-1)</f>
        <v>1.094632768361703E-2</v>
      </c>
      <c r="BN31" s="39">
        <f t="shared" ref="BN31" si="383">+IF(BM28&lt;0,1-BN28/BM28,BN28/BM28-1)</f>
        <v>-6.2871114215859003E-2</v>
      </c>
      <c r="BO31" s="39">
        <f t="shared" ref="BO31" si="384">+IF(BN28&lt;0,1-BO28/BN28,BO28/BN28-1)</f>
        <v>-0.23257547521431121</v>
      </c>
      <c r="BP31" s="39">
        <f t="shared" ref="BP31" si="385">+IF(BO28&lt;0,1-BP28/BO28,BP28/BO28-1)</f>
        <v>0.13064594463331636</v>
      </c>
      <c r="BQ31" s="39">
        <f t="shared" ref="BQ31" si="386">+IF(BP28&lt;0,1-BQ28/BP28,BQ28/BP28-1)</f>
        <v>0.18384879725086001</v>
      </c>
      <c r="BR31" s="39">
        <f t="shared" ref="BR31" si="387">+IF(BQ28&lt;0,1-BR28/BQ28,BR28/BQ28-1)</f>
        <v>6.3497822931784409E-2</v>
      </c>
      <c r="BS31" s="39">
        <f t="shared" ref="BS31" si="388">+IF(BR28&lt;0,1-BS28/BR28,BS28/BR28-1)</f>
        <v>8.393039918116818E-2</v>
      </c>
      <c r="BT31" s="39">
        <f t="shared" ref="BT31" si="389">+IF(BS28&lt;0,1-BT28/BS28,BT28/BS28-1)</f>
        <v>9.9464903997480869E-2</v>
      </c>
      <c r="BU31" s="39">
        <f t="shared" ref="BU31" si="390">+IF(BT28&lt;0,1-BU28/BT28,BU28/BT28-1)</f>
        <v>5.1817921557400837E-2</v>
      </c>
      <c r="BV31" s="39">
        <f t="shared" ref="BV31" si="391">+IF(BU28&lt;0,1-BV28/BU28,BV28/BU28-1)</f>
        <v>3.5655960805661246E-2</v>
      </c>
      <c r="BW31" s="39">
        <f t="shared" ref="BW31" si="392">+IF(BV28&lt;0,1-BW28/BV28,BW28/BV28-1)</f>
        <v>7.1484888304862215E-2</v>
      </c>
      <c r="BX31" s="39">
        <f t="shared" ref="BX31" si="393">+IF(BW28&lt;0,1-BX28/BW28,BX28/BW28-1)</f>
        <v>7.2847682119204782E-2</v>
      </c>
      <c r="BY31" s="39">
        <f t="shared" ref="BY31" si="394">+IF(BX28&lt;0,1-BY28/BX28,BY28/BX28-1)</f>
        <v>-4.1152263374484299E-3</v>
      </c>
      <c r="BZ31" s="39">
        <f t="shared" ref="BZ31" si="395">+IF(BY28&lt;0,1-BZ28/BY28,BZ28/BY28-1)</f>
        <v>0.10238751147842029</v>
      </c>
      <c r="CA31" s="39">
        <f t="shared" ref="CA31" si="396">+IF(BZ28&lt;0,1-CA28/BZ28,CA28/BZ28-1)</f>
        <v>-5.7059558517283726E-2</v>
      </c>
      <c r="CB31" s="39">
        <f t="shared" ref="CB31" si="397">+IF(CA28&lt;0,1-CB28/CA28,CB28/CA28-1)</f>
        <v>5.0353356890458834E-2</v>
      </c>
      <c r="CC31" s="39">
        <f t="shared" ref="CC31" si="398">+IF(CB28&lt;0,1-CC28/CB28,CC28/CB28-1)</f>
        <v>2.5441547518923802E-2</v>
      </c>
      <c r="CD31" s="39">
        <f t="shared" ref="CD31" si="399">+IF(CC28&lt;0,1-CD28/CC28,CD28/CC28-1)</f>
        <v>3.0961656756202771E-2</v>
      </c>
      <c r="CE31" s="39">
        <f t="shared" ref="CE31" si="400">+IF(CD28&lt;0,1-CE28/CD28,CE28/CD28-1)</f>
        <v>-9.2680986475736082E-2</v>
      </c>
      <c r="CF31" s="39">
        <f t="shared" ref="CF31" si="401">+IF(CE28&lt;0,1-CF28/CE28,CF28/CE28-1)</f>
        <v>2.1481806225339684E-2</v>
      </c>
      <c r="CG31" s="39">
        <f t="shared" ref="CG31" si="402">+IF(CF28&lt;0,1-CG28/CF28,CG28/CF28-1)</f>
        <v>6.1587982832617572E-2</v>
      </c>
      <c r="CH31" s="39">
        <f t="shared" ref="CH31:CI31" si="403">+IF(CG28&lt;0,1-CH28/CG28,CH28/CG28-1)</f>
        <v>-0.12532848190822632</v>
      </c>
      <c r="CI31" s="39">
        <f t="shared" si="403"/>
        <v>6.863877975502608E-2</v>
      </c>
      <c r="CJ31" s="39">
        <f>+IF(CI28&gt;1,CJ28/CI28-1,1-CJ28/CI28)</f>
        <v>6.1418685121107375E-2</v>
      </c>
      <c r="CK31" s="39">
        <f>+IF(CJ28&gt;1,CK28/CJ28-1,1-CK28/CJ28)</f>
        <v>4.6862265688671467E-2</v>
      </c>
      <c r="CL31" s="39">
        <f>+IF(CK28&gt;1,CL28/CK28-1,1-CL28/CK28)</f>
        <v>1.4791747761774721E-2</v>
      </c>
      <c r="CM31" s="40">
        <f t="shared" ref="CM31" si="404">+CM28/CL28-1</f>
        <v>9.1239673001054067E-2</v>
      </c>
      <c r="CN31" s="40">
        <f t="shared" ref="CN31" si="405">+CN28/CM28-1</f>
        <v>4.4987692257063561E-3</v>
      </c>
      <c r="CO31" s="40">
        <f t="shared" ref="CO31" si="406">+CO28/CN28-1</f>
        <v>-1.8568789661030372E-2</v>
      </c>
      <c r="CP31" s="40">
        <f t="shared" ref="CP31" si="407">+CP28/CO28-1</f>
        <v>-2.483763198127853E-2</v>
      </c>
      <c r="CQ31" s="40">
        <f t="shared" ref="CQ31" si="408">+CQ28/CP28-1</f>
        <v>0.12167741630759599</v>
      </c>
      <c r="CR31" s="40">
        <f t="shared" ref="CR31" si="409">+CR28/CQ28-1</f>
        <v>1.9411543821589161E-2</v>
      </c>
      <c r="CS31" s="40">
        <f t="shared" ref="CS31" si="410">+CS28/CR28-1</f>
        <v>-3.313822914771436E-2</v>
      </c>
      <c r="CT31" s="40">
        <f t="shared" ref="CT31" si="411">+CT28/CS28-1</f>
        <v>-2.7860631627518173E-2</v>
      </c>
      <c r="CU31" s="40">
        <f t="shared" ref="CU31" si="412">+CU28/CT28-1</f>
        <v>0.12853293405809629</v>
      </c>
      <c r="CV31" s="40">
        <f t="shared" ref="CV31" si="413">+CV28/CU28-1</f>
        <v>2.0122685428816789E-2</v>
      </c>
      <c r="CW31" s="40">
        <f t="shared" ref="CW31" si="414">+CW28/CV28-1</f>
        <v>-3.5837724310660346E-2</v>
      </c>
      <c r="CX31" s="40">
        <f t="shared" ref="CX31" si="415">+CX28/CW28-1</f>
        <v>-2.7644569429924881E-2</v>
      </c>
      <c r="CY31" s="40">
        <f t="shared" ref="CY31" si="416">+CY28/CX28-1</f>
        <v>0.12972575614530735</v>
      </c>
      <c r="CZ31" s="40">
        <f t="shared" ref="CZ31" si="417">+CZ28/CY28-1</f>
        <v>1.9913444066985253E-2</v>
      </c>
      <c r="DA31" s="40">
        <f t="shared" ref="DA31" si="418">+DA28/CZ28-1</f>
        <v>-3.6252238040914819E-2</v>
      </c>
      <c r="DB31" s="40">
        <f t="shared" ref="DB31" si="419">+DB28/DA28-1</f>
        <v>-2.7488103024082777E-2</v>
      </c>
      <c r="DE31" s="122"/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0</v>
      </c>
      <c r="J32" s="23">
        <f>'Annual Raw'!K27</f>
        <v>0</v>
      </c>
      <c r="K32" s="23">
        <f>'Annual Raw'!L27</f>
        <v>0</v>
      </c>
      <c r="L32" s="23">
        <f>'Annual Raw'!M27</f>
        <v>0</v>
      </c>
      <c r="M32" s="23">
        <f>'Annual Raw'!N27</f>
        <v>0</v>
      </c>
      <c r="N32" s="23">
        <f>'Annual Raw'!O27</f>
        <v>0</v>
      </c>
      <c r="O32" s="23">
        <f>'Annual Raw'!P27</f>
        <v>1.1240000000000001</v>
      </c>
      <c r="P32" s="23">
        <f>'Annual Raw'!Q27</f>
        <v>48.463000000000001</v>
      </c>
      <c r="Q32" s="23">
        <f>'Annual Raw'!R27</f>
        <v>58.9</v>
      </c>
      <c r="R32" s="23">
        <f>'Annual Raw'!S27</f>
        <v>62.5</v>
      </c>
      <c r="S32" s="23">
        <f>'Annual Raw'!T27</f>
        <v>88.8</v>
      </c>
      <c r="T32" s="23">
        <f>'Annual Raw'!U27</f>
        <v>104.2</v>
      </c>
      <c r="U32" s="23">
        <f>'Annual Raw'!V27</f>
        <v>182.9</v>
      </c>
      <c r="V32" s="23">
        <f>'Annual Raw'!W27</f>
        <v>218.3</v>
      </c>
      <c r="W32" s="23">
        <f>'Annual Raw'!X27</f>
        <v>214.4</v>
      </c>
      <c r="X32" s="23">
        <f>'Annual Raw'!Y27</f>
        <v>233.8</v>
      </c>
      <c r="Y32" s="23">
        <f>'Annual Raw'!Z27</f>
        <v>271.60000000000002</v>
      </c>
      <c r="Z32" s="23">
        <f>'Annual Raw'!AA27</f>
        <v>303.10000000000002</v>
      </c>
      <c r="AA32" s="23">
        <f>'Annual Raw'!AB27</f>
        <v>345.2</v>
      </c>
      <c r="AB32" s="76">
        <f>+SUM(CM32:CP32)</f>
        <v>369.44192841749384</v>
      </c>
      <c r="AC32" s="76">
        <f>+SUM(CQ32:CT32)</f>
        <v>342.79404522882731</v>
      </c>
      <c r="AD32" s="76">
        <f>+SUM(CU32:CX32)</f>
        <v>330.50866166680481</v>
      </c>
      <c r="AE32" s="76">
        <f>+SUM(CY32:DB32)</f>
        <v>324.8447727868728</v>
      </c>
      <c r="AI32" s="23">
        <f>'QTR Raw'!C28</f>
        <v>0</v>
      </c>
      <c r="AJ32" s="23">
        <f>'QTR Raw'!D28</f>
        <v>0</v>
      </c>
      <c r="AK32" s="23">
        <f>'QTR Raw'!E28</f>
        <v>0</v>
      </c>
      <c r="AL32" s="23">
        <f>'QTR Raw'!F28</f>
        <v>0</v>
      </c>
      <c r="AM32" s="23">
        <f>'QTR Raw'!G28</f>
        <v>0</v>
      </c>
      <c r="AN32" s="23">
        <f>'QTR Raw'!H28</f>
        <v>0</v>
      </c>
      <c r="AO32" s="23">
        <f>'QTR Raw'!I28</f>
        <v>0</v>
      </c>
      <c r="AP32" s="23">
        <f>'QTR Raw'!J28</f>
        <v>0</v>
      </c>
      <c r="AQ32" s="23">
        <f>'QTR Raw'!K28</f>
        <v>0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14.4</v>
      </c>
      <c r="AW32" s="23">
        <f>'QTR Raw'!Q28</f>
        <v>13.8</v>
      </c>
      <c r="AX32" s="23">
        <f>'QTR Raw'!R28</f>
        <v>17.899999999999999</v>
      </c>
      <c r="AY32" s="23">
        <f>'QTR Raw'!S28</f>
        <v>17.8</v>
      </c>
      <c r="AZ32" s="23">
        <f>'QTR Raw'!T28</f>
        <v>15.1</v>
      </c>
      <c r="BA32" s="23">
        <f>'QTR Raw'!U28</f>
        <v>14.9</v>
      </c>
      <c r="BB32" s="23">
        <f>'QTR Raw'!V28</f>
        <v>14.7</v>
      </c>
      <c r="BC32" s="23">
        <f>'QTR Raw'!W28</f>
        <v>14.5</v>
      </c>
      <c r="BD32" s="23">
        <f>'QTR Raw'!X28</f>
        <v>14.6</v>
      </c>
      <c r="BE32" s="23">
        <f>'QTR Raw'!Y28</f>
        <v>14.5</v>
      </c>
      <c r="BF32" s="23">
        <f>'QTR Raw'!Z28</f>
        <v>45.2</v>
      </c>
      <c r="BG32" s="23">
        <f>'QTR Raw'!AA28</f>
        <v>26</v>
      </c>
      <c r="BH32" s="23">
        <f>'QTR Raw'!AB28</f>
        <v>27</v>
      </c>
      <c r="BI32" s="23">
        <f>'QTR Raw'!AC28</f>
        <v>23.9</v>
      </c>
      <c r="BJ32" s="23">
        <f>'QTR Raw'!AD28</f>
        <v>27.3</v>
      </c>
      <c r="BK32" s="23">
        <f>'QTR Raw'!AE28</f>
        <v>42.8</v>
      </c>
      <c r="BL32" s="23">
        <f>'QTR Raw'!AF28</f>
        <v>44.4</v>
      </c>
      <c r="BM32" s="23">
        <f>'QTR Raw'!AG28</f>
        <v>47.2</v>
      </c>
      <c r="BN32" s="23">
        <f>'QTR Raw'!AH28</f>
        <v>48.5</v>
      </c>
      <c r="BO32" s="23">
        <f>'QTR Raw'!AI28</f>
        <v>49.2</v>
      </c>
      <c r="BP32" s="23">
        <f>'QTR Raw'!AJ28</f>
        <v>52.7</v>
      </c>
      <c r="BQ32" s="23">
        <f>'QTR Raw'!AK28</f>
        <v>62.4</v>
      </c>
      <c r="BR32" s="23">
        <f>'QTR Raw'!AL28</f>
        <v>54</v>
      </c>
      <c r="BS32" s="23">
        <f>'QTR Raw'!AM28</f>
        <v>55.4</v>
      </c>
      <c r="BT32" s="23">
        <f>'QTR Raw'!AN28</f>
        <v>52.9</v>
      </c>
      <c r="BU32" s="23">
        <f>'QTR Raw'!AO28</f>
        <v>53</v>
      </c>
      <c r="BV32" s="23">
        <f>'QTR Raw'!AP28</f>
        <v>53.1</v>
      </c>
      <c r="BW32" s="23">
        <f>'QTR Raw'!AQ28</f>
        <v>59</v>
      </c>
      <c r="BX32" s="23">
        <f>'QTR Raw'!AR28</f>
        <v>59</v>
      </c>
      <c r="BY32" s="23">
        <f>'QTR Raw'!AS28</f>
        <v>58.9</v>
      </c>
      <c r="BZ32" s="23">
        <f>'QTR Raw'!AT28</f>
        <v>56.8</v>
      </c>
      <c r="CA32" s="23">
        <f>'QTR Raw'!AU28</f>
        <v>57.4</v>
      </c>
      <c r="CB32" s="23">
        <f>'QTR Raw'!AV28</f>
        <v>68.099999999999994</v>
      </c>
      <c r="CC32" s="23">
        <f>'QTR Raw'!AW28</f>
        <v>71.5</v>
      </c>
      <c r="CD32" s="23">
        <f>'QTR Raw'!AX28</f>
        <v>74.599999999999994</v>
      </c>
      <c r="CE32" s="23">
        <f>'QTR Raw'!AY28</f>
        <v>72.599999999999994</v>
      </c>
      <c r="CF32" s="23">
        <f>'QTR Raw'!AZ28</f>
        <v>78.3</v>
      </c>
      <c r="CG32" s="23">
        <f>'QTR Raw'!BA28</f>
        <v>72.8</v>
      </c>
      <c r="CH32" s="23">
        <f>'QTR Raw'!BB28</f>
        <v>80.900000000000006</v>
      </c>
      <c r="CI32" s="23">
        <f>'QTR Raw'!BC28</f>
        <v>81.099999999999994</v>
      </c>
      <c r="CJ32" s="23">
        <f>'QTR Raw'!BD28</f>
        <v>92.6</v>
      </c>
      <c r="CK32" s="23">
        <f>'QTR Raw'!BE28</f>
        <v>86.7</v>
      </c>
      <c r="CL32" s="23">
        <f>'QTR Raw'!BF28</f>
        <v>86.5</v>
      </c>
      <c r="CM32" s="24">
        <f t="shared" ref="CM32:DB32" si="420">CM33*CL134</f>
        <v>96.14435401831129</v>
      </c>
      <c r="CN32" s="24">
        <f t="shared" si="420"/>
        <v>93.303079099524041</v>
      </c>
      <c r="CO32" s="24">
        <f t="shared" si="420"/>
        <v>90.961845443147993</v>
      </c>
      <c r="CP32" s="24">
        <f t="shared" si="420"/>
        <v>89.032649856510574</v>
      </c>
      <c r="CQ32" s="24">
        <f t="shared" si="420"/>
        <v>87.44297699264861</v>
      </c>
      <c r="CR32" s="24">
        <f t="shared" si="420"/>
        <v>86.133073615509048</v>
      </c>
      <c r="CS32" s="24">
        <f t="shared" si="420"/>
        <v>85.053702572291257</v>
      </c>
      <c r="CT32" s="24">
        <f t="shared" si="420"/>
        <v>84.164292048378385</v>
      </c>
      <c r="CU32" s="24">
        <f t="shared" si="420"/>
        <v>83.43141053833827</v>
      </c>
      <c r="CV32" s="24">
        <f t="shared" si="420"/>
        <v>82.8275102096175</v>
      </c>
      <c r="CW32" s="24">
        <f t="shared" si="420"/>
        <v>82.32989142399812</v>
      </c>
      <c r="CX32" s="24">
        <f t="shared" si="420"/>
        <v>81.919849494850936</v>
      </c>
      <c r="CY32" s="24">
        <f t="shared" si="420"/>
        <v>81.581971608168118</v>
      </c>
      <c r="CZ32" s="24">
        <f t="shared" si="420"/>
        <v>81.30355747977228</v>
      </c>
      <c r="DA32" s="24">
        <f t="shared" si="420"/>
        <v>81.074141972141959</v>
      </c>
      <c r="DB32" s="24">
        <f t="shared" si="420"/>
        <v>80.885101726790396</v>
      </c>
      <c r="DE32" s="123"/>
      <c r="DF32" s="23">
        <v>345.2</v>
      </c>
    </row>
    <row r="33" spans="1:110" s="46" customFormat="1" x14ac:dyDescent="0.2">
      <c r="A33" s="46" t="s">
        <v>483</v>
      </c>
      <c r="B33" s="46" t="e">
        <f t="shared" ref="B33:D33" si="421">+B32/B134</f>
        <v>#DIV/0!</v>
      </c>
      <c r="C33" s="46" t="e">
        <f t="shared" si="421"/>
        <v>#DIV/0!</v>
      </c>
      <c r="D33" s="46" t="e">
        <f t="shared" si="421"/>
        <v>#DIV/0!</v>
      </c>
      <c r="E33" s="46" t="e">
        <f t="shared" ref="E33:AE33" si="422">+E32/E134</f>
        <v>#DIV/0!</v>
      </c>
      <c r="F33" s="46" t="e">
        <f t="shared" si="422"/>
        <v>#DIV/0!</v>
      </c>
      <c r="G33" s="46" t="e">
        <f t="shared" si="422"/>
        <v>#DIV/0!</v>
      </c>
      <c r="H33" s="46" t="e">
        <f t="shared" si="422"/>
        <v>#DIV/0!</v>
      </c>
      <c r="I33" s="46" t="e">
        <f t="shared" si="422"/>
        <v>#DIV/0!</v>
      </c>
      <c r="J33" s="46" t="e">
        <f t="shared" si="422"/>
        <v>#DIV/0!</v>
      </c>
      <c r="K33" s="46" t="e">
        <f t="shared" si="422"/>
        <v>#DIV/0!</v>
      </c>
      <c r="L33" s="46" t="e">
        <f t="shared" si="422"/>
        <v>#DIV/0!</v>
      </c>
      <c r="M33" s="46" t="e">
        <f t="shared" si="422"/>
        <v>#DIV/0!</v>
      </c>
      <c r="N33" s="46" t="e">
        <f t="shared" si="422"/>
        <v>#DIV/0!</v>
      </c>
      <c r="O33" s="46">
        <f t="shared" si="422"/>
        <v>4.4976191428914444E-2</v>
      </c>
      <c r="P33" s="46">
        <f t="shared" si="422"/>
        <v>8.629804995574962E-2</v>
      </c>
      <c r="Q33" s="46">
        <f t="shared" si="422"/>
        <v>0.29627766599597577</v>
      </c>
      <c r="R33" s="46">
        <f t="shared" si="422"/>
        <v>0.36421911421911413</v>
      </c>
      <c r="S33" s="46">
        <f t="shared" si="422"/>
        <v>0.53461770018061394</v>
      </c>
      <c r="T33" s="46">
        <f t="shared" si="422"/>
        <v>0.57664637520752593</v>
      </c>
      <c r="U33" s="46">
        <f t="shared" si="422"/>
        <v>0.31190313778990458</v>
      </c>
      <c r="V33" s="46">
        <f t="shared" si="422"/>
        <v>0.33839714772903423</v>
      </c>
      <c r="W33" s="46">
        <f t="shared" si="422"/>
        <v>0.32416087087995171</v>
      </c>
      <c r="X33" s="46">
        <f t="shared" si="422"/>
        <v>0.34206291148500356</v>
      </c>
      <c r="Y33" s="46">
        <f t="shared" si="422"/>
        <v>0.2708146375511018</v>
      </c>
      <c r="Z33" s="46">
        <f t="shared" si="422"/>
        <v>0.32781743456629897</v>
      </c>
      <c r="AA33" s="46">
        <f t="shared" ref="AA33" si="423">+AA32/AA134</f>
        <v>0.38330002220741721</v>
      </c>
      <c r="AB33" s="110">
        <f t="shared" si="422"/>
        <v>0.74355625790844337</v>
      </c>
      <c r="AC33" s="110">
        <f t="shared" si="422"/>
        <v>0.72309651475871117</v>
      </c>
      <c r="AD33" s="110">
        <f t="shared" si="422"/>
        <v>0.71298638058057884</v>
      </c>
      <c r="AE33" s="110">
        <f t="shared" si="422"/>
        <v>0.70816933056058295</v>
      </c>
      <c r="AI33" s="46" t="e">
        <f t="shared" ref="AI33:BN33" si="424">+AI32/AH134</f>
        <v>#DIV/0!</v>
      </c>
      <c r="AJ33" s="46" t="e">
        <f t="shared" si="424"/>
        <v>#DIV/0!</v>
      </c>
      <c r="AK33" s="46" t="e">
        <f t="shared" si="424"/>
        <v>#DIV/0!</v>
      </c>
      <c r="AL33" s="46" t="e">
        <f t="shared" si="424"/>
        <v>#DIV/0!</v>
      </c>
      <c r="AM33" s="46" t="e">
        <f t="shared" si="424"/>
        <v>#DIV/0!</v>
      </c>
      <c r="AN33" s="46" t="e">
        <f t="shared" si="424"/>
        <v>#DIV/0!</v>
      </c>
      <c r="AO33" s="46" t="e">
        <f t="shared" si="424"/>
        <v>#DIV/0!</v>
      </c>
      <c r="AP33" s="46" t="e">
        <f t="shared" si="424"/>
        <v>#DIV/0!</v>
      </c>
      <c r="AQ33" s="46" t="e">
        <f t="shared" si="424"/>
        <v>#DIV/0!</v>
      </c>
      <c r="AR33" s="46" t="e">
        <f t="shared" si="424"/>
        <v>#DIV/0!</v>
      </c>
      <c r="AS33" s="46" t="e">
        <f t="shared" si="424"/>
        <v>#DIV/0!</v>
      </c>
      <c r="AT33" s="46" t="e">
        <f t="shared" si="424"/>
        <v>#DIV/0!</v>
      </c>
      <c r="AU33" s="46" t="e">
        <f t="shared" si="424"/>
        <v>#DIV/0!</v>
      </c>
      <c r="AV33" s="46" t="e">
        <f t="shared" si="424"/>
        <v>#DIV/0!</v>
      </c>
      <c r="AW33" s="46" t="e">
        <f t="shared" si="424"/>
        <v>#DIV/0!</v>
      </c>
      <c r="AX33" s="46" t="e">
        <f t="shared" si="424"/>
        <v>#DIV/0!</v>
      </c>
      <c r="AY33" s="46">
        <f t="shared" si="424"/>
        <v>8.9537223340040245E-2</v>
      </c>
      <c r="AZ33" s="46">
        <f t="shared" si="424"/>
        <v>7.595573440643863E-2</v>
      </c>
      <c r="BA33" s="46">
        <f t="shared" si="424"/>
        <v>7.5366717248356099E-2</v>
      </c>
      <c r="BB33" s="46">
        <f t="shared" si="424"/>
        <v>7.4355083459787558E-2</v>
      </c>
      <c r="BC33" s="46">
        <f t="shared" si="424"/>
        <v>7.5403016120644817E-2</v>
      </c>
      <c r="BD33" s="46">
        <f t="shared" si="424"/>
        <v>7.5923036921476852E-2</v>
      </c>
      <c r="BE33" s="46">
        <f t="shared" si="424"/>
        <v>7.7374599786552825E-2</v>
      </c>
      <c r="BF33" s="46">
        <f t="shared" si="424"/>
        <v>0.24119530416221985</v>
      </c>
      <c r="BG33" s="46">
        <f t="shared" si="424"/>
        <v>0.11965025310630464</v>
      </c>
      <c r="BH33" s="46">
        <f t="shared" si="424"/>
        <v>0.12425218591808559</v>
      </c>
      <c r="BI33" s="46">
        <f t="shared" si="424"/>
        <v>0.1185515873015873</v>
      </c>
      <c r="BJ33" s="46">
        <f t="shared" si="424"/>
        <v>0.13541666666666669</v>
      </c>
      <c r="BK33" s="46">
        <f t="shared" si="424"/>
        <v>0.17577002053388088</v>
      </c>
      <c r="BL33" s="46">
        <f t="shared" si="424"/>
        <v>0.18234086242299793</v>
      </c>
      <c r="BM33" s="46">
        <f t="shared" si="424"/>
        <v>7.5994203831911133E-2</v>
      </c>
      <c r="BN33" s="46">
        <f t="shared" si="424"/>
        <v>7.8087264530671385E-2</v>
      </c>
      <c r="BO33" s="46">
        <f t="shared" ref="BO33:CL33" si="425">+BO32/BN134</f>
        <v>0.17666068222621187</v>
      </c>
      <c r="BP33" s="46">
        <f t="shared" si="425"/>
        <v>0.18922800718132857</v>
      </c>
      <c r="BQ33" s="46">
        <f t="shared" si="425"/>
        <v>0.24018475750577364</v>
      </c>
      <c r="BR33" s="46">
        <f t="shared" si="425"/>
        <v>0.20785219399538105</v>
      </c>
      <c r="BS33" s="46">
        <f t="shared" si="425"/>
        <v>0.19785714285714284</v>
      </c>
      <c r="BT33" s="46">
        <f t="shared" si="425"/>
        <v>0.18892857142857142</v>
      </c>
      <c r="BU33" s="46">
        <f t="shared" si="425"/>
        <v>0.19023689877961233</v>
      </c>
      <c r="BV33" s="46">
        <f t="shared" si="425"/>
        <v>0.19059583632447952</v>
      </c>
      <c r="BW33" s="46">
        <f t="shared" si="425"/>
        <v>0.20536025060911939</v>
      </c>
      <c r="BX33" s="46">
        <f t="shared" si="425"/>
        <v>0.20536025060911939</v>
      </c>
      <c r="BY33" s="46">
        <f t="shared" si="425"/>
        <v>0.17990226023213196</v>
      </c>
      <c r="BZ33" s="46">
        <f t="shared" si="425"/>
        <v>0.17348808796579107</v>
      </c>
      <c r="CA33" s="46">
        <f t="shared" si="425"/>
        <v>0.17699660807893924</v>
      </c>
      <c r="CB33" s="46">
        <f t="shared" si="425"/>
        <v>0.20999074930619793</v>
      </c>
      <c r="CC33" s="46">
        <f t="shared" si="425"/>
        <v>0.22676815731049793</v>
      </c>
      <c r="CD33" s="46">
        <f t="shared" si="425"/>
        <v>0.23660006343165238</v>
      </c>
      <c r="CE33" s="46">
        <f t="shared" si="425"/>
        <v>0.17536231884057971</v>
      </c>
      <c r="CF33" s="46">
        <f t="shared" si="425"/>
        <v>0.18913043478260869</v>
      </c>
      <c r="CG33" s="46">
        <f t="shared" si="425"/>
        <v>0.18277680140597538</v>
      </c>
      <c r="CH33" s="46">
        <f t="shared" si="425"/>
        <v>0.20311323123273914</v>
      </c>
      <c r="CI33" s="46">
        <f t="shared" si="425"/>
        <v>8.7713605883625353E-2</v>
      </c>
      <c r="CJ33" s="46">
        <f t="shared" si="425"/>
        <v>0.10978067575577949</v>
      </c>
      <c r="CK33" s="46">
        <f t="shared" si="425"/>
        <v>0.14994811483915599</v>
      </c>
      <c r="CL33" s="46">
        <f t="shared" si="425"/>
        <v>0.17599186164801628</v>
      </c>
      <c r="CM33" s="47">
        <f>+CL33</f>
        <v>0.17599186164801628</v>
      </c>
      <c r="CN33" s="47">
        <f t="shared" ref="CN33" si="426">CM33</f>
        <v>0.17599186164801628</v>
      </c>
      <c r="CO33" s="47">
        <f t="shared" ref="CO33" si="427">CN33</f>
        <v>0.17599186164801628</v>
      </c>
      <c r="CP33" s="47">
        <f t="shared" ref="CP33" si="428">CO33</f>
        <v>0.17599186164801628</v>
      </c>
      <c r="CQ33" s="47">
        <f t="shared" ref="CQ33" si="429">CP33</f>
        <v>0.17599186164801628</v>
      </c>
      <c r="CR33" s="47">
        <f t="shared" ref="CR33" si="430">CQ33</f>
        <v>0.17599186164801628</v>
      </c>
      <c r="CS33" s="47">
        <f t="shared" ref="CS33" si="431">CR33</f>
        <v>0.17599186164801628</v>
      </c>
      <c r="CT33" s="47">
        <f t="shared" ref="CT33" si="432">CS33</f>
        <v>0.17599186164801628</v>
      </c>
      <c r="CU33" s="47">
        <f t="shared" ref="CU33" si="433">CT33</f>
        <v>0.17599186164801628</v>
      </c>
      <c r="CV33" s="47">
        <f t="shared" ref="CV33" si="434">CU33</f>
        <v>0.17599186164801628</v>
      </c>
      <c r="CW33" s="47">
        <f t="shared" ref="CW33" si="435">CV33</f>
        <v>0.17599186164801628</v>
      </c>
      <c r="CX33" s="47">
        <f t="shared" ref="CX33" si="436">CW33</f>
        <v>0.17599186164801628</v>
      </c>
      <c r="CY33" s="47">
        <f t="shared" ref="CY33" si="437">CX33</f>
        <v>0.17599186164801628</v>
      </c>
      <c r="CZ33" s="47">
        <f t="shared" ref="CZ33" si="438">CY33</f>
        <v>0.17599186164801628</v>
      </c>
      <c r="DA33" s="47">
        <f t="shared" ref="DA33" si="439">CZ33</f>
        <v>0.17599186164801628</v>
      </c>
      <c r="DB33" s="47">
        <f t="shared" ref="DB33" si="440">DA33</f>
        <v>0.17599186164801628</v>
      </c>
      <c r="DE33" s="130"/>
      <c r="DF33" s="46">
        <v>0.38330002220741721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1">C28-C32</f>
        <v>0</v>
      </c>
      <c r="D34" s="26">
        <f>D28-D32</f>
        <v>0</v>
      </c>
      <c r="E34" s="26">
        <f t="shared" si="441"/>
        <v>0</v>
      </c>
      <c r="F34" s="26">
        <f t="shared" si="441"/>
        <v>0</v>
      </c>
      <c r="G34" s="26">
        <f t="shared" si="441"/>
        <v>0</v>
      </c>
      <c r="H34" s="26">
        <f t="shared" si="441"/>
        <v>0</v>
      </c>
      <c r="I34" s="26">
        <f t="shared" si="441"/>
        <v>0</v>
      </c>
      <c r="J34" s="26">
        <f t="shared" si="441"/>
        <v>0</v>
      </c>
      <c r="K34" s="26">
        <f t="shared" si="441"/>
        <v>0</v>
      </c>
      <c r="L34" s="26">
        <f t="shared" si="441"/>
        <v>0</v>
      </c>
      <c r="M34" s="26">
        <f t="shared" si="441"/>
        <v>0</v>
      </c>
      <c r="N34" s="26">
        <f t="shared" si="441"/>
        <v>-3.0000000000000001E-3</v>
      </c>
      <c r="O34" s="26">
        <f t="shared" si="441"/>
        <v>14.455999999999998</v>
      </c>
      <c r="P34" s="26">
        <f t="shared" si="441"/>
        <v>350.27299999999985</v>
      </c>
      <c r="Q34" s="26">
        <f t="shared" si="441"/>
        <v>460.49999999999966</v>
      </c>
      <c r="R34" s="26">
        <f t="shared" si="441"/>
        <v>501.90000000000009</v>
      </c>
      <c r="S34" s="26">
        <f t="shared" si="441"/>
        <v>474.10000000000008</v>
      </c>
      <c r="T34" s="26">
        <f t="shared" si="441"/>
        <v>810.39999999999941</v>
      </c>
      <c r="U34" s="26">
        <f t="shared" ref="U34:Z34" si="442">U28-U32</f>
        <v>925.49999999999966</v>
      </c>
      <c r="V34" s="26">
        <f t="shared" si="442"/>
        <v>748.50000000000023</v>
      </c>
      <c r="W34" s="26">
        <f t="shared" si="442"/>
        <v>1167.6999999999994</v>
      </c>
      <c r="X34" s="26">
        <f t="shared" si="442"/>
        <v>1512.6000000000015</v>
      </c>
      <c r="Y34" s="26">
        <f t="shared" si="442"/>
        <v>1635.8999999999992</v>
      </c>
      <c r="Z34" s="26">
        <f t="shared" si="442"/>
        <v>1483.4</v>
      </c>
      <c r="AA34" s="26">
        <f t="shared" ref="AA34" si="443">AA28-AA32</f>
        <v>1564.9000000000003</v>
      </c>
      <c r="AB34" s="27">
        <f t="shared" ref="AB34:AD34" si="444">AB28-AB32</f>
        <v>1878.9693339984942</v>
      </c>
      <c r="AC34" s="27">
        <f t="shared" si="444"/>
        <v>2088.8085132854108</v>
      </c>
      <c r="AD34" s="27">
        <f t="shared" si="444"/>
        <v>2296.7560892860456</v>
      </c>
      <c r="AE34" s="27">
        <f t="shared" ref="AE34" si="445">AE28-AE32</f>
        <v>2512.8342206831662</v>
      </c>
      <c r="AI34" s="26">
        <f t="shared" ref="AI34" si="446">AI28-AI32</f>
        <v>0</v>
      </c>
      <c r="AJ34" s="26">
        <f t="shared" ref="AJ34" si="447">AJ28-AJ32</f>
        <v>0</v>
      </c>
      <c r="AK34" s="26">
        <f t="shared" ref="AK34:AM34" si="448">AK28-AK32</f>
        <v>0</v>
      </c>
      <c r="AL34" s="26">
        <f t="shared" si="448"/>
        <v>0</v>
      </c>
      <c r="AM34" s="26">
        <f t="shared" si="448"/>
        <v>0</v>
      </c>
      <c r="AN34" s="26">
        <f t="shared" ref="AN34:AO34" si="449">AN28-AN32</f>
        <v>0</v>
      </c>
      <c r="AO34" s="26">
        <f t="shared" si="449"/>
        <v>0</v>
      </c>
      <c r="AP34" s="26">
        <f t="shared" ref="AP34:CD34" si="450">AP28-AP32</f>
        <v>0</v>
      </c>
      <c r="AQ34" s="26">
        <f t="shared" si="450"/>
        <v>0</v>
      </c>
      <c r="AR34" s="26">
        <f t="shared" si="450"/>
        <v>0</v>
      </c>
      <c r="AS34" s="26">
        <f t="shared" si="450"/>
        <v>0</v>
      </c>
      <c r="AT34" s="26">
        <f t="shared" si="450"/>
        <v>0</v>
      </c>
      <c r="AU34" s="26">
        <f t="shared" si="450"/>
        <v>0</v>
      </c>
      <c r="AV34" s="26">
        <f t="shared" si="450"/>
        <v>108.1</v>
      </c>
      <c r="AW34" s="26">
        <f t="shared" si="450"/>
        <v>139.90000000000003</v>
      </c>
      <c r="AX34" s="26">
        <f t="shared" si="450"/>
        <v>127.49999999999997</v>
      </c>
      <c r="AY34" s="26">
        <f t="shared" si="450"/>
        <v>131.19999999999999</v>
      </c>
      <c r="AZ34" s="26">
        <f t="shared" si="450"/>
        <v>141.10000000000005</v>
      </c>
      <c r="BA34" s="26">
        <f t="shared" si="450"/>
        <v>130.79999999999993</v>
      </c>
      <c r="BB34" s="26">
        <f t="shared" si="450"/>
        <v>119.89999999999991</v>
      </c>
      <c r="BC34" s="26">
        <f t="shared" si="450"/>
        <v>111.19999999999993</v>
      </c>
      <c r="BD34" s="26">
        <f t="shared" si="450"/>
        <v>122.79999999999998</v>
      </c>
      <c r="BE34" s="26">
        <f t="shared" si="450"/>
        <v>134</v>
      </c>
      <c r="BF34" s="26">
        <f t="shared" si="450"/>
        <v>118.8</v>
      </c>
      <c r="BG34" s="26">
        <f t="shared" si="450"/>
        <v>170.10000000000002</v>
      </c>
      <c r="BH34" s="26">
        <f t="shared" si="450"/>
        <v>201.79999999999995</v>
      </c>
      <c r="BI34" s="26">
        <f t="shared" si="450"/>
        <v>217.80000000000004</v>
      </c>
      <c r="BJ34" s="26">
        <f t="shared" si="450"/>
        <v>220.7999999999999</v>
      </c>
      <c r="BK34" s="26">
        <f t="shared" si="450"/>
        <v>229.90000000000003</v>
      </c>
      <c r="BL34" s="26">
        <f t="shared" si="450"/>
        <v>238.79999999999981</v>
      </c>
      <c r="BM34" s="26">
        <f t="shared" si="450"/>
        <v>239.10000000000019</v>
      </c>
      <c r="BN34" s="26">
        <f t="shared" si="450"/>
        <v>219.79999999999973</v>
      </c>
      <c r="BO34" s="26">
        <f t="shared" si="450"/>
        <v>156.7000000000001</v>
      </c>
      <c r="BP34" s="26">
        <f t="shared" si="450"/>
        <v>180.09999999999997</v>
      </c>
      <c r="BQ34" s="26">
        <f t="shared" si="450"/>
        <v>213.20000000000013</v>
      </c>
      <c r="BR34" s="26">
        <f t="shared" si="450"/>
        <v>239.09999999999991</v>
      </c>
      <c r="BS34" s="26">
        <f t="shared" si="450"/>
        <v>262.3000000000003</v>
      </c>
      <c r="BT34" s="26">
        <f t="shared" si="450"/>
        <v>296.39999999999998</v>
      </c>
      <c r="BU34" s="26">
        <f t="shared" si="450"/>
        <v>314.40000000000009</v>
      </c>
      <c r="BV34" s="26">
        <f t="shared" si="450"/>
        <v>327.39999999999998</v>
      </c>
      <c r="BW34" s="26">
        <f t="shared" si="450"/>
        <v>348.70000000000005</v>
      </c>
      <c r="BX34" s="26">
        <f t="shared" si="450"/>
        <v>378.39999999999986</v>
      </c>
      <c r="BY34" s="26">
        <f t="shared" si="450"/>
        <v>376.69999999999993</v>
      </c>
      <c r="BZ34" s="26">
        <f t="shared" si="450"/>
        <v>423.39999999999981</v>
      </c>
      <c r="CA34" s="26">
        <f t="shared" si="450"/>
        <v>395.4000000000002</v>
      </c>
      <c r="CB34" s="26">
        <f t="shared" si="450"/>
        <v>407.49999999999989</v>
      </c>
      <c r="CC34" s="26">
        <f t="shared" si="450"/>
        <v>416.20000000000005</v>
      </c>
      <c r="CD34" s="26">
        <f t="shared" si="450"/>
        <v>428.20000000000016</v>
      </c>
      <c r="CE34" s="26">
        <f t="shared" ref="CE34:CF34" si="451">CE28-CE32</f>
        <v>383.6</v>
      </c>
      <c r="CF34" s="26">
        <f t="shared" si="451"/>
        <v>387.7</v>
      </c>
      <c r="CG34" s="26">
        <f t="shared" ref="CG34:CH34" si="452">CG28-CG32</f>
        <v>421.89999999999981</v>
      </c>
      <c r="CH34" s="26">
        <f t="shared" si="452"/>
        <v>351.8000000000003</v>
      </c>
      <c r="CI34" s="26">
        <f t="shared" ref="CI34:CJ34" si="453">CI28-CI32</f>
        <v>381.30000000000007</v>
      </c>
      <c r="CJ34" s="26">
        <f t="shared" si="453"/>
        <v>398.20000000000016</v>
      </c>
      <c r="CK34" s="26">
        <f t="shared" ref="CK34:CL34" si="454">CK28-CK32</f>
        <v>427.10000000000019</v>
      </c>
      <c r="CL34" s="26">
        <f t="shared" si="454"/>
        <v>434.90000000000009</v>
      </c>
      <c r="CM34" s="27">
        <f t="shared" ref="CM34:DB34" si="455">CM28-CM32</f>
        <v>472.82801148443838</v>
      </c>
      <c r="CN34" s="27">
        <f t="shared" si="455"/>
        <v>478.22896177142678</v>
      </c>
      <c r="CO34" s="27">
        <f t="shared" si="455"/>
        <v>469.95753717633073</v>
      </c>
      <c r="CP34" s="27">
        <f t="shared" si="455"/>
        <v>457.95482356629952</v>
      </c>
      <c r="CQ34" s="27">
        <f t="shared" si="455"/>
        <v>526.10051894886885</v>
      </c>
      <c r="CR34" s="27">
        <f t="shared" si="455"/>
        <v>539.32024878392815</v>
      </c>
      <c r="CS34" s="27">
        <f t="shared" si="455"/>
        <v>519.67320430827408</v>
      </c>
      <c r="CT34" s="27">
        <f t="shared" si="455"/>
        <v>503.71454124433905</v>
      </c>
      <c r="CU34" s="27">
        <f t="shared" si="455"/>
        <v>580.00921406814268</v>
      </c>
      <c r="CV34" s="27">
        <f t="shared" si="455"/>
        <v>593.96332138651746</v>
      </c>
      <c r="CW34" s="27">
        <f t="shared" si="455"/>
        <v>570.20629693341198</v>
      </c>
      <c r="CX34" s="27">
        <f t="shared" si="455"/>
        <v>552.57725689797417</v>
      </c>
      <c r="CY34" s="27">
        <f t="shared" si="455"/>
        <v>635.22575168347578</v>
      </c>
      <c r="CZ34" s="27">
        <f t="shared" si="455"/>
        <v>649.77827631642276</v>
      </c>
      <c r="DA34" s="27">
        <f t="shared" si="455"/>
        <v>623.50433915788483</v>
      </c>
      <c r="DB34" s="27">
        <f t="shared" si="455"/>
        <v>604.32585352538251</v>
      </c>
      <c r="DE34" s="121"/>
      <c r="DF34" s="26">
        <v>1564.9000000000003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0</v>
      </c>
      <c r="J35" s="23">
        <f>'Annual Raw'!K23</f>
        <v>0</v>
      </c>
      <c r="K35" s="23">
        <f>'Annual Raw'!L23</f>
        <v>0</v>
      </c>
      <c r="L35" s="23">
        <f>'Annual Raw'!M23</f>
        <v>0</v>
      </c>
      <c r="M35" s="23">
        <f>'Annual Raw'!N23</f>
        <v>0</v>
      </c>
      <c r="N35" s="23">
        <f>'Annual Raw'!O23</f>
        <v>0</v>
      </c>
      <c r="O35" s="23">
        <f>'Annual Raw'!P23</f>
        <v>2.1000000000000001E-2</v>
      </c>
      <c r="P35" s="23">
        <f>'Annual Raw'!Q23</f>
        <v>25.26</v>
      </c>
      <c r="Q35" s="23">
        <f>'Annual Raw'!R23</f>
        <v>84.5</v>
      </c>
      <c r="R35" s="23">
        <f>'Annual Raw'!S23</f>
        <v>79.400000000000006</v>
      </c>
      <c r="S35" s="23">
        <f>'Annual Raw'!T23</f>
        <v>206.1</v>
      </c>
      <c r="T35" s="23">
        <f>'Annual Raw'!U23</f>
        <v>222.9</v>
      </c>
      <c r="U35" s="23">
        <f>'Annual Raw'!V23</f>
        <v>211.2</v>
      </c>
      <c r="V35" s="23">
        <f>'Annual Raw'!W23</f>
        <v>194.3</v>
      </c>
      <c r="W35" s="23">
        <f>'Annual Raw'!X23</f>
        <v>185.2</v>
      </c>
      <c r="X35" s="23">
        <f>'Annual Raw'!Y23</f>
        <v>217.8</v>
      </c>
      <c r="Y35" s="23">
        <f>'Annual Raw'!Z23</f>
        <v>218.8</v>
      </c>
      <c r="Z35" s="23">
        <f>'Annual Raw'!AA23</f>
        <v>212.5</v>
      </c>
      <c r="AA35" s="23">
        <f>'Annual Raw'!AB23</f>
        <v>246.1</v>
      </c>
      <c r="AB35" s="76">
        <f t="shared" ref="AB35:AB36" si="456">+SUM(CM35:CP35)</f>
        <v>0</v>
      </c>
      <c r="AC35" s="76">
        <f t="shared" ref="AC35:AC36" si="457">+SUM(CQ35:CT35)</f>
        <v>0</v>
      </c>
      <c r="AD35" s="76">
        <f t="shared" ref="AD35:AD36" si="458">+SUM(CU35:CX35)</f>
        <v>0</v>
      </c>
      <c r="AE35" s="76">
        <f t="shared" ref="AE35:AE36" si="459">+SUM(CY35:DB35)</f>
        <v>0</v>
      </c>
      <c r="AI35" s="23">
        <f>'QTR Raw'!C23</f>
        <v>0</v>
      </c>
      <c r="AJ35" s="23">
        <f>'QTR Raw'!D23</f>
        <v>0</v>
      </c>
      <c r="AK35" s="23">
        <f>'QTR Raw'!E23</f>
        <v>0</v>
      </c>
      <c r="AL35" s="23">
        <f>'QTR Raw'!F23</f>
        <v>0</v>
      </c>
      <c r="AM35" s="23">
        <f>'QTR Raw'!G23</f>
        <v>0</v>
      </c>
      <c r="AN35" s="23">
        <f>'QTR Raw'!H23</f>
        <v>0</v>
      </c>
      <c r="AO35" s="23">
        <f>'QTR Raw'!I23</f>
        <v>0</v>
      </c>
      <c r="AP35" s="23">
        <f>'QTR Raw'!J23</f>
        <v>0</v>
      </c>
      <c r="AQ35" s="23">
        <f>'QTR Raw'!K23</f>
        <v>0</v>
      </c>
      <c r="AR35" s="23">
        <f>'QTR Raw'!L23</f>
        <v>0</v>
      </c>
      <c r="AS35" s="23">
        <f>'QTR Raw'!M23</f>
        <v>0</v>
      </c>
      <c r="AT35" s="23">
        <f>'QTR Raw'!N23</f>
        <v>0</v>
      </c>
      <c r="AU35" s="23">
        <f>'QTR Raw'!O23</f>
        <v>0</v>
      </c>
      <c r="AV35" s="23">
        <f>'QTR Raw'!P23</f>
        <v>25.7</v>
      </c>
      <c r="AW35" s="23">
        <f>'QTR Raw'!Q23</f>
        <v>28.7</v>
      </c>
      <c r="AX35" s="23">
        <f>'QTR Raw'!R23</f>
        <v>11.1</v>
      </c>
      <c r="AY35" s="23">
        <f>'QTR Raw'!S23</f>
        <v>23.1</v>
      </c>
      <c r="AZ35" s="23">
        <f>'QTR Raw'!T23</f>
        <v>14.9</v>
      </c>
      <c r="BA35" s="23">
        <f>'QTR Raw'!U23</f>
        <v>17</v>
      </c>
      <c r="BB35" s="23">
        <f>'QTR Raw'!V23</f>
        <v>3.3</v>
      </c>
      <c r="BC35" s="23">
        <f>'QTR Raw'!W23</f>
        <v>26.2</v>
      </c>
      <c r="BD35" s="23">
        <f>'QTR Raw'!X23</f>
        <v>48.2</v>
      </c>
      <c r="BE35" s="23">
        <f>'QTR Raw'!Y23</f>
        <v>43.5</v>
      </c>
      <c r="BF35" s="23">
        <f>'QTR Raw'!Z23</f>
        <v>75.5</v>
      </c>
      <c r="BG35" s="23">
        <f>'QTR Raw'!AA23</f>
        <v>98.2</v>
      </c>
      <c r="BH35" s="23">
        <f>'QTR Raw'!AB23</f>
        <v>55</v>
      </c>
      <c r="BI35" s="23">
        <f>'QTR Raw'!AC23</f>
        <v>35.9</v>
      </c>
      <c r="BJ35" s="23">
        <f>'QTR Raw'!AD23</f>
        <v>33.700000000000003</v>
      </c>
      <c r="BK35" s="23">
        <f>'QTR Raw'!AE23</f>
        <v>56.5</v>
      </c>
      <c r="BL35" s="23">
        <f>'QTR Raw'!AF23</f>
        <v>46.9</v>
      </c>
      <c r="BM35" s="23">
        <f>'QTR Raw'!AG23</f>
        <v>44.3</v>
      </c>
      <c r="BN35" s="23">
        <f>'QTR Raw'!AH23</f>
        <v>61.4</v>
      </c>
      <c r="BO35" s="23">
        <f>'QTR Raw'!AI23</f>
        <v>13.7</v>
      </c>
      <c r="BP35" s="23">
        <f>'QTR Raw'!AJ23</f>
        <v>56.6</v>
      </c>
      <c r="BQ35" s="23">
        <f>'QTR Raw'!AK23</f>
        <v>48.8</v>
      </c>
      <c r="BR35" s="23">
        <f>'QTR Raw'!AL23</f>
        <v>34.6</v>
      </c>
      <c r="BS35" s="23">
        <f>'QTR Raw'!AM23</f>
        <v>44.2</v>
      </c>
      <c r="BT35" s="23">
        <f>'QTR Raw'!AN23</f>
        <v>29.3</v>
      </c>
      <c r="BU35" s="23">
        <f>'QTR Raw'!AO23</f>
        <v>37</v>
      </c>
      <c r="BV35" s="23">
        <f>'QTR Raw'!AP23</f>
        <v>41.9</v>
      </c>
      <c r="BW35" s="23">
        <f>'QTR Raw'!AQ23</f>
        <v>40.799999999999997</v>
      </c>
      <c r="BX35" s="23">
        <f>'QTR Raw'!AR23</f>
        <v>38.5</v>
      </c>
      <c r="BY35" s="23">
        <f>'QTR Raw'!AS23</f>
        <v>73.5</v>
      </c>
      <c r="BZ35" s="23">
        <f>'QTR Raw'!AT23</f>
        <v>50.4</v>
      </c>
      <c r="CA35" s="23">
        <f>'QTR Raw'!AU23</f>
        <v>47.7</v>
      </c>
      <c r="CB35" s="23">
        <f>'QTR Raw'!AV23</f>
        <v>41.2</v>
      </c>
      <c r="CC35" s="23">
        <f>'QTR Raw'!AW23</f>
        <v>62.4</v>
      </c>
      <c r="CD35" s="23">
        <f>'QTR Raw'!AX23</f>
        <v>56</v>
      </c>
      <c r="CE35" s="23">
        <f>'QTR Raw'!AY23</f>
        <v>62.2</v>
      </c>
      <c r="CF35" s="23">
        <f>'QTR Raw'!AZ23</f>
        <v>65</v>
      </c>
      <c r="CG35" s="23">
        <f>'QTR Raw'!BA23</f>
        <v>33.5</v>
      </c>
      <c r="CH35" s="23">
        <f>'QTR Raw'!BB23</f>
        <v>49.1</v>
      </c>
      <c r="CI35" s="23">
        <f>'QTR Raw'!BC23</f>
        <v>67.7</v>
      </c>
      <c r="CJ35" s="23">
        <f>'QTR Raw'!BD23</f>
        <v>65.599999999999994</v>
      </c>
      <c r="CK35" s="23">
        <f>'QTR Raw'!BE23</f>
        <v>33.299999999999997</v>
      </c>
      <c r="CL35" s="23">
        <f>'QTR Raw'!BF23</f>
        <v>55.3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246.1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0</v>
      </c>
      <c r="K36" s="23">
        <f>'Annual Raw'!L25</f>
        <v>0</v>
      </c>
      <c r="L36" s="23">
        <f>'Annual Raw'!M25</f>
        <v>0</v>
      </c>
      <c r="M36" s="23">
        <f>'Annual Raw'!N25</f>
        <v>0</v>
      </c>
      <c r="N36" s="23">
        <f>'Annual Raw'!O25</f>
        <v>0</v>
      </c>
      <c r="O36" s="23">
        <f>'Annual Raw'!P25</f>
        <v>2.9249999999999998</v>
      </c>
      <c r="P36" s="23">
        <f>'Annual Raw'!Q25</f>
        <v>3.3839999999999999</v>
      </c>
      <c r="Q36" s="23">
        <f>'Annual Raw'!R25</f>
        <v>2.5</v>
      </c>
      <c r="R36" s="23">
        <f>'Annual Raw'!S25</f>
        <v>2.1</v>
      </c>
      <c r="S36" s="23">
        <f>'Annual Raw'!T25</f>
        <v>2.4</v>
      </c>
      <c r="T36" s="23">
        <f>'Annual Raw'!U25</f>
        <v>1.9</v>
      </c>
      <c r="U36" s="23">
        <f>'Annual Raw'!V25</f>
        <v>36.5</v>
      </c>
      <c r="V36" s="23">
        <f>'Annual Raw'!W25</f>
        <v>45.5</v>
      </c>
      <c r="W36" s="23">
        <f>'Annual Raw'!X25</f>
        <v>43.7</v>
      </c>
      <c r="X36" s="23">
        <f>'Annual Raw'!Y25</f>
        <v>44.4</v>
      </c>
      <c r="Y36" s="23">
        <f>'Annual Raw'!Z25</f>
        <v>50.9</v>
      </c>
      <c r="Z36" s="23">
        <f>'Annual Raw'!AA25</f>
        <v>56.5</v>
      </c>
      <c r="AA36" s="23">
        <f>'Annual Raw'!AB25</f>
        <v>64.099999999999994</v>
      </c>
      <c r="AB36" s="76">
        <f t="shared" si="456"/>
        <v>-199.4447719311413</v>
      </c>
      <c r="AC36" s="76">
        <f t="shared" si="457"/>
        <v>-287.61773009419221</v>
      </c>
      <c r="AD36" s="76">
        <f t="shared" si="458"/>
        <v>-386.68713632212808</v>
      </c>
      <c r="AE36" s="76">
        <f t="shared" si="459"/>
        <v>-497.85732100502366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0.7</v>
      </c>
      <c r="AW36" s="23">
        <f>'QTR Raw'!Q25</f>
        <v>0.7</v>
      </c>
      <c r="AX36" s="23">
        <f>'QTR Raw'!R25</f>
        <v>0.6</v>
      </c>
      <c r="AY36" s="23">
        <f>'QTR Raw'!S25</f>
        <v>0.5</v>
      </c>
      <c r="AZ36" s="23">
        <f>'QTR Raw'!T25</f>
        <v>0.5</v>
      </c>
      <c r="BA36" s="23">
        <f>'QTR Raw'!U25</f>
        <v>0.5</v>
      </c>
      <c r="BB36" s="23">
        <f>'QTR Raw'!V25</f>
        <v>0.6</v>
      </c>
      <c r="BC36" s="23">
        <f>'QTR Raw'!W25</f>
        <v>0.2</v>
      </c>
      <c r="BD36" s="23">
        <f>'QTR Raw'!X25</f>
        <v>0.5</v>
      </c>
      <c r="BE36" s="23">
        <f>'QTR Raw'!Y25</f>
        <v>0.9</v>
      </c>
      <c r="BF36" s="23">
        <f>'QTR Raw'!Z25</f>
        <v>0.8</v>
      </c>
      <c r="BG36" s="23">
        <f>'QTR Raw'!AA25</f>
        <v>0.4</v>
      </c>
      <c r="BH36" s="23">
        <f>'QTR Raw'!AB25</f>
        <v>0.4</v>
      </c>
      <c r="BI36" s="23">
        <f>'QTR Raw'!AC25</f>
        <v>0.6</v>
      </c>
      <c r="BJ36" s="23">
        <f>'QTR Raw'!AD25</f>
        <v>0.5</v>
      </c>
      <c r="BK36" s="23">
        <f>'QTR Raw'!AE25</f>
        <v>9.1</v>
      </c>
      <c r="BL36" s="23">
        <f>'QTR Raw'!AF25</f>
        <v>9.1</v>
      </c>
      <c r="BM36" s="23">
        <f>'QTR Raw'!AG25</f>
        <v>8.9</v>
      </c>
      <c r="BN36" s="23">
        <f>'QTR Raw'!AH25</f>
        <v>9.4</v>
      </c>
      <c r="BO36" s="23">
        <f>'QTR Raw'!AI25</f>
        <v>10.7</v>
      </c>
      <c r="BP36" s="23">
        <f>'QTR Raw'!AJ25</f>
        <v>10.9</v>
      </c>
      <c r="BQ36" s="23">
        <f>'QTR Raw'!AK25</f>
        <v>11.4</v>
      </c>
      <c r="BR36" s="23">
        <f>'QTR Raw'!AL25</f>
        <v>12.5</v>
      </c>
      <c r="BS36" s="23">
        <f>'QTR Raw'!AM25</f>
        <v>10.8</v>
      </c>
      <c r="BT36" s="23">
        <f>'QTR Raw'!AN25</f>
        <v>11.3</v>
      </c>
      <c r="BU36" s="23">
        <f>'QTR Raw'!AO25</f>
        <v>11.1</v>
      </c>
      <c r="BV36" s="23">
        <f>'QTR Raw'!AP25</f>
        <v>10.5</v>
      </c>
      <c r="BW36" s="23">
        <f>'QTR Raw'!AQ25</f>
        <v>10.9</v>
      </c>
      <c r="BX36" s="23">
        <f>'QTR Raw'!AR25</f>
        <v>10.6</v>
      </c>
      <c r="BY36" s="23">
        <f>'QTR Raw'!AS25</f>
        <v>11.5</v>
      </c>
      <c r="BZ36" s="23">
        <f>'QTR Raw'!AT25</f>
        <v>11.4</v>
      </c>
      <c r="CA36" s="23">
        <f>'QTR Raw'!AU25</f>
        <v>12</v>
      </c>
      <c r="CB36" s="23">
        <f>'QTR Raw'!AV25</f>
        <v>12.6</v>
      </c>
      <c r="CC36" s="23">
        <f>'QTR Raw'!AW25</f>
        <v>13.1</v>
      </c>
      <c r="CD36" s="23">
        <f>'QTR Raw'!AX25</f>
        <v>13.2</v>
      </c>
      <c r="CE36" s="23">
        <f>'QTR Raw'!AY25</f>
        <v>13.1</v>
      </c>
      <c r="CF36" s="23">
        <f>'QTR Raw'!AZ25</f>
        <v>11.9</v>
      </c>
      <c r="CG36" s="23">
        <f>'QTR Raw'!BA25</f>
        <v>15.5</v>
      </c>
      <c r="CH36" s="23">
        <f>'QTR Raw'!BB25</f>
        <v>15.9</v>
      </c>
      <c r="CI36" s="23">
        <f>'QTR Raw'!BC25</f>
        <v>16.5</v>
      </c>
      <c r="CJ36" s="23">
        <f>'QTR Raw'!BD25</f>
        <v>15.8</v>
      </c>
      <c r="CK36" s="23">
        <f>'QTR Raw'!BE25</f>
        <v>14.9</v>
      </c>
      <c r="CL36" s="23">
        <f>'QTR Raw'!BF25</f>
        <v>17</v>
      </c>
      <c r="CM36" s="24">
        <f t="shared" ref="CM36:DB36" si="460">CM37*CL168</f>
        <v>-42.805245918684648</v>
      </c>
      <c r="CN36" s="24">
        <f t="shared" si="460"/>
        <v>-46.688644884043377</v>
      </c>
      <c r="CO36" s="24">
        <f t="shared" si="460"/>
        <v>-51.885899792562128</v>
      </c>
      <c r="CP36" s="24">
        <f t="shared" si="460"/>
        <v>-58.064981335851158</v>
      </c>
      <c r="CQ36" s="24">
        <f t="shared" si="460"/>
        <v>-64.035676220188165</v>
      </c>
      <c r="CR36" s="24">
        <f t="shared" si="460"/>
        <v>-68.204768417558427</v>
      </c>
      <c r="CS36" s="24">
        <f t="shared" si="460"/>
        <v>-74.22368171015475</v>
      </c>
      <c r="CT36" s="24">
        <f t="shared" si="460"/>
        <v>-81.153603746290898</v>
      </c>
      <c r="CU36" s="24">
        <f t="shared" si="460"/>
        <v>-87.800453209372151</v>
      </c>
      <c r="CV36" s="24">
        <f t="shared" si="460"/>
        <v>-92.524192906771617</v>
      </c>
      <c r="CW36" s="24">
        <f t="shared" si="460"/>
        <v>-99.312546561375783</v>
      </c>
      <c r="CX36" s="24">
        <f t="shared" si="460"/>
        <v>-107.04994364460855</v>
      </c>
      <c r="CY36" s="24">
        <f t="shared" si="460"/>
        <v>-114.47970377255865</v>
      </c>
      <c r="CZ36" s="24">
        <f t="shared" si="460"/>
        <v>-119.84567864629796</v>
      </c>
      <c r="DA36" s="24">
        <f t="shared" si="460"/>
        <v>-127.45238542366315</v>
      </c>
      <c r="DB36" s="24">
        <f t="shared" si="460"/>
        <v>-136.07955316250391</v>
      </c>
      <c r="DE36" s="123"/>
      <c r="DF36" s="23">
        <v>64.099999999999994</v>
      </c>
    </row>
    <row r="37" spans="1:110" s="46" customFormat="1" x14ac:dyDescent="0.2">
      <c r="A37" s="46" t="s">
        <v>482</v>
      </c>
      <c r="B37" s="46" t="e">
        <f t="shared" ref="B37:D37" si="461">+B36/B128</f>
        <v>#DIV/0!</v>
      </c>
      <c r="C37" s="46" t="e">
        <f t="shared" si="461"/>
        <v>#DIV/0!</v>
      </c>
      <c r="D37" s="46" t="e">
        <f t="shared" si="461"/>
        <v>#DIV/0!</v>
      </c>
      <c r="E37" s="46" t="e">
        <f t="shared" ref="E37:AE37" si="462">+E36/E128</f>
        <v>#DIV/0!</v>
      </c>
      <c r="F37" s="46" t="e">
        <f t="shared" si="462"/>
        <v>#DIV/0!</v>
      </c>
      <c r="G37" s="46" t="e">
        <f t="shared" si="462"/>
        <v>#DIV/0!</v>
      </c>
      <c r="H37" s="46" t="e">
        <f t="shared" si="462"/>
        <v>#DIV/0!</v>
      </c>
      <c r="I37" s="46" t="e">
        <f t="shared" si="462"/>
        <v>#DIV/0!</v>
      </c>
      <c r="J37" s="46" t="e">
        <f t="shared" si="462"/>
        <v>#DIV/0!</v>
      </c>
      <c r="K37" s="46" t="e">
        <f t="shared" si="462"/>
        <v>#DIV/0!</v>
      </c>
      <c r="L37" s="46" t="e">
        <f t="shared" si="462"/>
        <v>#DIV/0!</v>
      </c>
      <c r="M37" s="46" t="e">
        <f t="shared" si="462"/>
        <v>#DIV/0!</v>
      </c>
      <c r="N37" s="46" t="e">
        <f t="shared" si="462"/>
        <v>#DIV/0!</v>
      </c>
      <c r="O37" s="46">
        <f t="shared" si="462"/>
        <v>6.0077638794750136E-2</v>
      </c>
      <c r="P37" s="46">
        <f t="shared" si="462"/>
        <v>1.5468370747226526E-2</v>
      </c>
      <c r="Q37" s="46">
        <f t="shared" si="462"/>
        <v>1.278772378516624E-2</v>
      </c>
      <c r="R37" s="46">
        <f t="shared" si="462"/>
        <v>2.0608439646712464E-2</v>
      </c>
      <c r="S37" s="46">
        <f t="shared" si="462"/>
        <v>3.4188034188034185E-2</v>
      </c>
      <c r="T37" s="46">
        <f t="shared" si="462"/>
        <v>2.7065527065527062E-2</v>
      </c>
      <c r="U37" s="46">
        <f t="shared" si="462"/>
        <v>1.2046204620462047</v>
      </c>
      <c r="V37" s="46" t="e">
        <f t="shared" si="462"/>
        <v>#DIV/0!</v>
      </c>
      <c r="W37" s="46" t="e">
        <f t="shared" si="462"/>
        <v>#DIV/0!</v>
      </c>
      <c r="X37" s="46" t="e">
        <f t="shared" si="462"/>
        <v>#DIV/0!</v>
      </c>
      <c r="Y37" s="46" t="e">
        <f t="shared" si="462"/>
        <v>#DIV/0!</v>
      </c>
      <c r="Z37" s="46" t="e">
        <f t="shared" si="462"/>
        <v>#DIV/0!</v>
      </c>
      <c r="AA37" s="46" t="e">
        <f t="shared" ref="AA37" si="463">+AA36/AA128</f>
        <v>#DIV/0!</v>
      </c>
      <c r="AB37" s="110" t="e">
        <f t="shared" si="462"/>
        <v>#DIV/0!</v>
      </c>
      <c r="AC37" s="110" t="e">
        <f t="shared" si="462"/>
        <v>#DIV/0!</v>
      </c>
      <c r="AD37" s="110" t="e">
        <f t="shared" si="462"/>
        <v>#DIV/0!</v>
      </c>
      <c r="AE37" s="110" t="e">
        <f t="shared" si="462"/>
        <v>#DIV/0!</v>
      </c>
      <c r="AI37" s="46" t="e">
        <f t="shared" ref="AI37:BN37" si="464">(AI36-AI35)/AH168</f>
        <v>#DIV/0!</v>
      </c>
      <c r="AJ37" s="46" t="e">
        <f t="shared" si="464"/>
        <v>#DIV/0!</v>
      </c>
      <c r="AK37" s="46" t="e">
        <f t="shared" si="464"/>
        <v>#DIV/0!</v>
      </c>
      <c r="AL37" s="46" t="e">
        <f t="shared" si="464"/>
        <v>#DIV/0!</v>
      </c>
      <c r="AM37" s="46" t="e">
        <f t="shared" si="464"/>
        <v>#DIV/0!</v>
      </c>
      <c r="AN37" s="46" t="e">
        <f t="shared" si="464"/>
        <v>#DIV/0!</v>
      </c>
      <c r="AO37" s="46" t="e">
        <f t="shared" si="464"/>
        <v>#DIV/0!</v>
      </c>
      <c r="AP37" s="46" t="e">
        <f t="shared" si="464"/>
        <v>#DIV/0!</v>
      </c>
      <c r="AQ37" s="46" t="e">
        <f t="shared" si="464"/>
        <v>#DIV/0!</v>
      </c>
      <c r="AR37" s="46" t="e">
        <f t="shared" si="464"/>
        <v>#DIV/0!</v>
      </c>
      <c r="AS37" s="46" t="e">
        <f t="shared" si="464"/>
        <v>#DIV/0!</v>
      </c>
      <c r="AT37" s="46" t="e">
        <f t="shared" si="464"/>
        <v>#DIV/0!</v>
      </c>
      <c r="AU37" s="46" t="e">
        <f t="shared" si="464"/>
        <v>#DIV/0!</v>
      </c>
      <c r="AV37" s="46" t="e">
        <f t="shared" si="464"/>
        <v>#DIV/0!</v>
      </c>
      <c r="AW37" s="46" t="e">
        <f t="shared" si="464"/>
        <v>#DIV/0!</v>
      </c>
      <c r="AX37" s="46">
        <f t="shared" si="464"/>
        <v>8.0275229357798142E-2</v>
      </c>
      <c r="AY37" s="46">
        <f t="shared" si="464"/>
        <v>-0.39929328621908133</v>
      </c>
      <c r="AZ37" s="46">
        <f t="shared" si="464"/>
        <v>0.28379143045374206</v>
      </c>
      <c r="BA37" s="46">
        <f t="shared" si="464"/>
        <v>0.37844036697247685</v>
      </c>
      <c r="BB37" s="46">
        <f t="shared" si="464"/>
        <v>1.6867314167499054E-2</v>
      </c>
      <c r="BC37" s="46">
        <f t="shared" si="464"/>
        <v>0.16260162601626016</v>
      </c>
      <c r="BD37" s="46">
        <f t="shared" si="464"/>
        <v>0.19005678741341489</v>
      </c>
      <c r="BE37" s="46">
        <f t="shared" si="464"/>
        <v>0.36947094535993058</v>
      </c>
      <c r="BF37" s="46">
        <f t="shared" si="464"/>
        <v>0.38461147505341242</v>
      </c>
      <c r="BG37" s="46">
        <f t="shared" si="464"/>
        <v>0.32097144732523797</v>
      </c>
      <c r="BH37" s="46">
        <f t="shared" si="464"/>
        <v>0.12696870443599709</v>
      </c>
      <c r="BI37" s="46">
        <f t="shared" si="464"/>
        <v>9.2919189260331658E-2</v>
      </c>
      <c r="BJ37" s="46">
        <f t="shared" si="464"/>
        <v>6.2808049282237113E-2</v>
      </c>
      <c r="BK37" s="46">
        <f t="shared" si="464"/>
        <v>6.6779374471682168E-2</v>
      </c>
      <c r="BL37" s="46">
        <f t="shared" si="464"/>
        <v>4.1500658965413953E-2</v>
      </c>
      <c r="BM37" s="46">
        <f t="shared" si="464"/>
        <v>8.3333333333333329E-2</v>
      </c>
      <c r="BN37" s="46">
        <f t="shared" si="464"/>
        <v>8.4568389279051026E-2</v>
      </c>
      <c r="BO37" s="46">
        <f t="shared" ref="BO37:CL37" si="465">(BO36-BO35)/BN168</f>
        <v>3.6381275770070334E-3</v>
      </c>
      <c r="BP37" s="46">
        <f t="shared" si="465"/>
        <v>4.2868866114762018E-2</v>
      </c>
      <c r="BQ37" s="46">
        <f t="shared" si="465"/>
        <v>2.9414077860794335E-2</v>
      </c>
      <c r="BR37" s="46">
        <f t="shared" si="465"/>
        <v>1.5907294927762536E-2</v>
      </c>
      <c r="BS37" s="46">
        <f t="shared" si="465"/>
        <v>1.911192492561227E-2</v>
      </c>
      <c r="BT37" s="46">
        <f t="shared" si="465"/>
        <v>9.4252976982222725E-3</v>
      </c>
      <c r="BU37" s="46">
        <f t="shared" si="465"/>
        <v>1.3225757034162282E-2</v>
      </c>
      <c r="BV37" s="46">
        <f t="shared" si="465"/>
        <v>1.467332671528011E-2</v>
      </c>
      <c r="BW37" s="46">
        <f t="shared" si="465"/>
        <v>1.4472410454985478E-2</v>
      </c>
      <c r="BX37" s="46">
        <f t="shared" si="465"/>
        <v>1.2941226596739571E-2</v>
      </c>
      <c r="BY37" s="46">
        <f t="shared" si="465"/>
        <v>2.6903883705793014E-2</v>
      </c>
      <c r="BZ37" s="46">
        <f t="shared" si="465"/>
        <v>1.4604690586182608E-2</v>
      </c>
      <c r="CA37" s="46">
        <f t="shared" si="465"/>
        <v>1.2755922392539393E-2</v>
      </c>
      <c r="CB37" s="46">
        <f t="shared" si="465"/>
        <v>9.1182971367509049E-3</v>
      </c>
      <c r="CC37" s="46">
        <f t="shared" si="465"/>
        <v>2.3370466935292721E-2</v>
      </c>
      <c r="CD37" s="46">
        <f t="shared" si="465"/>
        <v>1.7654669746155049E-2</v>
      </c>
      <c r="CE37" s="46">
        <f t="shared" si="465"/>
        <v>1.8292910100219814E-2</v>
      </c>
      <c r="CF37" s="46">
        <f t="shared" si="465"/>
        <v>1.7578722654738126E-2</v>
      </c>
      <c r="CG37" s="46">
        <f t="shared" si="465"/>
        <v>6.7514346798694721E-3</v>
      </c>
      <c r="CH37" s="46">
        <f t="shared" si="465"/>
        <v>1.1215018814071134E-2</v>
      </c>
      <c r="CI37" s="46">
        <f t="shared" si="465"/>
        <v>2.0268397925656153E-2</v>
      </c>
      <c r="CJ37" s="46">
        <f t="shared" si="465"/>
        <v>1.7562144954230512E-2</v>
      </c>
      <c r="CK37" s="46">
        <f t="shared" si="465"/>
        <v>7.8777240227768976E-3</v>
      </c>
      <c r="CL37" s="46">
        <f t="shared" si="465"/>
        <v>1.3901869351006674E-2</v>
      </c>
      <c r="CM37" s="47">
        <f>+CL37</f>
        <v>1.3901869351006674E-2</v>
      </c>
      <c r="CN37" s="47">
        <f t="shared" ref="CN37" si="466">+CM37</f>
        <v>1.3901869351006674E-2</v>
      </c>
      <c r="CO37" s="47">
        <f t="shared" ref="CO37" si="467">+CN37</f>
        <v>1.3901869351006674E-2</v>
      </c>
      <c r="CP37" s="47">
        <f t="shared" ref="CP37" si="468">+CO37</f>
        <v>1.3901869351006674E-2</v>
      </c>
      <c r="CQ37" s="47">
        <f>+CP37</f>
        <v>1.3901869351006674E-2</v>
      </c>
      <c r="CR37" s="47">
        <f t="shared" ref="CR37" si="469">+CQ37</f>
        <v>1.3901869351006674E-2</v>
      </c>
      <c r="CS37" s="47">
        <f t="shared" ref="CS37" si="470">+CR37</f>
        <v>1.3901869351006674E-2</v>
      </c>
      <c r="CT37" s="47">
        <f t="shared" ref="CT37" si="471">+CS37</f>
        <v>1.3901869351006674E-2</v>
      </c>
      <c r="CU37" s="47">
        <f t="shared" ref="CU37" si="472">+CT37</f>
        <v>1.3901869351006674E-2</v>
      </c>
      <c r="CV37" s="47">
        <f t="shared" ref="CV37" si="473">+CU37</f>
        <v>1.3901869351006674E-2</v>
      </c>
      <c r="CW37" s="47">
        <f t="shared" ref="CW37" si="474">+CV37</f>
        <v>1.3901869351006674E-2</v>
      </c>
      <c r="CX37" s="47">
        <f t="shared" ref="CX37" si="475">+CW37</f>
        <v>1.3901869351006674E-2</v>
      </c>
      <c r="CY37" s="47">
        <f t="shared" ref="CY37" si="476">+CX37</f>
        <v>1.3901869351006674E-2</v>
      </c>
      <c r="CZ37" s="47">
        <f t="shared" ref="CZ37" si="477">+CY37</f>
        <v>1.3901869351006674E-2</v>
      </c>
      <c r="DA37" s="47">
        <f t="shared" ref="DA37" si="478">+CZ37</f>
        <v>1.3901869351006674E-2</v>
      </c>
      <c r="DB37" s="47">
        <f t="shared" ref="DB37" si="479">+DA37</f>
        <v>1.3901869351006674E-2</v>
      </c>
      <c r="DE37" s="130"/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0">C34+C35-C36</f>
        <v>0</v>
      </c>
      <c r="D38" s="26">
        <f>D34+D35-D36</f>
        <v>0</v>
      </c>
      <c r="E38" s="26">
        <f t="shared" si="480"/>
        <v>0</v>
      </c>
      <c r="F38" s="26">
        <f t="shared" si="480"/>
        <v>0</v>
      </c>
      <c r="G38" s="26">
        <f t="shared" si="480"/>
        <v>0</v>
      </c>
      <c r="H38" s="26">
        <f t="shared" si="480"/>
        <v>0</v>
      </c>
      <c r="I38" s="26">
        <f t="shared" si="480"/>
        <v>0</v>
      </c>
      <c r="J38" s="26">
        <f t="shared" si="480"/>
        <v>0</v>
      </c>
      <c r="K38" s="26">
        <f t="shared" si="480"/>
        <v>0</v>
      </c>
      <c r="L38" s="26">
        <f t="shared" si="480"/>
        <v>0</v>
      </c>
      <c r="M38" s="26">
        <f t="shared" si="480"/>
        <v>0</v>
      </c>
      <c r="N38" s="26">
        <f t="shared" si="480"/>
        <v>-3.0000000000000001E-3</v>
      </c>
      <c r="O38" s="26">
        <f t="shared" si="480"/>
        <v>11.552</v>
      </c>
      <c r="P38" s="26">
        <f t="shared" si="480"/>
        <v>372.14899999999983</v>
      </c>
      <c r="Q38" s="26">
        <f t="shared" si="480"/>
        <v>542.49999999999966</v>
      </c>
      <c r="R38" s="26">
        <f t="shared" si="480"/>
        <v>579.20000000000005</v>
      </c>
      <c r="S38" s="26">
        <f t="shared" si="480"/>
        <v>677.80000000000007</v>
      </c>
      <c r="T38" s="26">
        <f t="shared" si="480"/>
        <v>1031.3999999999994</v>
      </c>
      <c r="U38" s="26">
        <f t="shared" ref="U38:Z38" si="481">U34+U35-U36</f>
        <v>1100.1999999999996</v>
      </c>
      <c r="V38" s="26">
        <f t="shared" si="481"/>
        <v>897.30000000000018</v>
      </c>
      <c r="W38" s="26">
        <f t="shared" si="481"/>
        <v>1309.1999999999994</v>
      </c>
      <c r="X38" s="26">
        <f t="shared" si="481"/>
        <v>1686.0000000000014</v>
      </c>
      <c r="Y38" s="26">
        <f t="shared" si="481"/>
        <v>1803.799999999999</v>
      </c>
      <c r="Z38" s="26">
        <f t="shared" si="481"/>
        <v>1639.4</v>
      </c>
      <c r="AA38" s="26">
        <f t="shared" ref="AA38" si="482">AA34+AA35-AA36</f>
        <v>1746.9000000000003</v>
      </c>
      <c r="AB38" s="27">
        <f t="shared" ref="AB38:AD38" si="483">AB34+AB35-AB36</f>
        <v>2078.4141059296353</v>
      </c>
      <c r="AC38" s="27">
        <f t="shared" si="483"/>
        <v>2376.426243379603</v>
      </c>
      <c r="AD38" s="27">
        <f t="shared" si="483"/>
        <v>2683.4432256081736</v>
      </c>
      <c r="AE38" s="27">
        <f t="shared" ref="AE38" si="484">AE34+AE35-AE36</f>
        <v>3010.6915416881898</v>
      </c>
      <c r="AI38" s="26">
        <f>AI34+AI35-AI36</f>
        <v>0</v>
      </c>
      <c r="AJ38" s="26">
        <f t="shared" ref="AJ38" si="485">AJ34+AJ35-AJ36</f>
        <v>0</v>
      </c>
      <c r="AK38" s="26">
        <f t="shared" ref="AK38:AM38" si="486">AK34+AK35-AK36</f>
        <v>0</v>
      </c>
      <c r="AL38" s="26">
        <f t="shared" si="486"/>
        <v>0</v>
      </c>
      <c r="AM38" s="26">
        <f t="shared" si="486"/>
        <v>0</v>
      </c>
      <c r="AN38" s="26">
        <f t="shared" ref="AN38:AO38" si="487">AN34+AN35-AN36</f>
        <v>0</v>
      </c>
      <c r="AO38" s="26">
        <f t="shared" si="487"/>
        <v>0</v>
      </c>
      <c r="AP38" s="26">
        <f t="shared" ref="AP38:CD38" si="488">AP34+AP35-AP36</f>
        <v>0</v>
      </c>
      <c r="AQ38" s="26">
        <f t="shared" si="488"/>
        <v>0</v>
      </c>
      <c r="AR38" s="26">
        <f t="shared" si="488"/>
        <v>0</v>
      </c>
      <c r="AS38" s="26">
        <f t="shared" si="488"/>
        <v>0</v>
      </c>
      <c r="AT38" s="26">
        <f t="shared" si="488"/>
        <v>0</v>
      </c>
      <c r="AU38" s="26">
        <f t="shared" si="488"/>
        <v>0</v>
      </c>
      <c r="AV38" s="26">
        <f t="shared" si="488"/>
        <v>133.1</v>
      </c>
      <c r="AW38" s="26">
        <f t="shared" si="488"/>
        <v>167.90000000000003</v>
      </c>
      <c r="AX38" s="26">
        <f t="shared" si="488"/>
        <v>137.99999999999997</v>
      </c>
      <c r="AY38" s="26">
        <f t="shared" si="488"/>
        <v>153.79999999999998</v>
      </c>
      <c r="AZ38" s="26">
        <f t="shared" si="488"/>
        <v>155.50000000000006</v>
      </c>
      <c r="BA38" s="26">
        <f t="shared" si="488"/>
        <v>147.29999999999993</v>
      </c>
      <c r="BB38" s="26">
        <f t="shared" si="488"/>
        <v>122.59999999999991</v>
      </c>
      <c r="BC38" s="26">
        <f t="shared" si="488"/>
        <v>137.19999999999993</v>
      </c>
      <c r="BD38" s="26">
        <f t="shared" si="488"/>
        <v>170.5</v>
      </c>
      <c r="BE38" s="26">
        <f t="shared" si="488"/>
        <v>176.6</v>
      </c>
      <c r="BF38" s="26">
        <f t="shared" si="488"/>
        <v>193.5</v>
      </c>
      <c r="BG38" s="26">
        <f t="shared" si="488"/>
        <v>267.90000000000003</v>
      </c>
      <c r="BH38" s="26">
        <f t="shared" si="488"/>
        <v>256.39999999999998</v>
      </c>
      <c r="BI38" s="26">
        <f t="shared" si="488"/>
        <v>253.10000000000005</v>
      </c>
      <c r="BJ38" s="26">
        <f t="shared" si="488"/>
        <v>253.99999999999989</v>
      </c>
      <c r="BK38" s="26">
        <f t="shared" si="488"/>
        <v>277.3</v>
      </c>
      <c r="BL38" s="26">
        <f t="shared" si="488"/>
        <v>276.5999999999998</v>
      </c>
      <c r="BM38" s="26">
        <f t="shared" si="488"/>
        <v>274.50000000000023</v>
      </c>
      <c r="BN38" s="26">
        <f t="shared" si="488"/>
        <v>271.79999999999973</v>
      </c>
      <c r="BO38" s="26">
        <f t="shared" si="488"/>
        <v>159.7000000000001</v>
      </c>
      <c r="BP38" s="26">
        <f t="shared" si="488"/>
        <v>225.79999999999995</v>
      </c>
      <c r="BQ38" s="26">
        <f t="shared" si="488"/>
        <v>250.60000000000011</v>
      </c>
      <c r="BR38" s="26">
        <f t="shared" si="488"/>
        <v>261.19999999999993</v>
      </c>
      <c r="BS38" s="26">
        <f t="shared" si="488"/>
        <v>295.70000000000027</v>
      </c>
      <c r="BT38" s="26">
        <f t="shared" si="488"/>
        <v>314.39999999999998</v>
      </c>
      <c r="BU38" s="26">
        <f t="shared" si="488"/>
        <v>340.30000000000007</v>
      </c>
      <c r="BV38" s="26">
        <f t="shared" si="488"/>
        <v>358.79999999999995</v>
      </c>
      <c r="BW38" s="26">
        <f t="shared" si="488"/>
        <v>378.60000000000008</v>
      </c>
      <c r="BX38" s="26">
        <f t="shared" si="488"/>
        <v>406.29999999999984</v>
      </c>
      <c r="BY38" s="26">
        <f t="shared" si="488"/>
        <v>438.69999999999993</v>
      </c>
      <c r="BZ38" s="26">
        <f t="shared" si="488"/>
        <v>462.39999999999981</v>
      </c>
      <c r="CA38" s="26">
        <f t="shared" si="488"/>
        <v>431.10000000000019</v>
      </c>
      <c r="CB38" s="26">
        <f t="shared" si="488"/>
        <v>436.09999999999985</v>
      </c>
      <c r="CC38" s="26">
        <f t="shared" si="488"/>
        <v>465.5</v>
      </c>
      <c r="CD38" s="26">
        <f t="shared" si="488"/>
        <v>471.00000000000017</v>
      </c>
      <c r="CE38" s="26">
        <f t="shared" ref="CE38:CF38" si="489">CE34+CE35-CE36</f>
        <v>432.7</v>
      </c>
      <c r="CF38" s="26">
        <f t="shared" si="489"/>
        <v>440.8</v>
      </c>
      <c r="CG38" s="26">
        <f t="shared" ref="CG38:CH38" si="490">CG34+CG35-CG36</f>
        <v>439.89999999999981</v>
      </c>
      <c r="CH38" s="26">
        <f t="shared" si="490"/>
        <v>385.00000000000034</v>
      </c>
      <c r="CI38" s="26">
        <f t="shared" ref="CI38:CJ38" si="491">CI34+CI35-CI36</f>
        <v>432.50000000000006</v>
      </c>
      <c r="CJ38" s="26">
        <f t="shared" si="491"/>
        <v>448.00000000000017</v>
      </c>
      <c r="CK38" s="26">
        <f t="shared" ref="CK38:CL38" si="492">CK34+CK35-CK36</f>
        <v>445.50000000000023</v>
      </c>
      <c r="CL38" s="26">
        <f t="shared" si="492"/>
        <v>473.2000000000001</v>
      </c>
      <c r="CM38" s="27">
        <f t="shared" ref="CM38:DB38" si="493">CM34+CM35-CM36</f>
        <v>515.63325740312303</v>
      </c>
      <c r="CN38" s="27">
        <f t="shared" si="493"/>
        <v>524.91760665547019</v>
      </c>
      <c r="CO38" s="27">
        <f t="shared" si="493"/>
        <v>521.84343696889289</v>
      </c>
      <c r="CP38" s="27">
        <f t="shared" si="493"/>
        <v>516.01980490215067</v>
      </c>
      <c r="CQ38" s="27">
        <f t="shared" si="493"/>
        <v>590.13619516905703</v>
      </c>
      <c r="CR38" s="27">
        <f t="shared" si="493"/>
        <v>607.52501720148655</v>
      </c>
      <c r="CS38" s="27">
        <f t="shared" si="493"/>
        <v>593.89688601842886</v>
      </c>
      <c r="CT38" s="27">
        <f t="shared" si="493"/>
        <v>584.86814499062996</v>
      </c>
      <c r="CU38" s="27">
        <f t="shared" si="493"/>
        <v>667.80966727751479</v>
      </c>
      <c r="CV38" s="27">
        <f t="shared" si="493"/>
        <v>686.48751429328911</v>
      </c>
      <c r="CW38" s="27">
        <f t="shared" si="493"/>
        <v>669.5188434947878</v>
      </c>
      <c r="CX38" s="27">
        <f t="shared" si="493"/>
        <v>659.62720054258273</v>
      </c>
      <c r="CY38" s="27">
        <f t="shared" si="493"/>
        <v>749.70545545603443</v>
      </c>
      <c r="CZ38" s="27">
        <f t="shared" si="493"/>
        <v>769.62395496272075</v>
      </c>
      <c r="DA38" s="27">
        <f t="shared" si="493"/>
        <v>750.95672458154797</v>
      </c>
      <c r="DB38" s="27">
        <f t="shared" si="493"/>
        <v>740.4054066878864</v>
      </c>
      <c r="DE38" s="121"/>
      <c r="DF38" s="26">
        <v>1746.9000000000003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0</v>
      </c>
      <c r="J39" s="23">
        <f>'Annual Raw'!K30</f>
        <v>0</v>
      </c>
      <c r="K39" s="23">
        <f>'Annual Raw'!L30</f>
        <v>0</v>
      </c>
      <c r="L39" s="23">
        <f>'Annual Raw'!M30</f>
        <v>0</v>
      </c>
      <c r="M39" s="23">
        <f>'Annual Raw'!N30</f>
        <v>0</v>
      </c>
      <c r="N39" s="23">
        <f>'Annual Raw'!O30</f>
        <v>0</v>
      </c>
      <c r="O39" s="23">
        <f>'Annual Raw'!P30</f>
        <v>5.3380000000000001</v>
      </c>
      <c r="P39" s="23">
        <f>'Annual Raw'!Q30</f>
        <v>61.04</v>
      </c>
      <c r="Q39" s="23">
        <f>'Annual Raw'!R30</f>
        <v>123.9</v>
      </c>
      <c r="R39" s="23">
        <f>'Annual Raw'!S30</f>
        <v>154.19999999999999</v>
      </c>
      <c r="S39" s="23">
        <f>'Annual Raw'!T30</f>
        <v>171.2</v>
      </c>
      <c r="T39" s="23">
        <f>'Annual Raw'!U30</f>
        <v>263</v>
      </c>
      <c r="U39" s="23">
        <f>'Annual Raw'!V30</f>
        <v>277.8</v>
      </c>
      <c r="V39" s="23">
        <f>'Annual Raw'!W30</f>
        <v>230.8</v>
      </c>
      <c r="W39" s="23">
        <f>'Annual Raw'!X30</f>
        <v>348.6</v>
      </c>
      <c r="X39" s="23">
        <f>'Annual Raw'!Y30</f>
        <v>469.6</v>
      </c>
      <c r="Y39" s="23">
        <f>'Annual Raw'!Z30</f>
        <v>497.5</v>
      </c>
      <c r="Z39" s="23">
        <f>'Annual Raw'!AA30</f>
        <v>449.5</v>
      </c>
      <c r="AA39" s="23">
        <f>'Annual Raw'!AB30</f>
        <v>444.5</v>
      </c>
      <c r="AB39" s="24">
        <f>+SUM(CM39:CP39)</f>
        <v>521.9699079048637</v>
      </c>
      <c r="AC39" s="24">
        <f>+SUM(CQ39:CT39)</f>
        <v>594.98244606365085</v>
      </c>
      <c r="AD39" s="24">
        <f>+SUM(CU39:CX39)</f>
        <v>671.51651036386875</v>
      </c>
      <c r="AE39" s="24">
        <f>+SUM(CY39:DB39)</f>
        <v>753.36152963423774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39.6</v>
      </c>
      <c r="AW39" s="23">
        <f>'QTR Raw'!Q29</f>
        <v>37.200000000000003</v>
      </c>
      <c r="AX39" s="23">
        <f>'QTR Raw'!R29</f>
        <v>28.9</v>
      </c>
      <c r="AY39" s="23">
        <f>'QTR Raw'!S29</f>
        <v>45.8</v>
      </c>
      <c r="AZ39" s="23">
        <f>'QTR Raw'!T29</f>
        <v>43.6</v>
      </c>
      <c r="BA39" s="23">
        <f>'QTR Raw'!U29</f>
        <v>38.700000000000003</v>
      </c>
      <c r="BB39" s="23">
        <f>'QTR Raw'!V29</f>
        <v>26.1</v>
      </c>
      <c r="BC39" s="23">
        <f>'QTR Raw'!W29</f>
        <v>39.200000000000003</v>
      </c>
      <c r="BD39" s="23">
        <f>'QTR Raw'!X29</f>
        <v>47.5</v>
      </c>
      <c r="BE39" s="23">
        <f>'QTR Raw'!Y29</f>
        <v>50.1</v>
      </c>
      <c r="BF39" s="23">
        <f>'QTR Raw'!Z29</f>
        <v>34.4</v>
      </c>
      <c r="BG39" s="23">
        <f>'QTR Raw'!AA29</f>
        <v>69.8</v>
      </c>
      <c r="BH39" s="23">
        <f>'QTR Raw'!AB29</f>
        <v>64.599999999999994</v>
      </c>
      <c r="BI39" s="23">
        <f>'QTR Raw'!AC29</f>
        <v>67</v>
      </c>
      <c r="BJ39" s="23">
        <f>'QTR Raw'!AD29</f>
        <v>61.6</v>
      </c>
      <c r="BK39" s="23">
        <f>'QTR Raw'!AE29</f>
        <v>73.2</v>
      </c>
      <c r="BL39" s="23">
        <f>'QTR Raw'!AF29</f>
        <v>70.400000000000006</v>
      </c>
      <c r="BM39" s="23">
        <f>'QTR Raw'!AG29</f>
        <v>68.7</v>
      </c>
      <c r="BN39" s="23">
        <f>'QTR Raw'!AH29</f>
        <v>65.5</v>
      </c>
      <c r="BO39" s="23">
        <f>'QTR Raw'!AI29</f>
        <v>41.7</v>
      </c>
      <c r="BP39" s="23">
        <f>'QTR Raw'!AJ29</f>
        <v>59.5</v>
      </c>
      <c r="BQ39" s="23">
        <f>'QTR Raw'!AK29</f>
        <v>63.7</v>
      </c>
      <c r="BR39" s="23">
        <f>'QTR Raw'!AL29</f>
        <v>65.900000000000006</v>
      </c>
      <c r="BS39" s="23">
        <f>'QTR Raw'!AM29</f>
        <v>78.7</v>
      </c>
      <c r="BT39" s="23">
        <f>'QTR Raw'!AN29</f>
        <v>83.6</v>
      </c>
      <c r="BU39" s="23">
        <f>'QTR Raw'!AO29</f>
        <v>90.7</v>
      </c>
      <c r="BV39" s="23">
        <f>'QTR Raw'!AP29</f>
        <v>95.6</v>
      </c>
      <c r="BW39" s="23">
        <f>'QTR Raw'!AQ29</f>
        <v>102.4</v>
      </c>
      <c r="BX39" s="23">
        <f>'QTR Raw'!AR29</f>
        <v>105.7</v>
      </c>
      <c r="BY39" s="23">
        <f>'QTR Raw'!AS29</f>
        <v>140.5</v>
      </c>
      <c r="BZ39" s="23">
        <f>'QTR Raw'!AT29</f>
        <v>121</v>
      </c>
      <c r="CA39" s="23">
        <f>'QTR Raw'!AU29</f>
        <v>119</v>
      </c>
      <c r="CB39" s="23">
        <f>'QTR Raw'!AV29</f>
        <v>120.2</v>
      </c>
      <c r="CC39" s="23">
        <f>'QTR Raw'!AW29</f>
        <v>128.69999999999999</v>
      </c>
      <c r="CD39" s="23">
        <f>'QTR Raw'!AX29</f>
        <v>129.6</v>
      </c>
      <c r="CE39" s="23">
        <f>'QTR Raw'!AY29</f>
        <v>118.8</v>
      </c>
      <c r="CF39" s="23">
        <f>'QTR Raw'!AZ29</f>
        <v>120.8</v>
      </c>
      <c r="CG39" s="23">
        <f>'QTR Raw'!BA29</f>
        <v>120.4</v>
      </c>
      <c r="CH39" s="23">
        <f>'QTR Raw'!BB29</f>
        <v>105.5</v>
      </c>
      <c r="CI39" s="23">
        <f>'QTR Raw'!BC29</f>
        <v>116.4</v>
      </c>
      <c r="CJ39" s="23">
        <f>'QTR Raw'!BD29</f>
        <v>118.8</v>
      </c>
      <c r="CK39" s="23">
        <f>'QTR Raw'!BE29</f>
        <v>107</v>
      </c>
      <c r="CL39" s="23">
        <f>'QTR Raw'!BF29</f>
        <v>116.2</v>
      </c>
      <c r="CM39" s="24">
        <f t="shared" ref="CM39:DB39" si="494">+CM38*CM40</f>
        <v>131.4933415373697</v>
      </c>
      <c r="CN39" s="24">
        <f t="shared" si="494"/>
        <v>132.00806193417492</v>
      </c>
      <c r="CO39" s="24">
        <f t="shared" si="494"/>
        <v>129.44827484868094</v>
      </c>
      <c r="CP39" s="24">
        <f t="shared" si="494"/>
        <v>129.0202295846382</v>
      </c>
      <c r="CQ39" s="24">
        <f t="shared" si="494"/>
        <v>148.21062669969643</v>
      </c>
      <c r="CR39" s="24">
        <f t="shared" si="494"/>
        <v>151.99046938342477</v>
      </c>
      <c r="CS39" s="24">
        <f t="shared" si="494"/>
        <v>148.38743198732851</v>
      </c>
      <c r="CT39" s="24">
        <f t="shared" si="494"/>
        <v>146.39391799320111</v>
      </c>
      <c r="CU39" s="24">
        <f t="shared" si="494"/>
        <v>167.19993087825847</v>
      </c>
      <c r="CV39" s="24">
        <f t="shared" si="494"/>
        <v>171.74316385822499</v>
      </c>
      <c r="CW39" s="24">
        <f t="shared" si="494"/>
        <v>167.4974801155135</v>
      </c>
      <c r="CX39" s="24">
        <f t="shared" si="494"/>
        <v>165.07593551187188</v>
      </c>
      <c r="CY39" s="24">
        <f t="shared" si="494"/>
        <v>187.60997097495806</v>
      </c>
      <c r="CZ39" s="24">
        <f t="shared" si="494"/>
        <v>192.57028280553828</v>
      </c>
      <c r="DA39" s="24">
        <f t="shared" si="494"/>
        <v>187.90639868733629</v>
      </c>
      <c r="DB39" s="24">
        <f t="shared" si="494"/>
        <v>185.27487716640513</v>
      </c>
      <c r="DE39" s="123"/>
      <c r="DF39" s="23">
        <v>444.5</v>
      </c>
    </row>
    <row r="40" spans="1:110" s="90" customFormat="1" x14ac:dyDescent="0.2">
      <c r="A40" s="90" t="s">
        <v>106</v>
      </c>
      <c r="B40" s="90" t="e">
        <f t="shared" ref="B40:E40" si="495">B39/B38</f>
        <v>#DIV/0!</v>
      </c>
      <c r="C40" s="90" t="e">
        <f t="shared" si="495"/>
        <v>#DIV/0!</v>
      </c>
      <c r="D40" s="90" t="e">
        <f t="shared" si="495"/>
        <v>#DIV/0!</v>
      </c>
      <c r="E40" s="90" t="e">
        <f t="shared" si="495"/>
        <v>#DIV/0!</v>
      </c>
      <c r="F40" s="90" t="e">
        <f t="shared" ref="F40:T40" si="496">F39/F38</f>
        <v>#DIV/0!</v>
      </c>
      <c r="G40" s="90" t="e">
        <f t="shared" si="496"/>
        <v>#DIV/0!</v>
      </c>
      <c r="H40" s="90" t="e">
        <f t="shared" si="496"/>
        <v>#DIV/0!</v>
      </c>
      <c r="I40" s="90" t="e">
        <f t="shared" si="496"/>
        <v>#DIV/0!</v>
      </c>
      <c r="J40" s="90" t="e">
        <f t="shared" si="496"/>
        <v>#DIV/0!</v>
      </c>
      <c r="K40" s="90" t="e">
        <f t="shared" si="496"/>
        <v>#DIV/0!</v>
      </c>
      <c r="L40" s="90" t="e">
        <f t="shared" si="496"/>
        <v>#DIV/0!</v>
      </c>
      <c r="M40" s="90" t="e">
        <f t="shared" si="496"/>
        <v>#DIV/0!</v>
      </c>
      <c r="N40" s="90">
        <f t="shared" si="496"/>
        <v>0</v>
      </c>
      <c r="O40" s="90">
        <f t="shared" si="496"/>
        <v>0.46208448753462605</v>
      </c>
      <c r="P40" s="90">
        <f t="shared" si="496"/>
        <v>0.16402032519232895</v>
      </c>
      <c r="Q40" s="90">
        <f t="shared" si="496"/>
        <v>0.22838709677419369</v>
      </c>
      <c r="R40" s="90">
        <f t="shared" si="496"/>
        <v>0.26622928176795574</v>
      </c>
      <c r="S40" s="90">
        <f t="shared" si="496"/>
        <v>0.25258188256122743</v>
      </c>
      <c r="T40" s="90">
        <f t="shared" si="496"/>
        <v>0.25499321310839651</v>
      </c>
      <c r="U40" s="90">
        <f t="shared" ref="U40:Z40" si="497">U39/U38</f>
        <v>0.25249954553717519</v>
      </c>
      <c r="V40" s="90">
        <f t="shared" si="497"/>
        <v>0.25721609272261226</v>
      </c>
      <c r="W40" s="90">
        <f t="shared" si="497"/>
        <v>0.26626947754353819</v>
      </c>
      <c r="X40" s="90">
        <f t="shared" si="497"/>
        <v>0.27852906287069967</v>
      </c>
      <c r="Y40" s="90">
        <f t="shared" si="497"/>
        <v>0.27580663044683462</v>
      </c>
      <c r="Z40" s="90">
        <f t="shared" si="497"/>
        <v>0.27418567768695862</v>
      </c>
      <c r="AA40" s="90">
        <f t="shared" ref="AA40" si="498">AA39/AA38</f>
        <v>0.25445074131318329</v>
      </c>
      <c r="AB40" s="91">
        <f t="shared" ref="AB40:AD40" si="499">AB39/AB38</f>
        <v>0.25113855146368746</v>
      </c>
      <c r="AC40" s="91">
        <f t="shared" si="499"/>
        <v>0.2503685724398938</v>
      </c>
      <c r="AD40" s="91">
        <f t="shared" si="499"/>
        <v>0.2502443517178109</v>
      </c>
      <c r="AE40" s="91">
        <f t="shared" ref="AE40" si="500">AE39/AE38</f>
        <v>0.25022873290161241</v>
      </c>
      <c r="AI40" s="90" t="e">
        <f t="shared" ref="AI40" si="501">AI39/AI38</f>
        <v>#DIV/0!</v>
      </c>
      <c r="AJ40" s="90" t="e">
        <f t="shared" ref="AJ40" si="502">AJ39/AJ38</f>
        <v>#DIV/0!</v>
      </c>
      <c r="AK40" s="90" t="e">
        <f t="shared" ref="AK40:AM40" si="503">AK39/AK38</f>
        <v>#DIV/0!</v>
      </c>
      <c r="AL40" s="90" t="e">
        <f t="shared" si="503"/>
        <v>#DIV/0!</v>
      </c>
      <c r="AM40" s="90" t="e">
        <f t="shared" si="503"/>
        <v>#DIV/0!</v>
      </c>
      <c r="AN40" s="90" t="e">
        <f t="shared" ref="AN40:AO40" si="504">AN39/AN38</f>
        <v>#DIV/0!</v>
      </c>
      <c r="AO40" s="90" t="e">
        <f t="shared" si="504"/>
        <v>#DIV/0!</v>
      </c>
      <c r="AP40" s="90" t="e">
        <f t="shared" ref="AP40:CD40" si="505">AP39/AP38</f>
        <v>#DIV/0!</v>
      </c>
      <c r="AQ40" s="90" t="e">
        <f t="shared" si="505"/>
        <v>#DIV/0!</v>
      </c>
      <c r="AR40" s="90" t="e">
        <f t="shared" si="505"/>
        <v>#DIV/0!</v>
      </c>
      <c r="AS40" s="90" t="e">
        <f t="shared" si="505"/>
        <v>#DIV/0!</v>
      </c>
      <c r="AT40" s="90" t="e">
        <f t="shared" si="505"/>
        <v>#DIV/0!</v>
      </c>
      <c r="AU40" s="90" t="e">
        <f t="shared" si="505"/>
        <v>#DIV/0!</v>
      </c>
      <c r="AV40" s="90">
        <f t="shared" si="505"/>
        <v>0.2975206611570248</v>
      </c>
      <c r="AW40" s="90">
        <f t="shared" si="505"/>
        <v>0.2215604526503871</v>
      </c>
      <c r="AX40" s="90">
        <f t="shared" si="505"/>
        <v>0.20942028985507249</v>
      </c>
      <c r="AY40" s="90">
        <f t="shared" si="505"/>
        <v>0.29778933680104031</v>
      </c>
      <c r="AZ40" s="90">
        <f t="shared" si="505"/>
        <v>0.28038585209003208</v>
      </c>
      <c r="BA40" s="90">
        <f t="shared" si="505"/>
        <v>0.26272912423625272</v>
      </c>
      <c r="BB40" s="90">
        <f t="shared" si="505"/>
        <v>0.21288743882544878</v>
      </c>
      <c r="BC40" s="90">
        <f t="shared" si="505"/>
        <v>0.28571428571428586</v>
      </c>
      <c r="BD40" s="90">
        <f t="shared" si="505"/>
        <v>0.27859237536656889</v>
      </c>
      <c r="BE40" s="90">
        <f t="shared" si="505"/>
        <v>0.28369195922989809</v>
      </c>
      <c r="BF40" s="90">
        <f t="shared" si="505"/>
        <v>0.17777777777777776</v>
      </c>
      <c r="BG40" s="90">
        <f t="shared" si="505"/>
        <v>0.26054497946995142</v>
      </c>
      <c r="BH40" s="90">
        <f t="shared" si="505"/>
        <v>0.25195007800312014</v>
      </c>
      <c r="BI40" s="90">
        <f t="shared" si="505"/>
        <v>0.26471750296325558</v>
      </c>
      <c r="BJ40" s="90">
        <f t="shared" si="505"/>
        <v>0.24251968503937019</v>
      </c>
      <c r="BK40" s="90">
        <f t="shared" si="505"/>
        <v>0.26397403534078617</v>
      </c>
      <c r="BL40" s="90">
        <f t="shared" si="505"/>
        <v>0.25451916124367341</v>
      </c>
      <c r="BM40" s="90">
        <f t="shared" si="505"/>
        <v>0.25027322404371566</v>
      </c>
      <c r="BN40" s="90">
        <f t="shared" si="505"/>
        <v>0.24098601913171475</v>
      </c>
      <c r="BO40" s="90">
        <f t="shared" si="505"/>
        <v>0.2611145898559798</v>
      </c>
      <c r="BP40" s="90">
        <f t="shared" si="505"/>
        <v>0.26350752878653683</v>
      </c>
      <c r="BQ40" s="90">
        <f t="shared" si="505"/>
        <v>0.25418994413407814</v>
      </c>
      <c r="BR40" s="90">
        <f t="shared" si="505"/>
        <v>0.25229709035222059</v>
      </c>
      <c r="BS40" s="90">
        <f t="shared" si="505"/>
        <v>0.26614812309773395</v>
      </c>
      <c r="BT40" s="90">
        <f t="shared" si="505"/>
        <v>0.26590330788804073</v>
      </c>
      <c r="BU40" s="90">
        <f t="shared" si="505"/>
        <v>0.26652953276520713</v>
      </c>
      <c r="BV40" s="90">
        <f t="shared" si="505"/>
        <v>0.26644370122630995</v>
      </c>
      <c r="BW40" s="90">
        <f t="shared" si="505"/>
        <v>0.27047015319598516</v>
      </c>
      <c r="BX40" s="90">
        <f t="shared" si="505"/>
        <v>0.26015259660349505</v>
      </c>
      <c r="BY40" s="90">
        <f t="shared" si="505"/>
        <v>0.32026441759744706</v>
      </c>
      <c r="BZ40" s="90">
        <f t="shared" si="505"/>
        <v>0.26167820069204162</v>
      </c>
      <c r="CA40" s="90">
        <f t="shared" si="505"/>
        <v>0.27603804221758282</v>
      </c>
      <c r="CB40" s="90">
        <f t="shared" si="505"/>
        <v>0.27562485668424686</v>
      </c>
      <c r="CC40" s="90">
        <f t="shared" si="505"/>
        <v>0.2764769065520945</v>
      </c>
      <c r="CD40" s="90">
        <f t="shared" si="505"/>
        <v>0.27515923566878969</v>
      </c>
      <c r="CE40" s="90">
        <f t="shared" ref="CE40:CF40" si="506">CE39/CE38</f>
        <v>0.27455511902010632</v>
      </c>
      <c r="CF40" s="90">
        <f t="shared" si="506"/>
        <v>0.27404718693284935</v>
      </c>
      <c r="CG40" s="90">
        <f t="shared" ref="CG40:CH40" si="507">CG39/CG38</f>
        <v>0.27369856785633112</v>
      </c>
      <c r="CH40" s="90">
        <f t="shared" si="507"/>
        <v>0.27402597402597378</v>
      </c>
      <c r="CI40" s="90">
        <f t="shared" ref="CI40:CJ40" si="508">CI39/CI38</f>
        <v>0.26913294797687859</v>
      </c>
      <c r="CJ40" s="90">
        <f t="shared" si="508"/>
        <v>0.26517857142857132</v>
      </c>
      <c r="CK40" s="90">
        <f t="shared" ref="CK40:CL40" si="509">CK39/CK38</f>
        <v>0.24017957351290672</v>
      </c>
      <c r="CL40" s="90">
        <f t="shared" si="509"/>
        <v>0.24556213017751474</v>
      </c>
      <c r="CM40" s="91">
        <f>+AVERAGE(CI40:CL40)</f>
        <v>0.25501330577396786</v>
      </c>
      <c r="CN40" s="91">
        <f t="shared" ref="CN40:CP40" si="510">+AVERAGE(CJ40:CM40)</f>
        <v>0.25148339522324015</v>
      </c>
      <c r="CO40" s="91">
        <f t="shared" si="510"/>
        <v>0.24805960117190737</v>
      </c>
      <c r="CP40" s="91">
        <f t="shared" si="510"/>
        <v>0.25002960808665753</v>
      </c>
      <c r="CQ40" s="91">
        <f t="shared" ref="CQ40:DB40" si="511">+AVERAGE(CM40:CP40)</f>
        <v>0.25114647756394326</v>
      </c>
      <c r="CR40" s="91">
        <f t="shared" si="511"/>
        <v>0.25017977051143708</v>
      </c>
      <c r="CS40" s="91">
        <f t="shared" si="511"/>
        <v>0.24985386433348633</v>
      </c>
      <c r="CT40" s="91">
        <f t="shared" si="511"/>
        <v>0.25030243012388109</v>
      </c>
      <c r="CU40" s="91">
        <f t="shared" si="511"/>
        <v>0.25037063563318696</v>
      </c>
      <c r="CV40" s="91">
        <f t="shared" si="511"/>
        <v>0.25017667515049791</v>
      </c>
      <c r="CW40" s="91">
        <f t="shared" si="511"/>
        <v>0.25017590131026307</v>
      </c>
      <c r="CX40" s="91">
        <f t="shared" si="511"/>
        <v>0.25025641055445724</v>
      </c>
      <c r="CY40" s="91">
        <f t="shared" si="511"/>
        <v>0.25024490566210134</v>
      </c>
      <c r="CZ40" s="91">
        <f t="shared" si="511"/>
        <v>0.2502134731693299</v>
      </c>
      <c r="DA40" s="91">
        <f t="shared" si="511"/>
        <v>0.25022267267403786</v>
      </c>
      <c r="DB40" s="91">
        <f t="shared" si="511"/>
        <v>0.25023436551498157</v>
      </c>
      <c r="DE40" s="127"/>
      <c r="DF40" s="90">
        <v>0.25445074131318329</v>
      </c>
    </row>
    <row r="41" spans="1:110" s="26" customFormat="1" x14ac:dyDescent="0.2">
      <c r="A41" s="26" t="s">
        <v>22</v>
      </c>
      <c r="B41" s="26">
        <f t="shared" ref="B41:E41" si="512">B38-B39</f>
        <v>0</v>
      </c>
      <c r="C41" s="26">
        <f t="shared" si="512"/>
        <v>0</v>
      </c>
      <c r="D41" s="26">
        <f t="shared" si="512"/>
        <v>0</v>
      </c>
      <c r="E41" s="26">
        <f t="shared" si="512"/>
        <v>0</v>
      </c>
      <c r="F41" s="26">
        <f t="shared" ref="F41:T41" si="513">F38-F39</f>
        <v>0</v>
      </c>
      <c r="G41" s="26">
        <f t="shared" si="513"/>
        <v>0</v>
      </c>
      <c r="H41" s="26">
        <f t="shared" si="513"/>
        <v>0</v>
      </c>
      <c r="I41" s="26">
        <f t="shared" si="513"/>
        <v>0</v>
      </c>
      <c r="J41" s="26">
        <f t="shared" si="513"/>
        <v>0</v>
      </c>
      <c r="K41" s="26">
        <f t="shared" si="513"/>
        <v>0</v>
      </c>
      <c r="L41" s="26">
        <f t="shared" si="513"/>
        <v>0</v>
      </c>
      <c r="M41" s="26">
        <f t="shared" si="513"/>
        <v>0</v>
      </c>
      <c r="N41" s="26">
        <f t="shared" si="513"/>
        <v>-3.0000000000000001E-3</v>
      </c>
      <c r="O41" s="26">
        <f t="shared" si="513"/>
        <v>6.2139999999999995</v>
      </c>
      <c r="P41" s="26">
        <f t="shared" si="513"/>
        <v>311.10899999999981</v>
      </c>
      <c r="Q41" s="26">
        <f t="shared" si="513"/>
        <v>418.59999999999968</v>
      </c>
      <c r="R41" s="26">
        <f t="shared" si="513"/>
        <v>425.00000000000006</v>
      </c>
      <c r="S41" s="26">
        <f t="shared" si="513"/>
        <v>506.60000000000008</v>
      </c>
      <c r="T41" s="26">
        <f t="shared" si="513"/>
        <v>768.39999999999941</v>
      </c>
      <c r="U41" s="26">
        <f t="shared" ref="U41:Z41" si="514">U38-U39</f>
        <v>822.39999999999964</v>
      </c>
      <c r="V41" s="26">
        <f t="shared" si="514"/>
        <v>666.50000000000023</v>
      </c>
      <c r="W41" s="26">
        <f t="shared" si="514"/>
        <v>960.59999999999934</v>
      </c>
      <c r="X41" s="26">
        <f t="shared" si="514"/>
        <v>1216.4000000000015</v>
      </c>
      <c r="Y41" s="26">
        <f t="shared" si="514"/>
        <v>1306.299999999999</v>
      </c>
      <c r="Z41" s="26">
        <f t="shared" si="514"/>
        <v>1189.9000000000001</v>
      </c>
      <c r="AA41" s="26">
        <f t="shared" ref="AA41" si="515">AA38-AA39</f>
        <v>1302.4000000000003</v>
      </c>
      <c r="AB41" s="27">
        <f t="shared" ref="AB41:AD41" si="516">AB38-AB39</f>
        <v>1556.4441980247716</v>
      </c>
      <c r="AC41" s="27">
        <f t="shared" si="516"/>
        <v>1781.443797315952</v>
      </c>
      <c r="AD41" s="27">
        <f t="shared" si="516"/>
        <v>2011.9267152443049</v>
      </c>
      <c r="AE41" s="27">
        <f t="shared" ref="AE41" si="517">AE38-AE39</f>
        <v>2257.330012053952</v>
      </c>
      <c r="AI41" s="26">
        <f>AI38-AI39</f>
        <v>0</v>
      </c>
      <c r="AJ41" s="26">
        <f t="shared" ref="AJ41" si="518">AJ38-AJ39</f>
        <v>0</v>
      </c>
      <c r="AK41" s="26">
        <f t="shared" ref="AK41:AM41" si="519">AK38-AK39</f>
        <v>0</v>
      </c>
      <c r="AL41" s="26">
        <f t="shared" si="519"/>
        <v>0</v>
      </c>
      <c r="AM41" s="26">
        <f t="shared" si="519"/>
        <v>0</v>
      </c>
      <c r="AN41" s="26">
        <f t="shared" ref="AN41:AO41" si="520">AN38-AN39</f>
        <v>0</v>
      </c>
      <c r="AO41" s="26">
        <f t="shared" si="520"/>
        <v>0</v>
      </c>
      <c r="AP41" s="26">
        <f t="shared" ref="AP41:CD41" si="521">AP38-AP39</f>
        <v>0</v>
      </c>
      <c r="AQ41" s="26">
        <f t="shared" si="521"/>
        <v>0</v>
      </c>
      <c r="AR41" s="26">
        <f t="shared" si="521"/>
        <v>0</v>
      </c>
      <c r="AS41" s="26">
        <f t="shared" si="521"/>
        <v>0</v>
      </c>
      <c r="AT41" s="26">
        <f t="shared" si="521"/>
        <v>0</v>
      </c>
      <c r="AU41" s="26">
        <f t="shared" si="521"/>
        <v>0</v>
      </c>
      <c r="AV41" s="26">
        <f t="shared" si="521"/>
        <v>93.5</v>
      </c>
      <c r="AW41" s="26">
        <f t="shared" si="521"/>
        <v>130.70000000000005</v>
      </c>
      <c r="AX41" s="26">
        <f t="shared" si="521"/>
        <v>109.09999999999997</v>
      </c>
      <c r="AY41" s="26">
        <f t="shared" si="521"/>
        <v>107.99999999999999</v>
      </c>
      <c r="AZ41" s="26">
        <f t="shared" si="521"/>
        <v>111.90000000000006</v>
      </c>
      <c r="BA41" s="26">
        <f t="shared" si="521"/>
        <v>108.59999999999992</v>
      </c>
      <c r="BB41" s="26">
        <f t="shared" si="521"/>
        <v>96.499999999999915</v>
      </c>
      <c r="BC41" s="26">
        <f t="shared" si="521"/>
        <v>97.999999999999929</v>
      </c>
      <c r="BD41" s="26">
        <f t="shared" si="521"/>
        <v>123</v>
      </c>
      <c r="BE41" s="26">
        <f t="shared" si="521"/>
        <v>126.5</v>
      </c>
      <c r="BF41" s="26">
        <f t="shared" si="521"/>
        <v>159.1</v>
      </c>
      <c r="BG41" s="26">
        <f t="shared" si="521"/>
        <v>198.10000000000002</v>
      </c>
      <c r="BH41" s="26">
        <f t="shared" si="521"/>
        <v>191.79999999999998</v>
      </c>
      <c r="BI41" s="26">
        <f t="shared" si="521"/>
        <v>186.10000000000005</v>
      </c>
      <c r="BJ41" s="26">
        <f t="shared" si="521"/>
        <v>192.39999999999989</v>
      </c>
      <c r="BK41" s="26">
        <f t="shared" si="521"/>
        <v>204.10000000000002</v>
      </c>
      <c r="BL41" s="26">
        <f t="shared" si="521"/>
        <v>206.19999999999979</v>
      </c>
      <c r="BM41" s="26">
        <f t="shared" si="521"/>
        <v>205.80000000000024</v>
      </c>
      <c r="BN41" s="26">
        <f t="shared" si="521"/>
        <v>206.29999999999973</v>
      </c>
      <c r="BO41" s="26">
        <f t="shared" si="521"/>
        <v>118.0000000000001</v>
      </c>
      <c r="BP41" s="26">
        <f t="shared" si="521"/>
        <v>166.29999999999995</v>
      </c>
      <c r="BQ41" s="26">
        <f t="shared" si="521"/>
        <v>186.90000000000009</v>
      </c>
      <c r="BR41" s="26">
        <f t="shared" si="521"/>
        <v>195.29999999999993</v>
      </c>
      <c r="BS41" s="26">
        <f t="shared" si="521"/>
        <v>217.00000000000028</v>
      </c>
      <c r="BT41" s="26">
        <f t="shared" si="521"/>
        <v>230.79999999999998</v>
      </c>
      <c r="BU41" s="26">
        <f t="shared" si="521"/>
        <v>249.60000000000008</v>
      </c>
      <c r="BV41" s="26">
        <f t="shared" si="521"/>
        <v>263.19999999999993</v>
      </c>
      <c r="BW41" s="26">
        <f t="shared" si="521"/>
        <v>276.20000000000005</v>
      </c>
      <c r="BX41" s="26">
        <f t="shared" si="521"/>
        <v>300.59999999999985</v>
      </c>
      <c r="BY41" s="26">
        <f t="shared" si="521"/>
        <v>298.19999999999993</v>
      </c>
      <c r="BZ41" s="26">
        <f t="shared" si="521"/>
        <v>341.39999999999981</v>
      </c>
      <c r="CA41" s="26">
        <f t="shared" si="521"/>
        <v>312.10000000000019</v>
      </c>
      <c r="CB41" s="26">
        <f t="shared" si="521"/>
        <v>315.89999999999986</v>
      </c>
      <c r="CC41" s="26">
        <f t="shared" si="521"/>
        <v>336.8</v>
      </c>
      <c r="CD41" s="26">
        <f t="shared" si="521"/>
        <v>341.4000000000002</v>
      </c>
      <c r="CE41" s="26">
        <f t="shared" ref="CE41:CF41" si="522">CE38-CE39</f>
        <v>313.89999999999998</v>
      </c>
      <c r="CF41" s="26">
        <f t="shared" si="522"/>
        <v>320</v>
      </c>
      <c r="CG41" s="26">
        <f t="shared" ref="CG41:CH41" si="523">CG38-CG39</f>
        <v>319.49999999999977</v>
      </c>
      <c r="CH41" s="26">
        <f t="shared" si="523"/>
        <v>279.50000000000034</v>
      </c>
      <c r="CI41" s="26">
        <f t="shared" ref="CI41:CJ41" si="524">CI38-CI39</f>
        <v>316.10000000000002</v>
      </c>
      <c r="CJ41" s="26">
        <f t="shared" si="524"/>
        <v>329.20000000000016</v>
      </c>
      <c r="CK41" s="26">
        <f t="shared" ref="CK41:CL41" si="525">CK38-CK39</f>
        <v>338.50000000000023</v>
      </c>
      <c r="CL41" s="26">
        <f t="shared" si="525"/>
        <v>357.00000000000011</v>
      </c>
      <c r="CM41" s="27">
        <f t="shared" ref="CM41:DB41" si="526">CM38-CM39</f>
        <v>384.13991586575332</v>
      </c>
      <c r="CN41" s="27">
        <f t="shared" si="526"/>
        <v>392.90954472129528</v>
      </c>
      <c r="CO41" s="27">
        <f t="shared" si="526"/>
        <v>392.39516212021192</v>
      </c>
      <c r="CP41" s="27">
        <f t="shared" si="526"/>
        <v>386.99957531751249</v>
      </c>
      <c r="CQ41" s="27">
        <f t="shared" si="526"/>
        <v>441.9255684693606</v>
      </c>
      <c r="CR41" s="27">
        <f t="shared" si="526"/>
        <v>455.53454781806181</v>
      </c>
      <c r="CS41" s="27">
        <f t="shared" si="526"/>
        <v>445.50945403110035</v>
      </c>
      <c r="CT41" s="27">
        <f t="shared" si="526"/>
        <v>438.47422699742884</v>
      </c>
      <c r="CU41" s="27">
        <f t="shared" si="526"/>
        <v>500.60973639925635</v>
      </c>
      <c r="CV41" s="27">
        <f t="shared" si="526"/>
        <v>514.74435043506412</v>
      </c>
      <c r="CW41" s="27">
        <f t="shared" si="526"/>
        <v>502.02136337927431</v>
      </c>
      <c r="CX41" s="27">
        <f t="shared" si="526"/>
        <v>494.55126503071085</v>
      </c>
      <c r="CY41" s="27">
        <f t="shared" si="526"/>
        <v>562.09548448107637</v>
      </c>
      <c r="CZ41" s="27">
        <f t="shared" si="526"/>
        <v>577.05367215718252</v>
      </c>
      <c r="DA41" s="27">
        <f t="shared" si="526"/>
        <v>563.05032589421171</v>
      </c>
      <c r="DB41" s="27">
        <f t="shared" si="526"/>
        <v>555.13052952148132</v>
      </c>
      <c r="DE41" s="121"/>
      <c r="DF41" s="26">
        <v>1302.4000000000003</v>
      </c>
    </row>
    <row r="42" spans="1:110" s="45" customFormat="1" x14ac:dyDescent="0.2">
      <c r="A42" s="45" t="s">
        <v>107</v>
      </c>
      <c r="B42" s="45" t="e">
        <f t="shared" ref="B42:E42" si="527">+B41/B10</f>
        <v>#DIV/0!</v>
      </c>
      <c r="C42" s="45" t="e">
        <f t="shared" si="527"/>
        <v>#DIV/0!</v>
      </c>
      <c r="D42" s="45" t="e">
        <f t="shared" si="527"/>
        <v>#DIV/0!</v>
      </c>
      <c r="E42" s="45" t="e">
        <f t="shared" si="527"/>
        <v>#DIV/0!</v>
      </c>
      <c r="F42" s="45" t="e">
        <f t="shared" ref="F42:AE42" si="528">+F41/F10</f>
        <v>#DIV/0!</v>
      </c>
      <c r="G42" s="45" t="e">
        <f t="shared" si="528"/>
        <v>#DIV/0!</v>
      </c>
      <c r="H42" s="45" t="e">
        <f t="shared" si="528"/>
        <v>#DIV/0!</v>
      </c>
      <c r="I42" s="45" t="e">
        <f t="shared" si="528"/>
        <v>#DIV/0!</v>
      </c>
      <c r="J42" s="45" t="e">
        <f t="shared" si="528"/>
        <v>#DIV/0!</v>
      </c>
      <c r="K42" s="45" t="e">
        <f t="shared" si="528"/>
        <v>#DIV/0!</v>
      </c>
      <c r="L42" s="45" t="e">
        <f t="shared" si="528"/>
        <v>#DIV/0!</v>
      </c>
      <c r="M42" s="45" t="e">
        <f t="shared" si="528"/>
        <v>#DIV/0!</v>
      </c>
      <c r="N42" s="45" t="e">
        <f t="shared" si="528"/>
        <v>#DIV/0!</v>
      </c>
      <c r="O42" s="45">
        <f t="shared" si="528"/>
        <v>4.9251010541333115E-2</v>
      </c>
      <c r="P42" s="45">
        <f t="shared" si="528"/>
        <v>0.11880615299544373</v>
      </c>
      <c r="Q42" s="45">
        <f t="shared" si="528"/>
        <v>0.13652077490052825</v>
      </c>
      <c r="R42" s="45">
        <f t="shared" si="528"/>
        <v>0.13083766893451962</v>
      </c>
      <c r="S42" s="45">
        <f t="shared" si="528"/>
        <v>0.13519788636545599</v>
      </c>
      <c r="T42" s="45">
        <f t="shared" si="528"/>
        <v>0.15131047791583785</v>
      </c>
      <c r="U42" s="45">
        <f t="shared" si="528"/>
        <v>0.14635795768005544</v>
      </c>
      <c r="V42" s="45">
        <f t="shared" si="528"/>
        <v>0.12230031010881337</v>
      </c>
      <c r="W42" s="45">
        <f t="shared" si="528"/>
        <v>0.14621672222475904</v>
      </c>
      <c r="X42" s="45">
        <f t="shared" si="528"/>
        <v>0.13798423231807627</v>
      </c>
      <c r="Y42" s="45">
        <f t="shared" si="528"/>
        <v>0.13540576119743339</v>
      </c>
      <c r="Z42" s="45">
        <f t="shared" ref="Z42:AA42" si="529">+Z41/Z10</f>
        <v>0.12340544688971397</v>
      </c>
      <c r="AA42" s="45">
        <f t="shared" si="529"/>
        <v>0.11844414736401752</v>
      </c>
      <c r="AB42" s="48">
        <f t="shared" si="528"/>
        <v>0.12322059148349718</v>
      </c>
      <c r="AC42" s="48">
        <f t="shared" si="528"/>
        <v>0.13043349550681041</v>
      </c>
      <c r="AD42" s="48">
        <f t="shared" si="528"/>
        <v>0.13637211556100173</v>
      </c>
      <c r="AE42" s="48">
        <f t="shared" si="528"/>
        <v>0.14167033940730719</v>
      </c>
      <c r="AI42" s="45" t="e">
        <f t="shared" ref="AI42:BN42" si="530">+AI41/AI10</f>
        <v>#DIV/0!</v>
      </c>
      <c r="AJ42" s="45" t="e">
        <f t="shared" si="530"/>
        <v>#DIV/0!</v>
      </c>
      <c r="AK42" s="45" t="e">
        <f t="shared" si="530"/>
        <v>#DIV/0!</v>
      </c>
      <c r="AL42" s="45" t="e">
        <f t="shared" si="530"/>
        <v>#DIV/0!</v>
      </c>
      <c r="AM42" s="45" t="e">
        <f t="shared" si="530"/>
        <v>#DIV/0!</v>
      </c>
      <c r="AN42" s="45" t="e">
        <f t="shared" si="530"/>
        <v>#DIV/0!</v>
      </c>
      <c r="AO42" s="45" t="e">
        <f t="shared" si="530"/>
        <v>#DIV/0!</v>
      </c>
      <c r="AP42" s="45" t="e">
        <f t="shared" si="530"/>
        <v>#DIV/0!</v>
      </c>
      <c r="AQ42" s="45" t="e">
        <f t="shared" si="530"/>
        <v>#DIV/0!</v>
      </c>
      <c r="AR42" s="45" t="e">
        <f t="shared" si="530"/>
        <v>#DIV/0!</v>
      </c>
      <c r="AS42" s="45" t="e">
        <f t="shared" si="530"/>
        <v>#DIV/0!</v>
      </c>
      <c r="AT42" s="45" t="e">
        <f t="shared" si="530"/>
        <v>#DIV/0!</v>
      </c>
      <c r="AU42" s="45" t="e">
        <f t="shared" si="530"/>
        <v>#DIV/0!</v>
      </c>
      <c r="AV42" s="45">
        <f t="shared" si="530"/>
        <v>0.1211767755313634</v>
      </c>
      <c r="AW42" s="45">
        <f t="shared" si="530"/>
        <v>0.1675211484234812</v>
      </c>
      <c r="AX42" s="45">
        <f t="shared" si="530"/>
        <v>0.13613676066882952</v>
      </c>
      <c r="AY42" s="45">
        <f t="shared" si="530"/>
        <v>0.1345123925769087</v>
      </c>
      <c r="AZ42" s="45">
        <f t="shared" si="530"/>
        <v>0.13601555852680206</v>
      </c>
      <c r="BA42" s="45">
        <f t="shared" si="530"/>
        <v>0.13400789733464946</v>
      </c>
      <c r="BB42" s="45">
        <f t="shared" si="530"/>
        <v>0.11879847347039262</v>
      </c>
      <c r="BC42" s="45">
        <f t="shared" si="530"/>
        <v>0.11913445173839038</v>
      </c>
      <c r="BD42" s="45">
        <f t="shared" si="530"/>
        <v>0.13657561625582945</v>
      </c>
      <c r="BE42" s="45">
        <f t="shared" si="530"/>
        <v>0.13053348467650397</v>
      </c>
      <c r="BF42" s="45">
        <f t="shared" si="530"/>
        <v>0.15083428138035646</v>
      </c>
      <c r="BG42" s="45">
        <f t="shared" si="530"/>
        <v>0.17193195625759419</v>
      </c>
      <c r="BH42" s="45">
        <f t="shared" si="530"/>
        <v>0.15148882394755547</v>
      </c>
      <c r="BI42" s="45">
        <f t="shared" si="530"/>
        <v>0.14131672868099326</v>
      </c>
      <c r="BJ42" s="45">
        <f t="shared" si="530"/>
        <v>0.14325068870523408</v>
      </c>
      <c r="BK42" s="45">
        <f t="shared" si="530"/>
        <v>0.1514656771799629</v>
      </c>
      <c r="BL42" s="45">
        <f t="shared" si="530"/>
        <v>0.14706511661079794</v>
      </c>
      <c r="BM42" s="45">
        <f t="shared" si="530"/>
        <v>0.1446341977651277</v>
      </c>
      <c r="BN42" s="45">
        <f t="shared" si="530"/>
        <v>0.14261025853725962</v>
      </c>
      <c r="BO42" s="45">
        <f t="shared" ref="BO42:CT42" si="531">+BO41/BO10</f>
        <v>9.114080481964941E-2</v>
      </c>
      <c r="BP42" s="45">
        <f t="shared" si="531"/>
        <v>0.12657938803470845</v>
      </c>
      <c r="BQ42" s="45">
        <f t="shared" si="531"/>
        <v>0.13343328335832089</v>
      </c>
      <c r="BR42" s="45">
        <f t="shared" si="531"/>
        <v>0.13557792433182916</v>
      </c>
      <c r="BS42" s="45">
        <f t="shared" si="531"/>
        <v>0.14291359325605918</v>
      </c>
      <c r="BT42" s="45">
        <f t="shared" si="531"/>
        <v>0.14355912172669028</v>
      </c>
      <c r="BU42" s="45">
        <f t="shared" si="531"/>
        <v>0.14791111111111116</v>
      </c>
      <c r="BV42" s="45">
        <f t="shared" si="531"/>
        <v>0.14987756961448662</v>
      </c>
      <c r="BW42" s="45">
        <f t="shared" si="531"/>
        <v>0.13767321303957733</v>
      </c>
      <c r="BX42" s="45">
        <f t="shared" si="531"/>
        <v>0.1317438751807862</v>
      </c>
      <c r="BY42" s="45">
        <f t="shared" si="531"/>
        <v>0.13824756606397773</v>
      </c>
      <c r="BZ42" s="45">
        <f t="shared" si="531"/>
        <v>0.14401417362692981</v>
      </c>
      <c r="CA42" s="45">
        <f t="shared" si="531"/>
        <v>0.13561310506648136</v>
      </c>
      <c r="CB42" s="45">
        <f t="shared" si="531"/>
        <v>0.13236957888120673</v>
      </c>
      <c r="CC42" s="45">
        <f t="shared" si="531"/>
        <v>0.13907011313898751</v>
      </c>
      <c r="CD42" s="45">
        <f t="shared" si="531"/>
        <v>0.13454187192118236</v>
      </c>
      <c r="CE42" s="45">
        <f t="shared" si="531"/>
        <v>0.12750314797514115</v>
      </c>
      <c r="CF42" s="45">
        <f t="shared" si="531"/>
        <v>0.12437327529247152</v>
      </c>
      <c r="CG42" s="45">
        <f t="shared" si="531"/>
        <v>0.12042970222389739</v>
      </c>
      <c r="CH42" s="45">
        <f t="shared" si="531"/>
        <v>0.10595951171430749</v>
      </c>
      <c r="CI42" s="45">
        <f t="shared" ref="CI42:CJ42" si="532">+CI41/CI10</f>
        <v>0.11029309141660852</v>
      </c>
      <c r="CJ42" s="45">
        <f t="shared" si="532"/>
        <v>0.1104883369692902</v>
      </c>
      <c r="CK42" s="45">
        <f t="shared" ref="CK42:CL42" si="533">+CK41/CK10</f>
        <v>0.11578587309731495</v>
      </c>
      <c r="CL42" s="45">
        <f t="shared" si="533"/>
        <v>0.12491689702228913</v>
      </c>
      <c r="CM42" s="48">
        <f t="shared" si="531"/>
        <v>0.12108975592518652</v>
      </c>
      <c r="CN42" s="48">
        <f t="shared" si="531"/>
        <v>0.12069668323019546</v>
      </c>
      <c r="CO42" s="48">
        <f t="shared" si="531"/>
        <v>0.12471534914239343</v>
      </c>
      <c r="CP42" s="48">
        <f t="shared" si="531"/>
        <v>0.12658069845026704</v>
      </c>
      <c r="CQ42" s="48">
        <f t="shared" si="531"/>
        <v>0.12822997616680726</v>
      </c>
      <c r="CR42" s="48">
        <f t="shared" si="531"/>
        <v>0.12942036331888684</v>
      </c>
      <c r="CS42" s="48">
        <f t="shared" si="531"/>
        <v>0.13130227562684174</v>
      </c>
      <c r="CT42" s="48">
        <f t="shared" si="531"/>
        <v>0.13292306323251615</v>
      </c>
      <c r="CU42" s="48">
        <f t="shared" ref="CU42:DB42" si="534">+CU41/CU10</f>
        <v>0.13434382919389751</v>
      </c>
      <c r="CV42" s="48">
        <f t="shared" si="534"/>
        <v>0.13541484888509653</v>
      </c>
      <c r="CW42" s="48">
        <f t="shared" si="534"/>
        <v>0.13704391129036397</v>
      </c>
      <c r="CX42" s="48">
        <f t="shared" si="534"/>
        <v>0.13882436050654948</v>
      </c>
      <c r="CY42" s="48">
        <f t="shared" si="534"/>
        <v>0.13964532001594329</v>
      </c>
      <c r="CZ42" s="48">
        <f t="shared" si="534"/>
        <v>0.14057037276286877</v>
      </c>
      <c r="DA42" s="48">
        <f t="shared" si="534"/>
        <v>0.14232789212311006</v>
      </c>
      <c r="DB42" s="48">
        <f t="shared" si="534"/>
        <v>0.14428643343849598</v>
      </c>
      <c r="DE42" s="129"/>
      <c r="DF42" s="45">
        <v>0.11844414736401752</v>
      </c>
    </row>
    <row r="43" spans="1:110" s="39" customFormat="1" x14ac:dyDescent="0.2">
      <c r="A43" s="39" t="s">
        <v>451</v>
      </c>
      <c r="C43" s="39" t="e">
        <f t="shared" ref="C43:E43" si="535">+IF(B41&lt;0,1-C41/B41,C41/B41-1)</f>
        <v>#DIV/0!</v>
      </c>
      <c r="D43" s="39" t="e">
        <f t="shared" si="535"/>
        <v>#DIV/0!</v>
      </c>
      <c r="E43" s="39" t="e">
        <f t="shared" si="535"/>
        <v>#DIV/0!</v>
      </c>
      <c r="F43" s="39" t="e">
        <f t="shared" ref="F43:AE43" si="536">+IF(E41&lt;0,1-F41/E41,F41/E41-1)</f>
        <v>#DIV/0!</v>
      </c>
      <c r="G43" s="39" t="e">
        <f t="shared" si="536"/>
        <v>#DIV/0!</v>
      </c>
      <c r="H43" s="39" t="e">
        <f t="shared" si="536"/>
        <v>#DIV/0!</v>
      </c>
      <c r="I43" s="39" t="e">
        <f t="shared" si="536"/>
        <v>#DIV/0!</v>
      </c>
      <c r="J43" s="39" t="e">
        <f t="shared" si="536"/>
        <v>#DIV/0!</v>
      </c>
      <c r="K43" s="39" t="e">
        <f t="shared" si="536"/>
        <v>#DIV/0!</v>
      </c>
      <c r="L43" s="39" t="e">
        <f t="shared" si="536"/>
        <v>#DIV/0!</v>
      </c>
      <c r="M43" s="39" t="e">
        <f t="shared" si="536"/>
        <v>#DIV/0!</v>
      </c>
      <c r="N43" s="39" t="e">
        <f t="shared" si="536"/>
        <v>#DIV/0!</v>
      </c>
      <c r="O43" s="39">
        <f t="shared" si="536"/>
        <v>2072.333333333333</v>
      </c>
      <c r="P43" s="39">
        <f t="shared" si="536"/>
        <v>49.065819118120345</v>
      </c>
      <c r="Q43" s="39">
        <f t="shared" si="536"/>
        <v>0.34550913024052643</v>
      </c>
      <c r="R43" s="39">
        <f t="shared" si="536"/>
        <v>1.5289058767320451E-2</v>
      </c>
      <c r="S43" s="39">
        <f t="shared" si="536"/>
        <v>0.19199999999999995</v>
      </c>
      <c r="T43" s="39">
        <f t="shared" si="536"/>
        <v>0.51677852348993158</v>
      </c>
      <c r="U43" s="39">
        <f t="shared" si="536"/>
        <v>7.027589796980771E-2</v>
      </c>
      <c r="V43" s="39">
        <f t="shared" si="536"/>
        <v>-0.18956712062256742</v>
      </c>
      <c r="W43" s="39">
        <f t="shared" si="536"/>
        <v>0.44126031507876817</v>
      </c>
      <c r="X43" s="39">
        <f t="shared" si="536"/>
        <v>0.26629190089527621</v>
      </c>
      <c r="Y43" s="39">
        <f t="shared" si="536"/>
        <v>7.3906609667870438E-2</v>
      </c>
      <c r="Z43" s="39">
        <f t="shared" ref="Z43:AA43" si="537">+IF(Y41&lt;0,1-Z41/Y41,Z41/Y41-1)</f>
        <v>-8.9106637066522998E-2</v>
      </c>
      <c r="AA43" s="39">
        <f t="shared" si="537"/>
        <v>9.4545760147911828E-2</v>
      </c>
      <c r="AB43" s="40">
        <f t="shared" si="536"/>
        <v>0.19505850585440054</v>
      </c>
      <c r="AC43" s="40">
        <f t="shared" si="536"/>
        <v>0.14456001672062468</v>
      </c>
      <c r="AD43" s="40">
        <f t="shared" si="536"/>
        <v>0.12937984250505941</v>
      </c>
      <c r="AE43" s="40">
        <f t="shared" si="536"/>
        <v>0.12197427219899915</v>
      </c>
      <c r="AM43" s="39" t="e">
        <f>+IF(AI41&lt;0,1-AM41/AI41,AM41/AI41-1)</f>
        <v>#DIV/0!</v>
      </c>
      <c r="AN43" s="39" t="e">
        <f t="shared" ref="AN43" si="538">+IF(AJ41&lt;0,1-AN41/AJ41,AN41/AJ41-1)</f>
        <v>#DIV/0!</v>
      </c>
      <c r="AO43" s="39" t="e">
        <f t="shared" ref="AO43" si="539">+IF(AK41&lt;0,1-AO41/AK41,AO41/AK41-1)</f>
        <v>#DIV/0!</v>
      </c>
      <c r="AP43" s="39" t="e">
        <f t="shared" ref="AP43" si="540">+IF(AL41&lt;0,1-AP41/AL41,AP41/AL41-1)</f>
        <v>#DIV/0!</v>
      </c>
      <c r="AQ43" s="39" t="e">
        <f t="shared" ref="AQ43" si="541">+IF(AM41&lt;0,1-AQ41/AM41,AQ41/AM41-1)</f>
        <v>#DIV/0!</v>
      </c>
      <c r="AR43" s="39" t="e">
        <f t="shared" ref="AR43" si="542">+IF(AN41&lt;0,1-AR41/AN41,AR41/AN41-1)</f>
        <v>#DIV/0!</v>
      </c>
      <c r="AS43" s="39" t="e">
        <f t="shared" ref="AS43" si="543">+IF(AO41&lt;0,1-AS41/AO41,AS41/AO41-1)</f>
        <v>#DIV/0!</v>
      </c>
      <c r="AT43" s="39" t="e">
        <f t="shared" ref="AT43" si="544">+IF(AP41&lt;0,1-AT41/AP41,AT41/AP41-1)</f>
        <v>#DIV/0!</v>
      </c>
      <c r="AU43" s="39" t="e">
        <f t="shared" ref="AU43" si="545">+IF(AQ41&lt;0,1-AU41/AQ41,AU41/AQ41-1)</f>
        <v>#DIV/0!</v>
      </c>
      <c r="AV43" s="39" t="e">
        <f t="shared" ref="AV43" si="546">+IF(AR41&lt;0,1-AV41/AR41,AV41/AR41-1)</f>
        <v>#DIV/0!</v>
      </c>
      <c r="AW43" s="39" t="e">
        <f t="shared" ref="AW43" si="547">+IF(AS41&lt;0,1-AW41/AS41,AW41/AS41-1)</f>
        <v>#DIV/0!</v>
      </c>
      <c r="AX43" s="39" t="e">
        <f t="shared" ref="AX43" si="548">+IF(AT41&lt;0,1-AX41/AT41,AX41/AT41-1)</f>
        <v>#DIV/0!</v>
      </c>
      <c r="AY43" s="39" t="e">
        <f t="shared" ref="AY43" si="549">+IF(AU41&lt;0,1-AY41/AU41,AY41/AU41-1)</f>
        <v>#DIV/0!</v>
      </c>
      <c r="AZ43" s="39">
        <f t="shared" ref="AZ43" si="550">+IF(AV41&lt;0,1-AZ41/AV41,AZ41/AV41-1)</f>
        <v>0.19679144385026803</v>
      </c>
      <c r="BA43" s="39">
        <f t="shared" ref="BA43" si="551">+IF(AW41&lt;0,1-BA41/AW41,BA41/AW41-1)</f>
        <v>-0.16908951798010796</v>
      </c>
      <c r="BB43" s="39">
        <f t="shared" ref="BB43" si="552">+IF(AX41&lt;0,1-BB41/AX41,BB41/AX41-1)</f>
        <v>-0.11549037580201704</v>
      </c>
      <c r="BC43" s="39">
        <f t="shared" ref="BC43" si="553">+IF(AY41&lt;0,1-BC41/AY41,BC41/AY41-1)</f>
        <v>-9.2592592592593115E-2</v>
      </c>
      <c r="BD43" s="39">
        <f t="shared" ref="BD43" si="554">+IF(AZ41&lt;0,1-BD41/AZ41,BD41/AZ41-1)</f>
        <v>9.9195710455763475E-2</v>
      </c>
      <c r="BE43" s="39">
        <f t="shared" ref="BE43" si="555">+IF(BA41&lt;0,1-BE41/BA41,BE41/BA41-1)</f>
        <v>0.16482504604051651</v>
      </c>
      <c r="BF43" s="39">
        <f t="shared" ref="BF43" si="556">+IF(BB41&lt;0,1-BF41/BB41,BF41/BB41-1)</f>
        <v>0.64870466321243669</v>
      </c>
      <c r="BG43" s="39">
        <f t="shared" ref="BG43" si="557">+IF(BC41&lt;0,1-BG41/BC41,BG41/BC41-1)</f>
        <v>1.0214285714285731</v>
      </c>
      <c r="BH43" s="39">
        <f t="shared" ref="BH43" si="558">+IF(BD41&lt;0,1-BH41/BD41,BH41/BD41-1)</f>
        <v>0.55934959349593472</v>
      </c>
      <c r="BI43" s="39">
        <f t="shared" ref="BI43" si="559">+IF(BE41&lt;0,1-BI41/BE41,BI41/BE41-1)</f>
        <v>0.47114624505928893</v>
      </c>
      <c r="BJ43" s="39">
        <f t="shared" ref="BJ43" si="560">+IF(BF41&lt;0,1-BJ41/BF41,BJ41/BF41-1)</f>
        <v>0.20930232558139461</v>
      </c>
      <c r="BK43" s="39">
        <f t="shared" ref="BK43" si="561">+IF(BG41&lt;0,1-BK41/BG41,BK41/BG41-1)</f>
        <v>3.0287733467945444E-2</v>
      </c>
      <c r="BL43" s="39">
        <f t="shared" ref="BL43" si="562">+IF(BH41&lt;0,1-BL41/BH41,BL41/BH41-1)</f>
        <v>7.5078206465066799E-2</v>
      </c>
      <c r="BM43" s="39">
        <f t="shared" ref="BM43" si="563">+IF(BI41&lt;0,1-BM41/BI41,BM41/BI41-1)</f>
        <v>0.10585706609349921</v>
      </c>
      <c r="BN43" s="39">
        <f t="shared" ref="BN43" si="564">+IF(BJ41&lt;0,1-BN41/BJ41,BN41/BJ41-1)</f>
        <v>7.2245322245321431E-2</v>
      </c>
      <c r="BO43" s="39">
        <f t="shared" ref="BO43" si="565">+IF(BK41&lt;0,1-BO41/BK41,BO41/BK41-1)</f>
        <v>-0.42185203331700105</v>
      </c>
      <c r="BP43" s="39">
        <f t="shared" ref="BP43" si="566">+IF(BL41&lt;0,1-BP41/BL41,BP41/BL41-1)</f>
        <v>-0.19350145489815651</v>
      </c>
      <c r="BQ43" s="39">
        <f t="shared" ref="BQ43" si="567">+IF(BM41&lt;0,1-BQ41/BM41,BQ41/BM41-1)</f>
        <v>-9.1836734693878208E-2</v>
      </c>
      <c r="BR43" s="39">
        <f t="shared" ref="BR43" si="568">+IF(BN41&lt;0,1-BR41/BN41,BR41/BN41-1)</f>
        <v>-5.3320407174017537E-2</v>
      </c>
      <c r="BS43" s="39">
        <f t="shared" ref="BS43" si="569">+IF(BO41&lt;0,1-BS41/BO41,BS41/BO41-1)</f>
        <v>0.8389830508474585</v>
      </c>
      <c r="BT43" s="39">
        <f t="shared" ref="BT43" si="570">+IF(BP41&lt;0,1-BT41/BP41,BT41/BP41-1)</f>
        <v>0.38785327720986196</v>
      </c>
      <c r="BU43" s="39">
        <f t="shared" ref="BU43" si="571">+IF(BQ41&lt;0,1-BU41/BQ41,BU41/BQ41-1)</f>
        <v>0.33547351524879598</v>
      </c>
      <c r="BV43" s="39">
        <f t="shared" ref="BV43" si="572">+IF(BR41&lt;0,1-BV41/BR41,BV41/BR41-1)</f>
        <v>0.34767025089605741</v>
      </c>
      <c r="BW43" s="39">
        <f t="shared" ref="BW43" si="573">+IF(BS41&lt;0,1-BW41/BS41,BW41/BS41-1)</f>
        <v>0.27281105990783261</v>
      </c>
      <c r="BX43" s="39">
        <f t="shared" ref="BX43" si="574">+IF(BT41&lt;0,1-BX41/BT41,BX41/BT41-1)</f>
        <v>0.30242634315424555</v>
      </c>
      <c r="BY43" s="39">
        <f t="shared" ref="BY43" si="575">+IF(BU41&lt;0,1-BY41/BU41,BY41/BU41-1)</f>
        <v>0.19471153846153788</v>
      </c>
      <c r="BZ43" s="39">
        <f t="shared" ref="BZ43" si="576">+IF(BV41&lt;0,1-BZ41/BV41,BZ41/BV41-1)</f>
        <v>0.29711246200607855</v>
      </c>
      <c r="CA43" s="39">
        <f t="shared" ref="CA43" si="577">+IF(BW41&lt;0,1-CA41/BW41,CA41/BW41-1)</f>
        <v>0.12997827661115191</v>
      </c>
      <c r="CB43" s="39">
        <f t="shared" ref="CB43" si="578">+IF(BX41&lt;0,1-CB41/BX41,CB41/BX41-1)</f>
        <v>5.0898203592814495E-2</v>
      </c>
      <c r="CC43" s="39">
        <f t="shared" ref="CC43" si="579">+IF(BY41&lt;0,1-CC41/BY41,CC41/BY41-1)</f>
        <v>0.12944332662642544</v>
      </c>
      <c r="CD43" s="39">
        <f t="shared" ref="CD43" si="580">+IF(BZ41&lt;0,1-CD41/BZ41,CD41/BZ41-1)</f>
        <v>1.1102230246251565E-15</v>
      </c>
      <c r="CE43" s="39">
        <f t="shared" ref="CE43" si="581">+IF(CA41&lt;0,1-CE41/CA41,CE41/CA41-1)</f>
        <v>5.7673822492783078E-3</v>
      </c>
      <c r="CF43" s="39">
        <f t="shared" ref="CF43" si="582">+IF(CB41&lt;0,1-CF41/CB41,CF41/CB41-1)</f>
        <v>1.2978790756569047E-2</v>
      </c>
      <c r="CG43" s="39">
        <f t="shared" ref="CG43" si="583">+IF(CC41&lt;0,1-CG41/CC41,CG41/CC41-1)</f>
        <v>-5.1365795724466312E-2</v>
      </c>
      <c r="CH43" s="39">
        <f t="shared" ref="CH43:CL43" si="584">+IF(CD41&lt;0,1-CH41/CD41,CH41/CD41-1)</f>
        <v>-0.1813122437024014</v>
      </c>
      <c r="CI43" s="39">
        <f t="shared" si="584"/>
        <v>7.008601465434916E-3</v>
      </c>
      <c r="CJ43" s="39">
        <f t="shared" si="584"/>
        <v>2.8750000000000497E-2</v>
      </c>
      <c r="CK43" s="39">
        <f t="shared" si="584"/>
        <v>5.9467918622849725E-2</v>
      </c>
      <c r="CL43" s="39">
        <f t="shared" si="584"/>
        <v>0.27728085867620633</v>
      </c>
      <c r="CM43" s="40">
        <f t="shared" ref="CM43" si="585">+CM41/CI41-1</f>
        <v>0.21524807296979853</v>
      </c>
      <c r="CN43" s="40">
        <f t="shared" ref="CN43" si="586">+CN41/CJ41-1</f>
        <v>0.19352838615217216</v>
      </c>
      <c r="CO43" s="40">
        <f t="shared" ref="CO43" si="587">+CO41/CK41-1</f>
        <v>0.15921761335365336</v>
      </c>
      <c r="CP43" s="40">
        <f t="shared" ref="CP43" si="588">+CP41/CL41-1</f>
        <v>8.403242385857812E-2</v>
      </c>
      <c r="CQ43" s="40">
        <f t="shared" ref="CQ43" si="589">+CQ41/CM41-1</f>
        <v>0.15042865949864437</v>
      </c>
      <c r="CR43" s="40">
        <f t="shared" ref="CR43" si="590">+CR41/CN41-1</f>
        <v>0.15938783859574768</v>
      </c>
      <c r="CS43" s="40">
        <f t="shared" ref="CS43" si="591">+CS41/CO41-1</f>
        <v>0.1353591915453245</v>
      </c>
      <c r="CT43" s="40">
        <f t="shared" ref="CT43" si="592">+CT41/CP41-1</f>
        <v>0.13300958182624401</v>
      </c>
      <c r="CU43" s="40">
        <f t="shared" ref="CU43" si="593">+CU41/CQ41-1</f>
        <v>0.13279197248792918</v>
      </c>
      <c r="CV43" s="40">
        <f t="shared" ref="CV43" si="594">+CV41/CR41-1</f>
        <v>0.12997873136210614</v>
      </c>
      <c r="CW43" s="40">
        <f t="shared" ref="CW43" si="595">+CW41/CS41-1</f>
        <v>0.12684783417464573</v>
      </c>
      <c r="CX43" s="40">
        <f t="shared" ref="CX43" si="596">+CX41/CT41-1</f>
        <v>0.12789129800691978</v>
      </c>
      <c r="CY43" s="40">
        <f t="shared" ref="CY43" si="597">+CY41/CU41-1</f>
        <v>0.1228217184189615</v>
      </c>
      <c r="CZ43" s="40">
        <f t="shared" ref="CZ43" si="598">+CZ41/CV41-1</f>
        <v>0.12104906381090785</v>
      </c>
      <c r="DA43" s="40">
        <f t="shared" ref="DA43" si="599">+DA41/CW41-1</f>
        <v>0.12156646502876089</v>
      </c>
      <c r="DB43" s="40">
        <f t="shared" ref="DB43" si="600">+DB41/CX41-1</f>
        <v>0.12249339709404761</v>
      </c>
      <c r="DE43" s="122"/>
      <c r="DF43" s="39">
        <v>9.4545760147911828E-2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>+IF(AI41&lt;0,1-AJ41/AI41,AJ41/AI41-1)</f>
        <v>#DIV/0!</v>
      </c>
      <c r="AK44" s="39" t="e">
        <f t="shared" ref="AK44:AM44" si="601">+IF(AJ41&lt;0,1-AK41/AJ41,AK41/AJ41-1)</f>
        <v>#DIV/0!</v>
      </c>
      <c r="AL44" s="39" t="e">
        <f t="shared" si="601"/>
        <v>#DIV/0!</v>
      </c>
      <c r="AM44" s="39" t="e">
        <f t="shared" si="601"/>
        <v>#DIV/0!</v>
      </c>
      <c r="AN44" s="39" t="e">
        <f t="shared" ref="AN44" si="602">+IF(AM41&lt;0,1-AN41/AM41,AN41/AM41-1)</f>
        <v>#DIV/0!</v>
      </c>
      <c r="AO44" s="39" t="e">
        <f t="shared" ref="AO44" si="603">+IF(AN41&lt;0,1-AO41/AN41,AO41/AN41-1)</f>
        <v>#DIV/0!</v>
      </c>
      <c r="AP44" s="39" t="e">
        <f t="shared" ref="AP44" si="604">+IF(AO41&lt;0,1-AP41/AO41,AP41/AO41-1)</f>
        <v>#DIV/0!</v>
      </c>
      <c r="AQ44" s="39" t="e">
        <f t="shared" ref="AQ44" si="605">+IF(AP41&lt;0,1-AQ41/AP41,AQ41/AP41-1)</f>
        <v>#DIV/0!</v>
      </c>
      <c r="AR44" s="39" t="e">
        <f t="shared" ref="AR44" si="606">+IF(AQ41&lt;0,1-AR41/AQ41,AR41/AQ41-1)</f>
        <v>#DIV/0!</v>
      </c>
      <c r="AS44" s="39" t="e">
        <f t="shared" ref="AS44" si="607">+IF(AR41&lt;0,1-AS41/AR41,AS41/AR41-1)</f>
        <v>#DIV/0!</v>
      </c>
      <c r="AT44" s="39" t="e">
        <f t="shared" ref="AT44" si="608">+IF(AS41&lt;0,1-AT41/AS41,AT41/AS41-1)</f>
        <v>#DIV/0!</v>
      </c>
      <c r="AU44" s="39" t="e">
        <f t="shared" ref="AU44" si="609">+IF(AT41&lt;0,1-AU41/AT41,AU41/AT41-1)</f>
        <v>#DIV/0!</v>
      </c>
      <c r="AV44" s="39" t="e">
        <f t="shared" ref="AV44" si="610">+IF(AU41&lt;0,1-AV41/AU41,AV41/AU41-1)</f>
        <v>#DIV/0!</v>
      </c>
      <c r="AW44" s="39">
        <f t="shared" ref="AW44" si="611">+IF(AV41&lt;0,1-AW41/AV41,AW41/AV41-1)</f>
        <v>0.39786096256684544</v>
      </c>
      <c r="AX44" s="39">
        <f t="shared" ref="AX44" si="612">+IF(AW41&lt;0,1-AX41/AW41,AX41/AW41-1)</f>
        <v>-0.16526396327467541</v>
      </c>
      <c r="AY44" s="39">
        <f t="shared" ref="AY44" si="613">+IF(AX41&lt;0,1-AY41/AX41,AY41/AX41-1)</f>
        <v>-1.0082493125572745E-2</v>
      </c>
      <c r="AZ44" s="39">
        <f t="shared" ref="AZ44" si="614">+IF(AY41&lt;0,1-AZ41/AY41,AZ41/AY41-1)</f>
        <v>3.6111111111111871E-2</v>
      </c>
      <c r="BA44" s="39">
        <f t="shared" ref="BA44" si="615">+IF(AZ41&lt;0,1-BA41/AZ41,BA41/AZ41-1)</f>
        <v>-2.9490616621985155E-2</v>
      </c>
      <c r="BB44" s="39">
        <f t="shared" ref="BB44" si="616">+IF(BA41&lt;0,1-BB41/BA41,BB41/BA41-1)</f>
        <v>-0.11141804788213638</v>
      </c>
      <c r="BC44" s="39">
        <f t="shared" ref="BC44" si="617">+IF(BB41&lt;0,1-BC41/BB41,BC41/BB41-1)</f>
        <v>1.5544041450777257E-2</v>
      </c>
      <c r="BD44" s="39">
        <f t="shared" ref="BD44" si="618">+IF(BC41&lt;0,1-BD41/BC41,BD41/BC41-1)</f>
        <v>0.25510204081632737</v>
      </c>
      <c r="BE44" s="39">
        <f t="shared" ref="BE44" si="619">+IF(BD41&lt;0,1-BE41/BD41,BE41/BD41-1)</f>
        <v>2.8455284552845628E-2</v>
      </c>
      <c r="BF44" s="39">
        <f t="shared" ref="BF44" si="620">+IF(BE41&lt;0,1-BF41/BE41,BF41/BE41-1)</f>
        <v>0.25770750988142277</v>
      </c>
      <c r="BG44" s="39">
        <f t="shared" ref="BG44" si="621">+IF(BF41&lt;0,1-BG41/BF41,BG41/BF41-1)</f>
        <v>0.24512884978001281</v>
      </c>
      <c r="BH44" s="39">
        <f t="shared" ref="BH44" si="622">+IF(BG41&lt;0,1-BH41/BG41,BH41/BG41-1)</f>
        <v>-3.1802120141342982E-2</v>
      </c>
      <c r="BI44" s="39">
        <f t="shared" ref="BI44" si="623">+IF(BH41&lt;0,1-BI41/BH41,BI41/BH41-1)</f>
        <v>-2.9718456725755682E-2</v>
      </c>
      <c r="BJ44" s="39">
        <f t="shared" ref="BJ44" si="624">+IF(BI41&lt;0,1-BJ41/BI41,BJ41/BI41-1)</f>
        <v>3.3852767329392019E-2</v>
      </c>
      <c r="BK44" s="39">
        <f t="shared" ref="BK44" si="625">+IF(BJ41&lt;0,1-BK41/BJ41,BK41/BJ41-1)</f>
        <v>6.0810810810811633E-2</v>
      </c>
      <c r="BL44" s="39">
        <f t="shared" ref="BL44" si="626">+IF(BK41&lt;0,1-BL41/BK41,BL41/BK41-1)</f>
        <v>1.0289073983340336E-2</v>
      </c>
      <c r="BM44" s="39">
        <f t="shared" ref="BM44" si="627">+IF(BL41&lt;0,1-BM41/BL41,BM41/BL41-1)</f>
        <v>-1.9398642095032059E-3</v>
      </c>
      <c r="BN44" s="39">
        <f t="shared" ref="BN44" si="628">+IF(BM41&lt;0,1-BN41/BM41,BN41/BM41-1)</f>
        <v>2.4295432458671939E-3</v>
      </c>
      <c r="BO44" s="39">
        <f t="shared" ref="BO44" si="629">+IF(BN41&lt;0,1-BO41/BN41,BO41/BN41-1)</f>
        <v>-0.42801745031507388</v>
      </c>
      <c r="BP44" s="39">
        <f t="shared" ref="BP44" si="630">+IF(BO41&lt;0,1-BP41/BO41,BP41/BO41-1)</f>
        <v>0.40932203389830346</v>
      </c>
      <c r="BQ44" s="39">
        <f t="shared" ref="BQ44" si="631">+IF(BP41&lt;0,1-BQ41/BP41,BQ41/BP41-1)</f>
        <v>0.1238725195429955</v>
      </c>
      <c r="BR44" s="39">
        <f t="shared" ref="BR44" si="632">+IF(BQ41&lt;0,1-BR41/BQ41,BR41/BQ41-1)</f>
        <v>4.4943820224718101E-2</v>
      </c>
      <c r="BS44" s="39">
        <f t="shared" ref="BS44" si="633">+IF(BR41&lt;0,1-BS41/BR41,BS41/BR41-1)</f>
        <v>0.11111111111111294</v>
      </c>
      <c r="BT44" s="39">
        <f t="shared" ref="BT44" si="634">+IF(BS41&lt;0,1-BT41/BS41,BT41/BS41-1)</f>
        <v>6.3594470046081542E-2</v>
      </c>
      <c r="BU44" s="39">
        <f t="shared" ref="BU44" si="635">+IF(BT41&lt;0,1-BU41/BT41,BU41/BT41-1)</f>
        <v>8.1455805892548083E-2</v>
      </c>
      <c r="BV44" s="39">
        <f t="shared" ref="BV44" si="636">+IF(BU41&lt;0,1-BV41/BU41,BV41/BU41-1)</f>
        <v>5.448717948717885E-2</v>
      </c>
      <c r="BW44" s="39">
        <f t="shared" ref="BW44" si="637">+IF(BV41&lt;0,1-BW41/BV41,BW41/BV41-1)</f>
        <v>4.9392097264438162E-2</v>
      </c>
      <c r="BX44" s="39">
        <f t="shared" ref="BX44" si="638">+IF(BW41&lt;0,1-BX41/BW41,BX41/BW41-1)</f>
        <v>8.8341781317884838E-2</v>
      </c>
      <c r="BY44" s="39">
        <f t="shared" ref="BY44" si="639">+IF(BX41&lt;0,1-BY41/BX41,BY41/BX41-1)</f>
        <v>-7.9840319361275114E-3</v>
      </c>
      <c r="BZ44" s="39">
        <f t="shared" ref="BZ44" si="640">+IF(BY41&lt;0,1-BZ41/BY41,BZ41/BY41-1)</f>
        <v>0.14486921529175012</v>
      </c>
      <c r="CA44" s="39">
        <f t="shared" ref="CA44" si="641">+IF(BZ41&lt;0,1-CA41/BZ41,CA41/BZ41-1)</f>
        <v>-8.58230814294072E-2</v>
      </c>
      <c r="CB44" s="39">
        <f t="shared" ref="CB44" si="642">+IF(CA41&lt;0,1-CB41/CA41,CB41/CA41-1)</f>
        <v>1.217558474847702E-2</v>
      </c>
      <c r="CC44" s="39">
        <f t="shared" ref="CC44" si="643">+IF(CB41&lt;0,1-CC41/CB41,CC41/CB41-1)</f>
        <v>6.6160177271288978E-2</v>
      </c>
      <c r="CD44" s="39">
        <f t="shared" ref="CD44" si="644">+IF(CC41&lt;0,1-CD41/CC41,CD41/CC41-1)</f>
        <v>1.3657957244656238E-2</v>
      </c>
      <c r="CE44" s="39">
        <f t="shared" ref="CE44" si="645">+IF(CD41&lt;0,1-CE41/CD41,CE41/CD41-1)</f>
        <v>-8.0550673696544228E-2</v>
      </c>
      <c r="CF44" s="39">
        <f t="shared" ref="CF44" si="646">+IF(CE41&lt;0,1-CF41/CE41,CF41/CE41-1)</f>
        <v>1.943294042688759E-2</v>
      </c>
      <c r="CG44" s="39">
        <f t="shared" ref="CG44" si="647">+IF(CF41&lt;0,1-CG41/CF41,CG41/CF41-1)</f>
        <v>-1.5625000000006883E-3</v>
      </c>
      <c r="CH44" s="39">
        <f t="shared" ref="CH44:CL44" si="648">+IF(CG41&lt;0,1-CH41/CG41,CH41/CG41-1)</f>
        <v>-0.125195618153363</v>
      </c>
      <c r="CI44" s="39">
        <f t="shared" si="648"/>
        <v>0.13094812164579483</v>
      </c>
      <c r="CJ44" s="39">
        <f t="shared" si="648"/>
        <v>4.1442581461563321E-2</v>
      </c>
      <c r="CK44" s="39">
        <f t="shared" si="648"/>
        <v>2.8250303766707452E-2</v>
      </c>
      <c r="CL44" s="39">
        <f t="shared" si="648"/>
        <v>5.4652880354504774E-2</v>
      </c>
      <c r="CM44" s="40">
        <f t="shared" ref="CM44" si="649">+CM41/CL41-1</f>
        <v>7.6022173293426309E-2</v>
      </c>
      <c r="CN44" s="40">
        <f t="shared" ref="CN44" si="650">+CN41/CM41-1</f>
        <v>2.2829256979914225E-2</v>
      </c>
      <c r="CO44" s="40">
        <f t="shared" ref="CO44" si="651">+CO41/CN41-1</f>
        <v>-1.3091629052895959E-3</v>
      </c>
      <c r="CP44" s="40">
        <f t="shared" ref="CP44" si="652">+CP41/CO41-1</f>
        <v>-1.3750390737606644E-2</v>
      </c>
      <c r="CQ44" s="40">
        <f t="shared" ref="CQ44" si="653">+CQ41/CP41-1</f>
        <v>0.14192778663073269</v>
      </c>
      <c r="CR44" s="40">
        <f t="shared" ref="CR44" si="654">+CR41/CQ41-1</f>
        <v>3.0794731782179507E-2</v>
      </c>
      <c r="CS44" s="40">
        <f t="shared" ref="CS44" si="655">+CS41/CR41-1</f>
        <v>-2.2007318292278977E-2</v>
      </c>
      <c r="CT44" s="40">
        <f t="shared" ref="CT44" si="656">+CT41/CS41-1</f>
        <v>-1.5791420294260172E-2</v>
      </c>
      <c r="CU44" s="40">
        <f t="shared" ref="CU44" si="657">+CU41/CT41-1</f>
        <v>0.14170846443431184</v>
      </c>
      <c r="CV44" s="40">
        <f t="shared" ref="CV44" si="658">+CV41/CU41-1</f>
        <v>2.8234796505305804E-2</v>
      </c>
      <c r="CW44" s="40">
        <f t="shared" ref="CW44" si="659">+CW41/CV41-1</f>
        <v>-2.4717098973570661E-2</v>
      </c>
      <c r="CX44" s="40">
        <f t="shared" ref="CX44" si="660">+CX41/CW41-1</f>
        <v>-1.4880040758185498E-2</v>
      </c>
      <c r="CY44" s="40">
        <f t="shared" ref="CY44" si="661">+CY41/CX41-1</f>
        <v>0.13657678025789921</v>
      </c>
      <c r="CZ44" s="40">
        <f t="shared" ref="CZ44" si="662">+CZ41/CY41-1</f>
        <v>2.6611470985068442E-2</v>
      </c>
      <c r="DA44" s="40">
        <f t="shared" ref="DA44" si="663">+DA41/CZ41-1</f>
        <v>-2.4266973660565294E-2</v>
      </c>
      <c r="DB44" s="40">
        <f t="shared" ref="DB44" si="664">+DB41/DA41-1</f>
        <v>-1.4065876545142797E-2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-0.21199999999999999</v>
      </c>
      <c r="Q45" s="75">
        <f>'Annual Raw'!R32</f>
        <v>0.5</v>
      </c>
      <c r="R45" s="75">
        <f>'Annual Raw'!S32</f>
        <v>-0.1</v>
      </c>
      <c r="S45" s="75">
        <f>'Annual Raw'!T32</f>
        <v>-0.6</v>
      </c>
      <c r="T45" s="75">
        <f>'Annual Raw'!U32</f>
        <v>-2.8</v>
      </c>
      <c r="U45" s="75">
        <f>'Annual Raw'!V32</f>
        <v>-3.8</v>
      </c>
      <c r="V45" s="75">
        <f>'Annual Raw'!W32</f>
        <v>-3.2</v>
      </c>
      <c r="W45" s="75">
        <f>'Annual Raw'!X32</f>
        <v>-3.6</v>
      </c>
      <c r="X45" s="75">
        <f>'Annual Raw'!Y32</f>
        <v>-4.3</v>
      </c>
      <c r="Y45" s="75">
        <f>'Annual Raw'!Z32</f>
        <v>-2.6</v>
      </c>
      <c r="Z45" s="75">
        <f>'Annual Raw'!AA32</f>
        <v>3.2</v>
      </c>
      <c r="AA45" s="75">
        <f>'Annual Raw'!AB32</f>
        <v>-1.9</v>
      </c>
      <c r="AB45" s="76">
        <f t="shared" ref="AB45:AB46" si="665">+SUM(CM45:CP45)</f>
        <v>-2.4</v>
      </c>
      <c r="AC45" s="76">
        <f t="shared" ref="AC45:AC46" si="666">+SUM(CQ45:CT45)</f>
        <v>-2.4</v>
      </c>
      <c r="AD45" s="76">
        <f t="shared" ref="AD45:AD46" si="667">+SUM(CU45:CX45)</f>
        <v>-2.4</v>
      </c>
      <c r="AE45" s="76">
        <f t="shared" ref="AE45:AE46" si="668">+SUM(CY45:DB45)</f>
        <v>-2.4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0.1</v>
      </c>
      <c r="AW45" s="75">
        <f>'QTR Raw'!Q34</f>
        <v>0.1</v>
      </c>
      <c r="AX45" s="75">
        <f>'QTR Raw'!R34</f>
        <v>-0.1</v>
      </c>
      <c r="AY45" s="75">
        <f>'QTR Raw'!S34</f>
        <v>0.3</v>
      </c>
      <c r="AZ45" s="75">
        <f>'QTR Raw'!T34</f>
        <v>0</v>
      </c>
      <c r="BA45" s="75">
        <f>'QTR Raw'!U34</f>
        <v>0.1</v>
      </c>
      <c r="BB45" s="75">
        <f>'QTR Raw'!V34</f>
        <v>-0.5</v>
      </c>
      <c r="BC45" s="75">
        <f>'QTR Raw'!W34</f>
        <v>0.2</v>
      </c>
      <c r="BD45" s="75">
        <f>'QTR Raw'!X34</f>
        <v>-0.3</v>
      </c>
      <c r="BE45" s="75">
        <f>'QTR Raw'!Y34</f>
        <v>-0.2</v>
      </c>
      <c r="BF45" s="75">
        <f>'QTR Raw'!Z34</f>
        <v>-0.3</v>
      </c>
      <c r="BG45" s="75">
        <f>'QTR Raw'!AA34</f>
        <v>-0.6</v>
      </c>
      <c r="BH45" s="75">
        <f>'QTR Raw'!AB34</f>
        <v>-0.8</v>
      </c>
      <c r="BI45" s="75">
        <f>'QTR Raw'!AC34</f>
        <v>-0.5</v>
      </c>
      <c r="BJ45" s="75">
        <f>'QTR Raw'!AD34</f>
        <v>-0.9</v>
      </c>
      <c r="BK45" s="75">
        <f>'QTR Raw'!AE34</f>
        <v>-0.2</v>
      </c>
      <c r="BL45" s="75">
        <f>'QTR Raw'!AF34</f>
        <v>-0.4</v>
      </c>
      <c r="BM45" s="75">
        <f>'QTR Raw'!AG34</f>
        <v>-1.7</v>
      </c>
      <c r="BN45" s="75">
        <f>'QTR Raw'!AH34</f>
        <v>-1.5</v>
      </c>
      <c r="BO45" s="75">
        <f>'QTR Raw'!AI34</f>
        <v>-0.8</v>
      </c>
      <c r="BP45" s="75">
        <f>'QTR Raw'!AJ34</f>
        <v>-0.8</v>
      </c>
      <c r="BQ45" s="75">
        <f>'QTR Raw'!AK34</f>
        <v>-0.8</v>
      </c>
      <c r="BR45" s="75">
        <f>'QTR Raw'!AL34</f>
        <v>-0.8</v>
      </c>
      <c r="BS45" s="75">
        <f>'QTR Raw'!AM34</f>
        <v>-0.8</v>
      </c>
      <c r="BT45" s="75">
        <f>'QTR Raw'!AN34</f>
        <v>-0.8</v>
      </c>
      <c r="BU45" s="75">
        <f>'QTR Raw'!AO34</f>
        <v>-0.8</v>
      </c>
      <c r="BV45" s="75">
        <f>'QTR Raw'!AP34</f>
        <v>-1.2</v>
      </c>
      <c r="BW45" s="75">
        <f>'QTR Raw'!AQ34</f>
        <v>-0.8</v>
      </c>
      <c r="BX45" s="75">
        <f>'QTR Raw'!AR34</f>
        <v>-0.7</v>
      </c>
      <c r="BY45" s="75">
        <f>'QTR Raw'!AS34</f>
        <v>-1.4</v>
      </c>
      <c r="BZ45" s="75">
        <f>'QTR Raw'!AT34</f>
        <v>-1.3</v>
      </c>
      <c r="CA45" s="75">
        <f>'QTR Raw'!AU34</f>
        <v>-1</v>
      </c>
      <c r="CB45" s="75">
        <f>'QTR Raw'!AV34</f>
        <v>-0.5</v>
      </c>
      <c r="CC45" s="75">
        <f>'QTR Raw'!AW34</f>
        <v>-0.6</v>
      </c>
      <c r="CD45" s="75">
        <f>'QTR Raw'!AX34</f>
        <v>-0.5</v>
      </c>
      <c r="CE45" s="75">
        <f>'QTR Raw'!AY34</f>
        <v>-0.3</v>
      </c>
      <c r="CF45" s="75">
        <f>'QTR Raw'!AZ34</f>
        <v>-0.4</v>
      </c>
      <c r="CG45" s="75">
        <f>'QTR Raw'!BA34</f>
        <v>2.9</v>
      </c>
      <c r="CH45" s="75">
        <f>'QTR Raw'!BB34</f>
        <v>0.9</v>
      </c>
      <c r="CI45" s="75">
        <f>'QTR Raw'!BC34</f>
        <v>-0.4</v>
      </c>
      <c r="CJ45" s="75">
        <f>'QTR Raw'!BD34</f>
        <v>-0.5</v>
      </c>
      <c r="CK45" s="75">
        <f>'QTR Raw'!BE34</f>
        <v>-0.5</v>
      </c>
      <c r="CL45" s="75">
        <f>'QTR Raw'!BF34</f>
        <v>-0.6</v>
      </c>
      <c r="CM45" s="76">
        <f t="shared" ref="CM45:CM46" si="669">+CL45</f>
        <v>-0.6</v>
      </c>
      <c r="CN45" s="76">
        <f t="shared" ref="CN45:CN46" si="670">+CM45</f>
        <v>-0.6</v>
      </c>
      <c r="CO45" s="76">
        <f t="shared" ref="CO45:CO46" si="671">+CN45</f>
        <v>-0.6</v>
      </c>
      <c r="CP45" s="76">
        <f t="shared" ref="CP45:CP46" si="672">+CO45</f>
        <v>-0.6</v>
      </c>
      <c r="CQ45" s="76">
        <f t="shared" ref="CQ45:CQ46" si="673">+CP45</f>
        <v>-0.6</v>
      </c>
      <c r="CR45" s="76">
        <f t="shared" ref="CR45:CR46" si="674">+CQ45</f>
        <v>-0.6</v>
      </c>
      <c r="CS45" s="76">
        <f t="shared" ref="CS45:CS46" si="675">+CR45</f>
        <v>-0.6</v>
      </c>
      <c r="CT45" s="76">
        <f t="shared" ref="CT45:CT46" si="676">+CS45</f>
        <v>-0.6</v>
      </c>
      <c r="CU45" s="76">
        <f t="shared" ref="CU45:CU46" si="677">+CT45</f>
        <v>-0.6</v>
      </c>
      <c r="CV45" s="76">
        <f t="shared" ref="CV45:CV46" si="678">+CU45</f>
        <v>-0.6</v>
      </c>
      <c r="CW45" s="76">
        <f t="shared" ref="CW45:CW46" si="679">+CV45</f>
        <v>-0.6</v>
      </c>
      <c r="CX45" s="76">
        <f t="shared" ref="CX45:CX46" si="680">+CW45</f>
        <v>-0.6</v>
      </c>
      <c r="CY45" s="76">
        <f t="shared" ref="CY45:CY46" si="681">+CX45</f>
        <v>-0.6</v>
      </c>
      <c r="CZ45" s="76">
        <f t="shared" ref="CZ45:CZ46" si="682">+CY45</f>
        <v>-0.6</v>
      </c>
      <c r="DA45" s="76">
        <f t="shared" ref="DA45:DA46" si="683">+CZ45</f>
        <v>-0.6</v>
      </c>
      <c r="DB45" s="76">
        <f t="shared" ref="DB45:DB46" si="684">+DA45</f>
        <v>-0.6</v>
      </c>
      <c r="DE45" s="131"/>
      <c r="DF45" s="75">
        <v>-1.9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65"/>
        <v>0</v>
      </c>
      <c r="AC46" s="76">
        <f t="shared" si="666"/>
        <v>0</v>
      </c>
      <c r="AD46" s="76">
        <f t="shared" si="667"/>
        <v>0</v>
      </c>
      <c r="AE46" s="76">
        <f t="shared" si="668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69"/>
        <v>0</v>
      </c>
      <c r="CN46" s="76">
        <f t="shared" si="670"/>
        <v>0</v>
      </c>
      <c r="CO46" s="76">
        <f t="shared" si="671"/>
        <v>0</v>
      </c>
      <c r="CP46" s="76">
        <f t="shared" si="672"/>
        <v>0</v>
      </c>
      <c r="CQ46" s="76">
        <f t="shared" si="673"/>
        <v>0</v>
      </c>
      <c r="CR46" s="76">
        <f t="shared" si="674"/>
        <v>0</v>
      </c>
      <c r="CS46" s="76">
        <f t="shared" si="675"/>
        <v>0</v>
      </c>
      <c r="CT46" s="76">
        <f t="shared" si="676"/>
        <v>0</v>
      </c>
      <c r="CU46" s="76">
        <f t="shared" si="677"/>
        <v>0</v>
      </c>
      <c r="CV46" s="76">
        <f t="shared" si="678"/>
        <v>0</v>
      </c>
      <c r="CW46" s="76">
        <f t="shared" si="679"/>
        <v>0</v>
      </c>
      <c r="CX46" s="76">
        <f t="shared" si="680"/>
        <v>0</v>
      </c>
      <c r="CY46" s="76">
        <f t="shared" si="681"/>
        <v>0</v>
      </c>
      <c r="CZ46" s="76">
        <f t="shared" si="682"/>
        <v>0</v>
      </c>
      <c r="DA46" s="76">
        <f t="shared" si="683"/>
        <v>0</v>
      </c>
      <c r="DB46" s="76">
        <f t="shared" si="684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73.599999999999994</v>
      </c>
      <c r="AA47" s="75">
        <f>'Annual Raw'!AB29+'Annual Raw'!AB31+'Annual Raw'!AB34+'Annual Raw'!AB36</f>
        <v>-21.300000000000004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30.7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-35.4</v>
      </c>
      <c r="CL47" s="75">
        <f>'QTR Raw'!BF26+'QTR Raw'!BF31+'QTR Raw'!BF32+'QTR Raw'!BF33+'QTR Raw'!BF36+'QTR Raw'!BF37+'QTR Raw'!BF39</f>
        <v>-24.3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-21.300000000000004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85">E41+E45+E46+E47</f>
        <v>0</v>
      </c>
      <c r="F48" s="26">
        <f t="shared" si="685"/>
        <v>0</v>
      </c>
      <c r="G48" s="26">
        <f t="shared" si="685"/>
        <v>0</v>
      </c>
      <c r="H48" s="26">
        <f t="shared" si="685"/>
        <v>0</v>
      </c>
      <c r="I48" s="26">
        <f t="shared" si="685"/>
        <v>0</v>
      </c>
      <c r="J48" s="26">
        <f t="shared" si="685"/>
        <v>0</v>
      </c>
      <c r="K48" s="26">
        <f t="shared" si="685"/>
        <v>0</v>
      </c>
      <c r="L48" s="26">
        <f t="shared" si="685"/>
        <v>0</v>
      </c>
      <c r="M48" s="26">
        <f t="shared" si="685"/>
        <v>0</v>
      </c>
      <c r="N48" s="26">
        <f t="shared" si="685"/>
        <v>-3.0000000000000001E-3</v>
      </c>
      <c r="O48" s="26">
        <f t="shared" si="685"/>
        <v>6.2139999999999995</v>
      </c>
      <c r="P48" s="26">
        <f t="shared" si="685"/>
        <v>310.89699999999982</v>
      </c>
      <c r="Q48" s="26">
        <f t="shared" si="685"/>
        <v>419.09999999999968</v>
      </c>
      <c r="R48" s="26">
        <f t="shared" si="685"/>
        <v>424.90000000000003</v>
      </c>
      <c r="S48" s="26">
        <f t="shared" si="685"/>
        <v>506.00000000000006</v>
      </c>
      <c r="T48" s="26">
        <f t="shared" si="685"/>
        <v>765.59999999999945</v>
      </c>
      <c r="U48" s="26">
        <f t="shared" si="685"/>
        <v>818.59999999999968</v>
      </c>
      <c r="V48" s="26">
        <f t="shared" ref="V48:AA48" si="686">V41+V45+V46+V47</f>
        <v>663.30000000000018</v>
      </c>
      <c r="W48" s="26">
        <f t="shared" si="686"/>
        <v>956.99999999999932</v>
      </c>
      <c r="X48" s="26">
        <f t="shared" si="686"/>
        <v>1212.1000000000015</v>
      </c>
      <c r="Y48" s="26">
        <f t="shared" si="686"/>
        <v>1303.6999999999991</v>
      </c>
      <c r="Z48" s="26">
        <f t="shared" si="686"/>
        <v>1266.7</v>
      </c>
      <c r="AA48" s="26">
        <f t="shared" ref="AA48" si="687">AA41+AA45+AA46+AA47</f>
        <v>1279.2000000000003</v>
      </c>
      <c r="AB48" s="27">
        <f t="shared" ref="AB48:AD48" si="688">AB41+AB45+AB46+AB47</f>
        <v>1554.0441980247715</v>
      </c>
      <c r="AC48" s="27">
        <f t="shared" si="688"/>
        <v>1779.0437973159519</v>
      </c>
      <c r="AD48" s="27">
        <f t="shared" si="688"/>
        <v>2009.5267152443048</v>
      </c>
      <c r="AE48" s="27">
        <f t="shared" ref="AE48" si="689">AE41+AE45+AE46+AE47</f>
        <v>2254.9300120539519</v>
      </c>
      <c r="AI48" s="26">
        <f t="shared" ref="AI48" si="690">AI41+AI45+AI46+AI47</f>
        <v>0</v>
      </c>
      <c r="AJ48" s="26">
        <f t="shared" ref="AJ48" si="691">AJ41+AJ45+AJ46+AJ47</f>
        <v>0</v>
      </c>
      <c r="AK48" s="26">
        <f t="shared" ref="AK48:AM48" si="692">AK41+AK45+AK46+AK47</f>
        <v>0</v>
      </c>
      <c r="AL48" s="26">
        <f t="shared" si="692"/>
        <v>0</v>
      </c>
      <c r="AM48" s="26">
        <f t="shared" si="692"/>
        <v>0</v>
      </c>
      <c r="AN48" s="26">
        <f t="shared" ref="AN48:AO48" si="693">AN41+AN45+AN46+AN47</f>
        <v>0</v>
      </c>
      <c r="AO48" s="26">
        <f t="shared" si="693"/>
        <v>0</v>
      </c>
      <c r="AP48" s="26">
        <f t="shared" ref="AP48:CD48" si="694">AP41+AP45+AP46+AP47</f>
        <v>0</v>
      </c>
      <c r="AQ48" s="26">
        <f t="shared" si="694"/>
        <v>0</v>
      </c>
      <c r="AR48" s="26">
        <f t="shared" si="694"/>
        <v>0</v>
      </c>
      <c r="AS48" s="26">
        <f t="shared" si="694"/>
        <v>0</v>
      </c>
      <c r="AT48" s="26">
        <f t="shared" si="694"/>
        <v>0</v>
      </c>
      <c r="AU48" s="26">
        <f t="shared" si="694"/>
        <v>0</v>
      </c>
      <c r="AV48" s="26">
        <f t="shared" si="694"/>
        <v>93.6</v>
      </c>
      <c r="AW48" s="26">
        <f t="shared" si="694"/>
        <v>130.80000000000004</v>
      </c>
      <c r="AX48" s="26">
        <f t="shared" si="694"/>
        <v>108.99999999999997</v>
      </c>
      <c r="AY48" s="26">
        <f t="shared" si="694"/>
        <v>108.29999999999998</v>
      </c>
      <c r="AZ48" s="26">
        <f t="shared" si="694"/>
        <v>111.90000000000006</v>
      </c>
      <c r="BA48" s="26">
        <f t="shared" si="694"/>
        <v>108.69999999999992</v>
      </c>
      <c r="BB48" s="26">
        <f t="shared" si="694"/>
        <v>95.999999999999915</v>
      </c>
      <c r="BC48" s="26">
        <f t="shared" si="694"/>
        <v>98.199999999999932</v>
      </c>
      <c r="BD48" s="26">
        <f t="shared" si="694"/>
        <v>122.7</v>
      </c>
      <c r="BE48" s="26">
        <f t="shared" si="694"/>
        <v>126.3</v>
      </c>
      <c r="BF48" s="26">
        <f t="shared" si="694"/>
        <v>158.79999999999998</v>
      </c>
      <c r="BG48" s="26">
        <f t="shared" si="694"/>
        <v>197.50000000000003</v>
      </c>
      <c r="BH48" s="26">
        <f t="shared" si="694"/>
        <v>190.99999999999997</v>
      </c>
      <c r="BI48" s="26">
        <f t="shared" si="694"/>
        <v>185.60000000000005</v>
      </c>
      <c r="BJ48" s="26">
        <f t="shared" si="694"/>
        <v>191.49999999999989</v>
      </c>
      <c r="BK48" s="26">
        <f t="shared" si="694"/>
        <v>203.90000000000003</v>
      </c>
      <c r="BL48" s="26">
        <f t="shared" si="694"/>
        <v>205.79999999999978</v>
      </c>
      <c r="BM48" s="26">
        <f t="shared" si="694"/>
        <v>204.10000000000025</v>
      </c>
      <c r="BN48" s="26">
        <f t="shared" si="694"/>
        <v>204.79999999999973</v>
      </c>
      <c r="BO48" s="26">
        <f t="shared" si="694"/>
        <v>117.2000000000001</v>
      </c>
      <c r="BP48" s="26">
        <f t="shared" si="694"/>
        <v>165.49999999999994</v>
      </c>
      <c r="BQ48" s="26">
        <f t="shared" si="694"/>
        <v>186.10000000000008</v>
      </c>
      <c r="BR48" s="26">
        <f t="shared" si="694"/>
        <v>194.49999999999991</v>
      </c>
      <c r="BS48" s="26">
        <f t="shared" si="694"/>
        <v>216.20000000000027</v>
      </c>
      <c r="BT48" s="26">
        <f t="shared" si="694"/>
        <v>229.99999999999997</v>
      </c>
      <c r="BU48" s="26">
        <f t="shared" si="694"/>
        <v>248.80000000000007</v>
      </c>
      <c r="BV48" s="26">
        <f t="shared" si="694"/>
        <v>261.99999999999994</v>
      </c>
      <c r="BW48" s="26">
        <f t="shared" si="694"/>
        <v>275.40000000000003</v>
      </c>
      <c r="BX48" s="26">
        <f t="shared" si="694"/>
        <v>299.89999999999986</v>
      </c>
      <c r="BY48" s="26">
        <f t="shared" si="694"/>
        <v>296.79999999999995</v>
      </c>
      <c r="BZ48" s="26">
        <f t="shared" si="694"/>
        <v>340.0999999999998</v>
      </c>
      <c r="CA48" s="26">
        <f t="shared" si="694"/>
        <v>311.10000000000019</v>
      </c>
      <c r="CB48" s="26">
        <f t="shared" si="694"/>
        <v>315.39999999999986</v>
      </c>
      <c r="CC48" s="26">
        <f t="shared" si="694"/>
        <v>336.2</v>
      </c>
      <c r="CD48" s="26">
        <f t="shared" si="694"/>
        <v>340.9000000000002</v>
      </c>
      <c r="CE48" s="26">
        <f t="shared" ref="CE48:CF48" si="695">CE41+CE45+CE46+CE47</f>
        <v>313.59999999999997</v>
      </c>
      <c r="CF48" s="26">
        <f t="shared" si="695"/>
        <v>319.60000000000002</v>
      </c>
      <c r="CG48" s="26">
        <f t="shared" ref="CG48:CH48" si="696">CG41+CG45+CG46+CG47</f>
        <v>322.39999999999975</v>
      </c>
      <c r="CH48" s="26">
        <f t="shared" si="696"/>
        <v>311.10000000000031</v>
      </c>
      <c r="CI48" s="26">
        <f t="shared" ref="CI48:CJ48" si="697">CI41+CI45+CI46+CI47</f>
        <v>315.70000000000005</v>
      </c>
      <c r="CJ48" s="26">
        <f t="shared" si="697"/>
        <v>328.70000000000016</v>
      </c>
      <c r="CK48" s="26">
        <f t="shared" ref="CK48:CL48" si="698">CK41+CK45+CK46+CK47</f>
        <v>302.60000000000025</v>
      </c>
      <c r="CL48" s="26">
        <f t="shared" si="698"/>
        <v>332.10000000000008</v>
      </c>
      <c r="CM48" s="27">
        <f t="shared" ref="CM48:DB48" si="699">CM41+CM45+CM46+CM47</f>
        <v>383.5399158657533</v>
      </c>
      <c r="CN48" s="27">
        <f t="shared" si="699"/>
        <v>392.30954472129525</v>
      </c>
      <c r="CO48" s="27">
        <f t="shared" si="699"/>
        <v>391.7951621202119</v>
      </c>
      <c r="CP48" s="27">
        <f t="shared" si="699"/>
        <v>386.39957531751247</v>
      </c>
      <c r="CQ48" s="27">
        <f t="shared" si="699"/>
        <v>441.32556846936058</v>
      </c>
      <c r="CR48" s="27">
        <f t="shared" si="699"/>
        <v>454.93454781806179</v>
      </c>
      <c r="CS48" s="27">
        <f t="shared" si="699"/>
        <v>444.90945403110032</v>
      </c>
      <c r="CT48" s="27">
        <f t="shared" si="699"/>
        <v>437.87422699742882</v>
      </c>
      <c r="CU48" s="27">
        <f t="shared" si="699"/>
        <v>500.00973639925633</v>
      </c>
      <c r="CV48" s="27">
        <f t="shared" si="699"/>
        <v>514.1443504350641</v>
      </c>
      <c r="CW48" s="27">
        <f t="shared" si="699"/>
        <v>501.42136337927428</v>
      </c>
      <c r="CX48" s="27">
        <f t="shared" si="699"/>
        <v>493.95126503071083</v>
      </c>
      <c r="CY48" s="27">
        <f t="shared" si="699"/>
        <v>561.49548448107635</v>
      </c>
      <c r="CZ48" s="27">
        <f t="shared" si="699"/>
        <v>576.4536721571825</v>
      </c>
      <c r="DA48" s="27">
        <f t="shared" si="699"/>
        <v>562.45032589421169</v>
      </c>
      <c r="DB48" s="27">
        <f t="shared" si="699"/>
        <v>554.5305295214813</v>
      </c>
      <c r="DE48" s="121"/>
      <c r="DF48" s="26">
        <v>1279.2000000000003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0</v>
      </c>
      <c r="J51" s="22">
        <f>'Annual Raw'!K35</f>
        <v>0</v>
      </c>
      <c r="K51" s="22">
        <f>'Annual Raw'!L35</f>
        <v>0</v>
      </c>
      <c r="L51" s="22">
        <f>'Annual Raw'!M35</f>
        <v>0</v>
      </c>
      <c r="M51" s="22">
        <f>'Annual Raw'!N35</f>
        <v>0</v>
      </c>
      <c r="N51" s="22">
        <f>'Annual Raw'!O35</f>
        <v>-3.0000000000000001E-3</v>
      </c>
      <c r="O51" s="22">
        <f>'Annual Raw'!P35</f>
        <v>6.2140000000000004</v>
      </c>
      <c r="P51" s="22">
        <f>'Annual Raw'!Q35</f>
        <v>310.89699999999999</v>
      </c>
      <c r="Q51" s="22">
        <f>'Annual Raw'!R35</f>
        <v>419.1</v>
      </c>
      <c r="R51" s="22">
        <f>'Annual Raw'!S35</f>
        <v>424.9</v>
      </c>
      <c r="S51" s="22">
        <f>'Annual Raw'!T35</f>
        <v>506</v>
      </c>
      <c r="T51" s="22">
        <f>'Annual Raw'!U35</f>
        <v>765.6</v>
      </c>
      <c r="U51" s="22">
        <f>'Annual Raw'!V35</f>
        <v>818.6</v>
      </c>
      <c r="V51" s="22">
        <f>'Annual Raw'!W35</f>
        <v>663.3</v>
      </c>
      <c r="W51" s="22">
        <f>'Annual Raw'!X35</f>
        <v>957</v>
      </c>
      <c r="X51" s="22">
        <f>'Annual Raw'!Y35</f>
        <v>1212.0999999999999</v>
      </c>
      <c r="Y51" s="22">
        <f>'Annual Raw'!Z35</f>
        <v>1303.7</v>
      </c>
      <c r="Z51" s="22">
        <f>'Annual Raw'!AA35</f>
        <v>1266.7</v>
      </c>
      <c r="AA51" s="22">
        <f>'Annual Raw'!AB35</f>
        <v>1279.2</v>
      </c>
      <c r="AB51" s="21">
        <f t="shared" ref="AB51:AD51" si="700">+AB48</f>
        <v>1554.0441980247715</v>
      </c>
      <c r="AC51" s="21">
        <f t="shared" si="700"/>
        <v>1779.0437973159519</v>
      </c>
      <c r="AD51" s="21">
        <f t="shared" si="700"/>
        <v>2009.5267152443048</v>
      </c>
      <c r="AE51" s="21">
        <f t="shared" ref="AE51" si="701">+AE48</f>
        <v>2254.9300120539519</v>
      </c>
      <c r="AI51" s="22">
        <f>'QTR Raw'!C42</f>
        <v>0</v>
      </c>
      <c r="AJ51" s="22">
        <f>'QTR Raw'!D42</f>
        <v>0</v>
      </c>
      <c r="AK51" s="22">
        <f>'QTR Raw'!E42</f>
        <v>0</v>
      </c>
      <c r="AL51" s="22">
        <f>'QTR Raw'!F42</f>
        <v>0</v>
      </c>
      <c r="AM51" s="22">
        <f>'QTR Raw'!G42</f>
        <v>0</v>
      </c>
      <c r="AN51" s="22">
        <f>'QTR Raw'!H42</f>
        <v>0</v>
      </c>
      <c r="AO51" s="22">
        <f>'QTR Raw'!I42</f>
        <v>0</v>
      </c>
      <c r="AP51" s="22">
        <f>'QTR Raw'!J42</f>
        <v>0</v>
      </c>
      <c r="AQ51" s="22">
        <f>'QTR Raw'!K42</f>
        <v>0</v>
      </c>
      <c r="AR51" s="22">
        <f>'QTR Raw'!L42</f>
        <v>0</v>
      </c>
      <c r="AS51" s="22">
        <f>'QTR Raw'!M42</f>
        <v>0</v>
      </c>
      <c r="AT51" s="22">
        <f>'QTR Raw'!N42</f>
        <v>0</v>
      </c>
      <c r="AU51" s="22">
        <f>'QTR Raw'!O42</f>
        <v>0</v>
      </c>
      <c r="AV51" s="22">
        <f>'QTR Raw'!P42</f>
        <v>93.6</v>
      </c>
      <c r="AW51" s="22">
        <f>'QTR Raw'!Q42</f>
        <v>130.80000000000001</v>
      </c>
      <c r="AX51" s="22">
        <f>'QTR Raw'!R42</f>
        <v>109</v>
      </c>
      <c r="AY51" s="22">
        <f>'QTR Raw'!S42</f>
        <v>108.3</v>
      </c>
      <c r="AZ51" s="22">
        <f>'QTR Raw'!T42</f>
        <v>111.9</v>
      </c>
      <c r="BA51" s="22">
        <f>'QTR Raw'!U42</f>
        <v>108.7</v>
      </c>
      <c r="BB51" s="22">
        <f>'QTR Raw'!V42</f>
        <v>96</v>
      </c>
      <c r="BC51" s="22">
        <f>'QTR Raw'!W42</f>
        <v>98.2</v>
      </c>
      <c r="BD51" s="22">
        <f>'QTR Raw'!X42</f>
        <v>122.7</v>
      </c>
      <c r="BE51" s="22">
        <f>'QTR Raw'!Y42</f>
        <v>126.3</v>
      </c>
      <c r="BF51" s="22">
        <f>'QTR Raw'!Z42</f>
        <v>158.80000000000001</v>
      </c>
      <c r="BG51" s="22">
        <f>'QTR Raw'!AA42</f>
        <v>197.5</v>
      </c>
      <c r="BH51" s="22">
        <f>'QTR Raw'!AB42</f>
        <v>191</v>
      </c>
      <c r="BI51" s="22">
        <f>'QTR Raw'!AC42</f>
        <v>185.6</v>
      </c>
      <c r="BJ51" s="22">
        <f>'QTR Raw'!AD42</f>
        <v>191.5</v>
      </c>
      <c r="BK51" s="22">
        <f>'QTR Raw'!AE42</f>
        <v>203.9</v>
      </c>
      <c r="BL51" s="22">
        <f>'QTR Raw'!AF42</f>
        <v>205.8</v>
      </c>
      <c r="BM51" s="22">
        <f>'QTR Raw'!AG42</f>
        <v>204.1</v>
      </c>
      <c r="BN51" s="22">
        <f>'QTR Raw'!AH42</f>
        <v>204.8</v>
      </c>
      <c r="BO51" s="22">
        <f>'QTR Raw'!AI42</f>
        <v>117.2</v>
      </c>
      <c r="BP51" s="22">
        <f>'QTR Raw'!AJ42</f>
        <v>165.5</v>
      </c>
      <c r="BQ51" s="22">
        <f>'QTR Raw'!AK42</f>
        <v>186.1</v>
      </c>
      <c r="BR51" s="22">
        <f>'QTR Raw'!AL42</f>
        <v>194.5</v>
      </c>
      <c r="BS51" s="22">
        <f>'QTR Raw'!AM42</f>
        <v>216.2</v>
      </c>
      <c r="BT51" s="22">
        <f>'QTR Raw'!AN42</f>
        <v>230</v>
      </c>
      <c r="BU51" s="22">
        <f>'QTR Raw'!AO42</f>
        <v>248.8</v>
      </c>
      <c r="BV51" s="22">
        <f>'QTR Raw'!AP42</f>
        <v>262</v>
      </c>
      <c r="BW51" s="22">
        <f>'QTR Raw'!AQ42</f>
        <v>275.39999999999998</v>
      </c>
      <c r="BX51" s="22">
        <f>'QTR Raw'!AR42</f>
        <v>299.89999999999998</v>
      </c>
      <c r="BY51" s="22">
        <f>'QTR Raw'!AS42</f>
        <v>296.8</v>
      </c>
      <c r="BZ51" s="22">
        <f>'QTR Raw'!AT42</f>
        <v>340.1</v>
      </c>
      <c r="CA51" s="22">
        <f>'QTR Raw'!AU42</f>
        <v>311.10000000000002</v>
      </c>
      <c r="CB51" s="22">
        <f>'QTR Raw'!AV42</f>
        <v>315.39999999999998</v>
      </c>
      <c r="CC51" s="22">
        <f>'QTR Raw'!AW42</f>
        <v>336.2</v>
      </c>
      <c r="CD51" s="22">
        <f>'QTR Raw'!AX42</f>
        <v>340.9</v>
      </c>
      <c r="CE51" s="22">
        <f>'QTR Raw'!AY42</f>
        <v>313.60000000000002</v>
      </c>
      <c r="CF51" s="22">
        <f>'QTR Raw'!AZ42</f>
        <v>319.60000000000002</v>
      </c>
      <c r="CG51" s="22">
        <f>'QTR Raw'!BA42</f>
        <v>322.39999999999998</v>
      </c>
      <c r="CH51" s="22">
        <f>'QTR Raw'!BB42</f>
        <v>311.10000000000002</v>
      </c>
      <c r="CI51" s="22">
        <f>'QTR Raw'!BC42</f>
        <v>315.7</v>
      </c>
      <c r="CJ51" s="22">
        <f>'QTR Raw'!BD42</f>
        <v>328.7</v>
      </c>
      <c r="CK51" s="22">
        <f>'QTR Raw'!BE42</f>
        <v>302.60000000000002</v>
      </c>
      <c r="CL51" s="22">
        <f>'QTR Raw'!BF42</f>
        <v>332.1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1279.2</v>
      </c>
    </row>
    <row r="52" spans="1:110" s="25" customFormat="1" x14ac:dyDescent="0.2">
      <c r="A52" s="36" t="s">
        <v>435</v>
      </c>
      <c r="B52" s="25">
        <f t="shared" ref="B52:V52" si="702">B51-B48</f>
        <v>0</v>
      </c>
      <c r="C52" s="25">
        <f>C51-C48</f>
        <v>0</v>
      </c>
      <c r="D52" s="25">
        <f t="shared" si="702"/>
        <v>0</v>
      </c>
      <c r="E52" s="25">
        <f t="shared" si="702"/>
        <v>0</v>
      </c>
      <c r="F52" s="25">
        <f t="shared" si="702"/>
        <v>0</v>
      </c>
      <c r="G52" s="25">
        <f t="shared" si="702"/>
        <v>0</v>
      </c>
      <c r="H52" s="25">
        <f t="shared" si="702"/>
        <v>0</v>
      </c>
      <c r="I52" s="25">
        <f t="shared" si="702"/>
        <v>0</v>
      </c>
      <c r="J52" s="25">
        <f t="shared" si="702"/>
        <v>0</v>
      </c>
      <c r="K52" s="25">
        <f t="shared" si="702"/>
        <v>0</v>
      </c>
      <c r="L52" s="25">
        <f t="shared" si="702"/>
        <v>0</v>
      </c>
      <c r="M52" s="25">
        <f t="shared" si="702"/>
        <v>0</v>
      </c>
      <c r="N52" s="25">
        <f t="shared" si="702"/>
        <v>0</v>
      </c>
      <c r="O52" s="25">
        <f t="shared" si="702"/>
        <v>0</v>
      </c>
      <c r="P52" s="25">
        <f t="shared" si="702"/>
        <v>0</v>
      </c>
      <c r="Q52" s="25">
        <f t="shared" si="702"/>
        <v>0</v>
      </c>
      <c r="R52" s="25">
        <f t="shared" si="702"/>
        <v>0</v>
      </c>
      <c r="S52" s="25">
        <f t="shared" si="702"/>
        <v>0</v>
      </c>
      <c r="T52" s="25">
        <f t="shared" si="702"/>
        <v>0</v>
      </c>
      <c r="U52" s="25">
        <f t="shared" si="702"/>
        <v>0</v>
      </c>
      <c r="V52" s="25">
        <f t="shared" si="702"/>
        <v>0</v>
      </c>
      <c r="W52" s="25">
        <f t="shared" ref="W52" si="703">W51-W48</f>
        <v>0</v>
      </c>
      <c r="X52" s="25">
        <f t="shared" ref="X52:Y52" si="704">X51-X48</f>
        <v>0</v>
      </c>
      <c r="Y52" s="25">
        <f t="shared" si="704"/>
        <v>0</v>
      </c>
      <c r="Z52" s="25">
        <f t="shared" ref="Z52:AA52" si="705">Z51-Z48</f>
        <v>0</v>
      </c>
      <c r="AA52" s="25">
        <f t="shared" si="705"/>
        <v>0</v>
      </c>
      <c r="AB52" s="17">
        <f t="shared" ref="AB52:AD52" si="706">AB51-AB48</f>
        <v>0</v>
      </c>
      <c r="AC52" s="17">
        <f t="shared" si="706"/>
        <v>0</v>
      </c>
      <c r="AD52" s="17">
        <f t="shared" si="706"/>
        <v>0</v>
      </c>
      <c r="AE52" s="17">
        <f t="shared" ref="AE52" si="707">AE51-AE48</f>
        <v>0</v>
      </c>
      <c r="AI52" s="25">
        <f t="shared" ref="AI52" si="708">AI51-AI48</f>
        <v>0</v>
      </c>
      <c r="AJ52" s="25">
        <f t="shared" ref="AJ52" si="709">AJ51-AJ48</f>
        <v>0</v>
      </c>
      <c r="AK52" s="25">
        <f t="shared" ref="AK52:AM52" si="710">AK51-AK48</f>
        <v>0</v>
      </c>
      <c r="AL52" s="25">
        <f t="shared" si="710"/>
        <v>0</v>
      </c>
      <c r="AM52" s="25">
        <f t="shared" si="710"/>
        <v>0</v>
      </c>
      <c r="AN52" s="25">
        <f t="shared" ref="AN52:AO52" si="711">AN51-AN48</f>
        <v>0</v>
      </c>
      <c r="AO52" s="25">
        <f t="shared" si="711"/>
        <v>0</v>
      </c>
      <c r="AP52" s="25">
        <f t="shared" ref="AP52:CD52" si="712">AP51-AP48</f>
        <v>0</v>
      </c>
      <c r="AQ52" s="25">
        <f t="shared" si="712"/>
        <v>0</v>
      </c>
      <c r="AR52" s="25">
        <f t="shared" si="712"/>
        <v>0</v>
      </c>
      <c r="AS52" s="25">
        <f t="shared" si="712"/>
        <v>0</v>
      </c>
      <c r="AT52" s="25">
        <f t="shared" si="712"/>
        <v>0</v>
      </c>
      <c r="AU52" s="25">
        <f t="shared" si="712"/>
        <v>0</v>
      </c>
      <c r="AV52" s="25">
        <f t="shared" si="712"/>
        <v>0</v>
      </c>
      <c r="AW52" s="25">
        <f t="shared" si="712"/>
        <v>0</v>
      </c>
      <c r="AX52" s="25">
        <f t="shared" si="712"/>
        <v>0</v>
      </c>
      <c r="AY52" s="25">
        <f t="shared" si="712"/>
        <v>0</v>
      </c>
      <c r="AZ52" s="25">
        <f t="shared" si="712"/>
        <v>0</v>
      </c>
      <c r="BA52" s="25">
        <f t="shared" si="712"/>
        <v>0</v>
      </c>
      <c r="BB52" s="25">
        <f t="shared" si="712"/>
        <v>0</v>
      </c>
      <c r="BC52" s="25">
        <f t="shared" si="712"/>
        <v>0</v>
      </c>
      <c r="BD52" s="25">
        <f t="shared" si="712"/>
        <v>0</v>
      </c>
      <c r="BE52" s="25">
        <f t="shared" si="712"/>
        <v>0</v>
      </c>
      <c r="BF52" s="25">
        <f t="shared" si="712"/>
        <v>0</v>
      </c>
      <c r="BG52" s="25">
        <f t="shared" si="712"/>
        <v>0</v>
      </c>
      <c r="BH52" s="25">
        <f t="shared" si="712"/>
        <v>0</v>
      </c>
      <c r="BI52" s="25">
        <f t="shared" si="712"/>
        <v>0</v>
      </c>
      <c r="BJ52" s="25">
        <f t="shared" si="712"/>
        <v>0</v>
      </c>
      <c r="BK52" s="25">
        <f t="shared" si="712"/>
        <v>0</v>
      </c>
      <c r="BL52" s="25">
        <f t="shared" si="712"/>
        <v>2.2737367544323206E-13</v>
      </c>
      <c r="BM52" s="25">
        <f t="shared" si="712"/>
        <v>-2.5579538487363607E-13</v>
      </c>
      <c r="BN52" s="25">
        <f t="shared" si="712"/>
        <v>2.8421709430404007E-13</v>
      </c>
      <c r="BO52" s="25">
        <f t="shared" si="712"/>
        <v>0</v>
      </c>
      <c r="BP52" s="25">
        <f t="shared" si="712"/>
        <v>0</v>
      </c>
      <c r="BQ52" s="25">
        <f t="shared" si="712"/>
        <v>0</v>
      </c>
      <c r="BR52" s="25">
        <f t="shared" si="712"/>
        <v>0</v>
      </c>
      <c r="BS52" s="25">
        <f t="shared" si="712"/>
        <v>-2.8421709430404007E-13</v>
      </c>
      <c r="BT52" s="25">
        <f t="shared" si="712"/>
        <v>0</v>
      </c>
      <c r="BU52" s="25">
        <f t="shared" si="712"/>
        <v>0</v>
      </c>
      <c r="BV52" s="25">
        <f t="shared" si="712"/>
        <v>0</v>
      </c>
      <c r="BW52" s="25">
        <f t="shared" si="712"/>
        <v>0</v>
      </c>
      <c r="BX52" s="25">
        <f t="shared" si="712"/>
        <v>0</v>
      </c>
      <c r="BY52" s="25">
        <f t="shared" si="712"/>
        <v>0</v>
      </c>
      <c r="BZ52" s="25">
        <f t="shared" si="712"/>
        <v>0</v>
      </c>
      <c r="CA52" s="25">
        <f t="shared" si="712"/>
        <v>0</v>
      </c>
      <c r="CB52" s="25">
        <f t="shared" si="712"/>
        <v>0</v>
      </c>
      <c r="CC52" s="25">
        <f t="shared" si="712"/>
        <v>0</v>
      </c>
      <c r="CD52" s="25">
        <f t="shared" si="712"/>
        <v>0</v>
      </c>
      <c r="CE52" s="25">
        <f t="shared" ref="CE52:CF52" si="713">CE51-CE48</f>
        <v>0</v>
      </c>
      <c r="CF52" s="25">
        <f t="shared" si="713"/>
        <v>0</v>
      </c>
      <c r="CG52" s="25">
        <f t="shared" ref="CG52:CH52" si="714">CG51-CG48</f>
        <v>0</v>
      </c>
      <c r="CH52" s="25">
        <f t="shared" si="714"/>
        <v>0</v>
      </c>
      <c r="CI52" s="25">
        <f t="shared" ref="CI52:CJ52" si="715">CI51-CI48</f>
        <v>0</v>
      </c>
      <c r="CJ52" s="25">
        <f t="shared" si="715"/>
        <v>0</v>
      </c>
      <c r="CK52" s="25">
        <f t="shared" ref="CK52:CL52" si="716">CK51-CK48</f>
        <v>0</v>
      </c>
      <c r="CL52" s="25">
        <f t="shared" si="716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17">(B48-B47)/B120</f>
        <v>#DIV/0!</v>
      </c>
      <c r="C54" s="39" t="e">
        <f t="shared" si="717"/>
        <v>#DIV/0!</v>
      </c>
      <c r="D54" s="39" t="e">
        <f t="shared" si="717"/>
        <v>#DIV/0!</v>
      </c>
      <c r="E54" s="39" t="e">
        <f t="shared" si="717"/>
        <v>#DIV/0!</v>
      </c>
      <c r="F54" s="39" t="e">
        <f t="shared" si="717"/>
        <v>#DIV/0!</v>
      </c>
      <c r="G54" s="39" t="e">
        <f t="shared" si="717"/>
        <v>#DIV/0!</v>
      </c>
      <c r="H54" s="39" t="e">
        <f t="shared" si="717"/>
        <v>#DIV/0!</v>
      </c>
      <c r="I54" s="39" t="e">
        <f t="shared" si="717"/>
        <v>#DIV/0!</v>
      </c>
      <c r="J54" s="39" t="e">
        <f t="shared" si="717"/>
        <v>#DIV/0!</v>
      </c>
      <c r="K54" s="39" t="e">
        <f t="shared" si="717"/>
        <v>#DIV/0!</v>
      </c>
      <c r="L54" s="39" t="e">
        <f t="shared" si="717"/>
        <v>#DIV/0!</v>
      </c>
      <c r="M54" s="39" t="e">
        <f t="shared" si="717"/>
        <v>#DIV/0!</v>
      </c>
      <c r="N54" s="39">
        <f t="shared" si="717"/>
        <v>-6.3829787234042548E-2</v>
      </c>
      <c r="O54" s="39">
        <f t="shared" si="717"/>
        <v>1.2814907693069141E-2</v>
      </c>
      <c r="P54" s="39">
        <f t="shared" si="717"/>
        <v>0.29549772695518428</v>
      </c>
      <c r="Q54" s="39">
        <f t="shared" si="717"/>
        <v>0.39311509239283343</v>
      </c>
      <c r="R54" s="39">
        <f t="shared" si="717"/>
        <v>0.28601238556812064</v>
      </c>
      <c r="S54" s="39">
        <f t="shared" si="717"/>
        <v>0.26130964676719692</v>
      </c>
      <c r="T54" s="39">
        <f t="shared" si="717"/>
        <v>0.30882174982856658</v>
      </c>
      <c r="U54" s="39">
        <f t="shared" si="717"/>
        <v>0.29567290327241191</v>
      </c>
      <c r="V54" s="39">
        <f t="shared" si="717"/>
        <v>0.19098211972013482</v>
      </c>
      <c r="W54" s="39">
        <f t="shared" si="717"/>
        <v>0.22990990990990975</v>
      </c>
      <c r="X54" s="39">
        <f t="shared" si="717"/>
        <v>0.27330943200523161</v>
      </c>
      <c r="Y54" s="39">
        <f t="shared" si="717"/>
        <v>0.24472977792795311</v>
      </c>
      <c r="Z54" s="39">
        <f t="shared" si="717"/>
        <v>0.19623355263157896</v>
      </c>
      <c r="AA54" s="39">
        <f t="shared" ref="AA54" si="718">(AA48-AA47)/AA120</f>
        <v>0.20092079039658878</v>
      </c>
      <c r="AB54" s="40">
        <f t="shared" si="717"/>
        <v>0.19360828745572731</v>
      </c>
      <c r="AC54" s="40">
        <f t="shared" si="717"/>
        <v>0.18142792788925016</v>
      </c>
      <c r="AD54" s="40">
        <f t="shared" si="717"/>
        <v>0.17007813710150455</v>
      </c>
      <c r="AE54" s="40">
        <f t="shared" si="717"/>
        <v>0.16026231643475083</v>
      </c>
      <c r="AF54" s="39"/>
      <c r="AG54" s="39"/>
      <c r="AH54" s="39"/>
      <c r="AI54" s="39"/>
      <c r="AJ54" s="39"/>
      <c r="AK54" s="39"/>
      <c r="AL54" s="39" t="e">
        <f t="shared" ref="AL54:BQ54" si="719">(SUM(AI48:AL48)-SUM(AI47:AL47))/AL120</f>
        <v>#DIV/0!</v>
      </c>
      <c r="AM54" s="39" t="e">
        <f t="shared" si="719"/>
        <v>#DIV/0!</v>
      </c>
      <c r="AN54" s="39" t="e">
        <f t="shared" si="719"/>
        <v>#DIV/0!</v>
      </c>
      <c r="AO54" s="39" t="e">
        <f t="shared" si="719"/>
        <v>#DIV/0!</v>
      </c>
      <c r="AP54" s="39" t="e">
        <f t="shared" si="719"/>
        <v>#DIV/0!</v>
      </c>
      <c r="AQ54" s="39" t="e">
        <f t="shared" si="719"/>
        <v>#DIV/0!</v>
      </c>
      <c r="AR54" s="39" t="e">
        <f t="shared" si="719"/>
        <v>#DIV/0!</v>
      </c>
      <c r="AS54" s="39" t="e">
        <f t="shared" si="719"/>
        <v>#DIV/0!</v>
      </c>
      <c r="AT54" s="39" t="e">
        <f t="shared" si="719"/>
        <v>#DIV/0!</v>
      </c>
      <c r="AU54" s="39" t="e">
        <f t="shared" si="719"/>
        <v>#DIV/0!</v>
      </c>
      <c r="AV54" s="39" t="e">
        <f t="shared" si="719"/>
        <v>#DIV/0!</v>
      </c>
      <c r="AW54" s="39">
        <f t="shared" si="719"/>
        <v>1.7155963302752291</v>
      </c>
      <c r="AX54" s="39">
        <f t="shared" si="719"/>
        <v>0.31272863708845322</v>
      </c>
      <c r="AY54" s="39">
        <f t="shared" si="719"/>
        <v>0.37610694822888274</v>
      </c>
      <c r="AZ54" s="39">
        <f t="shared" si="719"/>
        <v>0.37751333606893733</v>
      </c>
      <c r="BA54" s="39">
        <f t="shared" si="719"/>
        <v>0.32994273658830625</v>
      </c>
      <c r="BB54" s="39">
        <f t="shared" si="719"/>
        <v>0.28601238556812053</v>
      </c>
      <c r="BC54" s="39">
        <f t="shared" si="719"/>
        <v>0.26190175527213022</v>
      </c>
      <c r="BD54" s="39">
        <f t="shared" si="719"/>
        <v>0.25129900803023131</v>
      </c>
      <c r="BE54" s="39">
        <f t="shared" si="719"/>
        <v>0.24352986427825696</v>
      </c>
      <c r="BF54" s="39">
        <f t="shared" si="719"/>
        <v>0.26130964676719681</v>
      </c>
      <c r="BG54" s="39">
        <f t="shared" si="719"/>
        <v>0.28365902807066867</v>
      </c>
      <c r="BH54" s="39">
        <f t="shared" si="719"/>
        <v>0.33789816904941061</v>
      </c>
      <c r="BI54" s="39">
        <f t="shared" si="719"/>
        <v>0.33633151300995823</v>
      </c>
      <c r="BJ54" s="39">
        <f t="shared" si="719"/>
        <v>0.30882174982856675</v>
      </c>
      <c r="BK54" s="39">
        <f t="shared" si="719"/>
        <v>0.28773760715616842</v>
      </c>
      <c r="BL54" s="39">
        <f t="shared" si="719"/>
        <v>0.29864115994837914</v>
      </c>
      <c r="BM54" s="39">
        <f t="shared" si="719"/>
        <v>0.28368619438475351</v>
      </c>
      <c r="BN54" s="39">
        <f t="shared" si="719"/>
        <v>0.29567290327241197</v>
      </c>
      <c r="BO54" s="39">
        <f t="shared" si="719"/>
        <v>0.2536211795689236</v>
      </c>
      <c r="BP54" s="39">
        <f t="shared" si="719"/>
        <v>0.22332009428783625</v>
      </c>
      <c r="BQ54" s="39">
        <f t="shared" si="719"/>
        <v>0.20517819067925674</v>
      </c>
      <c r="BR54" s="39">
        <f t="shared" ref="BR54:CW54" si="720">(SUM(BO48:BR48)-SUM(BO47:BR47))/BR120</f>
        <v>0.19098211972013476</v>
      </c>
      <c r="BS54" s="39">
        <f t="shared" si="720"/>
        <v>0.20662456292521619</v>
      </c>
      <c r="BT54" s="39">
        <f t="shared" si="720"/>
        <v>0.21684851028115826</v>
      </c>
      <c r="BU54" s="39">
        <f t="shared" si="720"/>
        <v>0.21900236360055153</v>
      </c>
      <c r="BV54" s="39">
        <f t="shared" si="720"/>
        <v>0.22990990990990998</v>
      </c>
      <c r="BW54" s="39">
        <f t="shared" si="720"/>
        <v>0.22898217625453482</v>
      </c>
      <c r="BX54" s="39">
        <f t="shared" si="720"/>
        <v>0.24394133369269813</v>
      </c>
      <c r="BY54" s="39">
        <f t="shared" si="720"/>
        <v>0.23880314164789115</v>
      </c>
      <c r="BZ54" s="39">
        <f t="shared" si="720"/>
        <v>0.27333198042796897</v>
      </c>
      <c r="CA54" s="39">
        <f t="shared" si="720"/>
        <v>0.26293721028234296</v>
      </c>
      <c r="CB54" s="39">
        <f t="shared" si="720"/>
        <v>0.26381290457297973</v>
      </c>
      <c r="CC54" s="39">
        <f t="shared" si="720"/>
        <v>0.2541949582455319</v>
      </c>
      <c r="CD54" s="39">
        <f t="shared" si="720"/>
        <v>0.24471100598824885</v>
      </c>
      <c r="CE54" s="39">
        <f t="shared" si="720"/>
        <v>0.23154927579910298</v>
      </c>
      <c r="CF54" s="39">
        <f t="shared" si="720"/>
        <v>0.23316606164139803</v>
      </c>
      <c r="CG54" s="39">
        <f t="shared" si="720"/>
        <v>0.21819252776842818</v>
      </c>
      <c r="CH54" s="39">
        <f t="shared" si="720"/>
        <v>0.20328947368421052</v>
      </c>
      <c r="CI54" s="39">
        <f t="shared" si="720"/>
        <v>0.19358318870491115</v>
      </c>
      <c r="CJ54" s="39">
        <f t="shared" si="720"/>
        <v>0.20151882371950236</v>
      </c>
      <c r="CK54" s="39">
        <f t="shared" si="720"/>
        <v>0.19452831351284749</v>
      </c>
      <c r="CL54" s="39">
        <f t="shared" si="720"/>
        <v>0.20683795015990247</v>
      </c>
      <c r="CM54" s="40">
        <f t="shared" si="720"/>
        <v>0.20516200324476749</v>
      </c>
      <c r="CN54" s="40">
        <f t="shared" si="720"/>
        <v>0.20283361085984447</v>
      </c>
      <c r="CO54" s="40">
        <f t="shared" si="720"/>
        <v>0.19947328268122472</v>
      </c>
      <c r="CP54" s="40">
        <f t="shared" si="720"/>
        <v>0.19360828745572747</v>
      </c>
      <c r="CQ54" s="40">
        <f t="shared" si="720"/>
        <v>0.190342060832559</v>
      </c>
      <c r="CR54" s="40">
        <f t="shared" si="720"/>
        <v>0.18765595025426332</v>
      </c>
      <c r="CS54" s="40">
        <f t="shared" si="720"/>
        <v>0.18441343380785127</v>
      </c>
      <c r="CT54" s="40">
        <f t="shared" si="720"/>
        <v>0.18142792788925011</v>
      </c>
      <c r="CU54" s="40">
        <f t="shared" si="720"/>
        <v>0.1783198169692366</v>
      </c>
      <c r="CV54" s="40">
        <f t="shared" si="720"/>
        <v>0.17531866191667483</v>
      </c>
      <c r="CW54" s="40">
        <f t="shared" si="720"/>
        <v>0.17254544354179399</v>
      </c>
      <c r="CX54" s="40">
        <f t="shared" ref="CX54:DB54" si="721">(SUM(CU48:CX48)-SUM(CU47:CX47))/CX120</f>
        <v>0.1700781371015046</v>
      </c>
      <c r="CY54" s="40">
        <f t="shared" si="721"/>
        <v>0.16733006571852527</v>
      </c>
      <c r="CZ54" s="40">
        <f t="shared" si="721"/>
        <v>0.16469376420612902</v>
      </c>
      <c r="DA54" s="40">
        <f t="shared" si="721"/>
        <v>0.16235551567675149</v>
      </c>
      <c r="DB54" s="40">
        <f t="shared" si="721"/>
        <v>0.16026231643475083</v>
      </c>
      <c r="DE54" s="122"/>
      <c r="DF54" s="38">
        <v>0.20092079039658878</v>
      </c>
    </row>
    <row r="55" spans="1:110" s="38" customFormat="1" x14ac:dyDescent="0.2">
      <c r="A55" s="38" t="s">
        <v>351</v>
      </c>
      <c r="B55" s="39" t="e">
        <f t="shared" ref="B55:AE55" si="722">+B34/B129</f>
        <v>#DIV/0!</v>
      </c>
      <c r="C55" s="39" t="e">
        <f t="shared" si="722"/>
        <v>#DIV/0!</v>
      </c>
      <c r="D55" s="39" t="e">
        <f t="shared" si="722"/>
        <v>#DIV/0!</v>
      </c>
      <c r="E55" s="39" t="e">
        <f t="shared" si="722"/>
        <v>#DIV/0!</v>
      </c>
      <c r="F55" s="39" t="e">
        <f t="shared" si="722"/>
        <v>#DIV/0!</v>
      </c>
      <c r="G55" s="39" t="e">
        <f t="shared" si="722"/>
        <v>#DIV/0!</v>
      </c>
      <c r="H55" s="39" t="e">
        <f t="shared" si="722"/>
        <v>#DIV/0!</v>
      </c>
      <c r="I55" s="39" t="e">
        <f t="shared" si="722"/>
        <v>#DIV/0!</v>
      </c>
      <c r="J55" s="39" t="e">
        <f t="shared" si="722"/>
        <v>#DIV/0!</v>
      </c>
      <c r="K55" s="39" t="e">
        <f t="shared" si="722"/>
        <v>#DIV/0!</v>
      </c>
      <c r="L55" s="39" t="e">
        <f t="shared" si="722"/>
        <v>#DIV/0!</v>
      </c>
      <c r="M55" s="39" t="e">
        <f t="shared" si="722"/>
        <v>#DIV/0!</v>
      </c>
      <c r="N55" s="39">
        <f t="shared" si="722"/>
        <v>-6.3829787234042548E-2</v>
      </c>
      <c r="O55" s="39">
        <f t="shared" si="722"/>
        <v>2.7091911220391642E-2</v>
      </c>
      <c r="P55" s="39">
        <f t="shared" si="722"/>
        <v>0.27561410107311285</v>
      </c>
      <c r="Q55" s="39">
        <f t="shared" si="722"/>
        <v>0.36515740226786114</v>
      </c>
      <c r="R55" s="39">
        <f t="shared" si="722"/>
        <v>0.31623716211958924</v>
      </c>
      <c r="S55" s="39">
        <f t="shared" si="722"/>
        <v>0.23623498928696005</v>
      </c>
      <c r="T55" s="39">
        <f t="shared" si="722"/>
        <v>0.31750509324557263</v>
      </c>
      <c r="U55" s="39">
        <f t="shared" si="722"/>
        <v>0.32985244849953649</v>
      </c>
      <c r="V55" s="39">
        <f t="shared" si="722"/>
        <v>0.21488860817638961</v>
      </c>
      <c r="W55" s="39">
        <f t="shared" si="722"/>
        <v>0.2796082563095636</v>
      </c>
      <c r="X55" s="39">
        <f t="shared" si="722"/>
        <v>0.33968874216802569</v>
      </c>
      <c r="Y55" s="39">
        <f t="shared" si="722"/>
        <v>0.30590149220240082</v>
      </c>
      <c r="Z55" s="39">
        <f t="shared" si="722"/>
        <v>0.24328003280032801</v>
      </c>
      <c r="AA55" s="39">
        <f t="shared" ref="AA55" si="723">+AA34/AA129</f>
        <v>0.24104309787129177</v>
      </c>
      <c r="AB55" s="40">
        <f t="shared" si="722"/>
        <v>0.23352129114596745</v>
      </c>
      <c r="AC55" s="40">
        <f t="shared" si="722"/>
        <v>0.21259514370224569</v>
      </c>
      <c r="AD55" s="40">
        <f t="shared" si="722"/>
        <v>0.1940677691583825</v>
      </c>
      <c r="AE55" s="40">
        <f t="shared" si="722"/>
        <v>0.17834490760117311</v>
      </c>
      <c r="AF55" s="39"/>
      <c r="AG55" s="39"/>
      <c r="AH55" s="39"/>
      <c r="AI55" s="39"/>
      <c r="AJ55" s="39"/>
      <c r="AK55" s="39"/>
      <c r="AL55" s="39" t="e">
        <f t="shared" ref="AL55:BQ55" si="724">+SUM(AI34:AL34)/AL129</f>
        <v>#DIV/0!</v>
      </c>
      <c r="AM55" s="39" t="e">
        <f t="shared" si="724"/>
        <v>#DIV/0!</v>
      </c>
      <c r="AN55" s="39" t="e">
        <f t="shared" si="724"/>
        <v>#DIV/0!</v>
      </c>
      <c r="AO55" s="39" t="e">
        <f t="shared" si="724"/>
        <v>#DIV/0!</v>
      </c>
      <c r="AP55" s="39" t="e">
        <f t="shared" si="724"/>
        <v>#DIV/0!</v>
      </c>
      <c r="AQ55" s="39" t="e">
        <f t="shared" si="724"/>
        <v>#DIV/0!</v>
      </c>
      <c r="AR55" s="39" t="e">
        <f t="shared" si="724"/>
        <v>#DIV/0!</v>
      </c>
      <c r="AS55" s="39" t="e">
        <f t="shared" si="724"/>
        <v>#DIV/0!</v>
      </c>
      <c r="AT55" s="39" t="e">
        <f t="shared" si="724"/>
        <v>#DIV/0!</v>
      </c>
      <c r="AU55" s="39" t="e">
        <f t="shared" si="724"/>
        <v>#DIV/0!</v>
      </c>
      <c r="AV55" s="39" t="e">
        <f t="shared" si="724"/>
        <v>#DIV/0!</v>
      </c>
      <c r="AW55" s="39">
        <f t="shared" si="724"/>
        <v>1.8960244648318039</v>
      </c>
      <c r="AX55" s="39">
        <f t="shared" si="724"/>
        <v>0.29775592736499884</v>
      </c>
      <c r="AY55" s="39">
        <f t="shared" si="724"/>
        <v>0.37001606543011534</v>
      </c>
      <c r="AZ55" s="39">
        <f t="shared" si="724"/>
        <v>0.39156932453021842</v>
      </c>
      <c r="BA55" s="39">
        <f t="shared" si="724"/>
        <v>0.35682582380632144</v>
      </c>
      <c r="BB55" s="39">
        <f t="shared" si="724"/>
        <v>0.32953185054501916</v>
      </c>
      <c r="BC55" s="39">
        <f t="shared" si="724"/>
        <v>0.2984631816293834</v>
      </c>
      <c r="BD55" s="39">
        <f t="shared" si="724"/>
        <v>0.26593876879183564</v>
      </c>
      <c r="BE55" s="39">
        <f t="shared" si="724"/>
        <v>0.25034634922263832</v>
      </c>
      <c r="BF55" s="39">
        <f t="shared" si="724"/>
        <v>0.24256315710797741</v>
      </c>
      <c r="BG55" s="39">
        <f t="shared" si="724"/>
        <v>0.24755035383777899</v>
      </c>
      <c r="BH55" s="39">
        <f t="shared" si="724"/>
        <v>0.30403465226067072</v>
      </c>
      <c r="BI55" s="39">
        <f t="shared" si="724"/>
        <v>0.31625228764004826</v>
      </c>
      <c r="BJ55" s="39">
        <f t="shared" si="724"/>
        <v>0.31754427205767122</v>
      </c>
      <c r="BK55" s="39">
        <f t="shared" si="724"/>
        <v>0.3157493741610129</v>
      </c>
      <c r="BL55" s="39">
        <f t="shared" si="724"/>
        <v>0.34023324708441133</v>
      </c>
      <c r="BM55" s="39">
        <f t="shared" si="724"/>
        <v>0.32346384283126645</v>
      </c>
      <c r="BN55" s="39">
        <f t="shared" si="724"/>
        <v>0.33060089813956789</v>
      </c>
      <c r="BO55" s="39">
        <f t="shared" si="724"/>
        <v>0.29230242901128967</v>
      </c>
      <c r="BP55" s="39">
        <f t="shared" si="724"/>
        <v>0.25381180223285488</v>
      </c>
      <c r="BQ55" s="39">
        <f t="shared" si="724"/>
        <v>0.23179067176537893</v>
      </c>
      <c r="BR55" s="39">
        <f t="shared" ref="BR55:CW55" si="725">+SUM(BO34:BR34)/BR129</f>
        <v>0.22654455672944424</v>
      </c>
      <c r="BS55" s="39">
        <f t="shared" si="725"/>
        <v>0.24185002973455161</v>
      </c>
      <c r="BT55" s="39">
        <f t="shared" si="725"/>
        <v>0.26434136903205568</v>
      </c>
      <c r="BU55" s="39">
        <f t="shared" si="725"/>
        <v>0.27303972111749403</v>
      </c>
      <c r="BV55" s="39">
        <f t="shared" si="725"/>
        <v>0.28746228628897097</v>
      </c>
      <c r="BW55" s="39">
        <f t="shared" si="725"/>
        <v>0.28908706981759374</v>
      </c>
      <c r="BX55" s="39">
        <f t="shared" si="725"/>
        <v>0.30640612409347301</v>
      </c>
      <c r="BY55" s="39">
        <f t="shared" si="725"/>
        <v>0.30039459323314577</v>
      </c>
      <c r="BZ55" s="39">
        <f t="shared" si="725"/>
        <v>0.34296750432302531</v>
      </c>
      <c r="CA55" s="39">
        <f t="shared" si="725"/>
        <v>0.33037363560033572</v>
      </c>
      <c r="CB55" s="39">
        <f t="shared" si="725"/>
        <v>0.33336799417697827</v>
      </c>
      <c r="CC55" s="39">
        <f t="shared" si="725"/>
        <v>0.31926059828561426</v>
      </c>
      <c r="CD55" s="39">
        <f t="shared" si="725"/>
        <v>0.30803320991809724</v>
      </c>
      <c r="CE55" s="39">
        <f t="shared" si="725"/>
        <v>0.28888614123714984</v>
      </c>
      <c r="CF55" s="39">
        <f t="shared" si="725"/>
        <v>0.28642592494105557</v>
      </c>
      <c r="CG55" s="39">
        <f t="shared" si="725"/>
        <v>0.27189643318296919</v>
      </c>
      <c r="CH55" s="39">
        <f t="shared" si="725"/>
        <v>0.25338253382533826</v>
      </c>
      <c r="CI55" s="39">
        <f t="shared" si="725"/>
        <v>0.24055073910060504</v>
      </c>
      <c r="CJ55" s="39">
        <f t="shared" si="725"/>
        <v>0.25021748235976421</v>
      </c>
      <c r="CK55" s="39">
        <f t="shared" si="725"/>
        <v>0.23938556067588337</v>
      </c>
      <c r="CL55" s="39">
        <f t="shared" si="725"/>
        <v>0.25284187178460316</v>
      </c>
      <c r="CM55" s="40">
        <f t="shared" si="725"/>
        <v>0.25204967504449682</v>
      </c>
      <c r="CN55" s="40">
        <f t="shared" si="725"/>
        <v>0.24945578357544954</v>
      </c>
      <c r="CO55" s="40">
        <f t="shared" si="725"/>
        <v>0.24229140431000679</v>
      </c>
      <c r="CP55" s="40">
        <f t="shared" si="725"/>
        <v>0.23352129114596762</v>
      </c>
      <c r="CQ55" s="40">
        <f t="shared" si="725"/>
        <v>0.22765548851106004</v>
      </c>
      <c r="CR55" s="40">
        <f t="shared" si="725"/>
        <v>0.22290547014723386</v>
      </c>
      <c r="CS55" s="40">
        <f t="shared" si="725"/>
        <v>0.21763702400090654</v>
      </c>
      <c r="CT55" s="40">
        <f t="shared" si="725"/>
        <v>0.21259514370224564</v>
      </c>
      <c r="CU55" s="40">
        <f t="shared" si="725"/>
        <v>0.20752110632296519</v>
      </c>
      <c r="CV55" s="40">
        <f t="shared" si="725"/>
        <v>0.20271894663478385</v>
      </c>
      <c r="CW55" s="40">
        <f t="shared" si="725"/>
        <v>0.19821183672867493</v>
      </c>
      <c r="CX55" s="40">
        <f t="shared" ref="CX55:DB55" si="726">+SUM(CU34:CX34)/CX129</f>
        <v>0.19406776915838259</v>
      </c>
      <c r="CY55" s="40">
        <f t="shared" si="726"/>
        <v>0.18973166933475857</v>
      </c>
      <c r="CZ55" s="40">
        <f t="shared" si="726"/>
        <v>0.18560328442536053</v>
      </c>
      <c r="DA55" s="40">
        <f t="shared" si="726"/>
        <v>0.18182834707611722</v>
      </c>
      <c r="DB55" s="40">
        <f t="shared" si="726"/>
        <v>0.17834490760117308</v>
      </c>
      <c r="DE55" s="122"/>
      <c r="DF55" s="38">
        <v>0.24104309787129177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0</v>
      </c>
      <c r="O58" s="9">
        <f>O10-SUM(AM10:AP10)</f>
        <v>126.17</v>
      </c>
      <c r="P58" s="9">
        <f>P10-SUM(AQ10:AT10)</f>
        <v>2618.627</v>
      </c>
      <c r="Q58" s="9">
        <f>Q10-SUM(AU10:AX10)</f>
        <v>712.99999999999955</v>
      </c>
      <c r="R58" s="9">
        <f>R10-SUM(AY10:BB10)</f>
        <v>0</v>
      </c>
      <c r="S58" s="9">
        <f>S10-SUM(BC10:BF10)</f>
        <v>0</v>
      </c>
      <c r="T58" s="9">
        <f>T10-SUM(BG10:BJ10)</f>
        <v>0</v>
      </c>
      <c r="U58" s="9">
        <f>U10-SUM(BK10:BN10)</f>
        <v>0</v>
      </c>
      <c r="V58" s="9">
        <f>V10-SUM(BO10:BR10)</f>
        <v>0</v>
      </c>
      <c r="W58" s="9">
        <f>W10-SUM(BS10:BV10)</f>
        <v>0</v>
      </c>
      <c r="X58" s="9">
        <f>X10-SUM(BW10:BZ10)</f>
        <v>0</v>
      </c>
      <c r="Y58" s="9">
        <f>Y10-SUM(CA10:CD10)</f>
        <v>9.9999999998544808E-2</v>
      </c>
      <c r="Z58" s="9">
        <f>Z10-SUM(CE10:CH10)</f>
        <v>-683.39999999999964</v>
      </c>
      <c r="AA58" s="9">
        <f>AA10-SUM(CF10:CI10)</f>
        <v>266.19999999999891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266.19999999999891</v>
      </c>
    </row>
    <row r="59" spans="1:110" s="9" customFormat="1" x14ac:dyDescent="0.2">
      <c r="A59" s="9" t="s">
        <v>454</v>
      </c>
      <c r="N59" s="9">
        <f>N16-SUM(AI16:AL16)</f>
        <v>0</v>
      </c>
      <c r="O59" s="9">
        <f>O16-SUM(AM16:AP16)</f>
        <v>126.17</v>
      </c>
      <c r="P59" s="9">
        <f>P16-SUM(AQ16:AT16)</f>
        <v>2618.627</v>
      </c>
      <c r="Q59" s="9">
        <f>Q16-SUM(AU16:AX16)</f>
        <v>712.99999999999955</v>
      </c>
      <c r="R59" s="9">
        <f>R16-SUM(AY16:BB16)</f>
        <v>0</v>
      </c>
      <c r="S59" s="9">
        <f>S16-SUM(BC16:BF16)</f>
        <v>5.4999999999995453</v>
      </c>
      <c r="T59" s="9">
        <f>T16-SUM(BG16:BJ16)</f>
        <v>0</v>
      </c>
      <c r="U59" s="9">
        <f>U16-SUM(BK16:BN16)</f>
        <v>0</v>
      </c>
      <c r="V59" s="9">
        <f>V16-SUM(BO16:BR16)</f>
        <v>0</v>
      </c>
      <c r="W59" s="9">
        <f>W16-SUM(BS16:BV16)</f>
        <v>0</v>
      </c>
      <c r="X59" s="9">
        <f>X16-SUM(BW16:BZ16)</f>
        <v>0</v>
      </c>
      <c r="Y59" s="9">
        <f>Y16-SUM(CA16:CD16)</f>
        <v>9.9999999998544808E-2</v>
      </c>
      <c r="Z59" s="9">
        <f>Z16-SUM(CE16:CH16)</f>
        <v>-683.39999999999964</v>
      </c>
      <c r="AA59" s="9">
        <f>AA16-SUM(CF16:CI16)</f>
        <v>266.19999999999891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266.19999999999891</v>
      </c>
    </row>
    <row r="60" spans="1:110" s="9" customFormat="1" x14ac:dyDescent="0.2">
      <c r="A60" s="9" t="s">
        <v>455</v>
      </c>
      <c r="N60" s="9">
        <f>N28-SUM(AI28:AL28)</f>
        <v>-3.0000000000000001E-3</v>
      </c>
      <c r="O60" s="9">
        <f>O28-SUM(AM28:AP28)</f>
        <v>15.579999999999998</v>
      </c>
      <c r="P60" s="9">
        <f>P28-SUM(AQ28:AT28)</f>
        <v>398.73599999999988</v>
      </c>
      <c r="Q60" s="9">
        <f>Q28-SUM(AU28:AX28)</f>
        <v>97.799999999999613</v>
      </c>
      <c r="R60" s="9">
        <f>R28-SUM(AY28:BB28)</f>
        <v>-21.099999999999795</v>
      </c>
      <c r="S60" s="9">
        <f>S28-SUM(BC28:BF28)</f>
        <v>-12.699999999999818</v>
      </c>
      <c r="T60" s="9">
        <f>T28-SUM(BG28:BJ28)</f>
        <v>-0.10000000000047748</v>
      </c>
      <c r="U60" s="9">
        <f>U28-SUM(BK28:BN28)</f>
        <v>-2.1000000000001364</v>
      </c>
      <c r="V60" s="9">
        <f>V28-SUM(BO28:BR28)</f>
        <v>-40.599999999999909</v>
      </c>
      <c r="W60" s="9">
        <f>W28-SUM(BS28:BV28)</f>
        <v>-32.800000000000864</v>
      </c>
      <c r="X60" s="9">
        <f>X28-SUM(BW28:BZ28)</f>
        <v>-14.499999999998181</v>
      </c>
      <c r="Y60" s="9">
        <f>Y28-SUM(CA28:CD28)</f>
        <v>-11.400000000001228</v>
      </c>
      <c r="Z60" s="9">
        <f>Z28-SUM(CE28:CH28)</f>
        <v>-63.100000000000136</v>
      </c>
      <c r="AA60" s="9">
        <f>AA28-SUM(CF28:CI28)</f>
        <v>54.300000000000182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54.300000000000182</v>
      </c>
    </row>
    <row r="61" spans="1:110" s="9" customFormat="1" x14ac:dyDescent="0.2">
      <c r="A61" s="9" t="s">
        <v>456</v>
      </c>
      <c r="N61" s="9">
        <f>N48-SUM(AI48:AL48)</f>
        <v>-3.0000000000000001E-3</v>
      </c>
      <c r="O61" s="9">
        <f>O48-SUM(AM48:AP48)</f>
        <v>6.2139999999999995</v>
      </c>
      <c r="P61" s="9">
        <f>P48-SUM(AQ48:AT48)</f>
        <v>310.89699999999982</v>
      </c>
      <c r="Q61" s="9">
        <f>Q48-SUM(AU48:AX48)</f>
        <v>85.699999999999704</v>
      </c>
      <c r="R61" s="9">
        <f>R48-SUM(AY48:BB48)</f>
        <v>0</v>
      </c>
      <c r="S61" s="9">
        <f>S48-SUM(BC48:BF48)</f>
        <v>0</v>
      </c>
      <c r="T61" s="9">
        <f>T48-SUM(BG48:BJ48)</f>
        <v>0</v>
      </c>
      <c r="U61" s="9">
        <f>U48-SUM(BK48:BN48)</f>
        <v>0</v>
      </c>
      <c r="V61" s="9">
        <f>V48-SUM(BO48:BR48)</f>
        <v>0</v>
      </c>
      <c r="W61" s="9">
        <f>W41-SUM(BS41:BV41)</f>
        <v>-9.0949470177292824E-13</v>
      </c>
      <c r="X61" s="9">
        <f>X41-SUM(BW41:BZ41)</f>
        <v>1.8189894035458565E-12</v>
      </c>
      <c r="Y61" s="9">
        <f>Y41-SUM(CA41:CD41)</f>
        <v>9.9999999998772182E-2</v>
      </c>
      <c r="Z61" s="9">
        <f>Z41-SUM(CE41:CH41)</f>
        <v>-43</v>
      </c>
      <c r="AA61" s="9">
        <f>AA41-SUM(CF41:CI41)</f>
        <v>67.300000000000182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67.300000000000182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27">+F63</f>
        <v>21.2</v>
      </c>
      <c r="F63" s="3">
        <f t="shared" ca="1" si="727"/>
        <v>21.2</v>
      </c>
      <c r="G63" s="3">
        <f t="shared" ca="1" si="727"/>
        <v>21.2</v>
      </c>
      <c r="H63" s="3">
        <f t="shared" ca="1" si="727"/>
        <v>21.2</v>
      </c>
      <c r="I63" s="3">
        <f t="shared" ca="1" si="727"/>
        <v>21.2</v>
      </c>
      <c r="J63" s="3">
        <f t="shared" ca="1" si="727"/>
        <v>21.2</v>
      </c>
      <c r="K63" s="3">
        <f t="shared" ca="1" si="727"/>
        <v>21.2</v>
      </c>
      <c r="L63" s="3">
        <f t="shared" ca="1" si="727"/>
        <v>21.2</v>
      </c>
      <c r="M63" s="3">
        <f t="shared" ca="1" si="727"/>
        <v>21.2</v>
      </c>
      <c r="N63" s="3">
        <f t="shared" ca="1" si="727"/>
        <v>21.2</v>
      </c>
      <c r="O63" s="3">
        <f t="shared" ca="1" si="727"/>
        <v>21.2</v>
      </c>
      <c r="P63" s="3">
        <f t="shared" ca="1" si="727"/>
        <v>21.2</v>
      </c>
      <c r="Q63" s="3">
        <f t="shared" ca="1" si="727"/>
        <v>21.2</v>
      </c>
      <c r="R63" s="3">
        <f t="shared" ca="1" si="727"/>
        <v>21.2</v>
      </c>
      <c r="S63" s="3">
        <f t="shared" ca="1" si="727"/>
        <v>21.2</v>
      </c>
      <c r="T63" s="3">
        <f t="shared" ca="1" si="727"/>
        <v>21.2</v>
      </c>
      <c r="U63" s="3">
        <f t="shared" ca="1" si="727"/>
        <v>21.2</v>
      </c>
      <c r="V63" s="3">
        <f t="shared" ca="1" si="727"/>
        <v>21.2</v>
      </c>
      <c r="W63" s="3">
        <f t="shared" ca="1" si="727"/>
        <v>21.2</v>
      </c>
      <c r="X63" s="3">
        <f t="shared" ca="1" si="727"/>
        <v>21.2</v>
      </c>
      <c r="Y63" s="3">
        <f t="shared" ca="1" si="727"/>
        <v>21.2</v>
      </c>
      <c r="Z63" s="3">
        <f ca="1">+AA63</f>
        <v>21.2</v>
      </c>
      <c r="AA63" s="3">
        <f ca="1">+AB63</f>
        <v>21.2</v>
      </c>
      <c r="AB63" s="37">
        <f t="shared" ref="AB63:AB64" ca="1" si="728">AA63</f>
        <v>21.2</v>
      </c>
      <c r="AC63" s="37">
        <f t="shared" ref="AC63:AC64" ca="1" si="729">AB63</f>
        <v>21.2</v>
      </c>
      <c r="AD63" s="37">
        <f t="shared" ref="AD63:AD64" ca="1" si="730">AC63</f>
        <v>21.2</v>
      </c>
      <c r="AE63" s="37">
        <f t="shared" ref="AE63:AE64" ca="1" si="731">AD63</f>
        <v>21.2</v>
      </c>
      <c r="AI63" s="3">
        <f t="shared" ref="AI63:CH63" si="732">+AJ63</f>
        <v>21.2</v>
      </c>
      <c r="AJ63" s="3">
        <f t="shared" si="732"/>
        <v>21.2</v>
      </c>
      <c r="AK63" s="3">
        <f t="shared" si="732"/>
        <v>21.2</v>
      </c>
      <c r="AL63" s="3">
        <f t="shared" si="732"/>
        <v>21.2</v>
      </c>
      <c r="AM63" s="3">
        <f t="shared" si="732"/>
        <v>21.2</v>
      </c>
      <c r="AN63" s="3">
        <f t="shared" si="732"/>
        <v>21.2</v>
      </c>
      <c r="AO63" s="3">
        <f t="shared" si="732"/>
        <v>21.2</v>
      </c>
      <c r="AP63" s="3">
        <f t="shared" si="732"/>
        <v>21.2</v>
      </c>
      <c r="AQ63" s="3">
        <f t="shared" si="732"/>
        <v>21.2</v>
      </c>
      <c r="AR63" s="3">
        <f t="shared" si="732"/>
        <v>21.2</v>
      </c>
      <c r="AS63" s="3">
        <f t="shared" si="732"/>
        <v>21.2</v>
      </c>
      <c r="AT63" s="3">
        <f t="shared" si="732"/>
        <v>21.2</v>
      </c>
      <c r="AU63" s="3">
        <f t="shared" si="732"/>
        <v>21.2</v>
      </c>
      <c r="AV63" s="3">
        <f t="shared" si="732"/>
        <v>21.2</v>
      </c>
      <c r="AW63" s="3">
        <f t="shared" si="732"/>
        <v>21.2</v>
      </c>
      <c r="AX63" s="3">
        <f t="shared" si="732"/>
        <v>21.2</v>
      </c>
      <c r="AY63" s="3">
        <f t="shared" si="732"/>
        <v>21.2</v>
      </c>
      <c r="AZ63" s="3">
        <f t="shared" si="732"/>
        <v>21.2</v>
      </c>
      <c r="BA63" s="3">
        <f t="shared" si="732"/>
        <v>21.2</v>
      </c>
      <c r="BB63" s="3">
        <f t="shared" si="732"/>
        <v>21.2</v>
      </c>
      <c r="BC63" s="3">
        <f t="shared" si="732"/>
        <v>21.2</v>
      </c>
      <c r="BD63" s="3">
        <f t="shared" si="732"/>
        <v>21.2</v>
      </c>
      <c r="BE63" s="3">
        <f t="shared" si="732"/>
        <v>21.2</v>
      </c>
      <c r="BF63" s="3">
        <f t="shared" si="732"/>
        <v>21.2</v>
      </c>
      <c r="BG63" s="3">
        <f t="shared" si="732"/>
        <v>21.2</v>
      </c>
      <c r="BH63" s="3">
        <f t="shared" si="732"/>
        <v>21.2</v>
      </c>
      <c r="BI63" s="3">
        <f t="shared" si="732"/>
        <v>21.2</v>
      </c>
      <c r="BJ63" s="3">
        <f t="shared" si="732"/>
        <v>21.2</v>
      </c>
      <c r="BK63" s="3">
        <f t="shared" si="732"/>
        <v>21.2</v>
      </c>
      <c r="BL63" s="3">
        <f t="shared" si="732"/>
        <v>21.2</v>
      </c>
      <c r="BM63" s="3">
        <f t="shared" si="732"/>
        <v>21.2</v>
      </c>
      <c r="BN63" s="3">
        <f t="shared" si="732"/>
        <v>21.2</v>
      </c>
      <c r="BO63" s="3">
        <f t="shared" si="732"/>
        <v>21.2</v>
      </c>
      <c r="BP63" s="3">
        <f t="shared" si="732"/>
        <v>21.2</v>
      </c>
      <c r="BQ63" s="3">
        <f t="shared" si="732"/>
        <v>21.2</v>
      </c>
      <c r="BR63" s="3">
        <f t="shared" si="732"/>
        <v>21.2</v>
      </c>
      <c r="BS63" s="3">
        <f t="shared" si="732"/>
        <v>21.2</v>
      </c>
      <c r="BT63" s="3">
        <f t="shared" si="732"/>
        <v>21.2</v>
      </c>
      <c r="BU63" s="3">
        <f t="shared" si="732"/>
        <v>21.2</v>
      </c>
      <c r="BV63" s="3">
        <f t="shared" si="732"/>
        <v>21.2</v>
      </c>
      <c r="BW63" s="3">
        <f t="shared" si="732"/>
        <v>21.2</v>
      </c>
      <c r="BX63" s="3">
        <f t="shared" si="732"/>
        <v>21.2</v>
      </c>
      <c r="BY63" s="3">
        <f t="shared" si="732"/>
        <v>21.2</v>
      </c>
      <c r="BZ63" s="3">
        <f t="shared" si="732"/>
        <v>21.2</v>
      </c>
      <c r="CA63" s="3">
        <f t="shared" si="732"/>
        <v>21.2</v>
      </c>
      <c r="CB63" s="3">
        <f t="shared" si="732"/>
        <v>21.2</v>
      </c>
      <c r="CC63" s="3">
        <f t="shared" si="732"/>
        <v>21.2</v>
      </c>
      <c r="CD63" s="3">
        <f t="shared" si="732"/>
        <v>21.2</v>
      </c>
      <c r="CE63" s="3">
        <f t="shared" si="732"/>
        <v>21.2</v>
      </c>
      <c r="CF63" s="3">
        <f t="shared" si="732"/>
        <v>21.2</v>
      </c>
      <c r="CG63" s="3">
        <f t="shared" si="732"/>
        <v>21.2</v>
      </c>
      <c r="CH63" s="3">
        <f t="shared" si="732"/>
        <v>21.2</v>
      </c>
      <c r="CI63" s="3">
        <f>+CJ63</f>
        <v>21.2</v>
      </c>
      <c r="CJ63" s="3">
        <f>'QTR Raw'!BD45</f>
        <v>21.2</v>
      </c>
      <c r="CK63" s="3">
        <f>'QTR Raw'!BE45</f>
        <v>21.2</v>
      </c>
      <c r="CL63" s="3">
        <f>'QTR Raw'!BF45</f>
        <v>21.2</v>
      </c>
      <c r="CM63" s="37">
        <f t="shared" ref="CM63:CM64" si="733">+CL63</f>
        <v>21.2</v>
      </c>
      <c r="CN63" s="37">
        <f t="shared" ref="CN63:CN64" si="734">+CM63</f>
        <v>21.2</v>
      </c>
      <c r="CO63" s="37">
        <f t="shared" ref="CO63:CO64" si="735">+CN63</f>
        <v>21.2</v>
      </c>
      <c r="CP63" s="37">
        <f t="shared" ref="CP63:CP64" si="736">+CO63</f>
        <v>21.2</v>
      </c>
      <c r="CQ63" s="37">
        <f t="shared" ref="CQ63:CQ64" si="737">+CP63</f>
        <v>21.2</v>
      </c>
      <c r="CR63" s="37">
        <f t="shared" ref="CR63:CR64" si="738">+CQ63</f>
        <v>21.2</v>
      </c>
      <c r="CS63" s="37">
        <f t="shared" ref="CS63:CS64" si="739">+CR63</f>
        <v>21.2</v>
      </c>
      <c r="CT63" s="37">
        <f t="shared" ref="CT63:CT64" si="740">+CS63</f>
        <v>21.2</v>
      </c>
      <c r="CU63" s="37">
        <f t="shared" ref="CU63:CU64" si="741">+CT63</f>
        <v>21.2</v>
      </c>
      <c r="CV63" s="37">
        <f t="shared" ref="CV63:CV64" si="742">+CU63</f>
        <v>21.2</v>
      </c>
      <c r="CW63" s="37">
        <f t="shared" ref="CW63:CW64" si="743">+CV63</f>
        <v>21.2</v>
      </c>
      <c r="CX63" s="37">
        <f t="shared" ref="CX63:CX64" si="744">+CW63</f>
        <v>21.2</v>
      </c>
      <c r="CY63" s="37">
        <f t="shared" ref="CY63:CY64" si="745">+CX63</f>
        <v>21.2</v>
      </c>
      <c r="CZ63" s="37">
        <f t="shared" ref="CZ63:CZ64" si="746">+CY63</f>
        <v>21.2</v>
      </c>
      <c r="DA63" s="37">
        <f t="shared" ref="DA63:DA64" si="747">+CZ63</f>
        <v>21.2</v>
      </c>
      <c r="DB63" s="37">
        <f t="shared" ref="DB63:DB64" si="748">+DA63</f>
        <v>21.2</v>
      </c>
      <c r="DE63" s="134"/>
      <c r="DF63" s="3">
        <v>21.2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49">+F64</f>
        <v>2</v>
      </c>
      <c r="F64" s="3">
        <f t="shared" ca="1" si="749"/>
        <v>2</v>
      </c>
      <c r="G64" s="3">
        <f t="shared" ca="1" si="749"/>
        <v>2</v>
      </c>
      <c r="H64" s="3">
        <f t="shared" ca="1" si="749"/>
        <v>2</v>
      </c>
      <c r="I64" s="3">
        <f t="shared" ca="1" si="749"/>
        <v>2</v>
      </c>
      <c r="J64" s="3">
        <f t="shared" ca="1" si="749"/>
        <v>2</v>
      </c>
      <c r="K64" s="3">
        <f t="shared" ca="1" si="749"/>
        <v>2</v>
      </c>
      <c r="L64" s="3">
        <f t="shared" ca="1" si="749"/>
        <v>2</v>
      </c>
      <c r="M64" s="3">
        <f t="shared" ca="1" si="749"/>
        <v>2</v>
      </c>
      <c r="N64" s="3">
        <f t="shared" ca="1" si="749"/>
        <v>2</v>
      </c>
      <c r="O64" s="3">
        <f t="shared" ca="1" si="749"/>
        <v>2</v>
      </c>
      <c r="P64" s="3">
        <f t="shared" ca="1" si="749"/>
        <v>2</v>
      </c>
      <c r="Q64" s="3">
        <f t="shared" ca="1" si="749"/>
        <v>2</v>
      </c>
      <c r="R64" s="3">
        <f t="shared" ca="1" si="749"/>
        <v>2</v>
      </c>
      <c r="S64" s="3">
        <f t="shared" ca="1" si="749"/>
        <v>2</v>
      </c>
      <c r="T64" s="3">
        <f t="shared" ca="1" si="749"/>
        <v>2</v>
      </c>
      <c r="U64" s="3">
        <f t="shared" ca="1" si="749"/>
        <v>2</v>
      </c>
      <c r="V64" s="3">
        <f t="shared" ca="1" si="749"/>
        <v>2</v>
      </c>
      <c r="W64" s="3">
        <f t="shared" ca="1" si="749"/>
        <v>2</v>
      </c>
      <c r="X64" s="3">
        <f t="shared" ca="1" si="749"/>
        <v>2</v>
      </c>
      <c r="Y64" s="3">
        <f t="shared" ca="1" si="749"/>
        <v>2</v>
      </c>
      <c r="Z64" s="3">
        <f ca="1">+AA64</f>
        <v>2</v>
      </c>
      <c r="AA64" s="3">
        <f ca="1">+AB64</f>
        <v>2</v>
      </c>
      <c r="AB64" s="37">
        <f t="shared" ca="1" si="728"/>
        <v>2</v>
      </c>
      <c r="AC64" s="37">
        <f t="shared" ca="1" si="729"/>
        <v>2</v>
      </c>
      <c r="AD64" s="37">
        <f t="shared" ca="1" si="730"/>
        <v>2</v>
      </c>
      <c r="AE64" s="37">
        <f t="shared" ca="1" si="731"/>
        <v>2</v>
      </c>
      <c r="AI64" s="3">
        <f t="shared" ref="AI64:CH64" si="750">AJ64</f>
        <v>2</v>
      </c>
      <c r="AJ64" s="3">
        <f t="shared" si="750"/>
        <v>2</v>
      </c>
      <c r="AK64" s="3">
        <f t="shared" si="750"/>
        <v>2</v>
      </c>
      <c r="AL64" s="3">
        <f t="shared" si="750"/>
        <v>2</v>
      </c>
      <c r="AM64" s="3">
        <f t="shared" si="750"/>
        <v>2</v>
      </c>
      <c r="AN64" s="3">
        <f t="shared" si="750"/>
        <v>2</v>
      </c>
      <c r="AO64" s="3">
        <f t="shared" si="750"/>
        <v>2</v>
      </c>
      <c r="AP64" s="3">
        <f t="shared" si="750"/>
        <v>2</v>
      </c>
      <c r="AQ64" s="3">
        <f t="shared" si="750"/>
        <v>2</v>
      </c>
      <c r="AR64" s="3">
        <f t="shared" si="750"/>
        <v>2</v>
      </c>
      <c r="AS64" s="3">
        <f t="shared" si="750"/>
        <v>2</v>
      </c>
      <c r="AT64" s="3">
        <f t="shared" si="750"/>
        <v>2</v>
      </c>
      <c r="AU64" s="3">
        <f t="shared" si="750"/>
        <v>2</v>
      </c>
      <c r="AV64" s="3">
        <f t="shared" si="750"/>
        <v>2</v>
      </c>
      <c r="AW64" s="3">
        <f t="shared" si="750"/>
        <v>2</v>
      </c>
      <c r="AX64" s="3">
        <f t="shared" si="750"/>
        <v>2</v>
      </c>
      <c r="AY64" s="3">
        <f t="shared" si="750"/>
        <v>2</v>
      </c>
      <c r="AZ64" s="3">
        <f t="shared" si="750"/>
        <v>2</v>
      </c>
      <c r="BA64" s="3">
        <f t="shared" si="750"/>
        <v>2</v>
      </c>
      <c r="BB64" s="3">
        <f t="shared" si="750"/>
        <v>2</v>
      </c>
      <c r="BC64" s="3">
        <f t="shared" si="750"/>
        <v>2</v>
      </c>
      <c r="BD64" s="3">
        <f t="shared" si="750"/>
        <v>2</v>
      </c>
      <c r="BE64" s="3">
        <f t="shared" si="750"/>
        <v>2</v>
      </c>
      <c r="BF64" s="3">
        <f t="shared" si="750"/>
        <v>2</v>
      </c>
      <c r="BG64" s="3">
        <f t="shared" si="750"/>
        <v>2</v>
      </c>
      <c r="BH64" s="3">
        <f t="shared" si="750"/>
        <v>2</v>
      </c>
      <c r="BI64" s="3">
        <f t="shared" si="750"/>
        <v>2</v>
      </c>
      <c r="BJ64" s="3">
        <f t="shared" si="750"/>
        <v>2</v>
      </c>
      <c r="BK64" s="3">
        <f t="shared" si="750"/>
        <v>2</v>
      </c>
      <c r="BL64" s="3">
        <f t="shared" si="750"/>
        <v>2</v>
      </c>
      <c r="BM64" s="3">
        <f t="shared" si="750"/>
        <v>2</v>
      </c>
      <c r="BN64" s="3">
        <f t="shared" si="750"/>
        <v>2</v>
      </c>
      <c r="BO64" s="3">
        <f t="shared" si="750"/>
        <v>2</v>
      </c>
      <c r="BP64" s="3">
        <f t="shared" si="750"/>
        <v>2</v>
      </c>
      <c r="BQ64" s="3">
        <f t="shared" si="750"/>
        <v>2</v>
      </c>
      <c r="BR64" s="3">
        <f t="shared" si="750"/>
        <v>2</v>
      </c>
      <c r="BS64" s="3">
        <f t="shared" si="750"/>
        <v>2</v>
      </c>
      <c r="BT64" s="3">
        <f t="shared" si="750"/>
        <v>2</v>
      </c>
      <c r="BU64" s="3">
        <f t="shared" si="750"/>
        <v>2</v>
      </c>
      <c r="BV64" s="3">
        <f t="shared" si="750"/>
        <v>2</v>
      </c>
      <c r="BW64" s="3">
        <f t="shared" si="750"/>
        <v>2</v>
      </c>
      <c r="BX64" s="3">
        <f t="shared" si="750"/>
        <v>2</v>
      </c>
      <c r="BY64" s="3">
        <f t="shared" si="750"/>
        <v>2</v>
      </c>
      <c r="BZ64" s="3">
        <f t="shared" si="750"/>
        <v>2</v>
      </c>
      <c r="CA64" s="3">
        <f t="shared" si="750"/>
        <v>2</v>
      </c>
      <c r="CB64" s="3">
        <f t="shared" si="750"/>
        <v>2</v>
      </c>
      <c r="CC64" s="3">
        <f t="shared" si="750"/>
        <v>2</v>
      </c>
      <c r="CD64" s="3">
        <f t="shared" si="750"/>
        <v>2</v>
      </c>
      <c r="CE64" s="3">
        <f t="shared" si="750"/>
        <v>2</v>
      </c>
      <c r="CF64" s="3">
        <f t="shared" si="750"/>
        <v>2</v>
      </c>
      <c r="CG64" s="3">
        <f t="shared" si="750"/>
        <v>2</v>
      </c>
      <c r="CH64" s="3">
        <f t="shared" si="750"/>
        <v>2</v>
      </c>
      <c r="CI64" s="3">
        <f>CJ64</f>
        <v>2</v>
      </c>
      <c r="CJ64" s="3">
        <f>'QTR Raw'!BD46</f>
        <v>2</v>
      </c>
      <c r="CK64" s="3">
        <f>'QTR Raw'!BE46</f>
        <v>2</v>
      </c>
      <c r="CL64" s="3">
        <f>'QTR Raw'!BF46</f>
        <v>2</v>
      </c>
      <c r="CM64" s="37">
        <f t="shared" si="733"/>
        <v>2</v>
      </c>
      <c r="CN64" s="37">
        <f t="shared" si="734"/>
        <v>2</v>
      </c>
      <c r="CO64" s="37">
        <f t="shared" si="735"/>
        <v>2</v>
      </c>
      <c r="CP64" s="37">
        <f t="shared" si="736"/>
        <v>2</v>
      </c>
      <c r="CQ64" s="37">
        <f t="shared" si="737"/>
        <v>2</v>
      </c>
      <c r="CR64" s="37">
        <f t="shared" si="738"/>
        <v>2</v>
      </c>
      <c r="CS64" s="37">
        <f t="shared" si="739"/>
        <v>2</v>
      </c>
      <c r="CT64" s="37">
        <f t="shared" si="740"/>
        <v>2</v>
      </c>
      <c r="CU64" s="37">
        <f t="shared" si="741"/>
        <v>2</v>
      </c>
      <c r="CV64" s="37">
        <f t="shared" si="742"/>
        <v>2</v>
      </c>
      <c r="CW64" s="37">
        <f t="shared" si="743"/>
        <v>2</v>
      </c>
      <c r="CX64" s="37">
        <f t="shared" si="744"/>
        <v>2</v>
      </c>
      <c r="CY64" s="37">
        <f t="shared" si="745"/>
        <v>2</v>
      </c>
      <c r="CZ64" s="37">
        <f t="shared" si="746"/>
        <v>2</v>
      </c>
      <c r="DA64" s="37">
        <f t="shared" si="747"/>
        <v>2</v>
      </c>
      <c r="DB64" s="37">
        <f t="shared" si="748"/>
        <v>2</v>
      </c>
      <c r="DE64" s="134"/>
      <c r="DF64" s="3">
        <v>2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51">C63/C64</f>
        <v>#DIV/0!</v>
      </c>
      <c r="D65" s="3" t="e">
        <f t="shared" si="751"/>
        <v>#DIV/0!</v>
      </c>
      <c r="E65" s="3">
        <f t="shared" ca="1" si="751"/>
        <v>10.6</v>
      </c>
      <c r="F65" s="3">
        <f t="shared" ca="1" si="751"/>
        <v>10.6</v>
      </c>
      <c r="G65" s="3">
        <f t="shared" ca="1" si="751"/>
        <v>10.6</v>
      </c>
      <c r="H65" s="3">
        <f t="shared" ca="1" si="751"/>
        <v>10.6</v>
      </c>
      <c r="I65" s="3">
        <f t="shared" ca="1" si="751"/>
        <v>10.6</v>
      </c>
      <c r="J65" s="3">
        <f t="shared" ca="1" si="751"/>
        <v>10.6</v>
      </c>
      <c r="K65" s="3">
        <f t="shared" ca="1" si="751"/>
        <v>10.6</v>
      </c>
      <c r="L65" s="3">
        <f t="shared" ca="1" si="751"/>
        <v>10.6</v>
      </c>
      <c r="M65" s="3">
        <f t="shared" ca="1" si="751"/>
        <v>10.6</v>
      </c>
      <c r="N65" s="3">
        <f t="shared" ca="1" si="751"/>
        <v>10.6</v>
      </c>
      <c r="O65" s="3">
        <f t="shared" ca="1" si="751"/>
        <v>10.6</v>
      </c>
      <c r="P65" s="3">
        <f t="shared" ca="1" si="751"/>
        <v>10.6</v>
      </c>
      <c r="Q65" s="3">
        <f t="shared" ca="1" si="751"/>
        <v>10.6</v>
      </c>
      <c r="R65" s="3">
        <f t="shared" ca="1" si="751"/>
        <v>10.6</v>
      </c>
      <c r="S65" s="3">
        <f t="shared" ca="1" si="751"/>
        <v>10.6</v>
      </c>
      <c r="T65" s="3">
        <f t="shared" ca="1" si="751"/>
        <v>10.6</v>
      </c>
      <c r="U65" s="3">
        <f t="shared" ca="1" si="751"/>
        <v>10.6</v>
      </c>
      <c r="V65" s="3">
        <f ca="1">V63/V64</f>
        <v>10.6</v>
      </c>
      <c r="W65" s="3">
        <f t="shared" ca="1" si="751"/>
        <v>10.6</v>
      </c>
      <c r="X65" s="3">
        <f t="shared" ref="X65:Y65" ca="1" si="752">X63/X64</f>
        <v>10.6</v>
      </c>
      <c r="Y65" s="3">
        <f t="shared" ca="1" si="752"/>
        <v>10.6</v>
      </c>
      <c r="Z65" s="3">
        <f t="shared" ref="Z65:AA65" ca="1" si="753">Z63/Z64</f>
        <v>10.6</v>
      </c>
      <c r="AA65" s="3">
        <f t="shared" ca="1" si="753"/>
        <v>10.6</v>
      </c>
      <c r="AB65" s="37">
        <f t="shared" ref="AB65:AD65" ca="1" si="754">AB63/AB64</f>
        <v>10.6</v>
      </c>
      <c r="AC65" s="37">
        <f t="shared" ca="1" si="754"/>
        <v>10.6</v>
      </c>
      <c r="AD65" s="37">
        <f t="shared" ca="1" si="754"/>
        <v>10.6</v>
      </c>
      <c r="AE65" s="37">
        <f t="shared" ref="AE65" ca="1" si="755">AE63/AE64</f>
        <v>10.6</v>
      </c>
      <c r="AI65" s="3">
        <f t="shared" ref="AI65" si="756">AI63/AI64</f>
        <v>10.6</v>
      </c>
      <c r="AJ65" s="3">
        <f t="shared" ref="AJ65" si="757">AJ63/AJ64</f>
        <v>10.6</v>
      </c>
      <c r="AK65" s="3">
        <f t="shared" ref="AK65:AM65" si="758">AK63/AK64</f>
        <v>10.6</v>
      </c>
      <c r="AL65" s="3">
        <f t="shared" si="758"/>
        <v>10.6</v>
      </c>
      <c r="AM65" s="3">
        <f t="shared" si="758"/>
        <v>10.6</v>
      </c>
      <c r="AN65" s="3">
        <f t="shared" ref="AN65:AO65" si="759">AN63/AN64</f>
        <v>10.6</v>
      </c>
      <c r="AO65" s="3">
        <f t="shared" si="759"/>
        <v>10.6</v>
      </c>
      <c r="AP65" s="3">
        <f t="shared" ref="AP65:CD65" si="760">AP63/AP64</f>
        <v>10.6</v>
      </c>
      <c r="AQ65" s="3">
        <f t="shared" si="760"/>
        <v>10.6</v>
      </c>
      <c r="AR65" s="3">
        <f t="shared" si="760"/>
        <v>10.6</v>
      </c>
      <c r="AS65" s="3">
        <f t="shared" si="760"/>
        <v>10.6</v>
      </c>
      <c r="AT65" s="3">
        <f t="shared" si="760"/>
        <v>10.6</v>
      </c>
      <c r="AU65" s="3">
        <f t="shared" si="760"/>
        <v>10.6</v>
      </c>
      <c r="AV65" s="3">
        <f t="shared" si="760"/>
        <v>10.6</v>
      </c>
      <c r="AW65" s="3">
        <f t="shared" si="760"/>
        <v>10.6</v>
      </c>
      <c r="AX65" s="3">
        <f t="shared" si="760"/>
        <v>10.6</v>
      </c>
      <c r="AY65" s="3">
        <f t="shared" si="760"/>
        <v>10.6</v>
      </c>
      <c r="AZ65" s="3">
        <f t="shared" si="760"/>
        <v>10.6</v>
      </c>
      <c r="BA65" s="3">
        <f t="shared" si="760"/>
        <v>10.6</v>
      </c>
      <c r="BB65" s="3">
        <f t="shared" si="760"/>
        <v>10.6</v>
      </c>
      <c r="BC65" s="3">
        <f t="shared" si="760"/>
        <v>10.6</v>
      </c>
      <c r="BD65" s="3">
        <f t="shared" si="760"/>
        <v>10.6</v>
      </c>
      <c r="BE65" s="3">
        <f t="shared" si="760"/>
        <v>10.6</v>
      </c>
      <c r="BF65" s="3">
        <f t="shared" si="760"/>
        <v>10.6</v>
      </c>
      <c r="BG65" s="3">
        <f t="shared" si="760"/>
        <v>10.6</v>
      </c>
      <c r="BH65" s="3">
        <f t="shared" si="760"/>
        <v>10.6</v>
      </c>
      <c r="BI65" s="3">
        <f t="shared" si="760"/>
        <v>10.6</v>
      </c>
      <c r="BJ65" s="3">
        <f t="shared" si="760"/>
        <v>10.6</v>
      </c>
      <c r="BK65" s="3">
        <f t="shared" si="760"/>
        <v>10.6</v>
      </c>
      <c r="BL65" s="3">
        <f t="shared" si="760"/>
        <v>10.6</v>
      </c>
      <c r="BM65" s="3">
        <f t="shared" si="760"/>
        <v>10.6</v>
      </c>
      <c r="BN65" s="3">
        <f t="shared" si="760"/>
        <v>10.6</v>
      </c>
      <c r="BO65" s="3">
        <f t="shared" si="760"/>
        <v>10.6</v>
      </c>
      <c r="BP65" s="3">
        <f t="shared" si="760"/>
        <v>10.6</v>
      </c>
      <c r="BQ65" s="3">
        <f t="shared" si="760"/>
        <v>10.6</v>
      </c>
      <c r="BR65" s="3">
        <f t="shared" si="760"/>
        <v>10.6</v>
      </c>
      <c r="BS65" s="3">
        <f t="shared" si="760"/>
        <v>10.6</v>
      </c>
      <c r="BT65" s="3">
        <f t="shared" si="760"/>
        <v>10.6</v>
      </c>
      <c r="BU65" s="3">
        <f t="shared" si="760"/>
        <v>10.6</v>
      </c>
      <c r="BV65" s="3">
        <f t="shared" si="760"/>
        <v>10.6</v>
      </c>
      <c r="BW65" s="3">
        <f t="shared" si="760"/>
        <v>10.6</v>
      </c>
      <c r="BX65" s="3">
        <f t="shared" si="760"/>
        <v>10.6</v>
      </c>
      <c r="BY65" s="3">
        <f t="shared" si="760"/>
        <v>10.6</v>
      </c>
      <c r="BZ65" s="3">
        <f t="shared" si="760"/>
        <v>10.6</v>
      </c>
      <c r="CA65" s="3">
        <f t="shared" si="760"/>
        <v>10.6</v>
      </c>
      <c r="CB65" s="3">
        <f t="shared" si="760"/>
        <v>10.6</v>
      </c>
      <c r="CC65" s="3">
        <f t="shared" si="760"/>
        <v>10.6</v>
      </c>
      <c r="CD65" s="3">
        <f t="shared" si="760"/>
        <v>10.6</v>
      </c>
      <c r="CE65" s="3">
        <f t="shared" ref="CE65:CF65" si="761">CE63/CE64</f>
        <v>10.6</v>
      </c>
      <c r="CF65" s="3">
        <f t="shared" si="761"/>
        <v>10.6</v>
      </c>
      <c r="CG65" s="3">
        <f t="shared" ref="CG65:CH65" si="762">CG63/CG64</f>
        <v>10.6</v>
      </c>
      <c r="CH65" s="3">
        <f t="shared" si="762"/>
        <v>10.6</v>
      </c>
      <c r="CI65" s="3">
        <f t="shared" ref="CI65:CJ65" si="763">CI63/CI64</f>
        <v>10.6</v>
      </c>
      <c r="CJ65" s="3">
        <f t="shared" si="763"/>
        <v>10.6</v>
      </c>
      <c r="CK65" s="3">
        <f t="shared" ref="CK65:CL65" si="764">CK63/CK64</f>
        <v>10.6</v>
      </c>
      <c r="CL65" s="3">
        <f t="shared" si="764"/>
        <v>10.6</v>
      </c>
      <c r="CM65" s="37">
        <f t="shared" ref="CM65:DB65" si="765">CM63/CM64</f>
        <v>10.6</v>
      </c>
      <c r="CN65" s="37">
        <f t="shared" si="765"/>
        <v>10.6</v>
      </c>
      <c r="CO65" s="37">
        <f t="shared" si="765"/>
        <v>10.6</v>
      </c>
      <c r="CP65" s="37">
        <f t="shared" si="765"/>
        <v>10.6</v>
      </c>
      <c r="CQ65" s="37">
        <f t="shared" si="765"/>
        <v>10.6</v>
      </c>
      <c r="CR65" s="37">
        <f t="shared" si="765"/>
        <v>10.6</v>
      </c>
      <c r="CS65" s="37">
        <f t="shared" si="765"/>
        <v>10.6</v>
      </c>
      <c r="CT65" s="37">
        <f t="shared" si="765"/>
        <v>10.6</v>
      </c>
      <c r="CU65" s="37">
        <f t="shared" si="765"/>
        <v>10.6</v>
      </c>
      <c r="CV65" s="37">
        <f t="shared" si="765"/>
        <v>10.6</v>
      </c>
      <c r="CW65" s="37">
        <f t="shared" si="765"/>
        <v>10.6</v>
      </c>
      <c r="CX65" s="37">
        <f t="shared" si="765"/>
        <v>10.6</v>
      </c>
      <c r="CY65" s="37">
        <f t="shared" si="765"/>
        <v>10.6</v>
      </c>
      <c r="CZ65" s="37">
        <f t="shared" si="765"/>
        <v>10.6</v>
      </c>
      <c r="DA65" s="37">
        <f t="shared" si="765"/>
        <v>10.6</v>
      </c>
      <c r="DB65" s="37">
        <f t="shared" si="765"/>
        <v>10.6</v>
      </c>
      <c r="DE65" s="134"/>
      <c r="DF65" s="3">
        <v>10.6</v>
      </c>
    </row>
    <row r="66" spans="1:110" s="53" customFormat="1" x14ac:dyDescent="0.2">
      <c r="A66" s="53" t="s">
        <v>30</v>
      </c>
      <c r="B66" s="53" t="e">
        <f t="shared" ref="B66:AE66" si="766">(B48-B47)/B65</f>
        <v>#DIV/0!</v>
      </c>
      <c r="C66" s="53" t="e">
        <f t="shared" si="766"/>
        <v>#DIV/0!</v>
      </c>
      <c r="D66" s="53" t="e">
        <f t="shared" si="766"/>
        <v>#DIV/0!</v>
      </c>
      <c r="E66" s="53">
        <f t="shared" ca="1" si="766"/>
        <v>0</v>
      </c>
      <c r="F66" s="53">
        <f t="shared" ca="1" si="766"/>
        <v>0</v>
      </c>
      <c r="G66" s="53">
        <f t="shared" ca="1" si="766"/>
        <v>0</v>
      </c>
      <c r="H66" s="53">
        <f t="shared" ca="1" si="766"/>
        <v>0</v>
      </c>
      <c r="I66" s="53">
        <f t="shared" ca="1" si="766"/>
        <v>0</v>
      </c>
      <c r="J66" s="53">
        <f t="shared" ca="1" si="766"/>
        <v>0</v>
      </c>
      <c r="K66" s="53">
        <f t="shared" ca="1" si="766"/>
        <v>0</v>
      </c>
      <c r="L66" s="53">
        <f t="shared" ca="1" si="766"/>
        <v>0</v>
      </c>
      <c r="M66" s="53">
        <f t="shared" ca="1" si="766"/>
        <v>0</v>
      </c>
      <c r="N66" s="53">
        <f t="shared" ca="1" si="766"/>
        <v>-2.8301886792452831E-4</v>
      </c>
      <c r="O66" s="53">
        <f t="shared" ca="1" si="766"/>
        <v>0.58622641509433959</v>
      </c>
      <c r="P66" s="53">
        <f t="shared" ca="1" si="766"/>
        <v>29.329905660377342</v>
      </c>
      <c r="Q66" s="53">
        <f t="shared" ca="1" si="766"/>
        <v>39.537735849056574</v>
      </c>
      <c r="R66" s="53">
        <f t="shared" ca="1" si="766"/>
        <v>40.084905660377366</v>
      </c>
      <c r="S66" s="53">
        <f t="shared" ca="1" si="766"/>
        <v>47.735849056603783</v>
      </c>
      <c r="T66" s="53">
        <f t="shared" ca="1" si="766"/>
        <v>72.226415094339572</v>
      </c>
      <c r="U66" s="53">
        <f t="shared" ca="1" si="766"/>
        <v>77.2264150943396</v>
      </c>
      <c r="V66" s="53">
        <f t="shared" ca="1" si="766"/>
        <v>62.575471698113226</v>
      </c>
      <c r="W66" s="53">
        <f t="shared" ca="1" si="766"/>
        <v>90.283018867924469</v>
      </c>
      <c r="X66" s="53">
        <f t="shared" ca="1" si="766"/>
        <v>114.34905660377373</v>
      </c>
      <c r="Y66" s="53">
        <f t="shared" ca="1" si="766"/>
        <v>122.99056603773577</v>
      </c>
      <c r="Z66" s="53">
        <f t="shared" ca="1" si="766"/>
        <v>119.50000000000023</v>
      </c>
      <c r="AA66" s="53">
        <f t="shared" ref="AA66" ca="1" si="767">(AA48-AA47)/AA65</f>
        <v>119.50000000000023</v>
      </c>
      <c r="AB66" s="54">
        <f t="shared" ca="1" si="766"/>
        <v>146.6079432098841</v>
      </c>
      <c r="AC66" s="54">
        <f t="shared" ca="1" si="766"/>
        <v>167.83432050150489</v>
      </c>
      <c r="AD66" s="54">
        <f t="shared" ca="1" si="766"/>
        <v>189.57799200417969</v>
      </c>
      <c r="AE66" s="54">
        <f t="shared" ca="1" si="766"/>
        <v>212.72924642018415</v>
      </c>
      <c r="AI66" s="53">
        <f t="shared" ref="AI66:BN66" si="768">(AI48-AI47)/AI65</f>
        <v>0</v>
      </c>
      <c r="AJ66" s="53">
        <f t="shared" si="768"/>
        <v>0</v>
      </c>
      <c r="AK66" s="53">
        <f t="shared" si="768"/>
        <v>0</v>
      </c>
      <c r="AL66" s="53">
        <f t="shared" si="768"/>
        <v>0</v>
      </c>
      <c r="AM66" s="53">
        <f t="shared" si="768"/>
        <v>0</v>
      </c>
      <c r="AN66" s="53">
        <f t="shared" si="768"/>
        <v>0</v>
      </c>
      <c r="AO66" s="53">
        <f t="shared" si="768"/>
        <v>0</v>
      </c>
      <c r="AP66" s="53">
        <f t="shared" si="768"/>
        <v>0</v>
      </c>
      <c r="AQ66" s="53">
        <f t="shared" si="768"/>
        <v>0</v>
      </c>
      <c r="AR66" s="53">
        <f t="shared" si="768"/>
        <v>0</v>
      </c>
      <c r="AS66" s="53">
        <f t="shared" si="768"/>
        <v>0</v>
      </c>
      <c r="AT66" s="53">
        <f t="shared" si="768"/>
        <v>0</v>
      </c>
      <c r="AU66" s="53">
        <f t="shared" si="768"/>
        <v>0</v>
      </c>
      <c r="AV66" s="53">
        <f t="shared" si="768"/>
        <v>8.8301886792452819</v>
      </c>
      <c r="AW66" s="53">
        <f t="shared" si="768"/>
        <v>12.339622641509438</v>
      </c>
      <c r="AX66" s="53">
        <f t="shared" si="768"/>
        <v>10.283018867924525</v>
      </c>
      <c r="AY66" s="53">
        <f t="shared" si="768"/>
        <v>10.216981132075471</v>
      </c>
      <c r="AZ66" s="53">
        <f t="shared" si="768"/>
        <v>10.556603773584913</v>
      </c>
      <c r="BA66" s="53">
        <f t="shared" si="768"/>
        <v>10.254716981132068</v>
      </c>
      <c r="BB66" s="53">
        <f t="shared" si="768"/>
        <v>9.0566037735848983</v>
      </c>
      <c r="BC66" s="53">
        <f t="shared" si="768"/>
        <v>9.2641509433962206</v>
      </c>
      <c r="BD66" s="53">
        <f t="shared" si="768"/>
        <v>11.575471698113208</v>
      </c>
      <c r="BE66" s="53">
        <f t="shared" si="768"/>
        <v>11.915094339622641</v>
      </c>
      <c r="BF66" s="53">
        <f t="shared" si="768"/>
        <v>14.981132075471697</v>
      </c>
      <c r="BG66" s="53">
        <f t="shared" si="768"/>
        <v>18.632075471698116</v>
      </c>
      <c r="BH66" s="53">
        <f t="shared" si="768"/>
        <v>18.018867924528301</v>
      </c>
      <c r="BI66" s="53">
        <f t="shared" si="768"/>
        <v>17.509433962264158</v>
      </c>
      <c r="BJ66" s="53">
        <f t="shared" si="768"/>
        <v>18.066037735849047</v>
      </c>
      <c r="BK66" s="53">
        <f t="shared" si="768"/>
        <v>19.235849056603776</v>
      </c>
      <c r="BL66" s="53">
        <f t="shared" si="768"/>
        <v>19.415094339622623</v>
      </c>
      <c r="BM66" s="53">
        <f t="shared" si="768"/>
        <v>19.254716981132098</v>
      </c>
      <c r="BN66" s="53">
        <f t="shared" si="768"/>
        <v>19.320754716981106</v>
      </c>
      <c r="BO66" s="53">
        <f t="shared" ref="BO66:CT66" si="769">(BO48-BO47)/BO65</f>
        <v>11.056603773584916</v>
      </c>
      <c r="BP66" s="53">
        <f t="shared" si="769"/>
        <v>15.613207547169807</v>
      </c>
      <c r="BQ66" s="53">
        <f t="shared" si="769"/>
        <v>17.556603773584914</v>
      </c>
      <c r="BR66" s="53">
        <f t="shared" si="769"/>
        <v>18.349056603773576</v>
      </c>
      <c r="BS66" s="53">
        <f t="shared" si="769"/>
        <v>20.396226415094365</v>
      </c>
      <c r="BT66" s="53">
        <f t="shared" si="769"/>
        <v>21.698113207547166</v>
      </c>
      <c r="BU66" s="53">
        <f t="shared" si="769"/>
        <v>23.471698113207555</v>
      </c>
      <c r="BV66" s="53">
        <f t="shared" si="769"/>
        <v>24.716981132075468</v>
      </c>
      <c r="BW66" s="53">
        <f t="shared" si="769"/>
        <v>25.981132075471702</v>
      </c>
      <c r="BX66" s="53">
        <f t="shared" si="769"/>
        <v>28.292452830188669</v>
      </c>
      <c r="BY66" s="53">
        <f t="shared" si="769"/>
        <v>27.999999999999996</v>
      </c>
      <c r="BZ66" s="53">
        <f t="shared" si="769"/>
        <v>32.084905660377338</v>
      </c>
      <c r="CA66" s="53">
        <f t="shared" si="769"/>
        <v>29.349056603773604</v>
      </c>
      <c r="CB66" s="53">
        <f t="shared" si="769"/>
        <v>29.754716981132063</v>
      </c>
      <c r="CC66" s="53">
        <f t="shared" si="769"/>
        <v>31.716981132075471</v>
      </c>
      <c r="CD66" s="53">
        <f t="shared" si="769"/>
        <v>32.160377358490585</v>
      </c>
      <c r="CE66" s="53">
        <f t="shared" si="769"/>
        <v>29.584905660377355</v>
      </c>
      <c r="CF66" s="53">
        <f t="shared" si="769"/>
        <v>30.150943396226417</v>
      </c>
      <c r="CG66" s="53">
        <f t="shared" si="769"/>
        <v>30.41509433962262</v>
      </c>
      <c r="CH66" s="53">
        <f t="shared" si="769"/>
        <v>26.452830188679275</v>
      </c>
      <c r="CI66" s="53">
        <f t="shared" si="769"/>
        <v>29.783018867924532</v>
      </c>
      <c r="CJ66" s="53">
        <f t="shared" si="769"/>
        <v>31.009433962264168</v>
      </c>
      <c r="CK66" s="53">
        <f t="shared" ref="CK66:CL66" si="770">(CK48-CK47)/CK65</f>
        <v>31.88679245283021</v>
      </c>
      <c r="CL66" s="53">
        <f t="shared" si="770"/>
        <v>33.622641509433969</v>
      </c>
      <c r="CM66" s="54">
        <f t="shared" si="769"/>
        <v>36.183010930731442</v>
      </c>
      <c r="CN66" s="54">
        <f t="shared" si="769"/>
        <v>37.010334407669362</v>
      </c>
      <c r="CO66" s="54">
        <f t="shared" si="769"/>
        <v>36.961807747189802</v>
      </c>
      <c r="CP66" s="54">
        <f t="shared" si="769"/>
        <v>36.452790124293628</v>
      </c>
      <c r="CQ66" s="54">
        <f t="shared" si="769"/>
        <v>41.634487591449115</v>
      </c>
      <c r="CR66" s="54">
        <f t="shared" si="769"/>
        <v>42.918353567741683</v>
      </c>
      <c r="CS66" s="54">
        <f t="shared" si="769"/>
        <v>41.972590002933991</v>
      </c>
      <c r="CT66" s="54">
        <f t="shared" si="769"/>
        <v>41.30888933938008</v>
      </c>
      <c r="CU66" s="54">
        <f t="shared" ref="CU66:DB66" si="771">(CU48-CU47)/CU65</f>
        <v>47.170729848986447</v>
      </c>
      <c r="CV66" s="54">
        <f t="shared" si="771"/>
        <v>48.504184003307934</v>
      </c>
      <c r="CW66" s="54">
        <f t="shared" si="771"/>
        <v>47.303902205591918</v>
      </c>
      <c r="CX66" s="54">
        <f t="shared" si="771"/>
        <v>46.599175946293478</v>
      </c>
      <c r="CY66" s="54">
        <f t="shared" si="771"/>
        <v>52.971272120856263</v>
      </c>
      <c r="CZ66" s="54">
        <f t="shared" si="771"/>
        <v>54.382421901620994</v>
      </c>
      <c r="DA66" s="54">
        <f t="shared" si="771"/>
        <v>53.061351499453934</v>
      </c>
      <c r="DB66" s="54">
        <f t="shared" si="771"/>
        <v>52.314200898252956</v>
      </c>
      <c r="DE66" s="132"/>
      <c r="DF66" s="53">
        <v>119.50000000000023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20.908000000000001</v>
      </c>
      <c r="Q67" s="3">
        <f>'Annual Raw'!R110</f>
        <v>30.28</v>
      </c>
      <c r="R67" s="3">
        <f>'Annual Raw'!S110</f>
        <v>7</v>
      </c>
      <c r="S67" s="3">
        <f>'Annual Raw'!T110</f>
        <v>16</v>
      </c>
      <c r="T67" s="3">
        <f>'Annual Raw'!U110</f>
        <v>21</v>
      </c>
      <c r="U67" s="3">
        <f>'Annual Raw'!V110</f>
        <v>21</v>
      </c>
      <c r="V67" s="3">
        <f>'Annual Raw'!W110</f>
        <v>22</v>
      </c>
      <c r="W67" s="3">
        <f>'Annual Raw'!X110</f>
        <v>35</v>
      </c>
      <c r="X67" s="3">
        <f>'Annual Raw'!Y110</f>
        <v>45</v>
      </c>
      <c r="Y67" s="3">
        <f>'Annual Raw'!Z110</f>
        <v>50</v>
      </c>
      <c r="Z67" s="3">
        <f>'Annual Raw'!AA110</f>
        <v>55</v>
      </c>
      <c r="AA67" s="3">
        <f>'Annual Raw'!AB110</f>
        <v>58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58</v>
      </c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72">C67/C66</f>
        <v>#DIV/0!</v>
      </c>
      <c r="D68" s="3" t="e">
        <f t="shared" si="772"/>
        <v>#DIV/0!</v>
      </c>
      <c r="E68" s="3" t="e">
        <f t="shared" ca="1" si="772"/>
        <v>#DIV/0!</v>
      </c>
      <c r="F68" s="3" t="e">
        <f t="shared" ca="1" si="772"/>
        <v>#DIV/0!</v>
      </c>
      <c r="G68" s="3" t="e">
        <f t="shared" ca="1" si="772"/>
        <v>#DIV/0!</v>
      </c>
      <c r="H68" s="3" t="e">
        <f t="shared" ca="1" si="772"/>
        <v>#DIV/0!</v>
      </c>
      <c r="I68" s="3" t="e">
        <f t="shared" ca="1" si="772"/>
        <v>#DIV/0!</v>
      </c>
      <c r="J68" s="3" t="e">
        <f t="shared" ca="1" si="772"/>
        <v>#DIV/0!</v>
      </c>
      <c r="K68" s="3" t="e">
        <f t="shared" ca="1" si="772"/>
        <v>#DIV/0!</v>
      </c>
      <c r="L68" s="3" t="e">
        <f t="shared" ca="1" si="772"/>
        <v>#DIV/0!</v>
      </c>
      <c r="M68" s="3" t="e">
        <f t="shared" ca="1" si="772"/>
        <v>#DIV/0!</v>
      </c>
      <c r="N68" s="3">
        <f t="shared" ca="1" si="772"/>
        <v>0</v>
      </c>
      <c r="O68" s="3">
        <f t="shared" ca="1" si="772"/>
        <v>0</v>
      </c>
      <c r="P68" s="3">
        <f t="shared" ca="1" si="772"/>
        <v>0.71285602627236722</v>
      </c>
      <c r="Q68" s="3">
        <f t="shared" ca="1" si="772"/>
        <v>0.76585063230732586</v>
      </c>
      <c r="R68" s="3">
        <f t="shared" ca="1" si="772"/>
        <v>0.17462932454695218</v>
      </c>
      <c r="S68" s="3">
        <f t="shared" ca="1" si="772"/>
        <v>0.33517786561264817</v>
      </c>
      <c r="T68" s="3">
        <f t="shared" ca="1" si="772"/>
        <v>0.2907523510971789</v>
      </c>
      <c r="U68" s="3">
        <f t="shared" ca="1" si="772"/>
        <v>0.2719276814072808</v>
      </c>
      <c r="V68" s="3">
        <f ca="1">V67/V66</f>
        <v>0.35157545605306789</v>
      </c>
      <c r="W68" s="3">
        <f t="shared" ref="W68" ca="1" si="773">W67/W66</f>
        <v>0.38766980146290519</v>
      </c>
      <c r="X68" s="3">
        <f t="shared" ref="X68:Y68" ca="1" si="774">X67/X66</f>
        <v>0.39353188680801865</v>
      </c>
      <c r="Y68" s="3">
        <f t="shared" ca="1" si="774"/>
        <v>0.40653524583876682</v>
      </c>
      <c r="Z68" s="3">
        <f t="shared" ref="Z68:AA68" ca="1" si="775">Z67/Z66</f>
        <v>0.46025104602510375</v>
      </c>
      <c r="AA68" s="3">
        <f t="shared" ca="1" si="775"/>
        <v>0.46025104602510375</v>
      </c>
      <c r="AB68" s="37">
        <f t="shared" ref="AB68:AD68" ca="1" si="776">AB67/AB66</f>
        <v>0</v>
      </c>
      <c r="AC68" s="37">
        <f t="shared" ca="1" si="776"/>
        <v>0</v>
      </c>
      <c r="AD68" s="37">
        <f t="shared" ca="1" si="776"/>
        <v>0</v>
      </c>
      <c r="AE68" s="37">
        <f t="shared" ref="AE68" ca="1" si="777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0.46025104602510375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78">+C66</f>
        <v>#DIV/0!</v>
      </c>
      <c r="D69" s="3" t="e">
        <f t="shared" si="778"/>
        <v>#DIV/0!</v>
      </c>
      <c r="E69" s="3">
        <f t="shared" ca="1" si="778"/>
        <v>0</v>
      </c>
      <c r="F69" s="3">
        <f t="shared" ca="1" si="778"/>
        <v>0</v>
      </c>
      <c r="G69" s="3">
        <f t="shared" ca="1" si="778"/>
        <v>0</v>
      </c>
      <c r="H69" s="3">
        <f t="shared" ca="1" si="778"/>
        <v>0</v>
      </c>
      <c r="I69" s="3">
        <f t="shared" ca="1" si="778"/>
        <v>0</v>
      </c>
      <c r="J69" s="3">
        <f t="shared" ca="1" si="778"/>
        <v>0</v>
      </c>
      <c r="K69" s="3">
        <f t="shared" ca="1" si="778"/>
        <v>0</v>
      </c>
      <c r="L69" s="3">
        <f t="shared" ca="1" si="778"/>
        <v>0</v>
      </c>
      <c r="M69" s="3">
        <f t="shared" ca="1" si="778"/>
        <v>0</v>
      </c>
      <c r="N69" s="3">
        <f t="shared" ca="1" si="778"/>
        <v>-2.8301886792452831E-4</v>
      </c>
      <c r="O69" s="3">
        <f t="shared" ca="1" si="778"/>
        <v>0.58622641509433959</v>
      </c>
      <c r="P69" s="3">
        <f t="shared" ca="1" si="778"/>
        <v>29.329905660377342</v>
      </c>
      <c r="Q69" s="3">
        <f t="shared" ca="1" si="778"/>
        <v>39.537735849056574</v>
      </c>
      <c r="R69" s="3">
        <f t="shared" ca="1" si="778"/>
        <v>40.084905660377366</v>
      </c>
      <c r="S69" s="3">
        <f t="shared" ca="1" si="778"/>
        <v>47.735849056603783</v>
      </c>
      <c r="T69" s="3">
        <f ca="1">+T66</f>
        <v>72.226415094339572</v>
      </c>
      <c r="U69" s="3">
        <f t="shared" ca="1" si="778"/>
        <v>77.2264150943396</v>
      </c>
      <c r="V69" s="3">
        <f ca="1">+V66</f>
        <v>62.575471698113226</v>
      </c>
      <c r="W69" s="3">
        <f t="shared" ref="W69" ca="1" si="779">+W66</f>
        <v>90.283018867924469</v>
      </c>
      <c r="X69" s="3">
        <f t="shared" ref="X69:Y69" ca="1" si="780">+X66</f>
        <v>114.34905660377373</v>
      </c>
      <c r="Y69" s="3">
        <f t="shared" ca="1" si="780"/>
        <v>122.99056603773577</v>
      </c>
      <c r="Z69" s="3">
        <f t="shared" ref="Z69:AA69" ca="1" si="781">+Z66</f>
        <v>119.50000000000023</v>
      </c>
      <c r="AA69" s="3">
        <f t="shared" ca="1" si="781"/>
        <v>119.50000000000023</v>
      </c>
      <c r="AB69" s="37">
        <f t="shared" ref="AB69:AD69" ca="1" si="782">+AB66</f>
        <v>146.6079432098841</v>
      </c>
      <c r="AC69" s="37">
        <f t="shared" ca="1" si="782"/>
        <v>167.83432050150489</v>
      </c>
      <c r="AD69" s="37">
        <f t="shared" ca="1" si="782"/>
        <v>189.57799200417969</v>
      </c>
      <c r="AE69" s="37">
        <f t="shared" ref="AE69" ca="1" si="783">+AE66</f>
        <v>212.72924642018415</v>
      </c>
      <c r="AL69" s="3">
        <f>SUM(AI66:AL66)</f>
        <v>0</v>
      </c>
      <c r="AM69" s="3">
        <f t="shared" ref="AM69" si="784">SUM(AJ66:AM66)</f>
        <v>0</v>
      </c>
      <c r="AN69" s="3">
        <f t="shared" ref="AN69" si="785">SUM(AK66:AN66)</f>
        <v>0</v>
      </c>
      <c r="AO69" s="3">
        <f t="shared" ref="AO69" si="786">SUM(AL66:AO66)</f>
        <v>0</v>
      </c>
      <c r="AP69" s="3">
        <f t="shared" ref="AP69" si="787">SUM(AM66:AP66)</f>
        <v>0</v>
      </c>
      <c r="AQ69" s="3">
        <f t="shared" ref="AQ69" si="788">SUM(AN66:AQ66)</f>
        <v>0</v>
      </c>
      <c r="AR69" s="3">
        <f t="shared" ref="AR69" si="789">SUM(AO66:AR66)</f>
        <v>0</v>
      </c>
      <c r="AS69" s="3">
        <f t="shared" ref="AS69" si="790">SUM(AP66:AS66)</f>
        <v>0</v>
      </c>
      <c r="AT69" s="3">
        <f t="shared" ref="AT69" si="791">SUM(AQ66:AT66)</f>
        <v>0</v>
      </c>
      <c r="AU69" s="3">
        <f t="shared" ref="AU69" si="792">SUM(AR66:AU66)</f>
        <v>0</v>
      </c>
      <c r="AV69" s="3">
        <f t="shared" ref="AV69" si="793">SUM(AS66:AV66)</f>
        <v>8.8301886792452819</v>
      </c>
      <c r="AW69" s="3">
        <f t="shared" ref="AW69" si="794">SUM(AT66:AW66)</f>
        <v>21.169811320754718</v>
      </c>
      <c r="AX69" s="3">
        <f t="shared" ref="AX69" si="795">SUM(AU66:AX66)</f>
        <v>31.452830188679243</v>
      </c>
      <c r="AY69" s="3">
        <f t="shared" ref="AY69" si="796">SUM(AV66:AY66)</f>
        <v>41.669811320754718</v>
      </c>
      <c r="AZ69" s="3">
        <f t="shared" ref="AZ69" si="797">SUM(AW66:AZ66)</f>
        <v>43.396226415094347</v>
      </c>
      <c r="BA69" s="3">
        <f t="shared" ref="BA69" si="798">SUM(AX66:BA66)</f>
        <v>41.311320754716981</v>
      </c>
      <c r="BB69" s="3">
        <f t="shared" ref="BB69" si="799">SUM(AY66:BB66)</f>
        <v>40.084905660377352</v>
      </c>
      <c r="BC69" s="3">
        <f t="shared" ref="BC69" si="800">SUM(AZ66:BC66)</f>
        <v>39.132075471698101</v>
      </c>
      <c r="BD69" s="3">
        <f t="shared" ref="BD69" si="801">SUM(BA66:BD66)</f>
        <v>40.150943396226396</v>
      </c>
      <c r="BE69" s="3">
        <f t="shared" ref="BE69" si="802">SUM(BB66:BE66)</f>
        <v>41.811320754716974</v>
      </c>
      <c r="BF69" s="3">
        <f t="shared" ref="BF69" si="803">SUM(BC66:BF66)</f>
        <v>47.735849056603769</v>
      </c>
      <c r="BG69" s="3">
        <f t="shared" ref="BG69" si="804">SUM(BD66:BG66)</f>
        <v>57.10377358490566</v>
      </c>
      <c r="BH69" s="3">
        <f t="shared" ref="BH69" si="805">SUM(BE66:BH66)</f>
        <v>63.547169811320757</v>
      </c>
      <c r="BI69" s="3">
        <f t="shared" ref="BI69" si="806">SUM(BF66:BI66)</f>
        <v>69.14150943396227</v>
      </c>
      <c r="BJ69" s="3">
        <f t="shared" ref="BJ69" si="807">SUM(BG66:BJ66)</f>
        <v>72.226415094339629</v>
      </c>
      <c r="BK69" s="3">
        <f t="shared" ref="BK69" si="808">SUM(BH66:BK66)</f>
        <v>72.830188679245282</v>
      </c>
      <c r="BL69" s="3">
        <f t="shared" ref="BL69" si="809">SUM(BI66:BL66)</f>
        <v>74.2264150943396</v>
      </c>
      <c r="BM69" s="3">
        <f t="shared" ref="BM69" si="810">SUM(BJ66:BM66)</f>
        <v>75.971698113207538</v>
      </c>
      <c r="BN69" s="3">
        <f t="shared" ref="BN69" si="811">SUM(BK66:BN66)</f>
        <v>77.2264150943396</v>
      </c>
      <c r="BO69" s="3">
        <f t="shared" ref="BO69" si="812">SUM(BL66:BO66)</f>
        <v>69.047169811320742</v>
      </c>
      <c r="BP69" s="3">
        <f t="shared" ref="BP69" si="813">SUM(BM66:BP66)</f>
        <v>65.245283018867923</v>
      </c>
      <c r="BQ69" s="3">
        <f t="shared" ref="BQ69" si="814">SUM(BN66:BQ66)</f>
        <v>63.547169811320742</v>
      </c>
      <c r="BR69" s="3">
        <f t="shared" ref="BR69" si="815">SUM(BO66:BR66)</f>
        <v>62.575471698113219</v>
      </c>
      <c r="BS69" s="3">
        <f t="shared" ref="BS69" si="816">SUM(BP66:BS66)</f>
        <v>71.915094339622655</v>
      </c>
      <c r="BT69" s="3">
        <f t="shared" ref="BT69" si="817">SUM(BQ66:BT66)</f>
        <v>78.000000000000014</v>
      </c>
      <c r="BU69" s="3">
        <f t="shared" ref="BU69" si="818">SUM(BR66:BU66)</f>
        <v>83.915094339622655</v>
      </c>
      <c r="BV69" s="3">
        <f t="shared" ref="BV69" si="819">SUM(BS66:BV66)</f>
        <v>90.28301886792454</v>
      </c>
      <c r="BW69" s="3">
        <f t="shared" ref="BW69" si="820">SUM(BT66:BW66)</f>
        <v>95.867924528301884</v>
      </c>
      <c r="BX69" s="3">
        <f t="shared" ref="BX69" si="821">SUM(BU66:BX66)</f>
        <v>102.4622641509434</v>
      </c>
      <c r="BY69" s="3">
        <f t="shared" ref="BY69" si="822">SUM(BV66:BY66)</f>
        <v>106.99056603773583</v>
      </c>
      <c r="BZ69" s="3">
        <f t="shared" ref="BZ69" si="823">SUM(BW66:BZ66)</f>
        <v>114.35849056603772</v>
      </c>
      <c r="CA69" s="3">
        <f t="shared" ref="CA69" si="824">SUM(BX66:CA66)</f>
        <v>117.7264150943396</v>
      </c>
      <c r="CB69" s="3">
        <f t="shared" ref="CB69" si="825">SUM(BY66:CB66)</f>
        <v>119.188679245283</v>
      </c>
      <c r="CC69" s="3">
        <f t="shared" ref="CC69" si="826">SUM(BZ66:CC66)</f>
        <v>122.90566037735847</v>
      </c>
      <c r="CD69" s="3">
        <f t="shared" ref="CD69" si="827">SUM(CA66:CD66)</f>
        <v>122.98113207547172</v>
      </c>
      <c r="CE69" s="3">
        <f t="shared" ref="CE69" si="828">SUM(CB66:CE66)</f>
        <v>123.21698113207549</v>
      </c>
      <c r="CF69" s="3">
        <f t="shared" ref="CF69" si="829">SUM(CC66:CF66)</f>
        <v>123.61320754716982</v>
      </c>
      <c r="CG69" s="3">
        <f t="shared" ref="CG69" si="830">SUM(CD66:CG66)</f>
        <v>122.31132075471697</v>
      </c>
      <c r="CH69" s="3">
        <f t="shared" ref="CH69:CL69" si="831">SUM(CE66:CH66)</f>
        <v>116.60377358490565</v>
      </c>
      <c r="CI69" s="3">
        <f t="shared" si="831"/>
        <v>116.80188679245285</v>
      </c>
      <c r="CJ69" s="3">
        <f t="shared" si="831"/>
        <v>117.66037735849061</v>
      </c>
      <c r="CK69" s="3">
        <f t="shared" si="831"/>
        <v>119.13207547169819</v>
      </c>
      <c r="CL69" s="3">
        <f t="shared" si="831"/>
        <v>126.30188679245288</v>
      </c>
      <c r="CM69" s="37">
        <f t="shared" ref="CM69" si="832">SUM(CJ66:CM66)</f>
        <v>132.70187885525979</v>
      </c>
      <c r="CN69" s="37">
        <f t="shared" ref="CN69" si="833">SUM(CK66:CN66)</f>
        <v>138.70277930066499</v>
      </c>
      <c r="CO69" s="37">
        <f t="shared" ref="CO69" si="834">SUM(CL66:CO66)</f>
        <v>143.77779459502457</v>
      </c>
      <c r="CP69" s="37">
        <f t="shared" ref="CP69" si="835">SUM(CM66:CP66)</f>
        <v>146.60794320988424</v>
      </c>
      <c r="CQ69" s="37">
        <f t="shared" ref="CQ69" si="836">SUM(CN66:CQ66)</f>
        <v>152.05941987060191</v>
      </c>
      <c r="CR69" s="37">
        <f t="shared" ref="CR69" si="837">SUM(CO66:CR66)</f>
        <v>157.96743903067423</v>
      </c>
      <c r="CS69" s="37">
        <f t="shared" ref="CS69" si="838">SUM(CP66:CS66)</f>
        <v>162.97822128641843</v>
      </c>
      <c r="CT69" s="37">
        <f t="shared" ref="CT69" si="839">SUM(CQ66:CT66)</f>
        <v>167.83432050150486</v>
      </c>
      <c r="CU69" s="37">
        <f t="shared" ref="CU69" si="840">SUM(CR66:CU66)</f>
        <v>173.3705627590422</v>
      </c>
      <c r="CV69" s="37">
        <f t="shared" ref="CV69" si="841">SUM(CS66:CV66)</f>
        <v>178.95639319460844</v>
      </c>
      <c r="CW69" s="37">
        <f t="shared" ref="CW69" si="842">SUM(CT66:CW66)</f>
        <v>184.28770539726639</v>
      </c>
      <c r="CX69" s="37">
        <f t="shared" ref="CX69" si="843">SUM(CU66:CX66)</f>
        <v>189.57799200417978</v>
      </c>
      <c r="CY69" s="37">
        <f t="shared" ref="CY69" si="844">SUM(CV66:CY66)</f>
        <v>195.37853427604961</v>
      </c>
      <c r="CZ69" s="37">
        <f t="shared" ref="CZ69" si="845">SUM(CW66:CZ66)</f>
        <v>201.25677217436265</v>
      </c>
      <c r="DA69" s="37">
        <f t="shared" ref="DA69" si="846">SUM(CX66:DA66)</f>
        <v>207.01422146822466</v>
      </c>
      <c r="DB69" s="37">
        <f t="shared" ref="DB69" si="847">SUM(CY66:DB66)</f>
        <v>212.72924642018413</v>
      </c>
      <c r="DE69" s="134"/>
      <c r="DF69" s="3">
        <v>119.50000000000023</v>
      </c>
    </row>
    <row r="70" spans="1:110" s="97" customFormat="1" x14ac:dyDescent="0.2">
      <c r="A70" s="97" t="s">
        <v>425</v>
      </c>
      <c r="C70" s="101" t="e">
        <f t="shared" ref="C70:AA70" si="848">+C69/B69-1</f>
        <v>#DIV/0!</v>
      </c>
      <c r="D70" s="101" t="e">
        <f t="shared" si="848"/>
        <v>#DIV/0!</v>
      </c>
      <c r="E70" s="101" t="e">
        <f t="shared" ca="1" si="848"/>
        <v>#DIV/0!</v>
      </c>
      <c r="F70" s="101" t="e">
        <f t="shared" ca="1" si="848"/>
        <v>#DIV/0!</v>
      </c>
      <c r="G70" s="101" t="e">
        <f t="shared" ca="1" si="848"/>
        <v>#DIV/0!</v>
      </c>
      <c r="H70" s="101" t="e">
        <f t="shared" ca="1" si="848"/>
        <v>#DIV/0!</v>
      </c>
      <c r="I70" s="101" t="e">
        <f t="shared" ca="1" si="848"/>
        <v>#DIV/0!</v>
      </c>
      <c r="J70" s="101" t="e">
        <f t="shared" ca="1" si="848"/>
        <v>#DIV/0!</v>
      </c>
      <c r="K70" s="101" t="e">
        <f t="shared" ca="1" si="848"/>
        <v>#DIV/0!</v>
      </c>
      <c r="L70" s="101" t="e">
        <f t="shared" ca="1" si="848"/>
        <v>#DIV/0!</v>
      </c>
      <c r="M70" s="101" t="e">
        <f t="shared" ca="1" si="848"/>
        <v>#DIV/0!</v>
      </c>
      <c r="N70" s="101" t="e">
        <f t="shared" ca="1" si="848"/>
        <v>#DIV/0!</v>
      </c>
      <c r="O70" s="101">
        <f t="shared" ca="1" si="848"/>
        <v>-2072.333333333333</v>
      </c>
      <c r="P70" s="101">
        <f t="shared" ca="1" si="848"/>
        <v>49.031702607016392</v>
      </c>
      <c r="Q70" s="101">
        <f t="shared" ca="1" si="848"/>
        <v>0.34803487971900626</v>
      </c>
      <c r="R70" s="101">
        <f t="shared" ca="1" si="848"/>
        <v>1.3839179193510853E-2</v>
      </c>
      <c r="S70" s="101">
        <f t="shared" ca="1" si="848"/>
        <v>0.19086843963285482</v>
      </c>
      <c r="T70" s="101">
        <f t="shared" ca="1" si="848"/>
        <v>0.51304347826086816</v>
      </c>
      <c r="U70" s="101">
        <f t="shared" ca="1" si="848"/>
        <v>6.9226750261233372E-2</v>
      </c>
      <c r="V70" s="101">
        <f t="shared" ca="1" si="848"/>
        <v>-0.18971414610310233</v>
      </c>
      <c r="W70" s="101">
        <f t="shared" ca="1" si="848"/>
        <v>0.44278606965173983</v>
      </c>
      <c r="X70" s="101">
        <f t="shared" ca="1" si="848"/>
        <v>0.26656217345872757</v>
      </c>
      <c r="Y70" s="101">
        <f t="shared" ca="1" si="848"/>
        <v>7.557132249814158E-2</v>
      </c>
      <c r="Z70" s="101">
        <f t="shared" ca="1" si="848"/>
        <v>-2.8380762445345376E-2</v>
      </c>
      <c r="AA70" s="101">
        <f t="shared" ca="1" si="848"/>
        <v>-2.8380762445345376E-2</v>
      </c>
      <c r="AB70" s="174">
        <f t="shared" ref="AB70" ca="1" si="849">+AB69/AA69-1</f>
        <v>0.160773975220176</v>
      </c>
      <c r="AC70" s="174">
        <f t="shared" ref="AC70" ca="1" si="850">+AC69/AB69-1</f>
        <v>0.14478326908408423</v>
      </c>
      <c r="AD70" s="174">
        <f t="shared" ref="AD70" ca="1" si="851">+AD69/AC69-1</f>
        <v>0.12955438099729921</v>
      </c>
      <c r="AE70" s="174">
        <f t="shared" ref="AE70" ca="1" si="852">+AE69/AD69-1</f>
        <v>0.12211994742245214</v>
      </c>
      <c r="AL70" s="176"/>
      <c r="AM70" s="176"/>
      <c r="AN70" s="176"/>
      <c r="AO70" s="176"/>
      <c r="AP70" s="176" t="e">
        <f t="shared" ref="AP70:CL70" si="853">+IF(AL69&lt;0,1-AP69/AL69,AP69/AL69-1)</f>
        <v>#DIV/0!</v>
      </c>
      <c r="AQ70" s="176" t="e">
        <f t="shared" si="853"/>
        <v>#DIV/0!</v>
      </c>
      <c r="AR70" s="176" t="e">
        <f t="shared" si="853"/>
        <v>#DIV/0!</v>
      </c>
      <c r="AS70" s="176" t="e">
        <f t="shared" si="853"/>
        <v>#DIV/0!</v>
      </c>
      <c r="AT70" s="176" t="e">
        <f t="shared" si="853"/>
        <v>#DIV/0!</v>
      </c>
      <c r="AU70" s="176" t="e">
        <f t="shared" si="853"/>
        <v>#DIV/0!</v>
      </c>
      <c r="AV70" s="176" t="e">
        <f t="shared" si="853"/>
        <v>#DIV/0!</v>
      </c>
      <c r="AW70" s="176" t="e">
        <f t="shared" si="853"/>
        <v>#DIV/0!</v>
      </c>
      <c r="AX70" s="176" t="e">
        <f t="shared" si="853"/>
        <v>#DIV/0!</v>
      </c>
      <c r="AY70" s="176" t="e">
        <f t="shared" si="853"/>
        <v>#DIV/0!</v>
      </c>
      <c r="AZ70" s="176">
        <f t="shared" si="853"/>
        <v>3.9145299145299157</v>
      </c>
      <c r="BA70" s="176">
        <f t="shared" si="853"/>
        <v>0.95142602495543671</v>
      </c>
      <c r="BB70" s="176">
        <f t="shared" si="853"/>
        <v>0.27444511097780433</v>
      </c>
      <c r="BC70" s="176">
        <f t="shared" si="853"/>
        <v>-6.0901064070636446E-2</v>
      </c>
      <c r="BD70" s="176">
        <f t="shared" si="853"/>
        <v>-7.4782608695652786E-2</v>
      </c>
      <c r="BE70" s="176">
        <f t="shared" si="853"/>
        <v>1.2103219913222052E-2</v>
      </c>
      <c r="BF70" s="176">
        <f t="shared" si="853"/>
        <v>0.19086843963285482</v>
      </c>
      <c r="BG70" s="176">
        <f t="shared" si="853"/>
        <v>0.45925747348119628</v>
      </c>
      <c r="BH70" s="176">
        <f t="shared" si="853"/>
        <v>0.58270676691729406</v>
      </c>
      <c r="BI70" s="176">
        <f t="shared" si="853"/>
        <v>0.65365523465704012</v>
      </c>
      <c r="BJ70" s="176">
        <f t="shared" si="853"/>
        <v>0.51304347826086993</v>
      </c>
      <c r="BK70" s="176">
        <f t="shared" si="853"/>
        <v>0.27540062778787378</v>
      </c>
      <c r="BL70" s="176">
        <f t="shared" si="853"/>
        <v>0.16805225653206612</v>
      </c>
      <c r="BM70" s="176">
        <f t="shared" si="853"/>
        <v>9.8785646063582755E-2</v>
      </c>
      <c r="BN70" s="176">
        <f t="shared" si="853"/>
        <v>6.9226750261232706E-2</v>
      </c>
      <c r="BO70" s="176">
        <f t="shared" si="853"/>
        <v>-5.1943005181347313E-2</v>
      </c>
      <c r="BP70" s="176">
        <f t="shared" si="853"/>
        <v>-0.12099644128113851</v>
      </c>
      <c r="BQ70" s="176">
        <f t="shared" si="853"/>
        <v>-0.16354153731528631</v>
      </c>
      <c r="BR70" s="176">
        <f t="shared" si="853"/>
        <v>-0.18971414610310244</v>
      </c>
      <c r="BS70" s="176">
        <f t="shared" si="853"/>
        <v>4.1535728924716908E-2</v>
      </c>
      <c r="BT70" s="176">
        <f t="shared" si="853"/>
        <v>0.1954887218045116</v>
      </c>
      <c r="BU70" s="176">
        <f t="shared" si="853"/>
        <v>0.32051662707838524</v>
      </c>
      <c r="BV70" s="176">
        <f t="shared" si="853"/>
        <v>0.44278606965174117</v>
      </c>
      <c r="BW70" s="176">
        <f t="shared" si="853"/>
        <v>0.33307096943460546</v>
      </c>
      <c r="BX70" s="176">
        <f t="shared" si="853"/>
        <v>0.31361877116594084</v>
      </c>
      <c r="BY70" s="176">
        <f t="shared" si="853"/>
        <v>0.27498594716132607</v>
      </c>
      <c r="BZ70" s="176">
        <f t="shared" si="853"/>
        <v>0.26666666666666639</v>
      </c>
      <c r="CA70" s="176">
        <f t="shared" si="853"/>
        <v>0.22800629797283989</v>
      </c>
      <c r="CB70" s="176">
        <f t="shared" si="853"/>
        <v>0.16324463677377743</v>
      </c>
      <c r="CC70" s="176">
        <f t="shared" si="853"/>
        <v>0.14875231461070459</v>
      </c>
      <c r="CD70" s="176">
        <f t="shared" si="853"/>
        <v>7.5400098993565701E-2</v>
      </c>
      <c r="CE70" s="176">
        <f t="shared" si="853"/>
        <v>4.6638352432086139E-2</v>
      </c>
      <c r="CF70" s="176">
        <f t="shared" si="853"/>
        <v>3.7122051606775619E-2</v>
      </c>
      <c r="CG70" s="176">
        <f t="shared" si="853"/>
        <v>-4.8357384095792932E-3</v>
      </c>
      <c r="CH70" s="176">
        <f t="shared" si="853"/>
        <v>-5.1856397667996545E-2</v>
      </c>
      <c r="CI70" s="176">
        <f t="shared" si="853"/>
        <v>-5.2063394839598764E-2</v>
      </c>
      <c r="CJ70" s="176">
        <f t="shared" si="853"/>
        <v>-4.8156910631152905E-2</v>
      </c>
      <c r="CK70" s="176">
        <f t="shared" si="853"/>
        <v>-2.5993058233705457E-2</v>
      </c>
      <c r="CL70" s="176">
        <f t="shared" si="853"/>
        <v>8.3171521035599216E-2</v>
      </c>
      <c r="CM70" s="102">
        <f t="shared" ref="CM70:DB70" si="854">+IF(CI69&lt;0,1-CM69/CI69,CM69/CI69-1)</f>
        <v>0.13612787001514715</v>
      </c>
      <c r="CN70" s="102">
        <f t="shared" si="854"/>
        <v>0.17884017045144995</v>
      </c>
      <c r="CO70" s="102">
        <f t="shared" si="854"/>
        <v>0.20687727487112739</v>
      </c>
      <c r="CP70" s="102">
        <f t="shared" si="854"/>
        <v>0.16077397522017667</v>
      </c>
      <c r="CQ70" s="102">
        <f t="shared" si="854"/>
        <v>0.1458723959474284</v>
      </c>
      <c r="CR70" s="102">
        <f t="shared" si="854"/>
        <v>0.13889166336205405</v>
      </c>
      <c r="CS70" s="102">
        <f t="shared" si="854"/>
        <v>0.13354236476832337</v>
      </c>
      <c r="CT70" s="102">
        <f t="shared" si="854"/>
        <v>0.1447832690840829</v>
      </c>
      <c r="CU70" s="102">
        <f t="shared" si="854"/>
        <v>0.14015009991867289</v>
      </c>
      <c r="CV70" s="102">
        <f t="shared" si="854"/>
        <v>0.13286886394264186</v>
      </c>
      <c r="CW70" s="102">
        <f t="shared" si="854"/>
        <v>0.13075050115683018</v>
      </c>
      <c r="CX70" s="102">
        <f t="shared" si="854"/>
        <v>0.12955438099729988</v>
      </c>
      <c r="CY70" s="102">
        <f t="shared" si="854"/>
        <v>0.12694180123066801</v>
      </c>
      <c r="CZ70" s="102">
        <f t="shared" si="854"/>
        <v>0.12461348031027519</v>
      </c>
      <c r="DA70" s="102">
        <f t="shared" si="854"/>
        <v>0.1233208478122132</v>
      </c>
      <c r="DB70" s="102">
        <f t="shared" si="854"/>
        <v>0.12211994742245147</v>
      </c>
      <c r="DE70" s="135"/>
      <c r="DF70" s="97">
        <v>-2.8380762445345376E-2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>
        <v>147.69999999999999</v>
      </c>
      <c r="CQ71" s="145"/>
      <c r="CR71" s="145"/>
      <c r="CS71" s="145"/>
      <c r="CT71" s="145">
        <v>169.7</v>
      </c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>
        <f>CP69/CP71-1</f>
        <v>-7.393749425292806E-3</v>
      </c>
      <c r="CQ72" s="145"/>
      <c r="CR72" s="145"/>
      <c r="CS72" s="145"/>
      <c r="CT72" s="145">
        <f>CT69/CT71-1</f>
        <v>-1.0993986437802694E-2</v>
      </c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100</v>
      </c>
      <c r="Q73" s="3">
        <f>'Annual Raw'!R112</f>
        <v>100</v>
      </c>
      <c r="R73" s="3">
        <f>'Annual Raw'!S112</f>
        <v>89.77</v>
      </c>
      <c r="S73" s="3">
        <f>'Annual Raw'!T112</f>
        <v>88.81</v>
      </c>
      <c r="T73" s="3">
        <f>'Annual Raw'!U112</f>
        <v>78.88</v>
      </c>
      <c r="U73" s="3">
        <f>'Annual Raw'!V112</f>
        <v>74.62</v>
      </c>
      <c r="V73" s="3">
        <f>'Annual Raw'!W112</f>
        <v>74.239999999999995</v>
      </c>
      <c r="W73" s="3">
        <f>'Annual Raw'!X112</f>
        <v>73.900000000000006</v>
      </c>
      <c r="X73" s="3">
        <f>'Annual Raw'!Y112</f>
        <v>73.849999999999994</v>
      </c>
      <c r="Y73" s="3">
        <f>'Annual Raw'!Z112</f>
        <v>73.739999999999995</v>
      </c>
      <c r="Z73" s="3">
        <f>'Annual Raw'!AA112</f>
        <v>73.66</v>
      </c>
      <c r="AA73" s="3">
        <f>'Annual Raw'!AB112</f>
        <v>73.569999999999993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100</v>
      </c>
      <c r="AY73" s="3">
        <f>'QTR Raw'!S49</f>
        <v>0</v>
      </c>
      <c r="AZ73" s="3">
        <f>'QTR Raw'!T49</f>
        <v>89.77</v>
      </c>
      <c r="BA73" s="3">
        <f>'QTR Raw'!U49</f>
        <v>89.77</v>
      </c>
      <c r="BB73" s="3">
        <f>'QTR Raw'!V49</f>
        <v>89.77</v>
      </c>
      <c r="BC73" s="3">
        <f>'QTR Raw'!W49</f>
        <v>89.77</v>
      </c>
      <c r="BD73" s="3">
        <f>'QTR Raw'!X49</f>
        <v>89.51</v>
      </c>
      <c r="BE73" s="3">
        <f>'QTR Raw'!Y49</f>
        <v>89.28</v>
      </c>
      <c r="BF73" s="3">
        <f>'QTR Raw'!Z49</f>
        <v>88.81</v>
      </c>
      <c r="BG73" s="3">
        <f>'QTR Raw'!AA49</f>
        <v>87.1</v>
      </c>
      <c r="BH73" s="3">
        <f>'QTR Raw'!AB49</f>
        <v>80.66</v>
      </c>
      <c r="BI73" s="3">
        <f>'QTR Raw'!AC49</f>
        <v>80.41</v>
      </c>
      <c r="BJ73" s="3">
        <f>'QTR Raw'!AD49</f>
        <v>78.88</v>
      </c>
      <c r="BK73" s="3">
        <f>'QTR Raw'!AE49</f>
        <v>74.97</v>
      </c>
      <c r="BL73" s="3">
        <f>'QTR Raw'!AF49</f>
        <v>74.97</v>
      </c>
      <c r="BM73" s="3">
        <f>'QTR Raw'!AG49</f>
        <v>74.739999999999995</v>
      </c>
      <c r="BN73" s="3">
        <f>'QTR Raw'!AH49</f>
        <v>74.62</v>
      </c>
      <c r="BO73" s="3">
        <f>'QTR Raw'!AI49</f>
        <v>74.599999999999994</v>
      </c>
      <c r="BP73" s="3">
        <f>'QTR Raw'!AJ49</f>
        <v>74.36</v>
      </c>
      <c r="BQ73" s="3">
        <f>'QTR Raw'!AK49</f>
        <v>74.27</v>
      </c>
      <c r="BR73" s="3">
        <f>'QTR Raw'!AL49</f>
        <v>74.239999999999995</v>
      </c>
      <c r="BS73" s="3">
        <f>'QTR Raw'!AM49</f>
        <v>74.23</v>
      </c>
      <c r="BT73" s="3">
        <f>'QTR Raw'!AN49</f>
        <v>74.150000000000006</v>
      </c>
      <c r="BU73" s="3">
        <f>'QTR Raw'!AO49</f>
        <v>73.930000000000007</v>
      </c>
      <c r="BV73" s="3">
        <f>'QTR Raw'!AP49</f>
        <v>73.900000000000006</v>
      </c>
      <c r="BW73" s="3">
        <f>'QTR Raw'!AQ49</f>
        <v>73.88</v>
      </c>
      <c r="BX73" s="3">
        <f>'QTR Raw'!AR49</f>
        <v>73.87</v>
      </c>
      <c r="BY73" s="3">
        <f>'QTR Raw'!AS49</f>
        <v>73.849999999999994</v>
      </c>
      <c r="BZ73" s="3">
        <f>'QTR Raw'!AT49</f>
        <v>73.849999999999994</v>
      </c>
      <c r="CA73" s="3">
        <f>'QTR Raw'!AU49</f>
        <v>73.8</v>
      </c>
      <c r="CB73" s="3">
        <f>'QTR Raw'!AV49</f>
        <v>73.77</v>
      </c>
      <c r="CC73" s="3">
        <f>'QTR Raw'!AW49</f>
        <v>73.75</v>
      </c>
      <c r="CD73" s="3">
        <f>'QTR Raw'!AX49</f>
        <v>73.739999999999995</v>
      </c>
      <c r="CE73" s="3">
        <f>'QTR Raw'!AY49</f>
        <v>73.69</v>
      </c>
      <c r="CF73" s="3">
        <f>'QTR Raw'!AZ49</f>
        <v>73.69</v>
      </c>
      <c r="CG73" s="3">
        <f>'QTR Raw'!BA49</f>
        <v>73.66</v>
      </c>
      <c r="CH73" s="3">
        <f>'QTR Raw'!BB49</f>
        <v>73.66</v>
      </c>
      <c r="CI73" s="3">
        <f>'QTR Raw'!BC49</f>
        <v>73.59</v>
      </c>
      <c r="CJ73" s="3">
        <f>'QTR Raw'!BD49</f>
        <v>73.58</v>
      </c>
      <c r="CK73" s="3">
        <f>'QTR Raw'!BE49</f>
        <v>73.58</v>
      </c>
      <c r="CL73" s="3">
        <f>'QTR Raw'!BF49</f>
        <v>73.569999999999993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73.569999999999993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782.6</v>
      </c>
      <c r="S77" s="13">
        <f>'Annual Raw'!T106</f>
        <v>1239.5999999999999</v>
      </c>
      <c r="T77" s="13">
        <f>'Annual Raw'!U106</f>
        <v>1571.1</v>
      </c>
      <c r="U77" s="13">
        <f>'Annual Raw'!V106</f>
        <v>1162.4000000000001</v>
      </c>
      <c r="V77" s="13">
        <f>'Annual Raw'!W106</f>
        <v>2654.8</v>
      </c>
      <c r="W77" s="13">
        <f>'Annual Raw'!X106</f>
        <v>5102.05</v>
      </c>
      <c r="X77" s="13">
        <f>'Annual Raw'!Y106</f>
        <v>3376.5</v>
      </c>
      <c r="Y77" s="13">
        <f>'Annual Raw'!Z106</f>
        <v>5480.25</v>
      </c>
      <c r="Z77" s="13">
        <f>'Annual Raw'!AA106</f>
        <v>4500.8999999999996</v>
      </c>
      <c r="AA77" s="13">
        <f>'Annual Raw'!AB106</f>
        <v>3120</v>
      </c>
      <c r="AB77" s="37">
        <f>+CP77</f>
        <v>3120</v>
      </c>
      <c r="AC77" s="37">
        <f>+CT77</f>
        <v>3120</v>
      </c>
      <c r="AD77" s="37">
        <f>+CX77</f>
        <v>3120</v>
      </c>
      <c r="AE77" s="37">
        <f>+DB77</f>
        <v>3120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843.4</v>
      </c>
      <c r="BA77" s="13">
        <f>'QTR Share Price'!IG21</f>
        <v>786.95</v>
      </c>
      <c r="BB77" s="13">
        <f>'QTR Share Price'!IH21</f>
        <v>782.6</v>
      </c>
      <c r="BC77" s="13">
        <f>'QTR Share Price'!II21</f>
        <v>719.4</v>
      </c>
      <c r="BD77" s="13">
        <f>'QTR Share Price'!IJ21</f>
        <v>782.8</v>
      </c>
      <c r="BE77" s="13">
        <f>'QTR Share Price'!IK21</f>
        <v>1021.35</v>
      </c>
      <c r="BF77" s="13">
        <f>'QTR Share Price'!IL21</f>
        <v>1239.5999999999999</v>
      </c>
      <c r="BG77" s="13">
        <f>'QTR Share Price'!IM21</f>
        <v>1215.4000000000001</v>
      </c>
      <c r="BH77" s="13">
        <f>'QTR Share Price'!IN21</f>
        <v>1722.65</v>
      </c>
      <c r="BI77" s="13">
        <f>'QTR Share Price'!IO21</f>
        <v>1711.3</v>
      </c>
      <c r="BJ77" s="13">
        <f>'QTR Share Price'!IP21</f>
        <v>1571.1</v>
      </c>
      <c r="BK77" s="13">
        <f>'QTR Share Price'!IQ21</f>
        <v>1747.3</v>
      </c>
      <c r="BL77" s="13">
        <f>'QTR Share Price'!IR21</f>
        <v>1522.9</v>
      </c>
      <c r="BM77" s="13">
        <f>'QTR Share Price'!IS21</f>
        <v>1465.6</v>
      </c>
      <c r="BN77" s="13">
        <f>'QTR Share Price'!IT21</f>
        <v>1162.4000000000001</v>
      </c>
      <c r="BO77" s="13">
        <f>'QTR Share Price'!IU21</f>
        <v>1284.2</v>
      </c>
      <c r="BP77" s="13">
        <f>'QTR Share Price'!IV21</f>
        <v>1615.9</v>
      </c>
      <c r="BQ77" s="13">
        <f>'QTR Share Price'!IW21</f>
        <v>2338.8000000000002</v>
      </c>
      <c r="BR77" s="13">
        <f>'QTR Share Price'!IX21</f>
        <v>2654.8</v>
      </c>
      <c r="BS77" s="13">
        <f>'QTR Share Price'!IY21</f>
        <v>2903.45</v>
      </c>
      <c r="BT77" s="13">
        <f>'QTR Share Price'!IZ21</f>
        <v>4696.2</v>
      </c>
      <c r="BU77" s="13">
        <f>'QTR Share Price'!JA21</f>
        <v>5599.05</v>
      </c>
      <c r="BV77" s="13">
        <f>'QTR Share Price'!JB21</f>
        <v>5102.05</v>
      </c>
      <c r="BW77" s="13">
        <f>'QTR Share Price'!JC21</f>
        <v>3028.8</v>
      </c>
      <c r="BX77" s="13">
        <f>'QTR Share Price'!JD21</f>
        <v>3602.2</v>
      </c>
      <c r="BY77" s="13">
        <f>'QTR Share Price'!JE21</f>
        <v>3684.45</v>
      </c>
      <c r="BZ77" s="13">
        <f>'QTR Share Price'!JF21</f>
        <v>3376.5</v>
      </c>
      <c r="CA77" s="13">
        <f>'QTR Share Price'!JG21</f>
        <v>3931.7</v>
      </c>
      <c r="CB77" s="13">
        <f>'QTR Share Price'!JH21</f>
        <v>4574.8</v>
      </c>
      <c r="CC77" s="13">
        <f>'QTR Share Price'!JI21</f>
        <v>5256.25</v>
      </c>
      <c r="CD77" s="13">
        <f>'QTR Share Price'!JJ21</f>
        <v>5480.25</v>
      </c>
      <c r="CE77" s="13">
        <f>'QTR Share Price'!JK21</f>
        <v>4908.55</v>
      </c>
      <c r="CF77" s="13">
        <f>'QTR Share Price'!JL21</f>
        <v>5345.05</v>
      </c>
      <c r="CG77" s="13">
        <f>'QTR Share Price'!JM21</f>
        <v>4734.95</v>
      </c>
      <c r="CH77" s="13">
        <f>'QTR Share Price'!JN21</f>
        <v>4500.8999999999996</v>
      </c>
      <c r="CI77" s="13">
        <f>'QTR Share Price'!JO21</f>
        <v>4397.1000000000004</v>
      </c>
      <c r="CJ77" s="13">
        <f>'QTR Share Price'!JP21</f>
        <v>4114.3</v>
      </c>
      <c r="CK77" s="13">
        <f>'QTR Share Price'!JQ21</f>
        <v>4458.55</v>
      </c>
      <c r="CL77" s="13">
        <f>'QTR Share Price'!JR21</f>
        <v>3120</v>
      </c>
      <c r="CM77" s="37">
        <f t="shared" ref="CM77" si="855">+CL77</f>
        <v>3120</v>
      </c>
      <c r="CN77" s="37">
        <f t="shared" ref="CN77" si="856">+CM77</f>
        <v>3120</v>
      </c>
      <c r="CO77" s="37">
        <f t="shared" ref="CO77" si="857">+CN77</f>
        <v>3120</v>
      </c>
      <c r="CP77" s="37">
        <f t="shared" ref="CP77" si="858">+CO77</f>
        <v>3120</v>
      </c>
      <c r="CQ77" s="37">
        <f t="shared" ref="CQ77" si="859">+CP77</f>
        <v>3120</v>
      </c>
      <c r="CR77" s="37">
        <f t="shared" ref="CR77" si="860">+CQ77</f>
        <v>3120</v>
      </c>
      <c r="CS77" s="37">
        <f t="shared" ref="CS77" si="861">+CR77</f>
        <v>3120</v>
      </c>
      <c r="CT77" s="37">
        <f t="shared" ref="CT77" si="862">+CS77</f>
        <v>3120</v>
      </c>
      <c r="CU77" s="37">
        <f t="shared" ref="CU77" si="863">+CT77</f>
        <v>3120</v>
      </c>
      <c r="CV77" s="37">
        <f t="shared" ref="CV77" si="864">+CU77</f>
        <v>3120</v>
      </c>
      <c r="CW77" s="37">
        <f t="shared" ref="CW77" si="865">+CV77</f>
        <v>3120</v>
      </c>
      <c r="CX77" s="37">
        <f t="shared" ref="CX77" si="866">+CW77</f>
        <v>3120</v>
      </c>
      <c r="CY77" s="37">
        <f t="shared" ref="CY77" si="867">+CX77</f>
        <v>3120</v>
      </c>
      <c r="CZ77" s="37">
        <f t="shared" ref="CZ77" si="868">+CY77</f>
        <v>3120</v>
      </c>
      <c r="DA77" s="37">
        <f t="shared" ref="DA77" si="869">+CZ77</f>
        <v>3120</v>
      </c>
      <c r="DB77" s="37">
        <f t="shared" ref="DB77" si="870">+DA77</f>
        <v>3120</v>
      </c>
      <c r="DE77" s="134"/>
      <c r="DF77" s="13">
        <v>3120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931</v>
      </c>
      <c r="S78" s="13">
        <f>'Annual Raw'!T107</f>
        <v>1547</v>
      </c>
      <c r="T78" s="13">
        <f>'Annual Raw'!U107</f>
        <v>1852.5</v>
      </c>
      <c r="U78" s="13">
        <f>'Annual Raw'!V107</f>
        <v>1817.75</v>
      </c>
      <c r="V78" s="13">
        <f>'Annual Raw'!W107</f>
        <v>2858.35</v>
      </c>
      <c r="W78" s="13">
        <f>'Annual Raw'!X107</f>
        <v>5958.1</v>
      </c>
      <c r="X78" s="13">
        <f>'Annual Raw'!Y107</f>
        <v>5294.7</v>
      </c>
      <c r="Y78" s="13">
        <f>'Annual Raw'!Z107</f>
        <v>5675</v>
      </c>
      <c r="Z78" s="13">
        <f>'Annual Raw'!AA107</f>
        <v>5990</v>
      </c>
      <c r="AA78" s="13">
        <f>'Annual Raw'!AB107</f>
        <v>4746.95</v>
      </c>
      <c r="AB78" s="37">
        <f>+MAX(CM78:CP78)</f>
        <v>5229.112642270612</v>
      </c>
      <c r="AC78" s="37">
        <f>+MAX(CQ78:CT78)</f>
        <v>5986.2006650274589</v>
      </c>
      <c r="AD78" s="37">
        <f>+MAX(CU78:CX78)</f>
        <v>6761.7391867107162</v>
      </c>
      <c r="AE78" s="37">
        <f>+MAX(CY78:DB78)</f>
        <v>7587.4824206761587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931</v>
      </c>
      <c r="BA78" s="13">
        <f>'QTR Share Price'!IG19</f>
        <v>864.95</v>
      </c>
      <c r="BB78" s="13">
        <f>'QTR Share Price'!IH19</f>
        <v>855</v>
      </c>
      <c r="BC78" s="13">
        <f>'QTR Share Price'!II19</f>
        <v>799.95</v>
      </c>
      <c r="BD78" s="13">
        <f>'QTR Share Price'!IJ19</f>
        <v>802</v>
      </c>
      <c r="BE78" s="13">
        <f>'QTR Share Price'!IK19</f>
        <v>1124.4000000000001</v>
      </c>
      <c r="BF78" s="13">
        <f>'QTR Share Price'!IL19</f>
        <v>1547</v>
      </c>
      <c r="BG78" s="13">
        <f>'QTR Share Price'!IM19</f>
        <v>1380</v>
      </c>
      <c r="BH78" s="13">
        <f>'QTR Share Price'!IN19</f>
        <v>1852.5</v>
      </c>
      <c r="BI78" s="13">
        <f>'QTR Share Price'!IO19</f>
        <v>1773</v>
      </c>
      <c r="BJ78" s="13">
        <f>'QTR Share Price'!IP19</f>
        <v>1746.95</v>
      </c>
      <c r="BK78" s="13">
        <f>'QTR Share Price'!IQ19</f>
        <v>1817.75</v>
      </c>
      <c r="BL78" s="13">
        <f>'QTR Share Price'!IR19</f>
        <v>1768</v>
      </c>
      <c r="BM78" s="13">
        <f>'QTR Share Price'!IS19</f>
        <v>1657</v>
      </c>
      <c r="BN78" s="13">
        <f>'QTR Share Price'!IT19</f>
        <v>1780</v>
      </c>
      <c r="BO78" s="13">
        <f>'QTR Share Price'!IU19</f>
        <v>1415.3</v>
      </c>
      <c r="BP78" s="13">
        <f>'QTR Share Price'!IV19</f>
        <v>1697.5</v>
      </c>
      <c r="BQ78" s="13">
        <f>'QTR Share Price'!IW19</f>
        <v>2435.1999999999998</v>
      </c>
      <c r="BR78" s="13">
        <f>'QTR Share Price'!IX19</f>
        <v>2858.35</v>
      </c>
      <c r="BS78" s="13">
        <f>'QTR Share Price'!IY19</f>
        <v>3062.45</v>
      </c>
      <c r="BT78" s="13">
        <f>'QTR Share Price'!IZ19</f>
        <v>5000</v>
      </c>
      <c r="BU78" s="13">
        <f>'QTR Share Price'!JA19</f>
        <v>5819.2</v>
      </c>
      <c r="BV78" s="13">
        <f>'QTR Share Price'!JB19</f>
        <v>5958.1</v>
      </c>
      <c r="BW78" s="13">
        <f>'QTR Share Price'!JC19</f>
        <v>5294.7</v>
      </c>
      <c r="BX78" s="13">
        <f>'QTR Share Price'!JD19</f>
        <v>3942</v>
      </c>
      <c r="BY78" s="13">
        <f>'QTR Share Price'!JE19</f>
        <v>4316.75</v>
      </c>
      <c r="BZ78" s="13">
        <f>'QTR Share Price'!JF19</f>
        <v>3840</v>
      </c>
      <c r="CA78" s="13">
        <f>'QTR Share Price'!JG19</f>
        <v>4031.95</v>
      </c>
      <c r="CB78" s="13">
        <f>'QTR Share Price'!JH19</f>
        <v>4797.95</v>
      </c>
      <c r="CC78" s="13">
        <f>'QTR Share Price'!JI19</f>
        <v>5365</v>
      </c>
      <c r="CD78" s="13">
        <f>'QTR Share Price'!JJ19</f>
        <v>5675</v>
      </c>
      <c r="CE78" s="13">
        <f>'QTR Share Price'!JK19</f>
        <v>5884.95</v>
      </c>
      <c r="CF78" s="13">
        <f>'QTR Share Price'!JL19</f>
        <v>5990</v>
      </c>
      <c r="CG78" s="13">
        <f>'QTR Share Price'!JM19</f>
        <v>5549.1</v>
      </c>
      <c r="CH78" s="13">
        <f>'QTR Share Price'!JN19</f>
        <v>5647.35</v>
      </c>
      <c r="CI78" s="13">
        <f>'QTR Share Price'!JO19</f>
        <v>4660.6499999999996</v>
      </c>
      <c r="CJ78" s="13">
        <f>'QTR Share Price'!JP19</f>
        <v>4500</v>
      </c>
      <c r="CK78" s="13">
        <f>'QTR Share Price'!JQ19</f>
        <v>4746.95</v>
      </c>
      <c r="CL78" s="13">
        <f>'QTR Share Price'!JR19</f>
        <v>4504.8500000000004</v>
      </c>
      <c r="CM78" s="37">
        <f t="shared" ref="CM78:DB78" si="871">+CM69*CM86</f>
        <v>4733.1205743858973</v>
      </c>
      <c r="CN78" s="37">
        <f t="shared" si="871"/>
        <v>4947.1566197531856</v>
      </c>
      <c r="CO78" s="37">
        <f t="shared" si="871"/>
        <v>5128.1688217827905</v>
      </c>
      <c r="CP78" s="37">
        <f t="shared" si="871"/>
        <v>5229.112642270612</v>
      </c>
      <c r="CQ78" s="37">
        <f t="shared" si="871"/>
        <v>5423.5522128796356</v>
      </c>
      <c r="CR78" s="37">
        <f t="shared" si="871"/>
        <v>5634.2754315833017</v>
      </c>
      <c r="CS78" s="37">
        <f t="shared" si="871"/>
        <v>5812.9966131748515</v>
      </c>
      <c r="CT78" s="37">
        <f t="shared" si="871"/>
        <v>5986.2006650274589</v>
      </c>
      <c r="CU78" s="37">
        <f t="shared" si="871"/>
        <v>6183.6635974288556</v>
      </c>
      <c r="CV78" s="37">
        <f t="shared" si="871"/>
        <v>6382.8952073177134</v>
      </c>
      <c r="CW78" s="37">
        <f t="shared" si="871"/>
        <v>6573.0488335704194</v>
      </c>
      <c r="CX78" s="37">
        <f t="shared" si="871"/>
        <v>6761.7391867107162</v>
      </c>
      <c r="CY78" s="37">
        <f t="shared" si="871"/>
        <v>6968.6289926909876</v>
      </c>
      <c r="CZ78" s="37">
        <f t="shared" si="871"/>
        <v>7178.2899935573487</v>
      </c>
      <c r="DA78" s="37">
        <f t="shared" si="871"/>
        <v>7383.6427884374025</v>
      </c>
      <c r="DB78" s="37">
        <f t="shared" si="871"/>
        <v>7587.4824206761587</v>
      </c>
      <c r="DE78" s="134"/>
      <c r="DF78" s="13">
        <v>4746.95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735</v>
      </c>
      <c r="S79" s="13">
        <f>'Annual Raw'!T108</f>
        <v>671</v>
      </c>
      <c r="T79" s="13">
        <f>'Annual Raw'!U108</f>
        <v>1150</v>
      </c>
      <c r="U79" s="13">
        <f>'Annual Raw'!V108</f>
        <v>995</v>
      </c>
      <c r="V79" s="13">
        <f>'Annual Raw'!W108</f>
        <v>1066.45</v>
      </c>
      <c r="W79" s="13">
        <f>'Annual Raw'!X108</f>
        <v>2476.4</v>
      </c>
      <c r="X79" s="13">
        <f>'Annual Raw'!Y108</f>
        <v>2923.35</v>
      </c>
      <c r="Y79" s="13">
        <f>'Annual Raw'!Z108</f>
        <v>3308.25</v>
      </c>
      <c r="Z79" s="13">
        <f>'Annual Raw'!AA108</f>
        <v>4228</v>
      </c>
      <c r="AA79" s="13">
        <f>'Annual Raw'!AB108</f>
        <v>3046.85</v>
      </c>
      <c r="AB79" s="37">
        <f>+MIN(CM79:CP79)</f>
        <v>3201.2405345500224</v>
      </c>
      <c r="AC79" s="37">
        <f>+MIN(CQ79:CT79)</f>
        <v>3668.2131613288607</v>
      </c>
      <c r="AD79" s="37">
        <f>+MIN(CU79:CX79)</f>
        <v>4182.3136024120913</v>
      </c>
      <c r="AE79" s="37">
        <f>+MIN(CY79:DB79)</f>
        <v>4713.2240244138065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735</v>
      </c>
      <c r="BB79" s="13">
        <f>+'QTR Share Price'!IH20</f>
        <v>762</v>
      </c>
      <c r="BC79" s="13">
        <f>+'QTR Share Price'!II20</f>
        <v>671</v>
      </c>
      <c r="BD79" s="13">
        <f>+'QTR Share Price'!IJ20</f>
        <v>712</v>
      </c>
      <c r="BE79" s="13">
        <f>+'QTR Share Price'!IK20</f>
        <v>765</v>
      </c>
      <c r="BF79" s="13">
        <f>+'QTR Share Price'!IL20</f>
        <v>976</v>
      </c>
      <c r="BG79" s="13">
        <f>+'QTR Share Price'!IM20</f>
        <v>1150</v>
      </c>
      <c r="BH79" s="13">
        <f>+'QTR Share Price'!IN20</f>
        <v>1192.5</v>
      </c>
      <c r="BI79" s="13">
        <f>+'QTR Share Price'!IO20</f>
        <v>1370.5</v>
      </c>
      <c r="BJ79" s="13">
        <f>+'QTR Share Price'!IP20</f>
        <v>1405</v>
      </c>
      <c r="BK79" s="13">
        <f>+'QTR Share Price'!IQ20</f>
        <v>1563.05</v>
      </c>
      <c r="BL79" s="13">
        <f>+'QTR Share Price'!IR20</f>
        <v>1415.5</v>
      </c>
      <c r="BM79" s="13">
        <f>+'QTR Share Price'!IS20</f>
        <v>1395.6</v>
      </c>
      <c r="BN79" s="13">
        <f>+'QTR Share Price'!IT20</f>
        <v>995</v>
      </c>
      <c r="BO79" s="13">
        <f>+'QTR Share Price'!IU20</f>
        <v>1066.45</v>
      </c>
      <c r="BP79" s="13">
        <f>+'QTR Share Price'!IV20</f>
        <v>1251.5</v>
      </c>
      <c r="BQ79" s="13">
        <f>+'QTR Share Price'!IW20</f>
        <v>1575.1</v>
      </c>
      <c r="BR79" s="13">
        <f>+'QTR Share Price'!IX20</f>
        <v>2301.4</v>
      </c>
      <c r="BS79" s="13">
        <f>+'QTR Share Price'!IY20</f>
        <v>2476.4</v>
      </c>
      <c r="BT79" s="13">
        <f>+'QTR Share Price'!IZ20</f>
        <v>2801.2</v>
      </c>
      <c r="BU79" s="13">
        <f>+'QTR Share Price'!JA20</f>
        <v>4335.1000000000004</v>
      </c>
      <c r="BV79" s="13">
        <f>+'QTR Share Price'!JB20</f>
        <v>4180</v>
      </c>
      <c r="BW79" s="13">
        <f>+'QTR Share Price'!JC20</f>
        <v>3007</v>
      </c>
      <c r="BX79" s="13">
        <f>+'QTR Share Price'!JD20</f>
        <v>2923.35</v>
      </c>
      <c r="BY79" s="13">
        <f>+'QTR Share Price'!JE20</f>
        <v>3427.6</v>
      </c>
      <c r="BZ79" s="13">
        <f>+'QTR Share Price'!JF20</f>
        <v>3218</v>
      </c>
      <c r="CA79" s="13">
        <f>+'QTR Share Price'!JG20</f>
        <v>3308.25</v>
      </c>
      <c r="CB79" s="13">
        <f>+'QTR Share Price'!JH20</f>
        <v>3822.25</v>
      </c>
      <c r="CC79" s="13">
        <f>+'QTR Share Price'!JI20</f>
        <v>4107.2</v>
      </c>
      <c r="CD79" s="13">
        <f>+'QTR Share Price'!JJ20</f>
        <v>5061.95</v>
      </c>
      <c r="CE79" s="13">
        <f>+'QTR Share Price'!JK20</f>
        <v>4228</v>
      </c>
      <c r="CF79" s="13">
        <f>+'QTR Share Price'!JL20</f>
        <v>4710.05</v>
      </c>
      <c r="CG79" s="13">
        <f>+'QTR Share Price'!JM20</f>
        <v>4652.05</v>
      </c>
      <c r="CH79" s="13">
        <f>+'QTR Share Price'!JN20</f>
        <v>4318.3999999999996</v>
      </c>
      <c r="CI79" s="13">
        <f>+'QTR Share Price'!JO20</f>
        <v>3855</v>
      </c>
      <c r="CJ79" s="13">
        <f>+'QTR Share Price'!JP20</f>
        <v>3970</v>
      </c>
      <c r="CK79" s="13">
        <f>+'QTR Share Price'!JQ20</f>
        <v>4024.05</v>
      </c>
      <c r="CL79" s="13">
        <f>+'QTR Share Price'!JR20</f>
        <v>3046.85</v>
      </c>
      <c r="CM79" s="37">
        <f t="shared" ref="CM79:DB79" si="872">+CM87*CM69</f>
        <v>3201.2405345500224</v>
      </c>
      <c r="CN79" s="37">
        <f t="shared" si="872"/>
        <v>3346.0035621374723</v>
      </c>
      <c r="CO79" s="37">
        <f t="shared" si="872"/>
        <v>3468.4309521180271</v>
      </c>
      <c r="CP79" s="37">
        <f t="shared" si="872"/>
        <v>3536.7041863995946</v>
      </c>
      <c r="CQ79" s="37">
        <f t="shared" si="872"/>
        <v>3668.2131613288607</v>
      </c>
      <c r="CR79" s="37">
        <f t="shared" si="872"/>
        <v>3810.7355624981037</v>
      </c>
      <c r="CS79" s="37">
        <f t="shared" si="872"/>
        <v>3931.6134234995161</v>
      </c>
      <c r="CT79" s="37">
        <f t="shared" si="872"/>
        <v>4048.7597802898899</v>
      </c>
      <c r="CU79" s="37">
        <f t="shared" si="872"/>
        <v>4182.3136024120913</v>
      </c>
      <c r="CV79" s="37">
        <f t="shared" si="872"/>
        <v>4317.0636674730504</v>
      </c>
      <c r="CW79" s="37">
        <f t="shared" si="872"/>
        <v>4445.6738489769987</v>
      </c>
      <c r="CX79" s="37">
        <f t="shared" si="872"/>
        <v>4573.294347432111</v>
      </c>
      <c r="CY79" s="37">
        <f t="shared" si="872"/>
        <v>4713.2240244138065</v>
      </c>
      <c r="CZ79" s="37">
        <f t="shared" si="872"/>
        <v>4855.0279957979083</v>
      </c>
      <c r="DA79" s="37">
        <f t="shared" si="872"/>
        <v>4993.9181171294267</v>
      </c>
      <c r="DB79" s="37">
        <f t="shared" si="872"/>
        <v>5131.7848126879144</v>
      </c>
      <c r="DE79" s="134"/>
      <c r="DF79" s="13">
        <v>3046.85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3">+AB78/AB77-1</f>
        <v>0.67599764175340127</v>
      </c>
      <c r="AC81" s="48">
        <f t="shared" si="873"/>
        <v>0.91865405930367272</v>
      </c>
      <c r="AD81" s="48">
        <f t="shared" si="873"/>
        <v>1.1672240983047169</v>
      </c>
      <c r="AE81" s="48">
        <f t="shared" ref="AE81" si="874">+AE78/AE77-1</f>
        <v>1.4318853912423584</v>
      </c>
      <c r="CM81" s="48">
        <f t="shared" ref="CM81:DB81" si="875">+CM78/CM77-1</f>
        <v>0.517025825123685</v>
      </c>
      <c r="CN81" s="48">
        <f t="shared" si="875"/>
        <v>0.5856271217157647</v>
      </c>
      <c r="CO81" s="48">
        <f t="shared" si="875"/>
        <v>0.64364385313550976</v>
      </c>
      <c r="CP81" s="48">
        <f t="shared" si="875"/>
        <v>0.67599764175340127</v>
      </c>
      <c r="CQ81" s="48">
        <f t="shared" si="875"/>
        <v>0.73831801694860122</v>
      </c>
      <c r="CR81" s="48">
        <f t="shared" si="875"/>
        <v>0.80585751012285312</v>
      </c>
      <c r="CS81" s="48">
        <f t="shared" si="875"/>
        <v>0.86313994012014472</v>
      </c>
      <c r="CT81" s="48">
        <f t="shared" si="875"/>
        <v>0.91865405930367272</v>
      </c>
      <c r="CU81" s="48">
        <f t="shared" si="875"/>
        <v>0.98194346071437688</v>
      </c>
      <c r="CV81" s="48">
        <f t="shared" si="875"/>
        <v>1.0457997459351644</v>
      </c>
      <c r="CW81" s="48">
        <f t="shared" si="875"/>
        <v>1.1067464210161599</v>
      </c>
      <c r="CX81" s="48">
        <f t="shared" si="875"/>
        <v>1.1672240983047169</v>
      </c>
      <c r="CY81" s="48">
        <f t="shared" si="875"/>
        <v>1.2335349335548038</v>
      </c>
      <c r="CZ81" s="48">
        <f t="shared" si="875"/>
        <v>1.3007339722940219</v>
      </c>
      <c r="DA81" s="48">
        <f t="shared" si="875"/>
        <v>1.3665521757812189</v>
      </c>
      <c r="DB81" s="48">
        <f t="shared" si="875"/>
        <v>1.4318853912423584</v>
      </c>
      <c r="DE81" s="129"/>
    </row>
    <row r="82" spans="1:110" s="51" customFormat="1" x14ac:dyDescent="0.2">
      <c r="A82" s="51" t="s">
        <v>347</v>
      </c>
      <c r="AB82" s="48">
        <f t="shared" ref="AB82:AD82" si="876">+AB79/AB77-1</f>
        <v>2.6038632868596867E-2</v>
      </c>
      <c r="AC82" s="48">
        <f t="shared" si="876"/>
        <v>0.175709346579763</v>
      </c>
      <c r="AD82" s="48">
        <f t="shared" si="876"/>
        <v>0.34048512897823446</v>
      </c>
      <c r="AE82" s="48">
        <f t="shared" ref="AE82" si="877">+AE79/AE77-1</f>
        <v>0.51064872577365605</v>
      </c>
      <c r="CM82" s="48">
        <f t="shared" ref="CM82:DB82" si="878">+CM79/CM77-1</f>
        <v>2.6038632868596867E-2</v>
      </c>
      <c r="CN82" s="48">
        <f t="shared" si="878"/>
        <v>7.2437039146625803E-2</v>
      </c>
      <c r="CO82" s="48">
        <f t="shared" si="878"/>
        <v>0.11167658721731644</v>
      </c>
      <c r="CP82" s="48">
        <f t="shared" si="878"/>
        <v>0.13355903410243419</v>
      </c>
      <c r="CQ82" s="48">
        <f t="shared" si="878"/>
        <v>0.175709346579763</v>
      </c>
      <c r="CR82" s="48">
        <f t="shared" si="878"/>
        <v>0.22138960336477687</v>
      </c>
      <c r="CS82" s="48">
        <f t="shared" si="878"/>
        <v>0.2601325075318961</v>
      </c>
      <c r="CT82" s="48">
        <f t="shared" si="878"/>
        <v>0.29767941675958021</v>
      </c>
      <c r="CU82" s="48">
        <f t="shared" si="878"/>
        <v>0.34048512897823446</v>
      </c>
      <c r="CV82" s="48">
        <f t="shared" si="878"/>
        <v>0.38367425239520836</v>
      </c>
      <c r="CW82" s="48">
        <f t="shared" si="878"/>
        <v>0.4248954644157048</v>
      </c>
      <c r="CX82" s="48">
        <f t="shared" si="878"/>
        <v>0.46579947033080482</v>
      </c>
      <c r="CY82" s="48">
        <f t="shared" si="878"/>
        <v>0.51064872577365605</v>
      </c>
      <c r="CZ82" s="48">
        <f t="shared" si="878"/>
        <v>0.55609871660189358</v>
      </c>
      <c r="DA82" s="48">
        <f t="shared" si="878"/>
        <v>0.60061478113122657</v>
      </c>
      <c r="DB82" s="48">
        <f t="shared" si="878"/>
        <v>0.6448028245794597</v>
      </c>
      <c r="DE82" s="129"/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79">+B77/B69</f>
        <v>#DIV/0!</v>
      </c>
      <c r="C85" s="13" t="e">
        <f t="shared" si="879"/>
        <v>#DIV/0!</v>
      </c>
      <c r="D85" s="13" t="e">
        <f t="shared" si="879"/>
        <v>#DIV/0!</v>
      </c>
      <c r="E85" s="13" t="e">
        <f t="shared" ref="E85:AE85" ca="1" si="880">+E77/E69</f>
        <v>#DIV/0!</v>
      </c>
      <c r="F85" s="13" t="e">
        <f t="shared" ca="1" si="880"/>
        <v>#DIV/0!</v>
      </c>
      <c r="G85" s="13" t="e">
        <f t="shared" ca="1" si="880"/>
        <v>#DIV/0!</v>
      </c>
      <c r="H85" s="13" t="e">
        <f t="shared" ca="1" si="880"/>
        <v>#DIV/0!</v>
      </c>
      <c r="I85" s="13" t="e">
        <f t="shared" ca="1" si="880"/>
        <v>#DIV/0!</v>
      </c>
      <c r="J85" s="13" t="e">
        <f t="shared" ca="1" si="880"/>
        <v>#DIV/0!</v>
      </c>
      <c r="K85" s="13" t="e">
        <f t="shared" ca="1" si="880"/>
        <v>#DIV/0!</v>
      </c>
      <c r="L85" s="13" t="e">
        <f t="shared" ca="1" si="880"/>
        <v>#DIV/0!</v>
      </c>
      <c r="M85" s="13" t="e">
        <f t="shared" ca="1" si="880"/>
        <v>#DIV/0!</v>
      </c>
      <c r="N85" s="13">
        <f t="shared" ca="1" si="880"/>
        <v>0</v>
      </c>
      <c r="O85" s="13">
        <f t="shared" ca="1" si="880"/>
        <v>0</v>
      </c>
      <c r="P85" s="13">
        <f t="shared" ca="1" si="880"/>
        <v>0</v>
      </c>
      <c r="Q85" s="13">
        <f t="shared" ca="1" si="880"/>
        <v>0</v>
      </c>
      <c r="R85" s="13">
        <f t="shared" ca="1" si="880"/>
        <v>19.523558484349255</v>
      </c>
      <c r="S85" s="13">
        <f t="shared" ca="1" si="880"/>
        <v>25.967905138339916</v>
      </c>
      <c r="T85" s="13">
        <f t="shared" ca="1" si="880"/>
        <v>21.752429467084653</v>
      </c>
      <c r="U85" s="13">
        <f t="shared" ca="1" si="880"/>
        <v>15.051844612753488</v>
      </c>
      <c r="V85" s="13">
        <f t="shared" ca="1" si="880"/>
        <v>42.425569124076574</v>
      </c>
      <c r="W85" s="13">
        <f t="shared" ca="1" si="880"/>
        <v>56.511734587251865</v>
      </c>
      <c r="X85" s="13">
        <f t="shared" ca="1" si="880"/>
        <v>29.528009240161666</v>
      </c>
      <c r="Y85" s="13">
        <f t="shared" ca="1" si="880"/>
        <v>44.558295620158042</v>
      </c>
      <c r="Z85" s="13">
        <f t="shared" ref="Z85:AA85" ca="1" si="881">+Z77/Z69</f>
        <v>37.664435146443438</v>
      </c>
      <c r="AA85" s="13">
        <f t="shared" ca="1" si="881"/>
        <v>37.664435146443438</v>
      </c>
      <c r="AB85" s="37">
        <f t="shared" ca="1" si="880"/>
        <v>21.281248012144911</v>
      </c>
      <c r="AC85" s="37">
        <f t="shared" ca="1" si="880"/>
        <v>18.589761561742222</v>
      </c>
      <c r="AD85" s="37">
        <f t="shared" ca="1" si="880"/>
        <v>16.45760653447164</v>
      </c>
      <c r="AE85" s="37">
        <f t="shared" ca="1" si="880"/>
        <v>14.666530589956382</v>
      </c>
      <c r="AL85" s="13" t="e">
        <f t="shared" ref="AL85:BQ85" si="882">+AL77/AL69</f>
        <v>#DIV/0!</v>
      </c>
      <c r="AM85" s="13" t="e">
        <f t="shared" si="882"/>
        <v>#DIV/0!</v>
      </c>
      <c r="AN85" s="13" t="e">
        <f t="shared" si="882"/>
        <v>#DIV/0!</v>
      </c>
      <c r="AO85" s="13" t="e">
        <f t="shared" si="882"/>
        <v>#DIV/0!</v>
      </c>
      <c r="AP85" s="13" t="e">
        <f t="shared" si="882"/>
        <v>#DIV/0!</v>
      </c>
      <c r="AQ85" s="13" t="e">
        <f t="shared" si="882"/>
        <v>#DIV/0!</v>
      </c>
      <c r="AR85" s="13" t="e">
        <f t="shared" si="882"/>
        <v>#DIV/0!</v>
      </c>
      <c r="AS85" s="13" t="e">
        <f t="shared" si="882"/>
        <v>#DIV/0!</v>
      </c>
      <c r="AT85" s="13" t="e">
        <f t="shared" si="882"/>
        <v>#DIV/0!</v>
      </c>
      <c r="AU85" s="13" t="e">
        <f t="shared" si="882"/>
        <v>#DIV/0!</v>
      </c>
      <c r="AV85" s="13">
        <f t="shared" si="882"/>
        <v>0</v>
      </c>
      <c r="AW85" s="13">
        <f t="shared" si="882"/>
        <v>0</v>
      </c>
      <c r="AX85" s="13">
        <f t="shared" si="882"/>
        <v>0</v>
      </c>
      <c r="AY85" s="13">
        <f t="shared" si="882"/>
        <v>0</v>
      </c>
      <c r="AZ85" s="13">
        <f t="shared" si="882"/>
        <v>19.434869565217387</v>
      </c>
      <c r="BA85" s="13">
        <f t="shared" si="882"/>
        <v>19.049257821420419</v>
      </c>
      <c r="BB85" s="13">
        <f t="shared" si="882"/>
        <v>19.523558484349262</v>
      </c>
      <c r="BC85" s="13">
        <f t="shared" si="882"/>
        <v>18.38389585342334</v>
      </c>
      <c r="BD85" s="13">
        <f t="shared" si="882"/>
        <v>19.496428571428581</v>
      </c>
      <c r="BE85" s="13">
        <f t="shared" si="882"/>
        <v>24.427594765342967</v>
      </c>
      <c r="BF85" s="13">
        <f t="shared" si="882"/>
        <v>25.967905138339923</v>
      </c>
      <c r="BG85" s="13">
        <f t="shared" si="882"/>
        <v>21.284057492152652</v>
      </c>
      <c r="BH85" s="13">
        <f t="shared" si="882"/>
        <v>27.108209619952493</v>
      </c>
      <c r="BI85" s="13">
        <f t="shared" si="882"/>
        <v>24.750689043525718</v>
      </c>
      <c r="BJ85" s="13">
        <f t="shared" si="882"/>
        <v>21.752429467084635</v>
      </c>
      <c r="BK85" s="13">
        <f t="shared" si="882"/>
        <v>23.991424870466322</v>
      </c>
      <c r="BL85" s="13">
        <f t="shared" si="882"/>
        <v>20.51695475343163</v>
      </c>
      <c r="BM85" s="13">
        <f t="shared" si="882"/>
        <v>19.291394511362228</v>
      </c>
      <c r="BN85" s="13">
        <f t="shared" si="882"/>
        <v>15.051844612753488</v>
      </c>
      <c r="BO85" s="13">
        <f t="shared" si="882"/>
        <v>18.598879628364536</v>
      </c>
      <c r="BP85" s="13">
        <f t="shared" si="882"/>
        <v>24.76654135338346</v>
      </c>
      <c r="BQ85" s="13">
        <f t="shared" si="882"/>
        <v>36.804156769596212</v>
      </c>
      <c r="BR85" s="13">
        <f t="shared" ref="BR85:DB85" si="883">+BR77/BR69</f>
        <v>42.425569124076581</v>
      </c>
      <c r="BS85" s="13">
        <f t="shared" si="883"/>
        <v>40.373304473304465</v>
      </c>
      <c r="BT85" s="13">
        <f t="shared" si="883"/>
        <v>60.207692307692291</v>
      </c>
      <c r="BU85" s="13">
        <f t="shared" si="883"/>
        <v>66.72279932546374</v>
      </c>
      <c r="BV85" s="13">
        <f t="shared" si="883"/>
        <v>56.511734587251823</v>
      </c>
      <c r="BW85" s="13">
        <f t="shared" si="883"/>
        <v>31.593465853178511</v>
      </c>
      <c r="BX85" s="13">
        <f t="shared" si="883"/>
        <v>35.156357609796515</v>
      </c>
      <c r="BY85" s="13">
        <f t="shared" si="883"/>
        <v>34.437148399612028</v>
      </c>
      <c r="BZ85" s="13">
        <f t="shared" si="883"/>
        <v>29.525573337733054</v>
      </c>
      <c r="CA85" s="13">
        <f t="shared" si="883"/>
        <v>33.396922830355003</v>
      </c>
      <c r="CB85" s="13">
        <f t="shared" si="883"/>
        <v>38.382839955675173</v>
      </c>
      <c r="CC85" s="13">
        <f t="shared" si="883"/>
        <v>42.766541295670869</v>
      </c>
      <c r="CD85" s="13">
        <f t="shared" si="883"/>
        <v>44.561713715863753</v>
      </c>
      <c r="CE85" s="13">
        <f t="shared" si="883"/>
        <v>39.836635785927569</v>
      </c>
      <c r="CF85" s="13">
        <f t="shared" si="883"/>
        <v>43.240120583072574</v>
      </c>
      <c r="CG85" s="13">
        <f t="shared" si="883"/>
        <v>38.712279213266484</v>
      </c>
      <c r="CH85" s="13">
        <f t="shared" si="883"/>
        <v>38.599951456310677</v>
      </c>
      <c r="CI85" s="13">
        <f t="shared" ref="CI85:CJ85" si="884">+CI77/CI69</f>
        <v>37.645795977707778</v>
      </c>
      <c r="CJ85" s="13">
        <f t="shared" si="884"/>
        <v>34.967591404746621</v>
      </c>
      <c r="CK85" s="13">
        <f t="shared" ref="CK85:CL85" si="885">+CK77/CK69</f>
        <v>37.425269242952147</v>
      </c>
      <c r="CL85" s="13">
        <f t="shared" si="885"/>
        <v>24.702718852703907</v>
      </c>
      <c r="CM85" s="37">
        <f t="shared" si="883"/>
        <v>23.511347592923212</v>
      </c>
      <c r="CN85" s="37">
        <f t="shared" si="883"/>
        <v>22.494141903507206</v>
      </c>
      <c r="CO85" s="37">
        <f t="shared" si="883"/>
        <v>21.700152021305016</v>
      </c>
      <c r="CP85" s="37">
        <f t="shared" si="883"/>
        <v>21.281248012144889</v>
      </c>
      <c r="CQ85" s="37">
        <f t="shared" si="883"/>
        <v>20.518294773549894</v>
      </c>
      <c r="CR85" s="37">
        <f t="shared" si="883"/>
        <v>19.750905750862721</v>
      </c>
      <c r="CS85" s="37">
        <f t="shared" si="883"/>
        <v>19.143662112478836</v>
      </c>
      <c r="CT85" s="37">
        <f t="shared" si="883"/>
        <v>18.589761561742225</v>
      </c>
      <c r="CU85" s="37">
        <f t="shared" si="883"/>
        <v>17.996134697539794</v>
      </c>
      <c r="CV85" s="37">
        <f t="shared" si="883"/>
        <v>17.434414855506816</v>
      </c>
      <c r="CW85" s="37">
        <f t="shared" si="883"/>
        <v>16.930049637734978</v>
      </c>
      <c r="CX85" s="37">
        <f t="shared" si="883"/>
        <v>16.457606534471633</v>
      </c>
      <c r="CY85" s="37">
        <f t="shared" si="883"/>
        <v>15.969000952744192</v>
      </c>
      <c r="CZ85" s="37">
        <f t="shared" si="883"/>
        <v>15.502583919496276</v>
      </c>
      <c r="DA85" s="37">
        <f t="shared" si="883"/>
        <v>15.07142831961861</v>
      </c>
      <c r="DB85" s="37">
        <f t="shared" si="883"/>
        <v>14.666530589956384</v>
      </c>
      <c r="DE85" s="134"/>
      <c r="DF85" s="13">
        <v>37.664435146443438</v>
      </c>
    </row>
    <row r="86" spans="1:110" s="13" customFormat="1" x14ac:dyDescent="0.2">
      <c r="A86" s="13" t="s">
        <v>461</v>
      </c>
      <c r="B86" s="13" t="e">
        <f t="shared" ref="B86:D86" si="886">+B78/B69</f>
        <v>#DIV/0!</v>
      </c>
      <c r="C86" s="13" t="e">
        <f t="shared" si="886"/>
        <v>#DIV/0!</v>
      </c>
      <c r="D86" s="13" t="e">
        <f t="shared" si="886"/>
        <v>#DIV/0!</v>
      </c>
      <c r="E86" s="13" t="e">
        <f t="shared" ref="E86:AE86" ca="1" si="887">+E78/E69</f>
        <v>#DIV/0!</v>
      </c>
      <c r="F86" s="13" t="e">
        <f t="shared" ca="1" si="887"/>
        <v>#DIV/0!</v>
      </c>
      <c r="G86" s="13" t="e">
        <f t="shared" ca="1" si="887"/>
        <v>#DIV/0!</v>
      </c>
      <c r="H86" s="13" t="e">
        <f t="shared" ca="1" si="887"/>
        <v>#DIV/0!</v>
      </c>
      <c r="I86" s="13" t="e">
        <f t="shared" ca="1" si="887"/>
        <v>#DIV/0!</v>
      </c>
      <c r="J86" s="13" t="e">
        <f t="shared" ca="1" si="887"/>
        <v>#DIV/0!</v>
      </c>
      <c r="K86" s="13" t="e">
        <f t="shared" ca="1" si="887"/>
        <v>#DIV/0!</v>
      </c>
      <c r="L86" s="13" t="e">
        <f t="shared" ca="1" si="887"/>
        <v>#DIV/0!</v>
      </c>
      <c r="M86" s="13" t="e">
        <f t="shared" ca="1" si="887"/>
        <v>#DIV/0!</v>
      </c>
      <c r="N86" s="13">
        <f t="shared" ca="1" si="887"/>
        <v>0</v>
      </c>
      <c r="O86" s="13">
        <f t="shared" ca="1" si="887"/>
        <v>0</v>
      </c>
      <c r="P86" s="13">
        <f t="shared" ca="1" si="887"/>
        <v>0</v>
      </c>
      <c r="Q86" s="13">
        <f t="shared" ca="1" si="887"/>
        <v>0</v>
      </c>
      <c r="R86" s="13">
        <f t="shared" ca="1" si="887"/>
        <v>23.225700164744641</v>
      </c>
      <c r="S86" s="13">
        <f t="shared" ca="1" si="887"/>
        <v>32.407509881422918</v>
      </c>
      <c r="T86" s="13">
        <f t="shared" ca="1" si="887"/>
        <v>25.648510971786852</v>
      </c>
      <c r="U86" s="13">
        <f t="shared" ca="1" si="887"/>
        <v>23.537930613242128</v>
      </c>
      <c r="V86" s="13">
        <f t="shared" ca="1" si="887"/>
        <v>45.678441127694846</v>
      </c>
      <c r="W86" s="13">
        <f t="shared" ca="1" si="887"/>
        <v>65.993584117032441</v>
      </c>
      <c r="X86" s="13">
        <f t="shared" ca="1" si="887"/>
        <v>46.302961801831472</v>
      </c>
      <c r="Y86" s="13">
        <f t="shared" ca="1" si="887"/>
        <v>46.141750402700033</v>
      </c>
      <c r="Z86" s="13">
        <f t="shared" ref="Z86:AA86" ca="1" si="888">+Z78/Z69</f>
        <v>50.125523012552208</v>
      </c>
      <c r="AA86" s="13">
        <f t="shared" ca="1" si="888"/>
        <v>50.125523012552208</v>
      </c>
      <c r="AB86" s="60">
        <f t="shared" ca="1" si="887"/>
        <v>35.667321481924127</v>
      </c>
      <c r="AC86" s="60">
        <f t="shared" ca="1" si="887"/>
        <v>35.667321481924091</v>
      </c>
      <c r="AD86" s="60">
        <f t="shared" ca="1" si="887"/>
        <v>35.667321481924112</v>
      </c>
      <c r="AE86" s="60">
        <f t="shared" ca="1" si="887"/>
        <v>35.667321481924098</v>
      </c>
      <c r="AL86" s="13" t="e">
        <f t="shared" ref="AL86:BQ86" si="889">+AL78/AL69</f>
        <v>#DIV/0!</v>
      </c>
      <c r="AM86" s="13" t="e">
        <f t="shared" si="889"/>
        <v>#DIV/0!</v>
      </c>
      <c r="AN86" s="13" t="e">
        <f t="shared" si="889"/>
        <v>#DIV/0!</v>
      </c>
      <c r="AO86" s="13" t="e">
        <f t="shared" si="889"/>
        <v>#DIV/0!</v>
      </c>
      <c r="AP86" s="13" t="e">
        <f t="shared" si="889"/>
        <v>#DIV/0!</v>
      </c>
      <c r="AQ86" s="13" t="e">
        <f t="shared" si="889"/>
        <v>#DIV/0!</v>
      </c>
      <c r="AR86" s="13" t="e">
        <f t="shared" si="889"/>
        <v>#DIV/0!</v>
      </c>
      <c r="AS86" s="13" t="e">
        <f t="shared" si="889"/>
        <v>#DIV/0!</v>
      </c>
      <c r="AT86" s="13" t="e">
        <f t="shared" si="889"/>
        <v>#DIV/0!</v>
      </c>
      <c r="AU86" s="13" t="e">
        <f t="shared" si="889"/>
        <v>#DIV/0!</v>
      </c>
      <c r="AV86" s="13">
        <f t="shared" si="889"/>
        <v>0</v>
      </c>
      <c r="AW86" s="13">
        <f t="shared" si="889"/>
        <v>0</v>
      </c>
      <c r="AX86" s="13">
        <f t="shared" si="889"/>
        <v>0</v>
      </c>
      <c r="AY86" s="13">
        <f t="shared" si="889"/>
        <v>0</v>
      </c>
      <c r="AZ86" s="13">
        <f t="shared" si="889"/>
        <v>21.453478260869563</v>
      </c>
      <c r="BA86" s="13">
        <f t="shared" si="889"/>
        <v>20.937360127883078</v>
      </c>
      <c r="BB86" s="13">
        <f t="shared" si="889"/>
        <v>21.329724641092024</v>
      </c>
      <c r="BC86" s="13">
        <f t="shared" si="889"/>
        <v>20.442309546769536</v>
      </c>
      <c r="BD86" s="13">
        <f t="shared" si="889"/>
        <v>19.974624060150386</v>
      </c>
      <c r="BE86" s="13">
        <f t="shared" si="889"/>
        <v>26.89223826714802</v>
      </c>
      <c r="BF86" s="13">
        <f t="shared" si="889"/>
        <v>32.407509881422925</v>
      </c>
      <c r="BG86" s="13">
        <f t="shared" si="889"/>
        <v>24.166528993887329</v>
      </c>
      <c r="BH86" s="13">
        <f t="shared" si="889"/>
        <v>29.151573634204276</v>
      </c>
      <c r="BI86" s="13">
        <f t="shared" si="889"/>
        <v>25.64306180925092</v>
      </c>
      <c r="BJ86" s="13">
        <f t="shared" si="889"/>
        <v>24.187134273772202</v>
      </c>
      <c r="BK86" s="13">
        <f t="shared" si="889"/>
        <v>24.958743523316063</v>
      </c>
      <c r="BL86" s="13">
        <f t="shared" si="889"/>
        <v>23.819013726487043</v>
      </c>
      <c r="BM86" s="13">
        <f t="shared" si="889"/>
        <v>21.81075375636409</v>
      </c>
      <c r="BN86" s="13">
        <f t="shared" si="889"/>
        <v>23.049108233569516</v>
      </c>
      <c r="BO86" s="13">
        <f t="shared" si="889"/>
        <v>20.497581636835637</v>
      </c>
      <c r="BP86" s="13">
        <f t="shared" si="889"/>
        <v>26.017206477732795</v>
      </c>
      <c r="BQ86" s="13">
        <f t="shared" si="889"/>
        <v>38.32114014251782</v>
      </c>
      <c r="BR86" s="13">
        <f t="shared" ref="BR86:CH86" si="890">+BR78/BR69</f>
        <v>45.678441127694846</v>
      </c>
      <c r="BS86" s="13">
        <f t="shared" si="890"/>
        <v>42.584245047881403</v>
      </c>
      <c r="BT86" s="13">
        <f t="shared" si="890"/>
        <v>64.102564102564088</v>
      </c>
      <c r="BU86" s="13">
        <f t="shared" si="890"/>
        <v>69.346284429454741</v>
      </c>
      <c r="BV86" s="13">
        <f t="shared" si="890"/>
        <v>65.993584117032384</v>
      </c>
      <c r="BW86" s="13">
        <f t="shared" si="890"/>
        <v>55.229108443219836</v>
      </c>
      <c r="BX86" s="13">
        <f t="shared" si="890"/>
        <v>38.472700487984532</v>
      </c>
      <c r="BY86" s="13">
        <f t="shared" si="890"/>
        <v>40.347015254386747</v>
      </c>
      <c r="BZ86" s="13">
        <f t="shared" si="890"/>
        <v>33.578617389869663</v>
      </c>
      <c r="CA86" s="13">
        <f t="shared" si="890"/>
        <v>34.24847343537143</v>
      </c>
      <c r="CB86" s="13">
        <f t="shared" si="890"/>
        <v>40.255081526040847</v>
      </c>
      <c r="CC86" s="13">
        <f t="shared" si="890"/>
        <v>43.651366287995096</v>
      </c>
      <c r="CD86" s="13">
        <f t="shared" si="890"/>
        <v>46.145289966247304</v>
      </c>
      <c r="CE86" s="13">
        <f t="shared" si="890"/>
        <v>47.76086823367276</v>
      </c>
      <c r="CF86" s="13">
        <f t="shared" si="890"/>
        <v>48.457605128596498</v>
      </c>
      <c r="CG86" s="13">
        <f t="shared" si="890"/>
        <v>45.368654068646364</v>
      </c>
      <c r="CH86" s="13">
        <f t="shared" si="890"/>
        <v>48.43196601941748</v>
      </c>
      <c r="CI86" s="13">
        <f t="shared" ref="CI86:CJ86" si="891">+CI78/CI69</f>
        <v>39.902180760843216</v>
      </c>
      <c r="CJ86" s="13">
        <f t="shared" si="891"/>
        <v>38.245670301475293</v>
      </c>
      <c r="CK86" s="13">
        <f t="shared" ref="CK86:CL86" si="892">+CK78/CK69</f>
        <v>39.846111815014225</v>
      </c>
      <c r="CL86" s="13">
        <f t="shared" si="892"/>
        <v>35.667321481924098</v>
      </c>
      <c r="CM86" s="60">
        <f t="shared" ref="CM86:CM87" si="893">+CL86</f>
        <v>35.667321481924098</v>
      </c>
      <c r="CN86" s="60">
        <f t="shared" ref="CN86:CN87" si="894">+CM86</f>
        <v>35.667321481924098</v>
      </c>
      <c r="CO86" s="60">
        <f t="shared" ref="CO86:CO87" si="895">+CN86</f>
        <v>35.667321481924098</v>
      </c>
      <c r="CP86" s="60">
        <f t="shared" ref="CP86:CP87" si="896">+CO86</f>
        <v>35.667321481924098</v>
      </c>
      <c r="CQ86" s="60">
        <f t="shared" ref="CQ86:CQ87" si="897">+CP86</f>
        <v>35.667321481924098</v>
      </c>
      <c r="CR86" s="60">
        <f t="shared" ref="CR86:CR87" si="898">+CQ86</f>
        <v>35.667321481924098</v>
      </c>
      <c r="CS86" s="60">
        <f t="shared" ref="CS86:CS87" si="899">+CR86</f>
        <v>35.667321481924098</v>
      </c>
      <c r="CT86" s="60">
        <f t="shared" ref="CT86:CT87" si="900">+CS86</f>
        <v>35.667321481924098</v>
      </c>
      <c r="CU86" s="60">
        <f t="shared" ref="CU86:CU87" si="901">+CT86</f>
        <v>35.667321481924098</v>
      </c>
      <c r="CV86" s="60">
        <f t="shared" ref="CV86:CV87" si="902">+CU86</f>
        <v>35.667321481924098</v>
      </c>
      <c r="CW86" s="60">
        <f t="shared" ref="CW86:CW87" si="903">+CV86</f>
        <v>35.667321481924098</v>
      </c>
      <c r="CX86" s="60">
        <f t="shared" ref="CX86:CX87" si="904">+CW86</f>
        <v>35.667321481924098</v>
      </c>
      <c r="CY86" s="60">
        <f t="shared" ref="CY86:CY87" si="905">+CX86</f>
        <v>35.667321481924098</v>
      </c>
      <c r="CZ86" s="60">
        <f t="shared" ref="CZ86:CZ87" si="906">+CY86</f>
        <v>35.667321481924098</v>
      </c>
      <c r="DA86" s="60">
        <f t="shared" ref="DA86:DA87" si="907">+CZ86</f>
        <v>35.667321481924098</v>
      </c>
      <c r="DB86" s="60">
        <f t="shared" ref="DB86:DB87" si="908">+DA86</f>
        <v>35.667321481924098</v>
      </c>
      <c r="DE86" s="136"/>
      <c r="DF86" s="13">
        <v>50.125523012552208</v>
      </c>
    </row>
    <row r="87" spans="1:110" s="13" customFormat="1" x14ac:dyDescent="0.2">
      <c r="A87" s="13" t="s">
        <v>462</v>
      </c>
      <c r="B87" s="13" t="e">
        <f t="shared" ref="B87:D87" si="909">+B79/B69</f>
        <v>#DIV/0!</v>
      </c>
      <c r="C87" s="13" t="e">
        <f t="shared" si="909"/>
        <v>#DIV/0!</v>
      </c>
      <c r="D87" s="13" t="e">
        <f t="shared" si="909"/>
        <v>#DIV/0!</v>
      </c>
      <c r="E87" s="13" t="e">
        <f t="shared" ref="E87:AE87" ca="1" si="910">+E79/E69</f>
        <v>#DIV/0!</v>
      </c>
      <c r="F87" s="13" t="e">
        <f t="shared" ca="1" si="910"/>
        <v>#DIV/0!</v>
      </c>
      <c r="G87" s="13" t="e">
        <f t="shared" ca="1" si="910"/>
        <v>#DIV/0!</v>
      </c>
      <c r="H87" s="13" t="e">
        <f t="shared" ca="1" si="910"/>
        <v>#DIV/0!</v>
      </c>
      <c r="I87" s="13" t="e">
        <f t="shared" ca="1" si="910"/>
        <v>#DIV/0!</v>
      </c>
      <c r="J87" s="13" t="e">
        <f t="shared" ca="1" si="910"/>
        <v>#DIV/0!</v>
      </c>
      <c r="K87" s="13" t="e">
        <f t="shared" ca="1" si="910"/>
        <v>#DIV/0!</v>
      </c>
      <c r="L87" s="13" t="e">
        <f t="shared" ca="1" si="910"/>
        <v>#DIV/0!</v>
      </c>
      <c r="M87" s="13" t="e">
        <f t="shared" ca="1" si="910"/>
        <v>#DIV/0!</v>
      </c>
      <c r="N87" s="13">
        <f t="shared" ca="1" si="910"/>
        <v>0</v>
      </c>
      <c r="O87" s="13">
        <f t="shared" ca="1" si="910"/>
        <v>0</v>
      </c>
      <c r="P87" s="13">
        <f t="shared" ca="1" si="910"/>
        <v>0</v>
      </c>
      <c r="Q87" s="13">
        <f t="shared" ca="1" si="910"/>
        <v>0</v>
      </c>
      <c r="R87" s="13">
        <f t="shared" ca="1" si="910"/>
        <v>18.336079077429979</v>
      </c>
      <c r="S87" s="13">
        <f t="shared" ca="1" si="910"/>
        <v>14.056521739130432</v>
      </c>
      <c r="T87" s="13">
        <f t="shared" ca="1" si="910"/>
        <v>15.922152560083605</v>
      </c>
      <c r="U87" s="13">
        <f t="shared" ca="1" si="910"/>
        <v>12.884192523821161</v>
      </c>
      <c r="V87" s="13">
        <f t="shared" ca="1" si="910"/>
        <v>17.042620232172467</v>
      </c>
      <c r="W87" s="13">
        <f t="shared" ca="1" si="910"/>
        <v>27.429299895506812</v>
      </c>
      <c r="X87" s="13">
        <f t="shared" ca="1" si="910"/>
        <v>25.565143140004917</v>
      </c>
      <c r="Y87" s="13">
        <f t="shared" ca="1" si="910"/>
        <v>26.898404540922009</v>
      </c>
      <c r="Z87" s="13">
        <f t="shared" ref="Z87:AA87" ca="1" si="911">+Z79/Z69</f>
        <v>35.380753138075249</v>
      </c>
      <c r="AA87" s="13">
        <f t="shared" ca="1" si="911"/>
        <v>35.380753138075249</v>
      </c>
      <c r="AB87" s="60">
        <f t="shared" ca="1" si="910"/>
        <v>21.835382616118711</v>
      </c>
      <c r="AC87" s="60">
        <f t="shared" ca="1" si="910"/>
        <v>21.856156418829542</v>
      </c>
      <c r="AD87" s="60">
        <f t="shared" ca="1" si="910"/>
        <v>22.061176818034248</v>
      </c>
      <c r="AE87" s="60">
        <f t="shared" ca="1" si="910"/>
        <v>22.155975747237953</v>
      </c>
      <c r="AL87" s="13" t="e">
        <f t="shared" ref="AL87:BQ87" si="912">+AL79/AL69</f>
        <v>#DIV/0!</v>
      </c>
      <c r="AM87" s="13" t="e">
        <f t="shared" si="912"/>
        <v>#DIV/0!</v>
      </c>
      <c r="AN87" s="13" t="e">
        <f t="shared" si="912"/>
        <v>#DIV/0!</v>
      </c>
      <c r="AO87" s="13" t="e">
        <f t="shared" si="912"/>
        <v>#DIV/0!</v>
      </c>
      <c r="AP87" s="13" t="e">
        <f t="shared" si="912"/>
        <v>#DIV/0!</v>
      </c>
      <c r="AQ87" s="13" t="e">
        <f t="shared" si="912"/>
        <v>#DIV/0!</v>
      </c>
      <c r="AR87" s="13" t="e">
        <f t="shared" si="912"/>
        <v>#DIV/0!</v>
      </c>
      <c r="AS87" s="13" t="e">
        <f t="shared" si="912"/>
        <v>#DIV/0!</v>
      </c>
      <c r="AT87" s="13" t="e">
        <f t="shared" si="912"/>
        <v>#DIV/0!</v>
      </c>
      <c r="AU87" s="13" t="e">
        <f t="shared" si="912"/>
        <v>#DIV/0!</v>
      </c>
      <c r="AV87" s="13">
        <f t="shared" si="912"/>
        <v>0</v>
      </c>
      <c r="AW87" s="13">
        <f t="shared" si="912"/>
        <v>0</v>
      </c>
      <c r="AX87" s="13">
        <f t="shared" si="912"/>
        <v>0</v>
      </c>
      <c r="AY87" s="13">
        <f t="shared" si="912"/>
        <v>0</v>
      </c>
      <c r="AZ87" s="13">
        <f t="shared" si="912"/>
        <v>0</v>
      </c>
      <c r="BA87" s="13">
        <f t="shared" si="912"/>
        <v>17.79173327243663</v>
      </c>
      <c r="BB87" s="13">
        <f t="shared" si="912"/>
        <v>19.009649329253946</v>
      </c>
      <c r="BC87" s="13">
        <f t="shared" si="912"/>
        <v>17.147058823529417</v>
      </c>
      <c r="BD87" s="13">
        <f t="shared" si="912"/>
        <v>17.733082706766925</v>
      </c>
      <c r="BE87" s="13">
        <f t="shared" si="912"/>
        <v>18.296480144404335</v>
      </c>
      <c r="BF87" s="13">
        <f t="shared" si="912"/>
        <v>20.445849802371544</v>
      </c>
      <c r="BG87" s="13">
        <f t="shared" si="912"/>
        <v>20.138774161572773</v>
      </c>
      <c r="BH87" s="13">
        <f t="shared" si="912"/>
        <v>18.765587885985749</v>
      </c>
      <c r="BI87" s="13">
        <f t="shared" si="912"/>
        <v>19.821667348887978</v>
      </c>
      <c r="BJ87" s="13">
        <f t="shared" si="912"/>
        <v>19.452716823406476</v>
      </c>
      <c r="BK87" s="13">
        <f t="shared" si="912"/>
        <v>21.461567357512951</v>
      </c>
      <c r="BL87" s="13">
        <f t="shared" si="912"/>
        <v>19.07003050330453</v>
      </c>
      <c r="BM87" s="13">
        <f t="shared" si="912"/>
        <v>18.36999875822675</v>
      </c>
      <c r="BN87" s="13">
        <f t="shared" si="912"/>
        <v>12.884192523821161</v>
      </c>
      <c r="BO87" s="13">
        <f t="shared" si="912"/>
        <v>15.445238420549259</v>
      </c>
      <c r="BP87" s="13">
        <f t="shared" si="912"/>
        <v>19.181463273568536</v>
      </c>
      <c r="BQ87" s="13">
        <f t="shared" si="912"/>
        <v>24.786312351543945</v>
      </c>
      <c r="BR87" s="13">
        <f t="shared" ref="BR87:CH87" si="913">+BR79/BR69</f>
        <v>36.777988843660481</v>
      </c>
      <c r="BS87" s="13">
        <f t="shared" si="913"/>
        <v>34.435051816869994</v>
      </c>
      <c r="BT87" s="13">
        <f t="shared" si="913"/>
        <v>35.912820512820502</v>
      </c>
      <c r="BU87" s="13">
        <f t="shared" si="913"/>
        <v>51.660550871275994</v>
      </c>
      <c r="BV87" s="13">
        <f t="shared" si="913"/>
        <v>46.298850574712638</v>
      </c>
      <c r="BW87" s="13">
        <f t="shared" si="913"/>
        <v>31.366069671324542</v>
      </c>
      <c r="BX87" s="13">
        <f t="shared" si="913"/>
        <v>28.530991621397661</v>
      </c>
      <c r="BY87" s="13">
        <f t="shared" si="913"/>
        <v>32.036469447138707</v>
      </c>
      <c r="BZ87" s="13">
        <f t="shared" si="913"/>
        <v>28.139580927239734</v>
      </c>
      <c r="CA87" s="13">
        <f t="shared" si="913"/>
        <v>28.101169965542116</v>
      </c>
      <c r="CB87" s="13">
        <f t="shared" si="913"/>
        <v>32.068901377236038</v>
      </c>
      <c r="CC87" s="13">
        <f t="shared" si="913"/>
        <v>33.417500767577529</v>
      </c>
      <c r="CD87" s="13">
        <f t="shared" si="913"/>
        <v>41.160378950598336</v>
      </c>
      <c r="CE87" s="13">
        <f t="shared" si="913"/>
        <v>34.313452262460757</v>
      </c>
      <c r="CF87" s="13">
        <f t="shared" si="913"/>
        <v>38.103129054415021</v>
      </c>
      <c r="CG87" s="13">
        <f t="shared" si="913"/>
        <v>38.034500578480525</v>
      </c>
      <c r="CH87" s="13">
        <f t="shared" si="913"/>
        <v>37.034822006472488</v>
      </c>
      <c r="CI87" s="13">
        <f t="shared" ref="CI87:CJ87" si="914">+CI79/CI69</f>
        <v>33.004603828446811</v>
      </c>
      <c r="CJ87" s="13">
        <f t="shared" si="914"/>
        <v>33.74118024374598</v>
      </c>
      <c r="CK87" s="13">
        <f t="shared" ref="CK87:CL87" si="915">+CK79/CK69</f>
        <v>33.778056699398142</v>
      </c>
      <c r="CL87" s="13">
        <f t="shared" si="915"/>
        <v>24.12355094114131</v>
      </c>
      <c r="CM87" s="60">
        <f t="shared" si="893"/>
        <v>24.12355094114131</v>
      </c>
      <c r="CN87" s="60">
        <f t="shared" si="894"/>
        <v>24.12355094114131</v>
      </c>
      <c r="CO87" s="60">
        <f t="shared" si="895"/>
        <v>24.12355094114131</v>
      </c>
      <c r="CP87" s="60">
        <f t="shared" si="896"/>
        <v>24.12355094114131</v>
      </c>
      <c r="CQ87" s="60">
        <f t="shared" si="897"/>
        <v>24.12355094114131</v>
      </c>
      <c r="CR87" s="60">
        <f t="shared" si="898"/>
        <v>24.12355094114131</v>
      </c>
      <c r="CS87" s="60">
        <f t="shared" si="899"/>
        <v>24.12355094114131</v>
      </c>
      <c r="CT87" s="60">
        <f t="shared" si="900"/>
        <v>24.12355094114131</v>
      </c>
      <c r="CU87" s="60">
        <f t="shared" si="901"/>
        <v>24.12355094114131</v>
      </c>
      <c r="CV87" s="60">
        <f t="shared" si="902"/>
        <v>24.12355094114131</v>
      </c>
      <c r="CW87" s="60">
        <f t="shared" si="903"/>
        <v>24.12355094114131</v>
      </c>
      <c r="CX87" s="60">
        <f t="shared" si="904"/>
        <v>24.12355094114131</v>
      </c>
      <c r="CY87" s="60">
        <f t="shared" si="905"/>
        <v>24.12355094114131</v>
      </c>
      <c r="CZ87" s="60">
        <f t="shared" si="906"/>
        <v>24.12355094114131</v>
      </c>
      <c r="DA87" s="60">
        <f t="shared" si="907"/>
        <v>24.12355094114131</v>
      </c>
      <c r="DB87" s="60">
        <f t="shared" si="908"/>
        <v>24.12355094114131</v>
      </c>
      <c r="DE87" s="136"/>
      <c r="DF87" s="13">
        <v>35.380753138075249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16">+B78/C69</f>
        <v>#DIV/0!</v>
      </c>
      <c r="C89" s="13" t="e">
        <f t="shared" si="916"/>
        <v>#DIV/0!</v>
      </c>
      <c r="D89" s="13" t="e">
        <f t="shared" ca="1" si="916"/>
        <v>#DIV/0!</v>
      </c>
      <c r="E89" s="13" t="e">
        <f t="shared" ca="1" si="916"/>
        <v>#DIV/0!</v>
      </c>
      <c r="F89" s="13" t="e">
        <f t="shared" ca="1" si="916"/>
        <v>#DIV/0!</v>
      </c>
      <c r="G89" s="13" t="e">
        <f t="shared" ca="1" si="916"/>
        <v>#DIV/0!</v>
      </c>
      <c r="H89" s="13" t="e">
        <f t="shared" ca="1" si="916"/>
        <v>#DIV/0!</v>
      </c>
      <c r="I89" s="13" t="e">
        <f t="shared" ca="1" si="916"/>
        <v>#DIV/0!</v>
      </c>
      <c r="J89" s="13" t="e">
        <f t="shared" ca="1" si="916"/>
        <v>#DIV/0!</v>
      </c>
      <c r="K89" s="13" t="e">
        <f t="shared" ca="1" si="916"/>
        <v>#DIV/0!</v>
      </c>
      <c r="L89" s="13" t="e">
        <f t="shared" ca="1" si="916"/>
        <v>#DIV/0!</v>
      </c>
      <c r="M89" s="13">
        <f t="shared" ca="1" si="916"/>
        <v>0</v>
      </c>
      <c r="N89" s="13">
        <f t="shared" ca="1" si="916"/>
        <v>0</v>
      </c>
      <c r="O89" s="13">
        <f t="shared" ca="1" si="916"/>
        <v>0</v>
      </c>
      <c r="P89" s="13">
        <f t="shared" ca="1" si="916"/>
        <v>0</v>
      </c>
      <c r="Q89" s="13">
        <f t="shared" ca="1" si="916"/>
        <v>0</v>
      </c>
      <c r="R89" s="13">
        <f t="shared" ca="1" si="916"/>
        <v>19.503162055335963</v>
      </c>
      <c r="S89" s="13">
        <f t="shared" ca="1" si="916"/>
        <v>21.418756530825512</v>
      </c>
      <c r="T89" s="13">
        <f t="shared" ca="1" si="916"/>
        <v>23.987906181285126</v>
      </c>
      <c r="U89" s="13">
        <f t="shared" ca="1" si="916"/>
        <v>29.048922056384733</v>
      </c>
      <c r="V89" s="13">
        <f t="shared" ca="1" si="916"/>
        <v>31.659885057471286</v>
      </c>
      <c r="W89" s="13">
        <f t="shared" ca="1" si="916"/>
        <v>52.104496328685691</v>
      </c>
      <c r="X89" s="13">
        <f t="shared" ca="1" si="916"/>
        <v>43.049643322850372</v>
      </c>
      <c r="Y89" s="13">
        <f t="shared" ca="1" si="916"/>
        <v>47.489539748953888</v>
      </c>
      <c r="Z89" s="13">
        <f t="shared" ref="Z89:AA89" ca="1" si="917">+Z78/AA69</f>
        <v>47.426053181953996</v>
      </c>
      <c r="AA89" s="13">
        <f t="shared" ca="1" si="917"/>
        <v>47.426053181953996</v>
      </c>
      <c r="AB89" s="37">
        <f t="shared" ca="1" si="916"/>
        <v>31.156396538237988</v>
      </c>
      <c r="AC89" s="37">
        <f t="shared" ca="1" si="916"/>
        <v>31.576453583786662</v>
      </c>
      <c r="AD89" s="37">
        <f t="shared" ca="1" si="916"/>
        <v>31.785658533076763</v>
      </c>
      <c r="AE89" s="37"/>
      <c r="AL89" s="13" t="e">
        <f t="shared" ref="AL89:BQ89" si="918">+AL78/AP69</f>
        <v>#DIV/0!</v>
      </c>
      <c r="AM89" s="13" t="e">
        <f t="shared" si="918"/>
        <v>#DIV/0!</v>
      </c>
      <c r="AN89" s="13" t="e">
        <f t="shared" si="918"/>
        <v>#DIV/0!</v>
      </c>
      <c r="AO89" s="13" t="e">
        <f t="shared" si="918"/>
        <v>#DIV/0!</v>
      </c>
      <c r="AP89" s="13" t="e">
        <f t="shared" si="918"/>
        <v>#DIV/0!</v>
      </c>
      <c r="AQ89" s="13" t="e">
        <f t="shared" si="918"/>
        <v>#DIV/0!</v>
      </c>
      <c r="AR89" s="13">
        <f t="shared" si="918"/>
        <v>0</v>
      </c>
      <c r="AS89" s="13">
        <f t="shared" si="918"/>
        <v>0</v>
      </c>
      <c r="AT89" s="13">
        <f t="shared" si="918"/>
        <v>0</v>
      </c>
      <c r="AU89" s="13">
        <f t="shared" si="918"/>
        <v>0</v>
      </c>
      <c r="AV89" s="13">
        <f t="shared" si="918"/>
        <v>0</v>
      </c>
      <c r="AW89" s="13">
        <f t="shared" si="918"/>
        <v>0</v>
      </c>
      <c r="AX89" s="13">
        <f t="shared" si="918"/>
        <v>0</v>
      </c>
      <c r="AY89" s="13">
        <f t="shared" si="918"/>
        <v>0</v>
      </c>
      <c r="AZ89" s="13">
        <f t="shared" si="918"/>
        <v>23.187500000000011</v>
      </c>
      <c r="BA89" s="13">
        <f t="shared" si="918"/>
        <v>20.686981046931411</v>
      </c>
      <c r="BB89" s="13">
        <f t="shared" si="918"/>
        <v>17.911067193675891</v>
      </c>
      <c r="BC89" s="13">
        <f t="shared" si="918"/>
        <v>14.00870642656534</v>
      </c>
      <c r="BD89" s="13">
        <f t="shared" si="918"/>
        <v>12.620546318289787</v>
      </c>
      <c r="BE89" s="13">
        <f t="shared" si="918"/>
        <v>16.262300450266068</v>
      </c>
      <c r="BF89" s="13">
        <f t="shared" si="918"/>
        <v>21.418756530825494</v>
      </c>
      <c r="BG89" s="13">
        <f t="shared" si="918"/>
        <v>18.948186528497409</v>
      </c>
      <c r="BH89" s="13">
        <f t="shared" si="918"/>
        <v>24.957422470767675</v>
      </c>
      <c r="BI89" s="13">
        <f t="shared" si="918"/>
        <v>23.337638147274312</v>
      </c>
      <c r="BJ89" s="13">
        <f t="shared" si="918"/>
        <v>22.621145858783297</v>
      </c>
      <c r="BK89" s="13">
        <f t="shared" si="918"/>
        <v>26.326205765815008</v>
      </c>
      <c r="BL89" s="13">
        <f t="shared" si="918"/>
        <v>27.097744360902258</v>
      </c>
      <c r="BM89" s="13">
        <f t="shared" si="918"/>
        <v>26.075118764845612</v>
      </c>
      <c r="BN89" s="13">
        <f t="shared" si="918"/>
        <v>28.44565053520277</v>
      </c>
      <c r="BO89" s="13">
        <f t="shared" si="918"/>
        <v>19.680152171061259</v>
      </c>
      <c r="BP89" s="13">
        <f t="shared" si="918"/>
        <v>21.762820512820507</v>
      </c>
      <c r="BQ89" s="13">
        <f t="shared" si="918"/>
        <v>29.019808881394034</v>
      </c>
      <c r="BR89" s="13">
        <f t="shared" ref="BR89:CL89" si="919">+BR78/BV69</f>
        <v>31.659885057471261</v>
      </c>
      <c r="BS89" s="13">
        <f t="shared" si="919"/>
        <v>31.94446959259988</v>
      </c>
      <c r="BT89" s="13">
        <f t="shared" si="919"/>
        <v>48.798453181106709</v>
      </c>
      <c r="BU89" s="13">
        <f t="shared" si="919"/>
        <v>54.389842165593869</v>
      </c>
      <c r="BV89" s="13">
        <f t="shared" si="919"/>
        <v>52.100197987130848</v>
      </c>
      <c r="BW89" s="13">
        <f t="shared" si="919"/>
        <v>44.974613350428726</v>
      </c>
      <c r="BX89" s="13">
        <f t="shared" si="919"/>
        <v>33.073610891245849</v>
      </c>
      <c r="BY89" s="13">
        <f t="shared" si="919"/>
        <v>35.122466994166416</v>
      </c>
      <c r="BZ89" s="13">
        <f t="shared" si="919"/>
        <v>31.224301933108311</v>
      </c>
      <c r="CA89" s="13">
        <f t="shared" si="919"/>
        <v>32.722356634254645</v>
      </c>
      <c r="CB89" s="13">
        <f t="shared" si="919"/>
        <v>38.81421811798824</v>
      </c>
      <c r="CC89" s="13">
        <f t="shared" si="919"/>
        <v>43.863478596220595</v>
      </c>
      <c r="CD89" s="13">
        <f t="shared" si="919"/>
        <v>48.669093851132686</v>
      </c>
      <c r="CE89" s="13">
        <f t="shared" si="919"/>
        <v>50.38403198449236</v>
      </c>
      <c r="CF89" s="13">
        <f t="shared" si="919"/>
        <v>50.909236690185999</v>
      </c>
      <c r="CG89" s="13">
        <f t="shared" si="919"/>
        <v>46.579394995248627</v>
      </c>
      <c r="CH89" s="13">
        <f t="shared" si="919"/>
        <v>44.713108754108141</v>
      </c>
      <c r="CI89" s="13">
        <f t="shared" si="919"/>
        <v>35.121205820178702</v>
      </c>
      <c r="CJ89" s="13">
        <f t="shared" si="919"/>
        <v>32.443473899289238</v>
      </c>
      <c r="CK89" s="13">
        <f t="shared" si="919"/>
        <v>33.015877127414697</v>
      </c>
      <c r="CL89" s="13">
        <f t="shared" si="919"/>
        <v>30.72718913702273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47.426053181953996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si="920">+CORREL(AL69:AO69,AL86:AO86)</f>
        <v>#DIV/0!</v>
      </c>
      <c r="AP90" s="175" t="e">
        <f t="shared" si="920"/>
        <v>#DIV/0!</v>
      </c>
      <c r="AQ90" s="175" t="e">
        <f t="shared" si="920"/>
        <v>#DIV/0!</v>
      </c>
      <c r="AR90" s="175" t="e">
        <f t="shared" si="920"/>
        <v>#DIV/0!</v>
      </c>
      <c r="AS90" s="175" t="e">
        <f t="shared" si="920"/>
        <v>#DIV/0!</v>
      </c>
      <c r="AT90" s="175" t="e">
        <f t="shared" si="920"/>
        <v>#DIV/0!</v>
      </c>
      <c r="AU90" s="175" t="e">
        <f t="shared" si="920"/>
        <v>#DIV/0!</v>
      </c>
      <c r="AV90" s="175" t="e">
        <f t="shared" si="920"/>
        <v>#DIV/0!</v>
      </c>
      <c r="AW90" s="175" t="e">
        <f t="shared" si="920"/>
        <v>#DIV/0!</v>
      </c>
      <c r="AX90" s="175" t="e">
        <f t="shared" si="920"/>
        <v>#DIV/0!</v>
      </c>
      <c r="AY90" s="175" t="e">
        <f t="shared" si="920"/>
        <v>#DIV/0!</v>
      </c>
      <c r="AZ90" s="175">
        <f t="shared" si="920"/>
        <v>0.58154534548876791</v>
      </c>
      <c r="BA90" s="175">
        <f t="shared" si="920"/>
        <v>0.62037620008509642</v>
      </c>
      <c r="BB90" s="175">
        <f t="shared" si="920"/>
        <v>-1.8756377656569602E-2</v>
      </c>
      <c r="BC90" s="175">
        <f t="shared" si="920"/>
        <v>0.71955973450388677</v>
      </c>
      <c r="BD90" s="175">
        <f t="shared" si="920"/>
        <v>0.31608898093400134</v>
      </c>
      <c r="BE90" s="175">
        <f t="shared" si="920"/>
        <v>0.90296820935114486</v>
      </c>
      <c r="BF90" s="175">
        <f t="shared" si="920"/>
        <v>0.94780777747340206</v>
      </c>
      <c r="BG90" s="175">
        <f t="shared" si="920"/>
        <v>0.18922540228381918</v>
      </c>
      <c r="BH90" s="175">
        <f t="shared" si="920"/>
        <v>-0.13942785029147658</v>
      </c>
      <c r="BI90" s="175">
        <f t="shared" si="920"/>
        <v>-0.59720829092443817</v>
      </c>
      <c r="BJ90" s="175">
        <f t="shared" si="920"/>
        <v>-9.0716258207023018E-2</v>
      </c>
      <c r="BK90" s="175">
        <f t="shared" si="920"/>
        <v>-0.96828315042273216</v>
      </c>
      <c r="BL90" s="175">
        <f t="shared" si="920"/>
        <v>-0.86606487850068137</v>
      </c>
      <c r="BM90" s="175">
        <f t="shared" si="920"/>
        <v>-0.9008788563573028</v>
      </c>
      <c r="BN90" s="175">
        <f t="shared" si="920"/>
        <v>-0.78694522312256598</v>
      </c>
      <c r="BO90" s="175">
        <f t="shared" si="920"/>
        <v>0.68278490050765439</v>
      </c>
      <c r="BP90" s="175">
        <f t="shared" si="920"/>
        <v>-0.43510684819093121</v>
      </c>
      <c r="BQ90" s="175">
        <f t="shared" si="920"/>
        <v>-0.62991646923924893</v>
      </c>
      <c r="BR90" s="175">
        <f t="shared" si="920"/>
        <v>-0.9250821857654653</v>
      </c>
      <c r="BS90" s="175">
        <f t="shared" si="920"/>
        <v>8.4239379867668329E-2</v>
      </c>
      <c r="BT90" s="175">
        <f t="shared" si="920"/>
        <v>0.78952651604701607</v>
      </c>
      <c r="BU90" s="175">
        <f t="shared" si="920"/>
        <v>0.85630646584526526</v>
      </c>
      <c r="BV90" s="175">
        <f t="shared" si="920"/>
        <v>0.79697301214581406</v>
      </c>
      <c r="BW90" s="175">
        <f t="shared" si="920"/>
        <v>-0.63269509921572298</v>
      </c>
      <c r="BX90" s="175">
        <f t="shared" si="920"/>
        <v>-0.96184183089062614</v>
      </c>
      <c r="BY90" s="175">
        <f t="shared" si="920"/>
        <v>-0.95113672408349537</v>
      </c>
      <c r="BZ90" s="175">
        <f t="shared" si="920"/>
        <v>-0.89153593354568483</v>
      </c>
      <c r="CA90" s="175">
        <f t="shared" si="920"/>
        <v>-0.83469582876544768</v>
      </c>
      <c r="CB90" s="175">
        <f t="shared" si="920"/>
        <v>-0.30310001439146306</v>
      </c>
      <c r="CC90" s="175">
        <f t="shared" si="920"/>
        <v>0.92483847869300828</v>
      </c>
      <c r="CD90" s="175">
        <f t="shared" si="920"/>
        <v>0.94419700586503219</v>
      </c>
      <c r="CE90" s="175">
        <f t="shared" si="920"/>
        <v>0.88654297778243751</v>
      </c>
      <c r="CF90" s="175">
        <f t="shared" si="920"/>
        <v>0.85730082159976084</v>
      </c>
      <c r="CG90" s="175">
        <f t="shared" si="920"/>
        <v>0.94671981182873621</v>
      </c>
      <c r="CH90" s="175">
        <f t="shared" si="920"/>
        <v>-0.26686164835401954</v>
      </c>
      <c r="CI90" s="175">
        <f t="shared" si="920"/>
        <v>0.41565663426951704</v>
      </c>
      <c r="CJ90" s="175">
        <f>+CORREL(CG69:CJ69,CG86:CJ86)</f>
        <v>0.20899239176981074</v>
      </c>
      <c r="CK90" s="175">
        <f>+CORREL(CH69:CK69,CH86:CK86)</f>
        <v>-0.52363708147821031</v>
      </c>
      <c r="CL90" s="175">
        <f>+CORREL(CI69:CL69,CI86:CL86)</f>
        <v>-0.88877040683501851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21">+E$120/E$65</f>
        <v>0</v>
      </c>
      <c r="F92" s="162">
        <f t="shared" ca="1" si="921"/>
        <v>0</v>
      </c>
      <c r="G92" s="162">
        <f t="shared" ca="1" si="921"/>
        <v>0</v>
      </c>
      <c r="H92" s="162">
        <f t="shared" ca="1" si="921"/>
        <v>0</v>
      </c>
      <c r="I92" s="162">
        <f t="shared" ca="1" si="921"/>
        <v>0</v>
      </c>
      <c r="J92" s="162">
        <f t="shared" ca="1" si="921"/>
        <v>0</v>
      </c>
      <c r="K92" s="162">
        <f t="shared" ca="1" si="921"/>
        <v>0</v>
      </c>
      <c r="L92" s="162">
        <f t="shared" ca="1" si="921"/>
        <v>0</v>
      </c>
      <c r="M92" s="162">
        <f t="shared" ca="1" si="921"/>
        <v>0</v>
      </c>
      <c r="N92" s="162">
        <f t="shared" ca="1" si="921"/>
        <v>4.4339622641509438E-3</v>
      </c>
      <c r="O92" s="162">
        <f t="shared" ca="1" si="921"/>
        <v>45.745660377358497</v>
      </c>
      <c r="P92" s="162">
        <f t="shared" ca="1" si="921"/>
        <v>99.255943396226428</v>
      </c>
      <c r="Q92" s="162">
        <f t="shared" ca="1" si="921"/>
        <v>100.5754716981132</v>
      </c>
      <c r="R92" s="162">
        <f t="shared" ca="1" si="921"/>
        <v>140.15094339622641</v>
      </c>
      <c r="S92" s="162">
        <f t="shared" ca="1" si="921"/>
        <v>182.67924528301887</v>
      </c>
      <c r="T92" s="162">
        <f t="shared" ca="1" si="921"/>
        <v>233.87735849056602</v>
      </c>
      <c r="U92" s="162">
        <f t="shared" ca="1" si="921"/>
        <v>261.18867924528308</v>
      </c>
      <c r="V92" s="162">
        <f t="shared" ca="1" si="921"/>
        <v>327.65094339622641</v>
      </c>
      <c r="W92" s="162">
        <f t="shared" ca="1" si="921"/>
        <v>392.68867924528303</v>
      </c>
      <c r="X92" s="162">
        <f t="shared" ca="1" si="921"/>
        <v>418.38679245283015</v>
      </c>
      <c r="Y92" s="162">
        <f t="shared" ca="1" si="921"/>
        <v>502.55660377358498</v>
      </c>
      <c r="Z92" s="162">
        <f t="shared" ca="1" si="921"/>
        <v>573.58490566037733</v>
      </c>
      <c r="AA92" s="162">
        <f t="shared" ca="1" si="921"/>
        <v>573.58490566037733</v>
      </c>
      <c r="AB92" s="21">
        <f t="shared" ca="1" si="921"/>
        <v>757.24001868158234</v>
      </c>
      <c r="AC92" s="21">
        <f t="shared" ca="1" si="921"/>
        <v>925.0743391830872</v>
      </c>
      <c r="AD92" s="21">
        <f t="shared" ca="1" si="921"/>
        <v>1114.6523311872672</v>
      </c>
      <c r="AE92" s="21">
        <f t="shared" ca="1" si="921"/>
        <v>1327.3815776074514</v>
      </c>
      <c r="AL92" s="162">
        <f t="shared" ref="AL92:BQ92" si="922">+AL$120/AL$65</f>
        <v>0</v>
      </c>
      <c r="AM92" s="162">
        <f t="shared" si="922"/>
        <v>0</v>
      </c>
      <c r="AN92" s="162">
        <f t="shared" si="922"/>
        <v>0</v>
      </c>
      <c r="AO92" s="162">
        <f t="shared" si="922"/>
        <v>0</v>
      </c>
      <c r="AP92" s="162">
        <f t="shared" si="922"/>
        <v>0</v>
      </c>
      <c r="AQ92" s="162">
        <f t="shared" si="922"/>
        <v>0</v>
      </c>
      <c r="AR92" s="162">
        <f t="shared" si="922"/>
        <v>0</v>
      </c>
      <c r="AS92" s="162">
        <f t="shared" si="922"/>
        <v>0</v>
      </c>
      <c r="AT92" s="162">
        <f t="shared" si="922"/>
        <v>0</v>
      </c>
      <c r="AU92" s="162">
        <f t="shared" si="922"/>
        <v>0</v>
      </c>
      <c r="AV92" s="162">
        <f t="shared" si="922"/>
        <v>0</v>
      </c>
      <c r="AW92" s="162">
        <f t="shared" si="922"/>
        <v>12.339622641509438</v>
      </c>
      <c r="AX92" s="162">
        <f t="shared" si="922"/>
        <v>100.5754716981132</v>
      </c>
      <c r="AY92" s="162">
        <f t="shared" si="922"/>
        <v>110.79245283018869</v>
      </c>
      <c r="AZ92" s="162">
        <f t="shared" si="922"/>
        <v>114.95283018867924</v>
      </c>
      <c r="BA92" s="162">
        <f t="shared" si="922"/>
        <v>125.20754716981131</v>
      </c>
      <c r="BB92" s="162">
        <f t="shared" si="922"/>
        <v>140.15094339622641</v>
      </c>
      <c r="BC92" s="162">
        <f t="shared" si="922"/>
        <v>149.41509433962264</v>
      </c>
      <c r="BD92" s="162">
        <f t="shared" si="922"/>
        <v>159.77358490566039</v>
      </c>
      <c r="BE92" s="162">
        <f t="shared" si="922"/>
        <v>171.68867924528303</v>
      </c>
      <c r="BF92" s="162">
        <f t="shared" si="922"/>
        <v>182.67924528301887</v>
      </c>
      <c r="BG92" s="162">
        <f t="shared" si="922"/>
        <v>201.311320754717</v>
      </c>
      <c r="BH92" s="162">
        <f t="shared" si="922"/>
        <v>188.06603773584905</v>
      </c>
      <c r="BI92" s="162">
        <f t="shared" si="922"/>
        <v>205.5754716981132</v>
      </c>
      <c r="BJ92" s="162">
        <f t="shared" si="922"/>
        <v>233.87735849056608</v>
      </c>
      <c r="BK92" s="162">
        <f t="shared" si="922"/>
        <v>253.11320754716985</v>
      </c>
      <c r="BL92" s="162">
        <f t="shared" si="922"/>
        <v>248.5471698113208</v>
      </c>
      <c r="BM92" s="162">
        <f t="shared" si="922"/>
        <v>267.80188679245293</v>
      </c>
      <c r="BN92" s="162">
        <f t="shared" si="922"/>
        <v>261.18867924528303</v>
      </c>
      <c r="BO92" s="162">
        <f t="shared" si="922"/>
        <v>272.24528301886795</v>
      </c>
      <c r="BP92" s="162">
        <f t="shared" si="922"/>
        <v>292.16037735849056</v>
      </c>
      <c r="BQ92" s="162">
        <f t="shared" si="922"/>
        <v>309.71698113207549</v>
      </c>
      <c r="BR92" s="162">
        <f t="shared" ref="BR92:DB92" si="923">+BR$120/BR$65</f>
        <v>327.65094339622641</v>
      </c>
      <c r="BS92" s="162">
        <f t="shared" si="923"/>
        <v>348.04716981132077</v>
      </c>
      <c r="BT92" s="162">
        <f t="shared" si="923"/>
        <v>359.69811320754718</v>
      </c>
      <c r="BU92" s="162">
        <f t="shared" si="923"/>
        <v>383.16981132075477</v>
      </c>
      <c r="BV92" s="162">
        <f t="shared" si="923"/>
        <v>392.68867924528303</v>
      </c>
      <c r="BW92" s="162">
        <f t="shared" si="923"/>
        <v>418.66981132075472</v>
      </c>
      <c r="BX92" s="162">
        <f t="shared" si="923"/>
        <v>420.02830188679246</v>
      </c>
      <c r="BY92" s="162">
        <f t="shared" si="923"/>
        <v>448.02830188679252</v>
      </c>
      <c r="BZ92" s="162">
        <f t="shared" si="923"/>
        <v>418.38679245283026</v>
      </c>
      <c r="CA92" s="162">
        <f t="shared" si="923"/>
        <v>447.73584905660385</v>
      </c>
      <c r="CB92" s="162">
        <f t="shared" si="923"/>
        <v>451.79245283018872</v>
      </c>
      <c r="CC92" s="162">
        <f t="shared" si="923"/>
        <v>483.50943396226415</v>
      </c>
      <c r="CD92" s="162">
        <f t="shared" si="923"/>
        <v>502.55660377358487</v>
      </c>
      <c r="CE92" s="162">
        <f t="shared" si="923"/>
        <v>532.14150943396226</v>
      </c>
      <c r="CF92" s="162">
        <f t="shared" si="923"/>
        <v>530.15094339622635</v>
      </c>
      <c r="CG92" s="162">
        <f t="shared" si="923"/>
        <v>560.56603773584902</v>
      </c>
      <c r="CH92" s="162">
        <f t="shared" si="923"/>
        <v>573.58490566037733</v>
      </c>
      <c r="CI92" s="162">
        <f t="shared" si="923"/>
        <v>603.36792452830184</v>
      </c>
      <c r="CJ92" s="162">
        <f t="shared" si="923"/>
        <v>583.86792452830196</v>
      </c>
      <c r="CK92" s="162">
        <f t="shared" si="923"/>
        <v>612.41509433962267</v>
      </c>
      <c r="CL92" s="162">
        <f t="shared" si="923"/>
        <v>610.63207547169816</v>
      </c>
      <c r="CM92" s="21">
        <f t="shared" si="923"/>
        <v>646.81508640242953</v>
      </c>
      <c r="CN92" s="21">
        <f t="shared" si="923"/>
        <v>683.82542081009888</v>
      </c>
      <c r="CO92" s="21">
        <f t="shared" si="923"/>
        <v>720.7872285572887</v>
      </c>
      <c r="CP92" s="21">
        <f t="shared" si="923"/>
        <v>757.24001868158234</v>
      </c>
      <c r="CQ92" s="21">
        <f t="shared" si="923"/>
        <v>798.87450627303156</v>
      </c>
      <c r="CR92" s="21">
        <f t="shared" si="923"/>
        <v>841.7928598407733</v>
      </c>
      <c r="CS92" s="21">
        <f t="shared" si="923"/>
        <v>883.76544984370719</v>
      </c>
      <c r="CT92" s="21">
        <f t="shared" si="923"/>
        <v>925.0743391830872</v>
      </c>
      <c r="CU92" s="21">
        <f t="shared" si="923"/>
        <v>972.24506903207384</v>
      </c>
      <c r="CV92" s="21">
        <f t="shared" si="923"/>
        <v>1020.7492530353818</v>
      </c>
      <c r="CW92" s="21">
        <f t="shared" si="923"/>
        <v>1068.0531552409739</v>
      </c>
      <c r="CX92" s="21">
        <f t="shared" si="923"/>
        <v>1114.6523311872672</v>
      </c>
      <c r="CY92" s="21">
        <f t="shared" si="923"/>
        <v>1167.6236033081236</v>
      </c>
      <c r="CZ92" s="21">
        <f t="shared" si="923"/>
        <v>1222.0060252097446</v>
      </c>
      <c r="DA92" s="21">
        <f t="shared" si="923"/>
        <v>1275.0673767091985</v>
      </c>
      <c r="DB92" s="21">
        <f t="shared" si="923"/>
        <v>1327.3815776074514</v>
      </c>
      <c r="DE92" s="22"/>
      <c r="DF92" s="162">
        <v>573.58490566037733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4">+E77/E$92</f>
        <v>#DIV/0!</v>
      </c>
      <c r="F94" s="162" t="e">
        <f t="shared" ca="1" si="924"/>
        <v>#DIV/0!</v>
      </c>
      <c r="G94" s="162" t="e">
        <f t="shared" ca="1" si="924"/>
        <v>#DIV/0!</v>
      </c>
      <c r="H94" s="162" t="e">
        <f t="shared" ca="1" si="924"/>
        <v>#DIV/0!</v>
      </c>
      <c r="I94" s="162" t="e">
        <f t="shared" ca="1" si="924"/>
        <v>#DIV/0!</v>
      </c>
      <c r="J94" s="162" t="e">
        <f t="shared" ca="1" si="924"/>
        <v>#DIV/0!</v>
      </c>
      <c r="K94" s="162" t="e">
        <f t="shared" ca="1" si="924"/>
        <v>#DIV/0!</v>
      </c>
      <c r="L94" s="162" t="e">
        <f t="shared" ca="1" si="924"/>
        <v>#DIV/0!</v>
      </c>
      <c r="M94" s="162" t="e">
        <f t="shared" ca="1" si="924"/>
        <v>#DIV/0!</v>
      </c>
      <c r="N94" s="162">
        <f t="shared" ca="1" si="924"/>
        <v>0</v>
      </c>
      <c r="O94" s="162">
        <f t="shared" ca="1" si="924"/>
        <v>0</v>
      </c>
      <c r="P94" s="162">
        <f t="shared" ca="1" si="924"/>
        <v>0</v>
      </c>
      <c r="Q94" s="162">
        <f t="shared" ca="1" si="924"/>
        <v>0</v>
      </c>
      <c r="R94" s="162">
        <f t="shared" ca="1" si="924"/>
        <v>5.583979536887453</v>
      </c>
      <c r="S94" s="162">
        <f t="shared" ca="1" si="924"/>
        <v>6.7856641189836804</v>
      </c>
      <c r="T94" s="162">
        <f t="shared" ca="1" si="924"/>
        <v>6.7176233310475579</v>
      </c>
      <c r="U94" s="162">
        <f t="shared" ca="1" si="924"/>
        <v>4.4504225962580355</v>
      </c>
      <c r="V94" s="162">
        <f t="shared" ca="1" si="924"/>
        <v>8.1025251216492471</v>
      </c>
      <c r="W94" s="162">
        <f t="shared" ca="1" si="924"/>
        <v>12.992607807807808</v>
      </c>
      <c r="X94" s="162">
        <f t="shared" ca="1" si="924"/>
        <v>8.070283433673815</v>
      </c>
      <c r="Y94" s="162">
        <f t="shared" ca="1" si="924"/>
        <v>10.904741791969363</v>
      </c>
      <c r="Z94" s="162">
        <f t="shared" ca="1" si="924"/>
        <v>7.846963815789473</v>
      </c>
      <c r="AA94" s="162">
        <f t="shared" ref="AA94" ca="1" si="925">+AA77/AA$92</f>
        <v>7.846963815789473</v>
      </c>
      <c r="AB94" s="21">
        <f t="shared" ca="1" si="924"/>
        <v>4.1202259825519771</v>
      </c>
      <c r="AC94" s="21">
        <f t="shared" ca="1" si="924"/>
        <v>3.3727019201021222</v>
      </c>
      <c r="AD94" s="21">
        <f t="shared" ca="1" si="924"/>
        <v>2.7990790605324847</v>
      </c>
      <c r="AE94" s="21">
        <f t="shared" ca="1" si="924"/>
        <v>2.3504921664075424</v>
      </c>
      <c r="AL94" s="162" t="e">
        <f t="shared" ref="AL94:CI96" si="926">+AL77/AL$92</f>
        <v>#DIV/0!</v>
      </c>
      <c r="AM94" s="162" t="e">
        <f t="shared" si="926"/>
        <v>#DIV/0!</v>
      </c>
      <c r="AN94" s="162" t="e">
        <f t="shared" si="926"/>
        <v>#DIV/0!</v>
      </c>
      <c r="AO94" s="162" t="e">
        <f t="shared" si="926"/>
        <v>#DIV/0!</v>
      </c>
      <c r="AP94" s="162" t="e">
        <f t="shared" si="926"/>
        <v>#DIV/0!</v>
      </c>
      <c r="AQ94" s="162" t="e">
        <f t="shared" si="926"/>
        <v>#DIV/0!</v>
      </c>
      <c r="AR94" s="162" t="e">
        <f t="shared" si="926"/>
        <v>#DIV/0!</v>
      </c>
      <c r="AS94" s="162" t="e">
        <f t="shared" si="926"/>
        <v>#DIV/0!</v>
      </c>
      <c r="AT94" s="162" t="e">
        <f t="shared" si="926"/>
        <v>#DIV/0!</v>
      </c>
      <c r="AU94" s="162" t="e">
        <f t="shared" si="926"/>
        <v>#DIV/0!</v>
      </c>
      <c r="AV94" s="162" t="e">
        <f t="shared" si="926"/>
        <v>#DIV/0!</v>
      </c>
      <c r="AW94" s="162">
        <f t="shared" si="926"/>
        <v>0</v>
      </c>
      <c r="AX94" s="162">
        <f t="shared" si="926"/>
        <v>0</v>
      </c>
      <c r="AY94" s="162">
        <f t="shared" si="926"/>
        <v>0</v>
      </c>
      <c r="AZ94" s="162">
        <f t="shared" si="926"/>
        <v>7.3369224456298729</v>
      </c>
      <c r="BA94" s="162">
        <f t="shared" si="926"/>
        <v>6.2851642555756495</v>
      </c>
      <c r="BB94" s="162">
        <f t="shared" si="926"/>
        <v>5.583979536887453</v>
      </c>
      <c r="BC94" s="162">
        <f t="shared" si="926"/>
        <v>4.8147745927516103</v>
      </c>
      <c r="BD94" s="162">
        <f t="shared" si="926"/>
        <v>4.8994331601322623</v>
      </c>
      <c r="BE94" s="162">
        <f t="shared" si="926"/>
        <v>5.9488488378482334</v>
      </c>
      <c r="BF94" s="162">
        <f t="shared" si="926"/>
        <v>6.7856641189836804</v>
      </c>
      <c r="BG94" s="162">
        <f t="shared" si="926"/>
        <v>6.0374150616242561</v>
      </c>
      <c r="BH94" s="162">
        <f t="shared" si="926"/>
        <v>9.1598143967895673</v>
      </c>
      <c r="BI94" s="162">
        <f t="shared" si="926"/>
        <v>8.3244366940480017</v>
      </c>
      <c r="BJ94" s="162">
        <f t="shared" si="926"/>
        <v>6.7176233310475562</v>
      </c>
      <c r="BK94" s="162">
        <f t="shared" si="926"/>
        <v>6.9032351844949673</v>
      </c>
      <c r="BL94" s="162">
        <f t="shared" si="926"/>
        <v>6.1272071661732328</v>
      </c>
      <c r="BM94" s="162">
        <f t="shared" si="926"/>
        <v>5.4727022933032705</v>
      </c>
      <c r="BN94" s="162">
        <f t="shared" si="926"/>
        <v>4.4504225962580364</v>
      </c>
      <c r="BO94" s="162">
        <f t="shared" si="926"/>
        <v>4.7170697900062368</v>
      </c>
      <c r="BP94" s="162">
        <f t="shared" si="926"/>
        <v>5.5308663502211894</v>
      </c>
      <c r="BQ94" s="162">
        <f t="shared" si="926"/>
        <v>7.5514102954614684</v>
      </c>
      <c r="BR94" s="162">
        <f t="shared" si="926"/>
        <v>8.1025251216492471</v>
      </c>
      <c r="BS94" s="162">
        <f t="shared" si="926"/>
        <v>8.342116390643211</v>
      </c>
      <c r="BT94" s="162">
        <f t="shared" si="926"/>
        <v>13.055948384389424</v>
      </c>
      <c r="BU94" s="162">
        <f t="shared" si="926"/>
        <v>14.612450758321842</v>
      </c>
      <c r="BV94" s="162">
        <f t="shared" si="926"/>
        <v>12.992607807807808</v>
      </c>
      <c r="BW94" s="162">
        <f t="shared" si="926"/>
        <v>7.234340566484148</v>
      </c>
      <c r="BX94" s="162">
        <f t="shared" si="926"/>
        <v>8.5760887631111995</v>
      </c>
      <c r="BY94" s="162">
        <f t="shared" si="926"/>
        <v>8.2236992272219975</v>
      </c>
      <c r="BZ94" s="162">
        <f t="shared" si="926"/>
        <v>8.0702834336738132</v>
      </c>
      <c r="CA94" s="162">
        <f t="shared" si="926"/>
        <v>8.7812937210282325</v>
      </c>
      <c r="CB94" s="162">
        <f t="shared" si="926"/>
        <v>10.125888494466485</v>
      </c>
      <c r="CC94" s="162">
        <f t="shared" si="926"/>
        <v>10.871039178958871</v>
      </c>
      <c r="CD94" s="162">
        <f t="shared" si="926"/>
        <v>10.904741791969364</v>
      </c>
      <c r="CE94" s="162">
        <f t="shared" si="926"/>
        <v>9.224144166504157</v>
      </c>
      <c r="CF94" s="162">
        <f t="shared" si="926"/>
        <v>10.082128621254183</v>
      </c>
      <c r="CG94" s="162">
        <f t="shared" si="926"/>
        <v>8.4467300572197921</v>
      </c>
      <c r="CH94" s="162">
        <f t="shared" si="926"/>
        <v>7.846963815789473</v>
      </c>
      <c r="CI94" s="162">
        <f t="shared" si="926"/>
        <v>7.2875932266991894</v>
      </c>
      <c r="CJ94" s="162">
        <f>+CJ77/CJ$92</f>
        <v>7.0466278881887217</v>
      </c>
      <c r="CK94" s="162">
        <f>+CK77/CK$92</f>
        <v>7.2802745085957232</v>
      </c>
      <c r="CL94" s="162">
        <f>+CL77/CL$92</f>
        <v>5.1094597308696521</v>
      </c>
      <c r="CM94" s="21">
        <f t="shared" ref="CM94:DB94" si="927">+CM77/CM$92</f>
        <v>4.823635171148168</v>
      </c>
      <c r="CN94" s="21">
        <f t="shared" si="927"/>
        <v>4.5625680254821015</v>
      </c>
      <c r="CO94" s="21">
        <f t="shared" si="927"/>
        <v>4.328600558371325</v>
      </c>
      <c r="CP94" s="21">
        <f t="shared" si="927"/>
        <v>4.1202259825519771</v>
      </c>
      <c r="CQ94" s="21">
        <f t="shared" si="927"/>
        <v>3.9054945119674112</v>
      </c>
      <c r="CR94" s="21">
        <f t="shared" si="927"/>
        <v>3.7063749870605385</v>
      </c>
      <c r="CS94" s="21">
        <f t="shared" si="927"/>
        <v>3.5303484658194866</v>
      </c>
      <c r="CT94" s="21">
        <f t="shared" si="927"/>
        <v>3.3727019201021222</v>
      </c>
      <c r="CU94" s="21">
        <f t="shared" si="927"/>
        <v>3.209067445419024</v>
      </c>
      <c r="CV94" s="21">
        <f t="shared" si="927"/>
        <v>3.0565782837676521</v>
      </c>
      <c r="CW94" s="21">
        <f t="shared" si="927"/>
        <v>2.9212029239275701</v>
      </c>
      <c r="CX94" s="21">
        <f t="shared" si="927"/>
        <v>2.7990790605324847</v>
      </c>
      <c r="CY94" s="21">
        <f t="shared" si="927"/>
        <v>2.6720939788818785</v>
      </c>
      <c r="CZ94" s="21">
        <f t="shared" si="927"/>
        <v>2.5531789006232475</v>
      </c>
      <c r="DA94" s="21">
        <f t="shared" si="927"/>
        <v>2.4469295168168754</v>
      </c>
      <c r="DB94" s="21">
        <f t="shared" si="927"/>
        <v>2.3504921664075424</v>
      </c>
      <c r="DE94" s="22"/>
      <c r="DF94" s="162">
        <v>7.846963815789473</v>
      </c>
    </row>
    <row r="95" spans="1:110" s="162" customFormat="1" x14ac:dyDescent="0.2">
      <c r="A95" s="49" t="s">
        <v>503</v>
      </c>
      <c r="E95" s="162" t="e">
        <f t="shared" ca="1" si="924"/>
        <v>#DIV/0!</v>
      </c>
      <c r="F95" s="162" t="e">
        <f t="shared" ca="1" si="924"/>
        <v>#DIV/0!</v>
      </c>
      <c r="G95" s="162" t="e">
        <f t="shared" ca="1" si="924"/>
        <v>#DIV/0!</v>
      </c>
      <c r="H95" s="162" t="e">
        <f t="shared" ca="1" si="924"/>
        <v>#DIV/0!</v>
      </c>
      <c r="I95" s="162" t="e">
        <f t="shared" ca="1" si="924"/>
        <v>#DIV/0!</v>
      </c>
      <c r="J95" s="162" t="e">
        <f t="shared" ca="1" si="924"/>
        <v>#DIV/0!</v>
      </c>
      <c r="K95" s="162" t="e">
        <f t="shared" ca="1" si="924"/>
        <v>#DIV/0!</v>
      </c>
      <c r="L95" s="162" t="e">
        <f t="shared" ca="1" si="924"/>
        <v>#DIV/0!</v>
      </c>
      <c r="M95" s="162" t="e">
        <f t="shared" ca="1" si="924"/>
        <v>#DIV/0!</v>
      </c>
      <c r="N95" s="162">
        <f t="shared" ca="1" si="924"/>
        <v>0</v>
      </c>
      <c r="O95" s="162">
        <f t="shared" ca="1" si="924"/>
        <v>0</v>
      </c>
      <c r="P95" s="162">
        <f t="shared" ca="1" si="924"/>
        <v>0</v>
      </c>
      <c r="Q95" s="162">
        <f t="shared" ca="1" si="924"/>
        <v>0</v>
      </c>
      <c r="R95" s="162">
        <f t="shared" ca="1" si="924"/>
        <v>6.6428379106085087</v>
      </c>
      <c r="S95" s="162">
        <f t="shared" ca="1" si="924"/>
        <v>8.4683949597190669</v>
      </c>
      <c r="T95" s="162">
        <f t="shared" ca="1" si="924"/>
        <v>7.9208180388044056</v>
      </c>
      <c r="U95" s="162">
        <f t="shared" ca="1" si="924"/>
        <v>6.959528281441882</v>
      </c>
      <c r="V95" s="162">
        <f t="shared" ca="1" si="924"/>
        <v>8.7237655120785469</v>
      </c>
      <c r="W95" s="162">
        <f t="shared" ca="1" si="924"/>
        <v>15.172578978978979</v>
      </c>
      <c r="X95" s="162">
        <f t="shared" ca="1" si="924"/>
        <v>12.655036190218494</v>
      </c>
      <c r="Y95" s="162">
        <f t="shared" ca="1" si="924"/>
        <v>11.29226032925982</v>
      </c>
      <c r="Z95" s="162">
        <f t="shared" ca="1" si="924"/>
        <v>10.443092105263158</v>
      </c>
      <c r="AA95" s="162">
        <f t="shared" ref="AA95" ca="1" si="928">+AA78/AA$92</f>
        <v>10.443092105263158</v>
      </c>
      <c r="AB95" s="21">
        <f t="shared" ca="1" si="924"/>
        <v>6.9054890302482042</v>
      </c>
      <c r="AC95" s="21">
        <f t="shared" ca="1" si="924"/>
        <v>6.4710482298252279</v>
      </c>
      <c r="AD95" s="21">
        <f t="shared" ca="1" si="924"/>
        <v>6.0662315930461279</v>
      </c>
      <c r="AE95" s="21">
        <f t="shared" ca="1" si="924"/>
        <v>5.7161275617161058</v>
      </c>
      <c r="AL95" s="162" t="e">
        <f t="shared" si="926"/>
        <v>#DIV/0!</v>
      </c>
      <c r="AM95" s="162" t="e">
        <f t="shared" si="926"/>
        <v>#DIV/0!</v>
      </c>
      <c r="AN95" s="162" t="e">
        <f t="shared" si="926"/>
        <v>#DIV/0!</v>
      </c>
      <c r="AO95" s="162" t="e">
        <f t="shared" si="926"/>
        <v>#DIV/0!</v>
      </c>
      <c r="AP95" s="162" t="e">
        <f t="shared" si="926"/>
        <v>#DIV/0!</v>
      </c>
      <c r="AQ95" s="162" t="e">
        <f t="shared" si="926"/>
        <v>#DIV/0!</v>
      </c>
      <c r="AR95" s="162" t="e">
        <f t="shared" si="926"/>
        <v>#DIV/0!</v>
      </c>
      <c r="AS95" s="162" t="e">
        <f t="shared" si="926"/>
        <v>#DIV/0!</v>
      </c>
      <c r="AT95" s="162" t="e">
        <f t="shared" si="926"/>
        <v>#DIV/0!</v>
      </c>
      <c r="AU95" s="162" t="e">
        <f t="shared" si="926"/>
        <v>#DIV/0!</v>
      </c>
      <c r="AV95" s="162" t="e">
        <f t="shared" si="926"/>
        <v>#DIV/0!</v>
      </c>
      <c r="AW95" s="162">
        <f t="shared" si="926"/>
        <v>0</v>
      </c>
      <c r="AX95" s="162">
        <f t="shared" si="926"/>
        <v>0</v>
      </c>
      <c r="AY95" s="162">
        <f t="shared" si="926"/>
        <v>0</v>
      </c>
      <c r="AZ95" s="162">
        <f t="shared" si="926"/>
        <v>8.0989741485432916</v>
      </c>
      <c r="BA95" s="162">
        <f t="shared" si="926"/>
        <v>6.9081298975286325</v>
      </c>
      <c r="BB95" s="162">
        <f t="shared" si="926"/>
        <v>6.1005654281098547</v>
      </c>
      <c r="BC95" s="162">
        <f t="shared" si="926"/>
        <v>5.3538767521151662</v>
      </c>
      <c r="BD95" s="162">
        <f t="shared" si="926"/>
        <v>5.0196032120925835</v>
      </c>
      <c r="BE95" s="162">
        <f t="shared" si="926"/>
        <v>6.5490631353371063</v>
      </c>
      <c r="BF95" s="162">
        <f t="shared" si="926"/>
        <v>8.4683949597190669</v>
      </c>
      <c r="BG95" s="162">
        <f t="shared" si="926"/>
        <v>6.8550541262477145</v>
      </c>
      <c r="BH95" s="162">
        <f t="shared" si="926"/>
        <v>9.8502633559066979</v>
      </c>
      <c r="BI95" s="162">
        <f t="shared" si="926"/>
        <v>8.6245697765132388</v>
      </c>
      <c r="BJ95" s="162">
        <f t="shared" si="926"/>
        <v>7.4695131297648327</v>
      </c>
      <c r="BK95" s="162">
        <f t="shared" si="926"/>
        <v>7.1815691390234804</v>
      </c>
      <c r="BL95" s="162">
        <f t="shared" si="926"/>
        <v>7.1133378881044544</v>
      </c>
      <c r="BM95" s="162">
        <f t="shared" si="926"/>
        <v>6.1874097298058945</v>
      </c>
      <c r="BN95" s="162">
        <f t="shared" si="926"/>
        <v>6.8149967492595538</v>
      </c>
      <c r="BO95" s="162">
        <f t="shared" si="926"/>
        <v>5.1986208330445622</v>
      </c>
      <c r="BP95" s="162">
        <f t="shared" si="926"/>
        <v>5.810165003713391</v>
      </c>
      <c r="BQ95" s="162">
        <f t="shared" si="926"/>
        <v>7.8626621992080405</v>
      </c>
      <c r="BR95" s="162">
        <f t="shared" si="926"/>
        <v>8.7237655120785469</v>
      </c>
      <c r="BS95" s="162">
        <f t="shared" si="926"/>
        <v>8.7989510205187962</v>
      </c>
      <c r="BT95" s="162">
        <f t="shared" si="926"/>
        <v>13.900545530843473</v>
      </c>
      <c r="BU95" s="162">
        <f t="shared" si="926"/>
        <v>15.187000196966709</v>
      </c>
      <c r="BV95" s="162">
        <f t="shared" si="926"/>
        <v>15.172578978978979</v>
      </c>
      <c r="BW95" s="162">
        <f t="shared" si="926"/>
        <v>12.646481443926181</v>
      </c>
      <c r="BX95" s="162">
        <f t="shared" si="926"/>
        <v>9.3850818677986663</v>
      </c>
      <c r="BY95" s="162">
        <f t="shared" si="926"/>
        <v>9.6349939988629405</v>
      </c>
      <c r="BZ95" s="162">
        <f t="shared" si="926"/>
        <v>9.1781099912061137</v>
      </c>
      <c r="CA95" s="162">
        <f t="shared" si="926"/>
        <v>9.0051980615254923</v>
      </c>
      <c r="CB95" s="162">
        <f t="shared" si="926"/>
        <v>10.619809981206931</v>
      </c>
      <c r="CC95" s="162">
        <f t="shared" si="926"/>
        <v>11.09595723093733</v>
      </c>
      <c r="CD95" s="162">
        <f t="shared" si="926"/>
        <v>11.292260329259824</v>
      </c>
      <c r="CE95" s="162">
        <f t="shared" si="926"/>
        <v>11.05899445104331</v>
      </c>
      <c r="CF95" s="162">
        <f t="shared" si="926"/>
        <v>11.298668944408856</v>
      </c>
      <c r="CG95" s="162">
        <f t="shared" si="926"/>
        <v>9.8991013126893321</v>
      </c>
      <c r="CH95" s="162">
        <f t="shared" si="926"/>
        <v>9.8457088815789486</v>
      </c>
      <c r="CI95" s="162">
        <f t="shared" si="926"/>
        <v>7.724391387963788</v>
      </c>
      <c r="CJ95" s="162">
        <f t="shared" ref="CJ95:CK96" si="929">+CJ78/CJ$92</f>
        <v>7.7072224915172072</v>
      </c>
      <c r="CK95" s="162">
        <f t="shared" si="929"/>
        <v>7.7511969314190639</v>
      </c>
      <c r="CL95" s="162">
        <f t="shared" ref="CL95" si="930">+CL78/CL$92</f>
        <v>7.3773556630154342</v>
      </c>
      <c r="CM95" s="94">
        <f t="shared" ref="CM95:DB95" si="931">+CL95</f>
        <v>7.3773556630154342</v>
      </c>
      <c r="CN95" s="94">
        <f t="shared" si="931"/>
        <v>7.3773556630154342</v>
      </c>
      <c r="CO95" s="94">
        <f t="shared" si="931"/>
        <v>7.3773556630154342</v>
      </c>
      <c r="CP95" s="94">
        <f t="shared" si="931"/>
        <v>7.3773556630154342</v>
      </c>
      <c r="CQ95" s="94">
        <f t="shared" si="931"/>
        <v>7.3773556630154342</v>
      </c>
      <c r="CR95" s="94">
        <f t="shared" si="931"/>
        <v>7.3773556630154342</v>
      </c>
      <c r="CS95" s="94">
        <f t="shared" si="931"/>
        <v>7.3773556630154342</v>
      </c>
      <c r="CT95" s="94">
        <f t="shared" si="931"/>
        <v>7.3773556630154342</v>
      </c>
      <c r="CU95" s="94">
        <f t="shared" si="931"/>
        <v>7.3773556630154342</v>
      </c>
      <c r="CV95" s="94">
        <f t="shared" si="931"/>
        <v>7.3773556630154342</v>
      </c>
      <c r="CW95" s="94">
        <f t="shared" si="931"/>
        <v>7.3773556630154342</v>
      </c>
      <c r="CX95" s="94">
        <f t="shared" si="931"/>
        <v>7.3773556630154342</v>
      </c>
      <c r="CY95" s="94">
        <f t="shared" si="931"/>
        <v>7.3773556630154342</v>
      </c>
      <c r="CZ95" s="94">
        <f t="shared" si="931"/>
        <v>7.3773556630154342</v>
      </c>
      <c r="DA95" s="94">
        <f t="shared" si="931"/>
        <v>7.3773556630154342</v>
      </c>
      <c r="DB95" s="94">
        <f t="shared" si="931"/>
        <v>7.3773556630154342</v>
      </c>
      <c r="DC95" s="94"/>
      <c r="DE95" s="22"/>
      <c r="DF95" s="162">
        <v>10.443092105263158</v>
      </c>
    </row>
    <row r="96" spans="1:110" s="162" customFormat="1" x14ac:dyDescent="0.2">
      <c r="A96" s="49" t="s">
        <v>504</v>
      </c>
      <c r="E96" s="162" t="e">
        <f t="shared" ca="1" si="924"/>
        <v>#DIV/0!</v>
      </c>
      <c r="F96" s="162" t="e">
        <f t="shared" ca="1" si="924"/>
        <v>#DIV/0!</v>
      </c>
      <c r="G96" s="162" t="e">
        <f t="shared" ca="1" si="924"/>
        <v>#DIV/0!</v>
      </c>
      <c r="H96" s="162" t="e">
        <f t="shared" ca="1" si="924"/>
        <v>#DIV/0!</v>
      </c>
      <c r="I96" s="162" t="e">
        <f t="shared" ca="1" si="924"/>
        <v>#DIV/0!</v>
      </c>
      <c r="J96" s="162" t="e">
        <f t="shared" ca="1" si="924"/>
        <v>#DIV/0!</v>
      </c>
      <c r="K96" s="162" t="e">
        <f t="shared" ca="1" si="924"/>
        <v>#DIV/0!</v>
      </c>
      <c r="L96" s="162" t="e">
        <f t="shared" ca="1" si="924"/>
        <v>#DIV/0!</v>
      </c>
      <c r="M96" s="162" t="e">
        <f t="shared" ca="1" si="924"/>
        <v>#DIV/0!</v>
      </c>
      <c r="N96" s="162">
        <f t="shared" ca="1" si="924"/>
        <v>0</v>
      </c>
      <c r="O96" s="162">
        <f t="shared" ca="1" si="924"/>
        <v>0</v>
      </c>
      <c r="P96" s="162">
        <f t="shared" ca="1" si="924"/>
        <v>0</v>
      </c>
      <c r="Q96" s="162">
        <f t="shared" ca="1" si="924"/>
        <v>0</v>
      </c>
      <c r="R96" s="162">
        <f t="shared" ca="1" si="924"/>
        <v>5.244345718901454</v>
      </c>
      <c r="S96" s="162">
        <f t="shared" ca="1" si="924"/>
        <v>3.6731047304275974</v>
      </c>
      <c r="T96" s="162">
        <f t="shared" ca="1" si="924"/>
        <v>4.9171070146424105</v>
      </c>
      <c r="U96" s="162">
        <f t="shared" ca="1" si="924"/>
        <v>3.8095066098389068</v>
      </c>
      <c r="V96" s="162">
        <f t="shared" ca="1" si="924"/>
        <v>3.2548357375255539</v>
      </c>
      <c r="W96" s="162">
        <f t="shared" ca="1" si="924"/>
        <v>6.3062678678678683</v>
      </c>
      <c r="X96" s="162">
        <f t="shared" ca="1" si="924"/>
        <v>6.9871947507271868</v>
      </c>
      <c r="Y96" s="162">
        <f t="shared" ca="1" si="924"/>
        <v>6.5828405699160886</v>
      </c>
      <c r="Z96" s="162">
        <f t="shared" ca="1" si="924"/>
        <v>7.3711842105263159</v>
      </c>
      <c r="AA96" s="162">
        <f t="shared" ref="AA96" ca="1" si="932">+AA79/AA$92</f>
        <v>7.3711842105263159</v>
      </c>
      <c r="AB96" s="21">
        <f t="shared" ca="1" si="924"/>
        <v>4.2275110342473017</v>
      </c>
      <c r="AC96" s="21">
        <f t="shared" ca="1" si="924"/>
        <v>3.965317170691578</v>
      </c>
      <c r="AD96" s="21">
        <f t="shared" ca="1" si="924"/>
        <v>3.7521238554781631</v>
      </c>
      <c r="AE96" s="21">
        <f t="shared" ca="1" si="924"/>
        <v>3.5507679961245144</v>
      </c>
      <c r="AL96" s="162" t="e">
        <f t="shared" si="926"/>
        <v>#DIV/0!</v>
      </c>
      <c r="AM96" s="162" t="e">
        <f t="shared" si="926"/>
        <v>#DIV/0!</v>
      </c>
      <c r="AN96" s="162" t="e">
        <f t="shared" si="926"/>
        <v>#DIV/0!</v>
      </c>
      <c r="AO96" s="162" t="e">
        <f t="shared" si="926"/>
        <v>#DIV/0!</v>
      </c>
      <c r="AP96" s="162" t="e">
        <f t="shared" si="926"/>
        <v>#DIV/0!</v>
      </c>
      <c r="AQ96" s="162" t="e">
        <f t="shared" si="926"/>
        <v>#DIV/0!</v>
      </c>
      <c r="AR96" s="162" t="e">
        <f t="shared" si="926"/>
        <v>#DIV/0!</v>
      </c>
      <c r="AS96" s="162" t="e">
        <f t="shared" si="926"/>
        <v>#DIV/0!</v>
      </c>
      <c r="AT96" s="162" t="e">
        <f t="shared" si="926"/>
        <v>#DIV/0!</v>
      </c>
      <c r="AU96" s="162" t="e">
        <f t="shared" si="926"/>
        <v>#DIV/0!</v>
      </c>
      <c r="AV96" s="162" t="e">
        <f t="shared" si="926"/>
        <v>#DIV/0!</v>
      </c>
      <c r="AW96" s="162">
        <f t="shared" si="926"/>
        <v>0</v>
      </c>
      <c r="AX96" s="162">
        <f t="shared" si="926"/>
        <v>0</v>
      </c>
      <c r="AY96" s="162">
        <f t="shared" si="926"/>
        <v>0</v>
      </c>
      <c r="AZ96" s="162">
        <f t="shared" si="926"/>
        <v>0</v>
      </c>
      <c r="BA96" s="162">
        <f t="shared" si="926"/>
        <v>5.8702531645569627</v>
      </c>
      <c r="BB96" s="162">
        <f t="shared" si="926"/>
        <v>5.4369951534733447</v>
      </c>
      <c r="BC96" s="162">
        <f t="shared" si="926"/>
        <v>4.4908448036368229</v>
      </c>
      <c r="BD96" s="162">
        <f t="shared" si="926"/>
        <v>4.4563060935285783</v>
      </c>
      <c r="BE96" s="162">
        <f t="shared" si="926"/>
        <v>4.4557393263366114</v>
      </c>
      <c r="BF96" s="162">
        <f t="shared" si="926"/>
        <v>5.3426977897128687</v>
      </c>
      <c r="BG96" s="162">
        <f t="shared" si="926"/>
        <v>5.7125451052064289</v>
      </c>
      <c r="BH96" s="162">
        <f t="shared" si="926"/>
        <v>6.3408577878103838</v>
      </c>
      <c r="BI96" s="162">
        <f t="shared" si="926"/>
        <v>6.6666513698315821</v>
      </c>
      <c r="BJ96" s="162">
        <f t="shared" si="926"/>
        <v>6.0074220483239875</v>
      </c>
      <c r="BK96" s="162">
        <f t="shared" si="926"/>
        <v>6.1753000372717093</v>
      </c>
      <c r="BL96" s="162">
        <f t="shared" si="926"/>
        <v>5.6950960297578366</v>
      </c>
      <c r="BM96" s="162">
        <f t="shared" si="926"/>
        <v>5.2113150385739928</v>
      </c>
      <c r="BN96" s="162">
        <f t="shared" si="926"/>
        <v>3.8095066098389077</v>
      </c>
      <c r="BO96" s="162">
        <f t="shared" si="926"/>
        <v>3.9172395869429617</v>
      </c>
      <c r="BP96" s="162">
        <f t="shared" si="926"/>
        <v>4.2836061868319932</v>
      </c>
      <c r="BQ96" s="162">
        <f t="shared" si="926"/>
        <v>5.0856107219007001</v>
      </c>
      <c r="BR96" s="162">
        <f t="shared" si="926"/>
        <v>7.0239382684057476</v>
      </c>
      <c r="BS96" s="162">
        <f t="shared" si="926"/>
        <v>7.1151275309679338</v>
      </c>
      <c r="BT96" s="162">
        <f t="shared" si="926"/>
        <v>7.7876416281997471</v>
      </c>
      <c r="BU96" s="162">
        <f t="shared" si="926"/>
        <v>11.313782745715974</v>
      </c>
      <c r="BV96" s="162">
        <f t="shared" si="926"/>
        <v>10.644564564564565</v>
      </c>
      <c r="BW96" s="162">
        <f t="shared" si="926"/>
        <v>7.1822708938912552</v>
      </c>
      <c r="BX96" s="162">
        <f t="shared" si="926"/>
        <v>6.9598881476989414</v>
      </c>
      <c r="BY96" s="162">
        <f t="shared" si="926"/>
        <v>7.6504095512834001</v>
      </c>
      <c r="BZ96" s="162">
        <f t="shared" si="926"/>
        <v>7.6914473832555403</v>
      </c>
      <c r="CA96" s="162">
        <f t="shared" si="926"/>
        <v>7.3888432364096071</v>
      </c>
      <c r="CB96" s="162">
        <f t="shared" si="926"/>
        <v>8.4601900187930674</v>
      </c>
      <c r="CC96" s="162">
        <f t="shared" si="926"/>
        <v>8.4945602122843979</v>
      </c>
      <c r="CD96" s="162">
        <f t="shared" si="926"/>
        <v>10.072397739858459</v>
      </c>
      <c r="CE96" s="162">
        <f t="shared" si="926"/>
        <v>7.9452550215398796</v>
      </c>
      <c r="CF96" s="162">
        <f t="shared" si="926"/>
        <v>8.8843565378318754</v>
      </c>
      <c r="CG96" s="162">
        <f t="shared" si="926"/>
        <v>8.2988438236284079</v>
      </c>
      <c r="CH96" s="162">
        <f t="shared" si="926"/>
        <v>7.5287894736842107</v>
      </c>
      <c r="CI96" s="162">
        <f t="shared" si="926"/>
        <v>6.3891364510530515</v>
      </c>
      <c r="CJ96" s="162">
        <f t="shared" si="929"/>
        <v>6.7994829536274031</v>
      </c>
      <c r="CK96" s="162">
        <f t="shared" si="929"/>
        <v>6.5707884034752606</v>
      </c>
      <c r="CL96" s="162">
        <f t="shared" ref="CL96" si="933">+CL79/CL$92</f>
        <v>4.9896658272436536</v>
      </c>
      <c r="CM96" s="94">
        <f t="shared" ref="CM96:DB96" si="934">+CL96</f>
        <v>4.9896658272436536</v>
      </c>
      <c r="CN96" s="94">
        <f t="shared" si="934"/>
        <v>4.9896658272436536</v>
      </c>
      <c r="CO96" s="94">
        <f t="shared" si="934"/>
        <v>4.9896658272436536</v>
      </c>
      <c r="CP96" s="94">
        <f t="shared" si="934"/>
        <v>4.9896658272436536</v>
      </c>
      <c r="CQ96" s="94">
        <f t="shared" si="934"/>
        <v>4.9896658272436536</v>
      </c>
      <c r="CR96" s="94">
        <f t="shared" si="934"/>
        <v>4.9896658272436536</v>
      </c>
      <c r="CS96" s="94">
        <f t="shared" si="934"/>
        <v>4.9896658272436536</v>
      </c>
      <c r="CT96" s="94">
        <f t="shared" si="934"/>
        <v>4.9896658272436536</v>
      </c>
      <c r="CU96" s="94">
        <f t="shared" si="934"/>
        <v>4.9896658272436536</v>
      </c>
      <c r="CV96" s="94">
        <f t="shared" si="934"/>
        <v>4.9896658272436536</v>
      </c>
      <c r="CW96" s="94">
        <f t="shared" si="934"/>
        <v>4.9896658272436536</v>
      </c>
      <c r="CX96" s="94">
        <f t="shared" si="934"/>
        <v>4.9896658272436536</v>
      </c>
      <c r="CY96" s="94">
        <f t="shared" si="934"/>
        <v>4.9896658272436536</v>
      </c>
      <c r="CZ96" s="94">
        <f t="shared" si="934"/>
        <v>4.9896658272436536</v>
      </c>
      <c r="DA96" s="94">
        <f t="shared" si="934"/>
        <v>4.9896658272436536</v>
      </c>
      <c r="DB96" s="94">
        <f t="shared" si="934"/>
        <v>4.9896658272436536</v>
      </c>
      <c r="DC96" s="94"/>
      <c r="DE96" s="22"/>
      <c r="DF96" s="162">
        <v>7.3711842105263159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5">+E10</f>
        <v>0</v>
      </c>
      <c r="F98" s="177">
        <f t="shared" si="935"/>
        <v>0</v>
      </c>
      <c r="G98" s="177">
        <f t="shared" si="935"/>
        <v>0</v>
      </c>
      <c r="H98" s="177">
        <f t="shared" si="935"/>
        <v>0</v>
      </c>
      <c r="I98" s="177">
        <f t="shared" si="935"/>
        <v>0</v>
      </c>
      <c r="J98" s="177">
        <f t="shared" si="935"/>
        <v>0</v>
      </c>
      <c r="K98" s="177">
        <f t="shared" si="935"/>
        <v>0</v>
      </c>
      <c r="L98" s="177">
        <f t="shared" si="935"/>
        <v>0</v>
      </c>
      <c r="M98" s="177">
        <f t="shared" si="935"/>
        <v>0</v>
      </c>
      <c r="N98" s="177">
        <f t="shared" si="935"/>
        <v>0</v>
      </c>
      <c r="O98" s="177">
        <f t="shared" si="935"/>
        <v>126.17</v>
      </c>
      <c r="P98" s="177">
        <f t="shared" si="935"/>
        <v>2618.627</v>
      </c>
      <c r="Q98" s="177">
        <f t="shared" si="935"/>
        <v>3066.2</v>
      </c>
      <c r="R98" s="177">
        <f t="shared" si="935"/>
        <v>3248.3</v>
      </c>
      <c r="S98" s="177">
        <f t="shared" si="935"/>
        <v>3747.1</v>
      </c>
      <c r="T98" s="177">
        <f t="shared" si="935"/>
        <v>5078.3</v>
      </c>
      <c r="U98" s="177">
        <f t="shared" si="935"/>
        <v>5619.1</v>
      </c>
      <c r="V98" s="177">
        <f t="shared" si="935"/>
        <v>5449.7</v>
      </c>
      <c r="W98" s="177">
        <f t="shared" si="935"/>
        <v>6569.7</v>
      </c>
      <c r="X98" s="177">
        <f t="shared" si="935"/>
        <v>8815.5</v>
      </c>
      <c r="Y98" s="177">
        <f t="shared" si="935"/>
        <v>9647.2999999999993</v>
      </c>
      <c r="Z98" s="177">
        <f>+Z10</f>
        <v>9642.2000000000007</v>
      </c>
      <c r="AA98" s="177">
        <f>+AA10</f>
        <v>10995.9</v>
      </c>
      <c r="AB98" s="178">
        <f t="shared" ref="AB98:AE98" si="936">+AB10</f>
        <v>12631.364443930825</v>
      </c>
      <c r="AC98" s="178">
        <f t="shared" si="936"/>
        <v>13657.870552299477</v>
      </c>
      <c r="AD98" s="178">
        <f t="shared" si="936"/>
        <v>14753.211878892746</v>
      </c>
      <c r="AE98" s="178">
        <f t="shared" si="936"/>
        <v>15933.681118417095</v>
      </c>
      <c r="AL98" s="177">
        <f t="shared" ref="AL98:BQ98" si="937">+SUM(AI8:AL8)</f>
        <v>0</v>
      </c>
      <c r="AM98" s="177">
        <f t="shared" si="937"/>
        <v>0</v>
      </c>
      <c r="AN98" s="177">
        <f t="shared" si="937"/>
        <v>0</v>
      </c>
      <c r="AO98" s="177">
        <f t="shared" si="937"/>
        <v>0</v>
      </c>
      <c r="AP98" s="177">
        <f t="shared" si="937"/>
        <v>0</v>
      </c>
      <c r="AQ98" s="177">
        <f t="shared" si="937"/>
        <v>0</v>
      </c>
      <c r="AR98" s="177">
        <f t="shared" si="937"/>
        <v>0</v>
      </c>
      <c r="AS98" s="177">
        <f t="shared" si="937"/>
        <v>0</v>
      </c>
      <c r="AT98" s="177">
        <f t="shared" si="937"/>
        <v>0</v>
      </c>
      <c r="AU98" s="177">
        <f t="shared" si="937"/>
        <v>0</v>
      </c>
      <c r="AV98" s="177">
        <f t="shared" si="937"/>
        <v>771.6</v>
      </c>
      <c r="AW98" s="177">
        <f t="shared" si="937"/>
        <v>1551.8000000000002</v>
      </c>
      <c r="AX98" s="177">
        <f t="shared" si="937"/>
        <v>2353.2000000000003</v>
      </c>
      <c r="AY98" s="177">
        <f t="shared" si="937"/>
        <v>3156.1000000000004</v>
      </c>
      <c r="AZ98" s="177">
        <f t="shared" si="937"/>
        <v>3207.2</v>
      </c>
      <c r="BA98" s="177">
        <f t="shared" si="937"/>
        <v>3237.4</v>
      </c>
      <c r="BB98" s="177">
        <f t="shared" si="937"/>
        <v>3248.3</v>
      </c>
      <c r="BC98" s="177">
        <f t="shared" si="937"/>
        <v>3267.9999999999995</v>
      </c>
      <c r="BD98" s="177">
        <f t="shared" si="937"/>
        <v>3345.8999999999996</v>
      </c>
      <c r="BE98" s="177">
        <f t="shared" si="937"/>
        <v>3504.6</v>
      </c>
      <c r="BF98" s="177">
        <f t="shared" si="937"/>
        <v>3747.1000000000004</v>
      </c>
      <c r="BG98" s="177">
        <f t="shared" si="937"/>
        <v>4076.7</v>
      </c>
      <c r="BH98" s="177">
        <f t="shared" si="937"/>
        <v>4442.2000000000007</v>
      </c>
      <c r="BI98" s="177">
        <f t="shared" si="937"/>
        <v>4790</v>
      </c>
      <c r="BJ98" s="177">
        <f t="shared" si="937"/>
        <v>5078.3</v>
      </c>
      <c r="BK98" s="177">
        <f t="shared" si="937"/>
        <v>5273.6</v>
      </c>
      <c r="BL98" s="177">
        <f t="shared" si="937"/>
        <v>5409.6</v>
      </c>
      <c r="BM98" s="177">
        <f t="shared" si="937"/>
        <v>5515.6</v>
      </c>
      <c r="BN98" s="177">
        <f t="shared" si="937"/>
        <v>5619.1</v>
      </c>
      <c r="BO98" s="177">
        <f t="shared" si="937"/>
        <v>5566.3</v>
      </c>
      <c r="BP98" s="177">
        <f t="shared" si="937"/>
        <v>5478</v>
      </c>
      <c r="BQ98" s="177">
        <f t="shared" si="937"/>
        <v>5455.8</v>
      </c>
      <c r="BR98" s="177">
        <f t="shared" ref="BR98:CW98" si="938">+SUM(BO8:BR8)</f>
        <v>5449.7</v>
      </c>
      <c r="BS98" s="177">
        <f t="shared" si="938"/>
        <v>5673.4</v>
      </c>
      <c r="BT98" s="177">
        <f t="shared" si="938"/>
        <v>5967.3</v>
      </c>
      <c r="BU98" s="177">
        <f t="shared" si="938"/>
        <v>6254.1</v>
      </c>
      <c r="BV98" s="177">
        <f t="shared" si="938"/>
        <v>6569.7000000000007</v>
      </c>
      <c r="BW98" s="177">
        <f t="shared" si="938"/>
        <v>7057.4999999999991</v>
      </c>
      <c r="BX98" s="177">
        <f t="shared" si="938"/>
        <v>7731.5</v>
      </c>
      <c r="BY98" s="177">
        <f t="shared" si="938"/>
        <v>8201</v>
      </c>
      <c r="BZ98" s="177">
        <f t="shared" si="938"/>
        <v>8815.5</v>
      </c>
      <c r="CA98" s="177">
        <f t="shared" si="938"/>
        <v>9110.6999999999989</v>
      </c>
      <c r="CB98" s="177">
        <f t="shared" si="938"/>
        <v>9215.5</v>
      </c>
      <c r="CC98" s="177">
        <f t="shared" si="938"/>
        <v>9480.2999999999993</v>
      </c>
      <c r="CD98" s="177">
        <f t="shared" si="938"/>
        <v>9647.2000000000007</v>
      </c>
      <c r="CE98" s="177">
        <f t="shared" si="938"/>
        <v>9807.7000000000007</v>
      </c>
      <c r="CF98" s="177">
        <f t="shared" si="938"/>
        <v>9994.1</v>
      </c>
      <c r="CG98" s="177">
        <f t="shared" si="938"/>
        <v>10225.299999999999</v>
      </c>
      <c r="CH98" s="177">
        <f t="shared" si="938"/>
        <v>10325.6</v>
      </c>
      <c r="CI98" s="177">
        <f t="shared" si="938"/>
        <v>10729.7</v>
      </c>
      <c r="CJ98" s="177">
        <f t="shared" si="938"/>
        <v>11136.3</v>
      </c>
      <c r="CK98" s="177">
        <f t="shared" si="938"/>
        <v>11406.8</v>
      </c>
      <c r="CL98" s="177">
        <f t="shared" si="938"/>
        <v>11626.9</v>
      </c>
      <c r="CM98" s="178">
        <f t="shared" si="938"/>
        <v>11933.256843324454</v>
      </c>
      <c r="CN98" s="178">
        <f t="shared" si="938"/>
        <v>12209.103504109898</v>
      </c>
      <c r="CO98" s="178">
        <f t="shared" si="938"/>
        <v>12431.929636526813</v>
      </c>
      <c r="CP98" s="178">
        <f t="shared" si="938"/>
        <v>12631.364443930825</v>
      </c>
      <c r="CQ98" s="178">
        <f t="shared" si="938"/>
        <v>12905.359083152729</v>
      </c>
      <c r="CR98" s="178">
        <f t="shared" si="938"/>
        <v>13169.818240680763</v>
      </c>
      <c r="CS98" s="178">
        <f t="shared" si="938"/>
        <v>13416.498451103089</v>
      </c>
      <c r="CT98" s="178">
        <f t="shared" si="938"/>
        <v>13657.870552299477</v>
      </c>
      <c r="CU98" s="178">
        <f t="shared" si="938"/>
        <v>13937.851268284765</v>
      </c>
      <c r="CV98" s="178">
        <f t="shared" si="938"/>
        <v>14219.285525731666</v>
      </c>
      <c r="CW98" s="178">
        <f t="shared" si="938"/>
        <v>14489.494561469941</v>
      </c>
      <c r="CX98" s="178">
        <f t="shared" ref="CX98:DB98" si="939">+SUM(CU8:CX8)</f>
        <v>14753.211878892746</v>
      </c>
      <c r="CY98" s="178">
        <f t="shared" si="939"/>
        <v>15052.044894754978</v>
      </c>
      <c r="CZ98" s="178">
        <f t="shared" si="939"/>
        <v>15355.892262496134</v>
      </c>
      <c r="DA98" s="178">
        <f t="shared" si="939"/>
        <v>15648.685207341179</v>
      </c>
      <c r="DB98" s="178">
        <f t="shared" si="939"/>
        <v>15933.681118417095</v>
      </c>
      <c r="DE98" s="179"/>
      <c r="DF98" s="177">
        <v>10995.9</v>
      </c>
    </row>
    <row r="99" spans="1:110" s="163" customFormat="1" x14ac:dyDescent="0.2">
      <c r="A99" s="163" t="s">
        <v>511</v>
      </c>
      <c r="E99" s="163">
        <f t="shared" ref="E99:AE99" ca="1" si="940">+E98/E65</f>
        <v>0</v>
      </c>
      <c r="F99" s="163">
        <f t="shared" ca="1" si="940"/>
        <v>0</v>
      </c>
      <c r="G99" s="163">
        <f t="shared" ca="1" si="940"/>
        <v>0</v>
      </c>
      <c r="H99" s="163">
        <f t="shared" ca="1" si="940"/>
        <v>0</v>
      </c>
      <c r="I99" s="163">
        <f t="shared" ca="1" si="940"/>
        <v>0</v>
      </c>
      <c r="J99" s="163">
        <f t="shared" ca="1" si="940"/>
        <v>0</v>
      </c>
      <c r="K99" s="163">
        <f t="shared" ca="1" si="940"/>
        <v>0</v>
      </c>
      <c r="L99" s="163">
        <f t="shared" ca="1" si="940"/>
        <v>0</v>
      </c>
      <c r="M99" s="163">
        <f t="shared" ca="1" si="940"/>
        <v>0</v>
      </c>
      <c r="N99" s="163">
        <f t="shared" ca="1" si="940"/>
        <v>0</v>
      </c>
      <c r="O99" s="163">
        <f t="shared" ca="1" si="940"/>
        <v>11.902830188679246</v>
      </c>
      <c r="P99" s="163">
        <f t="shared" ca="1" si="940"/>
        <v>247.04028301886794</v>
      </c>
      <c r="Q99" s="163">
        <f t="shared" ca="1" si="940"/>
        <v>289.2641509433962</v>
      </c>
      <c r="R99" s="163">
        <f t="shared" ca="1" si="940"/>
        <v>306.44339622641513</v>
      </c>
      <c r="S99" s="163">
        <f t="shared" ca="1" si="940"/>
        <v>353.5</v>
      </c>
      <c r="T99" s="163">
        <f t="shared" ca="1" si="940"/>
        <v>479.08490566037739</v>
      </c>
      <c r="U99" s="163">
        <f t="shared" ca="1" si="940"/>
        <v>530.10377358490575</v>
      </c>
      <c r="V99" s="163">
        <f t="shared" ca="1" si="940"/>
        <v>514.12264150943395</v>
      </c>
      <c r="W99" s="163">
        <f t="shared" ca="1" si="940"/>
        <v>619.78301886792451</v>
      </c>
      <c r="X99" s="163">
        <f t="shared" ca="1" si="940"/>
        <v>831.65094339622647</v>
      </c>
      <c r="Y99" s="163">
        <f t="shared" ca="1" si="940"/>
        <v>910.12264150943395</v>
      </c>
      <c r="Z99" s="163">
        <f t="shared" ref="Z99:AA99" ca="1" si="941">+Z98/Z65</f>
        <v>1006.6132075471698</v>
      </c>
      <c r="AA99" s="163">
        <f t="shared" ca="1" si="941"/>
        <v>1006.6132075471698</v>
      </c>
      <c r="AB99" s="94">
        <f t="shared" ca="1" si="940"/>
        <v>1191.6381550878136</v>
      </c>
      <c r="AC99" s="94">
        <f t="shared" ca="1" si="940"/>
        <v>1288.4783539905168</v>
      </c>
      <c r="AD99" s="94">
        <f t="shared" ca="1" si="940"/>
        <v>1391.812441404976</v>
      </c>
      <c r="AE99" s="94">
        <f t="shared" ca="1" si="940"/>
        <v>1503.1774640016129</v>
      </c>
      <c r="AL99" s="163">
        <f t="shared" ref="AL99:BQ99" si="942">+AL98/AL65</f>
        <v>0</v>
      </c>
      <c r="AM99" s="163">
        <f t="shared" si="942"/>
        <v>0</v>
      </c>
      <c r="AN99" s="163">
        <f t="shared" si="942"/>
        <v>0</v>
      </c>
      <c r="AO99" s="163">
        <f t="shared" si="942"/>
        <v>0</v>
      </c>
      <c r="AP99" s="163">
        <f t="shared" si="942"/>
        <v>0</v>
      </c>
      <c r="AQ99" s="163">
        <f t="shared" si="942"/>
        <v>0</v>
      </c>
      <c r="AR99" s="163">
        <f t="shared" si="942"/>
        <v>0</v>
      </c>
      <c r="AS99" s="163">
        <f t="shared" si="942"/>
        <v>0</v>
      </c>
      <c r="AT99" s="163">
        <f t="shared" si="942"/>
        <v>0</v>
      </c>
      <c r="AU99" s="163">
        <f t="shared" si="942"/>
        <v>0</v>
      </c>
      <c r="AV99" s="163">
        <f t="shared" si="942"/>
        <v>72.79245283018868</v>
      </c>
      <c r="AW99" s="163">
        <f t="shared" si="942"/>
        <v>146.39622641509436</v>
      </c>
      <c r="AX99" s="163">
        <f t="shared" si="942"/>
        <v>222.00000000000003</v>
      </c>
      <c r="AY99" s="163">
        <f t="shared" si="942"/>
        <v>297.74528301886795</v>
      </c>
      <c r="AZ99" s="163">
        <f t="shared" si="942"/>
        <v>302.56603773584902</v>
      </c>
      <c r="BA99" s="163">
        <f t="shared" si="942"/>
        <v>305.41509433962267</v>
      </c>
      <c r="BB99" s="163">
        <f t="shared" si="942"/>
        <v>306.44339622641513</v>
      </c>
      <c r="BC99" s="163">
        <f t="shared" si="942"/>
        <v>308.30188679245282</v>
      </c>
      <c r="BD99" s="163">
        <f t="shared" si="942"/>
        <v>315.65094339622641</v>
      </c>
      <c r="BE99" s="163">
        <f t="shared" si="942"/>
        <v>330.62264150943395</v>
      </c>
      <c r="BF99" s="163">
        <f t="shared" si="942"/>
        <v>353.50000000000006</v>
      </c>
      <c r="BG99" s="163">
        <f t="shared" si="942"/>
        <v>384.59433962264148</v>
      </c>
      <c r="BH99" s="163">
        <f t="shared" si="942"/>
        <v>419.07547169811329</v>
      </c>
      <c r="BI99" s="163">
        <f t="shared" si="942"/>
        <v>451.88679245283021</v>
      </c>
      <c r="BJ99" s="163">
        <f t="shared" si="942"/>
        <v>479.08490566037739</v>
      </c>
      <c r="BK99" s="163">
        <f t="shared" si="942"/>
        <v>497.50943396226421</v>
      </c>
      <c r="BL99" s="163">
        <f t="shared" si="942"/>
        <v>510.33962264150949</v>
      </c>
      <c r="BM99" s="163">
        <f t="shared" si="942"/>
        <v>520.33962264150944</v>
      </c>
      <c r="BN99" s="163">
        <f t="shared" si="942"/>
        <v>530.10377358490575</v>
      </c>
      <c r="BO99" s="163">
        <f t="shared" si="942"/>
        <v>525.12264150943395</v>
      </c>
      <c r="BP99" s="163">
        <f t="shared" si="942"/>
        <v>516.79245283018872</v>
      </c>
      <c r="BQ99" s="163">
        <f t="shared" si="942"/>
        <v>514.69811320754718</v>
      </c>
      <c r="BR99" s="163">
        <f t="shared" ref="BR99:CW99" si="943">+BR98/BR65</f>
        <v>514.12264150943395</v>
      </c>
      <c r="BS99" s="163">
        <f t="shared" si="943"/>
        <v>535.22641509433959</v>
      </c>
      <c r="BT99" s="163">
        <f t="shared" si="943"/>
        <v>562.95283018867929</v>
      </c>
      <c r="BU99" s="163">
        <f t="shared" si="943"/>
        <v>590.00943396226421</v>
      </c>
      <c r="BV99" s="163">
        <f t="shared" si="943"/>
        <v>619.78301886792462</v>
      </c>
      <c r="BW99" s="163">
        <f t="shared" si="943"/>
        <v>665.80188679245282</v>
      </c>
      <c r="BX99" s="163">
        <f t="shared" si="943"/>
        <v>729.38679245283026</v>
      </c>
      <c r="BY99" s="163">
        <f t="shared" si="943"/>
        <v>773.67924528301887</v>
      </c>
      <c r="BZ99" s="163">
        <f t="shared" si="943"/>
        <v>831.65094339622647</v>
      </c>
      <c r="CA99" s="163">
        <f t="shared" si="943"/>
        <v>859.49999999999989</v>
      </c>
      <c r="CB99" s="163">
        <f t="shared" si="943"/>
        <v>869.38679245283026</v>
      </c>
      <c r="CC99" s="163">
        <f t="shared" si="943"/>
        <v>894.36792452830184</v>
      </c>
      <c r="CD99" s="163">
        <f t="shared" si="943"/>
        <v>910.11320754716996</v>
      </c>
      <c r="CE99" s="163">
        <f t="shared" si="943"/>
        <v>925.25471698113222</v>
      </c>
      <c r="CF99" s="163">
        <f t="shared" si="943"/>
        <v>942.83962264150955</v>
      </c>
      <c r="CG99" s="163">
        <f t="shared" si="943"/>
        <v>964.65094339622635</v>
      </c>
      <c r="CH99" s="163">
        <f t="shared" si="943"/>
        <v>974.11320754716985</v>
      </c>
      <c r="CI99" s="163">
        <f t="shared" si="943"/>
        <v>1012.2358490566039</v>
      </c>
      <c r="CJ99" s="163">
        <f t="shared" si="943"/>
        <v>1050.5943396226414</v>
      </c>
      <c r="CK99" s="163">
        <f t="shared" ref="CK99:CL99" si="944">+CK98/CK65</f>
        <v>1076.1132075471698</v>
      </c>
      <c r="CL99" s="163">
        <f t="shared" si="944"/>
        <v>1096.8773584905659</v>
      </c>
      <c r="CM99" s="50">
        <f t="shared" si="943"/>
        <v>1125.7789474834392</v>
      </c>
      <c r="CN99" s="50">
        <f t="shared" si="943"/>
        <v>1151.8022173688585</v>
      </c>
      <c r="CO99" s="50">
        <f t="shared" si="943"/>
        <v>1172.8235506157371</v>
      </c>
      <c r="CP99" s="50">
        <f t="shared" si="943"/>
        <v>1191.6381550878136</v>
      </c>
      <c r="CQ99" s="50">
        <f t="shared" si="943"/>
        <v>1217.4867059578046</v>
      </c>
      <c r="CR99" s="50">
        <f t="shared" si="943"/>
        <v>1242.4356830830909</v>
      </c>
      <c r="CS99" s="50">
        <f t="shared" si="943"/>
        <v>1265.7074010474612</v>
      </c>
      <c r="CT99" s="50">
        <f t="shared" si="943"/>
        <v>1288.4783539905168</v>
      </c>
      <c r="CU99" s="50">
        <f t="shared" si="943"/>
        <v>1314.8916290834684</v>
      </c>
      <c r="CV99" s="50">
        <f t="shared" si="943"/>
        <v>1341.4420307294024</v>
      </c>
      <c r="CW99" s="50">
        <f t="shared" si="943"/>
        <v>1366.9334491952775</v>
      </c>
      <c r="CX99" s="50">
        <f t="shared" ref="CX99:DB99" si="945">+CX98/CX65</f>
        <v>1391.812441404976</v>
      </c>
      <c r="CY99" s="50">
        <f t="shared" si="945"/>
        <v>1420.0042353542433</v>
      </c>
      <c r="CZ99" s="50">
        <f t="shared" si="945"/>
        <v>1448.6690813675598</v>
      </c>
      <c r="DA99" s="50">
        <f t="shared" si="945"/>
        <v>1476.2910572963376</v>
      </c>
      <c r="DB99" s="50">
        <f t="shared" si="945"/>
        <v>1503.1774640016129</v>
      </c>
      <c r="DE99" s="164"/>
      <c r="DF99" s="163">
        <v>1006.6132075471698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6">+E77/E$99</f>
        <v>#DIV/0!</v>
      </c>
      <c r="F102" s="163" t="e">
        <f t="shared" ca="1" si="946"/>
        <v>#DIV/0!</v>
      </c>
      <c r="G102" s="163" t="e">
        <f t="shared" ca="1" si="946"/>
        <v>#DIV/0!</v>
      </c>
      <c r="H102" s="163" t="e">
        <f t="shared" ca="1" si="946"/>
        <v>#DIV/0!</v>
      </c>
      <c r="I102" s="163" t="e">
        <f t="shared" ca="1" si="946"/>
        <v>#DIV/0!</v>
      </c>
      <c r="J102" s="163" t="e">
        <f t="shared" ca="1" si="946"/>
        <v>#DIV/0!</v>
      </c>
      <c r="K102" s="163" t="e">
        <f t="shared" ca="1" si="946"/>
        <v>#DIV/0!</v>
      </c>
      <c r="L102" s="163" t="e">
        <f t="shared" ca="1" si="946"/>
        <v>#DIV/0!</v>
      </c>
      <c r="M102" s="163" t="e">
        <f t="shared" ca="1" si="946"/>
        <v>#DIV/0!</v>
      </c>
      <c r="N102" s="163" t="e">
        <f t="shared" ca="1" si="946"/>
        <v>#DIV/0!</v>
      </c>
      <c r="O102" s="163">
        <f t="shared" ca="1" si="946"/>
        <v>0</v>
      </c>
      <c r="P102" s="163">
        <f t="shared" ca="1" si="946"/>
        <v>0</v>
      </c>
      <c r="Q102" s="163">
        <f t="shared" ca="1" si="946"/>
        <v>0</v>
      </c>
      <c r="R102" s="163">
        <f t="shared" ca="1" si="946"/>
        <v>2.5538158421328077</v>
      </c>
      <c r="S102" s="163">
        <f t="shared" ca="1" si="946"/>
        <v>3.5066478076379064</v>
      </c>
      <c r="T102" s="163">
        <f t="shared" ca="1" si="946"/>
        <v>3.2793769568556401</v>
      </c>
      <c r="U102" s="163">
        <f t="shared" ca="1" si="946"/>
        <v>2.1927782029150573</v>
      </c>
      <c r="V102" s="163">
        <f t="shared" ca="1" si="946"/>
        <v>5.1637484632181589</v>
      </c>
      <c r="W102" s="163">
        <f t="shared" ca="1" si="946"/>
        <v>8.2319938505563428</v>
      </c>
      <c r="X102" s="163">
        <f t="shared" ca="1" si="946"/>
        <v>4.0599965969031819</v>
      </c>
      <c r="Y102" s="163">
        <f t="shared" ca="1" si="946"/>
        <v>6.0214412322618767</v>
      </c>
      <c r="Z102" s="163">
        <f ca="1">+Z77/Z$99</f>
        <v>4.4713301656029456</v>
      </c>
      <c r="AA102" s="163">
        <f ca="1">+AA77/AA$99</f>
        <v>4.4713301656029456</v>
      </c>
      <c r="AB102" s="50">
        <f t="shared" ref="AB102:AE102" ca="1" si="947">+AB77/AB$99</f>
        <v>2.6182444617763037</v>
      </c>
      <c r="AC102" s="50">
        <f t="shared" ca="1" si="947"/>
        <v>2.4214609351698608</v>
      </c>
      <c r="AD102" s="50">
        <f t="shared" ca="1" si="947"/>
        <v>2.2416813553200399</v>
      </c>
      <c r="AE102" s="50">
        <f t="shared" ca="1" si="947"/>
        <v>2.075603230302721</v>
      </c>
      <c r="AL102" s="163" t="e">
        <f t="shared" ref="AL102:BQ102" si="948">+AL77/AL99</f>
        <v>#DIV/0!</v>
      </c>
      <c r="AM102" s="163" t="e">
        <f t="shared" si="948"/>
        <v>#DIV/0!</v>
      </c>
      <c r="AN102" s="163" t="e">
        <f t="shared" si="948"/>
        <v>#DIV/0!</v>
      </c>
      <c r="AO102" s="163" t="e">
        <f t="shared" si="948"/>
        <v>#DIV/0!</v>
      </c>
      <c r="AP102" s="163" t="e">
        <f t="shared" si="948"/>
        <v>#DIV/0!</v>
      </c>
      <c r="AQ102" s="163" t="e">
        <f t="shared" si="948"/>
        <v>#DIV/0!</v>
      </c>
      <c r="AR102" s="163" t="e">
        <f t="shared" si="948"/>
        <v>#DIV/0!</v>
      </c>
      <c r="AS102" s="163" t="e">
        <f t="shared" si="948"/>
        <v>#DIV/0!</v>
      </c>
      <c r="AT102" s="163" t="e">
        <f t="shared" si="948"/>
        <v>#DIV/0!</v>
      </c>
      <c r="AU102" s="163" t="e">
        <f t="shared" si="948"/>
        <v>#DIV/0!</v>
      </c>
      <c r="AV102" s="163">
        <f t="shared" si="948"/>
        <v>0</v>
      </c>
      <c r="AW102" s="163">
        <f t="shared" si="948"/>
        <v>0</v>
      </c>
      <c r="AX102" s="163">
        <f t="shared" si="948"/>
        <v>0</v>
      </c>
      <c r="AY102" s="163">
        <f t="shared" si="948"/>
        <v>0</v>
      </c>
      <c r="AZ102" s="163">
        <f t="shared" si="948"/>
        <v>2.787490646046396</v>
      </c>
      <c r="BA102" s="163">
        <f t="shared" si="948"/>
        <v>2.5766571940446035</v>
      </c>
      <c r="BB102" s="163">
        <f t="shared" si="948"/>
        <v>2.5538158421328077</v>
      </c>
      <c r="BC102" s="163">
        <f t="shared" si="948"/>
        <v>2.3334271725826192</v>
      </c>
      <c r="BD102" s="163">
        <f t="shared" si="948"/>
        <v>2.479954571266326</v>
      </c>
      <c r="BE102" s="163">
        <f t="shared" si="948"/>
        <v>3.0891713747645952</v>
      </c>
      <c r="BF102" s="163">
        <f t="shared" si="948"/>
        <v>3.506647807637906</v>
      </c>
      <c r="BG102" s="163">
        <f t="shared" si="948"/>
        <v>3.1602129173105702</v>
      </c>
      <c r="BH102" s="163">
        <f t="shared" si="948"/>
        <v>4.1105961010310201</v>
      </c>
      <c r="BI102" s="163">
        <f t="shared" si="948"/>
        <v>3.7870104384133607</v>
      </c>
      <c r="BJ102" s="163">
        <f t="shared" si="948"/>
        <v>3.2793769568556401</v>
      </c>
      <c r="BK102" s="163">
        <f t="shared" si="948"/>
        <v>3.5120942050970867</v>
      </c>
      <c r="BL102" s="163">
        <f t="shared" si="948"/>
        <v>2.9840912451937296</v>
      </c>
      <c r="BM102" s="163">
        <f t="shared" si="948"/>
        <v>2.816621945028646</v>
      </c>
      <c r="BN102" s="163">
        <f t="shared" si="948"/>
        <v>2.1927782029150573</v>
      </c>
      <c r="BO102" s="163">
        <f t="shared" si="948"/>
        <v>2.4455239566678046</v>
      </c>
      <c r="BP102" s="163">
        <f t="shared" si="948"/>
        <v>3.1267871485943775</v>
      </c>
      <c r="BQ102" s="163">
        <f t="shared" si="948"/>
        <v>4.5440228747388103</v>
      </c>
      <c r="BR102" s="163">
        <f t="shared" ref="BR102:DB102" si="949">+BR77/BR99</f>
        <v>5.1637484632181589</v>
      </c>
      <c r="BS102" s="163">
        <f t="shared" si="949"/>
        <v>5.4247135756336586</v>
      </c>
      <c r="BT102" s="163">
        <f t="shared" si="949"/>
        <v>8.3420843597606957</v>
      </c>
      <c r="BU102" s="163">
        <f t="shared" si="949"/>
        <v>9.4897635151340722</v>
      </c>
      <c r="BV102" s="163">
        <f t="shared" si="949"/>
        <v>8.231993850556341</v>
      </c>
      <c r="BW102" s="163">
        <f t="shared" si="949"/>
        <v>4.5491009564293305</v>
      </c>
      <c r="BX102" s="163">
        <f t="shared" si="949"/>
        <v>4.9386690810321401</v>
      </c>
      <c r="BY102" s="163">
        <f t="shared" si="949"/>
        <v>4.762244848189245</v>
      </c>
      <c r="BZ102" s="163">
        <f t="shared" si="949"/>
        <v>4.0599965969031819</v>
      </c>
      <c r="CA102" s="163">
        <f t="shared" si="949"/>
        <v>4.5744037230948233</v>
      </c>
      <c r="CB102" s="163">
        <f t="shared" si="949"/>
        <v>5.2620997232922795</v>
      </c>
      <c r="CC102" s="163">
        <f t="shared" si="949"/>
        <v>5.8770555784099665</v>
      </c>
      <c r="CD102" s="163">
        <f t="shared" si="949"/>
        <v>6.0215036487270908</v>
      </c>
      <c r="CE102" s="163">
        <f t="shared" si="949"/>
        <v>5.3050796822904447</v>
      </c>
      <c r="CF102" s="163">
        <f t="shared" si="949"/>
        <v>5.6690977676829322</v>
      </c>
      <c r="CG102" s="163">
        <f t="shared" si="949"/>
        <v>4.9084594095038776</v>
      </c>
      <c r="CH102" s="163">
        <f t="shared" si="949"/>
        <v>4.6205101882699307</v>
      </c>
      <c r="CI102" s="163">
        <f t="shared" si="949"/>
        <v>4.3439481066572219</v>
      </c>
      <c r="CJ102" s="163">
        <f t="shared" si="949"/>
        <v>3.9161642556324816</v>
      </c>
      <c r="CK102" s="163">
        <f t="shared" ref="CK102:CL102" si="950">+CK77/CK99</f>
        <v>4.1431979170319462</v>
      </c>
      <c r="CL102" s="163">
        <f t="shared" si="950"/>
        <v>2.844438328359236</v>
      </c>
      <c r="CM102" s="50">
        <f t="shared" si="949"/>
        <v>2.7714144121938262</v>
      </c>
      <c r="CN102" s="50">
        <f t="shared" si="949"/>
        <v>2.7087983969393914</v>
      </c>
      <c r="CO102" s="50">
        <f t="shared" si="949"/>
        <v>2.6602467168756863</v>
      </c>
      <c r="CP102" s="50">
        <f t="shared" si="949"/>
        <v>2.6182444617763037</v>
      </c>
      <c r="CQ102" s="50">
        <f t="shared" si="949"/>
        <v>2.562656318736126</v>
      </c>
      <c r="CR102" s="50">
        <f t="shared" si="949"/>
        <v>2.5111963882570993</v>
      </c>
      <c r="CS102" s="50">
        <f t="shared" si="949"/>
        <v>2.4650246948212375</v>
      </c>
      <c r="CT102" s="50">
        <f t="shared" si="949"/>
        <v>2.4214609351698608</v>
      </c>
      <c r="CU102" s="50">
        <f t="shared" si="949"/>
        <v>2.3728191213558518</v>
      </c>
      <c r="CV102" s="50">
        <f t="shared" si="949"/>
        <v>2.3258552576465159</v>
      </c>
      <c r="CW102" s="50">
        <f t="shared" si="949"/>
        <v>2.2824812735665838</v>
      </c>
      <c r="CX102" s="50">
        <f t="shared" si="949"/>
        <v>2.2416813553200399</v>
      </c>
      <c r="CY102" s="50">
        <f t="shared" si="949"/>
        <v>2.1971765451964762</v>
      </c>
      <c r="CZ102" s="50">
        <f t="shared" si="949"/>
        <v>2.153700966030617</v>
      </c>
      <c r="DA102" s="50">
        <f t="shared" si="949"/>
        <v>2.1134043890463796</v>
      </c>
      <c r="DB102" s="50">
        <f t="shared" si="949"/>
        <v>2.075603230302721</v>
      </c>
      <c r="DE102" s="106"/>
      <c r="DF102" s="163">
        <v>4.4713301656029456</v>
      </c>
    </row>
    <row r="103" spans="1:110" s="163" customFormat="1" x14ac:dyDescent="0.2">
      <c r="A103" s="163" t="s">
        <v>508</v>
      </c>
      <c r="E103" s="163" t="e">
        <f t="shared" ca="1" si="946"/>
        <v>#DIV/0!</v>
      </c>
      <c r="F103" s="163" t="e">
        <f t="shared" ca="1" si="946"/>
        <v>#DIV/0!</v>
      </c>
      <c r="G103" s="163" t="e">
        <f t="shared" ca="1" si="946"/>
        <v>#DIV/0!</v>
      </c>
      <c r="H103" s="163" t="e">
        <f t="shared" ca="1" si="946"/>
        <v>#DIV/0!</v>
      </c>
      <c r="I103" s="163" t="e">
        <f t="shared" ca="1" si="946"/>
        <v>#DIV/0!</v>
      </c>
      <c r="J103" s="163" t="e">
        <f t="shared" ca="1" si="946"/>
        <v>#DIV/0!</v>
      </c>
      <c r="K103" s="163" t="e">
        <f t="shared" ca="1" si="946"/>
        <v>#DIV/0!</v>
      </c>
      <c r="L103" s="163" t="e">
        <f t="shared" ca="1" si="946"/>
        <v>#DIV/0!</v>
      </c>
      <c r="M103" s="163" t="e">
        <f t="shared" ca="1" si="946"/>
        <v>#DIV/0!</v>
      </c>
      <c r="N103" s="163" t="e">
        <f t="shared" ca="1" si="946"/>
        <v>#DIV/0!</v>
      </c>
      <c r="O103" s="163">
        <f t="shared" ca="1" si="946"/>
        <v>0</v>
      </c>
      <c r="P103" s="163">
        <f t="shared" ca="1" si="946"/>
        <v>0</v>
      </c>
      <c r="Q103" s="163">
        <f t="shared" ca="1" si="946"/>
        <v>0</v>
      </c>
      <c r="R103" s="163">
        <f t="shared" ca="1" si="946"/>
        <v>3.0380814579934117</v>
      </c>
      <c r="S103" s="163">
        <f t="shared" ca="1" si="946"/>
        <v>4.3762376237623766</v>
      </c>
      <c r="T103" s="163">
        <f t="shared" ca="1" si="946"/>
        <v>3.8667467459582929</v>
      </c>
      <c r="U103" s="163">
        <f t="shared" ca="1" si="946"/>
        <v>3.4290455766937762</v>
      </c>
      <c r="V103" s="163">
        <f t="shared" ca="1" si="946"/>
        <v>5.5596656696698901</v>
      </c>
      <c r="W103" s="163">
        <f t="shared" ca="1" si="946"/>
        <v>9.6132030381904823</v>
      </c>
      <c r="X103" s="163">
        <f t="shared" ca="1" si="946"/>
        <v>6.3664931087289425</v>
      </c>
      <c r="Y103" s="163">
        <f t="shared" ca="1" si="946"/>
        <v>6.2354233827081149</v>
      </c>
      <c r="Z103" s="163">
        <f t="shared" ref="Z103:AA104" ca="1" si="951">+Z78/Z$99</f>
        <v>5.9506471354532762</v>
      </c>
      <c r="AA103" s="163">
        <f t="shared" ca="1" si="951"/>
        <v>5.9506471354532762</v>
      </c>
      <c r="AB103" s="94">
        <f t="shared" ca="1" si="946"/>
        <v>4.388171543470988</v>
      </c>
      <c r="AC103" s="94">
        <f t="shared" ca="1" si="946"/>
        <v>4.6459458527089215</v>
      </c>
      <c r="AD103" s="94">
        <f t="shared" ca="1" si="946"/>
        <v>4.8582258539699685</v>
      </c>
      <c r="AE103" s="94">
        <f t="shared" ca="1" si="946"/>
        <v>5.0476291737886365</v>
      </c>
      <c r="AL103" s="163" t="e">
        <f t="shared" ref="AL103:BQ103" si="952">+AL78/AL99</f>
        <v>#DIV/0!</v>
      </c>
      <c r="AM103" s="163" t="e">
        <f t="shared" si="952"/>
        <v>#DIV/0!</v>
      </c>
      <c r="AN103" s="163" t="e">
        <f t="shared" si="952"/>
        <v>#DIV/0!</v>
      </c>
      <c r="AO103" s="163" t="e">
        <f t="shared" si="952"/>
        <v>#DIV/0!</v>
      </c>
      <c r="AP103" s="163" t="e">
        <f t="shared" si="952"/>
        <v>#DIV/0!</v>
      </c>
      <c r="AQ103" s="163" t="e">
        <f t="shared" si="952"/>
        <v>#DIV/0!</v>
      </c>
      <c r="AR103" s="163" t="e">
        <f t="shared" si="952"/>
        <v>#DIV/0!</v>
      </c>
      <c r="AS103" s="163" t="e">
        <f t="shared" si="952"/>
        <v>#DIV/0!</v>
      </c>
      <c r="AT103" s="163" t="e">
        <f t="shared" si="952"/>
        <v>#DIV/0!</v>
      </c>
      <c r="AU103" s="163" t="e">
        <f t="shared" si="952"/>
        <v>#DIV/0!</v>
      </c>
      <c r="AV103" s="163">
        <f t="shared" si="952"/>
        <v>0</v>
      </c>
      <c r="AW103" s="163">
        <f t="shared" si="952"/>
        <v>0</v>
      </c>
      <c r="AX103" s="163">
        <f t="shared" si="952"/>
        <v>0</v>
      </c>
      <c r="AY103" s="163">
        <f t="shared" si="952"/>
        <v>0</v>
      </c>
      <c r="AZ103" s="163">
        <f t="shared" si="952"/>
        <v>3.0770142180094791</v>
      </c>
      <c r="BA103" s="163">
        <f t="shared" si="952"/>
        <v>2.8320473219250015</v>
      </c>
      <c r="BB103" s="163">
        <f t="shared" si="952"/>
        <v>2.7900748083612963</v>
      </c>
      <c r="BC103" s="163">
        <f t="shared" si="952"/>
        <v>2.5946970624235011</v>
      </c>
      <c r="BD103" s="163">
        <f t="shared" si="952"/>
        <v>2.5407812546698945</v>
      </c>
      <c r="BE103" s="163">
        <f t="shared" si="952"/>
        <v>3.4008560178051708</v>
      </c>
      <c r="BF103" s="163">
        <f t="shared" si="952"/>
        <v>4.3762376237623757</v>
      </c>
      <c r="BG103" s="163">
        <f t="shared" si="952"/>
        <v>3.5881963352711757</v>
      </c>
      <c r="BH103" s="163">
        <f t="shared" si="952"/>
        <v>4.4204448246364407</v>
      </c>
      <c r="BI103" s="163">
        <f t="shared" si="952"/>
        <v>3.9235490605427974</v>
      </c>
      <c r="BJ103" s="163">
        <f t="shared" si="952"/>
        <v>3.646430892227714</v>
      </c>
      <c r="BK103" s="163">
        <f t="shared" si="952"/>
        <v>3.6536995600728153</v>
      </c>
      <c r="BL103" s="163">
        <f t="shared" si="952"/>
        <v>3.4643596569062405</v>
      </c>
      <c r="BM103" s="163">
        <f t="shared" si="952"/>
        <v>3.1844586264413661</v>
      </c>
      <c r="BN103" s="163">
        <f t="shared" si="952"/>
        <v>3.3578331049456311</v>
      </c>
      <c r="BO103" s="163">
        <f t="shared" si="952"/>
        <v>2.6951799220307926</v>
      </c>
      <c r="BP103" s="163">
        <f t="shared" si="952"/>
        <v>3.284684191310697</v>
      </c>
      <c r="BQ103" s="163">
        <f t="shared" si="952"/>
        <v>4.7313171303933421</v>
      </c>
      <c r="BR103" s="163">
        <f t="shared" ref="BR103:CJ103" si="953">+BR78/BR99</f>
        <v>5.5596656696698901</v>
      </c>
      <c r="BS103" s="163">
        <f t="shared" si="953"/>
        <v>5.7217841153452955</v>
      </c>
      <c r="BT103" s="163">
        <f t="shared" si="953"/>
        <v>8.8817388098469987</v>
      </c>
      <c r="BU103" s="163">
        <f t="shared" si="953"/>
        <v>9.8628931420987822</v>
      </c>
      <c r="BV103" s="163">
        <f t="shared" si="953"/>
        <v>9.6132030381904805</v>
      </c>
      <c r="BW103" s="163">
        <f t="shared" si="953"/>
        <v>7.9523655685441019</v>
      </c>
      <c r="BX103" s="163">
        <f t="shared" si="953"/>
        <v>5.4045398693655819</v>
      </c>
      <c r="BY103" s="163">
        <f t="shared" si="953"/>
        <v>5.5795085965126203</v>
      </c>
      <c r="BZ103" s="163">
        <f t="shared" si="953"/>
        <v>4.6173217628041519</v>
      </c>
      <c r="CA103" s="163">
        <f t="shared" si="953"/>
        <v>4.6910413030831881</v>
      </c>
      <c r="CB103" s="163">
        <f t="shared" si="953"/>
        <v>5.5187748901307572</v>
      </c>
      <c r="CC103" s="163">
        <f t="shared" si="953"/>
        <v>5.9986498317563797</v>
      </c>
      <c r="CD103" s="163">
        <f t="shared" si="953"/>
        <v>6.2354880172485272</v>
      </c>
      <c r="CE103" s="163">
        <f t="shared" si="953"/>
        <v>6.3603566585437958</v>
      </c>
      <c r="CF103" s="163">
        <f t="shared" si="953"/>
        <v>6.3531483575309426</v>
      </c>
      <c r="CG103" s="163">
        <f t="shared" si="953"/>
        <v>5.7524434490919587</v>
      </c>
      <c r="CH103" s="163">
        <f t="shared" si="953"/>
        <v>5.7974267839157045</v>
      </c>
      <c r="CI103" s="163">
        <f t="shared" si="953"/>
        <v>4.604312329328871</v>
      </c>
      <c r="CJ103" s="163">
        <f t="shared" si="953"/>
        <v>4.2832897820640614</v>
      </c>
      <c r="CK103" s="163">
        <f t="shared" ref="CK103:CL103" si="954">+CK78/CK99</f>
        <v>4.411199459971245</v>
      </c>
      <c r="CL103" s="163">
        <f t="shared" si="954"/>
        <v>4.1069769242016365</v>
      </c>
      <c r="CM103" s="94">
        <f t="shared" ref="CM103:DB103" si="955">+CL103</f>
        <v>4.1069769242016365</v>
      </c>
      <c r="CN103" s="94">
        <f t="shared" si="955"/>
        <v>4.1069769242016365</v>
      </c>
      <c r="CO103" s="94">
        <f t="shared" si="955"/>
        <v>4.1069769242016365</v>
      </c>
      <c r="CP103" s="94">
        <f t="shared" si="955"/>
        <v>4.1069769242016365</v>
      </c>
      <c r="CQ103" s="94">
        <f t="shared" si="955"/>
        <v>4.1069769242016365</v>
      </c>
      <c r="CR103" s="94">
        <f t="shared" si="955"/>
        <v>4.1069769242016365</v>
      </c>
      <c r="CS103" s="94">
        <f t="shared" si="955"/>
        <v>4.1069769242016365</v>
      </c>
      <c r="CT103" s="94">
        <f t="shared" si="955"/>
        <v>4.1069769242016365</v>
      </c>
      <c r="CU103" s="94">
        <f t="shared" si="955"/>
        <v>4.1069769242016365</v>
      </c>
      <c r="CV103" s="94">
        <f t="shared" si="955"/>
        <v>4.1069769242016365</v>
      </c>
      <c r="CW103" s="94">
        <f t="shared" si="955"/>
        <v>4.1069769242016365</v>
      </c>
      <c r="CX103" s="94">
        <f t="shared" si="955"/>
        <v>4.1069769242016365</v>
      </c>
      <c r="CY103" s="94">
        <f t="shared" si="955"/>
        <v>4.1069769242016365</v>
      </c>
      <c r="CZ103" s="94">
        <f t="shared" si="955"/>
        <v>4.1069769242016365</v>
      </c>
      <c r="DA103" s="94">
        <f t="shared" si="955"/>
        <v>4.1069769242016365</v>
      </c>
      <c r="DB103" s="94">
        <f t="shared" si="955"/>
        <v>4.1069769242016365</v>
      </c>
      <c r="DE103" s="164"/>
      <c r="DF103" s="163">
        <v>5.9506471354532762</v>
      </c>
    </row>
    <row r="104" spans="1:110" s="163" customFormat="1" x14ac:dyDescent="0.2">
      <c r="A104" s="163" t="s">
        <v>509</v>
      </c>
      <c r="E104" s="163" t="e">
        <f t="shared" ca="1" si="946"/>
        <v>#DIV/0!</v>
      </c>
      <c r="F104" s="163" t="e">
        <f t="shared" ca="1" si="946"/>
        <v>#DIV/0!</v>
      </c>
      <c r="G104" s="163" t="e">
        <f t="shared" ca="1" si="946"/>
        <v>#DIV/0!</v>
      </c>
      <c r="H104" s="163" t="e">
        <f t="shared" ca="1" si="946"/>
        <v>#DIV/0!</v>
      </c>
      <c r="I104" s="163" t="e">
        <f t="shared" ca="1" si="946"/>
        <v>#DIV/0!</v>
      </c>
      <c r="J104" s="163" t="e">
        <f t="shared" ca="1" si="946"/>
        <v>#DIV/0!</v>
      </c>
      <c r="K104" s="163" t="e">
        <f t="shared" ca="1" si="946"/>
        <v>#DIV/0!</v>
      </c>
      <c r="L104" s="163" t="e">
        <f t="shared" ca="1" si="946"/>
        <v>#DIV/0!</v>
      </c>
      <c r="M104" s="163" t="e">
        <f t="shared" ca="1" si="946"/>
        <v>#DIV/0!</v>
      </c>
      <c r="N104" s="163" t="e">
        <f t="shared" ca="1" si="946"/>
        <v>#DIV/0!</v>
      </c>
      <c r="O104" s="163">
        <f t="shared" ca="1" si="946"/>
        <v>0</v>
      </c>
      <c r="P104" s="163">
        <f t="shared" ca="1" si="946"/>
        <v>0</v>
      </c>
      <c r="Q104" s="163">
        <f t="shared" ca="1" si="946"/>
        <v>0</v>
      </c>
      <c r="R104" s="163">
        <f t="shared" ca="1" si="946"/>
        <v>2.398485361573746</v>
      </c>
      <c r="S104" s="163">
        <f t="shared" ca="1" si="946"/>
        <v>1.8981612446958982</v>
      </c>
      <c r="T104" s="163">
        <f t="shared" ca="1" si="946"/>
        <v>2.4004095858850403</v>
      </c>
      <c r="U104" s="163">
        <f t="shared" ca="1" si="946"/>
        <v>1.8769909772027547</v>
      </c>
      <c r="V104" s="163">
        <f t="shared" ca="1" si="946"/>
        <v>2.0743105125052756</v>
      </c>
      <c r="W104" s="163">
        <f t="shared" ca="1" si="946"/>
        <v>3.9955918839520832</v>
      </c>
      <c r="X104" s="163">
        <f t="shared" ca="1" si="946"/>
        <v>3.5151165560660198</v>
      </c>
      <c r="Y104" s="163">
        <f t="shared" ca="1" si="946"/>
        <v>3.6349496750386119</v>
      </c>
      <c r="Z104" s="163">
        <f t="shared" ca="1" si="951"/>
        <v>4.2002230532047493</v>
      </c>
      <c r="AA104" s="163">
        <f t="shared" ca="1" si="951"/>
        <v>4.2002230532047493</v>
      </c>
      <c r="AB104" s="94">
        <f t="shared" ca="1" si="946"/>
        <v>2.6864199680767338</v>
      </c>
      <c r="AC104" s="94">
        <f t="shared" ca="1" si="946"/>
        <v>2.8469342538569791</v>
      </c>
      <c r="AD104" s="94">
        <f t="shared" ca="1" si="946"/>
        <v>3.0049405207142867</v>
      </c>
      <c r="AE104" s="94">
        <f t="shared" ca="1" si="946"/>
        <v>3.1355073750684896</v>
      </c>
      <c r="AL104" s="163" t="e">
        <f t="shared" ref="AL104:BQ104" si="956">+AL79/AL99</f>
        <v>#DIV/0!</v>
      </c>
      <c r="AM104" s="163" t="e">
        <f t="shared" si="956"/>
        <v>#DIV/0!</v>
      </c>
      <c r="AN104" s="163" t="e">
        <f t="shared" si="956"/>
        <v>#DIV/0!</v>
      </c>
      <c r="AO104" s="163" t="e">
        <f t="shared" si="956"/>
        <v>#DIV/0!</v>
      </c>
      <c r="AP104" s="163" t="e">
        <f t="shared" si="956"/>
        <v>#DIV/0!</v>
      </c>
      <c r="AQ104" s="163" t="e">
        <f t="shared" si="956"/>
        <v>#DIV/0!</v>
      </c>
      <c r="AR104" s="163" t="e">
        <f t="shared" si="956"/>
        <v>#DIV/0!</v>
      </c>
      <c r="AS104" s="163" t="e">
        <f t="shared" si="956"/>
        <v>#DIV/0!</v>
      </c>
      <c r="AT104" s="163" t="e">
        <f t="shared" si="956"/>
        <v>#DIV/0!</v>
      </c>
      <c r="AU104" s="163" t="e">
        <f t="shared" si="956"/>
        <v>#DIV/0!</v>
      </c>
      <c r="AV104" s="163">
        <f t="shared" si="956"/>
        <v>0</v>
      </c>
      <c r="AW104" s="163">
        <f t="shared" si="956"/>
        <v>0</v>
      </c>
      <c r="AX104" s="163">
        <f t="shared" si="956"/>
        <v>0</v>
      </c>
      <c r="AY104" s="163">
        <f t="shared" si="956"/>
        <v>0</v>
      </c>
      <c r="AZ104" s="163">
        <f t="shared" si="956"/>
        <v>0</v>
      </c>
      <c r="BA104" s="163">
        <f t="shared" si="956"/>
        <v>2.4065608204114413</v>
      </c>
      <c r="BB104" s="163">
        <f t="shared" si="956"/>
        <v>2.4865929871009449</v>
      </c>
      <c r="BC104" s="163">
        <f t="shared" si="956"/>
        <v>2.1764381884944921</v>
      </c>
      <c r="BD104" s="163">
        <f t="shared" si="956"/>
        <v>2.2556561762156671</v>
      </c>
      <c r="BE104" s="163">
        <f t="shared" si="956"/>
        <v>2.3138161273754494</v>
      </c>
      <c r="BF104" s="163">
        <f t="shared" si="956"/>
        <v>2.7609618104667604</v>
      </c>
      <c r="BG104" s="163">
        <f t="shared" si="956"/>
        <v>2.9901636127259796</v>
      </c>
      <c r="BH104" s="163">
        <f t="shared" si="956"/>
        <v>2.8455495024987614</v>
      </c>
      <c r="BI104" s="163">
        <f t="shared" si="956"/>
        <v>3.0328392484342377</v>
      </c>
      <c r="BJ104" s="163">
        <f t="shared" si="956"/>
        <v>2.9326743201465058</v>
      </c>
      <c r="BK104" s="163">
        <f t="shared" si="956"/>
        <v>3.1417494690533978</v>
      </c>
      <c r="BL104" s="163">
        <f t="shared" si="956"/>
        <v>2.7736431529133387</v>
      </c>
      <c r="BM104" s="163">
        <f t="shared" si="956"/>
        <v>2.6820944230908692</v>
      </c>
      <c r="BN104" s="163">
        <f t="shared" si="956"/>
        <v>1.8769909772027547</v>
      </c>
      <c r="BO104" s="163">
        <f t="shared" si="956"/>
        <v>2.0308589188509423</v>
      </c>
      <c r="BP104" s="163">
        <f t="shared" si="956"/>
        <v>2.4216684921504195</v>
      </c>
      <c r="BQ104" s="163">
        <f t="shared" si="956"/>
        <v>3.0602404780233878</v>
      </c>
      <c r="BR104" s="163">
        <f t="shared" ref="BR104:CJ104" si="957">+BR79/BR99</f>
        <v>4.4763638365414611</v>
      </c>
      <c r="BS104" s="163">
        <f t="shared" si="957"/>
        <v>4.6268269468043854</v>
      </c>
      <c r="BT104" s="163">
        <f t="shared" si="957"/>
        <v>4.9759053508286826</v>
      </c>
      <c r="BU104" s="163">
        <f t="shared" si="957"/>
        <v>7.3475096336803052</v>
      </c>
      <c r="BV104" s="163">
        <f t="shared" si="957"/>
        <v>6.7442957821513909</v>
      </c>
      <c r="BW104" s="163">
        <f t="shared" si="957"/>
        <v>4.5163584838823949</v>
      </c>
      <c r="BX104" s="163">
        <f t="shared" si="957"/>
        <v>4.0079557653754119</v>
      </c>
      <c r="BY104" s="163">
        <f t="shared" si="957"/>
        <v>4.4302597244238502</v>
      </c>
      <c r="BZ104" s="163">
        <f t="shared" si="957"/>
        <v>3.8694118314332706</v>
      </c>
      <c r="CA104" s="163">
        <f t="shared" si="957"/>
        <v>3.8490401396160565</v>
      </c>
      <c r="CB104" s="163">
        <f t="shared" si="957"/>
        <v>4.3964896098963697</v>
      </c>
      <c r="CC104" s="163">
        <f t="shared" si="957"/>
        <v>4.5922934928219572</v>
      </c>
      <c r="CD104" s="163">
        <f t="shared" si="957"/>
        <v>5.5618904967244367</v>
      </c>
      <c r="CE104" s="163">
        <f t="shared" si="957"/>
        <v>4.5695524944686312</v>
      </c>
      <c r="CF104" s="163">
        <f t="shared" si="957"/>
        <v>4.9956004042385</v>
      </c>
      <c r="CG104" s="163">
        <f t="shared" si="957"/>
        <v>4.8225215886086481</v>
      </c>
      <c r="CH104" s="163">
        <f t="shared" si="957"/>
        <v>4.4331603006120703</v>
      </c>
      <c r="CI104" s="163">
        <f t="shared" si="957"/>
        <v>3.8084009804561165</v>
      </c>
      <c r="CJ104" s="163">
        <f t="shared" si="957"/>
        <v>3.7788134299542939</v>
      </c>
      <c r="CK104" s="163">
        <f t="shared" ref="CK104:CL104" si="958">+CK79/CK99</f>
        <v>3.7394299891292913</v>
      </c>
      <c r="CL104" s="163">
        <f t="shared" si="958"/>
        <v>2.7777490130645317</v>
      </c>
      <c r="CM104" s="94">
        <f t="shared" ref="CM104:DB104" si="959">+CL104</f>
        <v>2.7777490130645317</v>
      </c>
      <c r="CN104" s="94">
        <f t="shared" si="959"/>
        <v>2.7777490130645317</v>
      </c>
      <c r="CO104" s="94">
        <f t="shared" si="959"/>
        <v>2.7777490130645317</v>
      </c>
      <c r="CP104" s="94">
        <f t="shared" si="959"/>
        <v>2.7777490130645317</v>
      </c>
      <c r="CQ104" s="94">
        <f t="shared" si="959"/>
        <v>2.7777490130645317</v>
      </c>
      <c r="CR104" s="94">
        <f t="shared" si="959"/>
        <v>2.7777490130645317</v>
      </c>
      <c r="CS104" s="94">
        <f t="shared" si="959"/>
        <v>2.7777490130645317</v>
      </c>
      <c r="CT104" s="94">
        <f t="shared" si="959"/>
        <v>2.7777490130645317</v>
      </c>
      <c r="CU104" s="94">
        <f t="shared" si="959"/>
        <v>2.7777490130645317</v>
      </c>
      <c r="CV104" s="94">
        <f t="shared" si="959"/>
        <v>2.7777490130645317</v>
      </c>
      <c r="CW104" s="94">
        <f t="shared" si="959"/>
        <v>2.7777490130645317</v>
      </c>
      <c r="CX104" s="94">
        <f t="shared" si="959"/>
        <v>2.7777490130645317</v>
      </c>
      <c r="CY104" s="94">
        <f t="shared" si="959"/>
        <v>2.7777490130645317</v>
      </c>
      <c r="CZ104" s="94">
        <f t="shared" si="959"/>
        <v>2.7777490130645317</v>
      </c>
      <c r="DA104" s="94">
        <f t="shared" si="959"/>
        <v>2.7777490130645317</v>
      </c>
      <c r="DB104" s="94">
        <f t="shared" si="959"/>
        <v>2.7777490130645317</v>
      </c>
      <c r="DE104" s="164"/>
      <c r="DF104" s="163">
        <v>4.2002230532047493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60">+B78*B65</f>
        <v>#DIV/0!</v>
      </c>
      <c r="C107" s="162" t="e">
        <f t="shared" si="960"/>
        <v>#DIV/0!</v>
      </c>
      <c r="D107" s="162" t="e">
        <f t="shared" si="960"/>
        <v>#DIV/0!</v>
      </c>
      <c r="E107" s="162">
        <f t="shared" ca="1" si="960"/>
        <v>0</v>
      </c>
      <c r="F107" s="162">
        <f t="shared" ca="1" si="960"/>
        <v>0</v>
      </c>
      <c r="G107" s="162">
        <f t="shared" ca="1" si="960"/>
        <v>0</v>
      </c>
      <c r="H107" s="162">
        <f t="shared" ca="1" si="960"/>
        <v>0</v>
      </c>
      <c r="I107" s="162">
        <f t="shared" ca="1" si="960"/>
        <v>0</v>
      </c>
      <c r="J107" s="162">
        <f t="shared" ca="1" si="960"/>
        <v>0</v>
      </c>
      <c r="K107" s="162">
        <f t="shared" ca="1" si="960"/>
        <v>0</v>
      </c>
      <c r="L107" s="162">
        <f t="shared" ca="1" si="960"/>
        <v>0</v>
      </c>
      <c r="M107" s="162">
        <f t="shared" ca="1" si="960"/>
        <v>0</v>
      </c>
      <c r="N107" s="162">
        <f t="shared" ca="1" si="960"/>
        <v>0</v>
      </c>
      <c r="O107" s="162">
        <f t="shared" ca="1" si="960"/>
        <v>0</v>
      </c>
      <c r="P107" s="162">
        <f t="shared" ca="1" si="960"/>
        <v>0</v>
      </c>
      <c r="Q107" s="162">
        <f t="shared" ca="1" si="960"/>
        <v>0</v>
      </c>
      <c r="R107" s="162">
        <f t="shared" ca="1" si="960"/>
        <v>9868.6</v>
      </c>
      <c r="S107" s="162">
        <f t="shared" ca="1" si="960"/>
        <v>16398.2</v>
      </c>
      <c r="T107" s="162">
        <f t="shared" ca="1" si="960"/>
        <v>19636.5</v>
      </c>
      <c r="U107" s="162">
        <f t="shared" ca="1" si="960"/>
        <v>19268.149999999998</v>
      </c>
      <c r="V107" s="162">
        <f t="shared" ca="1" si="960"/>
        <v>30298.51</v>
      </c>
      <c r="W107" s="162">
        <f t="shared" ca="1" si="960"/>
        <v>63155.86</v>
      </c>
      <c r="X107" s="162">
        <f t="shared" ca="1" si="960"/>
        <v>56123.82</v>
      </c>
      <c r="Y107" s="162">
        <f t="shared" ca="1" si="960"/>
        <v>60155</v>
      </c>
      <c r="Z107" s="162">
        <f t="shared" ca="1" si="960"/>
        <v>63494</v>
      </c>
      <c r="AA107" s="162">
        <f t="shared" ref="AA107" ca="1" si="961">+AA78*AA65</f>
        <v>63494</v>
      </c>
      <c r="AB107" s="21">
        <f t="shared" ca="1" si="960"/>
        <v>55428.594008068489</v>
      </c>
      <c r="AC107" s="21">
        <f t="shared" ca="1" si="960"/>
        <v>63453.727049291061</v>
      </c>
      <c r="AD107" s="21">
        <f t="shared" ca="1" si="960"/>
        <v>71674.435379133589</v>
      </c>
      <c r="AE107" s="21">
        <f t="shared" ca="1" si="960"/>
        <v>80427.313659167281</v>
      </c>
      <c r="AL107" s="162">
        <f t="shared" ref="AL107:BQ107" si="962">+AL78*AL65</f>
        <v>0</v>
      </c>
      <c r="AM107" s="162">
        <f t="shared" si="962"/>
        <v>0</v>
      </c>
      <c r="AN107" s="162">
        <f t="shared" si="962"/>
        <v>0</v>
      </c>
      <c r="AO107" s="162">
        <f t="shared" si="962"/>
        <v>0</v>
      </c>
      <c r="AP107" s="162">
        <f t="shared" si="962"/>
        <v>0</v>
      </c>
      <c r="AQ107" s="162">
        <f t="shared" si="962"/>
        <v>0</v>
      </c>
      <c r="AR107" s="162">
        <f t="shared" si="962"/>
        <v>0</v>
      </c>
      <c r="AS107" s="162">
        <f t="shared" si="962"/>
        <v>0</v>
      </c>
      <c r="AT107" s="162">
        <f t="shared" si="962"/>
        <v>0</v>
      </c>
      <c r="AU107" s="162">
        <f t="shared" si="962"/>
        <v>0</v>
      </c>
      <c r="AV107" s="162">
        <f t="shared" si="962"/>
        <v>0</v>
      </c>
      <c r="AW107" s="162">
        <f t="shared" si="962"/>
        <v>0</v>
      </c>
      <c r="AX107" s="162">
        <f t="shared" si="962"/>
        <v>0</v>
      </c>
      <c r="AY107" s="162">
        <f t="shared" si="962"/>
        <v>0</v>
      </c>
      <c r="AZ107" s="162">
        <f t="shared" si="962"/>
        <v>9868.6</v>
      </c>
      <c r="BA107" s="162">
        <f t="shared" si="962"/>
        <v>9168.4699999999993</v>
      </c>
      <c r="BB107" s="162">
        <f t="shared" si="962"/>
        <v>9063</v>
      </c>
      <c r="BC107" s="162">
        <f t="shared" si="962"/>
        <v>8479.4699999999993</v>
      </c>
      <c r="BD107" s="162">
        <f t="shared" si="962"/>
        <v>8501.1999999999989</v>
      </c>
      <c r="BE107" s="162">
        <f t="shared" si="962"/>
        <v>11918.640000000001</v>
      </c>
      <c r="BF107" s="162">
        <f t="shared" si="962"/>
        <v>16398.2</v>
      </c>
      <c r="BG107" s="162">
        <f t="shared" si="962"/>
        <v>14628</v>
      </c>
      <c r="BH107" s="162">
        <f t="shared" si="962"/>
        <v>19636.5</v>
      </c>
      <c r="BI107" s="162">
        <f t="shared" si="962"/>
        <v>18793.8</v>
      </c>
      <c r="BJ107" s="162">
        <f t="shared" si="962"/>
        <v>18517.669999999998</v>
      </c>
      <c r="BK107" s="162">
        <f t="shared" si="962"/>
        <v>19268.149999999998</v>
      </c>
      <c r="BL107" s="162">
        <f t="shared" si="962"/>
        <v>18740.8</v>
      </c>
      <c r="BM107" s="162">
        <f t="shared" si="962"/>
        <v>17564.2</v>
      </c>
      <c r="BN107" s="162">
        <f t="shared" si="962"/>
        <v>18868</v>
      </c>
      <c r="BO107" s="162">
        <f t="shared" si="962"/>
        <v>15002.179999999998</v>
      </c>
      <c r="BP107" s="162">
        <f t="shared" si="962"/>
        <v>17993.5</v>
      </c>
      <c r="BQ107" s="162">
        <f t="shared" si="962"/>
        <v>25813.119999999999</v>
      </c>
      <c r="BR107" s="162">
        <f t="shared" ref="BR107:CJ107" si="963">+BR78*BR65</f>
        <v>30298.51</v>
      </c>
      <c r="BS107" s="162">
        <f t="shared" si="963"/>
        <v>32461.969999999998</v>
      </c>
      <c r="BT107" s="162">
        <f t="shared" si="963"/>
        <v>53000</v>
      </c>
      <c r="BU107" s="162">
        <f t="shared" si="963"/>
        <v>61683.519999999997</v>
      </c>
      <c r="BV107" s="162">
        <f t="shared" si="963"/>
        <v>63155.86</v>
      </c>
      <c r="BW107" s="162">
        <f t="shared" si="963"/>
        <v>56123.82</v>
      </c>
      <c r="BX107" s="162">
        <f t="shared" si="963"/>
        <v>41785.199999999997</v>
      </c>
      <c r="BY107" s="162">
        <f t="shared" si="963"/>
        <v>45757.549999999996</v>
      </c>
      <c r="BZ107" s="162">
        <f t="shared" si="963"/>
        <v>40704</v>
      </c>
      <c r="CA107" s="162">
        <f t="shared" si="963"/>
        <v>42738.67</v>
      </c>
      <c r="CB107" s="162">
        <f t="shared" si="963"/>
        <v>50858.27</v>
      </c>
      <c r="CC107" s="162">
        <f t="shared" si="963"/>
        <v>56869</v>
      </c>
      <c r="CD107" s="162">
        <f t="shared" si="963"/>
        <v>60155</v>
      </c>
      <c r="CE107" s="162">
        <f t="shared" si="963"/>
        <v>62380.469999999994</v>
      </c>
      <c r="CF107" s="162">
        <f t="shared" si="963"/>
        <v>63494</v>
      </c>
      <c r="CG107" s="162">
        <f t="shared" si="963"/>
        <v>58820.46</v>
      </c>
      <c r="CH107" s="162">
        <f t="shared" si="963"/>
        <v>59861.91</v>
      </c>
      <c r="CI107" s="162">
        <f t="shared" si="963"/>
        <v>49402.889999999992</v>
      </c>
      <c r="CJ107" s="162">
        <f t="shared" si="963"/>
        <v>47700</v>
      </c>
      <c r="CK107" s="162">
        <f t="shared" ref="CK107:CL107" si="964">+CK78*CK65</f>
        <v>50317.67</v>
      </c>
      <c r="CL107" s="162">
        <f t="shared" si="964"/>
        <v>47751.41</v>
      </c>
      <c r="CM107" s="21">
        <f t="shared" ref="CM107:DB107" si="965">+CM78*CM65</f>
        <v>50171.078088490511</v>
      </c>
      <c r="CN107" s="21">
        <f t="shared" si="965"/>
        <v>52439.860169383763</v>
      </c>
      <c r="CO107" s="21">
        <f t="shared" si="965"/>
        <v>54358.589510897575</v>
      </c>
      <c r="CP107" s="21">
        <f t="shared" si="965"/>
        <v>55428.594008068489</v>
      </c>
      <c r="CQ107" s="21">
        <f t="shared" si="965"/>
        <v>57489.653456524138</v>
      </c>
      <c r="CR107" s="21">
        <f t="shared" si="965"/>
        <v>59723.319574782996</v>
      </c>
      <c r="CS107" s="21">
        <f t="shared" si="965"/>
        <v>61617.764099653425</v>
      </c>
      <c r="CT107" s="21">
        <f t="shared" si="965"/>
        <v>63453.727049291061</v>
      </c>
      <c r="CU107" s="21">
        <f t="shared" si="965"/>
        <v>65546.834132745862</v>
      </c>
      <c r="CV107" s="21">
        <f t="shared" si="965"/>
        <v>67658.689197567757</v>
      </c>
      <c r="CW107" s="21">
        <f t="shared" si="965"/>
        <v>69674.317635846441</v>
      </c>
      <c r="CX107" s="21">
        <f t="shared" si="965"/>
        <v>71674.435379133589</v>
      </c>
      <c r="CY107" s="21">
        <f t="shared" si="965"/>
        <v>73867.467322524462</v>
      </c>
      <c r="CZ107" s="21">
        <f t="shared" si="965"/>
        <v>76089.873931707887</v>
      </c>
      <c r="DA107" s="21">
        <f t="shared" si="965"/>
        <v>78266.61355743646</v>
      </c>
      <c r="DB107" s="21">
        <f t="shared" si="965"/>
        <v>80427.313659167281</v>
      </c>
      <c r="DE107" s="22"/>
      <c r="DF107" s="162">
        <v>63494</v>
      </c>
    </row>
    <row r="108" spans="1:110" s="162" customFormat="1" x14ac:dyDescent="0.2">
      <c r="A108" s="49" t="s">
        <v>341</v>
      </c>
      <c r="B108" s="162" t="e">
        <f t="shared" ref="B108:AE108" si="966">+B79*B65</f>
        <v>#DIV/0!</v>
      </c>
      <c r="C108" s="162" t="e">
        <f t="shared" si="966"/>
        <v>#DIV/0!</v>
      </c>
      <c r="D108" s="162" t="e">
        <f t="shared" si="966"/>
        <v>#DIV/0!</v>
      </c>
      <c r="E108" s="162">
        <f t="shared" ca="1" si="966"/>
        <v>0</v>
      </c>
      <c r="F108" s="162">
        <f t="shared" ca="1" si="966"/>
        <v>0</v>
      </c>
      <c r="G108" s="162">
        <f t="shared" ca="1" si="966"/>
        <v>0</v>
      </c>
      <c r="H108" s="162">
        <f t="shared" ca="1" si="966"/>
        <v>0</v>
      </c>
      <c r="I108" s="162">
        <f t="shared" ca="1" si="966"/>
        <v>0</v>
      </c>
      <c r="J108" s="162">
        <f t="shared" ca="1" si="966"/>
        <v>0</v>
      </c>
      <c r="K108" s="162">
        <f t="shared" ca="1" si="966"/>
        <v>0</v>
      </c>
      <c r="L108" s="162">
        <f t="shared" ca="1" si="966"/>
        <v>0</v>
      </c>
      <c r="M108" s="162">
        <f t="shared" ca="1" si="966"/>
        <v>0</v>
      </c>
      <c r="N108" s="162">
        <f t="shared" ca="1" si="966"/>
        <v>0</v>
      </c>
      <c r="O108" s="162">
        <f t="shared" ca="1" si="966"/>
        <v>0</v>
      </c>
      <c r="P108" s="162">
        <f t="shared" ca="1" si="966"/>
        <v>0</v>
      </c>
      <c r="Q108" s="162">
        <f t="shared" ca="1" si="966"/>
        <v>0</v>
      </c>
      <c r="R108" s="162">
        <f t="shared" ca="1" si="966"/>
        <v>7791</v>
      </c>
      <c r="S108" s="162">
        <f t="shared" ca="1" si="966"/>
        <v>7112.5999999999995</v>
      </c>
      <c r="T108" s="162">
        <f t="shared" ca="1" si="966"/>
        <v>12190</v>
      </c>
      <c r="U108" s="162">
        <f t="shared" ca="1" si="966"/>
        <v>10547</v>
      </c>
      <c r="V108" s="162">
        <f t="shared" ca="1" si="966"/>
        <v>11304.37</v>
      </c>
      <c r="W108" s="162">
        <f t="shared" ca="1" si="966"/>
        <v>26249.84</v>
      </c>
      <c r="X108" s="162">
        <f t="shared" ca="1" si="966"/>
        <v>30987.51</v>
      </c>
      <c r="Y108" s="162">
        <f t="shared" ca="1" si="966"/>
        <v>35067.449999999997</v>
      </c>
      <c r="Z108" s="162">
        <f t="shared" ca="1" si="966"/>
        <v>44816.799999999996</v>
      </c>
      <c r="AA108" s="162">
        <f t="shared" ref="AA108" ca="1" si="967">+AA79*AA65</f>
        <v>44816.799999999996</v>
      </c>
      <c r="AB108" s="21">
        <f t="shared" ca="1" si="966"/>
        <v>33933.149666230238</v>
      </c>
      <c r="AC108" s="21">
        <f t="shared" ca="1" si="966"/>
        <v>38883.059510085921</v>
      </c>
      <c r="AD108" s="21">
        <f t="shared" ca="1" si="966"/>
        <v>44332.524185568167</v>
      </c>
      <c r="AE108" s="21">
        <f t="shared" ca="1" si="966"/>
        <v>49960.174658786345</v>
      </c>
      <c r="AL108" s="162">
        <f t="shared" ref="AL108:BQ108" si="968">+AL79*AL65</f>
        <v>0</v>
      </c>
      <c r="AM108" s="162">
        <f t="shared" si="968"/>
        <v>0</v>
      </c>
      <c r="AN108" s="162">
        <f t="shared" si="968"/>
        <v>0</v>
      </c>
      <c r="AO108" s="162">
        <f t="shared" si="968"/>
        <v>0</v>
      </c>
      <c r="AP108" s="162">
        <f t="shared" si="968"/>
        <v>0</v>
      </c>
      <c r="AQ108" s="162">
        <f t="shared" si="968"/>
        <v>0</v>
      </c>
      <c r="AR108" s="162">
        <f t="shared" si="968"/>
        <v>0</v>
      </c>
      <c r="AS108" s="162">
        <f t="shared" si="968"/>
        <v>0</v>
      </c>
      <c r="AT108" s="162">
        <f t="shared" si="968"/>
        <v>0</v>
      </c>
      <c r="AU108" s="162">
        <f t="shared" si="968"/>
        <v>0</v>
      </c>
      <c r="AV108" s="162">
        <f t="shared" si="968"/>
        <v>0</v>
      </c>
      <c r="AW108" s="162">
        <f t="shared" si="968"/>
        <v>0</v>
      </c>
      <c r="AX108" s="162">
        <f t="shared" si="968"/>
        <v>0</v>
      </c>
      <c r="AY108" s="162">
        <f t="shared" si="968"/>
        <v>0</v>
      </c>
      <c r="AZ108" s="162">
        <f t="shared" si="968"/>
        <v>0</v>
      </c>
      <c r="BA108" s="162">
        <f t="shared" si="968"/>
        <v>7791</v>
      </c>
      <c r="BB108" s="162">
        <f t="shared" si="968"/>
        <v>8077.2</v>
      </c>
      <c r="BC108" s="162">
        <f t="shared" si="968"/>
        <v>7112.5999999999995</v>
      </c>
      <c r="BD108" s="162">
        <f t="shared" si="968"/>
        <v>7547.2</v>
      </c>
      <c r="BE108" s="162">
        <f t="shared" si="968"/>
        <v>8109</v>
      </c>
      <c r="BF108" s="162">
        <f t="shared" si="968"/>
        <v>10345.6</v>
      </c>
      <c r="BG108" s="162">
        <f t="shared" si="968"/>
        <v>12190</v>
      </c>
      <c r="BH108" s="162">
        <f t="shared" si="968"/>
        <v>12640.5</v>
      </c>
      <c r="BI108" s="162">
        <f t="shared" si="968"/>
        <v>14527.3</v>
      </c>
      <c r="BJ108" s="162">
        <f t="shared" si="968"/>
        <v>14893</v>
      </c>
      <c r="BK108" s="162">
        <f t="shared" si="968"/>
        <v>16568.329999999998</v>
      </c>
      <c r="BL108" s="162">
        <f t="shared" si="968"/>
        <v>15004.3</v>
      </c>
      <c r="BM108" s="162">
        <f t="shared" si="968"/>
        <v>14793.359999999999</v>
      </c>
      <c r="BN108" s="162">
        <f t="shared" si="968"/>
        <v>10547</v>
      </c>
      <c r="BO108" s="162">
        <f t="shared" si="968"/>
        <v>11304.37</v>
      </c>
      <c r="BP108" s="162">
        <f t="shared" si="968"/>
        <v>13265.9</v>
      </c>
      <c r="BQ108" s="162">
        <f t="shared" si="968"/>
        <v>16696.059999999998</v>
      </c>
      <c r="BR108" s="162">
        <f t="shared" ref="BR108:CJ108" si="969">+BR79*BR65</f>
        <v>24394.84</v>
      </c>
      <c r="BS108" s="162">
        <f t="shared" si="969"/>
        <v>26249.84</v>
      </c>
      <c r="BT108" s="162">
        <f t="shared" si="969"/>
        <v>29692.719999999998</v>
      </c>
      <c r="BU108" s="162">
        <f t="shared" si="969"/>
        <v>45952.060000000005</v>
      </c>
      <c r="BV108" s="162">
        <f t="shared" si="969"/>
        <v>44308</v>
      </c>
      <c r="BW108" s="162">
        <f t="shared" si="969"/>
        <v>31874.2</v>
      </c>
      <c r="BX108" s="162">
        <f t="shared" si="969"/>
        <v>30987.51</v>
      </c>
      <c r="BY108" s="162">
        <f t="shared" si="969"/>
        <v>36332.559999999998</v>
      </c>
      <c r="BZ108" s="162">
        <f t="shared" si="969"/>
        <v>34110.799999999996</v>
      </c>
      <c r="CA108" s="162">
        <f t="shared" si="969"/>
        <v>35067.449999999997</v>
      </c>
      <c r="CB108" s="162">
        <f t="shared" si="969"/>
        <v>40515.85</v>
      </c>
      <c r="CC108" s="162">
        <f t="shared" si="969"/>
        <v>43536.32</v>
      </c>
      <c r="CD108" s="162">
        <f t="shared" si="969"/>
        <v>53656.67</v>
      </c>
      <c r="CE108" s="162">
        <f t="shared" si="969"/>
        <v>44816.799999999996</v>
      </c>
      <c r="CF108" s="162">
        <f t="shared" si="969"/>
        <v>49926.53</v>
      </c>
      <c r="CG108" s="162">
        <f t="shared" si="969"/>
        <v>49311.73</v>
      </c>
      <c r="CH108" s="162">
        <f t="shared" si="969"/>
        <v>45775.039999999994</v>
      </c>
      <c r="CI108" s="162">
        <f t="shared" si="969"/>
        <v>40863</v>
      </c>
      <c r="CJ108" s="162">
        <f t="shared" si="969"/>
        <v>42082</v>
      </c>
      <c r="CK108" s="162">
        <f t="shared" ref="CK108:CL108" si="970">+CK79*CK65</f>
        <v>42654.93</v>
      </c>
      <c r="CL108" s="162">
        <f t="shared" si="970"/>
        <v>32296.609999999997</v>
      </c>
      <c r="CM108" s="21">
        <f t="shared" ref="CM108:DB108" si="971">+CM79*CM65</f>
        <v>33933.149666230238</v>
      </c>
      <c r="CN108" s="21">
        <f t="shared" si="971"/>
        <v>35467.637758657205</v>
      </c>
      <c r="CO108" s="21">
        <f t="shared" si="971"/>
        <v>36765.368092451085</v>
      </c>
      <c r="CP108" s="21">
        <f t="shared" si="971"/>
        <v>37489.064375835704</v>
      </c>
      <c r="CQ108" s="21">
        <f t="shared" si="971"/>
        <v>38883.059510085921</v>
      </c>
      <c r="CR108" s="21">
        <f t="shared" si="971"/>
        <v>40393.796962479901</v>
      </c>
      <c r="CS108" s="21">
        <f t="shared" si="971"/>
        <v>41675.102289094866</v>
      </c>
      <c r="CT108" s="21">
        <f t="shared" si="971"/>
        <v>42916.853671072829</v>
      </c>
      <c r="CU108" s="21">
        <f t="shared" si="971"/>
        <v>44332.524185568167</v>
      </c>
      <c r="CV108" s="21">
        <f t="shared" si="971"/>
        <v>45760.874875214329</v>
      </c>
      <c r="CW108" s="21">
        <f t="shared" si="971"/>
        <v>47124.142799156187</v>
      </c>
      <c r="CX108" s="21">
        <f t="shared" si="971"/>
        <v>48476.920082780372</v>
      </c>
      <c r="CY108" s="21">
        <f t="shared" si="971"/>
        <v>49960.174658786345</v>
      </c>
      <c r="CZ108" s="21">
        <f t="shared" si="971"/>
        <v>51463.296755457828</v>
      </c>
      <c r="DA108" s="21">
        <f t="shared" si="971"/>
        <v>52935.532041571918</v>
      </c>
      <c r="DB108" s="21">
        <f t="shared" si="971"/>
        <v>54396.91901449189</v>
      </c>
      <c r="DE108" s="22"/>
      <c r="DF108" s="162">
        <v>44816.799999999996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72">+C168</f>
        <v>0</v>
      </c>
      <c r="D109" s="162">
        <f t="shared" si="972"/>
        <v>0</v>
      </c>
      <c r="E109" s="162">
        <f t="shared" si="972"/>
        <v>0</v>
      </c>
      <c r="F109" s="162">
        <f t="shared" si="972"/>
        <v>0</v>
      </c>
      <c r="G109" s="162">
        <f t="shared" si="972"/>
        <v>0</v>
      </c>
      <c r="H109" s="162">
        <f t="shared" si="972"/>
        <v>0</v>
      </c>
      <c r="I109" s="162">
        <f t="shared" si="972"/>
        <v>0</v>
      </c>
      <c r="J109" s="162">
        <f t="shared" si="972"/>
        <v>0</v>
      </c>
      <c r="K109" s="162">
        <f t="shared" si="972"/>
        <v>0</v>
      </c>
      <c r="L109" s="162">
        <f t="shared" si="972"/>
        <v>0</v>
      </c>
      <c r="M109" s="162">
        <f t="shared" si="972"/>
        <v>0</v>
      </c>
      <c r="N109" s="162">
        <f t="shared" si="972"/>
        <v>-0.05</v>
      </c>
      <c r="O109" s="162">
        <f t="shared" si="972"/>
        <v>19.189999999999998</v>
      </c>
      <c r="P109" s="162">
        <f t="shared" si="972"/>
        <v>103.42800000000001</v>
      </c>
      <c r="Q109" s="162">
        <f t="shared" si="972"/>
        <v>56.599999999999994</v>
      </c>
      <c r="R109" s="162">
        <f t="shared" si="972"/>
        <v>-159.9</v>
      </c>
      <c r="S109" s="162">
        <f t="shared" si="972"/>
        <v>-304.7</v>
      </c>
      <c r="T109" s="162">
        <f t="shared" si="972"/>
        <v>-709.8</v>
      </c>
      <c r="U109" s="162">
        <f t="shared" si="972"/>
        <v>-824.6</v>
      </c>
      <c r="V109" s="162">
        <f t="shared" si="972"/>
        <v>-1747.6000000000001</v>
      </c>
      <c r="W109" s="162">
        <f t="shared" si="972"/>
        <v>-2066</v>
      </c>
      <c r="X109" s="162">
        <f t="shared" ref="X109:Y109" si="973">+X168</f>
        <v>-2798.7000000000003</v>
      </c>
      <c r="Y109" s="162">
        <f t="shared" si="973"/>
        <v>-2684.1</v>
      </c>
      <c r="Z109" s="162">
        <f t="shared" ref="Z109:AA109" si="974">+Z168</f>
        <v>-2526.1</v>
      </c>
      <c r="AA109" s="162">
        <f t="shared" si="974"/>
        <v>-3079.1</v>
      </c>
      <c r="AB109" s="21">
        <f t="shared" ref="AB109:AD109" si="975">+AB168</f>
        <v>-4606.2637047837861</v>
      </c>
      <c r="AC109" s="21">
        <f t="shared" si="975"/>
        <v>-6315.729992313175</v>
      </c>
      <c r="AD109" s="21">
        <f t="shared" si="975"/>
        <v>-8234.8424432767988</v>
      </c>
      <c r="AE109" s="21">
        <f t="shared" ref="AE109" si="976">+AE168</f>
        <v>-10385.551120855742</v>
      </c>
      <c r="AL109" s="162">
        <f t="shared" ref="AL109:AM109" si="977">+AL168</f>
        <v>0</v>
      </c>
      <c r="AM109" s="162" t="e">
        <f t="shared" si="977"/>
        <v>#DIV/0!</v>
      </c>
      <c r="AN109" s="162">
        <f t="shared" ref="AN109:AO109" si="978">+AN168</f>
        <v>0</v>
      </c>
      <c r="AO109" s="162" t="e">
        <f t="shared" si="978"/>
        <v>#DIV/0!</v>
      </c>
      <c r="AP109" s="162">
        <f t="shared" ref="AP109:CD109" si="979">+AP168</f>
        <v>0</v>
      </c>
      <c r="AQ109" s="162" t="e">
        <f t="shared" si="979"/>
        <v>#DIV/0!</v>
      </c>
      <c r="AR109" s="162">
        <f t="shared" si="979"/>
        <v>0</v>
      </c>
      <c r="AS109" s="162" t="e">
        <f t="shared" si="979"/>
        <v>#DIV/0!</v>
      </c>
      <c r="AT109" s="162">
        <f t="shared" si="979"/>
        <v>0</v>
      </c>
      <c r="AU109" s="162" t="e">
        <f t="shared" si="979"/>
        <v>#DIV/0!</v>
      </c>
      <c r="AV109" s="162">
        <f t="shared" si="979"/>
        <v>0</v>
      </c>
      <c r="AW109" s="162">
        <f t="shared" si="979"/>
        <v>-130.80000000000004</v>
      </c>
      <c r="AX109" s="162">
        <f t="shared" si="979"/>
        <v>56.599999999999994</v>
      </c>
      <c r="AY109" s="162">
        <f t="shared" si="979"/>
        <v>-50.741489892687923</v>
      </c>
      <c r="AZ109" s="162">
        <f t="shared" si="979"/>
        <v>-43.600000000000023</v>
      </c>
      <c r="BA109" s="162">
        <f t="shared" si="979"/>
        <v>-160.07290628418605</v>
      </c>
      <c r="BB109" s="162">
        <f t="shared" si="979"/>
        <v>-159.9</v>
      </c>
      <c r="BC109" s="162">
        <f t="shared" si="979"/>
        <v>-250.97761910624175</v>
      </c>
      <c r="BD109" s="162">
        <f t="shared" si="979"/>
        <v>-115.30000000000001</v>
      </c>
      <c r="BE109" s="162">
        <f t="shared" si="979"/>
        <v>-194.2219742393961</v>
      </c>
      <c r="BF109" s="162">
        <f t="shared" si="979"/>
        <v>-304.7</v>
      </c>
      <c r="BG109" s="162">
        <f t="shared" si="979"/>
        <v>-430.02722791050445</v>
      </c>
      <c r="BH109" s="162">
        <f t="shared" si="979"/>
        <v>-379.9</v>
      </c>
      <c r="BI109" s="162">
        <f t="shared" si="979"/>
        <v>-528.59466866756156</v>
      </c>
      <c r="BJ109" s="162">
        <f t="shared" si="979"/>
        <v>-709.8</v>
      </c>
      <c r="BK109" s="162">
        <f t="shared" si="979"/>
        <v>-910.82891072891084</v>
      </c>
      <c r="BL109" s="162">
        <f t="shared" si="979"/>
        <v>-424.8</v>
      </c>
      <c r="BM109" s="162">
        <f t="shared" si="979"/>
        <v>-614.88696241352261</v>
      </c>
      <c r="BN109" s="162">
        <f t="shared" si="979"/>
        <v>-824.6</v>
      </c>
      <c r="BO109" s="162">
        <f t="shared" si="979"/>
        <v>-1066.0417254251349</v>
      </c>
      <c r="BP109" s="162">
        <f t="shared" si="979"/>
        <v>-1271.5</v>
      </c>
      <c r="BQ109" s="162">
        <f t="shared" si="979"/>
        <v>-1389.2996955396559</v>
      </c>
      <c r="BR109" s="162">
        <f t="shared" si="979"/>
        <v>-1747.6000000000001</v>
      </c>
      <c r="BS109" s="162">
        <f t="shared" si="979"/>
        <v>-1909.7540020826104</v>
      </c>
      <c r="BT109" s="162">
        <f t="shared" si="979"/>
        <v>-1958.3000000000002</v>
      </c>
      <c r="BU109" s="162">
        <f t="shared" si="979"/>
        <v>-2139.9373577159922</v>
      </c>
      <c r="BV109" s="162">
        <f t="shared" si="979"/>
        <v>-2066</v>
      </c>
      <c r="BW109" s="162">
        <f t="shared" si="979"/>
        <v>-2155.9007402767493</v>
      </c>
      <c r="BX109" s="162">
        <f t="shared" si="979"/>
        <v>-2304.5</v>
      </c>
      <c r="BY109" s="162">
        <f t="shared" si="979"/>
        <v>-2670.3749572687025</v>
      </c>
      <c r="BZ109" s="162">
        <f t="shared" si="979"/>
        <v>-2798.7000000000003</v>
      </c>
      <c r="CA109" s="162">
        <f t="shared" si="979"/>
        <v>-3136.5505610393998</v>
      </c>
      <c r="CB109" s="162">
        <f t="shared" si="979"/>
        <v>-2109.5</v>
      </c>
      <c r="CC109" s="162">
        <f t="shared" si="979"/>
        <v>-2424.2877728891681</v>
      </c>
      <c r="CD109" s="162">
        <f t="shared" si="979"/>
        <v>-2684.1</v>
      </c>
      <c r="CE109" s="162">
        <f t="shared" ref="CE109:CF109" si="980">+CE168</f>
        <v>-3020.6972965517239</v>
      </c>
      <c r="CF109" s="162">
        <f t="shared" si="980"/>
        <v>-2666.1</v>
      </c>
      <c r="CG109" s="162">
        <f t="shared" ref="CG109:CH109" si="981">+CG168</f>
        <v>-2960.3160324925179</v>
      </c>
      <c r="CH109" s="162">
        <f t="shared" si="981"/>
        <v>-2526.1</v>
      </c>
      <c r="CI109" s="162">
        <f t="shared" ref="CI109:CJ109" si="982">+CI168</f>
        <v>-2835.6445143680339</v>
      </c>
      <c r="CJ109" s="162">
        <f t="shared" si="982"/>
        <v>-2335.6999999999998</v>
      </c>
      <c r="CK109" s="162">
        <f t="shared" ref="CK109:CL109" si="983">+CK168</f>
        <v>-2755.0251720087258</v>
      </c>
      <c r="CL109" s="162">
        <f t="shared" si="983"/>
        <v>-3079.1</v>
      </c>
      <c r="CM109" s="21">
        <f t="shared" ref="CM109:DB109" si="984">+CM168</f>
        <v>-3358.4436528072047</v>
      </c>
      <c r="CN109" s="21">
        <f t="shared" si="984"/>
        <v>-3732.2966057658227</v>
      </c>
      <c r="CO109" s="21">
        <f t="shared" si="984"/>
        <v>-4176.7750702999165</v>
      </c>
      <c r="CP109" s="21">
        <f t="shared" si="984"/>
        <v>-4606.2637047837861</v>
      </c>
      <c r="CQ109" s="21">
        <f t="shared" si="984"/>
        <v>-4906.1580637441057</v>
      </c>
      <c r="CR109" s="21">
        <f t="shared" si="984"/>
        <v>-5339.1151820010455</v>
      </c>
      <c r="CS109" s="21">
        <f t="shared" si="984"/>
        <v>-5837.6036846019078</v>
      </c>
      <c r="CT109" s="21">
        <f t="shared" si="984"/>
        <v>-6315.729992313175</v>
      </c>
      <c r="CU109" s="21">
        <f t="shared" si="984"/>
        <v>-6655.5216834973116</v>
      </c>
      <c r="CV109" s="21">
        <f t="shared" si="984"/>
        <v>-7143.8267799707291</v>
      </c>
      <c r="CW109" s="21">
        <f t="shared" si="984"/>
        <v>-7700.3992011230312</v>
      </c>
      <c r="CX109" s="21">
        <f t="shared" si="984"/>
        <v>-8234.8424432767988</v>
      </c>
      <c r="CY109" s="21">
        <f t="shared" si="984"/>
        <v>-8620.8318910448961</v>
      </c>
      <c r="CZ109" s="21">
        <f t="shared" si="984"/>
        <v>-9168.0033962075722</v>
      </c>
      <c r="DA109" s="21">
        <f t="shared" si="984"/>
        <v>-9788.5794871644375</v>
      </c>
      <c r="DB109" s="21">
        <f t="shared" si="984"/>
        <v>-10385.551120855742</v>
      </c>
      <c r="DE109" s="22"/>
      <c r="DF109" s="162">
        <v>-3079.1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985">+C107+C109</f>
        <v>#DIV/0!</v>
      </c>
      <c r="D110" s="162" t="e">
        <f t="shared" si="985"/>
        <v>#DIV/0!</v>
      </c>
      <c r="E110" s="162">
        <f t="shared" ca="1" si="985"/>
        <v>0</v>
      </c>
      <c r="F110" s="162">
        <f t="shared" ca="1" si="985"/>
        <v>0</v>
      </c>
      <c r="G110" s="162">
        <f t="shared" ca="1" si="985"/>
        <v>0</v>
      </c>
      <c r="H110" s="162">
        <f t="shared" ca="1" si="985"/>
        <v>0</v>
      </c>
      <c r="I110" s="162">
        <f t="shared" ca="1" si="985"/>
        <v>0</v>
      </c>
      <c r="J110" s="162">
        <f t="shared" ca="1" si="985"/>
        <v>0</v>
      </c>
      <c r="K110" s="162">
        <f t="shared" ca="1" si="985"/>
        <v>0</v>
      </c>
      <c r="L110" s="162">
        <f t="shared" ca="1" si="985"/>
        <v>0</v>
      </c>
      <c r="M110" s="162">
        <f t="shared" ca="1" si="985"/>
        <v>0</v>
      </c>
      <c r="N110" s="162">
        <f t="shared" ca="1" si="985"/>
        <v>-0.05</v>
      </c>
      <c r="O110" s="162">
        <f t="shared" ca="1" si="985"/>
        <v>19.189999999999998</v>
      </c>
      <c r="P110" s="162">
        <f t="shared" ca="1" si="985"/>
        <v>103.42800000000001</v>
      </c>
      <c r="Q110" s="162">
        <f t="shared" ca="1" si="985"/>
        <v>56.599999999999994</v>
      </c>
      <c r="R110" s="162">
        <f t="shared" ca="1" si="985"/>
        <v>9708.7000000000007</v>
      </c>
      <c r="S110" s="162">
        <f t="shared" ca="1" si="985"/>
        <v>16093.5</v>
      </c>
      <c r="T110" s="162">
        <f t="shared" ca="1" si="985"/>
        <v>18926.7</v>
      </c>
      <c r="U110" s="162">
        <f t="shared" ca="1" si="985"/>
        <v>18443.55</v>
      </c>
      <c r="V110" s="162">
        <f t="shared" ca="1" si="985"/>
        <v>28550.91</v>
      </c>
      <c r="W110" s="162">
        <f t="shared" ca="1" si="985"/>
        <v>61089.86</v>
      </c>
      <c r="X110" s="162">
        <f t="shared" ref="X110:Y110" ca="1" si="986">+X107+X109</f>
        <v>53325.120000000003</v>
      </c>
      <c r="Y110" s="162">
        <f t="shared" ca="1" si="986"/>
        <v>57470.9</v>
      </c>
      <c r="Z110" s="162">
        <f t="shared" ref="Z110:AA110" ca="1" si="987">+Z107+Z109</f>
        <v>60967.9</v>
      </c>
      <c r="AA110" s="162">
        <f t="shared" ca="1" si="987"/>
        <v>60967.9</v>
      </c>
      <c r="AB110" s="21">
        <f t="shared" ref="AB110:AD110" ca="1" si="988">+AB107+AB109</f>
        <v>50822.330303284703</v>
      </c>
      <c r="AC110" s="21">
        <f t="shared" ca="1" si="988"/>
        <v>57137.997056977889</v>
      </c>
      <c r="AD110" s="21">
        <f t="shared" ca="1" si="988"/>
        <v>63439.592935856788</v>
      </c>
      <c r="AE110" s="21">
        <f t="shared" ref="AE110" ca="1" si="989">+AE107+AE109</f>
        <v>70041.762538311537</v>
      </c>
      <c r="AL110" s="162">
        <f t="shared" ref="AL110" si="990">+AL107+AL109</f>
        <v>0</v>
      </c>
      <c r="AM110" s="162" t="e">
        <f t="shared" ref="AM110:AO110" si="991">+AM107+AM109</f>
        <v>#DIV/0!</v>
      </c>
      <c r="AN110" s="162">
        <f t="shared" si="991"/>
        <v>0</v>
      </c>
      <c r="AO110" s="162" t="e">
        <f t="shared" si="991"/>
        <v>#DIV/0!</v>
      </c>
      <c r="AP110" s="162">
        <f t="shared" ref="AP110:CD110" si="992">+AP107+AP109</f>
        <v>0</v>
      </c>
      <c r="AQ110" s="162" t="e">
        <f t="shared" si="992"/>
        <v>#DIV/0!</v>
      </c>
      <c r="AR110" s="162">
        <f t="shared" si="992"/>
        <v>0</v>
      </c>
      <c r="AS110" s="162" t="e">
        <f t="shared" si="992"/>
        <v>#DIV/0!</v>
      </c>
      <c r="AT110" s="162">
        <f t="shared" si="992"/>
        <v>0</v>
      </c>
      <c r="AU110" s="162" t="e">
        <f t="shared" si="992"/>
        <v>#DIV/0!</v>
      </c>
      <c r="AV110" s="162">
        <f t="shared" si="992"/>
        <v>0</v>
      </c>
      <c r="AW110" s="162">
        <f t="shared" si="992"/>
        <v>-130.80000000000004</v>
      </c>
      <c r="AX110" s="162">
        <f t="shared" si="992"/>
        <v>56.599999999999994</v>
      </c>
      <c r="AY110" s="162">
        <f t="shared" si="992"/>
        <v>-50.741489892687923</v>
      </c>
      <c r="AZ110" s="162">
        <f t="shared" si="992"/>
        <v>9825</v>
      </c>
      <c r="BA110" s="162">
        <f t="shared" si="992"/>
        <v>9008.3970937158138</v>
      </c>
      <c r="BB110" s="162">
        <f t="shared" si="992"/>
        <v>8903.1</v>
      </c>
      <c r="BC110" s="162">
        <f t="shared" si="992"/>
        <v>8228.4923808937583</v>
      </c>
      <c r="BD110" s="162">
        <f t="shared" si="992"/>
        <v>8385.9</v>
      </c>
      <c r="BE110" s="162">
        <f t="shared" si="992"/>
        <v>11724.418025760606</v>
      </c>
      <c r="BF110" s="162">
        <f t="shared" si="992"/>
        <v>16093.5</v>
      </c>
      <c r="BG110" s="162">
        <f t="shared" si="992"/>
        <v>14197.972772089495</v>
      </c>
      <c r="BH110" s="162">
        <f t="shared" si="992"/>
        <v>19256.599999999999</v>
      </c>
      <c r="BI110" s="162">
        <f t="shared" si="992"/>
        <v>18265.205331332436</v>
      </c>
      <c r="BJ110" s="162">
        <f t="shared" si="992"/>
        <v>17807.87</v>
      </c>
      <c r="BK110" s="162">
        <f t="shared" si="992"/>
        <v>18357.321089271089</v>
      </c>
      <c r="BL110" s="162">
        <f t="shared" si="992"/>
        <v>18316</v>
      </c>
      <c r="BM110" s="162">
        <f t="shared" si="992"/>
        <v>16949.313037586478</v>
      </c>
      <c r="BN110" s="162">
        <f t="shared" si="992"/>
        <v>18043.400000000001</v>
      </c>
      <c r="BO110" s="162">
        <f t="shared" si="992"/>
        <v>13936.138274574863</v>
      </c>
      <c r="BP110" s="162">
        <f t="shared" si="992"/>
        <v>16722</v>
      </c>
      <c r="BQ110" s="162">
        <f t="shared" si="992"/>
        <v>24423.820304460343</v>
      </c>
      <c r="BR110" s="162">
        <f t="shared" si="992"/>
        <v>28550.91</v>
      </c>
      <c r="BS110" s="162">
        <f t="shared" si="992"/>
        <v>30552.215997917388</v>
      </c>
      <c r="BT110" s="162">
        <f t="shared" si="992"/>
        <v>51041.7</v>
      </c>
      <c r="BU110" s="162">
        <f t="shared" si="992"/>
        <v>59543.582642284004</v>
      </c>
      <c r="BV110" s="162">
        <f t="shared" si="992"/>
        <v>61089.86</v>
      </c>
      <c r="BW110" s="162">
        <f t="shared" si="992"/>
        <v>53967.919259723247</v>
      </c>
      <c r="BX110" s="162">
        <f t="shared" si="992"/>
        <v>39480.699999999997</v>
      </c>
      <c r="BY110" s="162">
        <f t="shared" si="992"/>
        <v>43087.175042731295</v>
      </c>
      <c r="BZ110" s="162">
        <f t="shared" si="992"/>
        <v>37905.300000000003</v>
      </c>
      <c r="CA110" s="162">
        <f t="shared" si="992"/>
        <v>39602.119438960595</v>
      </c>
      <c r="CB110" s="162">
        <f t="shared" si="992"/>
        <v>48748.77</v>
      </c>
      <c r="CC110" s="162">
        <f t="shared" si="992"/>
        <v>54444.712227110831</v>
      </c>
      <c r="CD110" s="162">
        <f t="shared" si="992"/>
        <v>57470.9</v>
      </c>
      <c r="CE110" s="162">
        <f t="shared" ref="CE110:CF110" si="993">+CE107+CE109</f>
        <v>59359.772703448267</v>
      </c>
      <c r="CF110" s="162">
        <f t="shared" si="993"/>
        <v>60827.9</v>
      </c>
      <c r="CG110" s="162">
        <f t="shared" ref="CG110:CH110" si="994">+CG107+CG109</f>
        <v>55860.14396750748</v>
      </c>
      <c r="CH110" s="162">
        <f t="shared" si="994"/>
        <v>57335.810000000005</v>
      </c>
      <c r="CI110" s="162">
        <f t="shared" ref="CI110:CJ110" si="995">+CI107+CI109</f>
        <v>46567.24548563196</v>
      </c>
      <c r="CJ110" s="162">
        <f t="shared" si="995"/>
        <v>45364.3</v>
      </c>
      <c r="CK110" s="162">
        <f t="shared" ref="CK110:CL110" si="996">+CK107+CK109</f>
        <v>47562.644827991273</v>
      </c>
      <c r="CL110" s="162">
        <f t="shared" si="996"/>
        <v>44672.310000000005</v>
      </c>
      <c r="CM110" s="21">
        <f t="shared" ref="CM110:DB110" si="997">+CM107+CM109</f>
        <v>46812.634435683307</v>
      </c>
      <c r="CN110" s="21">
        <f t="shared" si="997"/>
        <v>48707.563563617943</v>
      </c>
      <c r="CO110" s="21">
        <f t="shared" si="997"/>
        <v>50181.814440597656</v>
      </c>
      <c r="CP110" s="21">
        <f t="shared" si="997"/>
        <v>50822.330303284703</v>
      </c>
      <c r="CQ110" s="21">
        <f t="shared" si="997"/>
        <v>52583.495392780031</v>
      </c>
      <c r="CR110" s="21">
        <f t="shared" si="997"/>
        <v>54384.204392781947</v>
      </c>
      <c r="CS110" s="21">
        <f t="shared" si="997"/>
        <v>55780.16041505152</v>
      </c>
      <c r="CT110" s="21">
        <f t="shared" si="997"/>
        <v>57137.997056977889</v>
      </c>
      <c r="CU110" s="21">
        <f t="shared" si="997"/>
        <v>58891.312449248551</v>
      </c>
      <c r="CV110" s="21">
        <f t="shared" si="997"/>
        <v>60514.862417597025</v>
      </c>
      <c r="CW110" s="21">
        <f t="shared" si="997"/>
        <v>61973.918434723411</v>
      </c>
      <c r="CX110" s="21">
        <f t="shared" si="997"/>
        <v>63439.592935856788</v>
      </c>
      <c r="CY110" s="21">
        <f t="shared" si="997"/>
        <v>65246.635431479568</v>
      </c>
      <c r="CZ110" s="21">
        <f t="shared" si="997"/>
        <v>66921.870535500319</v>
      </c>
      <c r="DA110" s="21">
        <f t="shared" si="997"/>
        <v>68478.034070272028</v>
      </c>
      <c r="DB110" s="21">
        <f t="shared" si="997"/>
        <v>70041.762538311537</v>
      </c>
      <c r="DE110" s="22"/>
      <c r="DF110" s="162">
        <v>60967.9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998">+C108+C109</f>
        <v>#DIV/0!</v>
      </c>
      <c r="D111" s="162" t="e">
        <f t="shared" si="998"/>
        <v>#DIV/0!</v>
      </c>
      <c r="E111" s="162">
        <f t="shared" ca="1" si="998"/>
        <v>0</v>
      </c>
      <c r="F111" s="162">
        <f t="shared" ca="1" si="998"/>
        <v>0</v>
      </c>
      <c r="G111" s="162">
        <f t="shared" ca="1" si="998"/>
        <v>0</v>
      </c>
      <c r="H111" s="162">
        <f t="shared" ca="1" si="998"/>
        <v>0</v>
      </c>
      <c r="I111" s="162">
        <f t="shared" ca="1" si="998"/>
        <v>0</v>
      </c>
      <c r="J111" s="162">
        <f t="shared" ca="1" si="998"/>
        <v>0</v>
      </c>
      <c r="K111" s="162">
        <f t="shared" ca="1" si="998"/>
        <v>0</v>
      </c>
      <c r="L111" s="162">
        <f t="shared" ca="1" si="998"/>
        <v>0</v>
      </c>
      <c r="M111" s="162">
        <f t="shared" ca="1" si="998"/>
        <v>0</v>
      </c>
      <c r="N111" s="162">
        <f t="shared" ca="1" si="998"/>
        <v>-0.05</v>
      </c>
      <c r="O111" s="162">
        <f t="shared" ca="1" si="998"/>
        <v>19.189999999999998</v>
      </c>
      <c r="P111" s="162">
        <f t="shared" ca="1" si="998"/>
        <v>103.42800000000001</v>
      </c>
      <c r="Q111" s="162">
        <f t="shared" ca="1" si="998"/>
        <v>56.599999999999994</v>
      </c>
      <c r="R111" s="162">
        <f t="shared" ca="1" si="998"/>
        <v>7631.1</v>
      </c>
      <c r="S111" s="162">
        <f t="shared" ca="1" si="998"/>
        <v>6807.9</v>
      </c>
      <c r="T111" s="162">
        <f t="shared" ca="1" si="998"/>
        <v>11480.2</v>
      </c>
      <c r="U111" s="162">
        <f t="shared" ca="1" si="998"/>
        <v>9722.4</v>
      </c>
      <c r="V111" s="162">
        <f t="shared" ca="1" si="998"/>
        <v>9556.77</v>
      </c>
      <c r="W111" s="162">
        <f t="shared" ca="1" si="998"/>
        <v>24183.84</v>
      </c>
      <c r="X111" s="162">
        <f t="shared" ref="X111:Y111" ca="1" si="999">+X108+X109</f>
        <v>28188.809999999998</v>
      </c>
      <c r="Y111" s="162">
        <f t="shared" ca="1" si="999"/>
        <v>32383.35</v>
      </c>
      <c r="Z111" s="162">
        <f t="shared" ref="Z111:AA111" ca="1" si="1000">+Z108+Z109</f>
        <v>42290.7</v>
      </c>
      <c r="AA111" s="162">
        <f t="shared" ca="1" si="1000"/>
        <v>42290.7</v>
      </c>
      <c r="AB111" s="21">
        <f t="shared" ref="AB111:AD111" ca="1" si="1001">+AB108+AB109</f>
        <v>29326.885961446453</v>
      </c>
      <c r="AC111" s="21">
        <f t="shared" ca="1" si="1001"/>
        <v>32567.329517772745</v>
      </c>
      <c r="AD111" s="21">
        <f t="shared" ca="1" si="1001"/>
        <v>36097.681742291366</v>
      </c>
      <c r="AE111" s="21">
        <f t="shared" ref="AE111" ca="1" si="1002">+AE108+AE109</f>
        <v>39574.623537930602</v>
      </c>
      <c r="AL111" s="162">
        <f t="shared" ref="AL111:AM111" si="1003">+AL108+AL109</f>
        <v>0</v>
      </c>
      <c r="AM111" s="162" t="e">
        <f t="shared" si="1003"/>
        <v>#DIV/0!</v>
      </c>
      <c r="AN111" s="162">
        <f t="shared" ref="AN111:AO111" si="1004">+AN108+AN109</f>
        <v>0</v>
      </c>
      <c r="AO111" s="162" t="e">
        <f t="shared" si="1004"/>
        <v>#DIV/0!</v>
      </c>
      <c r="AP111" s="162">
        <f t="shared" ref="AP111:CD111" si="1005">+AP108+AP109</f>
        <v>0</v>
      </c>
      <c r="AQ111" s="162" t="e">
        <f t="shared" si="1005"/>
        <v>#DIV/0!</v>
      </c>
      <c r="AR111" s="162">
        <f t="shared" si="1005"/>
        <v>0</v>
      </c>
      <c r="AS111" s="162" t="e">
        <f t="shared" si="1005"/>
        <v>#DIV/0!</v>
      </c>
      <c r="AT111" s="162">
        <f t="shared" si="1005"/>
        <v>0</v>
      </c>
      <c r="AU111" s="162" t="e">
        <f t="shared" si="1005"/>
        <v>#DIV/0!</v>
      </c>
      <c r="AV111" s="162">
        <f t="shared" si="1005"/>
        <v>0</v>
      </c>
      <c r="AW111" s="162">
        <f t="shared" si="1005"/>
        <v>-130.80000000000004</v>
      </c>
      <c r="AX111" s="162">
        <f t="shared" si="1005"/>
        <v>56.599999999999994</v>
      </c>
      <c r="AY111" s="162">
        <f t="shared" si="1005"/>
        <v>-50.741489892687923</v>
      </c>
      <c r="AZ111" s="162">
        <f t="shared" si="1005"/>
        <v>-43.600000000000023</v>
      </c>
      <c r="BA111" s="162">
        <f t="shared" si="1005"/>
        <v>7630.9270937158144</v>
      </c>
      <c r="BB111" s="162">
        <f t="shared" si="1005"/>
        <v>7917.3</v>
      </c>
      <c r="BC111" s="162">
        <f t="shared" si="1005"/>
        <v>6861.6223808937575</v>
      </c>
      <c r="BD111" s="162">
        <f t="shared" si="1005"/>
        <v>7431.9</v>
      </c>
      <c r="BE111" s="162">
        <f t="shared" si="1005"/>
        <v>7914.7780257606037</v>
      </c>
      <c r="BF111" s="162">
        <f t="shared" si="1005"/>
        <v>10040.9</v>
      </c>
      <c r="BG111" s="162">
        <f t="shared" si="1005"/>
        <v>11759.972772089495</v>
      </c>
      <c r="BH111" s="162">
        <f t="shared" si="1005"/>
        <v>12260.6</v>
      </c>
      <c r="BI111" s="162">
        <f t="shared" si="1005"/>
        <v>13998.705331332438</v>
      </c>
      <c r="BJ111" s="162">
        <f t="shared" si="1005"/>
        <v>14183.2</v>
      </c>
      <c r="BK111" s="162">
        <f t="shared" si="1005"/>
        <v>15657.501089271087</v>
      </c>
      <c r="BL111" s="162">
        <f t="shared" si="1005"/>
        <v>14579.5</v>
      </c>
      <c r="BM111" s="162">
        <f t="shared" si="1005"/>
        <v>14178.473037586476</v>
      </c>
      <c r="BN111" s="162">
        <f t="shared" si="1005"/>
        <v>9722.4</v>
      </c>
      <c r="BO111" s="162">
        <f t="shared" si="1005"/>
        <v>10238.328274574866</v>
      </c>
      <c r="BP111" s="162">
        <f t="shared" si="1005"/>
        <v>11994.4</v>
      </c>
      <c r="BQ111" s="162">
        <f t="shared" si="1005"/>
        <v>15306.760304460342</v>
      </c>
      <c r="BR111" s="162">
        <f t="shared" si="1005"/>
        <v>22647.24</v>
      </c>
      <c r="BS111" s="162">
        <f t="shared" si="1005"/>
        <v>24340.085997917391</v>
      </c>
      <c r="BT111" s="162">
        <f t="shared" si="1005"/>
        <v>27734.42</v>
      </c>
      <c r="BU111" s="162">
        <f t="shared" si="1005"/>
        <v>43812.122642284012</v>
      </c>
      <c r="BV111" s="162">
        <f t="shared" si="1005"/>
        <v>42242</v>
      </c>
      <c r="BW111" s="162">
        <f t="shared" si="1005"/>
        <v>29718.299259723251</v>
      </c>
      <c r="BX111" s="162">
        <f t="shared" si="1005"/>
        <v>28683.01</v>
      </c>
      <c r="BY111" s="162">
        <f t="shared" si="1005"/>
        <v>33662.185042731297</v>
      </c>
      <c r="BZ111" s="162">
        <f t="shared" si="1005"/>
        <v>31312.099999999995</v>
      </c>
      <c r="CA111" s="162">
        <f t="shared" si="1005"/>
        <v>31930.899438960598</v>
      </c>
      <c r="CB111" s="162">
        <f t="shared" si="1005"/>
        <v>38406.35</v>
      </c>
      <c r="CC111" s="162">
        <f t="shared" si="1005"/>
        <v>41112.032227110831</v>
      </c>
      <c r="CD111" s="162">
        <f t="shared" si="1005"/>
        <v>50972.57</v>
      </c>
      <c r="CE111" s="162">
        <f t="shared" ref="CE111:CF111" si="1006">+CE108+CE109</f>
        <v>41796.102703448269</v>
      </c>
      <c r="CF111" s="162">
        <f t="shared" si="1006"/>
        <v>47260.43</v>
      </c>
      <c r="CG111" s="162">
        <f t="shared" ref="CG111:CH111" si="1007">+CG108+CG109</f>
        <v>46351.413967507484</v>
      </c>
      <c r="CH111" s="162">
        <f t="shared" si="1007"/>
        <v>43248.939999999995</v>
      </c>
      <c r="CI111" s="162">
        <f t="shared" ref="CI111:CJ111" si="1008">+CI108+CI109</f>
        <v>38027.355485631968</v>
      </c>
      <c r="CJ111" s="162">
        <f t="shared" si="1008"/>
        <v>39746.300000000003</v>
      </c>
      <c r="CK111" s="162">
        <f t="shared" ref="CK111:CL111" si="1009">+CK108+CK109</f>
        <v>39899.904827991275</v>
      </c>
      <c r="CL111" s="162">
        <f t="shared" si="1009"/>
        <v>29217.51</v>
      </c>
      <c r="CM111" s="21">
        <f t="shared" ref="CM111:DB111" si="1010">+CM108+CM109</f>
        <v>30574.706013423034</v>
      </c>
      <c r="CN111" s="21">
        <f t="shared" si="1010"/>
        <v>31735.341152891382</v>
      </c>
      <c r="CO111" s="21">
        <f t="shared" si="1010"/>
        <v>32588.593022151166</v>
      </c>
      <c r="CP111" s="21">
        <f t="shared" si="1010"/>
        <v>32882.800671051918</v>
      </c>
      <c r="CQ111" s="21">
        <f t="shared" si="1010"/>
        <v>33976.901446341813</v>
      </c>
      <c r="CR111" s="21">
        <f t="shared" si="1010"/>
        <v>35054.681780478859</v>
      </c>
      <c r="CS111" s="21">
        <f t="shared" si="1010"/>
        <v>35837.498604492961</v>
      </c>
      <c r="CT111" s="21">
        <f t="shared" si="1010"/>
        <v>36601.123678759657</v>
      </c>
      <c r="CU111" s="21">
        <f t="shared" si="1010"/>
        <v>37677.002502070856</v>
      </c>
      <c r="CV111" s="21">
        <f t="shared" si="1010"/>
        <v>38617.048095243597</v>
      </c>
      <c r="CW111" s="21">
        <f t="shared" si="1010"/>
        <v>39423.743598033157</v>
      </c>
      <c r="CX111" s="21">
        <f t="shared" si="1010"/>
        <v>40242.077639503572</v>
      </c>
      <c r="CY111" s="21">
        <f t="shared" si="1010"/>
        <v>41339.342767741451</v>
      </c>
      <c r="CZ111" s="21">
        <f t="shared" si="1010"/>
        <v>42295.293359250252</v>
      </c>
      <c r="DA111" s="21">
        <f t="shared" si="1010"/>
        <v>43146.952554407479</v>
      </c>
      <c r="DB111" s="21">
        <f t="shared" si="1010"/>
        <v>44011.367893636147</v>
      </c>
      <c r="DE111" s="22"/>
      <c r="DF111" s="162">
        <v>42290.7</v>
      </c>
    </row>
    <row r="112" spans="1:110" s="162" customFormat="1" x14ac:dyDescent="0.2">
      <c r="A112" s="49" t="s">
        <v>13</v>
      </c>
      <c r="B112" s="162">
        <f t="shared" ref="B112:AE112" si="1011">+B28</f>
        <v>0</v>
      </c>
      <c r="C112" s="162">
        <f t="shared" si="1011"/>
        <v>0</v>
      </c>
      <c r="D112" s="162">
        <f t="shared" si="1011"/>
        <v>0</v>
      </c>
      <c r="E112" s="162">
        <f t="shared" si="1011"/>
        <v>0</v>
      </c>
      <c r="F112" s="162">
        <f t="shared" si="1011"/>
        <v>0</v>
      </c>
      <c r="G112" s="162">
        <f t="shared" si="1011"/>
        <v>0</v>
      </c>
      <c r="H112" s="162">
        <f t="shared" si="1011"/>
        <v>0</v>
      </c>
      <c r="I112" s="162">
        <f t="shared" si="1011"/>
        <v>0</v>
      </c>
      <c r="J112" s="162">
        <f t="shared" si="1011"/>
        <v>0</v>
      </c>
      <c r="K112" s="162">
        <f t="shared" si="1011"/>
        <v>0</v>
      </c>
      <c r="L112" s="162">
        <f t="shared" si="1011"/>
        <v>0</v>
      </c>
      <c r="M112" s="162">
        <f t="shared" si="1011"/>
        <v>0</v>
      </c>
      <c r="N112" s="162">
        <f t="shared" si="1011"/>
        <v>-3.0000000000000001E-3</v>
      </c>
      <c r="O112" s="162">
        <f t="shared" si="1011"/>
        <v>15.579999999999998</v>
      </c>
      <c r="P112" s="162">
        <f t="shared" si="1011"/>
        <v>398.73599999999988</v>
      </c>
      <c r="Q112" s="162">
        <f t="shared" si="1011"/>
        <v>519.39999999999964</v>
      </c>
      <c r="R112" s="162">
        <f t="shared" si="1011"/>
        <v>564.40000000000009</v>
      </c>
      <c r="S112" s="162">
        <f t="shared" si="1011"/>
        <v>562.90000000000009</v>
      </c>
      <c r="T112" s="162">
        <f t="shared" si="1011"/>
        <v>914.59999999999945</v>
      </c>
      <c r="U112" s="162">
        <f t="shared" si="1011"/>
        <v>1108.3999999999996</v>
      </c>
      <c r="V112" s="162">
        <f t="shared" si="1011"/>
        <v>966.80000000000018</v>
      </c>
      <c r="W112" s="162">
        <f t="shared" si="1011"/>
        <v>1382.0999999999995</v>
      </c>
      <c r="X112" s="162">
        <f t="shared" si="1011"/>
        <v>1746.4000000000015</v>
      </c>
      <c r="Y112" s="162">
        <f t="shared" si="1011"/>
        <v>1907.4999999999991</v>
      </c>
      <c r="Z112" s="162">
        <f t="shared" si="1011"/>
        <v>1786.5</v>
      </c>
      <c r="AA112" s="162">
        <f t="shared" ref="AA112" si="1012">+AA28</f>
        <v>1910.1000000000004</v>
      </c>
      <c r="AB112" s="21">
        <f t="shared" si="1011"/>
        <v>2248.4112624159879</v>
      </c>
      <c r="AC112" s="21">
        <f t="shared" si="1011"/>
        <v>2431.6025585142379</v>
      </c>
      <c r="AD112" s="21">
        <f t="shared" si="1011"/>
        <v>2627.2647509528506</v>
      </c>
      <c r="AE112" s="21">
        <f t="shared" si="1011"/>
        <v>2837.6789934700391</v>
      </c>
      <c r="AL112" s="162">
        <f t="shared" ref="AL112:BQ112" si="1013">+SUM(AI28:AL28)</f>
        <v>0</v>
      </c>
      <c r="AM112" s="162">
        <f t="shared" si="1013"/>
        <v>0</v>
      </c>
      <c r="AN112" s="162">
        <f t="shared" si="1013"/>
        <v>0</v>
      </c>
      <c r="AO112" s="162">
        <f t="shared" si="1013"/>
        <v>0</v>
      </c>
      <c r="AP112" s="162">
        <f t="shared" si="1013"/>
        <v>0</v>
      </c>
      <c r="AQ112" s="162">
        <f t="shared" si="1013"/>
        <v>0</v>
      </c>
      <c r="AR112" s="162">
        <f t="shared" si="1013"/>
        <v>0</v>
      </c>
      <c r="AS112" s="162">
        <f t="shared" si="1013"/>
        <v>0</v>
      </c>
      <c r="AT112" s="162">
        <f t="shared" si="1013"/>
        <v>0</v>
      </c>
      <c r="AU112" s="162">
        <f t="shared" si="1013"/>
        <v>0</v>
      </c>
      <c r="AV112" s="162">
        <f t="shared" si="1013"/>
        <v>122.5</v>
      </c>
      <c r="AW112" s="162">
        <f t="shared" si="1013"/>
        <v>276.20000000000005</v>
      </c>
      <c r="AX112" s="162">
        <f t="shared" si="1013"/>
        <v>421.6</v>
      </c>
      <c r="AY112" s="162">
        <f t="shared" si="1013"/>
        <v>570.6</v>
      </c>
      <c r="AZ112" s="162">
        <f t="shared" si="1013"/>
        <v>604.30000000000007</v>
      </c>
      <c r="BA112" s="162">
        <f t="shared" si="1013"/>
        <v>596.29999999999995</v>
      </c>
      <c r="BB112" s="162">
        <f t="shared" si="1013"/>
        <v>585.49999999999989</v>
      </c>
      <c r="BC112" s="162">
        <f t="shared" si="1013"/>
        <v>562.19999999999982</v>
      </c>
      <c r="BD112" s="162">
        <f t="shared" si="1013"/>
        <v>543.39999999999975</v>
      </c>
      <c r="BE112" s="162">
        <f t="shared" si="1013"/>
        <v>546.19999999999982</v>
      </c>
      <c r="BF112" s="162">
        <f t="shared" si="1013"/>
        <v>575.59999999999991</v>
      </c>
      <c r="BG112" s="162">
        <f t="shared" si="1013"/>
        <v>646</v>
      </c>
      <c r="BH112" s="162">
        <f t="shared" si="1013"/>
        <v>737.4</v>
      </c>
      <c r="BI112" s="162">
        <f t="shared" si="1013"/>
        <v>830.6</v>
      </c>
      <c r="BJ112" s="162">
        <f t="shared" si="1013"/>
        <v>914.69999999999993</v>
      </c>
      <c r="BK112" s="162">
        <f t="shared" si="1013"/>
        <v>991.3</v>
      </c>
      <c r="BL112" s="162">
        <f t="shared" si="1013"/>
        <v>1045.6999999999998</v>
      </c>
      <c r="BM112" s="162">
        <f t="shared" si="1013"/>
        <v>1090.3</v>
      </c>
      <c r="BN112" s="162">
        <f t="shared" si="1013"/>
        <v>1110.4999999999998</v>
      </c>
      <c r="BO112" s="162">
        <f t="shared" si="1013"/>
        <v>1043.6999999999998</v>
      </c>
      <c r="BP112" s="162">
        <f t="shared" si="1013"/>
        <v>993.3</v>
      </c>
      <c r="BQ112" s="162">
        <f t="shared" si="1013"/>
        <v>982.59999999999991</v>
      </c>
      <c r="BR112" s="162">
        <f t="shared" ref="BR112:CW112" si="1014">+SUM(BO28:BR28)</f>
        <v>1007.4000000000001</v>
      </c>
      <c r="BS112" s="162">
        <f t="shared" si="1014"/>
        <v>1119.2000000000003</v>
      </c>
      <c r="BT112" s="162">
        <f t="shared" si="1014"/>
        <v>1235.7000000000003</v>
      </c>
      <c r="BU112" s="162">
        <f t="shared" si="1014"/>
        <v>1327.5000000000002</v>
      </c>
      <c r="BV112" s="162">
        <f t="shared" si="1014"/>
        <v>1414.9000000000003</v>
      </c>
      <c r="BW112" s="162">
        <f t="shared" si="1014"/>
        <v>1504.9</v>
      </c>
      <c r="BX112" s="162">
        <f t="shared" si="1014"/>
        <v>1593</v>
      </c>
      <c r="BY112" s="162">
        <f t="shared" si="1014"/>
        <v>1661.1999999999998</v>
      </c>
      <c r="BZ112" s="162">
        <f t="shared" si="1014"/>
        <v>1760.8999999999996</v>
      </c>
      <c r="CA112" s="162">
        <f t="shared" si="1014"/>
        <v>1805.9999999999998</v>
      </c>
      <c r="CB112" s="162">
        <f t="shared" si="1014"/>
        <v>1844.1999999999998</v>
      </c>
      <c r="CC112" s="162">
        <f t="shared" si="1014"/>
        <v>1896.3</v>
      </c>
      <c r="CD112" s="162">
        <f t="shared" si="1014"/>
        <v>1918.9000000000003</v>
      </c>
      <c r="CE112" s="162">
        <f t="shared" si="1014"/>
        <v>1922.3000000000002</v>
      </c>
      <c r="CF112" s="162">
        <f t="shared" si="1014"/>
        <v>1912.7000000000003</v>
      </c>
      <c r="CG112" s="162">
        <f t="shared" si="1014"/>
        <v>1919.7</v>
      </c>
      <c r="CH112" s="162">
        <f t="shared" si="1014"/>
        <v>1849.6000000000001</v>
      </c>
      <c r="CI112" s="162">
        <f t="shared" si="1014"/>
        <v>1855.8000000000002</v>
      </c>
      <c r="CJ112" s="162">
        <f t="shared" si="1014"/>
        <v>1880.6000000000004</v>
      </c>
      <c r="CK112" s="162">
        <f t="shared" si="1014"/>
        <v>1899.7000000000007</v>
      </c>
      <c r="CL112" s="162">
        <f t="shared" si="1014"/>
        <v>1988.4000000000005</v>
      </c>
      <c r="CM112" s="21">
        <f t="shared" si="1014"/>
        <v>2094.9723655027501</v>
      </c>
      <c r="CN112" s="21">
        <f t="shared" si="1014"/>
        <v>2175.7044063737007</v>
      </c>
      <c r="CO112" s="21">
        <f t="shared" si="1014"/>
        <v>2222.8237889931793</v>
      </c>
      <c r="CP112" s="21">
        <f t="shared" si="1014"/>
        <v>2248.4112624159893</v>
      </c>
      <c r="CQ112" s="21">
        <f t="shared" si="1014"/>
        <v>2292.9823928547571</v>
      </c>
      <c r="CR112" s="21">
        <f t="shared" si="1014"/>
        <v>2346.9036743832435</v>
      </c>
      <c r="CS112" s="21">
        <f t="shared" si="1014"/>
        <v>2390.7111986443301</v>
      </c>
      <c r="CT112" s="21">
        <f t="shared" si="1014"/>
        <v>2431.6025585142374</v>
      </c>
      <c r="CU112" s="21">
        <f t="shared" si="1014"/>
        <v>2481.4996871792009</v>
      </c>
      <c r="CV112" s="21">
        <f t="shared" si="1014"/>
        <v>2532.8371963758987</v>
      </c>
      <c r="CW112" s="21">
        <f t="shared" si="1014"/>
        <v>2580.6464778527434</v>
      </c>
      <c r="CX112" s="21">
        <f t="shared" ref="CX112:DB112" si="1015">+SUM(CU28:CX28)</f>
        <v>2627.264750952851</v>
      </c>
      <c r="CY112" s="21">
        <f t="shared" si="1015"/>
        <v>2680.631849638014</v>
      </c>
      <c r="CZ112" s="21">
        <f t="shared" si="1015"/>
        <v>2734.9228518380742</v>
      </c>
      <c r="DA112" s="21">
        <f t="shared" si="1015"/>
        <v>2786.9651446106909</v>
      </c>
      <c r="DB112" s="21">
        <f t="shared" si="1015"/>
        <v>2837.6789934700387</v>
      </c>
      <c r="DE112" s="22"/>
      <c r="DF112" s="162">
        <v>1910.1000000000004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16">+C110/C112</f>
        <v>#DIV/0!</v>
      </c>
      <c r="D113" s="162" t="e">
        <f t="shared" si="1016"/>
        <v>#DIV/0!</v>
      </c>
      <c r="E113" s="162" t="e">
        <f t="shared" ca="1" si="1016"/>
        <v>#DIV/0!</v>
      </c>
      <c r="F113" s="162" t="e">
        <f t="shared" ca="1" si="1016"/>
        <v>#DIV/0!</v>
      </c>
      <c r="G113" s="162" t="e">
        <f t="shared" ca="1" si="1016"/>
        <v>#DIV/0!</v>
      </c>
      <c r="H113" s="162" t="e">
        <f t="shared" ca="1" si="1016"/>
        <v>#DIV/0!</v>
      </c>
      <c r="I113" s="162" t="e">
        <f t="shared" ca="1" si="1016"/>
        <v>#DIV/0!</v>
      </c>
      <c r="J113" s="162" t="e">
        <f t="shared" ca="1" si="1016"/>
        <v>#DIV/0!</v>
      </c>
      <c r="K113" s="162" t="e">
        <f t="shared" ca="1" si="1016"/>
        <v>#DIV/0!</v>
      </c>
      <c r="L113" s="162" t="e">
        <f t="shared" ca="1" si="1016"/>
        <v>#DIV/0!</v>
      </c>
      <c r="M113" s="162" t="e">
        <f t="shared" ca="1" si="1016"/>
        <v>#DIV/0!</v>
      </c>
      <c r="N113" s="162">
        <f t="shared" ca="1" si="1016"/>
        <v>16.666666666666668</v>
      </c>
      <c r="O113" s="162">
        <f t="shared" ca="1" si="1016"/>
        <v>1.2317073170731707</v>
      </c>
      <c r="P113" s="162">
        <f t="shared" ca="1" si="1016"/>
        <v>0.25938967136150248</v>
      </c>
      <c r="Q113" s="162">
        <f t="shared" ca="1" si="1016"/>
        <v>0.10897189064304974</v>
      </c>
      <c r="R113" s="162">
        <f t="shared" ca="1" si="1016"/>
        <v>17.201807228915662</v>
      </c>
      <c r="S113" s="162">
        <f t="shared" ca="1" si="1016"/>
        <v>28.590335761236449</v>
      </c>
      <c r="T113" s="162">
        <f t="shared" ca="1" si="1016"/>
        <v>20.693964574677469</v>
      </c>
      <c r="U113" s="162">
        <f t="shared" ca="1" si="1016"/>
        <v>16.639796102490081</v>
      </c>
      <c r="V113" s="162">
        <f t="shared" ca="1" si="1016"/>
        <v>29.531350848158869</v>
      </c>
      <c r="W113" s="162">
        <f t="shared" ca="1" si="1016"/>
        <v>44.200752478113031</v>
      </c>
      <c r="X113" s="162">
        <f t="shared" ref="X113:Y113" ca="1" si="1017">+X110/X112</f>
        <v>30.534310581768185</v>
      </c>
      <c r="Y113" s="162">
        <f t="shared" ca="1" si="1017"/>
        <v>30.128912188728716</v>
      </c>
      <c r="Z113" s="162">
        <f t="shared" ref="Z113:AA113" ca="1" si="1018">+Z110/Z112</f>
        <v>32.264976714648569</v>
      </c>
      <c r="AA113" s="162">
        <f t="shared" ca="1" si="1018"/>
        <v>32.264976714648569</v>
      </c>
      <c r="AB113" s="21">
        <f t="shared" ref="AB113:AD113" ca="1" si="1019">+AB110/AB112</f>
        <v>22.603662929830072</v>
      </c>
      <c r="AC113" s="21">
        <f t="shared" ca="1" si="1019"/>
        <v>23.498082306629275</v>
      </c>
      <c r="AD113" s="21">
        <f t="shared" ca="1" si="1019"/>
        <v>24.146631173294832</v>
      </c>
      <c r="AE113" s="21">
        <f t="shared" ref="AE113" ca="1" si="1020">+AE110/AE112</f>
        <v>24.682764576081023</v>
      </c>
      <c r="AL113" s="162" t="e">
        <f t="shared" ref="AL113" si="1021">+AL110/AL112</f>
        <v>#DIV/0!</v>
      </c>
      <c r="AM113" s="162" t="e">
        <f t="shared" ref="AM113:AO113" si="1022">+AM110/AM112</f>
        <v>#DIV/0!</v>
      </c>
      <c r="AN113" s="162" t="e">
        <f t="shared" si="1022"/>
        <v>#DIV/0!</v>
      </c>
      <c r="AO113" s="162" t="e">
        <f t="shared" si="1022"/>
        <v>#DIV/0!</v>
      </c>
      <c r="AP113" s="162" t="e">
        <f t="shared" ref="AP113:CD113" si="1023">+AP110/AP112</f>
        <v>#DIV/0!</v>
      </c>
      <c r="AQ113" s="162" t="e">
        <f t="shared" si="1023"/>
        <v>#DIV/0!</v>
      </c>
      <c r="AR113" s="162" t="e">
        <f t="shared" si="1023"/>
        <v>#DIV/0!</v>
      </c>
      <c r="AS113" s="162" t="e">
        <f t="shared" si="1023"/>
        <v>#DIV/0!</v>
      </c>
      <c r="AT113" s="162" t="e">
        <f t="shared" si="1023"/>
        <v>#DIV/0!</v>
      </c>
      <c r="AU113" s="162" t="e">
        <f t="shared" si="1023"/>
        <v>#DIV/0!</v>
      </c>
      <c r="AV113" s="162">
        <f t="shared" si="1023"/>
        <v>0</v>
      </c>
      <c r="AW113" s="162">
        <f t="shared" si="1023"/>
        <v>-0.4735698769007966</v>
      </c>
      <c r="AX113" s="162">
        <f t="shared" si="1023"/>
        <v>0.13425047438330168</v>
      </c>
      <c r="AY113" s="162">
        <f t="shared" si="1023"/>
        <v>-8.8926550810879634E-2</v>
      </c>
      <c r="AZ113" s="162">
        <f t="shared" si="1023"/>
        <v>16.258480886976667</v>
      </c>
      <c r="BA113" s="162">
        <f t="shared" si="1023"/>
        <v>15.107155951225582</v>
      </c>
      <c r="BB113" s="162">
        <f t="shared" si="1023"/>
        <v>15.205977796754913</v>
      </c>
      <c r="BC113" s="162">
        <f t="shared" si="1023"/>
        <v>14.636236892375953</v>
      </c>
      <c r="BD113" s="162">
        <f t="shared" si="1023"/>
        <v>15.432278248067728</v>
      </c>
      <c r="BE113" s="162">
        <f t="shared" si="1023"/>
        <v>21.465430292494709</v>
      </c>
      <c r="BF113" s="162">
        <f t="shared" si="1023"/>
        <v>27.95952050034747</v>
      </c>
      <c r="BG113" s="162">
        <f t="shared" si="1023"/>
        <v>21.978286024906339</v>
      </c>
      <c r="BH113" s="162">
        <f t="shared" si="1023"/>
        <v>26.114184974233794</v>
      </c>
      <c r="BI113" s="162">
        <f t="shared" si="1023"/>
        <v>21.990374827031587</v>
      </c>
      <c r="BJ113" s="162">
        <f t="shared" si="1023"/>
        <v>19.468536132065157</v>
      </c>
      <c r="BK113" s="162">
        <f t="shared" si="1023"/>
        <v>18.518431442823655</v>
      </c>
      <c r="BL113" s="162">
        <f t="shared" si="1023"/>
        <v>17.515539829779097</v>
      </c>
      <c r="BM113" s="162">
        <f t="shared" si="1023"/>
        <v>15.545549883139024</v>
      </c>
      <c r="BN113" s="162">
        <f t="shared" si="1023"/>
        <v>16.247996398018916</v>
      </c>
      <c r="BO113" s="162">
        <f t="shared" si="1023"/>
        <v>13.352628412929832</v>
      </c>
      <c r="BP113" s="162">
        <f t="shared" si="1023"/>
        <v>16.834793113862883</v>
      </c>
      <c r="BQ113" s="162">
        <f t="shared" si="1023"/>
        <v>24.856320277285107</v>
      </c>
      <c r="BR113" s="162">
        <f t="shared" si="1023"/>
        <v>28.341185229303154</v>
      </c>
      <c r="BS113" s="162">
        <f t="shared" si="1023"/>
        <v>27.298263043171357</v>
      </c>
      <c r="BT113" s="162">
        <f t="shared" si="1023"/>
        <v>41.305899490167505</v>
      </c>
      <c r="BU113" s="162">
        <f t="shared" si="1023"/>
        <v>44.853922894375891</v>
      </c>
      <c r="BV113" s="162">
        <f t="shared" si="1023"/>
        <v>43.176097250689082</v>
      </c>
      <c r="BW113" s="162">
        <f t="shared" si="1023"/>
        <v>35.861465386220509</v>
      </c>
      <c r="BX113" s="162">
        <f t="shared" si="1023"/>
        <v>24.78386691776522</v>
      </c>
      <c r="BY113" s="162">
        <f t="shared" si="1023"/>
        <v>25.937379630827895</v>
      </c>
      <c r="BZ113" s="162">
        <f t="shared" si="1023"/>
        <v>21.526094610710437</v>
      </c>
      <c r="CA113" s="162">
        <f t="shared" si="1023"/>
        <v>21.928083853245074</v>
      </c>
      <c r="CB113" s="162">
        <f t="shared" si="1023"/>
        <v>26.433559266890793</v>
      </c>
      <c r="CC113" s="162">
        <f t="shared" si="1023"/>
        <v>28.71102263729939</v>
      </c>
      <c r="CD113" s="162">
        <f t="shared" si="1023"/>
        <v>29.949919224555732</v>
      </c>
      <c r="CE113" s="162">
        <f t="shared" ref="CE113:CF113" si="1024">+CE110/CE112</f>
        <v>30.879557146880437</v>
      </c>
      <c r="CF113" s="162">
        <f t="shared" si="1024"/>
        <v>31.802112197417259</v>
      </c>
      <c r="CG113" s="162">
        <f t="shared" ref="CG113:CH113" si="1025">+CG110/CG112</f>
        <v>29.09837160363988</v>
      </c>
      <c r="CH113" s="162">
        <f t="shared" si="1025"/>
        <v>30.999032223183391</v>
      </c>
      <c r="CI113" s="162">
        <f t="shared" ref="CI113:CJ113" si="1026">+CI110/CI112</f>
        <v>25.092814681340638</v>
      </c>
      <c r="CJ113" s="162">
        <f t="shared" si="1026"/>
        <v>24.122248218653617</v>
      </c>
      <c r="CK113" s="162">
        <f t="shared" ref="CK113:CL113" si="1027">+CK110/CK112</f>
        <v>25.036924160652344</v>
      </c>
      <c r="CL113" s="162">
        <f t="shared" si="1027"/>
        <v>22.466460470730233</v>
      </c>
      <c r="CM113" s="21">
        <f t="shared" ref="CM113:DB113" si="1028">+CM110/CM112</f>
        <v>22.345227653849861</v>
      </c>
      <c r="CN113" s="21">
        <f t="shared" si="1028"/>
        <v>22.387031722199808</v>
      </c>
      <c r="CO113" s="21">
        <f t="shared" si="1028"/>
        <v>22.575705140949271</v>
      </c>
      <c r="CP113" s="21">
        <f t="shared" si="1028"/>
        <v>22.603662929830058</v>
      </c>
      <c r="CQ113" s="21">
        <f t="shared" si="1028"/>
        <v>22.932358990909528</v>
      </c>
      <c r="CR113" s="21">
        <f t="shared" si="1028"/>
        <v>23.172746707243487</v>
      </c>
      <c r="CS113" s="21">
        <f t="shared" si="1028"/>
        <v>23.332036277189005</v>
      </c>
      <c r="CT113" s="21">
        <f t="shared" si="1028"/>
        <v>23.498082306629279</v>
      </c>
      <c r="CU113" s="21">
        <f t="shared" si="1028"/>
        <v>23.732145828393058</v>
      </c>
      <c r="CV113" s="21">
        <f t="shared" si="1028"/>
        <v>23.892124809357863</v>
      </c>
      <c r="CW113" s="21">
        <f t="shared" si="1028"/>
        <v>24.014881141832927</v>
      </c>
      <c r="CX113" s="21">
        <f t="shared" si="1028"/>
        <v>24.146631173294828</v>
      </c>
      <c r="CY113" s="21">
        <f t="shared" si="1028"/>
        <v>24.340020969418205</v>
      </c>
      <c r="CZ113" s="21">
        <f t="shared" si="1028"/>
        <v>24.469381463730787</v>
      </c>
      <c r="DA113" s="21">
        <f t="shared" si="1028"/>
        <v>24.570825438090534</v>
      </c>
      <c r="DB113" s="21">
        <f t="shared" si="1028"/>
        <v>24.682764576081027</v>
      </c>
      <c r="DE113" s="22"/>
      <c r="DF113" s="162">
        <v>32.264976714648569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29">+C111/C112</f>
        <v>#DIV/0!</v>
      </c>
      <c r="D114" s="162" t="e">
        <f t="shared" si="1029"/>
        <v>#DIV/0!</v>
      </c>
      <c r="E114" s="162" t="e">
        <f t="shared" ca="1" si="1029"/>
        <v>#DIV/0!</v>
      </c>
      <c r="F114" s="162" t="e">
        <f t="shared" ca="1" si="1029"/>
        <v>#DIV/0!</v>
      </c>
      <c r="G114" s="162" t="e">
        <f t="shared" ca="1" si="1029"/>
        <v>#DIV/0!</v>
      </c>
      <c r="H114" s="162" t="e">
        <f t="shared" ca="1" si="1029"/>
        <v>#DIV/0!</v>
      </c>
      <c r="I114" s="162" t="e">
        <f t="shared" ca="1" si="1029"/>
        <v>#DIV/0!</v>
      </c>
      <c r="J114" s="162" t="e">
        <f t="shared" ca="1" si="1029"/>
        <v>#DIV/0!</v>
      </c>
      <c r="K114" s="162" t="e">
        <f t="shared" ca="1" si="1029"/>
        <v>#DIV/0!</v>
      </c>
      <c r="L114" s="162" t="e">
        <f t="shared" ca="1" si="1029"/>
        <v>#DIV/0!</v>
      </c>
      <c r="M114" s="162" t="e">
        <f t="shared" ca="1" si="1029"/>
        <v>#DIV/0!</v>
      </c>
      <c r="N114" s="162">
        <f t="shared" ca="1" si="1029"/>
        <v>16.666666666666668</v>
      </c>
      <c r="O114" s="162">
        <f t="shared" ca="1" si="1029"/>
        <v>1.2317073170731707</v>
      </c>
      <c r="P114" s="162">
        <f t="shared" ca="1" si="1029"/>
        <v>0.25938967136150248</v>
      </c>
      <c r="Q114" s="162">
        <f t="shared" ca="1" si="1029"/>
        <v>0.10897189064304974</v>
      </c>
      <c r="R114" s="162">
        <f t="shared" ca="1" si="1029"/>
        <v>13.520729978738482</v>
      </c>
      <c r="S114" s="162">
        <f t="shared" ca="1" si="1029"/>
        <v>12.094332918813286</v>
      </c>
      <c r="T114" s="162">
        <f t="shared" ca="1" si="1029"/>
        <v>12.552153947080699</v>
      </c>
      <c r="U114" s="162">
        <f t="shared" ca="1" si="1029"/>
        <v>8.771562612775174</v>
      </c>
      <c r="V114" s="162">
        <f t="shared" ca="1" si="1029"/>
        <v>9.884950351675629</v>
      </c>
      <c r="W114" s="162">
        <f t="shared" ca="1" si="1029"/>
        <v>17.497894508356854</v>
      </c>
      <c r="X114" s="162">
        <f t="shared" ref="X114:Y114" ca="1" si="1030">+X111/X112</f>
        <v>16.141095968850191</v>
      </c>
      <c r="Y114" s="162">
        <f t="shared" ca="1" si="1030"/>
        <v>16.976854521625171</v>
      </c>
      <c r="Z114" s="162">
        <f t="shared" ref="Z114:AA114" ca="1" si="1031">+Z111/Z112</f>
        <v>22.380768416596077</v>
      </c>
      <c r="AA114" s="162">
        <f t="shared" ca="1" si="1031"/>
        <v>22.380768416596077</v>
      </c>
      <c r="AB114" s="21">
        <f t="shared" ref="AB114:AD114" ca="1" si="1032">+AB111/AB112</f>
        <v>13.043381543078468</v>
      </c>
      <c r="AC114" s="21">
        <f t="shared" ca="1" si="1032"/>
        <v>13.393360441959764</v>
      </c>
      <c r="AD114" s="21">
        <f t="shared" ca="1" si="1032"/>
        <v>13.739643760378371</v>
      </c>
      <c r="AE114" s="21">
        <f t="shared" ref="AE114" ca="1" si="1033">+AE111/AE112</f>
        <v>13.946124148995798</v>
      </c>
      <c r="AL114" s="162" t="e">
        <f t="shared" ref="AL114:AM114" si="1034">+AL111/AL112</f>
        <v>#DIV/0!</v>
      </c>
      <c r="AM114" s="162" t="e">
        <f t="shared" si="1034"/>
        <v>#DIV/0!</v>
      </c>
      <c r="AN114" s="162" t="e">
        <f t="shared" ref="AN114:AO114" si="1035">+AN111/AN112</f>
        <v>#DIV/0!</v>
      </c>
      <c r="AO114" s="162" t="e">
        <f t="shared" si="1035"/>
        <v>#DIV/0!</v>
      </c>
      <c r="AP114" s="162" t="e">
        <f t="shared" ref="AP114:CD114" si="1036">+AP111/AP112</f>
        <v>#DIV/0!</v>
      </c>
      <c r="AQ114" s="162" t="e">
        <f t="shared" si="1036"/>
        <v>#DIV/0!</v>
      </c>
      <c r="AR114" s="162" t="e">
        <f t="shared" si="1036"/>
        <v>#DIV/0!</v>
      </c>
      <c r="AS114" s="162" t="e">
        <f t="shared" si="1036"/>
        <v>#DIV/0!</v>
      </c>
      <c r="AT114" s="162" t="e">
        <f t="shared" si="1036"/>
        <v>#DIV/0!</v>
      </c>
      <c r="AU114" s="162" t="e">
        <f t="shared" si="1036"/>
        <v>#DIV/0!</v>
      </c>
      <c r="AV114" s="162">
        <f t="shared" si="1036"/>
        <v>0</v>
      </c>
      <c r="AW114" s="162">
        <f t="shared" si="1036"/>
        <v>-0.4735698769007966</v>
      </c>
      <c r="AX114" s="162">
        <f t="shared" si="1036"/>
        <v>0.13425047438330168</v>
      </c>
      <c r="AY114" s="162">
        <f t="shared" si="1036"/>
        <v>-8.8926550810879634E-2</v>
      </c>
      <c r="AZ114" s="162">
        <f t="shared" si="1036"/>
        <v>-7.214959457223237E-2</v>
      </c>
      <c r="BA114" s="162">
        <f t="shared" si="1036"/>
        <v>12.797127442085888</v>
      </c>
      <c r="BB114" s="162">
        <f t="shared" si="1036"/>
        <v>13.522288642186169</v>
      </c>
      <c r="BC114" s="162">
        <f t="shared" si="1036"/>
        <v>12.204949094439273</v>
      </c>
      <c r="BD114" s="162">
        <f t="shared" si="1036"/>
        <v>13.67666543982334</v>
      </c>
      <c r="BE114" s="162">
        <f t="shared" si="1036"/>
        <v>14.490622529770425</v>
      </c>
      <c r="BF114" s="162">
        <f t="shared" si="1036"/>
        <v>17.44423210562891</v>
      </c>
      <c r="BG114" s="162">
        <f t="shared" si="1036"/>
        <v>18.204292216856803</v>
      </c>
      <c r="BH114" s="162">
        <f t="shared" si="1036"/>
        <v>16.626796853810689</v>
      </c>
      <c r="BI114" s="162">
        <f t="shared" si="1036"/>
        <v>16.853726620915527</v>
      </c>
      <c r="BJ114" s="162">
        <f t="shared" si="1036"/>
        <v>15.505848912211656</v>
      </c>
      <c r="BK114" s="162">
        <f t="shared" si="1036"/>
        <v>15.794916866005334</v>
      </c>
      <c r="BL114" s="162">
        <f t="shared" si="1036"/>
        <v>13.942335277804345</v>
      </c>
      <c r="BM114" s="162">
        <f t="shared" si="1036"/>
        <v>13.004194292934493</v>
      </c>
      <c r="BN114" s="162">
        <f t="shared" si="1036"/>
        <v>8.7549752363800106</v>
      </c>
      <c r="BO114" s="162">
        <f t="shared" si="1036"/>
        <v>9.809646713207691</v>
      </c>
      <c r="BP114" s="162">
        <f t="shared" si="1036"/>
        <v>12.07530454042082</v>
      </c>
      <c r="BQ114" s="162">
        <f t="shared" si="1036"/>
        <v>15.577814272807188</v>
      </c>
      <c r="BR114" s="162">
        <f t="shared" si="1036"/>
        <v>22.480881477069683</v>
      </c>
      <c r="BS114" s="162">
        <f t="shared" si="1036"/>
        <v>21.74775375081968</v>
      </c>
      <c r="BT114" s="162">
        <f t="shared" si="1036"/>
        <v>22.444298778020549</v>
      </c>
      <c r="BU114" s="162">
        <f t="shared" si="1036"/>
        <v>33.003482216409793</v>
      </c>
      <c r="BV114" s="162">
        <f t="shared" si="1036"/>
        <v>29.855113435578481</v>
      </c>
      <c r="BW114" s="162">
        <f t="shared" si="1036"/>
        <v>19.747690384559274</v>
      </c>
      <c r="BX114" s="162">
        <f t="shared" si="1036"/>
        <v>18.005655994978028</v>
      </c>
      <c r="BY114" s="162">
        <f t="shared" si="1036"/>
        <v>20.263776211612871</v>
      </c>
      <c r="BZ114" s="162">
        <f t="shared" si="1036"/>
        <v>17.781872905900393</v>
      </c>
      <c r="CA114" s="162">
        <f t="shared" si="1036"/>
        <v>17.680453731428905</v>
      </c>
      <c r="CB114" s="162">
        <f t="shared" si="1036"/>
        <v>20.825479882876046</v>
      </c>
      <c r="CC114" s="162">
        <f t="shared" si="1036"/>
        <v>21.680130900759814</v>
      </c>
      <c r="CD114" s="162">
        <f t="shared" si="1036"/>
        <v>26.563432174683406</v>
      </c>
      <c r="CE114" s="162">
        <f t="shared" ref="CE114:CF114" si="1037">+CE111/CE112</f>
        <v>21.742757479814944</v>
      </c>
      <c r="CF114" s="162">
        <f t="shared" si="1037"/>
        <v>24.708752025931926</v>
      </c>
      <c r="CG114" s="162">
        <f t="shared" ref="CG114:CH114" si="1038">+CG111/CG112</f>
        <v>24.145134118616181</v>
      </c>
      <c r="CH114" s="162">
        <f t="shared" si="1038"/>
        <v>23.382861159169547</v>
      </c>
      <c r="CI114" s="162">
        <f t="shared" ref="CI114:CJ114" si="1039">+CI111/CI112</f>
        <v>20.491084969087169</v>
      </c>
      <c r="CJ114" s="162">
        <f t="shared" si="1039"/>
        <v>21.134903754121023</v>
      </c>
      <c r="CK114" s="162">
        <f t="shared" ref="CK114:CL114" si="1040">+CK111/CK112</f>
        <v>21.003266214660872</v>
      </c>
      <c r="CL114" s="162">
        <f t="shared" si="1040"/>
        <v>14.693980084490038</v>
      </c>
      <c r="CM114" s="21">
        <f t="shared" ref="CM114:DB114" si="1041">+CM111/CM112</f>
        <v>14.5943242578695</v>
      </c>
      <c r="CN114" s="21">
        <f t="shared" si="1041"/>
        <v>14.586237477813194</v>
      </c>
      <c r="CO114" s="21">
        <f t="shared" si="1041"/>
        <v>14.660898080864998</v>
      </c>
      <c r="CP114" s="21">
        <f t="shared" si="1041"/>
        <v>14.624904803100081</v>
      </c>
      <c r="CQ114" s="21">
        <f t="shared" si="1041"/>
        <v>14.817776862229046</v>
      </c>
      <c r="CR114" s="21">
        <f t="shared" si="1041"/>
        <v>14.936566064941324</v>
      </c>
      <c r="CS114" s="21">
        <f t="shared" si="1041"/>
        <v>14.990308584665044</v>
      </c>
      <c r="CT114" s="21">
        <f t="shared" si="1041"/>
        <v>15.052264010251637</v>
      </c>
      <c r="CU114" s="21">
        <f t="shared" si="1041"/>
        <v>15.183158271883361</v>
      </c>
      <c r="CV114" s="21">
        <f t="shared" si="1041"/>
        <v>15.246557556284575</v>
      </c>
      <c r="CW114" s="21">
        <f t="shared" si="1041"/>
        <v>15.276692850558957</v>
      </c>
      <c r="CX114" s="21">
        <f t="shared" si="1041"/>
        <v>15.317100275070739</v>
      </c>
      <c r="CY114" s="21">
        <f t="shared" si="1041"/>
        <v>15.421492053570809</v>
      </c>
      <c r="CZ114" s="21">
        <f t="shared" si="1041"/>
        <v>15.464894496319934</v>
      </c>
      <c r="DA114" s="21">
        <f t="shared" si="1041"/>
        <v>15.481697945825815</v>
      </c>
      <c r="DB114" s="21">
        <f t="shared" si="1041"/>
        <v>15.509635866112223</v>
      </c>
      <c r="DE114" s="22"/>
      <c r="DF114" s="162">
        <v>22.380768416596077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0</v>
      </c>
      <c r="J117" s="23">
        <f>'Annual Raw'!K41</f>
        <v>0</v>
      </c>
      <c r="K117" s="23">
        <f>'Annual Raw'!L41</f>
        <v>0</v>
      </c>
      <c r="L117" s="23">
        <f>'Annual Raw'!M41</f>
        <v>0</v>
      </c>
      <c r="M117" s="23">
        <f>'Annual Raw'!N41</f>
        <v>0</v>
      </c>
      <c r="N117" s="23">
        <f>'Annual Raw'!O41</f>
        <v>0.05</v>
      </c>
      <c r="O117" s="23">
        <f>'Annual Raw'!P41</f>
        <v>502.5</v>
      </c>
      <c r="P117" s="23">
        <f>'Annual Raw'!Q41</f>
        <v>1050</v>
      </c>
      <c r="Q117" s="23">
        <f>'Annual Raw'!R41</f>
        <v>1050</v>
      </c>
      <c r="R117" s="23">
        <f>'Annual Raw'!S41</f>
        <v>20.3</v>
      </c>
      <c r="S117" s="23">
        <f>'Annual Raw'!T41</f>
        <v>20.5</v>
      </c>
      <c r="T117" s="23">
        <f>'Annual Raw'!U41</f>
        <v>20.8</v>
      </c>
      <c r="U117" s="23">
        <f>'Annual Raw'!V41</f>
        <v>20.9</v>
      </c>
      <c r="V117" s="23">
        <f>'Annual Raw'!W41</f>
        <v>21</v>
      </c>
      <c r="W117" s="23">
        <f>'Annual Raw'!X41</f>
        <v>21.1</v>
      </c>
      <c r="X117" s="23">
        <f>'Annual Raw'!Y41</f>
        <v>21.1</v>
      </c>
      <c r="Y117" s="23">
        <f>'Annual Raw'!Z41</f>
        <v>21.2</v>
      </c>
      <c r="Z117" s="23">
        <f>'Annual Raw'!AA41</f>
        <v>21.2</v>
      </c>
      <c r="AA117" s="23">
        <f>'Annual Raw'!AB41</f>
        <v>21.2</v>
      </c>
      <c r="AB117" s="24">
        <f>+CP117</f>
        <v>21.2</v>
      </c>
      <c r="AC117" s="24">
        <f>+CT117</f>
        <v>21.2</v>
      </c>
      <c r="AD117" s="24">
        <f>+CX117</f>
        <v>21.2</v>
      </c>
      <c r="AE117" s="24">
        <f>+DB117</f>
        <v>21.2</v>
      </c>
      <c r="AJ117" s="23">
        <f>+'QTR Raw'!D56</f>
        <v>0</v>
      </c>
      <c r="AK117" s="23">
        <f t="shared" ref="AK117:CE117" si="1042">+AJ117</f>
        <v>0</v>
      </c>
      <c r="AL117" s="23">
        <f>+'QTR Raw'!F56</f>
        <v>0</v>
      </c>
      <c r="AM117" s="23">
        <f t="shared" si="1042"/>
        <v>0</v>
      </c>
      <c r="AN117" s="23">
        <f>+'QTR Raw'!H56</f>
        <v>0</v>
      </c>
      <c r="AO117" s="23">
        <f t="shared" si="1042"/>
        <v>0</v>
      </c>
      <c r="AP117" s="23">
        <f>+'QTR Raw'!J56</f>
        <v>0</v>
      </c>
      <c r="AQ117" s="23">
        <f t="shared" si="1042"/>
        <v>0</v>
      </c>
      <c r="AR117" s="23">
        <f>+'QTR Raw'!L56</f>
        <v>0</v>
      </c>
      <c r="AS117" s="23">
        <f t="shared" si="1042"/>
        <v>0</v>
      </c>
      <c r="AT117" s="23">
        <f>+'QTR Raw'!N56</f>
        <v>0</v>
      </c>
      <c r="AU117" s="23">
        <f t="shared" si="1042"/>
        <v>0</v>
      </c>
      <c r="AV117" s="23">
        <f>+'QTR Raw'!P56</f>
        <v>0</v>
      </c>
      <c r="AW117" s="23">
        <f t="shared" si="1042"/>
        <v>0</v>
      </c>
      <c r="AX117" s="23">
        <f>+'QTR Raw'!R56</f>
        <v>300</v>
      </c>
      <c r="AY117" s="23">
        <f t="shared" si="1042"/>
        <v>300</v>
      </c>
      <c r="AZ117" s="23">
        <f>+'QTR Raw'!T56</f>
        <v>20.3</v>
      </c>
      <c r="BA117" s="23">
        <f t="shared" si="1042"/>
        <v>20.3</v>
      </c>
      <c r="BB117" s="23">
        <f>+'QTR Raw'!V56</f>
        <v>20.3</v>
      </c>
      <c r="BC117" s="23">
        <f t="shared" si="1042"/>
        <v>20.3</v>
      </c>
      <c r="BD117" s="23">
        <f>+'QTR Raw'!X56</f>
        <v>20.399999999999999</v>
      </c>
      <c r="BE117" s="23">
        <f t="shared" si="1042"/>
        <v>20.399999999999999</v>
      </c>
      <c r="BF117" s="23">
        <f>+'QTR Raw'!Z56</f>
        <v>20.5</v>
      </c>
      <c r="BG117" s="23">
        <f t="shared" si="1042"/>
        <v>20.5</v>
      </c>
      <c r="BH117" s="23">
        <f>+'QTR Raw'!AB56</f>
        <v>20.7</v>
      </c>
      <c r="BI117" s="23">
        <f t="shared" si="1042"/>
        <v>20.7</v>
      </c>
      <c r="BJ117" s="23">
        <f>+'QTR Raw'!AD56</f>
        <v>20.8</v>
      </c>
      <c r="BK117" s="23">
        <f t="shared" si="1042"/>
        <v>20.8</v>
      </c>
      <c r="BL117" s="23">
        <f>+'QTR Raw'!AF56</f>
        <v>20.8</v>
      </c>
      <c r="BM117" s="23">
        <f t="shared" si="1042"/>
        <v>20.8</v>
      </c>
      <c r="BN117" s="23">
        <f>+'QTR Raw'!AH56</f>
        <v>20.9</v>
      </c>
      <c r="BO117" s="23">
        <f t="shared" si="1042"/>
        <v>20.9</v>
      </c>
      <c r="BP117" s="23">
        <f>+'QTR Raw'!AJ56</f>
        <v>21</v>
      </c>
      <c r="BQ117" s="23">
        <f t="shared" si="1042"/>
        <v>21</v>
      </c>
      <c r="BR117" s="23">
        <f>+'QTR Raw'!AL56</f>
        <v>21</v>
      </c>
      <c r="BS117" s="23">
        <f t="shared" si="1042"/>
        <v>21</v>
      </c>
      <c r="BT117" s="23">
        <f>+'QTR Raw'!AN56</f>
        <v>21</v>
      </c>
      <c r="BU117" s="23">
        <f t="shared" si="1042"/>
        <v>21</v>
      </c>
      <c r="BV117" s="23">
        <f>+'QTR Raw'!AP56</f>
        <v>21.1</v>
      </c>
      <c r="BW117" s="23">
        <f t="shared" si="1042"/>
        <v>21.1</v>
      </c>
      <c r="BX117" s="23">
        <f>+'QTR Raw'!AR56</f>
        <v>21.1</v>
      </c>
      <c r="BY117" s="23">
        <f t="shared" si="1042"/>
        <v>21.1</v>
      </c>
      <c r="BZ117" s="23">
        <f>+'QTR Raw'!AT56</f>
        <v>21.1</v>
      </c>
      <c r="CA117" s="23">
        <f t="shared" si="1042"/>
        <v>21.1</v>
      </c>
      <c r="CB117" s="23">
        <f>+'QTR Raw'!AV56</f>
        <v>21.1</v>
      </c>
      <c r="CC117" s="23">
        <f t="shared" si="1042"/>
        <v>21.1</v>
      </c>
      <c r="CD117" s="23">
        <f>+'QTR Raw'!AX56</f>
        <v>21.2</v>
      </c>
      <c r="CE117" s="23">
        <f t="shared" si="1042"/>
        <v>21.2</v>
      </c>
      <c r="CF117" s="23">
        <f>+'QTR Raw'!AZ56</f>
        <v>21.2</v>
      </c>
      <c r="CG117" s="23">
        <f t="shared" ref="CG117:CG118" si="1043">+CF117</f>
        <v>21.2</v>
      </c>
      <c r="CH117" s="23">
        <f>Z117</f>
        <v>21.2</v>
      </c>
      <c r="CI117" s="23">
        <f>CH117</f>
        <v>21.2</v>
      </c>
      <c r="CJ117" s="23">
        <f>+'QTR Raw'!BD56</f>
        <v>21.2</v>
      </c>
      <c r="CK117" s="23">
        <f t="shared" ref="CK117:DB117" si="1044">CJ117</f>
        <v>21.2</v>
      </c>
      <c r="CL117" s="23">
        <f>+'QTR Raw'!BF56</f>
        <v>21.2</v>
      </c>
      <c r="CM117" s="24">
        <f t="shared" si="1044"/>
        <v>21.2</v>
      </c>
      <c r="CN117" s="24">
        <f t="shared" si="1044"/>
        <v>21.2</v>
      </c>
      <c r="CO117" s="24">
        <f t="shared" si="1044"/>
        <v>21.2</v>
      </c>
      <c r="CP117" s="24">
        <f t="shared" si="1044"/>
        <v>21.2</v>
      </c>
      <c r="CQ117" s="24">
        <f t="shared" si="1044"/>
        <v>21.2</v>
      </c>
      <c r="CR117" s="24">
        <f t="shared" si="1044"/>
        <v>21.2</v>
      </c>
      <c r="CS117" s="24">
        <f t="shared" si="1044"/>
        <v>21.2</v>
      </c>
      <c r="CT117" s="24">
        <f t="shared" si="1044"/>
        <v>21.2</v>
      </c>
      <c r="CU117" s="24">
        <f t="shared" si="1044"/>
        <v>21.2</v>
      </c>
      <c r="CV117" s="24">
        <f t="shared" si="1044"/>
        <v>21.2</v>
      </c>
      <c r="CW117" s="24">
        <f t="shared" si="1044"/>
        <v>21.2</v>
      </c>
      <c r="CX117" s="24">
        <f t="shared" si="1044"/>
        <v>21.2</v>
      </c>
      <c r="CY117" s="24">
        <f t="shared" si="1044"/>
        <v>21.2</v>
      </c>
      <c r="CZ117" s="24">
        <f t="shared" si="1044"/>
        <v>21.2</v>
      </c>
      <c r="DA117" s="24">
        <f t="shared" si="1044"/>
        <v>21.2</v>
      </c>
      <c r="DB117" s="24">
        <f t="shared" si="1044"/>
        <v>21.2</v>
      </c>
      <c r="DE117" s="123"/>
      <c r="DF117" s="23">
        <v>21.2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0.22</v>
      </c>
      <c r="P118" s="23">
        <f>'Annual Raw'!Q42</f>
        <v>0</v>
      </c>
      <c r="Q118" s="23">
        <f>'Annual Raw'!R42</f>
        <v>0</v>
      </c>
      <c r="R118" s="23">
        <f>'Annual Raw'!S42</f>
        <v>31</v>
      </c>
      <c r="S118" s="23">
        <f>'Annual Raw'!T42</f>
        <v>53.8</v>
      </c>
      <c r="T118" s="23">
        <f>'Annual Raw'!U42</f>
        <v>34.4</v>
      </c>
      <c r="U118" s="23">
        <f>'Annual Raw'!V42</f>
        <v>35.4</v>
      </c>
      <c r="V118" s="23">
        <f>'Annual Raw'!W42</f>
        <v>29.7</v>
      </c>
      <c r="W118" s="23">
        <f>'Annual Raw'!X42</f>
        <v>18.7</v>
      </c>
      <c r="X118" s="23">
        <f>'Annual Raw'!Y42</f>
        <v>93.8</v>
      </c>
      <c r="Y118" s="23">
        <f>'Annual Raw'!Z42</f>
        <v>96.1</v>
      </c>
      <c r="Z118" s="23">
        <f>'Annual Raw'!AA42</f>
        <v>91.7</v>
      </c>
      <c r="AA118" s="23">
        <f>'Annual Raw'!AB42</f>
        <v>61.1</v>
      </c>
      <c r="AB118" s="24">
        <f t="shared" ref="AB118:AB119" si="1045">+CP118</f>
        <v>0</v>
      </c>
      <c r="AC118" s="24">
        <f t="shared" ref="AC118:AC119" si="1046">+CT118</f>
        <v>0</v>
      </c>
      <c r="AD118" s="24">
        <f t="shared" ref="AD118:AD119" si="1047">+CX118</f>
        <v>0</v>
      </c>
      <c r="AE118" s="24">
        <f t="shared" ref="AE118:AE119" si="1048">+DB118</f>
        <v>0</v>
      </c>
      <c r="AJ118" s="23">
        <f>+'QTR Raw'!D57</f>
        <v>0</v>
      </c>
      <c r="AK118" s="23">
        <f t="shared" ref="AK118:CE118" si="1049">+AJ118</f>
        <v>0</v>
      </c>
      <c r="AL118" s="23">
        <f>+'QTR Raw'!F57</f>
        <v>0</v>
      </c>
      <c r="AM118" s="23">
        <f t="shared" si="1049"/>
        <v>0</v>
      </c>
      <c r="AN118" s="23">
        <f>+'QTR Raw'!H57</f>
        <v>0</v>
      </c>
      <c r="AO118" s="23">
        <f t="shared" si="1049"/>
        <v>0</v>
      </c>
      <c r="AP118" s="23">
        <f>+'QTR Raw'!J57</f>
        <v>0</v>
      </c>
      <c r="AQ118" s="23">
        <f t="shared" si="1049"/>
        <v>0</v>
      </c>
      <c r="AR118" s="23">
        <f>+'QTR Raw'!L57</f>
        <v>0</v>
      </c>
      <c r="AS118" s="23">
        <f t="shared" si="1049"/>
        <v>0</v>
      </c>
      <c r="AT118" s="23">
        <f>+'QTR Raw'!N57</f>
        <v>0</v>
      </c>
      <c r="AU118" s="23">
        <f t="shared" si="1049"/>
        <v>0</v>
      </c>
      <c r="AV118" s="23">
        <f>+'QTR Raw'!P57</f>
        <v>0</v>
      </c>
      <c r="AW118" s="23">
        <f t="shared" si="1049"/>
        <v>0</v>
      </c>
      <c r="AX118" s="23">
        <f>+'QTR Raw'!R57</f>
        <v>0</v>
      </c>
      <c r="AY118" s="23">
        <f t="shared" si="1049"/>
        <v>0</v>
      </c>
      <c r="AZ118" s="23">
        <f>+'QTR Raw'!T57</f>
        <v>0</v>
      </c>
      <c r="BA118" s="23">
        <f t="shared" si="1049"/>
        <v>0</v>
      </c>
      <c r="BB118" s="23">
        <f>+'QTR Raw'!V57</f>
        <v>0</v>
      </c>
      <c r="BC118" s="23">
        <f t="shared" si="1049"/>
        <v>0</v>
      </c>
      <c r="BD118" s="23">
        <f>+'QTR Raw'!X57</f>
        <v>0</v>
      </c>
      <c r="BE118" s="23">
        <f t="shared" si="1049"/>
        <v>0</v>
      </c>
      <c r="BF118" s="23">
        <f>+'QTR Raw'!Z57</f>
        <v>0</v>
      </c>
      <c r="BG118" s="23">
        <f t="shared" si="1049"/>
        <v>0</v>
      </c>
      <c r="BH118" s="23">
        <f>+'QTR Raw'!AB57</f>
        <v>0</v>
      </c>
      <c r="BI118" s="23">
        <f t="shared" si="1049"/>
        <v>0</v>
      </c>
      <c r="BJ118" s="23">
        <f>+'QTR Raw'!AD57</f>
        <v>0</v>
      </c>
      <c r="BK118" s="23">
        <f t="shared" si="1049"/>
        <v>0</v>
      </c>
      <c r="BL118" s="23">
        <f>+'QTR Raw'!AF57</f>
        <v>0</v>
      </c>
      <c r="BM118" s="23">
        <f t="shared" si="1049"/>
        <v>0</v>
      </c>
      <c r="BN118" s="23">
        <f>+'QTR Raw'!AH57</f>
        <v>0</v>
      </c>
      <c r="BO118" s="23">
        <f t="shared" si="1049"/>
        <v>0</v>
      </c>
      <c r="BP118" s="23">
        <f>+'QTR Raw'!AJ57</f>
        <v>0</v>
      </c>
      <c r="BQ118" s="23">
        <f t="shared" si="1049"/>
        <v>0</v>
      </c>
      <c r="BR118" s="23">
        <f>+'QTR Raw'!AL57</f>
        <v>0</v>
      </c>
      <c r="BS118" s="23">
        <f t="shared" si="1049"/>
        <v>0</v>
      </c>
      <c r="BT118" s="23">
        <f>+'QTR Raw'!AN57</f>
        <v>0</v>
      </c>
      <c r="BU118" s="23">
        <f t="shared" si="1049"/>
        <v>0</v>
      </c>
      <c r="BV118" s="23">
        <f>+'QTR Raw'!AP57</f>
        <v>0</v>
      </c>
      <c r="BW118" s="23">
        <f t="shared" si="1049"/>
        <v>0</v>
      </c>
      <c r="BX118" s="23">
        <f>+'QTR Raw'!AR57</f>
        <v>0</v>
      </c>
      <c r="BY118" s="23">
        <f t="shared" si="1049"/>
        <v>0</v>
      </c>
      <c r="BZ118" s="23">
        <f>+'QTR Raw'!AT57</f>
        <v>0</v>
      </c>
      <c r="CA118" s="23">
        <f t="shared" si="1049"/>
        <v>0</v>
      </c>
      <c r="CB118" s="23">
        <f>+'QTR Raw'!AV57</f>
        <v>0</v>
      </c>
      <c r="CC118" s="23">
        <f t="shared" si="1049"/>
        <v>0</v>
      </c>
      <c r="CD118" s="23">
        <f>+'QTR Raw'!AX57</f>
        <v>0</v>
      </c>
      <c r="CE118" s="23">
        <f t="shared" si="1049"/>
        <v>0</v>
      </c>
      <c r="CF118" s="23">
        <f>+'QTR Raw'!AZ57</f>
        <v>0</v>
      </c>
      <c r="CG118" s="23">
        <f t="shared" si="1043"/>
        <v>0</v>
      </c>
      <c r="CH118" s="23">
        <f t="shared" ref="CH118:CH119" si="1050">Z118</f>
        <v>91.7</v>
      </c>
      <c r="CI118" s="23">
        <f>CH118</f>
        <v>91.7</v>
      </c>
      <c r="CJ118" s="23">
        <f>+'QTR Raw'!BD57</f>
        <v>0</v>
      </c>
      <c r="CK118" s="23">
        <f t="shared" ref="CK118:DB118" si="1051">CJ118</f>
        <v>0</v>
      </c>
      <c r="CL118" s="23">
        <f>+'QTR Raw'!BF57</f>
        <v>0</v>
      </c>
      <c r="CM118" s="24">
        <f t="shared" si="1051"/>
        <v>0</v>
      </c>
      <c r="CN118" s="24">
        <f t="shared" si="1051"/>
        <v>0</v>
      </c>
      <c r="CO118" s="24">
        <f t="shared" si="1051"/>
        <v>0</v>
      </c>
      <c r="CP118" s="24">
        <f t="shared" si="1051"/>
        <v>0</v>
      </c>
      <c r="CQ118" s="24">
        <f t="shared" si="1051"/>
        <v>0</v>
      </c>
      <c r="CR118" s="24">
        <f t="shared" si="1051"/>
        <v>0</v>
      </c>
      <c r="CS118" s="24">
        <f t="shared" si="1051"/>
        <v>0</v>
      </c>
      <c r="CT118" s="24">
        <f t="shared" si="1051"/>
        <v>0</v>
      </c>
      <c r="CU118" s="24">
        <f t="shared" si="1051"/>
        <v>0</v>
      </c>
      <c r="CV118" s="24">
        <f t="shared" si="1051"/>
        <v>0</v>
      </c>
      <c r="CW118" s="24">
        <f t="shared" si="1051"/>
        <v>0</v>
      </c>
      <c r="CX118" s="24">
        <f t="shared" si="1051"/>
        <v>0</v>
      </c>
      <c r="CY118" s="24">
        <f t="shared" si="1051"/>
        <v>0</v>
      </c>
      <c r="CZ118" s="24">
        <f t="shared" si="1051"/>
        <v>0</v>
      </c>
      <c r="DA118" s="24">
        <f t="shared" si="1051"/>
        <v>0</v>
      </c>
      <c r="DB118" s="24">
        <f t="shared" si="1051"/>
        <v>0</v>
      </c>
      <c r="DE118" s="123"/>
      <c r="DF118" s="23">
        <v>61.1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0</v>
      </c>
      <c r="J119" s="23">
        <f>'Annual Raw'!K43</f>
        <v>0</v>
      </c>
      <c r="K119" s="23">
        <f>'Annual Raw'!L43</f>
        <v>0</v>
      </c>
      <c r="L119" s="23">
        <f>'Annual Raw'!M43</f>
        <v>0</v>
      </c>
      <c r="M119" s="23">
        <f>'Annual Raw'!N43</f>
        <v>0</v>
      </c>
      <c r="N119" s="23">
        <f>'Annual Raw'!O43</f>
        <v>-3.0000000000000001E-3</v>
      </c>
      <c r="O119" s="23">
        <f>'Annual Raw'!P43</f>
        <v>-17.815999999999999</v>
      </c>
      <c r="P119" s="23">
        <f>'Annual Raw'!Q43</f>
        <v>2.113</v>
      </c>
      <c r="Q119" s="23">
        <f>'Annual Raw'!R43</f>
        <v>16.100000000000001</v>
      </c>
      <c r="R119" s="23">
        <f>'Annual Raw'!S43</f>
        <v>1434.3</v>
      </c>
      <c r="S119" s="23">
        <f>'Annual Raw'!T43</f>
        <v>1862.1</v>
      </c>
      <c r="T119" s="23">
        <f>'Annual Raw'!U43</f>
        <v>2423.9</v>
      </c>
      <c r="U119" s="23">
        <f>'Annual Raw'!V43</f>
        <v>2712.3</v>
      </c>
      <c r="V119" s="23">
        <f>'Annual Raw'!W43</f>
        <v>3422.4</v>
      </c>
      <c r="W119" s="23">
        <f>'Annual Raw'!X43</f>
        <v>4122.7</v>
      </c>
      <c r="X119" s="23">
        <f>'Annual Raw'!Y43</f>
        <v>4320</v>
      </c>
      <c r="Y119" s="23">
        <f>'Annual Raw'!Z43</f>
        <v>5209.8</v>
      </c>
      <c r="Z119" s="23">
        <f>'Annual Raw'!AA43</f>
        <v>5967.1</v>
      </c>
      <c r="AA119" s="23">
        <f>'Annual Raw'!AB43</f>
        <v>6390.4</v>
      </c>
      <c r="AB119" s="24">
        <f t="shared" si="1045"/>
        <v>8005.5441980247724</v>
      </c>
      <c r="AC119" s="24">
        <f t="shared" si="1046"/>
        <v>9784.5879953407239</v>
      </c>
      <c r="AD119" s="24">
        <f t="shared" si="1047"/>
        <v>11794.114710585032</v>
      </c>
      <c r="AE119" s="24">
        <f t="shared" si="1048"/>
        <v>14049.044722638984</v>
      </c>
      <c r="AJ119" s="23">
        <f>+'QTR Raw'!D58</f>
        <v>0</v>
      </c>
      <c r="AK119" s="23">
        <f>+AJ119+AK48</f>
        <v>0</v>
      </c>
      <c r="AL119" s="23">
        <f>+'QTR Raw'!F58</f>
        <v>0</v>
      </c>
      <c r="AM119" s="23">
        <f>+AL119+AM48</f>
        <v>0</v>
      </c>
      <c r="AN119" s="23">
        <f>+'QTR Raw'!H58</f>
        <v>0</v>
      </c>
      <c r="AO119" s="23">
        <f>+AN119+AO48</f>
        <v>0</v>
      </c>
      <c r="AP119" s="23">
        <f>+'QTR Raw'!J58</f>
        <v>0</v>
      </c>
      <c r="AQ119" s="23">
        <f>+AP119+AQ48</f>
        <v>0</v>
      </c>
      <c r="AR119" s="23">
        <f>+'QTR Raw'!L58</f>
        <v>0</v>
      </c>
      <c r="AS119" s="23">
        <f>+AR119+AS48</f>
        <v>0</v>
      </c>
      <c r="AT119" s="23">
        <f>+'QTR Raw'!N58</f>
        <v>0</v>
      </c>
      <c r="AU119" s="23">
        <f>+AT119+AU48</f>
        <v>0</v>
      </c>
      <c r="AV119" s="23">
        <f>+'QTR Raw'!P58</f>
        <v>0</v>
      </c>
      <c r="AW119" s="23">
        <f>+AV119+AW48</f>
        <v>130.80000000000004</v>
      </c>
      <c r="AX119" s="23">
        <f>+'QTR Raw'!R58</f>
        <v>766.1</v>
      </c>
      <c r="AY119" s="23">
        <f>+AX119+AY48</f>
        <v>874.4</v>
      </c>
      <c r="AZ119" s="23">
        <f>+'QTR Raw'!T58</f>
        <v>1198.2</v>
      </c>
      <c r="BA119" s="23">
        <f>+AZ119+BA48</f>
        <v>1306.8999999999999</v>
      </c>
      <c r="BB119" s="23">
        <f>+'QTR Raw'!V58</f>
        <v>1465.3</v>
      </c>
      <c r="BC119" s="23">
        <f>+BB119+BC48</f>
        <v>1563.5</v>
      </c>
      <c r="BD119" s="23">
        <f>+'QTR Raw'!X58</f>
        <v>1673.2</v>
      </c>
      <c r="BE119" s="23">
        <f>+BD119+BE48</f>
        <v>1799.5</v>
      </c>
      <c r="BF119" s="23">
        <f>+'QTR Raw'!Z58</f>
        <v>1915.9</v>
      </c>
      <c r="BG119" s="23">
        <f>+BF119+BG48</f>
        <v>2113.4</v>
      </c>
      <c r="BH119" s="23">
        <f>+'QTR Raw'!AB58</f>
        <v>1972.8</v>
      </c>
      <c r="BI119" s="23">
        <f>+BH119+BI48</f>
        <v>2158.4</v>
      </c>
      <c r="BJ119" s="23">
        <f>+'QTR Raw'!AD58</f>
        <v>2458.3000000000002</v>
      </c>
      <c r="BK119" s="23">
        <f>+BJ119+BK48</f>
        <v>2662.2000000000003</v>
      </c>
      <c r="BL119" s="23">
        <f>+'QTR Raw'!AF58</f>
        <v>2613.8000000000002</v>
      </c>
      <c r="BM119" s="23">
        <f>+BL119+BM48</f>
        <v>2817.9000000000005</v>
      </c>
      <c r="BN119" s="23">
        <f>+'QTR Raw'!AH58</f>
        <v>2747.7</v>
      </c>
      <c r="BO119" s="23">
        <f>+BN119+BO48</f>
        <v>2864.9</v>
      </c>
      <c r="BP119" s="23">
        <f>+'QTR Raw'!AJ58</f>
        <v>3075.9</v>
      </c>
      <c r="BQ119" s="23">
        <f>+BP119+BQ48</f>
        <v>3262</v>
      </c>
      <c r="BR119" s="23">
        <f>+'QTR Raw'!AL58</f>
        <v>3452.1</v>
      </c>
      <c r="BS119" s="23">
        <f>+BR119+BS48</f>
        <v>3668.3</v>
      </c>
      <c r="BT119" s="23">
        <f>+'QTR Raw'!AN58</f>
        <v>3791.8</v>
      </c>
      <c r="BU119" s="23">
        <f>+BT119+BU48</f>
        <v>4040.6000000000004</v>
      </c>
      <c r="BV119" s="23">
        <f>+'QTR Raw'!AP58</f>
        <v>4141.3999999999996</v>
      </c>
      <c r="BW119" s="23">
        <f>+BV119+BW48</f>
        <v>4416.7999999999993</v>
      </c>
      <c r="BX119" s="23">
        <f>+'QTR Raw'!AR58</f>
        <v>4431.2</v>
      </c>
      <c r="BY119" s="23">
        <f>+BX119+BY48</f>
        <v>4728</v>
      </c>
      <c r="BZ119" s="23">
        <f>+'QTR Raw'!AT58</f>
        <v>4413.8</v>
      </c>
      <c r="CA119" s="23">
        <f>+BZ119+CA48</f>
        <v>4724.9000000000005</v>
      </c>
      <c r="CB119" s="23">
        <f>+'QTR Raw'!AV58</f>
        <v>4767.8999999999996</v>
      </c>
      <c r="CC119" s="23">
        <f>+CB119+CC48</f>
        <v>5104.0999999999995</v>
      </c>
      <c r="CD119" s="23">
        <f>+'QTR Raw'!AX58</f>
        <v>5305.9</v>
      </c>
      <c r="CE119" s="23">
        <f>+CD119+CE48</f>
        <v>5619.5</v>
      </c>
      <c r="CF119" s="23">
        <f>+'QTR Raw'!AZ58</f>
        <v>5598.4</v>
      </c>
      <c r="CG119" s="23">
        <f>+CF119+CG48</f>
        <v>5920.7999999999993</v>
      </c>
      <c r="CH119" s="23">
        <f t="shared" si="1050"/>
        <v>5967.1</v>
      </c>
      <c r="CI119" s="23">
        <f>CH119+CI48</f>
        <v>6282.8</v>
      </c>
      <c r="CJ119" s="23">
        <f>+'QTR Raw'!BD58</f>
        <v>6167.8</v>
      </c>
      <c r="CK119" s="23">
        <f t="shared" ref="CK119:DB119" si="1052">CJ119+CK48</f>
        <v>6470.4000000000005</v>
      </c>
      <c r="CL119" s="23">
        <f>+'QTR Raw'!BF58</f>
        <v>6451.5</v>
      </c>
      <c r="CM119" s="24">
        <f t="shared" si="1052"/>
        <v>6835.0399158657528</v>
      </c>
      <c r="CN119" s="24">
        <f t="shared" si="1052"/>
        <v>7227.3494605870483</v>
      </c>
      <c r="CO119" s="24">
        <f t="shared" si="1052"/>
        <v>7619.1446227072602</v>
      </c>
      <c r="CP119" s="24">
        <f t="shared" si="1052"/>
        <v>8005.5441980247724</v>
      </c>
      <c r="CQ119" s="24">
        <f t="shared" si="1052"/>
        <v>8446.8697664941337</v>
      </c>
      <c r="CR119" s="24">
        <f t="shared" si="1052"/>
        <v>8901.8043143121959</v>
      </c>
      <c r="CS119" s="24">
        <f t="shared" si="1052"/>
        <v>9346.7137683432957</v>
      </c>
      <c r="CT119" s="24">
        <f t="shared" si="1052"/>
        <v>9784.5879953407239</v>
      </c>
      <c r="CU119" s="24">
        <f t="shared" si="1052"/>
        <v>10284.597731739981</v>
      </c>
      <c r="CV119" s="24">
        <f t="shared" si="1052"/>
        <v>10798.742082175046</v>
      </c>
      <c r="CW119" s="24">
        <f t="shared" si="1052"/>
        <v>11300.163445554321</v>
      </c>
      <c r="CX119" s="24">
        <f t="shared" si="1052"/>
        <v>11794.114710585032</v>
      </c>
      <c r="CY119" s="24">
        <f t="shared" si="1052"/>
        <v>12355.610195066109</v>
      </c>
      <c r="CZ119" s="24">
        <f t="shared" si="1052"/>
        <v>12932.063867223291</v>
      </c>
      <c r="DA119" s="24">
        <f t="shared" si="1052"/>
        <v>13494.514193117502</v>
      </c>
      <c r="DB119" s="24">
        <f t="shared" si="1052"/>
        <v>14049.044722638984</v>
      </c>
      <c r="DE119" s="123"/>
      <c r="DF119" s="23">
        <v>6390.4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53">C117+C118+C119</f>
        <v>0</v>
      </c>
      <c r="D120" s="22">
        <f t="shared" si="1053"/>
        <v>0</v>
      </c>
      <c r="E120" s="22">
        <f t="shared" si="1053"/>
        <v>0</v>
      </c>
      <c r="F120" s="22">
        <f t="shared" si="1053"/>
        <v>0</v>
      </c>
      <c r="G120" s="22">
        <f t="shared" si="1053"/>
        <v>0</v>
      </c>
      <c r="H120" s="22">
        <f t="shared" si="1053"/>
        <v>0</v>
      </c>
      <c r="I120" s="22">
        <f t="shared" si="1053"/>
        <v>0</v>
      </c>
      <c r="J120" s="22">
        <f t="shared" si="1053"/>
        <v>0</v>
      </c>
      <c r="K120" s="22">
        <f t="shared" si="1053"/>
        <v>0</v>
      </c>
      <c r="L120" s="22">
        <f t="shared" si="1053"/>
        <v>0</v>
      </c>
      <c r="M120" s="22">
        <f>M117+M118+M119</f>
        <v>0</v>
      </c>
      <c r="N120" s="22">
        <f t="shared" si="1053"/>
        <v>4.7E-2</v>
      </c>
      <c r="O120" s="22">
        <f t="shared" si="1053"/>
        <v>484.90400000000005</v>
      </c>
      <c r="P120" s="22">
        <f t="shared" si="1053"/>
        <v>1052.1130000000001</v>
      </c>
      <c r="Q120" s="22">
        <f t="shared" si="1053"/>
        <v>1066.0999999999999</v>
      </c>
      <c r="R120" s="22">
        <f t="shared" si="1053"/>
        <v>1485.6</v>
      </c>
      <c r="S120" s="22">
        <f t="shared" si="1053"/>
        <v>1936.3999999999999</v>
      </c>
      <c r="T120" s="22">
        <f t="shared" si="1053"/>
        <v>2479.1</v>
      </c>
      <c r="U120" s="22">
        <f t="shared" si="1053"/>
        <v>2768.6000000000004</v>
      </c>
      <c r="V120" s="22">
        <f t="shared" si="1053"/>
        <v>3473.1</v>
      </c>
      <c r="W120" s="22">
        <f t="shared" ref="W120" si="1054">W117+W118+W119</f>
        <v>4162.5</v>
      </c>
      <c r="X120" s="22">
        <f t="shared" ref="X120:Y120" si="1055">X117+X118+X119</f>
        <v>4434.8999999999996</v>
      </c>
      <c r="Y120" s="22">
        <f t="shared" si="1055"/>
        <v>5327.1</v>
      </c>
      <c r="Z120" s="22">
        <f t="shared" ref="Z120:AA120" si="1056">Z117+Z118+Z119</f>
        <v>6080</v>
      </c>
      <c r="AA120" s="22">
        <f t="shared" si="1056"/>
        <v>6472.7</v>
      </c>
      <c r="AB120" s="21">
        <f t="shared" ref="AB120:AD120" si="1057">AB117+AB118+AB119</f>
        <v>8026.7441980247722</v>
      </c>
      <c r="AC120" s="21">
        <f t="shared" si="1057"/>
        <v>9805.7879953407246</v>
      </c>
      <c r="AD120" s="21">
        <f t="shared" si="1057"/>
        <v>11815.314710585033</v>
      </c>
      <c r="AE120" s="21">
        <f t="shared" ref="AE120" si="1058">AE117+AE118+AE119</f>
        <v>14070.244722638985</v>
      </c>
      <c r="AJ120" s="22">
        <f t="shared" ref="AJ120" si="1059">AJ117+AJ118+AJ119</f>
        <v>0</v>
      </c>
      <c r="AK120" s="22">
        <f t="shared" ref="AK120" si="1060">AK117+AK118+AK119</f>
        <v>0</v>
      </c>
      <c r="AL120" s="22">
        <f t="shared" ref="AL120:AM120" si="1061">AL117+AL118+AL119</f>
        <v>0</v>
      </c>
      <c r="AM120" s="22">
        <f t="shared" si="1061"/>
        <v>0</v>
      </c>
      <c r="AN120" s="22">
        <f t="shared" ref="AN120:AO120" si="1062">AN117+AN118+AN119</f>
        <v>0</v>
      </c>
      <c r="AO120" s="22">
        <f t="shared" si="1062"/>
        <v>0</v>
      </c>
      <c r="AP120" s="22">
        <f t="shared" ref="AP120:CE120" si="1063">AP117+AP118+AP119</f>
        <v>0</v>
      </c>
      <c r="AQ120" s="22">
        <f t="shared" si="1063"/>
        <v>0</v>
      </c>
      <c r="AR120" s="22">
        <f t="shared" si="1063"/>
        <v>0</v>
      </c>
      <c r="AS120" s="22">
        <f t="shared" si="1063"/>
        <v>0</v>
      </c>
      <c r="AT120" s="22">
        <f t="shared" si="1063"/>
        <v>0</v>
      </c>
      <c r="AU120" s="22">
        <f t="shared" si="1063"/>
        <v>0</v>
      </c>
      <c r="AV120" s="22">
        <f t="shared" si="1063"/>
        <v>0</v>
      </c>
      <c r="AW120" s="22">
        <f t="shared" si="1063"/>
        <v>130.80000000000004</v>
      </c>
      <c r="AX120" s="22">
        <f t="shared" si="1063"/>
        <v>1066.0999999999999</v>
      </c>
      <c r="AY120" s="22">
        <f t="shared" si="1063"/>
        <v>1174.4000000000001</v>
      </c>
      <c r="AZ120" s="22">
        <f t="shared" si="1063"/>
        <v>1218.5</v>
      </c>
      <c r="BA120" s="22">
        <f t="shared" si="1063"/>
        <v>1327.1999999999998</v>
      </c>
      <c r="BB120" s="22">
        <f t="shared" si="1063"/>
        <v>1485.6</v>
      </c>
      <c r="BC120" s="22">
        <f t="shared" si="1063"/>
        <v>1583.8</v>
      </c>
      <c r="BD120" s="22">
        <f t="shared" si="1063"/>
        <v>1693.6000000000001</v>
      </c>
      <c r="BE120" s="22">
        <f t="shared" si="1063"/>
        <v>1819.9</v>
      </c>
      <c r="BF120" s="22">
        <f t="shared" si="1063"/>
        <v>1936.4</v>
      </c>
      <c r="BG120" s="22">
        <f t="shared" si="1063"/>
        <v>2133.9</v>
      </c>
      <c r="BH120" s="22">
        <f t="shared" si="1063"/>
        <v>1993.5</v>
      </c>
      <c r="BI120" s="22">
        <f t="shared" si="1063"/>
        <v>2179.1</v>
      </c>
      <c r="BJ120" s="22">
        <f t="shared" si="1063"/>
        <v>2479.1000000000004</v>
      </c>
      <c r="BK120" s="22">
        <f t="shared" si="1063"/>
        <v>2683.0000000000005</v>
      </c>
      <c r="BL120" s="22">
        <f t="shared" si="1063"/>
        <v>2634.6000000000004</v>
      </c>
      <c r="BM120" s="22">
        <f t="shared" si="1063"/>
        <v>2838.7000000000007</v>
      </c>
      <c r="BN120" s="22">
        <f t="shared" si="1063"/>
        <v>2768.6</v>
      </c>
      <c r="BO120" s="22">
        <f t="shared" si="1063"/>
        <v>2885.8</v>
      </c>
      <c r="BP120" s="22">
        <f t="shared" si="1063"/>
        <v>3096.9</v>
      </c>
      <c r="BQ120" s="22">
        <f t="shared" si="1063"/>
        <v>3283</v>
      </c>
      <c r="BR120" s="22">
        <f t="shared" si="1063"/>
        <v>3473.1</v>
      </c>
      <c r="BS120" s="22">
        <f t="shared" si="1063"/>
        <v>3689.3</v>
      </c>
      <c r="BT120" s="22">
        <f t="shared" si="1063"/>
        <v>3812.8</v>
      </c>
      <c r="BU120" s="22">
        <f t="shared" si="1063"/>
        <v>4061.6000000000004</v>
      </c>
      <c r="BV120" s="22">
        <f t="shared" si="1063"/>
        <v>4162.5</v>
      </c>
      <c r="BW120" s="22">
        <f t="shared" si="1063"/>
        <v>4437.8999999999996</v>
      </c>
      <c r="BX120" s="22">
        <f t="shared" si="1063"/>
        <v>4452.3</v>
      </c>
      <c r="BY120" s="22">
        <f t="shared" si="1063"/>
        <v>4749.1000000000004</v>
      </c>
      <c r="BZ120" s="22">
        <f t="shared" si="1063"/>
        <v>4434.9000000000005</v>
      </c>
      <c r="CA120" s="22">
        <f t="shared" si="1063"/>
        <v>4746.0000000000009</v>
      </c>
      <c r="CB120" s="22">
        <f t="shared" si="1063"/>
        <v>4789</v>
      </c>
      <c r="CC120" s="22">
        <f t="shared" si="1063"/>
        <v>5125.2</v>
      </c>
      <c r="CD120" s="22">
        <f t="shared" si="1063"/>
        <v>5327.0999999999995</v>
      </c>
      <c r="CE120" s="22">
        <f t="shared" si="1063"/>
        <v>5640.7</v>
      </c>
      <c r="CF120" s="22">
        <f t="shared" ref="CF120:CG120" si="1064">CF117+CF118+CF119</f>
        <v>5619.5999999999995</v>
      </c>
      <c r="CG120" s="22">
        <f t="shared" si="1064"/>
        <v>5941.9999999999991</v>
      </c>
      <c r="CH120" s="22">
        <f t="shared" ref="CH120:CI120" si="1065">CH117+CH118+CH119</f>
        <v>6080</v>
      </c>
      <c r="CI120" s="22">
        <f t="shared" si="1065"/>
        <v>6395.7</v>
      </c>
      <c r="CJ120" s="22">
        <f t="shared" ref="CJ120:DB120" si="1066">CJ117+CJ118+CJ119</f>
        <v>6189</v>
      </c>
      <c r="CK120" s="22">
        <f t="shared" si="1066"/>
        <v>6491.6</v>
      </c>
      <c r="CL120" s="22">
        <f t="shared" ref="CL120" si="1067">CL117+CL118+CL119</f>
        <v>6472.7</v>
      </c>
      <c r="CM120" s="21">
        <f t="shared" si="1066"/>
        <v>6856.2399158657527</v>
      </c>
      <c r="CN120" s="21">
        <f t="shared" si="1066"/>
        <v>7248.5494605870481</v>
      </c>
      <c r="CO120" s="21">
        <f t="shared" si="1066"/>
        <v>7640.34462270726</v>
      </c>
      <c r="CP120" s="21">
        <f t="shared" si="1066"/>
        <v>8026.7441980247722</v>
      </c>
      <c r="CQ120" s="21">
        <f t="shared" si="1066"/>
        <v>8468.0697664941345</v>
      </c>
      <c r="CR120" s="21">
        <f t="shared" si="1066"/>
        <v>8923.0043143121966</v>
      </c>
      <c r="CS120" s="21">
        <f t="shared" si="1066"/>
        <v>9367.9137683432964</v>
      </c>
      <c r="CT120" s="21">
        <f t="shared" si="1066"/>
        <v>9805.7879953407246</v>
      </c>
      <c r="CU120" s="21">
        <f t="shared" si="1066"/>
        <v>10305.797731739982</v>
      </c>
      <c r="CV120" s="21">
        <f t="shared" si="1066"/>
        <v>10819.942082175046</v>
      </c>
      <c r="CW120" s="21">
        <f t="shared" si="1066"/>
        <v>11321.363445554322</v>
      </c>
      <c r="CX120" s="21">
        <f t="shared" si="1066"/>
        <v>11815.314710585033</v>
      </c>
      <c r="CY120" s="21">
        <f t="shared" si="1066"/>
        <v>12376.810195066109</v>
      </c>
      <c r="CZ120" s="21">
        <f t="shared" si="1066"/>
        <v>12953.263867223292</v>
      </c>
      <c r="DA120" s="21">
        <f t="shared" si="1066"/>
        <v>13515.714193117503</v>
      </c>
      <c r="DB120" s="21">
        <f t="shared" si="1066"/>
        <v>14070.244722638985</v>
      </c>
      <c r="DE120" s="126"/>
      <c r="DF120" s="22">
        <v>6472.7</v>
      </c>
    </row>
    <row r="121" spans="1:110" s="22" customFormat="1" x14ac:dyDescent="0.2">
      <c r="AB121" s="21"/>
      <c r="AC121" s="21"/>
      <c r="AD121" s="21"/>
      <c r="AE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-0.5</v>
      </c>
      <c r="R122" s="23">
        <f>'Annual Raw'!S45</f>
        <v>-0.4</v>
      </c>
      <c r="S122" s="23">
        <f>'Annual Raw'!T45</f>
        <v>0.3</v>
      </c>
      <c r="T122" s="23">
        <f>'Annual Raw'!U45</f>
        <v>3.1</v>
      </c>
      <c r="U122" s="23">
        <f>'Annual Raw'!V45</f>
        <v>6.9</v>
      </c>
      <c r="V122" s="23">
        <f>'Annual Raw'!W45</f>
        <v>10.1</v>
      </c>
      <c r="W122" s="23">
        <f>'Annual Raw'!X45</f>
        <v>13.7</v>
      </c>
      <c r="X122" s="23">
        <f>'Annual Raw'!Y45</f>
        <v>18</v>
      </c>
      <c r="Y122" s="23">
        <f>'Annual Raw'!Z45</f>
        <v>20.7</v>
      </c>
      <c r="Z122" s="23">
        <f>'Annual Raw'!AA45</f>
        <v>17.5</v>
      </c>
      <c r="AA122" s="23">
        <f>'Annual Raw'!AB45</f>
        <v>19.5</v>
      </c>
      <c r="AB122" s="24">
        <f>+CP122</f>
        <v>19.5</v>
      </c>
      <c r="AC122" s="24">
        <f>+CT122</f>
        <v>19.5</v>
      </c>
      <c r="AD122" s="24">
        <f>+CX122</f>
        <v>19.5</v>
      </c>
      <c r="AE122" s="24">
        <f>+DB122</f>
        <v>19.5</v>
      </c>
      <c r="AJ122" s="23">
        <f>+'QTR Raw'!D60</f>
        <v>0</v>
      </c>
      <c r="AK122" s="23">
        <f t="shared" ref="AK122:CE122" si="1068">+AJ122</f>
        <v>0</v>
      </c>
      <c r="AL122" s="23">
        <f>+'QTR Raw'!F60</f>
        <v>0</v>
      </c>
      <c r="AM122" s="23">
        <f t="shared" si="1068"/>
        <v>0</v>
      </c>
      <c r="AN122" s="23">
        <f>+'QTR Raw'!H60</f>
        <v>0</v>
      </c>
      <c r="AO122" s="23">
        <f t="shared" si="1068"/>
        <v>0</v>
      </c>
      <c r="AP122" s="23">
        <f>+'QTR Raw'!J60</f>
        <v>0</v>
      </c>
      <c r="AQ122" s="23">
        <f t="shared" si="1068"/>
        <v>0</v>
      </c>
      <c r="AR122" s="23">
        <f>+'QTR Raw'!L60</f>
        <v>0</v>
      </c>
      <c r="AS122" s="23">
        <f t="shared" si="1068"/>
        <v>0</v>
      </c>
      <c r="AT122" s="23">
        <f>+'QTR Raw'!N60</f>
        <v>0</v>
      </c>
      <c r="AU122" s="23">
        <f t="shared" si="1068"/>
        <v>0</v>
      </c>
      <c r="AV122" s="23">
        <f>+'QTR Raw'!P60</f>
        <v>0</v>
      </c>
      <c r="AW122" s="23">
        <f t="shared" si="1068"/>
        <v>0</v>
      </c>
      <c r="AX122" s="23">
        <f>+'QTR Raw'!R60</f>
        <v>-0.5</v>
      </c>
      <c r="AY122" s="23">
        <f t="shared" si="1068"/>
        <v>-0.5</v>
      </c>
      <c r="AZ122" s="23">
        <f>+'QTR Raw'!T60</f>
        <v>-0.7</v>
      </c>
      <c r="BA122" s="23">
        <f t="shared" si="1068"/>
        <v>-0.7</v>
      </c>
      <c r="BB122" s="23">
        <f>+'QTR Raw'!V60</f>
        <v>-0.4</v>
      </c>
      <c r="BC122" s="23">
        <f t="shared" si="1068"/>
        <v>-0.4</v>
      </c>
      <c r="BD122" s="23">
        <f>+'QTR Raw'!X60</f>
        <v>-0.3</v>
      </c>
      <c r="BE122" s="23">
        <f t="shared" si="1068"/>
        <v>-0.3</v>
      </c>
      <c r="BF122" s="23">
        <f>+'QTR Raw'!Z60</f>
        <v>0.3</v>
      </c>
      <c r="BG122" s="23">
        <f t="shared" si="1068"/>
        <v>0.3</v>
      </c>
      <c r="BH122" s="22">
        <f>+'QTR Raw'!AB60</f>
        <v>1.7</v>
      </c>
      <c r="BI122" s="23">
        <f t="shared" si="1068"/>
        <v>1.7</v>
      </c>
      <c r="BJ122" s="23">
        <f>+'QTR Raw'!AD60</f>
        <v>3.1</v>
      </c>
      <c r="BK122" s="23">
        <f t="shared" si="1068"/>
        <v>3.1</v>
      </c>
      <c r="BL122" s="23">
        <f>+'QTR Raw'!AF60</f>
        <v>3.7</v>
      </c>
      <c r="BM122" s="23">
        <f t="shared" si="1068"/>
        <v>3.7</v>
      </c>
      <c r="BN122" s="23">
        <f>+'QTR Raw'!AH60</f>
        <v>6.9</v>
      </c>
      <c r="BO122" s="23">
        <f t="shared" si="1068"/>
        <v>6.9</v>
      </c>
      <c r="BP122" s="23">
        <f>+'QTR Raw'!AJ60</f>
        <v>8.6</v>
      </c>
      <c r="BQ122" s="23">
        <f t="shared" si="1068"/>
        <v>8.6</v>
      </c>
      <c r="BR122" s="23">
        <f>+'QTR Raw'!AL60</f>
        <v>10.1</v>
      </c>
      <c r="BS122" s="23">
        <f t="shared" si="1068"/>
        <v>10.1</v>
      </c>
      <c r="BT122" s="23">
        <f>+'QTR Raw'!AN60</f>
        <v>11.8</v>
      </c>
      <c r="BU122" s="23">
        <f t="shared" si="1068"/>
        <v>11.8</v>
      </c>
      <c r="BV122" s="23">
        <f>+'QTR Raw'!AP60</f>
        <v>13.7</v>
      </c>
      <c r="BW122" s="23">
        <f t="shared" si="1068"/>
        <v>13.7</v>
      </c>
      <c r="BX122" s="23">
        <f>+'QTR Raw'!AR60</f>
        <v>15.3</v>
      </c>
      <c r="BY122" s="23">
        <f t="shared" si="1068"/>
        <v>15.3</v>
      </c>
      <c r="BZ122" s="23">
        <f>+'QTR Raw'!AT60</f>
        <v>18</v>
      </c>
      <c r="CA122" s="23">
        <f t="shared" si="1068"/>
        <v>18</v>
      </c>
      <c r="CB122" s="23">
        <f>+'QTR Raw'!AV60</f>
        <v>19.5</v>
      </c>
      <c r="CC122" s="23">
        <f t="shared" si="1068"/>
        <v>19.5</v>
      </c>
      <c r="CD122" s="23">
        <f>+'QTR Raw'!AX60</f>
        <v>20.7</v>
      </c>
      <c r="CE122" s="23">
        <f t="shared" si="1068"/>
        <v>20.7</v>
      </c>
      <c r="CF122" s="23">
        <f>+'QTR Raw'!AZ60</f>
        <v>21.3</v>
      </c>
      <c r="CG122" s="23">
        <f t="shared" ref="CG122:CI122" si="1069">+CF122</f>
        <v>21.3</v>
      </c>
      <c r="CH122" s="23">
        <f t="shared" ref="CH122:CH127" si="1070">Z122</f>
        <v>17.5</v>
      </c>
      <c r="CI122" s="23">
        <f t="shared" si="1069"/>
        <v>17.5</v>
      </c>
      <c r="CJ122" s="23">
        <f>+'QTR Raw'!BD60</f>
        <v>18.399999999999999</v>
      </c>
      <c r="CK122" s="23">
        <f t="shared" ref="CK122" si="1071">+CJ122</f>
        <v>18.399999999999999</v>
      </c>
      <c r="CL122" s="23">
        <f>+'QTR Raw'!BF60</f>
        <v>19.5</v>
      </c>
      <c r="CM122" s="24">
        <f t="shared" ref="CM122" si="1072">+CL122</f>
        <v>19.5</v>
      </c>
      <c r="CN122" s="24">
        <f t="shared" ref="CN122" si="1073">+CM122</f>
        <v>19.5</v>
      </c>
      <c r="CO122" s="24">
        <f t="shared" ref="CO122" si="1074">+CN122</f>
        <v>19.5</v>
      </c>
      <c r="CP122" s="24">
        <f t="shared" ref="CP122" si="1075">+CO122</f>
        <v>19.5</v>
      </c>
      <c r="CQ122" s="24">
        <f t="shared" ref="CQ122" si="1076">+CP122</f>
        <v>19.5</v>
      </c>
      <c r="CR122" s="24">
        <f t="shared" ref="CR122" si="1077">+CQ122</f>
        <v>19.5</v>
      </c>
      <c r="CS122" s="24">
        <f t="shared" ref="CS122" si="1078">+CR122</f>
        <v>19.5</v>
      </c>
      <c r="CT122" s="24">
        <f t="shared" ref="CT122" si="1079">+CS122</f>
        <v>19.5</v>
      </c>
      <c r="CU122" s="24">
        <f t="shared" ref="CU122" si="1080">+CT122</f>
        <v>19.5</v>
      </c>
      <c r="CV122" s="24">
        <f t="shared" ref="CV122" si="1081">+CU122</f>
        <v>19.5</v>
      </c>
      <c r="CW122" s="24">
        <f t="shared" ref="CW122" si="1082">+CV122</f>
        <v>19.5</v>
      </c>
      <c r="CX122" s="24">
        <f t="shared" ref="CX122" si="1083">+CW122</f>
        <v>19.5</v>
      </c>
      <c r="CY122" s="24">
        <f t="shared" ref="CY122" si="1084">+CX122</f>
        <v>19.5</v>
      </c>
      <c r="CZ122" s="24">
        <f t="shared" ref="CZ122" si="1085">+CY122</f>
        <v>19.5</v>
      </c>
      <c r="DA122" s="24">
        <f t="shared" ref="DA122" si="1086">+CZ122</f>
        <v>19.5</v>
      </c>
      <c r="DB122" s="24">
        <f t="shared" ref="DB122" si="1087">+DA122</f>
        <v>19.5</v>
      </c>
      <c r="DE122" s="123"/>
      <c r="DF122" s="23">
        <v>19.5</v>
      </c>
    </row>
    <row r="123" spans="1:110" s="23" customFormat="1" x14ac:dyDescent="0.2">
      <c r="AB123" s="24"/>
      <c r="AC123" s="24"/>
      <c r="AD123" s="24"/>
      <c r="AE123" s="24"/>
      <c r="BH123" s="22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0</v>
      </c>
      <c r="Q124" s="23">
        <f>'Annual Raw'!R47</f>
        <v>0</v>
      </c>
      <c r="R124" s="23">
        <f>'Annual Raw'!S47</f>
        <v>0</v>
      </c>
      <c r="S124" s="23">
        <f>'Annual Raw'!T47</f>
        <v>0</v>
      </c>
      <c r="T124" s="23">
        <f>'Annual Raw'!U47</f>
        <v>0</v>
      </c>
      <c r="U124" s="23">
        <f>'Annual Raw'!V47</f>
        <v>0</v>
      </c>
      <c r="V124" s="23">
        <f>'Annual Raw'!W47</f>
        <v>0</v>
      </c>
      <c r="W124" s="23">
        <f>'Annual Raw'!X47</f>
        <v>0</v>
      </c>
      <c r="X124" s="23">
        <f>'Annual Raw'!Y47</f>
        <v>0</v>
      </c>
      <c r="Y124" s="23">
        <f>'Annual Raw'!Z47</f>
        <v>0</v>
      </c>
      <c r="Z124" s="23">
        <f>'Annual Raw'!AA47</f>
        <v>0</v>
      </c>
      <c r="AA124" s="23">
        <f>'Annual Raw'!AB47</f>
        <v>0</v>
      </c>
      <c r="AB124" s="24">
        <f t="shared" ref="AB124:AB127" si="1088">+CP124</f>
        <v>0</v>
      </c>
      <c r="AC124" s="24">
        <f t="shared" ref="AC124:AC127" si="1089">+CT124</f>
        <v>0</v>
      </c>
      <c r="AD124" s="24">
        <f t="shared" ref="AD124:AD127" si="1090">+CX124</f>
        <v>0</v>
      </c>
      <c r="AE124" s="24">
        <f t="shared" ref="AE124:AE127" si="1091">+DB124</f>
        <v>0</v>
      </c>
      <c r="AJ124" s="23">
        <f>+'QTR Raw'!D62</f>
        <v>0</v>
      </c>
      <c r="AK124" s="23">
        <f t="shared" ref="AK124:CC127" si="1092">+AJ124</f>
        <v>0</v>
      </c>
      <c r="AL124" s="23">
        <f>+'QTR Raw'!F62</f>
        <v>0</v>
      </c>
      <c r="AM124" s="23">
        <f t="shared" si="1092"/>
        <v>0</v>
      </c>
      <c r="AN124" s="23">
        <f>+'QTR Raw'!H62</f>
        <v>0</v>
      </c>
      <c r="AO124" s="23">
        <f t="shared" si="1092"/>
        <v>0</v>
      </c>
      <c r="AP124" s="23">
        <f>+'QTR Raw'!J62</f>
        <v>0</v>
      </c>
      <c r="AQ124" s="23">
        <f t="shared" si="1092"/>
        <v>0</v>
      </c>
      <c r="AR124" s="23">
        <f>+'QTR Raw'!L62</f>
        <v>0</v>
      </c>
      <c r="AS124" s="23">
        <f t="shared" si="1092"/>
        <v>0</v>
      </c>
      <c r="AT124" s="23">
        <f>+'QTR Raw'!N62</f>
        <v>0</v>
      </c>
      <c r="AU124" s="23">
        <f t="shared" si="1092"/>
        <v>0</v>
      </c>
      <c r="AV124" s="23">
        <f>+'QTR Raw'!P62</f>
        <v>0</v>
      </c>
      <c r="AW124" s="23">
        <f t="shared" si="1092"/>
        <v>0</v>
      </c>
      <c r="AX124" s="23">
        <f>+'QTR Raw'!R62</f>
        <v>0</v>
      </c>
      <c r="AY124" s="23">
        <f t="shared" si="1092"/>
        <v>0</v>
      </c>
      <c r="AZ124" s="23">
        <f>+'QTR Raw'!T62</f>
        <v>0</v>
      </c>
      <c r="BA124" s="23">
        <f t="shared" si="1092"/>
        <v>0</v>
      </c>
      <c r="BB124" s="23">
        <f>+'QTR Raw'!V62</f>
        <v>0</v>
      </c>
      <c r="BC124" s="23">
        <f t="shared" si="1092"/>
        <v>0</v>
      </c>
      <c r="BD124" s="23">
        <f>+'QTR Raw'!X62</f>
        <v>0</v>
      </c>
      <c r="BE124" s="23">
        <f t="shared" si="1092"/>
        <v>0</v>
      </c>
      <c r="BF124" s="23">
        <f>+'QTR Raw'!Z62</f>
        <v>0</v>
      </c>
      <c r="BG124" s="23">
        <f t="shared" si="1092"/>
        <v>0</v>
      </c>
      <c r="BH124" s="22">
        <f>+'QTR Raw'!AB62</f>
        <v>0</v>
      </c>
      <c r="BI124" s="23">
        <f t="shared" si="1092"/>
        <v>0</v>
      </c>
      <c r="BJ124" s="23">
        <f>+'QTR Raw'!AD62</f>
        <v>0</v>
      </c>
      <c r="BK124" s="23">
        <f t="shared" si="1092"/>
        <v>0</v>
      </c>
      <c r="BL124" s="23">
        <f>+'QTR Raw'!AF62</f>
        <v>0</v>
      </c>
      <c r="BM124" s="23">
        <f t="shared" si="1092"/>
        <v>0</v>
      </c>
      <c r="BN124" s="23">
        <f>+'QTR Raw'!AH62</f>
        <v>0</v>
      </c>
      <c r="BO124" s="23">
        <f t="shared" si="1092"/>
        <v>0</v>
      </c>
      <c r="BP124" s="23">
        <f>+'QTR Raw'!AJ62</f>
        <v>0</v>
      </c>
      <c r="BQ124" s="23">
        <f t="shared" si="1092"/>
        <v>0</v>
      </c>
      <c r="BR124" s="23">
        <f>+'QTR Raw'!AL62</f>
        <v>0</v>
      </c>
      <c r="BS124" s="23">
        <f t="shared" si="1092"/>
        <v>0</v>
      </c>
      <c r="BT124" s="23">
        <f>+'QTR Raw'!AN62</f>
        <v>0</v>
      </c>
      <c r="BU124" s="23">
        <f t="shared" si="1092"/>
        <v>0</v>
      </c>
      <c r="BV124" s="23">
        <f>+'QTR Raw'!AP62</f>
        <v>0</v>
      </c>
      <c r="BW124" s="23">
        <f t="shared" si="1092"/>
        <v>0</v>
      </c>
      <c r="BX124" s="23">
        <f>+'QTR Raw'!AR62</f>
        <v>0</v>
      </c>
      <c r="BY124" s="23">
        <f t="shared" si="1092"/>
        <v>0</v>
      </c>
      <c r="BZ124" s="23">
        <f>+'QTR Raw'!AT62</f>
        <v>0</v>
      </c>
      <c r="CA124" s="23">
        <f t="shared" si="1092"/>
        <v>0</v>
      </c>
      <c r="CB124" s="23">
        <f>+'QTR Raw'!AV62</f>
        <v>0</v>
      </c>
      <c r="CC124" s="23">
        <f t="shared" si="1092"/>
        <v>0</v>
      </c>
      <c r="CD124" s="23">
        <f>+'QTR Raw'!AX62</f>
        <v>0</v>
      </c>
      <c r="CE124" s="23">
        <f t="shared" ref="CE124:CE127" si="1093">+CD124</f>
        <v>0</v>
      </c>
      <c r="CF124" s="23">
        <f>+'QTR Raw'!AZ62</f>
        <v>0</v>
      </c>
      <c r="CG124" s="23">
        <f t="shared" ref="CG124:CI127" si="1094">+CF124</f>
        <v>0</v>
      </c>
      <c r="CH124" s="23">
        <f t="shared" si="1070"/>
        <v>0</v>
      </c>
      <c r="CI124" s="23">
        <f t="shared" si="1094"/>
        <v>0</v>
      </c>
      <c r="CJ124" s="23">
        <f>+'QTR Raw'!BD62</f>
        <v>0</v>
      </c>
      <c r="CK124" s="23">
        <f t="shared" ref="CK124:CK127" si="1095">+CJ124</f>
        <v>0</v>
      </c>
      <c r="CL124" s="23">
        <f>+'QTR Raw'!BF62</f>
        <v>0</v>
      </c>
      <c r="CM124" s="24">
        <f t="shared" ref="CM124:CM127" si="1096">+CL124</f>
        <v>0</v>
      </c>
      <c r="CN124" s="24">
        <f t="shared" ref="CN124:CN127" si="1097">+CM124</f>
        <v>0</v>
      </c>
      <c r="CO124" s="24">
        <f t="shared" ref="CO124:CO127" si="1098">+CN124</f>
        <v>0</v>
      </c>
      <c r="CP124" s="24">
        <f t="shared" ref="CP124:CP127" si="1099">+CO124</f>
        <v>0</v>
      </c>
      <c r="CQ124" s="24">
        <f t="shared" ref="CQ124:CQ127" si="1100">+CP124</f>
        <v>0</v>
      </c>
      <c r="CR124" s="24">
        <f t="shared" ref="CR124:CR127" si="1101">+CQ124</f>
        <v>0</v>
      </c>
      <c r="CS124" s="24">
        <f t="shared" ref="CS124:CS127" si="1102">+CR124</f>
        <v>0</v>
      </c>
      <c r="CT124" s="24">
        <f t="shared" ref="CT124:CT127" si="1103">+CS124</f>
        <v>0</v>
      </c>
      <c r="CU124" s="24">
        <f t="shared" ref="CU124:CU127" si="1104">+CT124</f>
        <v>0</v>
      </c>
      <c r="CV124" s="24">
        <f t="shared" ref="CV124:CV127" si="1105">+CU124</f>
        <v>0</v>
      </c>
      <c r="CW124" s="24">
        <f t="shared" ref="CW124:CW127" si="1106">+CV124</f>
        <v>0</v>
      </c>
      <c r="CX124" s="24">
        <f t="shared" ref="CX124:CX127" si="1107">+CW124</f>
        <v>0</v>
      </c>
      <c r="CY124" s="24">
        <f t="shared" ref="CY124:CY127" si="1108">+CX124</f>
        <v>0</v>
      </c>
      <c r="CZ124" s="24">
        <f t="shared" ref="CZ124:CZ127" si="1109">+CY124</f>
        <v>0</v>
      </c>
      <c r="DA124" s="24">
        <f t="shared" ref="DA124:DA127" si="1110">+CZ124</f>
        <v>0</v>
      </c>
      <c r="DB124" s="24">
        <f t="shared" ref="DB124:DB127" si="1111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088"/>
        <v>0</v>
      </c>
      <c r="AC125" s="24">
        <f t="shared" si="1089"/>
        <v>0</v>
      </c>
      <c r="AD125" s="24">
        <f t="shared" si="1090"/>
        <v>0</v>
      </c>
      <c r="AE125" s="24">
        <f t="shared" si="1091"/>
        <v>0</v>
      </c>
      <c r="AJ125" s="23">
        <f>+'QTR Raw'!D63</f>
        <v>0</v>
      </c>
      <c r="AK125" s="23">
        <f t="shared" si="1092"/>
        <v>0</v>
      </c>
      <c r="AL125" s="23">
        <f>+'QTR Raw'!F63</f>
        <v>0</v>
      </c>
      <c r="AM125" s="23">
        <f t="shared" si="1092"/>
        <v>0</v>
      </c>
      <c r="AN125" s="23">
        <f>+'QTR Raw'!H63</f>
        <v>0</v>
      </c>
      <c r="AO125" s="23">
        <f t="shared" si="1092"/>
        <v>0</v>
      </c>
      <c r="AP125" s="23">
        <f>+'QTR Raw'!J63</f>
        <v>0</v>
      </c>
      <c r="AQ125" s="23">
        <f t="shared" si="1092"/>
        <v>0</v>
      </c>
      <c r="AR125" s="23">
        <f>+'QTR Raw'!L63</f>
        <v>0</v>
      </c>
      <c r="AS125" s="23">
        <f t="shared" si="1092"/>
        <v>0</v>
      </c>
      <c r="AT125" s="23">
        <f>+'QTR Raw'!N63</f>
        <v>0</v>
      </c>
      <c r="AU125" s="23">
        <f t="shared" si="1092"/>
        <v>0</v>
      </c>
      <c r="AV125" s="23">
        <f>+'QTR Raw'!P63</f>
        <v>0</v>
      </c>
      <c r="AW125" s="23">
        <f t="shared" si="1092"/>
        <v>0</v>
      </c>
      <c r="AX125" s="23">
        <f>+'QTR Raw'!R63</f>
        <v>0</v>
      </c>
      <c r="AY125" s="23">
        <f t="shared" si="1092"/>
        <v>0</v>
      </c>
      <c r="AZ125" s="23">
        <f>+'QTR Raw'!T63</f>
        <v>2.5</v>
      </c>
      <c r="BA125" s="23">
        <f t="shared" si="1092"/>
        <v>2.5</v>
      </c>
      <c r="BB125" s="23">
        <f>+'QTR Raw'!V63</f>
        <v>0</v>
      </c>
      <c r="BC125" s="23">
        <f t="shared" si="1092"/>
        <v>0</v>
      </c>
      <c r="BD125" s="23">
        <f>+'QTR Raw'!X63</f>
        <v>0</v>
      </c>
      <c r="BE125" s="23">
        <f t="shared" si="1092"/>
        <v>0</v>
      </c>
      <c r="BF125" s="23">
        <f>+'QTR Raw'!Z63</f>
        <v>0</v>
      </c>
      <c r="BG125" s="23">
        <f t="shared" si="1092"/>
        <v>0</v>
      </c>
      <c r="BH125" s="23">
        <f>+'QTR Raw'!AB63</f>
        <v>0</v>
      </c>
      <c r="BI125" s="23">
        <f t="shared" si="1092"/>
        <v>0</v>
      </c>
      <c r="BJ125" s="23">
        <f>+'QTR Raw'!AD63</f>
        <v>0</v>
      </c>
      <c r="BK125" s="23">
        <f t="shared" si="1092"/>
        <v>0</v>
      </c>
      <c r="BL125" s="23">
        <f>+'QTR Raw'!AF63</f>
        <v>0</v>
      </c>
      <c r="BM125" s="23">
        <f t="shared" si="1092"/>
        <v>0</v>
      </c>
      <c r="BN125" s="23">
        <f>+'QTR Raw'!AH63</f>
        <v>0</v>
      </c>
      <c r="BO125" s="23">
        <f t="shared" si="1092"/>
        <v>0</v>
      </c>
      <c r="BP125" s="23">
        <f>+'QTR Raw'!AJ63</f>
        <v>0</v>
      </c>
      <c r="BQ125" s="23">
        <f t="shared" si="1092"/>
        <v>0</v>
      </c>
      <c r="BR125" s="23">
        <f>+'QTR Raw'!AL63</f>
        <v>0</v>
      </c>
      <c r="BS125" s="23">
        <f t="shared" si="1092"/>
        <v>0</v>
      </c>
      <c r="BT125" s="23">
        <f>+'QTR Raw'!AN63</f>
        <v>0</v>
      </c>
      <c r="BU125" s="23">
        <f t="shared" si="1092"/>
        <v>0</v>
      </c>
      <c r="BV125" s="23">
        <f>+'QTR Raw'!AP63</f>
        <v>0</v>
      </c>
      <c r="BW125" s="23">
        <f t="shared" si="1092"/>
        <v>0</v>
      </c>
      <c r="BX125" s="23">
        <f>+'QTR Raw'!AR63</f>
        <v>0</v>
      </c>
      <c r="BY125" s="23">
        <f t="shared" si="1092"/>
        <v>0</v>
      </c>
      <c r="BZ125" s="23">
        <f>+'QTR Raw'!AT63</f>
        <v>0</v>
      </c>
      <c r="CA125" s="23">
        <f t="shared" si="1092"/>
        <v>0</v>
      </c>
      <c r="CB125" s="23">
        <f>+'QTR Raw'!AV63</f>
        <v>0</v>
      </c>
      <c r="CC125" s="23">
        <f t="shared" si="1092"/>
        <v>0</v>
      </c>
      <c r="CD125" s="23">
        <f>+'QTR Raw'!AX63</f>
        <v>0</v>
      </c>
      <c r="CE125" s="23">
        <f t="shared" si="1093"/>
        <v>0</v>
      </c>
      <c r="CF125" s="23">
        <f>+'QTR Raw'!AZ63</f>
        <v>0</v>
      </c>
      <c r="CG125" s="23">
        <f t="shared" si="1094"/>
        <v>0</v>
      </c>
      <c r="CH125" s="23">
        <f t="shared" si="1070"/>
        <v>0</v>
      </c>
      <c r="CI125" s="23">
        <f t="shared" si="1094"/>
        <v>0</v>
      </c>
      <c r="CJ125" s="23">
        <f>+'QTR Raw'!BD63</f>
        <v>0</v>
      </c>
      <c r="CK125" s="23">
        <f t="shared" si="1095"/>
        <v>0</v>
      </c>
      <c r="CL125" s="23">
        <f>+'QTR Raw'!BF63</f>
        <v>0</v>
      </c>
      <c r="CM125" s="24">
        <f t="shared" si="1096"/>
        <v>0</v>
      </c>
      <c r="CN125" s="24">
        <f t="shared" si="1097"/>
        <v>0</v>
      </c>
      <c r="CO125" s="24">
        <f t="shared" si="1098"/>
        <v>0</v>
      </c>
      <c r="CP125" s="24">
        <f t="shared" si="1099"/>
        <v>0</v>
      </c>
      <c r="CQ125" s="24">
        <f t="shared" si="1100"/>
        <v>0</v>
      </c>
      <c r="CR125" s="24">
        <f t="shared" si="1101"/>
        <v>0</v>
      </c>
      <c r="CS125" s="24">
        <f t="shared" si="1102"/>
        <v>0</v>
      </c>
      <c r="CT125" s="24">
        <f t="shared" si="1103"/>
        <v>0</v>
      </c>
      <c r="CU125" s="24">
        <f t="shared" si="1104"/>
        <v>0</v>
      </c>
      <c r="CV125" s="24">
        <f t="shared" si="1105"/>
        <v>0</v>
      </c>
      <c r="CW125" s="24">
        <f t="shared" si="1106"/>
        <v>0</v>
      </c>
      <c r="CX125" s="24">
        <f t="shared" si="1107"/>
        <v>0</v>
      </c>
      <c r="CY125" s="24">
        <f t="shared" si="1108"/>
        <v>0</v>
      </c>
      <c r="CZ125" s="24">
        <f t="shared" si="1109"/>
        <v>0</v>
      </c>
      <c r="DA125" s="24">
        <f t="shared" si="1110"/>
        <v>0</v>
      </c>
      <c r="DB125" s="24">
        <f t="shared" si="1111"/>
        <v>0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0</v>
      </c>
      <c r="Q126" s="23">
        <f>'Annual Raw'!R87+'Annual Raw'!R88+'Annual Raw'!R89+'Annual Raw'!R90</f>
        <v>0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0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0</v>
      </c>
      <c r="AB126" s="24">
        <f t="shared" si="1088"/>
        <v>0</v>
      </c>
      <c r="AC126" s="24">
        <f t="shared" si="1089"/>
        <v>0</v>
      </c>
      <c r="AD126" s="24">
        <f t="shared" si="1090"/>
        <v>0</v>
      </c>
      <c r="AE126" s="24">
        <f t="shared" si="1091"/>
        <v>0</v>
      </c>
      <c r="AJ126" s="23">
        <f>+'QTR Raw'!D90</f>
        <v>0</v>
      </c>
      <c r="AK126" s="23">
        <f t="shared" si="1092"/>
        <v>0</v>
      </c>
      <c r="AL126" s="23">
        <f>+'QTR Raw'!F90</f>
        <v>0</v>
      </c>
      <c r="AM126" s="23">
        <f t="shared" si="1092"/>
        <v>0</v>
      </c>
      <c r="AN126" s="23">
        <f>+'QTR Raw'!H90</f>
        <v>0</v>
      </c>
      <c r="AO126" s="23">
        <f t="shared" si="1092"/>
        <v>0</v>
      </c>
      <c r="AP126" s="23">
        <f>+'QTR Raw'!J90</f>
        <v>0</v>
      </c>
      <c r="AQ126" s="23">
        <f t="shared" si="1092"/>
        <v>0</v>
      </c>
      <c r="AR126" s="23">
        <f>+'QTR Raw'!L90</f>
        <v>0</v>
      </c>
      <c r="AS126" s="23">
        <f t="shared" si="1092"/>
        <v>0</v>
      </c>
      <c r="AT126" s="23">
        <f>+'QTR Raw'!N90</f>
        <v>0</v>
      </c>
      <c r="AU126" s="23">
        <f t="shared" si="1092"/>
        <v>0</v>
      </c>
      <c r="AV126" s="23">
        <f>+'QTR Raw'!P90</f>
        <v>0</v>
      </c>
      <c r="AW126" s="23">
        <f t="shared" si="1092"/>
        <v>0</v>
      </c>
      <c r="AX126" s="23">
        <f>+'QTR Raw'!R90</f>
        <v>0</v>
      </c>
      <c r="AY126" s="23">
        <f t="shared" si="1092"/>
        <v>0</v>
      </c>
      <c r="AZ126" s="23">
        <f>+'QTR Raw'!T90</f>
        <v>0</v>
      </c>
      <c r="BA126" s="23">
        <f t="shared" si="1092"/>
        <v>0</v>
      </c>
      <c r="BB126" s="23">
        <f>+'QTR Raw'!V90</f>
        <v>0</v>
      </c>
      <c r="BC126" s="23">
        <f t="shared" si="1092"/>
        <v>0</v>
      </c>
      <c r="BD126" s="23">
        <f>+'QTR Raw'!X90</f>
        <v>0</v>
      </c>
      <c r="BE126" s="23">
        <f t="shared" si="1092"/>
        <v>0</v>
      </c>
      <c r="BF126" s="23">
        <f>+'QTR Raw'!Z90</f>
        <v>0</v>
      </c>
      <c r="BG126" s="23">
        <f t="shared" si="1092"/>
        <v>0</v>
      </c>
      <c r="BH126" s="22">
        <f>+'QTR Raw'!AB90</f>
        <v>0</v>
      </c>
      <c r="BI126" s="23">
        <f t="shared" si="1092"/>
        <v>0</v>
      </c>
      <c r="BJ126" s="23">
        <f>+'QTR Raw'!AD90</f>
        <v>0</v>
      </c>
      <c r="BK126" s="23">
        <f t="shared" si="1092"/>
        <v>0</v>
      </c>
      <c r="BL126" s="23">
        <f>+'QTR Raw'!AF90</f>
        <v>0</v>
      </c>
      <c r="BM126" s="23">
        <f t="shared" si="1092"/>
        <v>0</v>
      </c>
      <c r="BN126" s="23">
        <f>+'QTR Raw'!AH90</f>
        <v>0</v>
      </c>
      <c r="BO126" s="23">
        <f t="shared" si="1092"/>
        <v>0</v>
      </c>
      <c r="BP126" s="23">
        <f>+'QTR Raw'!AJ90</f>
        <v>0</v>
      </c>
      <c r="BQ126" s="23">
        <f t="shared" si="1092"/>
        <v>0</v>
      </c>
      <c r="BR126" s="23">
        <f>+'QTR Raw'!AL90</f>
        <v>0</v>
      </c>
      <c r="BS126" s="23">
        <f t="shared" si="1092"/>
        <v>0</v>
      </c>
      <c r="BT126" s="23">
        <f>+'QTR Raw'!AN90</f>
        <v>0</v>
      </c>
      <c r="BU126" s="23">
        <f t="shared" si="1092"/>
        <v>0</v>
      </c>
      <c r="BV126" s="23">
        <f>+'QTR Raw'!AP90</f>
        <v>0</v>
      </c>
      <c r="BW126" s="23">
        <f t="shared" si="1092"/>
        <v>0</v>
      </c>
      <c r="BX126" s="23">
        <f>+'QTR Raw'!AR90</f>
        <v>0</v>
      </c>
      <c r="BY126" s="23">
        <f t="shared" si="1092"/>
        <v>0</v>
      </c>
      <c r="BZ126" s="23">
        <f>+'QTR Raw'!AT90</f>
        <v>0</v>
      </c>
      <c r="CA126" s="23">
        <f t="shared" si="1092"/>
        <v>0</v>
      </c>
      <c r="CB126" s="23">
        <f>+'QTR Raw'!AV90</f>
        <v>0</v>
      </c>
      <c r="CC126" s="23">
        <f t="shared" si="1092"/>
        <v>0</v>
      </c>
      <c r="CD126" s="23">
        <f>+'QTR Raw'!AX90</f>
        <v>0</v>
      </c>
      <c r="CE126" s="23">
        <f t="shared" si="1093"/>
        <v>0</v>
      </c>
      <c r="CF126" s="23">
        <f>+'QTR Raw'!AZ90</f>
        <v>0</v>
      </c>
      <c r="CG126" s="23">
        <f t="shared" si="1094"/>
        <v>0</v>
      </c>
      <c r="CH126" s="23">
        <f>+Z126</f>
        <v>0</v>
      </c>
      <c r="CI126" s="23">
        <f t="shared" si="1094"/>
        <v>0</v>
      </c>
      <c r="CJ126" s="23">
        <f>+'QTR Raw'!BD90</f>
        <v>0</v>
      </c>
      <c r="CK126" s="23">
        <f t="shared" si="1095"/>
        <v>0</v>
      </c>
      <c r="CL126" s="23">
        <f>+'QTR Raw'!BF90</f>
        <v>0</v>
      </c>
      <c r="CM126" s="24">
        <f t="shared" si="1096"/>
        <v>0</v>
      </c>
      <c r="CN126" s="24">
        <f t="shared" si="1097"/>
        <v>0</v>
      </c>
      <c r="CO126" s="24">
        <f t="shared" si="1098"/>
        <v>0</v>
      </c>
      <c r="CP126" s="24">
        <f t="shared" si="1099"/>
        <v>0</v>
      </c>
      <c r="CQ126" s="24">
        <f t="shared" si="1100"/>
        <v>0</v>
      </c>
      <c r="CR126" s="24">
        <f t="shared" si="1101"/>
        <v>0</v>
      </c>
      <c r="CS126" s="24">
        <f t="shared" si="1102"/>
        <v>0</v>
      </c>
      <c r="CT126" s="24">
        <f t="shared" si="1103"/>
        <v>0</v>
      </c>
      <c r="CU126" s="24">
        <f t="shared" si="1104"/>
        <v>0</v>
      </c>
      <c r="CV126" s="24">
        <f t="shared" si="1105"/>
        <v>0</v>
      </c>
      <c r="CW126" s="24">
        <f t="shared" si="1106"/>
        <v>0</v>
      </c>
      <c r="CX126" s="24">
        <f t="shared" si="1107"/>
        <v>0</v>
      </c>
      <c r="CY126" s="24">
        <f t="shared" si="1108"/>
        <v>0</v>
      </c>
      <c r="CZ126" s="24">
        <f t="shared" si="1109"/>
        <v>0</v>
      </c>
      <c r="DA126" s="24">
        <f t="shared" si="1110"/>
        <v>0</v>
      </c>
      <c r="DB126" s="24">
        <f t="shared" si="1111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0</v>
      </c>
      <c r="O127" s="23">
        <f>'Annual Raw'!P56</f>
        <v>48.686999999999998</v>
      </c>
      <c r="P127" s="23">
        <f>'Annual Raw'!Q56</f>
        <v>218.76900000000001</v>
      </c>
      <c r="Q127" s="23">
        <f>'Annual Raw'!R56</f>
        <v>195.5</v>
      </c>
      <c r="R127" s="23">
        <f>'Annual Raw'!S56</f>
        <v>101.9</v>
      </c>
      <c r="S127" s="23">
        <f>'Annual Raw'!T56</f>
        <v>70.2</v>
      </c>
      <c r="T127" s="23">
        <f>'Annual Raw'!U56</f>
        <v>70.2</v>
      </c>
      <c r="U127" s="23">
        <f>'Annual Raw'!V56</f>
        <v>30.3</v>
      </c>
      <c r="V127" s="23">
        <f>'Annual Raw'!W56</f>
        <v>0</v>
      </c>
      <c r="W127" s="23">
        <f>'Annual Raw'!X56</f>
        <v>0</v>
      </c>
      <c r="X127" s="23">
        <f>'Annual Raw'!Y56</f>
        <v>0</v>
      </c>
      <c r="Y127" s="23">
        <f>'Annual Raw'!Z56</f>
        <v>0</v>
      </c>
      <c r="Z127" s="23">
        <f>'Annual Raw'!AA56</f>
        <v>0</v>
      </c>
      <c r="AA127" s="23">
        <f>'Annual Raw'!AB56</f>
        <v>0</v>
      </c>
      <c r="AB127" s="24">
        <f t="shared" si="1088"/>
        <v>0</v>
      </c>
      <c r="AC127" s="24">
        <f t="shared" si="1089"/>
        <v>0</v>
      </c>
      <c r="AD127" s="24">
        <f t="shared" si="1090"/>
        <v>0</v>
      </c>
      <c r="AE127" s="24">
        <f t="shared" si="1091"/>
        <v>0</v>
      </c>
      <c r="AJ127" s="23">
        <f>+'QTR Raw'!D88</f>
        <v>0</v>
      </c>
      <c r="AK127" s="23">
        <f t="shared" si="1092"/>
        <v>0</v>
      </c>
      <c r="AL127" s="23">
        <f>+'QTR Raw'!F88</f>
        <v>0</v>
      </c>
      <c r="AM127" s="23">
        <f t="shared" si="1092"/>
        <v>0</v>
      </c>
      <c r="AN127" s="23">
        <f>+'QTR Raw'!H88</f>
        <v>0</v>
      </c>
      <c r="AO127" s="23">
        <f t="shared" si="1092"/>
        <v>0</v>
      </c>
      <c r="AP127" s="23">
        <f>+'QTR Raw'!J88</f>
        <v>0</v>
      </c>
      <c r="AQ127" s="23">
        <f t="shared" si="1092"/>
        <v>0</v>
      </c>
      <c r="AR127" s="23">
        <f>+'QTR Raw'!L88</f>
        <v>0</v>
      </c>
      <c r="AS127" s="23">
        <f t="shared" si="1092"/>
        <v>0</v>
      </c>
      <c r="AT127" s="23">
        <f>+'QTR Raw'!N88</f>
        <v>0</v>
      </c>
      <c r="AU127" s="23">
        <f t="shared" si="1092"/>
        <v>0</v>
      </c>
      <c r="AV127" s="23">
        <f>+'QTR Raw'!P88</f>
        <v>0</v>
      </c>
      <c r="AW127" s="23">
        <f t="shared" si="1092"/>
        <v>0</v>
      </c>
      <c r="AX127" s="23">
        <f>+'QTR Raw'!R88</f>
        <v>195.5</v>
      </c>
      <c r="AY127" s="23">
        <f t="shared" si="1092"/>
        <v>195.5</v>
      </c>
      <c r="AZ127" s="23">
        <f>+'QTR Raw'!T88</f>
        <v>158</v>
      </c>
      <c r="BA127" s="23">
        <f t="shared" si="1092"/>
        <v>158</v>
      </c>
      <c r="BB127" s="23">
        <f>+'QTR Raw'!V88</f>
        <v>101.9</v>
      </c>
      <c r="BC127" s="23">
        <f t="shared" si="1092"/>
        <v>101.9</v>
      </c>
      <c r="BD127" s="23">
        <f>+'QTR Raw'!X88</f>
        <v>129.30000000000001</v>
      </c>
      <c r="BE127" s="23">
        <f t="shared" si="1092"/>
        <v>129.30000000000001</v>
      </c>
      <c r="BF127" s="23">
        <f>+'QTR Raw'!Z88</f>
        <v>70.2</v>
      </c>
      <c r="BG127" s="23">
        <f t="shared" si="1092"/>
        <v>70.2</v>
      </c>
      <c r="BH127" s="23">
        <f>+'QTR Raw'!AB88</f>
        <v>59.5</v>
      </c>
      <c r="BI127" s="23">
        <f t="shared" si="1092"/>
        <v>59.5</v>
      </c>
      <c r="BJ127" s="23">
        <f>+'QTR Raw'!AD88</f>
        <v>70.2</v>
      </c>
      <c r="BK127" s="23">
        <f t="shared" si="1092"/>
        <v>70.2</v>
      </c>
      <c r="BL127" s="23">
        <f>+'QTR Raw'!AF88</f>
        <v>28.4</v>
      </c>
      <c r="BM127" s="23">
        <f t="shared" si="1092"/>
        <v>28.4</v>
      </c>
      <c r="BN127" s="23">
        <f>+'QTR Raw'!AH88</f>
        <v>30.3</v>
      </c>
      <c r="BO127" s="23">
        <f t="shared" si="1092"/>
        <v>30.3</v>
      </c>
      <c r="BP127" s="23">
        <f>+'QTR Raw'!AJ88</f>
        <v>29.5</v>
      </c>
      <c r="BQ127" s="23">
        <f t="shared" si="1092"/>
        <v>29.5</v>
      </c>
      <c r="BR127" s="23">
        <f>+'QTR Raw'!AL88</f>
        <v>0</v>
      </c>
      <c r="BS127" s="23">
        <f t="shared" si="1092"/>
        <v>0</v>
      </c>
      <c r="BT127" s="23">
        <f>+'QTR Raw'!AN88</f>
        <v>0</v>
      </c>
      <c r="BU127" s="23">
        <f t="shared" si="1092"/>
        <v>0</v>
      </c>
      <c r="BV127" s="23">
        <f>+'QTR Raw'!AP88</f>
        <v>0</v>
      </c>
      <c r="BW127" s="23">
        <f t="shared" si="1092"/>
        <v>0</v>
      </c>
      <c r="BX127" s="23">
        <f>+'QTR Raw'!AR88</f>
        <v>0</v>
      </c>
      <c r="BY127" s="23">
        <f t="shared" si="1092"/>
        <v>0</v>
      </c>
      <c r="BZ127" s="23">
        <f>+'QTR Raw'!AT88</f>
        <v>0</v>
      </c>
      <c r="CA127" s="23">
        <f t="shared" si="1092"/>
        <v>0</v>
      </c>
      <c r="CB127" s="23">
        <f>+'QTR Raw'!AV88</f>
        <v>0</v>
      </c>
      <c r="CC127" s="23">
        <f t="shared" si="1092"/>
        <v>0</v>
      </c>
      <c r="CD127" s="23">
        <f>+'QTR Raw'!AX88</f>
        <v>0</v>
      </c>
      <c r="CE127" s="23">
        <f t="shared" si="1093"/>
        <v>0</v>
      </c>
      <c r="CF127" s="23">
        <f>+'QTR Raw'!AZ88</f>
        <v>0</v>
      </c>
      <c r="CG127" s="23">
        <f t="shared" si="1094"/>
        <v>0</v>
      </c>
      <c r="CH127" s="23">
        <f t="shared" si="1070"/>
        <v>0</v>
      </c>
      <c r="CI127" s="23">
        <f t="shared" si="1094"/>
        <v>0</v>
      </c>
      <c r="CJ127" s="23">
        <f>+'QTR Raw'!BD88</f>
        <v>0</v>
      </c>
      <c r="CK127" s="23">
        <f t="shared" si="1095"/>
        <v>0</v>
      </c>
      <c r="CL127" s="23">
        <f>+'QTR Raw'!BF88</f>
        <v>0</v>
      </c>
      <c r="CM127" s="24">
        <f t="shared" si="1096"/>
        <v>0</v>
      </c>
      <c r="CN127" s="24">
        <f t="shared" si="1097"/>
        <v>0</v>
      </c>
      <c r="CO127" s="24">
        <f t="shared" si="1098"/>
        <v>0</v>
      </c>
      <c r="CP127" s="24">
        <f t="shared" si="1099"/>
        <v>0</v>
      </c>
      <c r="CQ127" s="24">
        <f t="shared" si="1100"/>
        <v>0</v>
      </c>
      <c r="CR127" s="24">
        <f t="shared" si="1101"/>
        <v>0</v>
      </c>
      <c r="CS127" s="24">
        <f t="shared" si="1102"/>
        <v>0</v>
      </c>
      <c r="CT127" s="24">
        <f t="shared" si="1103"/>
        <v>0</v>
      </c>
      <c r="CU127" s="24">
        <f t="shared" si="1104"/>
        <v>0</v>
      </c>
      <c r="CV127" s="24">
        <f t="shared" si="1105"/>
        <v>0</v>
      </c>
      <c r="CW127" s="24">
        <f t="shared" si="1106"/>
        <v>0</v>
      </c>
      <c r="CX127" s="24">
        <f t="shared" si="1107"/>
        <v>0</v>
      </c>
      <c r="CY127" s="24">
        <f t="shared" si="1108"/>
        <v>0</v>
      </c>
      <c r="CZ127" s="24">
        <f t="shared" si="1109"/>
        <v>0</v>
      </c>
      <c r="DA127" s="24">
        <f t="shared" si="1110"/>
        <v>0</v>
      </c>
      <c r="DB127" s="24">
        <f t="shared" si="1111"/>
        <v>0</v>
      </c>
      <c r="DE127" s="123"/>
      <c r="DF127" s="23">
        <v>0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12">SUM(C124:C127)</f>
        <v>0</v>
      </c>
      <c r="D128" s="22">
        <f t="shared" si="1112"/>
        <v>0</v>
      </c>
      <c r="E128" s="22">
        <f t="shared" si="1112"/>
        <v>0</v>
      </c>
      <c r="F128" s="22">
        <f t="shared" si="1112"/>
        <v>0</v>
      </c>
      <c r="G128" s="22">
        <f t="shared" si="1112"/>
        <v>0</v>
      </c>
      <c r="H128" s="22">
        <f t="shared" si="1112"/>
        <v>0</v>
      </c>
      <c r="I128" s="22">
        <f t="shared" si="1112"/>
        <v>0</v>
      </c>
      <c r="J128" s="22">
        <f t="shared" si="1112"/>
        <v>0</v>
      </c>
      <c r="K128" s="22">
        <f t="shared" si="1112"/>
        <v>0</v>
      </c>
      <c r="L128" s="22">
        <f t="shared" si="1112"/>
        <v>0</v>
      </c>
      <c r="M128" s="22">
        <f t="shared" si="1112"/>
        <v>0</v>
      </c>
      <c r="N128" s="22">
        <f t="shared" si="1112"/>
        <v>0</v>
      </c>
      <c r="O128" s="22">
        <f t="shared" si="1112"/>
        <v>48.686999999999998</v>
      </c>
      <c r="P128" s="22">
        <f t="shared" si="1112"/>
        <v>218.76900000000001</v>
      </c>
      <c r="Q128" s="22">
        <f t="shared" si="1112"/>
        <v>195.5</v>
      </c>
      <c r="R128" s="22">
        <f t="shared" si="1112"/>
        <v>101.9</v>
      </c>
      <c r="S128" s="22">
        <f t="shared" si="1112"/>
        <v>70.2</v>
      </c>
      <c r="T128" s="22">
        <f t="shared" si="1112"/>
        <v>70.2</v>
      </c>
      <c r="U128" s="22">
        <f t="shared" si="1112"/>
        <v>30.3</v>
      </c>
      <c r="V128" s="22">
        <f t="shared" si="1112"/>
        <v>0</v>
      </c>
      <c r="W128" s="22">
        <f t="shared" ref="W128" si="1113">SUM(W124:W127)</f>
        <v>0</v>
      </c>
      <c r="X128" s="22">
        <f t="shared" ref="X128:Y128" si="1114">SUM(X124:X127)</f>
        <v>0</v>
      </c>
      <c r="Y128" s="22">
        <f t="shared" si="1114"/>
        <v>0</v>
      </c>
      <c r="Z128" s="22">
        <f t="shared" ref="Z128:AA128" si="1115">SUM(Z124:Z127)</f>
        <v>0</v>
      </c>
      <c r="AA128" s="22">
        <f t="shared" si="1115"/>
        <v>0</v>
      </c>
      <c r="AB128" s="21">
        <f t="shared" ref="AB128:AD128" si="1116">SUM(AB124:AB127)</f>
        <v>0</v>
      </c>
      <c r="AC128" s="21">
        <f t="shared" si="1116"/>
        <v>0</v>
      </c>
      <c r="AD128" s="21">
        <f t="shared" si="1116"/>
        <v>0</v>
      </c>
      <c r="AE128" s="21">
        <f t="shared" ref="AE128" si="1117">SUM(AE124:AE127)</f>
        <v>0</v>
      </c>
      <c r="AJ128" s="22">
        <f t="shared" ref="AJ128" si="1118">SUM(AJ124:AJ127)</f>
        <v>0</v>
      </c>
      <c r="AK128" s="22">
        <f t="shared" ref="AK128" si="1119">SUM(AK124:AK127)</f>
        <v>0</v>
      </c>
      <c r="AL128" s="22">
        <f t="shared" ref="AL128:AM128" si="1120">SUM(AL124:AL127)</f>
        <v>0</v>
      </c>
      <c r="AM128" s="22">
        <f t="shared" si="1120"/>
        <v>0</v>
      </c>
      <c r="AN128" s="22">
        <f t="shared" ref="AN128:AO128" si="1121">SUM(AN124:AN127)</f>
        <v>0</v>
      </c>
      <c r="AO128" s="22">
        <f t="shared" si="1121"/>
        <v>0</v>
      </c>
      <c r="AP128" s="22">
        <f t="shared" ref="AP128:CE128" si="1122">SUM(AP124:AP127)</f>
        <v>0</v>
      </c>
      <c r="AQ128" s="22">
        <f t="shared" si="1122"/>
        <v>0</v>
      </c>
      <c r="AR128" s="22">
        <f t="shared" si="1122"/>
        <v>0</v>
      </c>
      <c r="AS128" s="22">
        <f t="shared" si="1122"/>
        <v>0</v>
      </c>
      <c r="AT128" s="22">
        <f t="shared" si="1122"/>
        <v>0</v>
      </c>
      <c r="AU128" s="22">
        <f t="shared" si="1122"/>
        <v>0</v>
      </c>
      <c r="AV128" s="22">
        <f t="shared" si="1122"/>
        <v>0</v>
      </c>
      <c r="AW128" s="22">
        <f t="shared" si="1122"/>
        <v>0</v>
      </c>
      <c r="AX128" s="22">
        <f t="shared" si="1122"/>
        <v>195.5</v>
      </c>
      <c r="AY128" s="22">
        <f t="shared" si="1122"/>
        <v>195.5</v>
      </c>
      <c r="AZ128" s="22">
        <f t="shared" si="1122"/>
        <v>160.5</v>
      </c>
      <c r="BA128" s="22">
        <f t="shared" si="1122"/>
        <v>160.5</v>
      </c>
      <c r="BB128" s="22">
        <f t="shared" si="1122"/>
        <v>101.9</v>
      </c>
      <c r="BC128" s="22">
        <f t="shared" si="1122"/>
        <v>101.9</v>
      </c>
      <c r="BD128" s="22">
        <f t="shared" si="1122"/>
        <v>129.30000000000001</v>
      </c>
      <c r="BE128" s="22">
        <f t="shared" si="1122"/>
        <v>129.30000000000001</v>
      </c>
      <c r="BF128" s="22">
        <f t="shared" si="1122"/>
        <v>70.2</v>
      </c>
      <c r="BG128" s="22">
        <f t="shared" si="1122"/>
        <v>70.2</v>
      </c>
      <c r="BH128" s="22">
        <f t="shared" ref="BH128" si="1123">SUM(BH124:BH127)</f>
        <v>59.5</v>
      </c>
      <c r="BI128" s="22">
        <f t="shared" si="1122"/>
        <v>59.5</v>
      </c>
      <c r="BJ128" s="22">
        <f t="shared" si="1122"/>
        <v>70.2</v>
      </c>
      <c r="BK128" s="22">
        <f t="shared" si="1122"/>
        <v>70.2</v>
      </c>
      <c r="BL128" s="22">
        <f t="shared" si="1122"/>
        <v>28.4</v>
      </c>
      <c r="BM128" s="22">
        <f t="shared" si="1122"/>
        <v>28.4</v>
      </c>
      <c r="BN128" s="22">
        <f t="shared" si="1122"/>
        <v>30.3</v>
      </c>
      <c r="BO128" s="22">
        <f t="shared" si="1122"/>
        <v>30.3</v>
      </c>
      <c r="BP128" s="22">
        <f t="shared" si="1122"/>
        <v>29.5</v>
      </c>
      <c r="BQ128" s="22">
        <f t="shared" si="1122"/>
        <v>29.5</v>
      </c>
      <c r="BR128" s="22">
        <f t="shared" si="1122"/>
        <v>0</v>
      </c>
      <c r="BS128" s="22">
        <f t="shared" si="1122"/>
        <v>0</v>
      </c>
      <c r="BT128" s="22">
        <f t="shared" si="1122"/>
        <v>0</v>
      </c>
      <c r="BU128" s="22">
        <f t="shared" si="1122"/>
        <v>0</v>
      </c>
      <c r="BV128" s="22">
        <f t="shared" si="1122"/>
        <v>0</v>
      </c>
      <c r="BW128" s="22">
        <f t="shared" si="1122"/>
        <v>0</v>
      </c>
      <c r="BX128" s="22">
        <f t="shared" si="1122"/>
        <v>0</v>
      </c>
      <c r="BY128" s="22">
        <f t="shared" si="1122"/>
        <v>0</v>
      </c>
      <c r="BZ128" s="22">
        <f t="shared" si="1122"/>
        <v>0</v>
      </c>
      <c r="CA128" s="22">
        <f t="shared" si="1122"/>
        <v>0</v>
      </c>
      <c r="CB128" s="22">
        <f t="shared" si="1122"/>
        <v>0</v>
      </c>
      <c r="CC128" s="22">
        <f t="shared" si="1122"/>
        <v>0</v>
      </c>
      <c r="CD128" s="22">
        <f t="shared" si="1122"/>
        <v>0</v>
      </c>
      <c r="CE128" s="22">
        <f t="shared" si="1122"/>
        <v>0</v>
      </c>
      <c r="CF128" s="22">
        <f t="shared" ref="CF128:CG128" si="1124">SUM(CF124:CF127)</f>
        <v>0</v>
      </c>
      <c r="CG128" s="22">
        <f t="shared" si="1124"/>
        <v>0</v>
      </c>
      <c r="CH128" s="22">
        <f t="shared" ref="CH128:CI128" si="1125">SUM(CH124:CH127)</f>
        <v>0</v>
      </c>
      <c r="CI128" s="22">
        <f t="shared" si="1125"/>
        <v>0</v>
      </c>
      <c r="CJ128" s="22">
        <f t="shared" ref="CJ128:DB128" si="1126">SUM(CJ124:CJ127)</f>
        <v>0</v>
      </c>
      <c r="CK128" s="22">
        <f t="shared" si="1126"/>
        <v>0</v>
      </c>
      <c r="CL128" s="22">
        <f t="shared" ref="CL128" si="1127">SUM(CL124:CL127)</f>
        <v>0</v>
      </c>
      <c r="CM128" s="21">
        <f t="shared" si="1126"/>
        <v>0</v>
      </c>
      <c r="CN128" s="21">
        <f t="shared" si="1126"/>
        <v>0</v>
      </c>
      <c r="CO128" s="21">
        <f t="shared" si="1126"/>
        <v>0</v>
      </c>
      <c r="CP128" s="21">
        <f t="shared" si="1126"/>
        <v>0</v>
      </c>
      <c r="CQ128" s="21">
        <f t="shared" si="1126"/>
        <v>0</v>
      </c>
      <c r="CR128" s="21">
        <f t="shared" si="1126"/>
        <v>0</v>
      </c>
      <c r="CS128" s="21">
        <f t="shared" si="1126"/>
        <v>0</v>
      </c>
      <c r="CT128" s="21">
        <f t="shared" si="1126"/>
        <v>0</v>
      </c>
      <c r="CU128" s="21">
        <f t="shared" si="1126"/>
        <v>0</v>
      </c>
      <c r="CV128" s="21">
        <f t="shared" si="1126"/>
        <v>0</v>
      </c>
      <c r="CW128" s="21">
        <f t="shared" si="1126"/>
        <v>0</v>
      </c>
      <c r="CX128" s="21">
        <f t="shared" si="1126"/>
        <v>0</v>
      </c>
      <c r="CY128" s="21">
        <f t="shared" si="1126"/>
        <v>0</v>
      </c>
      <c r="CZ128" s="21">
        <f t="shared" si="1126"/>
        <v>0</v>
      </c>
      <c r="DA128" s="21">
        <f t="shared" si="1126"/>
        <v>0</v>
      </c>
      <c r="DB128" s="21">
        <f t="shared" si="1126"/>
        <v>0</v>
      </c>
      <c r="DE128" s="126"/>
      <c r="DF128" s="22">
        <v>0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28">C128+C120+C122</f>
        <v>0</v>
      </c>
      <c r="D129" s="26">
        <f>D128+D120+D122</f>
        <v>0</v>
      </c>
      <c r="E129" s="26">
        <f t="shared" si="1128"/>
        <v>0</v>
      </c>
      <c r="F129" s="26">
        <f t="shared" si="1128"/>
        <v>0</v>
      </c>
      <c r="G129" s="26">
        <f t="shared" si="1128"/>
        <v>0</v>
      </c>
      <c r="H129" s="26">
        <f t="shared" si="1128"/>
        <v>0</v>
      </c>
      <c r="I129" s="26">
        <f t="shared" si="1128"/>
        <v>0</v>
      </c>
      <c r="J129" s="26">
        <f t="shared" si="1128"/>
        <v>0</v>
      </c>
      <c r="K129" s="26">
        <f t="shared" si="1128"/>
        <v>0</v>
      </c>
      <c r="L129" s="26">
        <f t="shared" si="1128"/>
        <v>0</v>
      </c>
      <c r="M129" s="26">
        <f t="shared" si="1128"/>
        <v>0</v>
      </c>
      <c r="N129" s="26">
        <f t="shared" si="1128"/>
        <v>4.7E-2</v>
      </c>
      <c r="O129" s="26">
        <f t="shared" si="1128"/>
        <v>533.59100000000001</v>
      </c>
      <c r="P129" s="26">
        <f t="shared" si="1128"/>
        <v>1270.8820000000001</v>
      </c>
      <c r="Q129" s="26">
        <f t="shared" si="1128"/>
        <v>1261.0999999999999</v>
      </c>
      <c r="R129" s="26">
        <f t="shared" si="1128"/>
        <v>1587.1</v>
      </c>
      <c r="S129" s="26">
        <f t="shared" si="1128"/>
        <v>2006.8999999999999</v>
      </c>
      <c r="T129" s="26">
        <f t="shared" si="1128"/>
        <v>2552.3999999999996</v>
      </c>
      <c r="U129" s="26">
        <f t="shared" si="1128"/>
        <v>2805.8000000000006</v>
      </c>
      <c r="V129" s="26">
        <f t="shared" si="1128"/>
        <v>3483.2</v>
      </c>
      <c r="W129" s="26">
        <f t="shared" ref="W129" si="1129">W128+W120+W122</f>
        <v>4176.2</v>
      </c>
      <c r="X129" s="26">
        <f t="shared" ref="X129:Y129" si="1130">X128+X120+X122</f>
        <v>4452.8999999999996</v>
      </c>
      <c r="Y129" s="26">
        <f t="shared" si="1130"/>
        <v>5347.8</v>
      </c>
      <c r="Z129" s="26">
        <f t="shared" ref="Z129:AA129" si="1131">Z128+Z120+Z122</f>
        <v>6097.5</v>
      </c>
      <c r="AA129" s="26">
        <f t="shared" si="1131"/>
        <v>6492.2</v>
      </c>
      <c r="AB129" s="27">
        <f t="shared" ref="AB129:AD129" si="1132">AB128+AB120+AB122</f>
        <v>8046.2441980247722</v>
      </c>
      <c r="AC129" s="27">
        <f t="shared" si="1132"/>
        <v>9825.2879953407246</v>
      </c>
      <c r="AD129" s="27">
        <f t="shared" si="1132"/>
        <v>11834.814710585033</v>
      </c>
      <c r="AE129" s="27">
        <f t="shared" ref="AE129" si="1133">AE128+AE120+AE122</f>
        <v>14089.744722638985</v>
      </c>
      <c r="AJ129" s="26">
        <f t="shared" ref="AJ129" si="1134">AJ128+AJ120+AJ122</f>
        <v>0</v>
      </c>
      <c r="AK129" s="26">
        <f t="shared" ref="AK129" si="1135">AK128+AK120+AK122</f>
        <v>0</v>
      </c>
      <c r="AL129" s="26">
        <f t="shared" ref="AL129" si="1136">AL128+AL120+AL122</f>
        <v>0</v>
      </c>
      <c r="AM129" s="26">
        <f t="shared" ref="AM129:AO129" si="1137">AM128+AM120+AM122</f>
        <v>0</v>
      </c>
      <c r="AN129" s="26">
        <f t="shared" si="1137"/>
        <v>0</v>
      </c>
      <c r="AO129" s="26">
        <f t="shared" si="1137"/>
        <v>0</v>
      </c>
      <c r="AP129" s="26">
        <f t="shared" ref="AP129:CE129" si="1138">AP128+AP120+AP122</f>
        <v>0</v>
      </c>
      <c r="AQ129" s="26">
        <f t="shared" si="1138"/>
        <v>0</v>
      </c>
      <c r="AR129" s="26">
        <f t="shared" si="1138"/>
        <v>0</v>
      </c>
      <c r="AS129" s="26">
        <f t="shared" si="1138"/>
        <v>0</v>
      </c>
      <c r="AT129" s="26">
        <f t="shared" si="1138"/>
        <v>0</v>
      </c>
      <c r="AU129" s="26">
        <f t="shared" si="1138"/>
        <v>0</v>
      </c>
      <c r="AV129" s="26">
        <f t="shared" si="1138"/>
        <v>0</v>
      </c>
      <c r="AW129" s="26">
        <f t="shared" si="1138"/>
        <v>130.80000000000004</v>
      </c>
      <c r="AX129" s="26">
        <f t="shared" si="1138"/>
        <v>1261.0999999999999</v>
      </c>
      <c r="AY129" s="26">
        <f t="shared" si="1138"/>
        <v>1369.4</v>
      </c>
      <c r="AZ129" s="26">
        <f t="shared" si="1138"/>
        <v>1378.3</v>
      </c>
      <c r="BA129" s="26">
        <f t="shared" si="1138"/>
        <v>1486.9999999999998</v>
      </c>
      <c r="BB129" s="26">
        <f t="shared" si="1138"/>
        <v>1587.1</v>
      </c>
      <c r="BC129" s="26">
        <f t="shared" si="1138"/>
        <v>1685.3</v>
      </c>
      <c r="BD129" s="26">
        <f t="shared" si="1138"/>
        <v>1822.6000000000001</v>
      </c>
      <c r="BE129" s="26">
        <f t="shared" si="1138"/>
        <v>1948.9</v>
      </c>
      <c r="BF129" s="26">
        <f t="shared" si="1138"/>
        <v>2006.9</v>
      </c>
      <c r="BG129" s="26">
        <f t="shared" si="1138"/>
        <v>2204.4</v>
      </c>
      <c r="BH129" s="26">
        <f t="shared" ref="BH129" si="1139">BH128+BH120+BH122</f>
        <v>2054.6999999999998</v>
      </c>
      <c r="BI129" s="26">
        <f t="shared" si="1138"/>
        <v>2240.2999999999997</v>
      </c>
      <c r="BJ129" s="26">
        <f t="shared" si="1138"/>
        <v>2552.4</v>
      </c>
      <c r="BK129" s="26">
        <f t="shared" si="1138"/>
        <v>2756.3</v>
      </c>
      <c r="BL129" s="26">
        <f t="shared" si="1138"/>
        <v>2666.7000000000003</v>
      </c>
      <c r="BM129" s="26">
        <f t="shared" si="1138"/>
        <v>2870.8000000000006</v>
      </c>
      <c r="BN129" s="26">
        <f t="shared" si="1138"/>
        <v>2805.8</v>
      </c>
      <c r="BO129" s="26">
        <f t="shared" si="1138"/>
        <v>2923.0000000000005</v>
      </c>
      <c r="BP129" s="26">
        <f t="shared" si="1138"/>
        <v>3135</v>
      </c>
      <c r="BQ129" s="26">
        <f t="shared" si="1138"/>
        <v>3321.1</v>
      </c>
      <c r="BR129" s="26">
        <f t="shared" si="1138"/>
        <v>3483.2</v>
      </c>
      <c r="BS129" s="26">
        <f t="shared" si="1138"/>
        <v>3699.4</v>
      </c>
      <c r="BT129" s="26">
        <f t="shared" si="1138"/>
        <v>3824.6000000000004</v>
      </c>
      <c r="BU129" s="26">
        <f t="shared" si="1138"/>
        <v>4073.4000000000005</v>
      </c>
      <c r="BV129" s="26">
        <f t="shared" si="1138"/>
        <v>4176.2</v>
      </c>
      <c r="BW129" s="26">
        <f t="shared" si="1138"/>
        <v>4451.5999999999995</v>
      </c>
      <c r="BX129" s="26">
        <f t="shared" si="1138"/>
        <v>4467.6000000000004</v>
      </c>
      <c r="BY129" s="26">
        <f t="shared" si="1138"/>
        <v>4764.4000000000005</v>
      </c>
      <c r="BZ129" s="26">
        <f t="shared" si="1138"/>
        <v>4452.9000000000005</v>
      </c>
      <c r="CA129" s="26">
        <f t="shared" si="1138"/>
        <v>4764.0000000000009</v>
      </c>
      <c r="CB129" s="26">
        <f t="shared" si="1138"/>
        <v>4808.5</v>
      </c>
      <c r="CC129" s="26">
        <f t="shared" si="1138"/>
        <v>5144.7</v>
      </c>
      <c r="CD129" s="26">
        <f t="shared" si="1138"/>
        <v>5347.7999999999993</v>
      </c>
      <c r="CE129" s="26">
        <f t="shared" si="1138"/>
        <v>5661.4</v>
      </c>
      <c r="CF129" s="26">
        <f t="shared" ref="CF129:CG129" si="1140">CF128+CF120+CF122</f>
        <v>5640.9</v>
      </c>
      <c r="CG129" s="26">
        <f t="shared" si="1140"/>
        <v>5963.2999999999993</v>
      </c>
      <c r="CH129" s="26">
        <f t="shared" ref="CH129:CI129" si="1141">CH128+CH120+CH122</f>
        <v>6097.5</v>
      </c>
      <c r="CI129" s="26">
        <f t="shared" si="1141"/>
        <v>6413.2</v>
      </c>
      <c r="CJ129" s="26">
        <f t="shared" ref="CJ129:DB129" si="1142">CJ128+CJ120+CJ122</f>
        <v>6207.4</v>
      </c>
      <c r="CK129" s="26">
        <f t="shared" si="1142"/>
        <v>6510</v>
      </c>
      <c r="CL129" s="26">
        <f t="shared" ref="CL129" si="1143">CL128+CL120+CL122</f>
        <v>6492.2</v>
      </c>
      <c r="CM129" s="27">
        <f t="shared" si="1142"/>
        <v>6875.7399158657527</v>
      </c>
      <c r="CN129" s="27">
        <f t="shared" si="1142"/>
        <v>7268.0494605870481</v>
      </c>
      <c r="CO129" s="27">
        <f t="shared" si="1142"/>
        <v>7659.84462270726</v>
      </c>
      <c r="CP129" s="27">
        <f t="shared" si="1142"/>
        <v>8046.2441980247722</v>
      </c>
      <c r="CQ129" s="27">
        <f t="shared" si="1142"/>
        <v>8487.5697664941345</v>
      </c>
      <c r="CR129" s="27">
        <f t="shared" si="1142"/>
        <v>8942.5043143121966</v>
      </c>
      <c r="CS129" s="27">
        <f t="shared" si="1142"/>
        <v>9387.4137683432964</v>
      </c>
      <c r="CT129" s="27">
        <f t="shared" si="1142"/>
        <v>9825.2879953407246</v>
      </c>
      <c r="CU129" s="27">
        <f t="shared" si="1142"/>
        <v>10325.297731739982</v>
      </c>
      <c r="CV129" s="27">
        <f t="shared" si="1142"/>
        <v>10839.442082175046</v>
      </c>
      <c r="CW129" s="27">
        <f t="shared" si="1142"/>
        <v>11340.863445554322</v>
      </c>
      <c r="CX129" s="27">
        <f t="shared" si="1142"/>
        <v>11834.814710585033</v>
      </c>
      <c r="CY129" s="27">
        <f t="shared" si="1142"/>
        <v>12396.310195066109</v>
      </c>
      <c r="CZ129" s="27">
        <f t="shared" si="1142"/>
        <v>12972.763867223292</v>
      </c>
      <c r="DA129" s="27">
        <f t="shared" si="1142"/>
        <v>13535.214193117503</v>
      </c>
      <c r="DB129" s="27">
        <f t="shared" si="1142"/>
        <v>14089.744722638985</v>
      </c>
      <c r="DE129" s="121"/>
      <c r="DF129" s="26">
        <v>6492.2</v>
      </c>
    </row>
    <row r="130" spans="1:110" s="23" customFormat="1" x14ac:dyDescent="0.2">
      <c r="AB130" s="24"/>
      <c r="AC130" s="24"/>
      <c r="AD130" s="24"/>
      <c r="AE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0</v>
      </c>
      <c r="J131" s="23">
        <f>'Annual Raw'!K62-J135</f>
        <v>0</v>
      </c>
      <c r="K131" s="23">
        <f>'Annual Raw'!L62-K135</f>
        <v>0</v>
      </c>
      <c r="L131" s="23">
        <f>'Annual Raw'!M62-L135</f>
        <v>0</v>
      </c>
      <c r="M131" s="23">
        <f>'Annual Raw'!N62-M135</f>
        <v>0</v>
      </c>
      <c r="N131" s="23">
        <f>'Annual Raw'!O62-N135</f>
        <v>0</v>
      </c>
      <c r="O131" s="23">
        <f>'Annual Raw'!P62-O135</f>
        <v>53.930999999999983</v>
      </c>
      <c r="P131" s="23">
        <f>'Annual Raw'!Q62-P135</f>
        <v>561.577</v>
      </c>
      <c r="Q131" s="23">
        <f>'Annual Raw'!R62-Q135</f>
        <v>290.20000000000005</v>
      </c>
      <c r="R131" s="23">
        <f>'Annual Raw'!S62-R135</f>
        <v>320.00000000000006</v>
      </c>
      <c r="S131" s="23">
        <f>'Annual Raw'!T62-S135</f>
        <v>389.20000000000005</v>
      </c>
      <c r="T131" s="23">
        <f>'Annual Raw'!U62-T135</f>
        <v>504.90000000000009</v>
      </c>
      <c r="U131" s="23">
        <f>'Annual Raw'!V62-U135</f>
        <v>1095.5999999999999</v>
      </c>
      <c r="V131" s="23">
        <f>'Annual Raw'!W62-V135</f>
        <v>1329.4</v>
      </c>
      <c r="W131" s="23">
        <f>'Annual Raw'!X62-W135</f>
        <v>1508.3999999999999</v>
      </c>
      <c r="X131" s="23">
        <f>'Annual Raw'!Y62-X135</f>
        <v>1697.3000000000002</v>
      </c>
      <c r="Y131" s="23">
        <f>'Annual Raw'!Z62-Y135</f>
        <v>2078</v>
      </c>
      <c r="Z131" s="23">
        <f>'Annual Raw'!AA62-Z135</f>
        <v>2191.1999999999998</v>
      </c>
      <c r="AA131" s="23">
        <f>'Annual Raw'!AB62-AA135</f>
        <v>2194.3000000000002</v>
      </c>
      <c r="AB131" s="24">
        <f t="shared" ref="AB131:AB137" si="1144">+CP131</f>
        <v>2479.7999999999997</v>
      </c>
      <c r="AC131" s="24">
        <f t="shared" ref="AC131:AC137" si="1145">+CT131</f>
        <v>2799.7999999999997</v>
      </c>
      <c r="AD131" s="24">
        <f t="shared" ref="AD131:AD137" si="1146">+CX131</f>
        <v>3119.7999999999997</v>
      </c>
      <c r="AE131" s="24">
        <f t="shared" ref="AE131:AE137" si="1147">+DB131</f>
        <v>3439.7999999999997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198.8</v>
      </c>
      <c r="AZ131" s="23">
        <f>+'QTR Raw'!T68</f>
        <v>197.7</v>
      </c>
      <c r="BB131" s="23">
        <f>+'QTR Raw'!V68</f>
        <v>192.3</v>
      </c>
      <c r="BD131" s="23">
        <f>+'QTR Raw'!X68</f>
        <v>187.4</v>
      </c>
      <c r="BF131" s="23">
        <f>+'QTR Raw'!Z68</f>
        <v>217.3</v>
      </c>
      <c r="BH131" s="23">
        <f>+'QTR Raw'!AB68</f>
        <v>201.6</v>
      </c>
      <c r="BJ131" s="23">
        <f>+'QTR Raw'!AD68</f>
        <v>243.5</v>
      </c>
      <c r="BL131" s="23">
        <f>+'QTR Raw'!AF68</f>
        <v>621.1</v>
      </c>
      <c r="BN131" s="23">
        <f>+'QTR Raw'!AH68</f>
        <v>278.5</v>
      </c>
      <c r="BP131" s="23">
        <f>+'QTR Raw'!AJ68</f>
        <v>259.8</v>
      </c>
      <c r="BR131" s="23">
        <f>+'QTR Raw'!AL68</f>
        <v>280</v>
      </c>
      <c r="BT131" s="23">
        <f>+'QTR Raw'!AN68</f>
        <v>278.60000000000002</v>
      </c>
      <c r="BV131" s="23">
        <f>+'QTR Raw'!AP68</f>
        <v>287.3</v>
      </c>
      <c r="BX131" s="23">
        <f>+'QTR Raw'!AR68</f>
        <v>327.39999999999998</v>
      </c>
      <c r="BZ131" s="23">
        <f>+'QTR Raw'!AT68</f>
        <v>324.3</v>
      </c>
      <c r="CB131" s="23">
        <f>+'QTR Raw'!AV68</f>
        <v>315.3</v>
      </c>
      <c r="CD131" s="23">
        <f>+'QTR Raw'!AX68</f>
        <v>414</v>
      </c>
      <c r="CF131" s="23">
        <f>+'QTR Raw'!AZ68</f>
        <v>398.3</v>
      </c>
      <c r="CH131" s="23">
        <f t="shared" ref="CH131:CH137" si="1148">Z131</f>
        <v>2191.1999999999998</v>
      </c>
      <c r="CI131" s="23">
        <f>CH131</f>
        <v>2191.1999999999998</v>
      </c>
      <c r="CJ131" s="23">
        <f>+CJ132+CJ134</f>
        <v>2018.4999999999998</v>
      </c>
      <c r="CK131" s="23">
        <f>+CJ131</f>
        <v>2018.4999999999998</v>
      </c>
      <c r="CL131" s="23">
        <f>+CL132+CL134</f>
        <v>2159.7999999999997</v>
      </c>
      <c r="CM131" s="24">
        <f>+CL131+80</f>
        <v>2239.7999999999997</v>
      </c>
      <c r="CN131" s="24">
        <f t="shared" ref="CN131:DB131" si="1149">+CM131+80</f>
        <v>2319.7999999999997</v>
      </c>
      <c r="CO131" s="24">
        <f t="shared" si="1149"/>
        <v>2399.7999999999997</v>
      </c>
      <c r="CP131" s="24">
        <f t="shared" si="1149"/>
        <v>2479.7999999999997</v>
      </c>
      <c r="CQ131" s="24">
        <f t="shared" si="1149"/>
        <v>2559.7999999999997</v>
      </c>
      <c r="CR131" s="24">
        <f t="shared" si="1149"/>
        <v>2639.7999999999997</v>
      </c>
      <c r="CS131" s="24">
        <f t="shared" si="1149"/>
        <v>2719.7999999999997</v>
      </c>
      <c r="CT131" s="24">
        <f t="shared" si="1149"/>
        <v>2799.7999999999997</v>
      </c>
      <c r="CU131" s="24">
        <f t="shared" si="1149"/>
        <v>2879.7999999999997</v>
      </c>
      <c r="CV131" s="24">
        <f t="shared" si="1149"/>
        <v>2959.7999999999997</v>
      </c>
      <c r="CW131" s="24">
        <f t="shared" si="1149"/>
        <v>3039.7999999999997</v>
      </c>
      <c r="CX131" s="24">
        <f t="shared" si="1149"/>
        <v>3119.7999999999997</v>
      </c>
      <c r="CY131" s="24">
        <f t="shared" si="1149"/>
        <v>3199.7999999999997</v>
      </c>
      <c r="CZ131" s="24">
        <f t="shared" si="1149"/>
        <v>3279.7999999999997</v>
      </c>
      <c r="DA131" s="24">
        <f t="shared" si="1149"/>
        <v>3359.7999999999997</v>
      </c>
      <c r="DB131" s="24">
        <f t="shared" si="1149"/>
        <v>3439.7999999999997</v>
      </c>
      <c r="DE131" s="123"/>
      <c r="DF131" s="23">
        <v>2194.3000000000002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0</v>
      </c>
      <c r="J132" s="23">
        <f>'Annual Raw'!K63</f>
        <v>0</v>
      </c>
      <c r="K132" s="23">
        <f>'Annual Raw'!L63</f>
        <v>0</v>
      </c>
      <c r="L132" s="23">
        <f>'Annual Raw'!M63</f>
        <v>0</v>
      </c>
      <c r="M132" s="23">
        <f>'Annual Raw'!N63</f>
        <v>0</v>
      </c>
      <c r="N132" s="23">
        <f>'Annual Raw'!O63</f>
        <v>0</v>
      </c>
      <c r="O132" s="23">
        <f>'Annual Raw'!P63</f>
        <v>28.94</v>
      </c>
      <c r="P132" s="23">
        <f>'Annual Raw'!Q63</f>
        <v>0</v>
      </c>
      <c r="Q132" s="23">
        <f>'Annual Raw'!R63</f>
        <v>91.4</v>
      </c>
      <c r="R132" s="23">
        <f>'Annual Raw'!S63</f>
        <v>148.4</v>
      </c>
      <c r="S132" s="23">
        <f>'Annual Raw'!T63</f>
        <v>223.1</v>
      </c>
      <c r="T132" s="23">
        <f>'Annual Raw'!U63</f>
        <v>324.2</v>
      </c>
      <c r="U132" s="23">
        <f>'Annual Raw'!V63</f>
        <v>509.2</v>
      </c>
      <c r="V132" s="23">
        <f>'Annual Raw'!W63</f>
        <v>684.3</v>
      </c>
      <c r="W132" s="23">
        <f>'Annual Raw'!X63</f>
        <v>847</v>
      </c>
      <c r="X132" s="23">
        <f>'Annual Raw'!Y63</f>
        <v>1013.8</v>
      </c>
      <c r="Y132" s="23">
        <f>'Annual Raw'!Z63</f>
        <v>1075.0999999999999</v>
      </c>
      <c r="Z132" s="23">
        <f>'Annual Raw'!AA63</f>
        <v>1266.5999999999999</v>
      </c>
      <c r="AA132" s="23">
        <f>'Annual Raw'!AB63</f>
        <v>1293.7</v>
      </c>
      <c r="AB132" s="24">
        <f t="shared" si="1144"/>
        <v>1982.9419284174935</v>
      </c>
      <c r="AC132" s="24">
        <f t="shared" si="1145"/>
        <v>2325.7359736463204</v>
      </c>
      <c r="AD132" s="24">
        <f t="shared" si="1146"/>
        <v>2656.2446353131254</v>
      </c>
      <c r="AE132" s="24">
        <f t="shared" si="1147"/>
        <v>2981.0894080999983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8"/>
        <v>1266.5999999999999</v>
      </c>
      <c r="CI132" s="23">
        <f t="shared" ref="CI132:DB132" si="1150">CH132+CI32</f>
        <v>1347.6999999999998</v>
      </c>
      <c r="CJ132" s="23">
        <f t="shared" si="1150"/>
        <v>1440.2999999999997</v>
      </c>
      <c r="CK132" s="23">
        <f t="shared" si="1150"/>
        <v>1526.9999999999998</v>
      </c>
      <c r="CL132" s="23">
        <f t="shared" si="1150"/>
        <v>1613.4999999999998</v>
      </c>
      <c r="CM132" s="24">
        <f t="shared" si="1150"/>
        <v>1709.6443540183111</v>
      </c>
      <c r="CN132" s="24">
        <f t="shared" si="1150"/>
        <v>1802.9474331178351</v>
      </c>
      <c r="CO132" s="24">
        <f t="shared" si="1150"/>
        <v>1893.909278560983</v>
      </c>
      <c r="CP132" s="24">
        <f t="shared" si="1150"/>
        <v>1982.9419284174935</v>
      </c>
      <c r="CQ132" s="24">
        <f t="shared" si="1150"/>
        <v>2070.384905410142</v>
      </c>
      <c r="CR132" s="24">
        <f t="shared" si="1150"/>
        <v>2156.5179790256511</v>
      </c>
      <c r="CS132" s="24">
        <f t="shared" si="1150"/>
        <v>2241.5716815979422</v>
      </c>
      <c r="CT132" s="24">
        <f t="shared" si="1150"/>
        <v>2325.7359736463204</v>
      </c>
      <c r="CU132" s="24">
        <f t="shared" si="1150"/>
        <v>2409.1673841846587</v>
      </c>
      <c r="CV132" s="24">
        <f t="shared" si="1150"/>
        <v>2491.9948943942763</v>
      </c>
      <c r="CW132" s="24">
        <f t="shared" si="1150"/>
        <v>2574.3247858182744</v>
      </c>
      <c r="CX132" s="24">
        <f t="shared" si="1150"/>
        <v>2656.2446353131254</v>
      </c>
      <c r="CY132" s="24">
        <f t="shared" si="1150"/>
        <v>2737.8266069212937</v>
      </c>
      <c r="CZ132" s="24">
        <f t="shared" si="1150"/>
        <v>2819.1301644010659</v>
      </c>
      <c r="DA132" s="24">
        <f t="shared" si="1150"/>
        <v>2900.2043063732081</v>
      </c>
      <c r="DB132" s="24">
        <f t="shared" si="1150"/>
        <v>2981.0894080999983</v>
      </c>
      <c r="DE132" s="123"/>
      <c r="DF132" s="23">
        <v>1293.7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4"/>
        <v>0</v>
      </c>
      <c r="AC133" s="24">
        <f t="shared" si="1145"/>
        <v>0</v>
      </c>
      <c r="AD133" s="24">
        <f t="shared" si="1146"/>
        <v>0</v>
      </c>
      <c r="AE133" s="24">
        <f t="shared" si="1147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8"/>
        <v>0</v>
      </c>
      <c r="CI133" s="23">
        <f>CH133</f>
        <v>0</v>
      </c>
      <c r="CJ133" s="23">
        <f>+'QTR Raw'!BD70</f>
        <v>0</v>
      </c>
      <c r="CK133" s="23">
        <f t="shared" ref="CK133:DB133" si="1151">CJ133</f>
        <v>0</v>
      </c>
      <c r="CL133" s="23">
        <f>+'QTR Raw'!BF70</f>
        <v>0</v>
      </c>
      <c r="CM133" s="24">
        <f t="shared" si="1151"/>
        <v>0</v>
      </c>
      <c r="CN133" s="24">
        <f t="shared" si="1151"/>
        <v>0</v>
      </c>
      <c r="CO133" s="24">
        <f t="shared" si="1151"/>
        <v>0</v>
      </c>
      <c r="CP133" s="24">
        <f t="shared" si="1151"/>
        <v>0</v>
      </c>
      <c r="CQ133" s="24">
        <f t="shared" si="1151"/>
        <v>0</v>
      </c>
      <c r="CR133" s="24">
        <f t="shared" si="1151"/>
        <v>0</v>
      </c>
      <c r="CS133" s="24">
        <f t="shared" si="1151"/>
        <v>0</v>
      </c>
      <c r="CT133" s="24">
        <f t="shared" si="1151"/>
        <v>0</v>
      </c>
      <c r="CU133" s="24">
        <f t="shared" si="1151"/>
        <v>0</v>
      </c>
      <c r="CV133" s="24">
        <f t="shared" si="1151"/>
        <v>0</v>
      </c>
      <c r="CW133" s="24">
        <f t="shared" si="1151"/>
        <v>0</v>
      </c>
      <c r="CX133" s="24">
        <f t="shared" si="1151"/>
        <v>0</v>
      </c>
      <c r="CY133" s="24">
        <f t="shared" si="1151"/>
        <v>0</v>
      </c>
      <c r="CZ133" s="24">
        <f t="shared" si="1151"/>
        <v>0</v>
      </c>
      <c r="DA133" s="24">
        <f t="shared" si="1151"/>
        <v>0</v>
      </c>
      <c r="DB133" s="24">
        <f t="shared" si="1151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52">+C131-C132-C133</f>
        <v>0</v>
      </c>
      <c r="D134" s="22">
        <f t="shared" si="1152"/>
        <v>0</v>
      </c>
      <c r="E134" s="22">
        <f t="shared" si="1152"/>
        <v>0</v>
      </c>
      <c r="F134" s="22">
        <f t="shared" si="1152"/>
        <v>0</v>
      </c>
      <c r="G134" s="22">
        <f t="shared" si="1152"/>
        <v>0</v>
      </c>
      <c r="H134" s="22">
        <f t="shared" si="1152"/>
        <v>0</v>
      </c>
      <c r="I134" s="22">
        <f t="shared" si="1152"/>
        <v>0</v>
      </c>
      <c r="J134" s="22">
        <f t="shared" si="1152"/>
        <v>0</v>
      </c>
      <c r="K134" s="22">
        <f t="shared" si="1152"/>
        <v>0</v>
      </c>
      <c r="L134" s="22">
        <f t="shared" si="1152"/>
        <v>0</v>
      </c>
      <c r="M134" s="22">
        <f t="shared" si="1152"/>
        <v>0</v>
      </c>
      <c r="N134" s="22">
        <f t="shared" si="1152"/>
        <v>0</v>
      </c>
      <c r="O134" s="22">
        <f t="shared" si="1152"/>
        <v>24.990999999999982</v>
      </c>
      <c r="P134" s="22">
        <f t="shared" si="1152"/>
        <v>561.577</v>
      </c>
      <c r="Q134" s="22">
        <f t="shared" si="1152"/>
        <v>198.80000000000004</v>
      </c>
      <c r="R134" s="22">
        <f t="shared" si="1152"/>
        <v>171.60000000000005</v>
      </c>
      <c r="S134" s="22">
        <f t="shared" si="1152"/>
        <v>166.10000000000005</v>
      </c>
      <c r="T134" s="22">
        <f t="shared" si="1152"/>
        <v>180.7000000000001</v>
      </c>
      <c r="U134" s="22">
        <f t="shared" si="1152"/>
        <v>586.39999999999986</v>
      </c>
      <c r="V134" s="22">
        <f t="shared" si="1152"/>
        <v>645.10000000000014</v>
      </c>
      <c r="W134" s="22">
        <f t="shared" si="1152"/>
        <v>661.39999999999986</v>
      </c>
      <c r="X134" s="22">
        <f t="shared" ref="X134:Y134" si="1153">+X131-X132-X133</f>
        <v>683.50000000000023</v>
      </c>
      <c r="Y134" s="22">
        <f t="shared" si="1153"/>
        <v>1002.9000000000001</v>
      </c>
      <c r="Z134" s="22">
        <f t="shared" ref="Z134:AE134" si="1154">+Z131-Z132-Z133</f>
        <v>924.59999999999991</v>
      </c>
      <c r="AA134" s="22">
        <f t="shared" ref="AA134" si="1155">+AA131-AA132-AA133</f>
        <v>900.60000000000014</v>
      </c>
      <c r="AB134" s="21">
        <f t="shared" si="1154"/>
        <v>496.85807158250623</v>
      </c>
      <c r="AC134" s="21">
        <f t="shared" si="1154"/>
        <v>474.06402635367931</v>
      </c>
      <c r="AD134" s="21">
        <f t="shared" si="1154"/>
        <v>463.55536468687433</v>
      </c>
      <c r="AE134" s="21">
        <f t="shared" si="1154"/>
        <v>458.71059190000142</v>
      </c>
      <c r="AJ134" s="22">
        <f t="shared" ref="AJ134:AL134" si="1156">+AJ131-AJ132-AJ133</f>
        <v>0</v>
      </c>
      <c r="AK134" s="22">
        <f t="shared" ref="AK134:CE134" si="1157">+AJ134</f>
        <v>0</v>
      </c>
      <c r="AL134" s="22">
        <f t="shared" si="1156"/>
        <v>0</v>
      </c>
      <c r="AM134" s="22">
        <f t="shared" si="1157"/>
        <v>0</v>
      </c>
      <c r="AN134" s="22">
        <f t="shared" ref="AN134" si="1158">+AN131-AN132-AN133</f>
        <v>0</v>
      </c>
      <c r="AO134" s="22">
        <f t="shared" si="1157"/>
        <v>0</v>
      </c>
      <c r="AP134" s="22">
        <f t="shared" ref="AP134:CD134" si="1159">+AP131-AP132-AP133</f>
        <v>0</v>
      </c>
      <c r="AQ134" s="22">
        <f t="shared" si="1157"/>
        <v>0</v>
      </c>
      <c r="AR134" s="22">
        <f t="shared" si="1159"/>
        <v>0</v>
      </c>
      <c r="AS134" s="22">
        <f t="shared" si="1157"/>
        <v>0</v>
      </c>
      <c r="AT134" s="22">
        <f t="shared" si="1159"/>
        <v>0</v>
      </c>
      <c r="AU134" s="22">
        <f t="shared" si="1157"/>
        <v>0</v>
      </c>
      <c r="AV134" s="22">
        <f t="shared" si="1159"/>
        <v>0</v>
      </c>
      <c r="AW134" s="22">
        <f t="shared" si="1157"/>
        <v>0</v>
      </c>
      <c r="AX134" s="22">
        <f t="shared" si="1159"/>
        <v>198.8</v>
      </c>
      <c r="AY134" s="22">
        <f t="shared" si="1157"/>
        <v>198.8</v>
      </c>
      <c r="AZ134" s="22">
        <f t="shared" si="1159"/>
        <v>197.7</v>
      </c>
      <c r="BA134" s="22">
        <f t="shared" si="1157"/>
        <v>197.7</v>
      </c>
      <c r="BB134" s="22">
        <f t="shared" si="1159"/>
        <v>192.3</v>
      </c>
      <c r="BC134" s="22">
        <f t="shared" si="1157"/>
        <v>192.3</v>
      </c>
      <c r="BD134" s="22">
        <f t="shared" si="1159"/>
        <v>187.4</v>
      </c>
      <c r="BE134" s="22">
        <f t="shared" si="1157"/>
        <v>187.4</v>
      </c>
      <c r="BF134" s="22">
        <f t="shared" si="1159"/>
        <v>217.3</v>
      </c>
      <c r="BG134" s="22">
        <f t="shared" si="1157"/>
        <v>217.3</v>
      </c>
      <c r="BH134" s="22">
        <f t="shared" si="1159"/>
        <v>201.6</v>
      </c>
      <c r="BI134" s="22">
        <f t="shared" si="1157"/>
        <v>201.6</v>
      </c>
      <c r="BJ134" s="22">
        <f t="shared" si="1159"/>
        <v>243.5</v>
      </c>
      <c r="BK134" s="22">
        <f t="shared" si="1157"/>
        <v>243.5</v>
      </c>
      <c r="BL134" s="22">
        <f t="shared" si="1159"/>
        <v>621.1</v>
      </c>
      <c r="BM134" s="22">
        <f t="shared" si="1157"/>
        <v>621.1</v>
      </c>
      <c r="BN134" s="22">
        <f t="shared" si="1159"/>
        <v>278.5</v>
      </c>
      <c r="BO134" s="22">
        <f t="shared" si="1157"/>
        <v>278.5</v>
      </c>
      <c r="BP134" s="22">
        <f t="shared" si="1159"/>
        <v>259.8</v>
      </c>
      <c r="BQ134" s="22">
        <f t="shared" si="1157"/>
        <v>259.8</v>
      </c>
      <c r="BR134" s="22">
        <f t="shared" si="1159"/>
        <v>280</v>
      </c>
      <c r="BS134" s="22">
        <f t="shared" si="1157"/>
        <v>280</v>
      </c>
      <c r="BT134" s="22">
        <f t="shared" si="1159"/>
        <v>278.60000000000002</v>
      </c>
      <c r="BU134" s="22">
        <f t="shared" si="1157"/>
        <v>278.60000000000002</v>
      </c>
      <c r="BV134" s="22">
        <f t="shared" si="1159"/>
        <v>287.3</v>
      </c>
      <c r="BW134" s="22">
        <f t="shared" si="1157"/>
        <v>287.3</v>
      </c>
      <c r="BX134" s="22">
        <f t="shared" si="1159"/>
        <v>327.39999999999998</v>
      </c>
      <c r="BY134" s="22">
        <f t="shared" si="1157"/>
        <v>327.39999999999998</v>
      </c>
      <c r="BZ134" s="22">
        <f t="shared" si="1159"/>
        <v>324.3</v>
      </c>
      <c r="CA134" s="22">
        <f t="shared" si="1157"/>
        <v>324.3</v>
      </c>
      <c r="CB134" s="22">
        <f t="shared" si="1159"/>
        <v>315.3</v>
      </c>
      <c r="CC134" s="22">
        <f t="shared" si="1157"/>
        <v>315.3</v>
      </c>
      <c r="CD134" s="22">
        <f t="shared" si="1159"/>
        <v>414</v>
      </c>
      <c r="CE134" s="22">
        <f t="shared" si="1157"/>
        <v>414</v>
      </c>
      <c r="CF134" s="22">
        <f t="shared" ref="CF134:CI134" si="1160">+CF131-CF132-CF133</f>
        <v>398.3</v>
      </c>
      <c r="CG134" s="22">
        <f t="shared" ref="CG134:CI137" si="1161">+CF134</f>
        <v>398.3</v>
      </c>
      <c r="CH134" s="22">
        <f t="shared" si="1160"/>
        <v>924.59999999999991</v>
      </c>
      <c r="CI134" s="22">
        <f t="shared" si="1160"/>
        <v>843.5</v>
      </c>
      <c r="CJ134" s="23">
        <f>+'QTR Raw'!BD68</f>
        <v>578.20000000000005</v>
      </c>
      <c r="CK134" s="23">
        <f t="shared" ref="CK134:DB134" si="1162">+CK131-CK132-CK133</f>
        <v>491.5</v>
      </c>
      <c r="CL134" s="23">
        <f>+'QTR Raw'!BF68</f>
        <v>546.29999999999995</v>
      </c>
      <c r="CM134" s="21">
        <f t="shared" si="1162"/>
        <v>530.15564598168862</v>
      </c>
      <c r="CN134" s="21">
        <f t="shared" si="1162"/>
        <v>516.85256688216464</v>
      </c>
      <c r="CO134" s="21">
        <f t="shared" si="1162"/>
        <v>505.89072143901672</v>
      </c>
      <c r="CP134" s="21">
        <f t="shared" si="1162"/>
        <v>496.85807158250623</v>
      </c>
      <c r="CQ134" s="21">
        <f t="shared" si="1162"/>
        <v>489.41509458985774</v>
      </c>
      <c r="CR134" s="21">
        <f t="shared" si="1162"/>
        <v>483.2820209743486</v>
      </c>
      <c r="CS134" s="21">
        <f t="shared" si="1162"/>
        <v>478.22831840205754</v>
      </c>
      <c r="CT134" s="21">
        <f t="shared" si="1162"/>
        <v>474.06402635367931</v>
      </c>
      <c r="CU134" s="21">
        <f t="shared" si="1162"/>
        <v>470.63261581534107</v>
      </c>
      <c r="CV134" s="21">
        <f t="shared" si="1162"/>
        <v>467.80510560572338</v>
      </c>
      <c r="CW134" s="21">
        <f t="shared" si="1162"/>
        <v>465.47521418172528</v>
      </c>
      <c r="CX134" s="21">
        <f t="shared" si="1162"/>
        <v>463.55536468687433</v>
      </c>
      <c r="CY134" s="21">
        <f t="shared" si="1162"/>
        <v>461.97339307870607</v>
      </c>
      <c r="CZ134" s="21">
        <f t="shared" si="1162"/>
        <v>460.66983559893379</v>
      </c>
      <c r="DA134" s="21">
        <f t="shared" si="1162"/>
        <v>459.59569362679167</v>
      </c>
      <c r="DB134" s="21">
        <f t="shared" si="1162"/>
        <v>458.71059190000142</v>
      </c>
      <c r="DE134" s="126"/>
      <c r="DF134" s="22">
        <v>900.60000000000014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379.697</v>
      </c>
      <c r="P135" s="23">
        <f>'Annual Raw'!Q86</f>
        <v>7.6029999999999998</v>
      </c>
      <c r="Q135" s="23">
        <f>'Annual Raw'!R86</f>
        <v>422</v>
      </c>
      <c r="R135" s="23">
        <f>'Annual Raw'!S86</f>
        <v>442.2</v>
      </c>
      <c r="S135" s="23">
        <f>'Annual Raw'!T86</f>
        <v>543.29999999999995</v>
      </c>
      <c r="T135" s="23">
        <f>'Annual Raw'!U86</f>
        <v>599.29999999999995</v>
      </c>
      <c r="U135" s="23">
        <f>'Annual Raw'!V86</f>
        <v>587.1</v>
      </c>
      <c r="V135" s="23">
        <f>'Annual Raw'!W86</f>
        <v>637.29999999999995</v>
      </c>
      <c r="W135" s="23">
        <f>'Annual Raw'!X86</f>
        <v>621.29999999999995</v>
      </c>
      <c r="X135" s="23">
        <f>'Annual Raw'!Y86</f>
        <v>619.5</v>
      </c>
      <c r="Y135" s="23">
        <f>'Annual Raw'!Z86</f>
        <v>609.70000000000005</v>
      </c>
      <c r="Z135" s="23">
        <f>'Annual Raw'!AA86</f>
        <v>1320.3</v>
      </c>
      <c r="AA135" s="23">
        <f>'Annual Raw'!AB86</f>
        <v>1349.7</v>
      </c>
      <c r="AB135" s="24">
        <f t="shared" si="1144"/>
        <v>1202.9000000000001</v>
      </c>
      <c r="AC135" s="24">
        <f t="shared" si="1145"/>
        <v>1202.9000000000001</v>
      </c>
      <c r="AD135" s="24">
        <f t="shared" si="1146"/>
        <v>1202.9000000000001</v>
      </c>
      <c r="AE135" s="24">
        <f t="shared" si="1147"/>
        <v>1202.9000000000001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63">+AL135</f>
        <v>0</v>
      </c>
      <c r="AN135" s="23">
        <f>+'QTR Raw'!H72</f>
        <v>0</v>
      </c>
      <c r="AO135" s="23">
        <f t="shared" si="1163"/>
        <v>0</v>
      </c>
      <c r="AP135" s="23">
        <f>+'QTR Raw'!J72</f>
        <v>0</v>
      </c>
      <c r="AQ135" s="23">
        <f t="shared" si="1163"/>
        <v>0</v>
      </c>
      <c r="AR135" s="23">
        <f>+'QTR Raw'!L72</f>
        <v>0</v>
      </c>
      <c r="AS135" s="23">
        <f t="shared" si="1163"/>
        <v>0</v>
      </c>
      <c r="AT135" s="23">
        <f>+'QTR Raw'!N72</f>
        <v>0</v>
      </c>
      <c r="AU135" s="23">
        <f t="shared" si="1163"/>
        <v>0</v>
      </c>
      <c r="AV135" s="23">
        <f>+'QTR Raw'!P72</f>
        <v>0</v>
      </c>
      <c r="AW135" s="23">
        <f t="shared" si="1163"/>
        <v>0</v>
      </c>
      <c r="AX135" s="23">
        <f>+'QTR Raw'!R72</f>
        <v>422</v>
      </c>
      <c r="AY135" s="23">
        <f t="shared" si="1163"/>
        <v>422</v>
      </c>
      <c r="AZ135" s="23">
        <f>+'QTR Raw'!T72</f>
        <v>422.2</v>
      </c>
      <c r="BA135" s="23">
        <f t="shared" si="1163"/>
        <v>422.2</v>
      </c>
      <c r="BB135" s="23">
        <f>+'QTR Raw'!V72</f>
        <v>421.5</v>
      </c>
      <c r="BC135" s="23">
        <f t="shared" si="1163"/>
        <v>421.5</v>
      </c>
      <c r="BD135" s="23">
        <f>+'QTR Raw'!X72</f>
        <v>531.79999999999995</v>
      </c>
      <c r="BE135" s="23">
        <f t="shared" si="1163"/>
        <v>531.79999999999995</v>
      </c>
      <c r="BF135" s="23">
        <f>+'QTR Raw'!Z72</f>
        <v>492.1</v>
      </c>
      <c r="BG135" s="23">
        <f t="shared" si="1163"/>
        <v>492.1</v>
      </c>
      <c r="BH135" s="23">
        <f>+'QTR Raw'!AB72</f>
        <v>502.7</v>
      </c>
      <c r="BI135" s="23">
        <f t="shared" si="1163"/>
        <v>502.7</v>
      </c>
      <c r="BJ135" s="23">
        <f>+'QTR Raw'!AD72</f>
        <v>536.5</v>
      </c>
      <c r="BK135" s="23">
        <f t="shared" si="1163"/>
        <v>536.5</v>
      </c>
      <c r="BL135" s="23">
        <f>+'QTR Raw'!AF72</f>
        <v>539</v>
      </c>
      <c r="BM135" s="23">
        <f t="shared" si="1163"/>
        <v>539</v>
      </c>
      <c r="BN135" s="23">
        <f>+'QTR Raw'!AH72</f>
        <v>546</v>
      </c>
      <c r="BO135" s="23">
        <f t="shared" si="1163"/>
        <v>546</v>
      </c>
      <c r="BP135" s="23">
        <f>+'QTR Raw'!AJ72</f>
        <v>543.20000000000005</v>
      </c>
      <c r="BQ135" s="23">
        <f t="shared" si="1163"/>
        <v>543.20000000000005</v>
      </c>
      <c r="BR135" s="23">
        <f>+'QTR Raw'!AL72</f>
        <v>582.70000000000005</v>
      </c>
      <c r="BS135" s="23">
        <f t="shared" si="1163"/>
        <v>582.70000000000005</v>
      </c>
      <c r="BT135" s="23">
        <f>+'QTR Raw'!AN72</f>
        <v>585</v>
      </c>
      <c r="BU135" s="23">
        <f t="shared" si="1163"/>
        <v>585</v>
      </c>
      <c r="BV135" s="23">
        <f>+'QTR Raw'!AP72</f>
        <v>588.1</v>
      </c>
      <c r="BW135" s="23">
        <f t="shared" si="1163"/>
        <v>588.1</v>
      </c>
      <c r="BX135" s="23">
        <f>+'QTR Raw'!AR72</f>
        <v>599.29999999999995</v>
      </c>
      <c r="BY135" s="23">
        <f t="shared" si="1163"/>
        <v>599.29999999999995</v>
      </c>
      <c r="BZ135" s="23">
        <f>+'QTR Raw'!AT72</f>
        <v>601</v>
      </c>
      <c r="CA135" s="23">
        <f t="shared" si="1163"/>
        <v>601</v>
      </c>
      <c r="CB135" s="23">
        <f>+'QTR Raw'!AV72</f>
        <v>602.70000000000005</v>
      </c>
      <c r="CC135" s="23">
        <f t="shared" si="1163"/>
        <v>602.70000000000005</v>
      </c>
      <c r="CD135" s="23">
        <f>+'QTR Raw'!AX72</f>
        <v>603.5</v>
      </c>
      <c r="CE135" s="23">
        <f t="shared" si="1163"/>
        <v>603.5</v>
      </c>
      <c r="CF135" s="23">
        <f>+'QTR Raw'!AZ72</f>
        <v>604.29999999999995</v>
      </c>
      <c r="CG135" s="23">
        <f t="shared" si="1161"/>
        <v>604.29999999999995</v>
      </c>
      <c r="CH135" s="23">
        <f t="shared" si="1148"/>
        <v>1320.3</v>
      </c>
      <c r="CI135" s="23">
        <f t="shared" si="1161"/>
        <v>1320.3</v>
      </c>
      <c r="CJ135" s="23">
        <f>+'QTR Raw'!BD72</f>
        <v>1155.9000000000001</v>
      </c>
      <c r="CK135" s="23">
        <f t="shared" ref="CK135:CK137" si="1164">+CJ135</f>
        <v>1155.9000000000001</v>
      </c>
      <c r="CL135" s="23">
        <f>+'QTR Raw'!BF72</f>
        <v>1202.9000000000001</v>
      </c>
      <c r="CM135" s="24">
        <f t="shared" ref="CM135:CM137" si="1165">+CL135</f>
        <v>1202.9000000000001</v>
      </c>
      <c r="CN135" s="24">
        <f t="shared" ref="CN135:CN137" si="1166">+CM135</f>
        <v>1202.9000000000001</v>
      </c>
      <c r="CO135" s="24">
        <f t="shared" ref="CO135:CO137" si="1167">+CN135</f>
        <v>1202.9000000000001</v>
      </c>
      <c r="CP135" s="24">
        <f t="shared" ref="CP135:CP137" si="1168">+CO135</f>
        <v>1202.9000000000001</v>
      </c>
      <c r="CQ135" s="24">
        <f t="shared" ref="CQ135:CQ137" si="1169">+CP135</f>
        <v>1202.9000000000001</v>
      </c>
      <c r="CR135" s="24">
        <f t="shared" ref="CR135:CR137" si="1170">+CQ135</f>
        <v>1202.9000000000001</v>
      </c>
      <c r="CS135" s="24">
        <f t="shared" ref="CS135:CS137" si="1171">+CR135</f>
        <v>1202.9000000000001</v>
      </c>
      <c r="CT135" s="24">
        <f t="shared" ref="CT135:CT137" si="1172">+CS135</f>
        <v>1202.9000000000001</v>
      </c>
      <c r="CU135" s="24">
        <f t="shared" ref="CU135:CU137" si="1173">+CT135</f>
        <v>1202.9000000000001</v>
      </c>
      <c r="CV135" s="24">
        <f t="shared" ref="CV135:CV137" si="1174">+CU135</f>
        <v>1202.9000000000001</v>
      </c>
      <c r="CW135" s="24">
        <f t="shared" ref="CW135:CW137" si="1175">+CV135</f>
        <v>1202.9000000000001</v>
      </c>
      <c r="CX135" s="24">
        <f t="shared" ref="CX135:CX137" si="1176">+CW135</f>
        <v>1202.9000000000001</v>
      </c>
      <c r="CY135" s="24">
        <f t="shared" ref="CY135:CY137" si="1177">+CX135</f>
        <v>1202.9000000000001</v>
      </c>
      <c r="CZ135" s="24">
        <f t="shared" ref="CZ135:CZ137" si="1178">+CY135</f>
        <v>1202.9000000000001</v>
      </c>
      <c r="DA135" s="24">
        <f t="shared" ref="DA135:DA137" si="1179">+CZ135</f>
        <v>1202.9000000000001</v>
      </c>
      <c r="DB135" s="24">
        <f t="shared" ref="DB135:DB137" si="1180">+DA135</f>
        <v>1202.9000000000001</v>
      </c>
      <c r="DE135" s="123"/>
      <c r="DF135" s="23">
        <v>1349.7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44"/>
        <v>0</v>
      </c>
      <c r="AC136" s="24">
        <f t="shared" si="1145"/>
        <v>0</v>
      </c>
      <c r="AD136" s="24">
        <f t="shared" si="1146"/>
        <v>0</v>
      </c>
      <c r="AE136" s="24">
        <f t="shared" si="1147"/>
        <v>0</v>
      </c>
      <c r="AK136" s="23">
        <f t="shared" si="1163"/>
        <v>0</v>
      </c>
      <c r="AM136" s="23">
        <f t="shared" si="1163"/>
        <v>0</v>
      </c>
      <c r="AO136" s="23">
        <f t="shared" si="1163"/>
        <v>0</v>
      </c>
      <c r="AQ136" s="23">
        <f t="shared" si="1163"/>
        <v>0</v>
      </c>
      <c r="AS136" s="23">
        <f t="shared" si="1163"/>
        <v>0</v>
      </c>
      <c r="AU136" s="23">
        <f t="shared" si="1163"/>
        <v>0</v>
      </c>
      <c r="AW136" s="23">
        <f t="shared" si="1163"/>
        <v>0</v>
      </c>
      <c r="AY136" s="23">
        <f t="shared" si="1163"/>
        <v>0</v>
      </c>
      <c r="BA136" s="23">
        <f t="shared" si="1163"/>
        <v>0</v>
      </c>
      <c r="BC136" s="23">
        <f t="shared" si="1163"/>
        <v>0</v>
      </c>
      <c r="BE136" s="23">
        <f t="shared" si="1163"/>
        <v>0</v>
      </c>
      <c r="BG136" s="23">
        <f t="shared" si="1163"/>
        <v>0</v>
      </c>
      <c r="BI136" s="23">
        <f t="shared" si="1163"/>
        <v>0</v>
      </c>
      <c r="BK136" s="23">
        <f t="shared" si="1163"/>
        <v>0</v>
      </c>
      <c r="BM136" s="23">
        <f t="shared" si="1163"/>
        <v>0</v>
      </c>
      <c r="BO136" s="23">
        <f t="shared" si="1163"/>
        <v>0</v>
      </c>
      <c r="BQ136" s="23">
        <f t="shared" si="1163"/>
        <v>0</v>
      </c>
      <c r="BS136" s="23">
        <f t="shared" si="1163"/>
        <v>0</v>
      </c>
      <c r="BU136" s="23">
        <f t="shared" si="1163"/>
        <v>0</v>
      </c>
      <c r="BW136" s="23">
        <f t="shared" si="1163"/>
        <v>0</v>
      </c>
      <c r="BY136" s="23">
        <f t="shared" si="1163"/>
        <v>0</v>
      </c>
      <c r="CA136" s="23">
        <f t="shared" si="1163"/>
        <v>0</v>
      </c>
      <c r="CC136" s="23">
        <f t="shared" si="1163"/>
        <v>0</v>
      </c>
      <c r="CE136" s="23">
        <f t="shared" si="1163"/>
        <v>0</v>
      </c>
      <c r="CG136" s="23">
        <f t="shared" si="1161"/>
        <v>0</v>
      </c>
      <c r="CH136" s="23">
        <f t="shared" si="1148"/>
        <v>0</v>
      </c>
      <c r="CI136" s="23">
        <f t="shared" si="1161"/>
        <v>0</v>
      </c>
      <c r="CK136" s="23">
        <f t="shared" si="1164"/>
        <v>0</v>
      </c>
      <c r="CM136" s="24">
        <f t="shared" si="1165"/>
        <v>0</v>
      </c>
      <c r="CN136" s="24">
        <f t="shared" si="1166"/>
        <v>0</v>
      </c>
      <c r="CO136" s="24">
        <f t="shared" si="1167"/>
        <v>0</v>
      </c>
      <c r="CP136" s="24">
        <f t="shared" si="1168"/>
        <v>0</v>
      </c>
      <c r="CQ136" s="24">
        <f t="shared" si="1169"/>
        <v>0</v>
      </c>
      <c r="CR136" s="24">
        <f t="shared" si="1170"/>
        <v>0</v>
      </c>
      <c r="CS136" s="24">
        <f t="shared" si="1171"/>
        <v>0</v>
      </c>
      <c r="CT136" s="24">
        <f t="shared" si="1172"/>
        <v>0</v>
      </c>
      <c r="CU136" s="24">
        <f t="shared" si="1173"/>
        <v>0</v>
      </c>
      <c r="CV136" s="24">
        <f t="shared" si="1174"/>
        <v>0</v>
      </c>
      <c r="CW136" s="24">
        <f t="shared" si="1175"/>
        <v>0</v>
      </c>
      <c r="CX136" s="24">
        <f t="shared" si="1176"/>
        <v>0</v>
      </c>
      <c r="CY136" s="24">
        <f t="shared" si="1177"/>
        <v>0</v>
      </c>
      <c r="CZ136" s="24">
        <f t="shared" si="1178"/>
        <v>0</v>
      </c>
      <c r="DA136" s="24">
        <f t="shared" si="1179"/>
        <v>0</v>
      </c>
      <c r="DB136" s="24">
        <f t="shared" si="1180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0</v>
      </c>
      <c r="K137" s="23">
        <f>'Annual Raw'!L67+'Annual Raw'!L66+'Annual Raw'!L69+'Annual Raw'!L70</f>
        <v>0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0.42</v>
      </c>
      <c r="Q137" s="23">
        <f>'Annual Raw'!R67+'Annual Raw'!R66+'Annual Raw'!R69+'Annual Raw'!R70</f>
        <v>14.3</v>
      </c>
      <c r="R137" s="23">
        <f>'Annual Raw'!S67+'Annual Raw'!S66+'Annual Raw'!S69+'Annual Raw'!S70</f>
        <v>2.2999999999999998</v>
      </c>
      <c r="S137" s="23">
        <f>'Annual Raw'!T67+'Annual Raw'!T66+'Annual Raw'!T69+'Annual Raw'!T70</f>
        <v>0.1</v>
      </c>
      <c r="T137" s="23">
        <f>'Annual Raw'!U67+'Annual Raw'!U66+'Annual Raw'!U69+'Annual Raw'!U70</f>
        <v>0</v>
      </c>
      <c r="U137" s="23">
        <f>'Annual Raw'!V67+'Annual Raw'!V66+'Annual Raw'!V69+'Annual Raw'!V70</f>
        <v>8.6999999999999993</v>
      </c>
      <c r="V137" s="23">
        <f>'Annual Raw'!W67+'Annual Raw'!W66+'Annual Raw'!W69+'Annual Raw'!W70</f>
        <v>11.9</v>
      </c>
      <c r="W137" s="23">
        <f>'Annual Raw'!X67+'Annual Raw'!X66+'Annual Raw'!X69+'Annual Raw'!X70</f>
        <v>9.9</v>
      </c>
      <c r="X137" s="23">
        <f>'Annual Raw'!Y67+'Annual Raw'!Y66+'Annual Raw'!Y69+'Annual Raw'!Y70</f>
        <v>6.5</v>
      </c>
      <c r="Y137" s="23">
        <f>'Annual Raw'!Z67+'Annual Raw'!Z66+'Annual Raw'!Z69+'Annual Raw'!Z70</f>
        <v>13.1</v>
      </c>
      <c r="Z137" s="23">
        <f>'Annual Raw'!AA67+'Annual Raw'!AA66+'Annual Raw'!AA69+'Annual Raw'!AA70</f>
        <v>28</v>
      </c>
      <c r="AA137" s="23">
        <f>'Annual Raw'!AB67+'Annual Raw'!AB66+'Annual Raw'!AB69+'Annual Raw'!AB70</f>
        <v>11.7</v>
      </c>
      <c r="AB137" s="24">
        <f t="shared" si="1144"/>
        <v>11.7</v>
      </c>
      <c r="AC137" s="24">
        <f t="shared" si="1145"/>
        <v>11.7</v>
      </c>
      <c r="AD137" s="24">
        <f t="shared" si="1146"/>
        <v>11.7</v>
      </c>
      <c r="AE137" s="24">
        <f t="shared" si="1147"/>
        <v>11.7</v>
      </c>
      <c r="AJ137" s="23">
        <f>+'QTR Raw'!D74+'QTR Raw'!D75</f>
        <v>0</v>
      </c>
      <c r="AK137" s="23">
        <f t="shared" si="1163"/>
        <v>0</v>
      </c>
      <c r="AL137" s="23">
        <f>+'QTR Raw'!F74+'QTR Raw'!F75</f>
        <v>0</v>
      </c>
      <c r="AM137" s="23">
        <f t="shared" si="1163"/>
        <v>0</v>
      </c>
      <c r="AN137" s="23">
        <f>+'QTR Raw'!H74+'QTR Raw'!H75</f>
        <v>0</v>
      </c>
      <c r="AO137" s="23">
        <f t="shared" si="1163"/>
        <v>0</v>
      </c>
      <c r="AP137" s="23">
        <f>+'QTR Raw'!J74+'QTR Raw'!J75</f>
        <v>0</v>
      </c>
      <c r="AQ137" s="23">
        <f t="shared" si="1163"/>
        <v>0</v>
      </c>
      <c r="AR137" s="23">
        <f>+'QTR Raw'!L74+'QTR Raw'!L75</f>
        <v>0</v>
      </c>
      <c r="AS137" s="23">
        <f t="shared" si="1163"/>
        <v>0</v>
      </c>
      <c r="AT137" s="23">
        <f>+'QTR Raw'!N74+'QTR Raw'!N75</f>
        <v>0</v>
      </c>
      <c r="AU137" s="23">
        <f t="shared" si="1163"/>
        <v>0</v>
      </c>
      <c r="AV137" s="23">
        <f>+'QTR Raw'!P74+'QTR Raw'!P75</f>
        <v>0</v>
      </c>
      <c r="AW137" s="23">
        <f t="shared" si="1163"/>
        <v>0</v>
      </c>
      <c r="AX137" s="23">
        <f>+'QTR Raw'!R74+'QTR Raw'!R75</f>
        <v>14.3</v>
      </c>
      <c r="AY137" s="23">
        <f t="shared" si="1163"/>
        <v>14.3</v>
      </c>
      <c r="AZ137" s="23">
        <f>+'QTR Raw'!T74+'QTR Raw'!T75</f>
        <v>0</v>
      </c>
      <c r="BA137" s="23">
        <f t="shared" si="1163"/>
        <v>0</v>
      </c>
      <c r="BB137" s="23">
        <f>+'QTR Raw'!V74+'QTR Raw'!V75</f>
        <v>2.2999999999999998</v>
      </c>
      <c r="BC137" s="23">
        <f t="shared" si="1163"/>
        <v>2.2999999999999998</v>
      </c>
      <c r="BD137" s="23">
        <f>+'QTR Raw'!X74+'QTR Raw'!X75</f>
        <v>0</v>
      </c>
      <c r="BE137" s="23">
        <f t="shared" si="1163"/>
        <v>0</v>
      </c>
      <c r="BF137" s="23">
        <f>+'QTR Raw'!Z74+'QTR Raw'!Z75</f>
        <v>0.1</v>
      </c>
      <c r="BG137" s="23">
        <f t="shared" si="1163"/>
        <v>0.1</v>
      </c>
      <c r="BH137" s="23">
        <f>+'QTR Raw'!AB74+'QTR Raw'!AB75</f>
        <v>0.4</v>
      </c>
      <c r="BI137" s="23">
        <f t="shared" si="1163"/>
        <v>0.4</v>
      </c>
      <c r="BJ137" s="23">
        <f>+'QTR Raw'!AD74+'QTR Raw'!AD75</f>
        <v>0</v>
      </c>
      <c r="BK137" s="23">
        <f t="shared" si="1163"/>
        <v>0</v>
      </c>
      <c r="BL137" s="23">
        <f>+'QTR Raw'!AF74+'QTR Raw'!AF75</f>
        <v>1.8</v>
      </c>
      <c r="BM137" s="23">
        <f t="shared" si="1163"/>
        <v>1.8</v>
      </c>
      <c r="BN137" s="23">
        <f>+'QTR Raw'!AH74+'QTR Raw'!AH75</f>
        <v>8.6999999999999993</v>
      </c>
      <c r="BO137" s="23">
        <f t="shared" si="1163"/>
        <v>8.6999999999999993</v>
      </c>
      <c r="BP137" s="23">
        <f>+'QTR Raw'!AJ74+'QTR Raw'!AJ75</f>
        <v>11.9</v>
      </c>
      <c r="BQ137" s="23">
        <f t="shared" si="1163"/>
        <v>11.9</v>
      </c>
      <c r="BR137" s="23">
        <f>+'QTR Raw'!AL74+'QTR Raw'!AL75</f>
        <v>11.9</v>
      </c>
      <c r="BS137" s="23">
        <f t="shared" si="1163"/>
        <v>11.9</v>
      </c>
      <c r="BT137" s="23">
        <f>+'QTR Raw'!AN74+'QTR Raw'!AN75</f>
        <v>9.3000000000000007</v>
      </c>
      <c r="BU137" s="23">
        <f t="shared" si="1163"/>
        <v>9.3000000000000007</v>
      </c>
      <c r="BV137" s="23">
        <f>+'QTR Raw'!AP74+'QTR Raw'!AP75</f>
        <v>9.9</v>
      </c>
      <c r="BW137" s="23">
        <f t="shared" si="1163"/>
        <v>9.9</v>
      </c>
      <c r="BX137" s="23">
        <f>+'QTR Raw'!AR74+'QTR Raw'!AR75</f>
        <v>6</v>
      </c>
      <c r="BY137" s="23">
        <f t="shared" si="1163"/>
        <v>6</v>
      </c>
      <c r="BZ137" s="23">
        <f>+'QTR Raw'!AT74+'QTR Raw'!AT75</f>
        <v>6.5</v>
      </c>
      <c r="CA137" s="23">
        <f t="shared" si="1163"/>
        <v>6.5</v>
      </c>
      <c r="CB137" s="23">
        <f>+'QTR Raw'!AV74+'QTR Raw'!AV75</f>
        <v>120.9</v>
      </c>
      <c r="CC137" s="23">
        <f t="shared" si="1163"/>
        <v>120.9</v>
      </c>
      <c r="CD137" s="23">
        <f>+'QTR Raw'!AX74+'QTR Raw'!AX75</f>
        <v>13.1</v>
      </c>
      <c r="CE137" s="23">
        <f t="shared" si="1163"/>
        <v>13.1</v>
      </c>
      <c r="CF137" s="23">
        <f>+'QTR Raw'!AZ74+'QTR Raw'!AZ75</f>
        <v>6</v>
      </c>
      <c r="CG137" s="23">
        <f t="shared" si="1161"/>
        <v>6</v>
      </c>
      <c r="CH137" s="23">
        <f t="shared" si="1148"/>
        <v>28</v>
      </c>
      <c r="CI137" s="23">
        <f t="shared" si="1161"/>
        <v>28</v>
      </c>
      <c r="CJ137" s="23">
        <f>+'QTR Raw'!BD74+'QTR Raw'!BD75</f>
        <v>8.1</v>
      </c>
      <c r="CK137" s="23">
        <f t="shared" si="1164"/>
        <v>8.1</v>
      </c>
      <c r="CL137" s="23">
        <f>+'QTR Raw'!BF74+'QTR Raw'!BF75</f>
        <v>11.7</v>
      </c>
      <c r="CM137" s="24">
        <f t="shared" si="1165"/>
        <v>11.7</v>
      </c>
      <c r="CN137" s="24">
        <f t="shared" si="1166"/>
        <v>11.7</v>
      </c>
      <c r="CO137" s="24">
        <f t="shared" si="1167"/>
        <v>11.7</v>
      </c>
      <c r="CP137" s="24">
        <f t="shared" si="1168"/>
        <v>11.7</v>
      </c>
      <c r="CQ137" s="24">
        <f t="shared" si="1169"/>
        <v>11.7</v>
      </c>
      <c r="CR137" s="24">
        <f t="shared" si="1170"/>
        <v>11.7</v>
      </c>
      <c r="CS137" s="24">
        <f t="shared" si="1171"/>
        <v>11.7</v>
      </c>
      <c r="CT137" s="24">
        <f t="shared" si="1172"/>
        <v>11.7</v>
      </c>
      <c r="CU137" s="24">
        <f t="shared" si="1173"/>
        <v>11.7</v>
      </c>
      <c r="CV137" s="24">
        <f t="shared" si="1174"/>
        <v>11.7</v>
      </c>
      <c r="CW137" s="24">
        <f t="shared" si="1175"/>
        <v>11.7</v>
      </c>
      <c r="CX137" s="24">
        <f t="shared" si="1176"/>
        <v>11.7</v>
      </c>
      <c r="CY137" s="24">
        <f t="shared" si="1177"/>
        <v>11.7</v>
      </c>
      <c r="CZ137" s="24">
        <f t="shared" si="1178"/>
        <v>11.7</v>
      </c>
      <c r="DA137" s="24">
        <f t="shared" si="1179"/>
        <v>11.7</v>
      </c>
      <c r="DB137" s="24">
        <f t="shared" si="1180"/>
        <v>11.7</v>
      </c>
      <c r="DE137" s="123"/>
      <c r="DF137" s="23">
        <v>11.7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181">C134+C137+C136</f>
        <v>0</v>
      </c>
      <c r="D138" s="22">
        <f t="shared" si="1181"/>
        <v>0</v>
      </c>
      <c r="E138" s="22">
        <f t="shared" ref="E138:Y138" si="1182">E134+E137+E136+E135</f>
        <v>0</v>
      </c>
      <c r="F138" s="22">
        <f t="shared" si="1182"/>
        <v>0</v>
      </c>
      <c r="G138" s="22">
        <f t="shared" si="1182"/>
        <v>0</v>
      </c>
      <c r="H138" s="22">
        <f t="shared" si="1182"/>
        <v>0</v>
      </c>
      <c r="I138" s="22">
        <f t="shared" si="1182"/>
        <v>0</v>
      </c>
      <c r="J138" s="22">
        <f t="shared" si="1182"/>
        <v>0</v>
      </c>
      <c r="K138" s="22">
        <f t="shared" si="1182"/>
        <v>0</v>
      </c>
      <c r="L138" s="22">
        <f t="shared" si="1182"/>
        <v>0</v>
      </c>
      <c r="M138" s="22">
        <f t="shared" si="1182"/>
        <v>0</v>
      </c>
      <c r="N138" s="22">
        <f t="shared" si="1182"/>
        <v>0</v>
      </c>
      <c r="O138" s="22">
        <f t="shared" si="1182"/>
        <v>404.68799999999999</v>
      </c>
      <c r="P138" s="22">
        <f t="shared" si="1182"/>
        <v>569.59999999999991</v>
      </c>
      <c r="Q138" s="22">
        <f t="shared" si="1182"/>
        <v>635.1</v>
      </c>
      <c r="R138" s="22">
        <f t="shared" si="1182"/>
        <v>616.1</v>
      </c>
      <c r="S138" s="22">
        <f t="shared" si="1182"/>
        <v>709.5</v>
      </c>
      <c r="T138" s="22">
        <f t="shared" si="1182"/>
        <v>780</v>
      </c>
      <c r="U138" s="22">
        <f t="shared" si="1182"/>
        <v>1182.1999999999998</v>
      </c>
      <c r="V138" s="22">
        <f t="shared" si="1182"/>
        <v>1294.3000000000002</v>
      </c>
      <c r="W138" s="22">
        <f t="shared" si="1182"/>
        <v>1292.5999999999999</v>
      </c>
      <c r="X138" s="22">
        <f t="shared" si="1182"/>
        <v>1309.5000000000002</v>
      </c>
      <c r="Y138" s="22">
        <f t="shared" si="1182"/>
        <v>1625.7000000000003</v>
      </c>
      <c r="Z138" s="22">
        <f>Z134+Z137+Z136+Z135</f>
        <v>2272.8999999999996</v>
      </c>
      <c r="AA138" s="22">
        <f>AA134+AA137+AA136+AA135</f>
        <v>2262</v>
      </c>
      <c r="AB138" s="161">
        <f t="shared" ref="AB138:AE138" si="1183">AB134+AB137+AB136+AB135</f>
        <v>1711.4580715825064</v>
      </c>
      <c r="AC138" s="161">
        <f t="shared" si="1183"/>
        <v>1688.6640263536794</v>
      </c>
      <c r="AD138" s="161">
        <f t="shared" si="1183"/>
        <v>1678.1553646868745</v>
      </c>
      <c r="AE138" s="161">
        <f t="shared" si="1183"/>
        <v>1673.3105919000016</v>
      </c>
      <c r="AJ138" s="22">
        <f t="shared" ref="AJ138" si="1184">AJ134+AJ137+AJ135+AJ136</f>
        <v>0</v>
      </c>
      <c r="AK138" s="22">
        <f t="shared" ref="AK138" si="1185">AK134+AK137+AK135+AK136</f>
        <v>0</v>
      </c>
      <c r="AL138" s="22">
        <f t="shared" ref="AL138:AM138" si="1186">AL134+AL137+AL135+AL136</f>
        <v>0</v>
      </c>
      <c r="AM138" s="22">
        <f t="shared" si="1186"/>
        <v>0</v>
      </c>
      <c r="AN138" s="22">
        <f t="shared" ref="AN138:AO138" si="1187">AN134+AN137+AN135+AN136</f>
        <v>0</v>
      </c>
      <c r="AO138" s="22">
        <f t="shared" si="1187"/>
        <v>0</v>
      </c>
      <c r="AP138" s="22">
        <f t="shared" ref="AP138:CE138" si="1188">AP134+AP137+AP135+AP136</f>
        <v>0</v>
      </c>
      <c r="AQ138" s="22">
        <f t="shared" si="1188"/>
        <v>0</v>
      </c>
      <c r="AR138" s="22">
        <f t="shared" si="1188"/>
        <v>0</v>
      </c>
      <c r="AS138" s="22">
        <f t="shared" si="1188"/>
        <v>0</v>
      </c>
      <c r="AT138" s="22">
        <f t="shared" si="1188"/>
        <v>0</v>
      </c>
      <c r="AU138" s="22">
        <f t="shared" si="1188"/>
        <v>0</v>
      </c>
      <c r="AV138" s="22">
        <f t="shared" si="1188"/>
        <v>0</v>
      </c>
      <c r="AW138" s="22">
        <f t="shared" si="1188"/>
        <v>0</v>
      </c>
      <c r="AX138" s="22">
        <f t="shared" si="1188"/>
        <v>635.1</v>
      </c>
      <c r="AY138" s="22">
        <f t="shared" si="1188"/>
        <v>635.1</v>
      </c>
      <c r="AZ138" s="22">
        <f t="shared" si="1188"/>
        <v>619.9</v>
      </c>
      <c r="BA138" s="22">
        <f t="shared" si="1188"/>
        <v>619.9</v>
      </c>
      <c r="BB138" s="22">
        <f t="shared" si="1188"/>
        <v>616.1</v>
      </c>
      <c r="BC138" s="22">
        <f t="shared" si="1188"/>
        <v>616.1</v>
      </c>
      <c r="BD138" s="22">
        <f t="shared" si="1188"/>
        <v>719.19999999999993</v>
      </c>
      <c r="BE138" s="22">
        <f t="shared" si="1188"/>
        <v>719.19999999999993</v>
      </c>
      <c r="BF138" s="22">
        <f t="shared" si="1188"/>
        <v>709.5</v>
      </c>
      <c r="BG138" s="22">
        <f t="shared" si="1188"/>
        <v>709.5</v>
      </c>
      <c r="BH138" s="22">
        <f t="shared" si="1188"/>
        <v>704.7</v>
      </c>
      <c r="BI138" s="22">
        <f t="shared" si="1188"/>
        <v>704.7</v>
      </c>
      <c r="BJ138" s="22">
        <f t="shared" si="1188"/>
        <v>780</v>
      </c>
      <c r="BK138" s="22">
        <f t="shared" si="1188"/>
        <v>780</v>
      </c>
      <c r="BL138" s="22">
        <f t="shared" si="1188"/>
        <v>1161.9000000000001</v>
      </c>
      <c r="BM138" s="22">
        <f t="shared" si="1188"/>
        <v>1161.9000000000001</v>
      </c>
      <c r="BN138" s="22">
        <f t="shared" si="1188"/>
        <v>833.2</v>
      </c>
      <c r="BO138" s="22">
        <f t="shared" si="1188"/>
        <v>833.2</v>
      </c>
      <c r="BP138" s="22">
        <f t="shared" si="1188"/>
        <v>814.90000000000009</v>
      </c>
      <c r="BQ138" s="22">
        <f t="shared" si="1188"/>
        <v>814.90000000000009</v>
      </c>
      <c r="BR138" s="22">
        <f t="shared" si="1188"/>
        <v>874.6</v>
      </c>
      <c r="BS138" s="22">
        <f t="shared" si="1188"/>
        <v>874.6</v>
      </c>
      <c r="BT138" s="22">
        <f t="shared" si="1188"/>
        <v>872.90000000000009</v>
      </c>
      <c r="BU138" s="22">
        <f t="shared" si="1188"/>
        <v>872.90000000000009</v>
      </c>
      <c r="BV138" s="22">
        <f t="shared" si="1188"/>
        <v>885.3</v>
      </c>
      <c r="BW138" s="22">
        <f t="shared" si="1188"/>
        <v>885.3</v>
      </c>
      <c r="BX138" s="22">
        <f t="shared" si="1188"/>
        <v>932.69999999999993</v>
      </c>
      <c r="BY138" s="22">
        <f t="shared" si="1188"/>
        <v>932.69999999999993</v>
      </c>
      <c r="BZ138" s="22">
        <f t="shared" si="1188"/>
        <v>931.8</v>
      </c>
      <c r="CA138" s="22">
        <f t="shared" si="1188"/>
        <v>931.8</v>
      </c>
      <c r="CB138" s="22">
        <f t="shared" si="1188"/>
        <v>1038.9000000000001</v>
      </c>
      <c r="CC138" s="22">
        <f t="shared" si="1188"/>
        <v>1038.9000000000001</v>
      </c>
      <c r="CD138" s="22">
        <f t="shared" si="1188"/>
        <v>1030.5999999999999</v>
      </c>
      <c r="CE138" s="22">
        <f t="shared" si="1188"/>
        <v>1030.5999999999999</v>
      </c>
      <c r="CF138" s="22">
        <f t="shared" ref="CF138:CG138" si="1189">CF134+CF137+CF135+CF136</f>
        <v>1008.5999999999999</v>
      </c>
      <c r="CG138" s="22">
        <f t="shared" si="1189"/>
        <v>1008.5999999999999</v>
      </c>
      <c r="CH138" s="22">
        <f t="shared" ref="CH138:CJ138" si="1190">CH134+CH137+CH135+CH136</f>
        <v>2272.8999999999996</v>
      </c>
      <c r="CI138" s="22">
        <f t="shared" si="1190"/>
        <v>2191.8000000000002</v>
      </c>
      <c r="CJ138" s="22">
        <f t="shared" si="1190"/>
        <v>1742.2000000000003</v>
      </c>
      <c r="CK138" s="22">
        <f t="shared" ref="CK138:DB138" si="1191">CK134+CK137+CK135+CK136</f>
        <v>1655.5</v>
      </c>
      <c r="CL138" s="22">
        <f t="shared" si="1191"/>
        <v>1760.9</v>
      </c>
      <c r="CM138" s="21">
        <f t="shared" si="1191"/>
        <v>1744.7556459816888</v>
      </c>
      <c r="CN138" s="21">
        <f t="shared" si="1191"/>
        <v>1731.4525668821648</v>
      </c>
      <c r="CO138" s="21">
        <f t="shared" si="1191"/>
        <v>1720.4907214390169</v>
      </c>
      <c r="CP138" s="21">
        <f t="shared" si="1191"/>
        <v>1711.4580715825064</v>
      </c>
      <c r="CQ138" s="21">
        <f t="shared" si="1191"/>
        <v>1704.0150945898579</v>
      </c>
      <c r="CR138" s="21">
        <f t="shared" si="1191"/>
        <v>1697.8820209743487</v>
      </c>
      <c r="CS138" s="21">
        <f t="shared" si="1191"/>
        <v>1692.8283184020577</v>
      </c>
      <c r="CT138" s="21">
        <f t="shared" si="1191"/>
        <v>1688.6640263536794</v>
      </c>
      <c r="CU138" s="21">
        <f t="shared" si="1191"/>
        <v>1685.2326158153412</v>
      </c>
      <c r="CV138" s="21">
        <f t="shared" si="1191"/>
        <v>1682.4051056057235</v>
      </c>
      <c r="CW138" s="21">
        <f t="shared" si="1191"/>
        <v>1680.0752141817254</v>
      </c>
      <c r="CX138" s="21">
        <f t="shared" si="1191"/>
        <v>1678.1553646868745</v>
      </c>
      <c r="CY138" s="21">
        <f t="shared" si="1191"/>
        <v>1676.5733930787062</v>
      </c>
      <c r="CZ138" s="21">
        <f t="shared" si="1191"/>
        <v>1675.2698355989339</v>
      </c>
      <c r="DA138" s="21">
        <f t="shared" si="1191"/>
        <v>1674.1956936267918</v>
      </c>
      <c r="DB138" s="21">
        <f t="shared" si="1191"/>
        <v>1673.3105919000016</v>
      </c>
      <c r="DE138" s="126"/>
      <c r="DF138" s="22">
        <v>2262</v>
      </c>
    </row>
    <row r="139" spans="1:110" s="23" customFormat="1" x14ac:dyDescent="0.2">
      <c r="AB139" s="24"/>
      <c r="AC139" s="24"/>
      <c r="AD139" s="24"/>
      <c r="AE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0</v>
      </c>
      <c r="N140" s="23">
        <f>'Annual Raw'!O71</f>
        <v>0</v>
      </c>
      <c r="O140" s="23">
        <f>'Annual Raw'!P71</f>
        <v>0</v>
      </c>
      <c r="P140" s="23">
        <f>'Annual Raw'!Q71</f>
        <v>0</v>
      </c>
      <c r="Q140" s="23">
        <f>'Annual Raw'!R71</f>
        <v>0</v>
      </c>
      <c r="R140" s="23">
        <f>'Annual Raw'!S71</f>
        <v>0</v>
      </c>
      <c r="S140" s="23">
        <f>'Annual Raw'!T71</f>
        <v>0</v>
      </c>
      <c r="T140" s="23">
        <f>'Annual Raw'!U71</f>
        <v>0</v>
      </c>
      <c r="U140" s="23">
        <f>'Annual Raw'!V71</f>
        <v>31</v>
      </c>
      <c r="V140" s="23">
        <f>'Annual Raw'!W71</f>
        <v>0</v>
      </c>
      <c r="W140" s="23">
        <f>'Annual Raw'!X71</f>
        <v>86.1</v>
      </c>
      <c r="X140" s="23">
        <f>'Annual Raw'!Y71</f>
        <v>175.2</v>
      </c>
      <c r="Y140" s="23">
        <f>'Annual Raw'!Z71</f>
        <v>199.1</v>
      </c>
      <c r="Z140" s="23">
        <f>'Annual Raw'!AA71</f>
        <v>349.3</v>
      </c>
      <c r="AA140" s="23">
        <f>'Annual Raw'!AB71</f>
        <v>467.9</v>
      </c>
      <c r="AB140" s="24">
        <f>+CP140</f>
        <v>467.9</v>
      </c>
      <c r="AC140" s="24">
        <f>+CT140</f>
        <v>467.9</v>
      </c>
      <c r="AD140" s="24">
        <f>+CX140</f>
        <v>467.9</v>
      </c>
      <c r="AE140" s="24">
        <f>+DB140</f>
        <v>467.9</v>
      </c>
      <c r="AJ140" s="23">
        <f>+'QTR Raw'!D77</f>
        <v>0</v>
      </c>
      <c r="AK140" s="23">
        <f t="shared" ref="AK140:CE140" si="1192">+AJ140</f>
        <v>0</v>
      </c>
      <c r="AL140" s="23">
        <f>+'QTR Raw'!F77</f>
        <v>0</v>
      </c>
      <c r="AM140" s="23">
        <f t="shared" si="1192"/>
        <v>0</v>
      </c>
      <c r="AN140" s="23">
        <f>+'QTR Raw'!H77</f>
        <v>0</v>
      </c>
      <c r="AO140" s="23">
        <f t="shared" si="1192"/>
        <v>0</v>
      </c>
      <c r="AP140" s="23">
        <f>+'QTR Raw'!J77</f>
        <v>0</v>
      </c>
      <c r="AQ140" s="23">
        <f t="shared" si="1192"/>
        <v>0</v>
      </c>
      <c r="AR140" s="23">
        <f>+'QTR Raw'!L77</f>
        <v>0</v>
      </c>
      <c r="AS140" s="23">
        <f t="shared" si="1192"/>
        <v>0</v>
      </c>
      <c r="AT140" s="23">
        <f>+'QTR Raw'!N77</f>
        <v>0</v>
      </c>
      <c r="AU140" s="23">
        <f t="shared" si="1192"/>
        <v>0</v>
      </c>
      <c r="AV140" s="23">
        <f>+'QTR Raw'!P77</f>
        <v>0</v>
      </c>
      <c r="AW140" s="23">
        <f t="shared" si="1192"/>
        <v>0</v>
      </c>
      <c r="AX140" s="23">
        <f>+'QTR Raw'!R77</f>
        <v>0</v>
      </c>
      <c r="AY140" s="23">
        <f t="shared" si="1192"/>
        <v>0</v>
      </c>
      <c r="AZ140" s="23">
        <f>+'QTR Raw'!T77</f>
        <v>0</v>
      </c>
      <c r="BA140" s="23">
        <f t="shared" si="1192"/>
        <v>0</v>
      </c>
      <c r="BB140" s="23">
        <f>+'QTR Raw'!V77</f>
        <v>0</v>
      </c>
      <c r="BC140" s="23">
        <f t="shared" si="1192"/>
        <v>0</v>
      </c>
      <c r="BD140" s="23">
        <f>+'QTR Raw'!X77</f>
        <v>0</v>
      </c>
      <c r="BE140" s="23">
        <f t="shared" si="1192"/>
        <v>0</v>
      </c>
      <c r="BF140" s="23">
        <f>+'QTR Raw'!Z77</f>
        <v>0</v>
      </c>
      <c r="BG140" s="23">
        <f t="shared" si="1192"/>
        <v>0</v>
      </c>
      <c r="BH140" s="23">
        <f>+'QTR Raw'!AB77</f>
        <v>0</v>
      </c>
      <c r="BI140" s="23">
        <f t="shared" si="1192"/>
        <v>0</v>
      </c>
      <c r="BJ140" s="23">
        <f>+'QTR Raw'!AD77</f>
        <v>0</v>
      </c>
      <c r="BK140" s="23">
        <f t="shared" si="1192"/>
        <v>0</v>
      </c>
      <c r="BL140" s="23">
        <f>+'QTR Raw'!AF77</f>
        <v>0</v>
      </c>
      <c r="BM140" s="23">
        <f t="shared" si="1192"/>
        <v>0</v>
      </c>
      <c r="BN140" s="23">
        <f>+'QTR Raw'!AH77</f>
        <v>31</v>
      </c>
      <c r="BO140" s="23">
        <f t="shared" si="1192"/>
        <v>31</v>
      </c>
      <c r="BP140" s="23">
        <f>+'QTR Raw'!AJ77</f>
        <v>32.200000000000003</v>
      </c>
      <c r="BQ140" s="23">
        <f t="shared" si="1192"/>
        <v>32.200000000000003</v>
      </c>
      <c r="BR140" s="23">
        <f>+'QTR Raw'!AL77</f>
        <v>0</v>
      </c>
      <c r="BS140" s="23">
        <f t="shared" si="1192"/>
        <v>0</v>
      </c>
      <c r="BT140" s="23">
        <f>+'QTR Raw'!AN77</f>
        <v>0</v>
      </c>
      <c r="BU140" s="23">
        <f t="shared" si="1192"/>
        <v>0</v>
      </c>
      <c r="BV140" s="23">
        <f>+'QTR Raw'!AP77</f>
        <v>86.1</v>
      </c>
      <c r="BW140" s="23">
        <f t="shared" si="1192"/>
        <v>86.1</v>
      </c>
      <c r="BX140" s="23">
        <f>+'QTR Raw'!AR77</f>
        <v>131.4</v>
      </c>
      <c r="BY140" s="23">
        <f t="shared" si="1192"/>
        <v>131.4</v>
      </c>
      <c r="BZ140" s="23">
        <f>+'QTR Raw'!AT77</f>
        <v>175.2</v>
      </c>
      <c r="CA140" s="23">
        <f t="shared" si="1192"/>
        <v>175.2</v>
      </c>
      <c r="CB140" s="23">
        <f>+'QTR Raw'!AV77</f>
        <v>159.69999999999999</v>
      </c>
      <c r="CC140" s="23">
        <f t="shared" si="1192"/>
        <v>159.69999999999999</v>
      </c>
      <c r="CD140" s="23">
        <f>+'QTR Raw'!AX77</f>
        <v>199.1</v>
      </c>
      <c r="CE140" s="23">
        <f t="shared" si="1192"/>
        <v>199.1</v>
      </c>
      <c r="CF140" s="23">
        <f>+'QTR Raw'!AZ77</f>
        <v>182.5</v>
      </c>
      <c r="CG140" s="23">
        <f t="shared" ref="CG140:CI143" si="1193">+CF140</f>
        <v>182.5</v>
      </c>
      <c r="CH140" s="23">
        <f t="shared" ref="CH140:CH155" si="1194">Z140</f>
        <v>349.3</v>
      </c>
      <c r="CI140" s="23">
        <f t="shared" si="1193"/>
        <v>349.3</v>
      </c>
      <c r="CJ140" s="23">
        <f>+'QTR Raw'!BD77</f>
        <v>540.70000000000005</v>
      </c>
      <c r="CK140" s="23">
        <f t="shared" ref="CK140" si="1195">+CJ140</f>
        <v>540.70000000000005</v>
      </c>
      <c r="CL140" s="23">
        <f>+'QTR Raw'!BF77</f>
        <v>467.9</v>
      </c>
      <c r="CM140" s="24">
        <f t="shared" ref="CM140" si="1196">+CL140</f>
        <v>467.9</v>
      </c>
      <c r="CN140" s="24">
        <f t="shared" ref="CN140" si="1197">+CM140</f>
        <v>467.9</v>
      </c>
      <c r="CO140" s="24">
        <f t="shared" ref="CO140" si="1198">+CN140</f>
        <v>467.9</v>
      </c>
      <c r="CP140" s="24">
        <f t="shared" ref="CP140" si="1199">+CO140</f>
        <v>467.9</v>
      </c>
      <c r="CQ140" s="24">
        <f t="shared" ref="CQ140" si="1200">+CP140</f>
        <v>467.9</v>
      </c>
      <c r="CR140" s="24">
        <f t="shared" ref="CR140" si="1201">+CQ140</f>
        <v>467.9</v>
      </c>
      <c r="CS140" s="24">
        <f t="shared" ref="CS140" si="1202">+CR140</f>
        <v>467.9</v>
      </c>
      <c r="CT140" s="24">
        <f t="shared" ref="CT140" si="1203">+CS140</f>
        <v>467.9</v>
      </c>
      <c r="CU140" s="24">
        <f t="shared" ref="CU140" si="1204">+CT140</f>
        <v>467.9</v>
      </c>
      <c r="CV140" s="24">
        <f t="shared" ref="CV140" si="1205">+CU140</f>
        <v>467.9</v>
      </c>
      <c r="CW140" s="24">
        <f t="shared" ref="CW140" si="1206">+CV140</f>
        <v>467.9</v>
      </c>
      <c r="CX140" s="24">
        <f t="shared" ref="CX140" si="1207">+CW140</f>
        <v>467.9</v>
      </c>
      <c r="CY140" s="24">
        <f t="shared" ref="CY140" si="1208">+CX140</f>
        <v>467.9</v>
      </c>
      <c r="CZ140" s="24">
        <f t="shared" ref="CZ140" si="1209">+CY140</f>
        <v>467.9</v>
      </c>
      <c r="DA140" s="24">
        <f t="shared" ref="DA140" si="1210">+CZ140</f>
        <v>467.9</v>
      </c>
      <c r="DB140" s="24">
        <f t="shared" ref="DB140" si="1211">+DA140</f>
        <v>467.9</v>
      </c>
      <c r="DE140" s="123"/>
      <c r="DF140" s="23">
        <v>467.9</v>
      </c>
    </row>
    <row r="141" spans="1:110" s="23" customFormat="1" x14ac:dyDescent="0.2">
      <c r="AB141" s="24"/>
      <c r="AC141" s="24"/>
      <c r="AD141" s="24"/>
      <c r="AE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0</v>
      </c>
      <c r="N142" s="23">
        <f>'Annual Raw'!O72+'Annual Raw'!O61</f>
        <v>0</v>
      </c>
      <c r="O142" s="23">
        <f>'Annual Raw'!P72+'Annual Raw'!P61</f>
        <v>15.529</v>
      </c>
      <c r="P142" s="23">
        <f>'Annual Raw'!Q72+'Annual Raw'!Q61</f>
        <v>72.016999999999996</v>
      </c>
      <c r="Q142" s="23">
        <f>'Annual Raw'!R72+'Annual Raw'!R61</f>
        <v>21.9</v>
      </c>
      <c r="R142" s="23">
        <f>'Annual Raw'!S72+'Annual Raw'!S61</f>
        <v>50.6</v>
      </c>
      <c r="S142" s="23">
        <f>'Annual Raw'!T72+'Annual Raw'!T61</f>
        <v>59.4</v>
      </c>
      <c r="T142" s="23">
        <f>'Annual Raw'!U72+'Annual Raw'!U61</f>
        <v>91.3</v>
      </c>
      <c r="U142" s="23">
        <f>'Annual Raw'!V72+'Annual Raw'!V61</f>
        <v>109.1</v>
      </c>
      <c r="V142" s="23">
        <f>'Annual Raw'!W72+'Annual Raw'!W61</f>
        <v>149.6</v>
      </c>
      <c r="W142" s="23">
        <f>'Annual Raw'!X72+'Annual Raw'!X61</f>
        <v>190.1</v>
      </c>
      <c r="X142" s="23">
        <f>'Annual Raw'!Y72+'Annual Raw'!Y61</f>
        <v>235.9</v>
      </c>
      <c r="Y142" s="23">
        <f>'Annual Raw'!Z72+'Annual Raw'!Z61</f>
        <v>255.1</v>
      </c>
      <c r="Z142" s="23">
        <f>'Annual Raw'!AA72+'Annual Raw'!AA61</f>
        <v>314.10000000000002</v>
      </c>
      <c r="AA142" s="23">
        <f>'Annual Raw'!AB72+'Annual Raw'!AB61</f>
        <v>262.60000000000002</v>
      </c>
      <c r="AB142" s="24">
        <f t="shared" ref="AB142:AB147" si="1212">+CP142</f>
        <v>0</v>
      </c>
      <c r="AC142" s="24">
        <f t="shared" ref="AC142:AC147" si="1213">+CT142</f>
        <v>0</v>
      </c>
      <c r="AD142" s="24">
        <f t="shared" ref="AD142:AD147" si="1214">+CX142</f>
        <v>0</v>
      </c>
      <c r="AE142" s="24">
        <f t="shared" ref="AE142:AE147" si="1215">+DB142</f>
        <v>0</v>
      </c>
      <c r="AJ142" s="23">
        <f>+'QTR Raw'!D78</f>
        <v>0</v>
      </c>
      <c r="AK142" s="23">
        <f t="shared" ref="AK142:CE147" si="1216">+AJ142</f>
        <v>0</v>
      </c>
      <c r="AL142" s="23">
        <f>+'QTR Raw'!F78</f>
        <v>0</v>
      </c>
      <c r="AM142" s="23">
        <f t="shared" si="1216"/>
        <v>0</v>
      </c>
      <c r="AN142" s="23">
        <f>+'QTR Raw'!H78</f>
        <v>0</v>
      </c>
      <c r="AO142" s="23">
        <f t="shared" si="1216"/>
        <v>0</v>
      </c>
      <c r="AP142" s="23">
        <f>+'QTR Raw'!J78</f>
        <v>0</v>
      </c>
      <c r="AQ142" s="23">
        <f t="shared" si="1216"/>
        <v>0</v>
      </c>
      <c r="AR142" s="23">
        <f>+'QTR Raw'!L78</f>
        <v>0</v>
      </c>
      <c r="AS142" s="23">
        <f t="shared" si="1216"/>
        <v>0</v>
      </c>
      <c r="AT142" s="23">
        <f>+'QTR Raw'!N78</f>
        <v>0</v>
      </c>
      <c r="AU142" s="23">
        <f t="shared" si="1216"/>
        <v>0</v>
      </c>
      <c r="AV142" s="23">
        <f>+'QTR Raw'!P78</f>
        <v>0</v>
      </c>
      <c r="AW142" s="23">
        <f t="shared" si="1216"/>
        <v>0</v>
      </c>
      <c r="AX142" s="23">
        <f>+'QTR Raw'!R78</f>
        <v>0</v>
      </c>
      <c r="AY142" s="23">
        <f t="shared" si="1216"/>
        <v>0</v>
      </c>
      <c r="AZ142" s="23">
        <f>+'QTR Raw'!T78</f>
        <v>22.7</v>
      </c>
      <c r="BA142" s="23">
        <f t="shared" si="1216"/>
        <v>22.7</v>
      </c>
      <c r="BB142" s="23">
        <f>+'QTR Raw'!V78</f>
        <v>0</v>
      </c>
      <c r="BC142" s="23">
        <f t="shared" si="1216"/>
        <v>0</v>
      </c>
      <c r="BD142" s="23">
        <f>+'QTR Raw'!X78</f>
        <v>0</v>
      </c>
      <c r="BE142" s="23">
        <f t="shared" si="1216"/>
        <v>0</v>
      </c>
      <c r="BF142" s="23">
        <f>+'QTR Raw'!Z78</f>
        <v>0</v>
      </c>
      <c r="BG142" s="23">
        <f t="shared" si="1216"/>
        <v>0</v>
      </c>
      <c r="BH142" s="23">
        <f>+'QTR Raw'!AB78</f>
        <v>31.1</v>
      </c>
      <c r="BI142" s="23">
        <f t="shared" si="1216"/>
        <v>31.1</v>
      </c>
      <c r="BJ142" s="23">
        <f>+'QTR Raw'!AD78</f>
        <v>0</v>
      </c>
      <c r="BK142" s="23">
        <f t="shared" si="1216"/>
        <v>0</v>
      </c>
      <c r="BL142" s="23">
        <f>+'QTR Raw'!AF78</f>
        <v>0</v>
      </c>
      <c r="BM142" s="23">
        <f t="shared" si="1216"/>
        <v>0</v>
      </c>
      <c r="BN142" s="23">
        <f>+'QTR Raw'!AH78</f>
        <v>0</v>
      </c>
      <c r="BO142" s="23">
        <f t="shared" si="1216"/>
        <v>0</v>
      </c>
      <c r="BP142" s="23">
        <f>+'QTR Raw'!AJ78</f>
        <v>0</v>
      </c>
      <c r="BQ142" s="23">
        <f t="shared" si="1216"/>
        <v>0</v>
      </c>
      <c r="BR142" s="23">
        <f>+'QTR Raw'!AL78</f>
        <v>0</v>
      </c>
      <c r="BS142" s="23">
        <f t="shared" si="1216"/>
        <v>0</v>
      </c>
      <c r="BT142" s="23">
        <f>+'QTR Raw'!AN78</f>
        <v>0</v>
      </c>
      <c r="BU142" s="23">
        <f t="shared" si="1216"/>
        <v>0</v>
      </c>
      <c r="BV142" s="23">
        <f>+'QTR Raw'!AP78</f>
        <v>0</v>
      </c>
      <c r="BW142" s="23">
        <f t="shared" si="1216"/>
        <v>0</v>
      </c>
      <c r="BX142" s="23">
        <f>+'QTR Raw'!AR78</f>
        <v>0</v>
      </c>
      <c r="BY142" s="23">
        <f t="shared" si="1216"/>
        <v>0</v>
      </c>
      <c r="BZ142" s="23">
        <f>+'QTR Raw'!AT78</f>
        <v>0</v>
      </c>
      <c r="CA142" s="23">
        <f t="shared" si="1216"/>
        <v>0</v>
      </c>
      <c r="CB142" s="23">
        <f>+'QTR Raw'!AV78</f>
        <v>0</v>
      </c>
      <c r="CC142" s="23">
        <f t="shared" si="1216"/>
        <v>0</v>
      </c>
      <c r="CD142" s="23">
        <f>+'QTR Raw'!AX78</f>
        <v>0</v>
      </c>
      <c r="CE142" s="23">
        <f t="shared" si="1216"/>
        <v>0</v>
      </c>
      <c r="CF142" s="23">
        <f>+'QTR Raw'!AZ78</f>
        <v>0</v>
      </c>
      <c r="CG142" s="23">
        <f t="shared" si="1193"/>
        <v>0</v>
      </c>
      <c r="CH142" s="23">
        <f t="shared" si="1194"/>
        <v>314.10000000000002</v>
      </c>
      <c r="CJ142" s="23">
        <f>+'QTR Raw'!BD78</f>
        <v>0</v>
      </c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262.60000000000002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14.3</v>
      </c>
      <c r="R143" s="23">
        <f>'Annual Raw'!S73+'Annual Raw'!S81</f>
        <v>92.8</v>
      </c>
      <c r="S143" s="23">
        <f>'Annual Raw'!T73+'Annual Raw'!T81</f>
        <v>48.3</v>
      </c>
      <c r="T143" s="23">
        <f>'Annual Raw'!U73+'Annual Raw'!U81</f>
        <v>108.4</v>
      </c>
      <c r="U143" s="23">
        <f>'Annual Raw'!V73+'Annual Raw'!V81</f>
        <v>39.700000000000003</v>
      </c>
      <c r="V143" s="23">
        <f>'Annual Raw'!W73+'Annual Raw'!W81</f>
        <v>119.7</v>
      </c>
      <c r="W143" s="23">
        <f>'Annual Raw'!X73+'Annual Raw'!X81</f>
        <v>183.3</v>
      </c>
      <c r="X143" s="23">
        <f>'Annual Raw'!Y73+'Annual Raw'!Y81</f>
        <v>86.3</v>
      </c>
      <c r="Y143" s="23">
        <f>'Annual Raw'!Z73+'Annual Raw'!Z81</f>
        <v>172.9</v>
      </c>
      <c r="Z143" s="23">
        <f>'Annual Raw'!AA73+'Annual Raw'!AA81</f>
        <v>226.7</v>
      </c>
      <c r="AA143" s="23">
        <f>'Annual Raw'!AB73+'Annual Raw'!AB81</f>
        <v>1026.4000000000001</v>
      </c>
      <c r="AB143" s="24">
        <f t="shared" si="1212"/>
        <v>0</v>
      </c>
      <c r="AC143" s="24">
        <f t="shared" si="1213"/>
        <v>0</v>
      </c>
      <c r="AD143" s="24">
        <f t="shared" si="1214"/>
        <v>0</v>
      </c>
      <c r="AE143" s="24">
        <f t="shared" si="1215"/>
        <v>0</v>
      </c>
      <c r="AJ143" s="23">
        <f>+'QTR Raw'!D79+'QTR Raw'!D76</f>
        <v>0</v>
      </c>
      <c r="AK143" s="23">
        <f t="shared" si="1216"/>
        <v>0</v>
      </c>
      <c r="AL143" s="23">
        <f>+'QTR Raw'!F79+'QTR Raw'!F76</f>
        <v>0</v>
      </c>
      <c r="AM143" s="23">
        <f t="shared" si="1216"/>
        <v>0</v>
      </c>
      <c r="AN143" s="23">
        <f>+'QTR Raw'!H79+'QTR Raw'!H76</f>
        <v>0</v>
      </c>
      <c r="AO143" s="23">
        <f t="shared" si="1216"/>
        <v>0</v>
      </c>
      <c r="AP143" s="23">
        <f>+'QTR Raw'!J79+'QTR Raw'!J76</f>
        <v>0</v>
      </c>
      <c r="AQ143" s="23">
        <f t="shared" si="1216"/>
        <v>0</v>
      </c>
      <c r="AR143" s="23">
        <f>+'QTR Raw'!L79+'QTR Raw'!L76</f>
        <v>0</v>
      </c>
      <c r="AS143" s="23">
        <f t="shared" si="1216"/>
        <v>0</v>
      </c>
      <c r="AT143" s="23">
        <f>+'QTR Raw'!N79+'QTR Raw'!N76</f>
        <v>0</v>
      </c>
      <c r="AU143" s="23">
        <f t="shared" si="1216"/>
        <v>0</v>
      </c>
      <c r="AV143" s="23">
        <f>+'QTR Raw'!P79+'QTR Raw'!P76</f>
        <v>0</v>
      </c>
      <c r="AW143" s="23">
        <f t="shared" si="1216"/>
        <v>0</v>
      </c>
      <c r="AX143" s="23">
        <f>+'QTR Raw'!R79+'QTR Raw'!R76</f>
        <v>36.200000000000003</v>
      </c>
      <c r="AY143" s="23">
        <f t="shared" si="1216"/>
        <v>36.200000000000003</v>
      </c>
      <c r="AZ143" s="23">
        <f>+'QTR Raw'!T79+'QTR Raw'!T76</f>
        <v>10.7</v>
      </c>
      <c r="BA143" s="23">
        <f t="shared" si="1216"/>
        <v>10.7</v>
      </c>
      <c r="BB143" s="23">
        <f>+'QTR Raw'!V79+'QTR Raw'!V76</f>
        <v>143.4</v>
      </c>
      <c r="BC143" s="23">
        <f t="shared" si="1216"/>
        <v>143.4</v>
      </c>
      <c r="BD143" s="23">
        <f>+'QTR Raw'!X79+'QTR Raw'!X76</f>
        <v>137.4</v>
      </c>
      <c r="BE143" s="23">
        <f t="shared" si="1216"/>
        <v>137.4</v>
      </c>
      <c r="BF143" s="23">
        <f>+'QTR Raw'!Z79+'QTR Raw'!Z76</f>
        <v>107.7</v>
      </c>
      <c r="BG143" s="23">
        <f t="shared" si="1216"/>
        <v>107.7</v>
      </c>
      <c r="BH143" s="23">
        <f>+'QTR Raw'!AB79+'QTR Raw'!AB76</f>
        <v>48.1</v>
      </c>
      <c r="BI143" s="23">
        <f t="shared" si="1216"/>
        <v>48.1</v>
      </c>
      <c r="BJ143" s="23">
        <f>+'QTR Raw'!AD79+'QTR Raw'!AD76</f>
        <v>199.7</v>
      </c>
      <c r="BK143" s="23">
        <f t="shared" si="1216"/>
        <v>199.7</v>
      </c>
      <c r="BL143" s="23">
        <f>+'QTR Raw'!AF79+'QTR Raw'!AF76</f>
        <v>153.69999999999999</v>
      </c>
      <c r="BM143" s="23">
        <f t="shared" si="1216"/>
        <v>153.69999999999999</v>
      </c>
      <c r="BN143" s="23">
        <f>+'QTR Raw'!AH79+'QTR Raw'!AH76</f>
        <v>497.8</v>
      </c>
      <c r="BO143" s="23">
        <f t="shared" si="1216"/>
        <v>497.8</v>
      </c>
      <c r="BP143" s="23">
        <f>+'QTR Raw'!AJ79+'QTR Raw'!AJ76</f>
        <v>636.79999999999995</v>
      </c>
      <c r="BQ143" s="23">
        <f t="shared" si="1216"/>
        <v>636.79999999999995</v>
      </c>
      <c r="BR143" s="23">
        <f>+'QTR Raw'!AL79+'QTR Raw'!AL76</f>
        <v>689</v>
      </c>
      <c r="BS143" s="23">
        <f t="shared" si="1216"/>
        <v>689</v>
      </c>
      <c r="BT143" s="23">
        <f>+'QTR Raw'!AN79+'QTR Raw'!AN76</f>
        <v>774.6</v>
      </c>
      <c r="BU143" s="23">
        <f t="shared" si="1216"/>
        <v>774.6</v>
      </c>
      <c r="BV143" s="23">
        <f>+'QTR Raw'!AP79+'QTR Raw'!AP76</f>
        <v>780.7</v>
      </c>
      <c r="BW143" s="23">
        <f t="shared" si="1216"/>
        <v>780.7</v>
      </c>
      <c r="BX143" s="23">
        <f>+'QTR Raw'!AR79+'QTR Raw'!AR76</f>
        <v>636.70000000000005</v>
      </c>
      <c r="BY143" s="23">
        <f t="shared" si="1216"/>
        <v>636.70000000000005</v>
      </c>
      <c r="BZ143" s="23">
        <f>+'QTR Raw'!AT79+'QTR Raw'!AT76</f>
        <v>699.9</v>
      </c>
      <c r="CA143" s="23">
        <f t="shared" si="1216"/>
        <v>699.9</v>
      </c>
      <c r="CB143" s="23">
        <f>+'QTR Raw'!AV79+'QTR Raw'!AV76</f>
        <v>807.7</v>
      </c>
      <c r="CC143" s="23">
        <f t="shared" si="1216"/>
        <v>807.7</v>
      </c>
      <c r="CD143" s="23">
        <f>+'QTR Raw'!AX79+'QTR Raw'!AX76</f>
        <v>1023.1</v>
      </c>
      <c r="CE143" s="23">
        <f t="shared" si="1216"/>
        <v>1023.1</v>
      </c>
      <c r="CF143" s="23">
        <f>+'QTR Raw'!AZ79+'QTR Raw'!AZ76</f>
        <v>998.8</v>
      </c>
      <c r="CG143" s="23">
        <f t="shared" si="1193"/>
        <v>998.8</v>
      </c>
      <c r="CH143" s="23">
        <f t="shared" si="1194"/>
        <v>226.7</v>
      </c>
      <c r="CJ143" s="23">
        <f>+'QTR Raw'!BD79+'QTR Raw'!BD76</f>
        <v>827.6</v>
      </c>
      <c r="CL143" s="23">
        <f>+'QTR Raw'!BF79+'QTR Raw'!BF76</f>
        <v>1790.1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1026.4000000000001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0</v>
      </c>
      <c r="L144" s="23">
        <f>'Annual Raw'!M76</f>
        <v>0</v>
      </c>
      <c r="M144" s="23">
        <f>'Annual Raw'!N76</f>
        <v>0</v>
      </c>
      <c r="N144" s="23">
        <f>'Annual Raw'!O76</f>
        <v>0</v>
      </c>
      <c r="O144" s="23">
        <f>'Annual Raw'!P76</f>
        <v>0</v>
      </c>
      <c r="P144" s="23">
        <f>'Annual Raw'!Q76</f>
        <v>0</v>
      </c>
      <c r="Q144" s="23">
        <f>'Annual Raw'!R76</f>
        <v>0</v>
      </c>
      <c r="R144" s="23">
        <f>'Annual Raw'!S76</f>
        <v>0</v>
      </c>
      <c r="S144" s="23">
        <f>'Annual Raw'!T76</f>
        <v>0</v>
      </c>
      <c r="T144" s="23">
        <f>'Annual Raw'!U76</f>
        <v>0</v>
      </c>
      <c r="U144" s="23">
        <f>'Annual Raw'!V76</f>
        <v>0</v>
      </c>
      <c r="V144" s="23">
        <f>'Annual Raw'!W76</f>
        <v>0</v>
      </c>
      <c r="W144" s="23">
        <f>'Annual Raw'!X76</f>
        <v>0</v>
      </c>
      <c r="X144" s="23">
        <f>'Annual Raw'!Y76</f>
        <v>1.6</v>
      </c>
      <c r="Y144" s="23">
        <f>'Annual Raw'!Z76</f>
        <v>3.3</v>
      </c>
      <c r="Z144" s="23">
        <f>'Annual Raw'!AA76</f>
        <v>3.9</v>
      </c>
      <c r="AA144" s="23">
        <f>'Annual Raw'!AB76</f>
        <v>5.8</v>
      </c>
      <c r="AB144" s="24">
        <f t="shared" si="1212"/>
        <v>6.2047454014987462</v>
      </c>
      <c r="AC144" s="24">
        <f t="shared" si="1213"/>
        <v>6.694600955205682</v>
      </c>
      <c r="AD144" s="24">
        <f t="shared" si="1214"/>
        <v>7.229805280427791</v>
      </c>
      <c r="AE144" s="24">
        <f t="shared" si="1215"/>
        <v>7.8081937069788649</v>
      </c>
      <c r="AJ144" s="23">
        <f>+'QTR Raw'!D81</f>
        <v>0</v>
      </c>
      <c r="AK144" s="23" t="e">
        <f>+AK179*AK10/90</f>
        <v>#DIV/0!</v>
      </c>
      <c r="AL144" s="23">
        <f>+'QTR Raw'!F81</f>
        <v>0</v>
      </c>
      <c r="AM144" s="23" t="e">
        <f>+AM179*AM10/90</f>
        <v>#DIV/0!</v>
      </c>
      <c r="AN144" s="23">
        <f>+'QTR Raw'!H81</f>
        <v>0</v>
      </c>
      <c r="AO144" s="23" t="e">
        <f>+AO179*AO10/90</f>
        <v>#DIV/0!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 t="e">
        <f>+AU179*AU10/90</f>
        <v>#DIV/0!</v>
      </c>
      <c r="AV144" s="23">
        <f>+'QTR Raw'!P81</f>
        <v>0</v>
      </c>
      <c r="AW144" s="23">
        <f>+AW179*AW10/90</f>
        <v>0</v>
      </c>
      <c r="AX144" s="23">
        <f>+'QTR Raw'!R81</f>
        <v>0</v>
      </c>
      <c r="AY144" s="23">
        <f>+AY179*AY10/90</f>
        <v>0</v>
      </c>
      <c r="AZ144" s="23">
        <f>+'QTR Raw'!T81</f>
        <v>0</v>
      </c>
      <c r="BA144" s="23">
        <f>+BA179*BA10/90</f>
        <v>0</v>
      </c>
      <c r="BB144" s="23">
        <f>+'QTR Raw'!V81</f>
        <v>0</v>
      </c>
      <c r="BC144" s="23">
        <f>+BC179*BC10/90</f>
        <v>0</v>
      </c>
      <c r="BD144" s="23">
        <f>+'QTR Raw'!X81</f>
        <v>0</v>
      </c>
      <c r="BE144" s="23">
        <f>+BE179*BE10/90</f>
        <v>0</v>
      </c>
      <c r="BF144" s="23">
        <f>+'QTR Raw'!Z81</f>
        <v>0</v>
      </c>
      <c r="BG144" s="23">
        <f>+BG179*BG10/90</f>
        <v>0</v>
      </c>
      <c r="BH144" s="23">
        <f>+'QTR Raw'!AB81</f>
        <v>0</v>
      </c>
      <c r="BI144" s="23">
        <f>+BI179*BI10/90</f>
        <v>0</v>
      </c>
      <c r="BJ144" s="23">
        <f>+'QTR Raw'!AD81</f>
        <v>0</v>
      </c>
      <c r="BK144" s="23">
        <f>+BK179*BK10/90</f>
        <v>0</v>
      </c>
      <c r="BL144" s="23">
        <f>+'QTR Raw'!AF81</f>
        <v>0</v>
      </c>
      <c r="BM144" s="23">
        <f>+BM179*BM10/90</f>
        <v>0</v>
      </c>
      <c r="BN144" s="23">
        <f>+'QTR Raw'!AH81</f>
        <v>0</v>
      </c>
      <c r="BO144" s="23">
        <f>+BO179*BO10/90</f>
        <v>0</v>
      </c>
      <c r="BP144" s="23">
        <f>+'QTR Raw'!AJ81</f>
        <v>0</v>
      </c>
      <c r="BQ144" s="23">
        <f>+BQ179*BQ10/90</f>
        <v>0</v>
      </c>
      <c r="BR144" s="23">
        <f>+'QTR Raw'!AL81</f>
        <v>0</v>
      </c>
      <c r="BS144" s="23">
        <f>+BS179*BS10/90</f>
        <v>0</v>
      </c>
      <c r="BT144" s="23">
        <f>+'QTR Raw'!AN81</f>
        <v>0</v>
      </c>
      <c r="BU144" s="23">
        <f>+BU179*BU10/90</f>
        <v>0</v>
      </c>
      <c r="BV144" s="23">
        <f>+'QTR Raw'!AP81</f>
        <v>0</v>
      </c>
      <c r="BW144" s="23">
        <f>+BW179*BW10/90</f>
        <v>0</v>
      </c>
      <c r="BX144" s="23">
        <f>+'QTR Raw'!AR81</f>
        <v>0</v>
      </c>
      <c r="BY144" s="23">
        <f>+BY179*BY10/90</f>
        <v>0</v>
      </c>
      <c r="BZ144" s="23">
        <f>+'QTR Raw'!AT81</f>
        <v>1.6</v>
      </c>
      <c r="CA144" s="23">
        <f>+CA179*CA10/90</f>
        <v>1.5532945245929304</v>
      </c>
      <c r="CB144" s="23">
        <f>+'QTR Raw'!AV81</f>
        <v>2.4</v>
      </c>
      <c r="CC144" s="23">
        <f>+CC179*CC10/90</f>
        <v>2.435499685732244</v>
      </c>
      <c r="CD144" s="23">
        <f>+'QTR Raw'!AX81</f>
        <v>3.3</v>
      </c>
      <c r="CE144" s="23">
        <f>+CE179*CE10/90</f>
        <v>3.2016827586206897</v>
      </c>
      <c r="CF144" s="23">
        <f>+'QTR Raw'!AZ81</f>
        <v>6.5</v>
      </c>
      <c r="CG144" s="23">
        <f>+CG179*CG10/90</f>
        <v>6.7023592055657044</v>
      </c>
      <c r="CH144" s="23">
        <f t="shared" si="1194"/>
        <v>3.9</v>
      </c>
      <c r="CI144" s="23">
        <f>+CI179*CI10/90</f>
        <v>4.237394798695882</v>
      </c>
      <c r="CJ144" s="23">
        <f>+'QTR Raw'!BD81</f>
        <v>9.4</v>
      </c>
      <c r="CK144" s="23">
        <f t="shared" ref="CK144:DB144" si="1217">+CK179*CK10/90</f>
        <v>9.2233260614197015</v>
      </c>
      <c r="CL144" s="23">
        <f>+'QTR Raw'!BF81</f>
        <v>5.8</v>
      </c>
      <c r="CM144" s="24">
        <f t="shared" si="1217"/>
        <v>6.4381782747058445</v>
      </c>
      <c r="CN144" s="24">
        <f t="shared" si="1217"/>
        <v>6.6066029716069741</v>
      </c>
      <c r="CO144" s="24">
        <f t="shared" si="1217"/>
        <v>6.3853499310746011</v>
      </c>
      <c r="CP144" s="24">
        <f t="shared" si="1217"/>
        <v>6.2047454014987462</v>
      </c>
      <c r="CQ144" s="24">
        <f t="shared" si="1217"/>
        <v>6.9942400359595807</v>
      </c>
      <c r="CR144" s="24">
        <f t="shared" si="1217"/>
        <v>7.1433128332755373</v>
      </c>
      <c r="CS144" s="24">
        <f t="shared" si="1217"/>
        <v>6.8859780917693403</v>
      </c>
      <c r="CT144" s="24">
        <f t="shared" si="1217"/>
        <v>6.694600955205682</v>
      </c>
      <c r="CU144" s="24">
        <f t="shared" si="1217"/>
        <v>7.5624503136861181</v>
      </c>
      <c r="CV144" s="24">
        <f t="shared" si="1217"/>
        <v>7.7144730184436741</v>
      </c>
      <c r="CW144" s="24">
        <f t="shared" si="1217"/>
        <v>7.4343571138771827</v>
      </c>
      <c r="CX144" s="24">
        <f t="shared" si="1217"/>
        <v>7.229805280427791</v>
      </c>
      <c r="CY144" s="24">
        <f t="shared" si="1217"/>
        <v>8.1689206212549426</v>
      </c>
      <c r="CZ144" s="24">
        <f t="shared" si="1217"/>
        <v>8.331119763570765</v>
      </c>
      <c r="DA144" s="24">
        <f t="shared" si="1217"/>
        <v>8.028569325676493</v>
      </c>
      <c r="DB144" s="24">
        <f t="shared" si="1217"/>
        <v>7.8081937069788649</v>
      </c>
      <c r="DE144" s="123"/>
      <c r="DF144" s="23">
        <v>5.8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0</v>
      </c>
      <c r="J145" s="23">
        <f>'Annual Raw'!K77</f>
        <v>0</v>
      </c>
      <c r="K145" s="23">
        <f>'Annual Raw'!L77</f>
        <v>0</v>
      </c>
      <c r="L145" s="23">
        <f>'Annual Raw'!M77</f>
        <v>0</v>
      </c>
      <c r="M145" s="23">
        <f>'Annual Raw'!N77</f>
        <v>0</v>
      </c>
      <c r="N145" s="23">
        <f>'Annual Raw'!O77</f>
        <v>0</v>
      </c>
      <c r="O145" s="23">
        <f>'Annual Raw'!P77</f>
        <v>149.99</v>
      </c>
      <c r="P145" s="23">
        <f>'Annual Raw'!Q77</f>
        <v>685.30899999999997</v>
      </c>
      <c r="Q145" s="23">
        <f>'Annual Raw'!R77</f>
        <v>725.9</v>
      </c>
      <c r="R145" s="23">
        <f>'Annual Raw'!S77</f>
        <v>710.6</v>
      </c>
      <c r="S145" s="23">
        <f>'Annual Raw'!T77</f>
        <v>962.3</v>
      </c>
      <c r="T145" s="23">
        <f>'Annual Raw'!U77</f>
        <v>1064.3</v>
      </c>
      <c r="U145" s="23">
        <f>'Annual Raw'!V77</f>
        <v>1380.7</v>
      </c>
      <c r="V145" s="23">
        <f>'Annual Raw'!W77</f>
        <v>1234.5999999999999</v>
      </c>
      <c r="W145" s="23">
        <f>'Annual Raw'!X77</f>
        <v>1695.9</v>
      </c>
      <c r="X145" s="23">
        <f>'Annual Raw'!Y77</f>
        <v>2151.6999999999998</v>
      </c>
      <c r="Y145" s="23">
        <f>'Annual Raw'!Z77</f>
        <v>2180.3000000000002</v>
      </c>
      <c r="Z145" s="23">
        <f>'Annual Raw'!AA77</f>
        <v>2512.6</v>
      </c>
      <c r="AA145" s="23">
        <f>'Annual Raw'!AB77</f>
        <v>2014.6</v>
      </c>
      <c r="AB145" s="24">
        <f t="shared" si="1212"/>
        <v>2155.186221699892</v>
      </c>
      <c r="AC145" s="24">
        <f t="shared" si="1213"/>
        <v>2325.3350145443733</v>
      </c>
      <c r="AD145" s="24">
        <f t="shared" si="1214"/>
        <v>2511.2354686120393</v>
      </c>
      <c r="AE145" s="24">
        <f t="shared" si="1215"/>
        <v>2712.1356969102794</v>
      </c>
      <c r="AJ145" s="23">
        <f>+'QTR Raw'!D82</f>
        <v>0</v>
      </c>
      <c r="AK145" s="23" t="e">
        <f>+AK180*AK10/90</f>
        <v>#DIV/0!</v>
      </c>
      <c r="AL145" s="23">
        <f>+'QTR Raw'!F82</f>
        <v>0</v>
      </c>
      <c r="AM145" s="23" t="e">
        <f>+AM180*AM10/90</f>
        <v>#DIV/0!</v>
      </c>
      <c r="AN145" s="23">
        <f>+'QTR Raw'!H82</f>
        <v>0</v>
      </c>
      <c r="AO145" s="23" t="e">
        <f>+AO180*AO10/90</f>
        <v>#DIV/0!</v>
      </c>
      <c r="AP145" s="23">
        <f>+'QTR Raw'!J82</f>
        <v>0</v>
      </c>
      <c r="AQ145" s="23" t="e">
        <f>+AQ180*AQ10/90</f>
        <v>#DIV/0!</v>
      </c>
      <c r="AR145" s="23">
        <f>+'QTR Raw'!L82</f>
        <v>0</v>
      </c>
      <c r="AS145" s="23" t="e">
        <f>+AS180*AS10/90</f>
        <v>#DIV/0!</v>
      </c>
      <c r="AT145" s="23">
        <f>+'QTR Raw'!N82</f>
        <v>0</v>
      </c>
      <c r="AU145" s="23" t="e">
        <f>+AU180*AU10/90</f>
        <v>#DIV/0!</v>
      </c>
      <c r="AV145" s="23">
        <f>+'QTR Raw'!P82</f>
        <v>0</v>
      </c>
      <c r="AW145" s="23">
        <f>+AW180*AW10/90</f>
        <v>0</v>
      </c>
      <c r="AX145" s="23">
        <f>+'QTR Raw'!R82</f>
        <v>725.9</v>
      </c>
      <c r="AY145" s="23">
        <f>+AY180*AY10/90</f>
        <v>727.25868480159727</v>
      </c>
      <c r="AZ145" s="23">
        <f>+'QTR Raw'!T82</f>
        <v>696</v>
      </c>
      <c r="BA145" s="23">
        <f>+BA180*BA10/90</f>
        <v>685.59426279324168</v>
      </c>
      <c r="BB145" s="23">
        <f>+'QTR Raw'!V82</f>
        <v>710.6</v>
      </c>
      <c r="BC145" s="23">
        <f>+BC180*BC10/90</f>
        <v>719.61043949279826</v>
      </c>
      <c r="BD145" s="23">
        <f>+'QTR Raw'!X82</f>
        <v>805.8</v>
      </c>
      <c r="BE145" s="23">
        <f>+BE180*BE10/90</f>
        <v>867.08947368421036</v>
      </c>
      <c r="BF145" s="23">
        <f>+'QTR Raw'!Z82</f>
        <v>962.3</v>
      </c>
      <c r="BG145" s="23">
        <f>+BG180*BG10/90</f>
        <v>1051.1585703450892</v>
      </c>
      <c r="BH145" s="23">
        <f>+'QTR Raw'!AB82</f>
        <v>1125.5999999999999</v>
      </c>
      <c r="BI145" s="23">
        <f>+BI180*BI10/90</f>
        <v>1170.7626885712029</v>
      </c>
      <c r="BJ145" s="23">
        <f>+'QTR Raw'!AD82</f>
        <v>1064.3</v>
      </c>
      <c r="BK145" s="23">
        <f>+BK180*BK10/90</f>
        <v>1067.7866502866502</v>
      </c>
      <c r="BL145" s="23">
        <f>+'QTR Raw'!AF82</f>
        <v>1135.5</v>
      </c>
      <c r="BM145" s="23">
        <f>+BM180*BM10/90</f>
        <v>1152.3450181870053</v>
      </c>
      <c r="BN145" s="23">
        <f>+'QTR Raw'!AH82</f>
        <v>1380.7</v>
      </c>
      <c r="BO145" s="23">
        <f>+BO180*BO10/90</f>
        <v>1235.719818885663</v>
      </c>
      <c r="BP145" s="23">
        <f>+'QTR Raw'!AJ82</f>
        <v>1186.3</v>
      </c>
      <c r="BQ145" s="23">
        <f>+BQ180*BQ10/90</f>
        <v>1264.7666387578017</v>
      </c>
      <c r="BR145" s="23">
        <f>+'QTR Raw'!AL82</f>
        <v>1234.5999999999999</v>
      </c>
      <c r="BS145" s="23">
        <f>+BS180*BS10/90</f>
        <v>1301.3652481777162</v>
      </c>
      <c r="BT145" s="23">
        <f>+'QTR Raw'!AN82</f>
        <v>1489.5</v>
      </c>
      <c r="BU145" s="23">
        <f>+BU180*BU10/90</f>
        <v>1563.433009889905</v>
      </c>
      <c r="BV145" s="23">
        <f>+'QTR Raw'!AP82</f>
        <v>1695.9</v>
      </c>
      <c r="BW145" s="23">
        <f>+BW180*BW10/90</f>
        <v>1937.4264449632715</v>
      </c>
      <c r="BX145" s="23">
        <f>+'QTR Raw'!AR82</f>
        <v>1656.4</v>
      </c>
      <c r="BY145" s="23">
        <f>+BY180*BY10/90</f>
        <v>1565.8740412850073</v>
      </c>
      <c r="BZ145" s="23">
        <f>+'QTR Raw'!AT82</f>
        <v>2151.6999999999998</v>
      </c>
      <c r="CA145" s="23">
        <f>+CA180*CA10/90</f>
        <v>2088.8898928541298</v>
      </c>
      <c r="CB145" s="23">
        <f>+'QTR Raw'!AV82</f>
        <v>2728.5</v>
      </c>
      <c r="CC145" s="23">
        <f>+CC180*CC10/90</f>
        <v>2768.8587052168446</v>
      </c>
      <c r="CD145" s="23">
        <f>+'QTR Raw'!AX82</f>
        <v>2180.3000000000002</v>
      </c>
      <c r="CE145" s="23">
        <f>+CE180*CE10/90</f>
        <v>2115.3420965517248</v>
      </c>
      <c r="CF145" s="23">
        <f>+'QTR Raw'!AZ82</f>
        <v>2308.9</v>
      </c>
      <c r="CG145" s="23">
        <f>+CG180*CG10/90</f>
        <v>2380.7811030354851</v>
      </c>
      <c r="CH145" s="23">
        <f t="shared" si="1194"/>
        <v>2512.6</v>
      </c>
      <c r="CI145" s="23">
        <f>+CI180*CI10/90</f>
        <v>2729.9687618469934</v>
      </c>
      <c r="CJ145" s="23">
        <f>+'QTR Raw'!BD82</f>
        <v>2645.7</v>
      </c>
      <c r="CK145" s="23">
        <f t="shared" ref="CK145:DB145" si="1218">+CK180*CK10/90</f>
        <v>2595.9738043295852</v>
      </c>
      <c r="CL145" s="23">
        <f>+'QTR Raw'!BF82</f>
        <v>2014.6</v>
      </c>
      <c r="CM145" s="24">
        <f t="shared" si="1218"/>
        <v>2236.2679227969643</v>
      </c>
      <c r="CN145" s="24">
        <f t="shared" si="1218"/>
        <v>2294.7693701033468</v>
      </c>
      <c r="CO145" s="24">
        <f t="shared" si="1218"/>
        <v>2217.9182708867056</v>
      </c>
      <c r="CP145" s="24">
        <f t="shared" si="1218"/>
        <v>2155.186221699892</v>
      </c>
      <c r="CQ145" s="24">
        <f t="shared" si="1218"/>
        <v>2429.4130993869262</v>
      </c>
      <c r="CR145" s="24">
        <f t="shared" si="1218"/>
        <v>2481.1927644684306</v>
      </c>
      <c r="CS145" s="24">
        <f t="shared" si="1218"/>
        <v>2391.8088730480194</v>
      </c>
      <c r="CT145" s="24">
        <f t="shared" si="1218"/>
        <v>2325.3350145443733</v>
      </c>
      <c r="CU145" s="24">
        <f t="shared" si="1218"/>
        <v>2626.778000336561</v>
      </c>
      <c r="CV145" s="24">
        <f t="shared" si="1218"/>
        <v>2679.5823005097632</v>
      </c>
      <c r="CW145" s="24">
        <f t="shared" si="1218"/>
        <v>2582.2854899339604</v>
      </c>
      <c r="CX145" s="24">
        <f t="shared" si="1218"/>
        <v>2511.2354686120393</v>
      </c>
      <c r="CY145" s="24">
        <f t="shared" si="1218"/>
        <v>2837.4323247552084</v>
      </c>
      <c r="CZ145" s="24">
        <f t="shared" si="1218"/>
        <v>2893.7713578775283</v>
      </c>
      <c r="DA145" s="24">
        <f t="shared" si="1218"/>
        <v>2788.6820281910109</v>
      </c>
      <c r="DB145" s="24">
        <f t="shared" si="1218"/>
        <v>2712.1356969102794</v>
      </c>
      <c r="DE145" s="123"/>
      <c r="DF145" s="23">
        <v>2014.6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0</v>
      </c>
      <c r="M146" s="23">
        <f>'Annual Raw'!N79</f>
        <v>0</v>
      </c>
      <c r="N146" s="23">
        <f>'Annual Raw'!O79</f>
        <v>0</v>
      </c>
      <c r="O146" s="23">
        <f>'Annual Raw'!P79</f>
        <v>0</v>
      </c>
      <c r="P146" s="23">
        <f>'Annual Raw'!Q79</f>
        <v>175.31100000000001</v>
      </c>
      <c r="Q146" s="23">
        <f>'Annual Raw'!R79</f>
        <v>82.5</v>
      </c>
      <c r="R146" s="23">
        <f>'Annual Raw'!S79</f>
        <v>153.19999999999999</v>
      </c>
      <c r="S146" s="23">
        <f>'Annual Raw'!T79</f>
        <v>210.4</v>
      </c>
      <c r="T146" s="23">
        <f>'Annual Raw'!U79</f>
        <v>174.3</v>
      </c>
      <c r="U146" s="23">
        <f>'Annual Raw'!V79</f>
        <v>198.8</v>
      </c>
      <c r="V146" s="23">
        <f>'Annual Raw'!W79</f>
        <v>215.1</v>
      </c>
      <c r="W146" s="23">
        <f>'Annual Raw'!X79</f>
        <v>201</v>
      </c>
      <c r="X146" s="23">
        <f>'Annual Raw'!Y79</f>
        <v>144.4</v>
      </c>
      <c r="Y146" s="23">
        <f>'Annual Raw'!Z79</f>
        <v>186.8</v>
      </c>
      <c r="Z146" s="23">
        <f>'Annual Raw'!AA79</f>
        <v>214.7</v>
      </c>
      <c r="AA146" s="23">
        <f>'Annual Raw'!AB79</f>
        <v>201.4</v>
      </c>
      <c r="AB146" s="24">
        <f t="shared" si="1212"/>
        <v>3284.1289496656905</v>
      </c>
      <c r="AC146" s="24">
        <f t="shared" si="1213"/>
        <v>3543.4061159286084</v>
      </c>
      <c r="AD146" s="24">
        <f t="shared" si="1214"/>
        <v>3826.6860742043586</v>
      </c>
      <c r="AE146" s="24">
        <f t="shared" si="1215"/>
        <v>4132.8230794921419</v>
      </c>
      <c r="AJ146" s="23">
        <f>+'QTR Raw'!D84</f>
        <v>0</v>
      </c>
      <c r="AK146" s="23">
        <f t="shared" si="1216"/>
        <v>0</v>
      </c>
      <c r="AL146" s="23">
        <f>+'QTR Raw'!F84</f>
        <v>0</v>
      </c>
      <c r="AM146" s="23">
        <f t="shared" si="1216"/>
        <v>0</v>
      </c>
      <c r="AN146" s="23">
        <f>+'QTR Raw'!H84</f>
        <v>0</v>
      </c>
      <c r="AO146" s="23">
        <f t="shared" si="1216"/>
        <v>0</v>
      </c>
      <c r="AP146" s="23">
        <f>+'QTR Raw'!J84</f>
        <v>0</v>
      </c>
      <c r="AQ146" s="23">
        <f t="shared" si="1216"/>
        <v>0</v>
      </c>
      <c r="AR146" s="23">
        <f>+'QTR Raw'!L84</f>
        <v>0</v>
      </c>
      <c r="AS146" s="23">
        <f t="shared" si="1216"/>
        <v>0</v>
      </c>
      <c r="AT146" s="23">
        <f>+'QTR Raw'!N84</f>
        <v>0</v>
      </c>
      <c r="AU146" s="23">
        <f t="shared" si="1216"/>
        <v>0</v>
      </c>
      <c r="AV146" s="23">
        <f>+'QTR Raw'!P84</f>
        <v>0</v>
      </c>
      <c r="AW146" s="23">
        <f t="shared" si="1216"/>
        <v>0</v>
      </c>
      <c r="AX146" s="23">
        <f>+'QTR Raw'!R84</f>
        <v>300.10000000000002</v>
      </c>
      <c r="AY146" s="23">
        <f t="shared" si="1216"/>
        <v>300.10000000000002</v>
      </c>
      <c r="AZ146" s="23">
        <f>+'QTR Raw'!T84</f>
        <v>334.6</v>
      </c>
      <c r="BA146" s="23">
        <f t="shared" si="1216"/>
        <v>334.6</v>
      </c>
      <c r="BB146" s="23">
        <f>+'QTR Raw'!V84</f>
        <v>467.4</v>
      </c>
      <c r="BC146" s="23">
        <f t="shared" si="1216"/>
        <v>467.4</v>
      </c>
      <c r="BD146" s="23">
        <f>+'QTR Raw'!X84</f>
        <v>489.6</v>
      </c>
      <c r="BE146" s="23">
        <f t="shared" si="1216"/>
        <v>489.6</v>
      </c>
      <c r="BF146" s="23">
        <f>+'QTR Raw'!Z84</f>
        <v>523.4</v>
      </c>
      <c r="BG146" s="23">
        <f t="shared" si="1216"/>
        <v>523.4</v>
      </c>
      <c r="BH146" s="23">
        <f>+'QTR Raw'!AB84</f>
        <v>523.9</v>
      </c>
      <c r="BI146" s="23">
        <f t="shared" si="1216"/>
        <v>523.9</v>
      </c>
      <c r="BJ146" s="23">
        <f>+'QTR Raw'!AD84</f>
        <v>527.70000000000005</v>
      </c>
      <c r="BK146" s="23">
        <f t="shared" si="1216"/>
        <v>527.70000000000005</v>
      </c>
      <c r="BL146" s="23">
        <f>+'QTR Raw'!AF84</f>
        <v>713.4</v>
      </c>
      <c r="BM146" s="23">
        <f t="shared" si="1216"/>
        <v>713.4</v>
      </c>
      <c r="BN146" s="23">
        <f>+'QTR Raw'!AH84</f>
        <v>674.5</v>
      </c>
      <c r="BO146" s="23">
        <f t="shared" si="1216"/>
        <v>674.5</v>
      </c>
      <c r="BP146" s="23">
        <f>+'QTR Raw'!AJ84</f>
        <v>549.1</v>
      </c>
      <c r="BQ146" s="23">
        <f t="shared" si="1216"/>
        <v>549.1</v>
      </c>
      <c r="BR146" s="23">
        <f>+'QTR Raw'!AL84</f>
        <v>520.4</v>
      </c>
      <c r="BS146" s="23">
        <f t="shared" si="1216"/>
        <v>520.4</v>
      </c>
      <c r="BT146" s="23">
        <f>+'QTR Raw'!AN84</f>
        <v>510.1</v>
      </c>
      <c r="BU146" s="23">
        <f t="shared" si="1216"/>
        <v>510.1</v>
      </c>
      <c r="BV146" s="23">
        <f>+'QTR Raw'!AP84</f>
        <v>563.20000000000005</v>
      </c>
      <c r="BW146" s="23">
        <f t="shared" si="1216"/>
        <v>563.20000000000005</v>
      </c>
      <c r="BX146" s="23">
        <f>+'QTR Raw'!AR84</f>
        <v>653.6</v>
      </c>
      <c r="BY146" s="23">
        <f t="shared" si="1216"/>
        <v>653.6</v>
      </c>
      <c r="BZ146" s="23">
        <f>+'QTR Raw'!AT84</f>
        <v>1424.9</v>
      </c>
      <c r="CA146" s="23">
        <f t="shared" si="1216"/>
        <v>1424.9</v>
      </c>
      <c r="CB146" s="23">
        <f>+'QTR Raw'!AV84</f>
        <v>852.3</v>
      </c>
      <c r="CC146" s="23">
        <f t="shared" si="1216"/>
        <v>852.3</v>
      </c>
      <c r="CD146" s="23">
        <f>+'QTR Raw'!AX84</f>
        <v>1362.6</v>
      </c>
      <c r="CE146" s="23">
        <f t="shared" si="1216"/>
        <v>1362.6</v>
      </c>
      <c r="CF146" s="23">
        <f>+'QTR Raw'!AZ84</f>
        <v>1474.2</v>
      </c>
      <c r="CG146" s="23">
        <f t="shared" ref="CG146:CG147" si="1219">+CF146</f>
        <v>1474.2</v>
      </c>
      <c r="CH146" s="23">
        <f t="shared" si="1194"/>
        <v>214.7</v>
      </c>
      <c r="CI146" s="23">
        <f>CI10/90*CI181</f>
        <v>2132.0614906361357</v>
      </c>
      <c r="CJ146" s="23">
        <f>+'QTR Raw'!BD84</f>
        <v>1611.6</v>
      </c>
      <c r="CK146" s="23">
        <f t="shared" ref="CK146:DB146" si="1220">CK10/90*CK181</f>
        <v>2393.3549924483973</v>
      </c>
      <c r="CL146" s="23">
        <f>+'QTR Raw'!BF84</f>
        <v>1279.8</v>
      </c>
      <c r="CM146" s="24">
        <f t="shared" si="1220"/>
        <v>3407.6833595723228</v>
      </c>
      <c r="CN146" s="24">
        <f t="shared" si="1220"/>
        <v>3496.8293900924577</v>
      </c>
      <c r="CO146" s="24">
        <f t="shared" si="1220"/>
        <v>3379.721681621711</v>
      </c>
      <c r="CP146" s="24">
        <f t="shared" si="1220"/>
        <v>3284.1289496656905</v>
      </c>
      <c r="CQ146" s="24">
        <f t="shared" si="1220"/>
        <v>3702.0030148952274</v>
      </c>
      <c r="CR146" s="24">
        <f t="shared" si="1220"/>
        <v>3780.9062184263066</v>
      </c>
      <c r="CS146" s="24">
        <f t="shared" si="1220"/>
        <v>3644.7007144694317</v>
      </c>
      <c r="CT146" s="24">
        <f t="shared" si="1220"/>
        <v>3543.4061159286084</v>
      </c>
      <c r="CU146" s="24">
        <f t="shared" si="1220"/>
        <v>4002.7527962043141</v>
      </c>
      <c r="CV146" s="24">
        <f t="shared" si="1220"/>
        <v>4083.2173654000412</v>
      </c>
      <c r="CW146" s="24">
        <f t="shared" si="1220"/>
        <v>3934.9539489468211</v>
      </c>
      <c r="CX146" s="24">
        <f t="shared" si="1220"/>
        <v>3826.6860742043586</v>
      </c>
      <c r="CY146" s="24">
        <f t="shared" si="1220"/>
        <v>4323.7533474466472</v>
      </c>
      <c r="CZ146" s="24">
        <f t="shared" si="1220"/>
        <v>4409.6042348596375</v>
      </c>
      <c r="DA146" s="24">
        <f t="shared" si="1220"/>
        <v>4249.4663746369442</v>
      </c>
      <c r="DB146" s="24">
        <f t="shared" si="1220"/>
        <v>4132.8230794921419</v>
      </c>
      <c r="DE146" s="123"/>
      <c r="DF146" s="23">
        <v>201.4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0</v>
      </c>
      <c r="J147" s="23">
        <f>'Annual Raw'!K80</f>
        <v>0</v>
      </c>
      <c r="K147" s="23">
        <f>'Annual Raw'!L80</f>
        <v>0</v>
      </c>
      <c r="L147" s="23">
        <f>'Annual Raw'!M80</f>
        <v>0</v>
      </c>
      <c r="M147" s="23">
        <f>'Annual Raw'!N80</f>
        <v>0</v>
      </c>
      <c r="N147" s="23">
        <f>'Annual Raw'!O80</f>
        <v>0</v>
      </c>
      <c r="O147" s="23">
        <f>'Annual Raw'!P80</f>
        <v>37.186999999999998</v>
      </c>
      <c r="P147" s="23">
        <f>'Annual Raw'!Q80</f>
        <v>160.02699999999999</v>
      </c>
      <c r="Q147" s="23">
        <f>'Annual Raw'!R80</f>
        <v>350.7</v>
      </c>
      <c r="R147" s="23">
        <f>'Annual Raw'!S80</f>
        <v>314.3</v>
      </c>
      <c r="S147" s="23">
        <f>'Annual Raw'!T80</f>
        <v>313.10000000000002</v>
      </c>
      <c r="T147" s="23">
        <f>'Annual Raw'!U80</f>
        <v>353.4</v>
      </c>
      <c r="U147" s="23">
        <f>'Annual Raw'!V80</f>
        <v>475.8</v>
      </c>
      <c r="V147" s="23">
        <f>'Annual Raw'!W80</f>
        <v>305.3</v>
      </c>
      <c r="W147" s="23">
        <f>'Annual Raw'!X80</f>
        <v>362.2</v>
      </c>
      <c r="X147" s="23">
        <f>'Annual Raw'!Y80</f>
        <v>1280.5</v>
      </c>
      <c r="Y147" s="23">
        <f>'Annual Raw'!Z80</f>
        <v>1175.8</v>
      </c>
      <c r="Z147" s="23">
        <f>'Annual Raw'!AA80</f>
        <v>1206.8</v>
      </c>
      <c r="AA147" s="23">
        <f>'Annual Raw'!AB80</f>
        <v>1078.4000000000001</v>
      </c>
      <c r="AB147" s="24">
        <f t="shared" si="1212"/>
        <v>0</v>
      </c>
      <c r="AC147" s="24">
        <f t="shared" si="1213"/>
        <v>0</v>
      </c>
      <c r="AD147" s="24">
        <f t="shared" si="1214"/>
        <v>0</v>
      </c>
      <c r="AE147" s="24">
        <f t="shared" si="1215"/>
        <v>0</v>
      </c>
      <c r="AJ147" s="23">
        <f>+'QTR Raw'!D85</f>
        <v>0</v>
      </c>
      <c r="AK147" s="23">
        <f t="shared" si="1216"/>
        <v>0</v>
      </c>
      <c r="AL147" s="23">
        <f>+'QTR Raw'!F85</f>
        <v>0</v>
      </c>
      <c r="AM147" s="23">
        <f t="shared" si="1216"/>
        <v>0</v>
      </c>
      <c r="AN147" s="23">
        <f>+'QTR Raw'!H85</f>
        <v>0</v>
      </c>
      <c r="AO147" s="23">
        <f t="shared" si="1216"/>
        <v>0</v>
      </c>
      <c r="AP147" s="23">
        <f>+'QTR Raw'!J85</f>
        <v>0</v>
      </c>
      <c r="AQ147" s="23">
        <f t="shared" si="1216"/>
        <v>0</v>
      </c>
      <c r="AR147" s="23">
        <f>+'QTR Raw'!L85</f>
        <v>0</v>
      </c>
      <c r="AS147" s="23">
        <f t="shared" si="1216"/>
        <v>0</v>
      </c>
      <c r="AT147" s="23">
        <f>+'QTR Raw'!N85</f>
        <v>0</v>
      </c>
      <c r="AU147" s="23">
        <f t="shared" si="1216"/>
        <v>0</v>
      </c>
      <c r="AV147" s="23">
        <f>+'QTR Raw'!P85</f>
        <v>0</v>
      </c>
      <c r="AW147" s="23">
        <f t="shared" si="1216"/>
        <v>0</v>
      </c>
      <c r="AX147" s="23">
        <f>+'QTR Raw'!R85</f>
        <v>0</v>
      </c>
      <c r="AY147" s="23">
        <f t="shared" si="1216"/>
        <v>0</v>
      </c>
      <c r="AZ147" s="23">
        <f>+'QTR Raw'!T85</f>
        <v>4.5</v>
      </c>
      <c r="BA147" s="23">
        <f t="shared" si="1216"/>
        <v>4.5</v>
      </c>
      <c r="BB147" s="23">
        <f>+'QTR Raw'!V85</f>
        <v>0.1</v>
      </c>
      <c r="BC147" s="23">
        <f t="shared" si="1216"/>
        <v>0.1</v>
      </c>
      <c r="BD147" s="23">
        <f>+'QTR Raw'!X85</f>
        <v>0.1</v>
      </c>
      <c r="BE147" s="23">
        <f t="shared" si="1216"/>
        <v>0.1</v>
      </c>
      <c r="BF147" s="23">
        <f>+'QTR Raw'!Z85</f>
        <v>0.1</v>
      </c>
      <c r="BG147" s="23">
        <f t="shared" si="1216"/>
        <v>0.1</v>
      </c>
      <c r="BH147" s="23">
        <f>+'QTR Raw'!AB85</f>
        <v>0.1</v>
      </c>
      <c r="BI147" s="23">
        <f t="shared" si="1216"/>
        <v>0.1</v>
      </c>
      <c r="BJ147" s="23">
        <f>+'QTR Raw'!AD85</f>
        <v>0</v>
      </c>
      <c r="BK147" s="23">
        <f t="shared" si="1216"/>
        <v>0</v>
      </c>
      <c r="BL147" s="23">
        <f>+'QTR Raw'!AF85</f>
        <v>262.8</v>
      </c>
      <c r="BM147" s="23">
        <f t="shared" si="1216"/>
        <v>262.8</v>
      </c>
      <c r="BN147" s="23">
        <f>+'QTR Raw'!AH85</f>
        <v>0.1</v>
      </c>
      <c r="BO147" s="23">
        <f t="shared" si="1216"/>
        <v>0.1</v>
      </c>
      <c r="BP147" s="23">
        <f>+'QTR Raw'!AJ85</f>
        <v>0</v>
      </c>
      <c r="BQ147" s="23">
        <f t="shared" si="1216"/>
        <v>0</v>
      </c>
      <c r="BR147" s="23">
        <f>+'QTR Raw'!AL85</f>
        <v>0</v>
      </c>
      <c r="BS147" s="23">
        <f t="shared" si="1216"/>
        <v>0</v>
      </c>
      <c r="BT147" s="23">
        <f>+'QTR Raw'!AN85</f>
        <v>0</v>
      </c>
      <c r="BU147" s="23">
        <f t="shared" si="1216"/>
        <v>0</v>
      </c>
      <c r="BV147" s="23">
        <f>+'QTR Raw'!AP85</f>
        <v>0</v>
      </c>
      <c r="BW147" s="23">
        <f t="shared" si="1216"/>
        <v>0</v>
      </c>
      <c r="BX147" s="23">
        <f>+'QTR Raw'!AR85</f>
        <v>0</v>
      </c>
      <c r="BY147" s="23">
        <f t="shared" si="1216"/>
        <v>0</v>
      </c>
      <c r="BZ147" s="23">
        <f>+'QTR Raw'!AT85</f>
        <v>0</v>
      </c>
      <c r="CA147" s="23">
        <f t="shared" si="1216"/>
        <v>0</v>
      </c>
      <c r="CB147" s="23">
        <f>+'QTR Raw'!AV85</f>
        <v>0</v>
      </c>
      <c r="CC147" s="23">
        <f t="shared" si="1216"/>
        <v>0</v>
      </c>
      <c r="CD147" s="23">
        <f>+'QTR Raw'!AX85</f>
        <v>0</v>
      </c>
      <c r="CE147" s="23">
        <f t="shared" si="1216"/>
        <v>0</v>
      </c>
      <c r="CF147" s="23">
        <f>+'QTR Raw'!AZ85</f>
        <v>0</v>
      </c>
      <c r="CG147" s="23">
        <f t="shared" si="1219"/>
        <v>0</v>
      </c>
      <c r="CH147" s="23">
        <f t="shared" si="1194"/>
        <v>1206.8</v>
      </c>
      <c r="CJ147" s="23">
        <f>+'QTR Raw'!BD85</f>
        <v>0</v>
      </c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1078.4000000000001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21">SUM(C142:C147)</f>
        <v>0</v>
      </c>
      <c r="D148" s="22">
        <f t="shared" si="1221"/>
        <v>0</v>
      </c>
      <c r="E148" s="22">
        <f t="shared" si="1221"/>
        <v>0</v>
      </c>
      <c r="F148" s="22">
        <f t="shared" si="1221"/>
        <v>0</v>
      </c>
      <c r="G148" s="22">
        <f t="shared" si="1221"/>
        <v>0</v>
      </c>
      <c r="H148" s="22">
        <f t="shared" si="1221"/>
        <v>0</v>
      </c>
      <c r="I148" s="22">
        <f t="shared" si="1221"/>
        <v>0</v>
      </c>
      <c r="J148" s="22">
        <f t="shared" si="1221"/>
        <v>0</v>
      </c>
      <c r="K148" s="22">
        <f t="shared" si="1221"/>
        <v>0</v>
      </c>
      <c r="L148" s="22">
        <f>SUM(L142:L147)</f>
        <v>0</v>
      </c>
      <c r="M148" s="22">
        <f>SUM(M142:M147)</f>
        <v>0</v>
      </c>
      <c r="N148" s="22">
        <f t="shared" si="1221"/>
        <v>0</v>
      </c>
      <c r="O148" s="22">
        <f t="shared" si="1221"/>
        <v>202.70600000000002</v>
      </c>
      <c r="P148" s="22">
        <f t="shared" si="1221"/>
        <v>1092.664</v>
      </c>
      <c r="Q148" s="22">
        <f t="shared" si="1221"/>
        <v>1195.3</v>
      </c>
      <c r="R148" s="22">
        <f t="shared" si="1221"/>
        <v>1321.5</v>
      </c>
      <c r="S148" s="22">
        <f t="shared" si="1221"/>
        <v>1593.5</v>
      </c>
      <c r="T148" s="22">
        <f t="shared" si="1221"/>
        <v>1791.6999999999998</v>
      </c>
      <c r="U148" s="22">
        <f t="shared" si="1221"/>
        <v>2204.1</v>
      </c>
      <c r="V148" s="22">
        <f t="shared" si="1221"/>
        <v>2024.2999999999997</v>
      </c>
      <c r="W148" s="22">
        <f t="shared" ref="W148" si="1222">SUM(W142:W147)</f>
        <v>2632.5</v>
      </c>
      <c r="X148" s="22">
        <f t="shared" ref="X148:Y148" si="1223">SUM(X142:X147)</f>
        <v>3900.4</v>
      </c>
      <c r="Y148" s="22">
        <f t="shared" si="1223"/>
        <v>3974.2000000000007</v>
      </c>
      <c r="Z148" s="22">
        <f t="shared" ref="Z148:AA148" si="1224">SUM(Z142:Z147)</f>
        <v>4478.7999999999993</v>
      </c>
      <c r="AA148" s="22">
        <f t="shared" si="1224"/>
        <v>4589.2</v>
      </c>
      <c r="AB148" s="21">
        <f t="shared" ref="AB148:AD148" si="1225">SUM(AB142:AB147)</f>
        <v>5445.5199167670817</v>
      </c>
      <c r="AC148" s="21">
        <f t="shared" si="1225"/>
        <v>5875.4357314281879</v>
      </c>
      <c r="AD148" s="21">
        <f t="shared" si="1225"/>
        <v>6345.151348096826</v>
      </c>
      <c r="AE148" s="21">
        <f t="shared" ref="AE148" si="1226">SUM(AE142:AE147)</f>
        <v>6852.7669701094001</v>
      </c>
      <c r="AJ148" s="22">
        <f t="shared" ref="AJ148" si="1227">SUM(AJ142:AJ147)</f>
        <v>0</v>
      </c>
      <c r="AK148" s="22" t="e">
        <f t="shared" ref="AK148" si="1228">SUM(AK142:AK147)</f>
        <v>#DIV/0!</v>
      </c>
      <c r="AL148" s="22">
        <f t="shared" ref="AL148:AM148" si="1229">SUM(AL142:AL147)</f>
        <v>0</v>
      </c>
      <c r="AM148" s="22" t="e">
        <f t="shared" si="1229"/>
        <v>#DIV/0!</v>
      </c>
      <c r="AN148" s="22">
        <f t="shared" ref="AN148:AO148" si="1230">SUM(AN142:AN147)</f>
        <v>0</v>
      </c>
      <c r="AO148" s="22" t="e">
        <f t="shared" si="1230"/>
        <v>#DIV/0!</v>
      </c>
      <c r="AP148" s="22">
        <f t="shared" ref="AP148:CE148" si="1231">SUM(AP142:AP147)</f>
        <v>0</v>
      </c>
      <c r="AQ148" s="22" t="e">
        <f t="shared" si="1231"/>
        <v>#DIV/0!</v>
      </c>
      <c r="AR148" s="22">
        <f t="shared" si="1231"/>
        <v>0</v>
      </c>
      <c r="AS148" s="22" t="e">
        <f t="shared" si="1231"/>
        <v>#DIV/0!</v>
      </c>
      <c r="AT148" s="22">
        <f t="shared" si="1231"/>
        <v>0</v>
      </c>
      <c r="AU148" s="22" t="e">
        <f t="shared" si="1231"/>
        <v>#DIV/0!</v>
      </c>
      <c r="AV148" s="22">
        <f t="shared" si="1231"/>
        <v>0</v>
      </c>
      <c r="AW148" s="22">
        <f t="shared" si="1231"/>
        <v>0</v>
      </c>
      <c r="AX148" s="22">
        <f t="shared" si="1231"/>
        <v>1062.2</v>
      </c>
      <c r="AY148" s="22">
        <f t="shared" si="1231"/>
        <v>1063.5586848015973</v>
      </c>
      <c r="AZ148" s="22">
        <f t="shared" si="1231"/>
        <v>1068.5</v>
      </c>
      <c r="BA148" s="22">
        <f t="shared" si="1231"/>
        <v>1058.0942627932418</v>
      </c>
      <c r="BB148" s="22">
        <f t="shared" si="1231"/>
        <v>1321.5</v>
      </c>
      <c r="BC148" s="22">
        <f t="shared" si="1231"/>
        <v>1330.510439492798</v>
      </c>
      <c r="BD148" s="22">
        <f t="shared" si="1231"/>
        <v>1432.8999999999999</v>
      </c>
      <c r="BE148" s="22">
        <f t="shared" si="1231"/>
        <v>1494.1894736842103</v>
      </c>
      <c r="BF148" s="22">
        <f t="shared" si="1231"/>
        <v>1593.5</v>
      </c>
      <c r="BG148" s="22">
        <f t="shared" si="1231"/>
        <v>1682.358570345089</v>
      </c>
      <c r="BH148" s="22">
        <f t="shared" si="1231"/>
        <v>1728.7999999999997</v>
      </c>
      <c r="BI148" s="22">
        <f t="shared" si="1231"/>
        <v>1773.9626885712028</v>
      </c>
      <c r="BJ148" s="22">
        <f t="shared" si="1231"/>
        <v>1791.7</v>
      </c>
      <c r="BK148" s="22">
        <f t="shared" si="1231"/>
        <v>1795.1866502866503</v>
      </c>
      <c r="BL148" s="22">
        <f t="shared" si="1231"/>
        <v>2265.4</v>
      </c>
      <c r="BM148" s="22">
        <f t="shared" si="1231"/>
        <v>2282.2450181870054</v>
      </c>
      <c r="BN148" s="22">
        <f t="shared" si="1231"/>
        <v>2553.1</v>
      </c>
      <c r="BO148" s="22">
        <f t="shared" si="1231"/>
        <v>2408.1198188856629</v>
      </c>
      <c r="BP148" s="22">
        <f t="shared" si="1231"/>
        <v>2372.1999999999998</v>
      </c>
      <c r="BQ148" s="22">
        <f t="shared" si="1231"/>
        <v>2450.6666387578016</v>
      </c>
      <c r="BR148" s="22">
        <f t="shared" si="1231"/>
        <v>2444</v>
      </c>
      <c r="BS148" s="22">
        <f t="shared" si="1231"/>
        <v>2510.7652481777163</v>
      </c>
      <c r="BT148" s="22">
        <f t="shared" si="1231"/>
        <v>2774.2</v>
      </c>
      <c r="BU148" s="22">
        <f t="shared" si="1231"/>
        <v>2848.1330098899048</v>
      </c>
      <c r="BV148" s="22">
        <f t="shared" si="1231"/>
        <v>3039.8</v>
      </c>
      <c r="BW148" s="22">
        <f t="shared" si="1231"/>
        <v>3281.3264449632716</v>
      </c>
      <c r="BX148" s="22">
        <f t="shared" si="1231"/>
        <v>2946.7000000000003</v>
      </c>
      <c r="BY148" s="22">
        <f t="shared" si="1231"/>
        <v>2856.1740412850072</v>
      </c>
      <c r="BZ148" s="22">
        <f t="shared" si="1231"/>
        <v>4278.1000000000004</v>
      </c>
      <c r="CA148" s="22">
        <f t="shared" si="1231"/>
        <v>4215.2431873787227</v>
      </c>
      <c r="CB148" s="22">
        <f t="shared" si="1231"/>
        <v>4390.8999999999996</v>
      </c>
      <c r="CC148" s="22">
        <f t="shared" si="1231"/>
        <v>4431.2942049025769</v>
      </c>
      <c r="CD148" s="22">
        <f t="shared" si="1231"/>
        <v>4569.3</v>
      </c>
      <c r="CE148" s="22">
        <f t="shared" si="1231"/>
        <v>4504.2437793103454</v>
      </c>
      <c r="CF148" s="22">
        <f t="shared" ref="CF148:CG148" si="1232">SUM(CF142:CF147)</f>
        <v>4788.3999999999996</v>
      </c>
      <c r="CG148" s="22">
        <f t="shared" si="1232"/>
        <v>4860.4834622410508</v>
      </c>
      <c r="CH148" s="22">
        <f t="shared" ref="CH148:CI148" si="1233">SUM(CH142:CH147)</f>
        <v>4478.7999999999993</v>
      </c>
      <c r="CI148" s="22">
        <f t="shared" si="1233"/>
        <v>4866.2676472818248</v>
      </c>
      <c r="CJ148" s="22">
        <f t="shared" ref="CJ148:DB148" si="1234">SUM(CJ142:CJ147)</f>
        <v>5094.2999999999993</v>
      </c>
      <c r="CK148" s="22">
        <f t="shared" si="1234"/>
        <v>4998.5521228394027</v>
      </c>
      <c r="CL148" s="22">
        <f t="shared" ref="CL148" si="1235">SUM(CL142:CL147)</f>
        <v>5090.3</v>
      </c>
      <c r="CM148" s="21">
        <f t="shared" si="1234"/>
        <v>5650.3894606439935</v>
      </c>
      <c r="CN148" s="21">
        <f t="shared" si="1234"/>
        <v>5798.2053631674116</v>
      </c>
      <c r="CO148" s="21">
        <f t="shared" si="1234"/>
        <v>5604.0253024394915</v>
      </c>
      <c r="CP148" s="21">
        <f t="shared" si="1234"/>
        <v>5445.5199167670817</v>
      </c>
      <c r="CQ148" s="21">
        <f t="shared" si="1234"/>
        <v>6138.4103543181136</v>
      </c>
      <c r="CR148" s="21">
        <f t="shared" si="1234"/>
        <v>6269.2422957280123</v>
      </c>
      <c r="CS148" s="21">
        <f t="shared" si="1234"/>
        <v>6043.3955656092203</v>
      </c>
      <c r="CT148" s="21">
        <f t="shared" si="1234"/>
        <v>5875.4357314281879</v>
      </c>
      <c r="CU148" s="21">
        <f t="shared" si="1234"/>
        <v>6637.0932468545616</v>
      </c>
      <c r="CV148" s="21">
        <f t="shared" si="1234"/>
        <v>6770.514138928248</v>
      </c>
      <c r="CW148" s="21">
        <f t="shared" si="1234"/>
        <v>6524.6737959946586</v>
      </c>
      <c r="CX148" s="21">
        <f t="shared" si="1234"/>
        <v>6345.151348096826</v>
      </c>
      <c r="CY148" s="21">
        <f t="shared" si="1234"/>
        <v>7169.3545928231106</v>
      </c>
      <c r="CZ148" s="21">
        <f t="shared" si="1234"/>
        <v>7311.7067125007361</v>
      </c>
      <c r="DA148" s="21">
        <f t="shared" si="1234"/>
        <v>7046.1769721536311</v>
      </c>
      <c r="DB148" s="21">
        <f t="shared" si="1234"/>
        <v>6852.7669701094001</v>
      </c>
      <c r="DE148" s="126"/>
      <c r="DF148" s="22">
        <v>4589.2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1.103</v>
      </c>
      <c r="P149" s="23">
        <f>'Annual Raw'!Q50+'Annual Raw'!Q58</f>
        <v>4.9669999999999996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1.8</v>
      </c>
      <c r="T149" s="23">
        <f>'Annual Raw'!U50+'Annual Raw'!U58</f>
        <v>6</v>
      </c>
      <c r="U149" s="23">
        <f>'Annual Raw'!V50+'Annual Raw'!V58</f>
        <v>489</v>
      </c>
      <c r="V149" s="23">
        <f>'Annual Raw'!W50+'Annual Raw'!W58</f>
        <v>433.7</v>
      </c>
      <c r="W149" s="23">
        <f>'Annual Raw'!X50+'Annual Raw'!X58</f>
        <v>455</v>
      </c>
      <c r="X149" s="23">
        <f>'Annual Raw'!Y50+'Annual Raw'!Y58</f>
        <v>389.6</v>
      </c>
      <c r="Y149" s="23">
        <f>'Annual Raw'!Z50+'Annual Raw'!Z58</f>
        <v>520.79999999999995</v>
      </c>
      <c r="Z149" s="23">
        <f>'Annual Raw'!AA50+'Annual Raw'!AA58</f>
        <v>458.3</v>
      </c>
      <c r="AA149" s="23">
        <f>'Annual Raw'!AB50+'Annual Raw'!AB58</f>
        <v>1403.4</v>
      </c>
      <c r="AB149" s="24">
        <f t="shared" ref="AB149:AB155" si="1236">+CP149</f>
        <v>0</v>
      </c>
      <c r="AC149" s="24">
        <f t="shared" ref="AC149:AC155" si="1237">+CT149</f>
        <v>0</v>
      </c>
      <c r="AD149" s="24">
        <f t="shared" ref="AD149:AD155" si="1238">+CX149</f>
        <v>0</v>
      </c>
      <c r="AE149" s="24">
        <f t="shared" ref="AE149:AE155" si="1239">+DB149</f>
        <v>0</v>
      </c>
      <c r="AJ149" s="23">
        <f>+'QTR Raw'!D64</f>
        <v>0</v>
      </c>
      <c r="AK149" s="23">
        <f t="shared" ref="AK149:CE155" si="1240">+AJ149</f>
        <v>0</v>
      </c>
      <c r="AL149" s="23">
        <f>+'QTR Raw'!F64</f>
        <v>0</v>
      </c>
      <c r="AM149" s="23">
        <f t="shared" si="1240"/>
        <v>0</v>
      </c>
      <c r="AN149" s="23">
        <f>+'QTR Raw'!H64</f>
        <v>0</v>
      </c>
      <c r="AO149" s="23">
        <f t="shared" si="1240"/>
        <v>0</v>
      </c>
      <c r="AP149" s="23">
        <f>+'QTR Raw'!J64</f>
        <v>0</v>
      </c>
      <c r="AQ149" s="23">
        <f t="shared" si="1240"/>
        <v>0</v>
      </c>
      <c r="AR149" s="23">
        <f>+'QTR Raw'!L64</f>
        <v>0</v>
      </c>
      <c r="AS149" s="23">
        <f t="shared" si="1240"/>
        <v>0</v>
      </c>
      <c r="AT149" s="23">
        <f>+'QTR Raw'!N64</f>
        <v>0</v>
      </c>
      <c r="AU149" s="23">
        <f t="shared" si="1240"/>
        <v>0</v>
      </c>
      <c r="AV149" s="23">
        <f>+'QTR Raw'!P64</f>
        <v>0</v>
      </c>
      <c r="AW149" s="23">
        <f t="shared" si="1240"/>
        <v>0</v>
      </c>
      <c r="AX149" s="23">
        <f>+'QTR Raw'!R64</f>
        <v>0</v>
      </c>
      <c r="AY149" s="23">
        <f t="shared" si="1240"/>
        <v>0</v>
      </c>
      <c r="AZ149" s="23">
        <f>+'QTR Raw'!T64</f>
        <v>0</v>
      </c>
      <c r="BA149" s="23">
        <f t="shared" si="1240"/>
        <v>0</v>
      </c>
      <c r="BB149" s="23">
        <f>+'QTR Raw'!V64</f>
        <v>0</v>
      </c>
      <c r="BC149" s="23">
        <f t="shared" si="1240"/>
        <v>0</v>
      </c>
      <c r="BD149" s="23">
        <f>+'QTR Raw'!X64</f>
        <v>28</v>
      </c>
      <c r="BE149" s="23">
        <f t="shared" si="1240"/>
        <v>28</v>
      </c>
      <c r="BF149" s="23">
        <f>+'QTR Raw'!Z64</f>
        <v>1.8</v>
      </c>
      <c r="BG149" s="23">
        <f t="shared" si="1240"/>
        <v>1.8</v>
      </c>
      <c r="BH149" s="23">
        <f>+'QTR Raw'!AB64</f>
        <v>110.4</v>
      </c>
      <c r="BI149" s="23">
        <f t="shared" si="1240"/>
        <v>110.4</v>
      </c>
      <c r="BJ149" s="23">
        <f>+'QTR Raw'!AD64</f>
        <v>6</v>
      </c>
      <c r="BK149" s="23">
        <f t="shared" si="1240"/>
        <v>6</v>
      </c>
      <c r="BL149" s="23">
        <f>+'QTR Raw'!AF64</f>
        <v>346.8</v>
      </c>
      <c r="BM149" s="23">
        <f t="shared" si="1240"/>
        <v>346.8</v>
      </c>
      <c r="BN149" s="23">
        <f>+'QTR Raw'!AH64</f>
        <v>489</v>
      </c>
      <c r="BO149" s="23">
        <f t="shared" si="1240"/>
        <v>489</v>
      </c>
      <c r="BP149" s="23">
        <f>+'QTR Raw'!AJ64</f>
        <v>451.1</v>
      </c>
      <c r="BQ149" s="23">
        <f t="shared" si="1240"/>
        <v>451.1</v>
      </c>
      <c r="BR149" s="23">
        <f>+'QTR Raw'!AL64</f>
        <v>433.7</v>
      </c>
      <c r="BS149" s="23">
        <f t="shared" si="1240"/>
        <v>433.7</v>
      </c>
      <c r="BT149" s="23">
        <f>+'QTR Raw'!AN64</f>
        <v>453.3</v>
      </c>
      <c r="BU149" s="23">
        <f t="shared" si="1240"/>
        <v>453.3</v>
      </c>
      <c r="BV149" s="23">
        <f>+'QTR Raw'!AP64</f>
        <v>455</v>
      </c>
      <c r="BW149" s="23">
        <f t="shared" si="1240"/>
        <v>455</v>
      </c>
      <c r="BX149" s="23">
        <f>+'QTR Raw'!AR64</f>
        <v>427.7</v>
      </c>
      <c r="BY149" s="23">
        <f t="shared" si="1240"/>
        <v>427.7</v>
      </c>
      <c r="BZ149" s="23">
        <f>+'QTR Raw'!AT64</f>
        <v>389.6</v>
      </c>
      <c r="CA149" s="23">
        <f t="shared" si="1240"/>
        <v>389.6</v>
      </c>
      <c r="CB149" s="23">
        <f>+'QTR Raw'!AV64</f>
        <v>447.7</v>
      </c>
      <c r="CC149" s="23">
        <f t="shared" si="1240"/>
        <v>447.7</v>
      </c>
      <c r="CD149" s="23">
        <f>+'QTR Raw'!AX64</f>
        <v>520.79999999999995</v>
      </c>
      <c r="CE149" s="23">
        <f t="shared" si="1240"/>
        <v>520.79999999999995</v>
      </c>
      <c r="CF149" s="23">
        <f>+'QTR Raw'!AZ64</f>
        <v>519.9</v>
      </c>
      <c r="CG149" s="23">
        <f t="shared" ref="CG149:CG152" si="1241">+CF149</f>
        <v>519.9</v>
      </c>
      <c r="CH149" s="23">
        <f t="shared" si="1194"/>
        <v>458.3</v>
      </c>
      <c r="CJ149" s="23">
        <f>+'QTR Raw'!BD64</f>
        <v>604.20000000000005</v>
      </c>
      <c r="CL149" s="23">
        <f>+'QTR Raw'!BF64</f>
        <v>1403.4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1403.4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6"/>
        <v>0</v>
      </c>
      <c r="AC150" s="24">
        <f t="shared" si="1237"/>
        <v>0</v>
      </c>
      <c r="AD150" s="24">
        <f t="shared" si="1238"/>
        <v>0</v>
      </c>
      <c r="AE150" s="24">
        <f t="shared" si="1239"/>
        <v>0</v>
      </c>
      <c r="AJ150" s="23">
        <f>+'QTR Raw'!D65</f>
        <v>0</v>
      </c>
      <c r="AK150" s="23">
        <f t="shared" si="1240"/>
        <v>0</v>
      </c>
      <c r="AL150" s="23">
        <f>+'QTR Raw'!F65</f>
        <v>0</v>
      </c>
      <c r="AM150" s="23">
        <f t="shared" si="1240"/>
        <v>0</v>
      </c>
      <c r="AN150" s="23">
        <f>+'QTR Raw'!H65</f>
        <v>0</v>
      </c>
      <c r="AO150" s="23">
        <f t="shared" si="1240"/>
        <v>0</v>
      </c>
      <c r="AP150" s="23">
        <f>+'QTR Raw'!J65</f>
        <v>0</v>
      </c>
      <c r="AQ150" s="23">
        <f t="shared" si="1240"/>
        <v>0</v>
      </c>
      <c r="AR150" s="23">
        <f>+'QTR Raw'!L65</f>
        <v>0</v>
      </c>
      <c r="AS150" s="23">
        <f t="shared" si="1240"/>
        <v>0</v>
      </c>
      <c r="AT150" s="23">
        <f>+'QTR Raw'!N65</f>
        <v>0</v>
      </c>
      <c r="AU150" s="23">
        <f t="shared" si="1240"/>
        <v>0</v>
      </c>
      <c r="AV150" s="23">
        <f>+'QTR Raw'!P65</f>
        <v>0</v>
      </c>
      <c r="AW150" s="23">
        <f t="shared" si="1240"/>
        <v>0</v>
      </c>
      <c r="AX150" s="23">
        <f>+'QTR Raw'!R65</f>
        <v>0</v>
      </c>
      <c r="AY150" s="23">
        <f t="shared" si="1240"/>
        <v>0</v>
      </c>
      <c r="AZ150" s="23">
        <f>+'QTR Raw'!T65</f>
        <v>0</v>
      </c>
      <c r="BA150" s="23">
        <f t="shared" si="1240"/>
        <v>0</v>
      </c>
      <c r="BB150" s="23">
        <f>+'QTR Raw'!V65</f>
        <v>0</v>
      </c>
      <c r="BC150" s="23">
        <f t="shared" si="1240"/>
        <v>0</v>
      </c>
      <c r="BD150" s="23">
        <f>+'QTR Raw'!X65</f>
        <v>0</v>
      </c>
      <c r="BE150" s="23">
        <f t="shared" si="1240"/>
        <v>0</v>
      </c>
      <c r="BF150" s="23">
        <f>+'QTR Raw'!Z65</f>
        <v>0</v>
      </c>
      <c r="BG150" s="23">
        <f t="shared" si="1240"/>
        <v>0</v>
      </c>
      <c r="BH150" s="23">
        <f>+'QTR Raw'!AB65</f>
        <v>0</v>
      </c>
      <c r="BI150" s="23">
        <f t="shared" si="1240"/>
        <v>0</v>
      </c>
      <c r="BJ150" s="23">
        <f>+'QTR Raw'!AD65</f>
        <v>0</v>
      </c>
      <c r="BK150" s="23">
        <f t="shared" si="1240"/>
        <v>0</v>
      </c>
      <c r="BL150" s="23">
        <f>+'QTR Raw'!AF65</f>
        <v>0</v>
      </c>
      <c r="BM150" s="23">
        <f t="shared" si="1240"/>
        <v>0</v>
      </c>
      <c r="BN150" s="23">
        <f>+'QTR Raw'!AH65</f>
        <v>0</v>
      </c>
      <c r="BO150" s="23">
        <f t="shared" si="1240"/>
        <v>0</v>
      </c>
      <c r="BP150" s="23">
        <f>+'QTR Raw'!AJ65</f>
        <v>0</v>
      </c>
      <c r="BQ150" s="23">
        <f t="shared" si="1240"/>
        <v>0</v>
      </c>
      <c r="BR150" s="23">
        <f>+'QTR Raw'!AL65</f>
        <v>0</v>
      </c>
      <c r="BS150" s="23">
        <f t="shared" si="1240"/>
        <v>0</v>
      </c>
      <c r="BT150" s="23">
        <f>+'QTR Raw'!AN65</f>
        <v>0</v>
      </c>
      <c r="BU150" s="23">
        <f t="shared" si="1240"/>
        <v>0</v>
      </c>
      <c r="BV150" s="23">
        <f>+'QTR Raw'!AP65</f>
        <v>0</v>
      </c>
      <c r="BW150" s="23">
        <f t="shared" si="1240"/>
        <v>0</v>
      </c>
      <c r="BX150" s="23">
        <f>+'QTR Raw'!AR65</f>
        <v>0</v>
      </c>
      <c r="BY150" s="23">
        <f t="shared" si="1240"/>
        <v>0</v>
      </c>
      <c r="BZ150" s="23">
        <f>+'QTR Raw'!AT65</f>
        <v>0</v>
      </c>
      <c r="CA150" s="23">
        <f t="shared" si="1240"/>
        <v>0</v>
      </c>
      <c r="CB150" s="23">
        <f>+'QTR Raw'!AV65</f>
        <v>0</v>
      </c>
      <c r="CC150" s="23">
        <f t="shared" si="1240"/>
        <v>0</v>
      </c>
      <c r="CD150" s="23">
        <f>+'QTR Raw'!AX65</f>
        <v>0</v>
      </c>
      <c r="CE150" s="23">
        <f t="shared" si="1240"/>
        <v>0</v>
      </c>
      <c r="CF150" s="23">
        <f>+'QTR Raw'!AZ65</f>
        <v>0</v>
      </c>
      <c r="CG150" s="23">
        <f t="shared" si="1241"/>
        <v>0</v>
      </c>
      <c r="CH150" s="23">
        <f t="shared" si="1194"/>
        <v>0</v>
      </c>
      <c r="CJ150" s="23">
        <f>+'QTR Raw'!BD65</f>
        <v>0</v>
      </c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</v>
      </c>
      <c r="N151" s="23">
        <f>'Annual Raw'!O52</f>
        <v>0</v>
      </c>
      <c r="O151" s="23">
        <f>'Annual Raw'!P52</f>
        <v>0.92700000000000005</v>
      </c>
      <c r="P151" s="23">
        <f>'Annual Raw'!Q52</f>
        <v>1.9590000000000001</v>
      </c>
      <c r="Q151" s="23">
        <f>'Annual Raw'!R52</f>
        <v>0</v>
      </c>
      <c r="R151" s="23">
        <f>'Annual Raw'!S52</f>
        <v>0</v>
      </c>
      <c r="S151" s="23">
        <f>'Annual Raw'!T52</f>
        <v>0</v>
      </c>
      <c r="T151" s="23">
        <f>'Annual Raw'!U52</f>
        <v>0</v>
      </c>
      <c r="U151" s="23">
        <f>'Annual Raw'!V52</f>
        <v>0</v>
      </c>
      <c r="V151" s="23">
        <f>'Annual Raw'!W52</f>
        <v>0</v>
      </c>
      <c r="W151" s="23">
        <f>'Annual Raw'!X52</f>
        <v>5.6</v>
      </c>
      <c r="X151" s="23">
        <f>'Annual Raw'!Y52</f>
        <v>5.3</v>
      </c>
      <c r="Y151" s="23">
        <f>'Annual Raw'!Z52</f>
        <v>8.3000000000000007</v>
      </c>
      <c r="Z151" s="23">
        <f>'Annual Raw'!AA52</f>
        <v>21.9</v>
      </c>
      <c r="AA151" s="23">
        <f>'Annual Raw'!AB52</f>
        <v>21.7</v>
      </c>
      <c r="AB151" s="24">
        <f t="shared" si="1236"/>
        <v>0</v>
      </c>
      <c r="AC151" s="24">
        <f t="shared" si="1237"/>
        <v>0</v>
      </c>
      <c r="AD151" s="24">
        <f t="shared" si="1238"/>
        <v>0</v>
      </c>
      <c r="AE151" s="24">
        <f t="shared" si="1239"/>
        <v>0</v>
      </c>
      <c r="AJ151" s="23">
        <f>+'QTR Raw'!D66</f>
        <v>0</v>
      </c>
      <c r="AK151" s="23">
        <f t="shared" si="1240"/>
        <v>0</v>
      </c>
      <c r="AL151" s="23">
        <f>+'QTR Raw'!F66</f>
        <v>0</v>
      </c>
      <c r="AM151" s="23">
        <f t="shared" si="1240"/>
        <v>0</v>
      </c>
      <c r="AN151" s="23">
        <f>+'QTR Raw'!H66</f>
        <v>0</v>
      </c>
      <c r="AO151" s="23">
        <f t="shared" si="1240"/>
        <v>0</v>
      </c>
      <c r="AP151" s="23">
        <f>+'QTR Raw'!J66</f>
        <v>0</v>
      </c>
      <c r="AQ151" s="23">
        <f t="shared" si="1240"/>
        <v>0</v>
      </c>
      <c r="AR151" s="23">
        <f>+'QTR Raw'!L66</f>
        <v>0</v>
      </c>
      <c r="AS151" s="23">
        <f t="shared" si="1240"/>
        <v>0</v>
      </c>
      <c r="AT151" s="23">
        <f>+'QTR Raw'!N66</f>
        <v>0</v>
      </c>
      <c r="AU151" s="23">
        <f t="shared" si="1240"/>
        <v>0</v>
      </c>
      <c r="AV151" s="23">
        <f>+'QTR Raw'!P66</f>
        <v>0</v>
      </c>
      <c r="AW151" s="23">
        <f t="shared" si="1240"/>
        <v>0</v>
      </c>
      <c r="AX151" s="23">
        <f>+'QTR Raw'!R66</f>
        <v>0</v>
      </c>
      <c r="AY151" s="23">
        <f t="shared" si="1240"/>
        <v>0</v>
      </c>
      <c r="AZ151" s="23">
        <f>+'QTR Raw'!T66</f>
        <v>0</v>
      </c>
      <c r="BA151" s="23">
        <f t="shared" si="1240"/>
        <v>0</v>
      </c>
      <c r="BB151" s="23">
        <f>+'QTR Raw'!V66</f>
        <v>0</v>
      </c>
      <c r="BC151" s="23">
        <f t="shared" si="1240"/>
        <v>0</v>
      </c>
      <c r="BD151" s="23">
        <f>+'QTR Raw'!X66</f>
        <v>0</v>
      </c>
      <c r="BE151" s="23">
        <f t="shared" si="1240"/>
        <v>0</v>
      </c>
      <c r="BF151" s="23">
        <f>+'QTR Raw'!Z66</f>
        <v>0</v>
      </c>
      <c r="BG151" s="23">
        <f t="shared" si="1240"/>
        <v>0</v>
      </c>
      <c r="BH151" s="23">
        <f>+'QTR Raw'!AB66</f>
        <v>0</v>
      </c>
      <c r="BI151" s="23">
        <f t="shared" si="1240"/>
        <v>0</v>
      </c>
      <c r="BJ151" s="23">
        <f>+'QTR Raw'!AD66</f>
        <v>0</v>
      </c>
      <c r="BK151" s="23">
        <f t="shared" si="1240"/>
        <v>0</v>
      </c>
      <c r="BL151" s="23">
        <f>+'QTR Raw'!AF66</f>
        <v>0</v>
      </c>
      <c r="BM151" s="23">
        <f t="shared" si="1240"/>
        <v>0</v>
      </c>
      <c r="BN151" s="23">
        <f>+'QTR Raw'!AH66</f>
        <v>0</v>
      </c>
      <c r="BO151" s="23">
        <f t="shared" si="1240"/>
        <v>0</v>
      </c>
      <c r="BP151" s="23">
        <f>+'QTR Raw'!AJ66</f>
        <v>0</v>
      </c>
      <c r="BQ151" s="23">
        <f t="shared" si="1240"/>
        <v>0</v>
      </c>
      <c r="BR151" s="23">
        <f>+'QTR Raw'!AL66</f>
        <v>0</v>
      </c>
      <c r="BS151" s="23">
        <f t="shared" si="1240"/>
        <v>0</v>
      </c>
      <c r="BT151" s="23">
        <f>+'QTR Raw'!AN66</f>
        <v>0</v>
      </c>
      <c r="BU151" s="23">
        <f t="shared" si="1240"/>
        <v>0</v>
      </c>
      <c r="BV151" s="23">
        <f>+'QTR Raw'!AP66</f>
        <v>5.6</v>
      </c>
      <c r="BW151" s="23">
        <f t="shared" si="1240"/>
        <v>5.6</v>
      </c>
      <c r="BX151" s="23">
        <f>+'QTR Raw'!AR66</f>
        <v>0</v>
      </c>
      <c r="BY151" s="23">
        <f t="shared" si="1240"/>
        <v>0</v>
      </c>
      <c r="BZ151" s="23">
        <f>+'QTR Raw'!AT66</f>
        <v>5.3</v>
      </c>
      <c r="CA151" s="23">
        <f t="shared" si="1240"/>
        <v>5.3</v>
      </c>
      <c r="CB151" s="23">
        <f>+'QTR Raw'!AV66</f>
        <v>6.2</v>
      </c>
      <c r="CC151" s="23">
        <f t="shared" si="1240"/>
        <v>6.2</v>
      </c>
      <c r="CD151" s="23">
        <f>+'QTR Raw'!AX66</f>
        <v>8.3000000000000007</v>
      </c>
      <c r="CE151" s="23">
        <f t="shared" si="1240"/>
        <v>8.3000000000000007</v>
      </c>
      <c r="CF151" s="23">
        <f>+'QTR Raw'!AZ66</f>
        <v>8.9</v>
      </c>
      <c r="CG151" s="23">
        <f t="shared" si="1241"/>
        <v>8.9</v>
      </c>
      <c r="CH151" s="23">
        <f t="shared" si="1194"/>
        <v>21.9</v>
      </c>
      <c r="CJ151" s="23">
        <f>+'QTR Raw'!BD66</f>
        <v>25.6</v>
      </c>
      <c r="CL151" s="23">
        <f>+'QTR Raw'!BF66</f>
        <v>21.7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21.7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6"/>
        <v>3273.3241343975628</v>
      </c>
      <c r="AC152" s="24">
        <f t="shared" si="1237"/>
        <v>3531.7482763341977</v>
      </c>
      <c r="AD152" s="24">
        <f t="shared" si="1238"/>
        <v>3814.0962408711998</v>
      </c>
      <c r="AE152" s="24">
        <f t="shared" si="1239"/>
        <v>4119.2260525196434</v>
      </c>
      <c r="AJ152" s="23">
        <f>+'QTR Raw'!D87</f>
        <v>0</v>
      </c>
      <c r="AK152" s="23">
        <f t="shared" si="1240"/>
        <v>0</v>
      </c>
      <c r="AL152" s="23">
        <f>+'QTR Raw'!F87</f>
        <v>0</v>
      </c>
      <c r="AM152" s="23">
        <f t="shared" si="1240"/>
        <v>0</v>
      </c>
      <c r="AN152" s="23">
        <f>+'QTR Raw'!H87</f>
        <v>0</v>
      </c>
      <c r="AO152" s="23">
        <f t="shared" si="1240"/>
        <v>0</v>
      </c>
      <c r="AP152" s="23">
        <f>+'QTR Raw'!J87</f>
        <v>0</v>
      </c>
      <c r="AQ152" s="23">
        <f t="shared" si="1240"/>
        <v>0</v>
      </c>
      <c r="AR152" s="23">
        <f>+'QTR Raw'!L87</f>
        <v>0</v>
      </c>
      <c r="AS152" s="23">
        <f t="shared" si="1240"/>
        <v>0</v>
      </c>
      <c r="AT152" s="23">
        <f>+'QTR Raw'!N87</f>
        <v>0</v>
      </c>
      <c r="AU152" s="23">
        <f t="shared" si="1240"/>
        <v>0</v>
      </c>
      <c r="AV152" s="23">
        <f>+'QTR Raw'!P87</f>
        <v>0</v>
      </c>
      <c r="AW152" s="23">
        <f t="shared" si="1240"/>
        <v>0</v>
      </c>
      <c r="AX152" s="23">
        <f>+'QTR Raw'!R87</f>
        <v>0</v>
      </c>
      <c r="AY152" s="23">
        <f t="shared" si="1240"/>
        <v>0</v>
      </c>
      <c r="AZ152" s="23">
        <f>+'QTR Raw'!T87</f>
        <v>0</v>
      </c>
      <c r="BA152" s="23">
        <f t="shared" si="1240"/>
        <v>0</v>
      </c>
      <c r="BB152" s="23">
        <f>+'QTR Raw'!V87</f>
        <v>0</v>
      </c>
      <c r="BC152" s="23">
        <f t="shared" si="1240"/>
        <v>0</v>
      </c>
      <c r="BD152" s="23">
        <f>+'QTR Raw'!X87</f>
        <v>0</v>
      </c>
      <c r="BE152" s="23">
        <f t="shared" si="1240"/>
        <v>0</v>
      </c>
      <c r="BF152" s="23">
        <f>+'QTR Raw'!Z87</f>
        <v>0</v>
      </c>
      <c r="BG152" s="23">
        <f t="shared" si="1240"/>
        <v>0</v>
      </c>
      <c r="BH152" s="23">
        <f>+'QTR Raw'!AB87</f>
        <v>0</v>
      </c>
      <c r="BI152" s="23">
        <f t="shared" si="1240"/>
        <v>0</v>
      </c>
      <c r="BJ152" s="23">
        <f>+'QTR Raw'!AD87</f>
        <v>0</v>
      </c>
      <c r="BK152" s="23">
        <f t="shared" si="1240"/>
        <v>0</v>
      </c>
      <c r="BL152" s="23">
        <f>+'QTR Raw'!AF87</f>
        <v>0</v>
      </c>
      <c r="BM152" s="23">
        <f t="shared" si="1240"/>
        <v>0</v>
      </c>
      <c r="BN152" s="23">
        <f>+'QTR Raw'!AH87</f>
        <v>0</v>
      </c>
      <c r="BO152" s="23">
        <f t="shared" si="1240"/>
        <v>0</v>
      </c>
      <c r="BP152" s="23">
        <f>+'QTR Raw'!AJ87</f>
        <v>0</v>
      </c>
      <c r="BQ152" s="23">
        <f t="shared" si="1240"/>
        <v>0</v>
      </c>
      <c r="BR152" s="23">
        <f>+'QTR Raw'!AL87</f>
        <v>0</v>
      </c>
      <c r="BS152" s="23">
        <f t="shared" si="1240"/>
        <v>0</v>
      </c>
      <c r="BT152" s="23">
        <f>+'QTR Raw'!AN87</f>
        <v>0</v>
      </c>
      <c r="BU152" s="23">
        <f t="shared" si="1240"/>
        <v>0</v>
      </c>
      <c r="BV152" s="23">
        <f>+'QTR Raw'!AP87</f>
        <v>0</v>
      </c>
      <c r="BW152" s="23">
        <f t="shared" si="1240"/>
        <v>0</v>
      </c>
      <c r="BX152" s="23">
        <f>+'QTR Raw'!AR87</f>
        <v>0</v>
      </c>
      <c r="BY152" s="23">
        <f t="shared" si="1240"/>
        <v>0</v>
      </c>
      <c r="BZ152" s="23">
        <f>+'QTR Raw'!AT87</f>
        <v>0</v>
      </c>
      <c r="CA152" s="23">
        <f t="shared" si="1240"/>
        <v>0</v>
      </c>
      <c r="CB152" s="23">
        <f>+'QTR Raw'!AV87</f>
        <v>0</v>
      </c>
      <c r="CC152" s="23">
        <f t="shared" si="1240"/>
        <v>0</v>
      </c>
      <c r="CD152" s="23">
        <f>+'QTR Raw'!AX87</f>
        <v>0</v>
      </c>
      <c r="CE152" s="23">
        <f t="shared" si="1240"/>
        <v>0</v>
      </c>
      <c r="CF152" s="23">
        <f>+'QTR Raw'!AZ87</f>
        <v>0</v>
      </c>
      <c r="CG152" s="23">
        <f t="shared" si="1241"/>
        <v>0</v>
      </c>
      <c r="CH152" s="23">
        <f t="shared" si="1194"/>
        <v>0</v>
      </c>
      <c r="CI152" s="23">
        <f>CI10/90*CI184</f>
        <v>2007.7645765410571</v>
      </c>
      <c r="CJ152" s="23">
        <f>+'QTR Raw'!BD87</f>
        <v>0</v>
      </c>
      <c r="CK152" s="23">
        <f t="shared" ref="CK152:DB152" si="1242">CK10/90*CK184</f>
        <v>1742.8161436482633</v>
      </c>
      <c r="CL152" s="23">
        <f>+'QTR Raw'!BF87</f>
        <v>0</v>
      </c>
      <c r="CM152" s="24">
        <f t="shared" si="1242"/>
        <v>3396.4720491284384</v>
      </c>
      <c r="CN152" s="24">
        <f t="shared" si="1242"/>
        <v>3485.3247883660383</v>
      </c>
      <c r="CO152" s="24">
        <f t="shared" si="1242"/>
        <v>3368.6023653624256</v>
      </c>
      <c r="CP152" s="24">
        <f t="shared" si="1242"/>
        <v>3273.3241343975628</v>
      </c>
      <c r="CQ152" s="24">
        <f t="shared" si="1242"/>
        <v>3689.8233900050218</v>
      </c>
      <c r="CR152" s="24">
        <f t="shared" si="1242"/>
        <v>3768.4670012511192</v>
      </c>
      <c r="CS152" s="24">
        <f t="shared" si="1242"/>
        <v>3632.7096146889367</v>
      </c>
      <c r="CT152" s="24">
        <f t="shared" si="1242"/>
        <v>3531.7482763341977</v>
      </c>
      <c r="CU152" s="24">
        <f t="shared" si="1242"/>
        <v>3989.5837016925498</v>
      </c>
      <c r="CV152" s="24">
        <f t="shared" si="1242"/>
        <v>4069.7835416955099</v>
      </c>
      <c r="CW152" s="24">
        <f t="shared" si="1242"/>
        <v>3922.0079132830001</v>
      </c>
      <c r="CX152" s="24">
        <f t="shared" si="1242"/>
        <v>3814.0962408711998</v>
      </c>
      <c r="CY152" s="24">
        <f t="shared" si="1242"/>
        <v>4309.5281580889441</v>
      </c>
      <c r="CZ152" s="24">
        <f t="shared" si="1242"/>
        <v>4395.0965952713495</v>
      </c>
      <c r="DA152" s="24">
        <f t="shared" si="1242"/>
        <v>4235.4855901215415</v>
      </c>
      <c r="DB152" s="24">
        <f t="shared" si="1242"/>
        <v>4119.2260525196434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0</v>
      </c>
      <c r="J153" s="23">
        <f>'Annual Raw'!K54</f>
        <v>0</v>
      </c>
      <c r="K153" s="23">
        <f>'Annual Raw'!L54</f>
        <v>0</v>
      </c>
      <c r="L153" s="23">
        <f>'Annual Raw'!M54</f>
        <v>0</v>
      </c>
      <c r="M153" s="23">
        <f>'Annual Raw'!N54</f>
        <v>0</v>
      </c>
      <c r="N153" s="23">
        <f>'Annual Raw'!O54</f>
        <v>3.0000000000000001E-3</v>
      </c>
      <c r="O153" s="23">
        <f>'Annual Raw'!P54</f>
        <v>50.289000000000001</v>
      </c>
      <c r="P153" s="23">
        <f>'Annual Raw'!Q54</f>
        <v>168.928</v>
      </c>
      <c r="Q153" s="23">
        <f>'Annual Raw'!R54</f>
        <v>213.8</v>
      </c>
      <c r="R153" s="23">
        <f>'Annual Raw'!S54</f>
        <v>148.9</v>
      </c>
      <c r="S153" s="23">
        <f>'Annual Raw'!T54</f>
        <v>180.7</v>
      </c>
      <c r="T153" s="23">
        <f>'Annual Raw'!U54</f>
        <v>187.9</v>
      </c>
      <c r="U153" s="23">
        <f>'Annual Raw'!V54</f>
        <v>197.5</v>
      </c>
      <c r="V153" s="23">
        <f>'Annual Raw'!W54</f>
        <v>235.2</v>
      </c>
      <c r="W153" s="23">
        <f>'Annual Raw'!X54</f>
        <v>393.4</v>
      </c>
      <c r="X153" s="23">
        <f>'Annual Raw'!Y54</f>
        <v>1236.9000000000001</v>
      </c>
      <c r="Y153" s="23">
        <f>'Annual Raw'!Z54</f>
        <v>1411.7</v>
      </c>
      <c r="Z153" s="23">
        <f>'Annual Raw'!AA54</f>
        <v>1622.3</v>
      </c>
      <c r="AA153" s="23">
        <f>'Annual Raw'!AB54</f>
        <v>936.8</v>
      </c>
      <c r="AB153" s="24">
        <f t="shared" si="1236"/>
        <v>1002.173360711039</v>
      </c>
      <c r="AC153" s="24">
        <f t="shared" si="1237"/>
        <v>1081.2934784201177</v>
      </c>
      <c r="AD153" s="24">
        <f t="shared" si="1238"/>
        <v>1167.738204604268</v>
      </c>
      <c r="AE153" s="24">
        <f t="shared" si="1239"/>
        <v>1261.1579077065173</v>
      </c>
      <c r="AJ153" s="23">
        <f>+'QTR Raw'!D89</f>
        <v>0</v>
      </c>
      <c r="AK153" s="23" t="e">
        <f>+AK183*AK10/90</f>
        <v>#DIV/0!</v>
      </c>
      <c r="AL153" s="23">
        <f>+'QTR Raw'!F89</f>
        <v>0</v>
      </c>
      <c r="AM153" s="23" t="e">
        <f>+AM183*AM10/90</f>
        <v>#DIV/0!</v>
      </c>
      <c r="AN153" s="23">
        <f>+'QTR Raw'!H89</f>
        <v>0</v>
      </c>
      <c r="AO153" s="23" t="e">
        <f>+AO183*AO10/90</f>
        <v>#DIV/0!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0</v>
      </c>
      <c r="AU153" s="23" t="e">
        <f>+AU183*AU10/90</f>
        <v>#DIV/0!</v>
      </c>
      <c r="AV153" s="23">
        <f>+'QTR Raw'!P89</f>
        <v>0</v>
      </c>
      <c r="AW153" s="23">
        <f>+AW183*AW10/90</f>
        <v>0</v>
      </c>
      <c r="AX153" s="23">
        <f>+'QTR Raw'!R89</f>
        <v>213.8</v>
      </c>
      <c r="AY153" s="23">
        <f>+AY183*AY10/90</f>
        <v>214.20017469428501</v>
      </c>
      <c r="AZ153" s="23">
        <f>+'QTR Raw'!T89</f>
        <v>176.1</v>
      </c>
      <c r="BA153" s="23">
        <f>+BA183*BA10/90</f>
        <v>173.46716907742797</v>
      </c>
      <c r="BB153" s="23">
        <f>+'QTR Raw'!V89</f>
        <v>148.9</v>
      </c>
      <c r="BC153" s="23">
        <f>+BC183*BC10/90</f>
        <v>150.78805859903977</v>
      </c>
      <c r="BD153" s="23">
        <f>+'QTR Raw'!X89</f>
        <v>182.9</v>
      </c>
      <c r="BE153" s="23">
        <f>+BE183*BE10/90</f>
        <v>196.81144792360649</v>
      </c>
      <c r="BF153" s="23">
        <f>+'QTR Raw'!Z89</f>
        <v>180.7</v>
      </c>
      <c r="BG153" s="23">
        <f>+BG183*BG10/90</f>
        <v>197.38579825559347</v>
      </c>
      <c r="BH153" s="23">
        <f>+'QTR Raw'!AB89</f>
        <v>205.8</v>
      </c>
      <c r="BI153" s="23">
        <f>+BI183*BI10/90</f>
        <v>214.05735723876475</v>
      </c>
      <c r="BJ153" s="23">
        <f>+'QTR Raw'!AD89</f>
        <v>187.9</v>
      </c>
      <c r="BK153" s="23">
        <f>+BK183*BK10/90</f>
        <v>188.51556101556105</v>
      </c>
      <c r="BL153" s="23">
        <f>+'QTR Raw'!AF89</f>
        <v>190.9</v>
      </c>
      <c r="BM153" s="23">
        <f>+BM183*BM10/90</f>
        <v>193.73198060052778</v>
      </c>
      <c r="BN153" s="23">
        <f>+'QTR Raw'!AH89</f>
        <v>197.5</v>
      </c>
      <c r="BO153" s="23">
        <f>+BO183*BO10/90</f>
        <v>176.76154431079775</v>
      </c>
      <c r="BP153" s="23">
        <f>+'QTR Raw'!AJ89</f>
        <v>153.69999999999999</v>
      </c>
      <c r="BQ153" s="23">
        <f>+BQ183*BQ10/90</f>
        <v>163.86633429745777</v>
      </c>
      <c r="BR153" s="23">
        <f>+'QTR Raw'!AL89</f>
        <v>235.2</v>
      </c>
      <c r="BS153" s="23">
        <f>+BS183*BS10/90</f>
        <v>247.91925026032627</v>
      </c>
      <c r="BT153" s="23">
        <f>+'QTR Raw'!AN89</f>
        <v>136.4</v>
      </c>
      <c r="BU153" s="23">
        <f>+BU183*BU10/90</f>
        <v>143.17036760589662</v>
      </c>
      <c r="BV153" s="23">
        <f>+'QTR Raw'!AP89</f>
        <v>393.4</v>
      </c>
      <c r="BW153" s="23">
        <f>+BW183*BW10/90</f>
        <v>449.42718524002049</v>
      </c>
      <c r="BX153" s="23">
        <f>+'QTR Raw'!AR89</f>
        <v>392.5</v>
      </c>
      <c r="BY153" s="23">
        <f>+BY183*BY10/90</f>
        <v>371.04899855371002</v>
      </c>
      <c r="BZ153" s="23">
        <f>+'QTR Raw'!AT89</f>
        <v>1236.9000000000001</v>
      </c>
      <c r="CA153" s="23">
        <f>+CA183*CA10/90</f>
        <v>1200.7937484181223</v>
      </c>
      <c r="CB153" s="23">
        <f>+'QTR Raw'!AV89</f>
        <v>1283.3</v>
      </c>
      <c r="CC153" s="23">
        <f>+CC183*CC10/90</f>
        <v>1302.2819777917452</v>
      </c>
      <c r="CD153" s="23">
        <f>+'QTR Raw'!AX89</f>
        <v>1411.7</v>
      </c>
      <c r="CE153" s="23">
        <f>+CE183*CE10/90</f>
        <v>1369.6410758620693</v>
      </c>
      <c r="CF153" s="23">
        <f>+'QTR Raw'!AZ89</f>
        <v>1410.1</v>
      </c>
      <c r="CG153" s="23">
        <f>+CG183*CG10/90</f>
        <v>1453.999494733569</v>
      </c>
      <c r="CH153" s="23">
        <f t="shared" si="1194"/>
        <v>1622.3</v>
      </c>
      <c r="CI153" s="23">
        <f>+CI183*CI10/90</f>
        <v>1762.6475851088028</v>
      </c>
      <c r="CJ153" s="23">
        <f>+'QTR Raw'!BD89</f>
        <v>1720.6</v>
      </c>
      <c r="CK153" s="23">
        <f t="shared" ref="CK153:DB153" si="1243">+CK183*CK10/90</f>
        <v>1688.2611511998657</v>
      </c>
      <c r="CL153" s="23">
        <f>+'QTR Raw'!BF89</f>
        <v>936.8</v>
      </c>
      <c r="CM153" s="24">
        <f t="shared" si="1243"/>
        <v>1039.8767944386957</v>
      </c>
      <c r="CN153" s="24">
        <f t="shared" si="1243"/>
        <v>1067.0802868623127</v>
      </c>
      <c r="CO153" s="24">
        <f t="shared" si="1243"/>
        <v>1031.3441061087392</v>
      </c>
      <c r="CP153" s="24">
        <f t="shared" si="1243"/>
        <v>1002.173360711039</v>
      </c>
      <c r="CQ153" s="24">
        <f t="shared" si="1243"/>
        <v>1129.69035615292</v>
      </c>
      <c r="CR153" s="24">
        <f t="shared" si="1243"/>
        <v>1153.7681831400903</v>
      </c>
      <c r="CS153" s="24">
        <f t="shared" si="1243"/>
        <v>1112.2041855809514</v>
      </c>
      <c r="CT153" s="24">
        <f t="shared" si="1243"/>
        <v>1081.2934784201177</v>
      </c>
      <c r="CU153" s="24">
        <f t="shared" si="1243"/>
        <v>1221.4661127346822</v>
      </c>
      <c r="CV153" s="24">
        <f t="shared" si="1243"/>
        <v>1246.0204006341437</v>
      </c>
      <c r="CW153" s="24">
        <f t="shared" si="1243"/>
        <v>1200.7768524620938</v>
      </c>
      <c r="CX153" s="24">
        <f t="shared" si="1243"/>
        <v>1167.738204604268</v>
      </c>
      <c r="CY153" s="24">
        <f t="shared" si="1243"/>
        <v>1319.4215237916605</v>
      </c>
      <c r="CZ153" s="24">
        <f t="shared" si="1243"/>
        <v>1345.6194818126023</v>
      </c>
      <c r="DA153" s="24">
        <f t="shared" si="1243"/>
        <v>1296.752369705817</v>
      </c>
      <c r="DB153" s="24">
        <f t="shared" si="1243"/>
        <v>1261.1579077065173</v>
      </c>
      <c r="DE153" s="123"/>
      <c r="DF153" s="23">
        <v>936.8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0</v>
      </c>
      <c r="J154" s="23">
        <f>'Annual Raw'!K55-Template!J126</f>
        <v>0</v>
      </c>
      <c r="K154" s="23">
        <f>'Annual Raw'!L55-Template!K126</f>
        <v>0</v>
      </c>
      <c r="L154" s="23">
        <f>'Annual Raw'!M55-Template!L126</f>
        <v>0</v>
      </c>
      <c r="M154" s="23">
        <f>'Annual Raw'!N55-Template!M126</f>
        <v>0</v>
      </c>
      <c r="N154" s="23">
        <f>'Annual Raw'!O55-Template!N126</f>
        <v>0</v>
      </c>
      <c r="O154" s="23">
        <f>'Annual Raw'!P55-Template!O126</f>
        <v>18.661000000000001</v>
      </c>
      <c r="P154" s="23">
        <f>'Annual Raw'!Q55-Template!P126</f>
        <v>72.430999999999997</v>
      </c>
      <c r="Q154" s="23">
        <f>'Annual Raw'!R55-Template!Q126</f>
        <v>341.1</v>
      </c>
      <c r="R154" s="23">
        <f>'Annual Raw'!S55-Template!R126</f>
        <v>368.6</v>
      </c>
      <c r="S154" s="23">
        <f>'Annual Raw'!T55-Template!S126</f>
        <v>374.9</v>
      </c>
      <c r="T154" s="23">
        <f>'Annual Raw'!U55-Template!T126</f>
        <v>464.9</v>
      </c>
      <c r="U154" s="23">
        <f>'Annual Raw'!V55-Template!U126</f>
        <v>612.79999999999995</v>
      </c>
      <c r="V154" s="23">
        <f>'Annual Raw'!W55-Template!V126</f>
        <v>657.5</v>
      </c>
      <c r="W154" s="23">
        <f>'Annual Raw'!X55-Template!W126</f>
        <v>706.2</v>
      </c>
      <c r="X154" s="23">
        <f>'Annual Raw'!Y55-Template!X126</f>
        <v>1820.6</v>
      </c>
      <c r="Y154" s="23">
        <f>'Annual Raw'!Z55-Template!Y126</f>
        <v>909.7</v>
      </c>
      <c r="Z154" s="23">
        <f>'Annual Raw'!AA55-Template!Z126</f>
        <v>1075.4000000000001</v>
      </c>
      <c r="AA154" s="23">
        <f>'Annual Raw'!AB55-Template!AA126</f>
        <v>1281.5999999999999</v>
      </c>
      <c r="AB154" s="24">
        <f t="shared" si="1236"/>
        <v>0</v>
      </c>
      <c r="AC154" s="24">
        <f t="shared" si="1237"/>
        <v>0</v>
      </c>
      <c r="AD154" s="24">
        <f t="shared" si="1238"/>
        <v>0</v>
      </c>
      <c r="AE154" s="24">
        <f t="shared" si="1239"/>
        <v>0</v>
      </c>
      <c r="AJ154" s="23">
        <f>+'QTR Raw'!D91</f>
        <v>0</v>
      </c>
      <c r="AK154" s="23">
        <f t="shared" si="1240"/>
        <v>0</v>
      </c>
      <c r="AL154" s="23">
        <f>+'QTR Raw'!F91</f>
        <v>0</v>
      </c>
      <c r="AM154" s="23">
        <f t="shared" si="1240"/>
        <v>0</v>
      </c>
      <c r="AN154" s="23">
        <f>+'QTR Raw'!H91</f>
        <v>0</v>
      </c>
      <c r="AO154" s="23">
        <f t="shared" si="1240"/>
        <v>0</v>
      </c>
      <c r="AP154" s="23">
        <f>+'QTR Raw'!J91</f>
        <v>0</v>
      </c>
      <c r="AQ154" s="23">
        <f t="shared" si="1240"/>
        <v>0</v>
      </c>
      <c r="AR154" s="23">
        <f>+'QTR Raw'!L91</f>
        <v>0</v>
      </c>
      <c r="AS154" s="23">
        <f t="shared" si="1240"/>
        <v>0</v>
      </c>
      <c r="AT154" s="23">
        <f>+'QTR Raw'!N91</f>
        <v>0</v>
      </c>
      <c r="AU154" s="23">
        <f t="shared" si="1240"/>
        <v>0</v>
      </c>
      <c r="AV154" s="23">
        <f>+'QTR Raw'!P91</f>
        <v>0</v>
      </c>
      <c r="AW154" s="23">
        <f t="shared" si="1240"/>
        <v>0</v>
      </c>
      <c r="AX154" s="23">
        <f>+'QTR Raw'!R91</f>
        <v>344.2</v>
      </c>
      <c r="AY154" s="23">
        <f t="shared" si="1240"/>
        <v>344.2</v>
      </c>
      <c r="AZ154" s="23">
        <f>+'QTR Raw'!T91</f>
        <v>274.60000000000002</v>
      </c>
      <c r="BA154" s="23">
        <f t="shared" si="1240"/>
        <v>274.60000000000002</v>
      </c>
      <c r="BB154" s="23">
        <f>+'QTR Raw'!V91</f>
        <v>368.6</v>
      </c>
      <c r="BC154" s="23">
        <f t="shared" si="1240"/>
        <v>368.6</v>
      </c>
      <c r="BD154" s="23">
        <f>+'QTR Raw'!X91</f>
        <v>258.8</v>
      </c>
      <c r="BE154" s="23">
        <f t="shared" si="1240"/>
        <v>258.8</v>
      </c>
      <c r="BF154" s="23">
        <f>+'QTR Raw'!Z91</f>
        <v>392.2</v>
      </c>
      <c r="BG154" s="23">
        <f t="shared" si="1240"/>
        <v>392.2</v>
      </c>
      <c r="BH154" s="23">
        <f>+'QTR Raw'!AB91</f>
        <v>440.4</v>
      </c>
      <c r="BI154" s="23">
        <f t="shared" si="1240"/>
        <v>440.4</v>
      </c>
      <c r="BJ154" s="23">
        <f>+'QTR Raw'!AD91</f>
        <v>470.5</v>
      </c>
      <c r="BK154" s="23">
        <f t="shared" si="1240"/>
        <v>470.5</v>
      </c>
      <c r="BL154" s="23">
        <f>+'QTR Raw'!AF91</f>
        <v>510.8</v>
      </c>
      <c r="BM154" s="23">
        <f t="shared" si="1240"/>
        <v>510.8</v>
      </c>
      <c r="BN154" s="23">
        <f>+'QTR Raw'!AH91</f>
        <v>645.6</v>
      </c>
      <c r="BO154" s="23">
        <f t="shared" si="1240"/>
        <v>645.6</v>
      </c>
      <c r="BP154" s="23">
        <f>+'QTR Raw'!AJ91</f>
        <v>574</v>
      </c>
      <c r="BQ154" s="23">
        <f t="shared" si="1240"/>
        <v>574</v>
      </c>
      <c r="BR154" s="23">
        <f>+'QTR Raw'!AL91</f>
        <v>704.6</v>
      </c>
      <c r="BS154" s="23">
        <f t="shared" si="1240"/>
        <v>704.6</v>
      </c>
      <c r="BT154" s="23">
        <f>+'QTR Raw'!AN91</f>
        <v>984.9</v>
      </c>
      <c r="BU154" s="23">
        <f t="shared" si="1240"/>
        <v>984.9</v>
      </c>
      <c r="BV154" s="23">
        <f>+'QTR Raw'!AP91</f>
        <v>790.3</v>
      </c>
      <c r="BW154" s="23">
        <f t="shared" si="1240"/>
        <v>790.3</v>
      </c>
      <c r="BX154" s="23">
        <f>+'QTR Raw'!AR91</f>
        <v>787.1</v>
      </c>
      <c r="BY154" s="23">
        <f t="shared" si="1240"/>
        <v>787.1</v>
      </c>
      <c r="BZ154" s="23">
        <f>+'QTR Raw'!AT91</f>
        <v>1937.1</v>
      </c>
      <c r="CA154" s="23">
        <f t="shared" si="1240"/>
        <v>1937.1</v>
      </c>
      <c r="CB154" s="23">
        <f>+'QTR Raw'!AV91</f>
        <v>962.6</v>
      </c>
      <c r="CC154" s="23">
        <f t="shared" si="1240"/>
        <v>962.6</v>
      </c>
      <c r="CD154" s="23">
        <f>+'QTR Raw'!AX91</f>
        <v>971.4</v>
      </c>
      <c r="CE154" s="23">
        <f t="shared" si="1240"/>
        <v>971.4</v>
      </c>
      <c r="CF154" s="23">
        <f>+'QTR Raw'!AZ91</f>
        <v>830.3</v>
      </c>
      <c r="CG154" s="23">
        <f t="shared" ref="CG154:CG155" si="1244">+CF154</f>
        <v>830.3</v>
      </c>
      <c r="CH154" s="23">
        <f t="shared" si="1194"/>
        <v>1075.4000000000001</v>
      </c>
      <c r="CJ154" s="23">
        <f>+'QTR Raw'!BD91</f>
        <v>950.3</v>
      </c>
      <c r="CL154" s="23">
        <f>+'QTR Raw'!BF91</f>
        <v>1389.6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1281.5999999999999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0</v>
      </c>
      <c r="J155" s="23">
        <f>'Annual Raw'!K57</f>
        <v>0</v>
      </c>
      <c r="K155" s="23">
        <f>'Annual Raw'!L57</f>
        <v>0</v>
      </c>
      <c r="L155" s="23">
        <f>'Annual Raw'!M57</f>
        <v>0</v>
      </c>
      <c r="M155" s="23">
        <f>'Annual Raw'!N57</f>
        <v>0</v>
      </c>
      <c r="N155" s="23">
        <f>'Annual Raw'!O57</f>
        <v>0</v>
      </c>
      <c r="O155" s="23">
        <f>'Annual Raw'!P57</f>
        <v>32.264000000000003</v>
      </c>
      <c r="P155" s="23">
        <f>'Annual Raw'!Q57</f>
        <v>295.16800000000001</v>
      </c>
      <c r="Q155" s="23">
        <f>'Annual Raw'!R57</f>
        <v>259.39999999999998</v>
      </c>
      <c r="R155" s="23">
        <f>'Annual Raw'!S57</f>
        <v>127.1</v>
      </c>
      <c r="S155" s="23">
        <f>'Annual Raw'!T57</f>
        <v>137.9</v>
      </c>
      <c r="T155" s="23">
        <f>'Annual Raw'!U57</f>
        <v>139.69999999999999</v>
      </c>
      <c r="U155" s="23">
        <f>'Annual Raw'!V57</f>
        <v>198.2</v>
      </c>
      <c r="V155" s="23">
        <f>'Annual Raw'!W57</f>
        <v>205.5</v>
      </c>
      <c r="W155" s="23">
        <f>'Annual Raw'!X57</f>
        <v>273.7</v>
      </c>
      <c r="X155" s="23">
        <f>'Annual Raw'!Y57</f>
        <v>252.6</v>
      </c>
      <c r="Y155" s="23">
        <f>'Annual Raw'!Z57</f>
        <v>215.7</v>
      </c>
      <c r="Z155" s="23">
        <f>'Annual Raw'!AA57</f>
        <v>292.3</v>
      </c>
      <c r="AA155" s="23">
        <f>'Annual Raw'!AB57</f>
        <v>353.1</v>
      </c>
      <c r="AB155" s="24">
        <f t="shared" si="1236"/>
        <v>0</v>
      </c>
      <c r="AC155" s="24">
        <f t="shared" si="1237"/>
        <v>0</v>
      </c>
      <c r="AD155" s="24">
        <f t="shared" si="1238"/>
        <v>0</v>
      </c>
      <c r="AE155" s="24">
        <f t="shared" si="1239"/>
        <v>0</v>
      </c>
      <c r="AJ155" s="23">
        <f>+'QTR Raw'!D92</f>
        <v>0</v>
      </c>
      <c r="AK155" s="23">
        <f t="shared" si="1240"/>
        <v>0</v>
      </c>
      <c r="AL155" s="23">
        <f>+'QTR Raw'!F92</f>
        <v>0</v>
      </c>
      <c r="AM155" s="23">
        <f t="shared" si="1240"/>
        <v>0</v>
      </c>
      <c r="AN155" s="23">
        <f>+'QTR Raw'!H92</f>
        <v>0</v>
      </c>
      <c r="AO155" s="23">
        <f t="shared" si="1240"/>
        <v>0</v>
      </c>
      <c r="AP155" s="23">
        <f>+'QTR Raw'!J92</f>
        <v>0</v>
      </c>
      <c r="AQ155" s="23">
        <f t="shared" si="1240"/>
        <v>0</v>
      </c>
      <c r="AR155" s="23">
        <f>+'QTR Raw'!L92</f>
        <v>0</v>
      </c>
      <c r="AS155" s="23">
        <f t="shared" si="1240"/>
        <v>0</v>
      </c>
      <c r="AT155" s="23">
        <f>+'QTR Raw'!N92</f>
        <v>0</v>
      </c>
      <c r="AU155" s="23">
        <f t="shared" si="1240"/>
        <v>0</v>
      </c>
      <c r="AV155" s="23">
        <f>+'QTR Raw'!P92</f>
        <v>0</v>
      </c>
      <c r="AW155" s="23">
        <f t="shared" si="1240"/>
        <v>0</v>
      </c>
      <c r="AX155" s="23">
        <f>+'QTR Raw'!R92</f>
        <v>123.2</v>
      </c>
      <c r="AY155" s="23">
        <f t="shared" si="1240"/>
        <v>123.2</v>
      </c>
      <c r="AZ155" s="23">
        <f>+'QTR Raw'!T92</f>
        <v>120.6</v>
      </c>
      <c r="BA155" s="23">
        <f t="shared" si="1240"/>
        <v>120.6</v>
      </c>
      <c r="BB155" s="23">
        <f>+'QTR Raw'!V92</f>
        <v>127.1</v>
      </c>
      <c r="BC155" s="23">
        <f t="shared" si="1240"/>
        <v>127.1</v>
      </c>
      <c r="BD155" s="23">
        <f>+'QTR Raw'!X92</f>
        <v>136.5</v>
      </c>
      <c r="BE155" s="23">
        <f t="shared" si="1240"/>
        <v>136.5</v>
      </c>
      <c r="BF155" s="23">
        <f>+'QTR Raw'!Z92</f>
        <v>120.6</v>
      </c>
      <c r="BG155" s="23">
        <f t="shared" si="1240"/>
        <v>120.6</v>
      </c>
      <c r="BH155" s="23">
        <f>+'QTR Raw'!AB92</f>
        <v>137.6</v>
      </c>
      <c r="BI155" s="23">
        <f t="shared" si="1240"/>
        <v>137.6</v>
      </c>
      <c r="BJ155" s="23">
        <f>+'QTR Raw'!AD92</f>
        <v>134.1</v>
      </c>
      <c r="BK155" s="23">
        <f t="shared" si="1240"/>
        <v>134.1</v>
      </c>
      <c r="BL155" s="23">
        <f>+'QTR Raw'!AF92</f>
        <v>159.1</v>
      </c>
      <c r="BM155" s="23">
        <f t="shared" si="1240"/>
        <v>159.1</v>
      </c>
      <c r="BN155" s="23">
        <f>+'QTR Raw'!AH92</f>
        <v>165.4</v>
      </c>
      <c r="BO155" s="23">
        <f t="shared" si="1240"/>
        <v>165.4</v>
      </c>
      <c r="BP155" s="23">
        <f>+'QTR Raw'!AJ92</f>
        <v>173.7</v>
      </c>
      <c r="BQ155" s="23">
        <f t="shared" si="1240"/>
        <v>173.7</v>
      </c>
      <c r="BR155" s="23">
        <f>+'QTR Raw'!AL92</f>
        <v>158.4</v>
      </c>
      <c r="BS155" s="23">
        <f t="shared" si="1240"/>
        <v>158.4</v>
      </c>
      <c r="BT155" s="23">
        <f>+'QTR Raw'!AN92</f>
        <v>149.19999999999999</v>
      </c>
      <c r="BU155" s="23">
        <f t="shared" si="1240"/>
        <v>149.19999999999999</v>
      </c>
      <c r="BV155" s="23">
        <f>+'QTR Raw'!AP92</f>
        <v>189.6</v>
      </c>
      <c r="BW155" s="23">
        <f t="shared" si="1240"/>
        <v>189.6</v>
      </c>
      <c r="BX155" s="23">
        <f>+'QTR Raw'!AR92</f>
        <v>237.8</v>
      </c>
      <c r="BY155" s="23">
        <f t="shared" si="1240"/>
        <v>237.8</v>
      </c>
      <c r="BZ155" s="23">
        <f>+'QTR Raw'!AT92</f>
        <v>136.1</v>
      </c>
      <c r="CA155" s="23">
        <f t="shared" si="1240"/>
        <v>136.1</v>
      </c>
      <c r="CB155" s="23">
        <f>+'QTR Raw'!AV92</f>
        <v>155.30000000000001</v>
      </c>
      <c r="CC155" s="23">
        <f t="shared" si="1240"/>
        <v>155.30000000000001</v>
      </c>
      <c r="CD155" s="23">
        <f>+'QTR Raw'!AX92</f>
        <v>154</v>
      </c>
      <c r="CE155" s="23">
        <f t="shared" si="1240"/>
        <v>154</v>
      </c>
      <c r="CF155" s="23">
        <f>+'QTR Raw'!AZ92</f>
        <v>165.2</v>
      </c>
      <c r="CG155" s="23">
        <f t="shared" si="1244"/>
        <v>165.2</v>
      </c>
      <c r="CH155" s="23">
        <f t="shared" si="1194"/>
        <v>292.3</v>
      </c>
      <c r="CJ155" s="23">
        <f>+'QTR Raw'!BD92</f>
        <v>196.1</v>
      </c>
      <c r="CL155" s="23">
        <f>+'QTR Raw'!BF92</f>
        <v>245.1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353.1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45">SUM(C149:C155)</f>
        <v>0</v>
      </c>
      <c r="D156" s="22">
        <f t="shared" si="1245"/>
        <v>0</v>
      </c>
      <c r="E156" s="22">
        <f t="shared" si="1245"/>
        <v>0</v>
      </c>
      <c r="F156" s="22">
        <f t="shared" si="1245"/>
        <v>0</v>
      </c>
      <c r="G156" s="22">
        <f t="shared" si="1245"/>
        <v>0</v>
      </c>
      <c r="H156" s="22">
        <f t="shared" si="1245"/>
        <v>0</v>
      </c>
      <c r="I156" s="22">
        <f t="shared" si="1245"/>
        <v>0</v>
      </c>
      <c r="J156" s="22">
        <f t="shared" si="1245"/>
        <v>0</v>
      </c>
      <c r="K156" s="22">
        <f t="shared" si="1245"/>
        <v>0</v>
      </c>
      <c r="L156" s="22">
        <f t="shared" si="1245"/>
        <v>0</v>
      </c>
      <c r="M156" s="22">
        <f t="shared" si="1245"/>
        <v>0</v>
      </c>
      <c r="N156" s="22">
        <f t="shared" si="1245"/>
        <v>3.0000000000000001E-3</v>
      </c>
      <c r="O156" s="22">
        <f t="shared" si="1245"/>
        <v>103.244</v>
      </c>
      <c r="P156" s="22">
        <f t="shared" si="1245"/>
        <v>543.45299999999997</v>
      </c>
      <c r="Q156" s="22">
        <f t="shared" si="1245"/>
        <v>814.30000000000007</v>
      </c>
      <c r="R156" s="22">
        <f t="shared" si="1245"/>
        <v>644.6</v>
      </c>
      <c r="S156" s="22">
        <f t="shared" si="1245"/>
        <v>695.3</v>
      </c>
      <c r="T156" s="22">
        <f t="shared" si="1245"/>
        <v>798.5</v>
      </c>
      <c r="U156" s="22">
        <f t="shared" si="1245"/>
        <v>1497.5</v>
      </c>
      <c r="V156" s="22">
        <f t="shared" si="1245"/>
        <v>1531.9</v>
      </c>
      <c r="W156" s="22">
        <f t="shared" ref="W156" si="1246">SUM(W149:W155)</f>
        <v>1833.9</v>
      </c>
      <c r="X156" s="22">
        <f t="shared" ref="X156:Y156" si="1247">SUM(X149:X155)</f>
        <v>3705</v>
      </c>
      <c r="Y156" s="22">
        <f t="shared" si="1247"/>
        <v>3066.2</v>
      </c>
      <c r="Z156" s="22">
        <f t="shared" ref="Z156:AA156" si="1248">SUM(Z149:Z155)</f>
        <v>3470.2000000000003</v>
      </c>
      <c r="AA156" s="22">
        <f t="shared" si="1248"/>
        <v>3996.6</v>
      </c>
      <c r="AB156" s="21">
        <f t="shared" ref="AB156:AD156" si="1249">SUM(AB149:AB155)</f>
        <v>4275.4974951086015</v>
      </c>
      <c r="AC156" s="21">
        <f t="shared" si="1249"/>
        <v>4613.0417547543157</v>
      </c>
      <c r="AD156" s="21">
        <f t="shared" si="1249"/>
        <v>4981.8344454754679</v>
      </c>
      <c r="AE156" s="21">
        <f t="shared" ref="AE156" si="1250">SUM(AE149:AE155)</f>
        <v>5380.3839602261605</v>
      </c>
      <c r="AJ156" s="22">
        <f t="shared" ref="AJ156" si="1251">SUM(AJ149:AJ155)</f>
        <v>0</v>
      </c>
      <c r="AK156" s="22" t="e">
        <f t="shared" ref="AK156" si="1252">SUM(AK149:AK155)</f>
        <v>#DIV/0!</v>
      </c>
      <c r="AL156" s="22">
        <f t="shared" ref="AL156:AM156" si="1253">SUM(AL149:AL155)</f>
        <v>0</v>
      </c>
      <c r="AM156" s="22" t="e">
        <f t="shared" si="1253"/>
        <v>#DIV/0!</v>
      </c>
      <c r="AN156" s="22">
        <f t="shared" ref="AN156:AO156" si="1254">SUM(AN149:AN155)</f>
        <v>0</v>
      </c>
      <c r="AO156" s="22" t="e">
        <f t="shared" si="1254"/>
        <v>#DIV/0!</v>
      </c>
      <c r="AP156" s="22">
        <f t="shared" ref="AP156:CE156" si="1255">SUM(AP149:AP155)</f>
        <v>0</v>
      </c>
      <c r="AQ156" s="22" t="e">
        <f t="shared" si="1255"/>
        <v>#DIV/0!</v>
      </c>
      <c r="AR156" s="22">
        <f t="shared" si="1255"/>
        <v>0</v>
      </c>
      <c r="AS156" s="22" t="e">
        <f t="shared" si="1255"/>
        <v>#DIV/0!</v>
      </c>
      <c r="AT156" s="22">
        <f t="shared" si="1255"/>
        <v>0</v>
      </c>
      <c r="AU156" s="22" t="e">
        <f t="shared" si="1255"/>
        <v>#DIV/0!</v>
      </c>
      <c r="AV156" s="22">
        <f t="shared" si="1255"/>
        <v>0</v>
      </c>
      <c r="AW156" s="22">
        <f t="shared" si="1255"/>
        <v>0</v>
      </c>
      <c r="AX156" s="22">
        <f t="shared" si="1255"/>
        <v>681.2</v>
      </c>
      <c r="AY156" s="22">
        <f t="shared" si="1255"/>
        <v>681.60017469428499</v>
      </c>
      <c r="AZ156" s="22">
        <f t="shared" si="1255"/>
        <v>571.30000000000007</v>
      </c>
      <c r="BA156" s="22">
        <f t="shared" si="1255"/>
        <v>568.66716907742796</v>
      </c>
      <c r="BB156" s="22">
        <f t="shared" si="1255"/>
        <v>644.6</v>
      </c>
      <c r="BC156" s="22">
        <f t="shared" si="1255"/>
        <v>646.48805859903985</v>
      </c>
      <c r="BD156" s="22">
        <f t="shared" si="1255"/>
        <v>606.20000000000005</v>
      </c>
      <c r="BE156" s="22">
        <f t="shared" si="1255"/>
        <v>620.11144792360653</v>
      </c>
      <c r="BF156" s="22">
        <f t="shared" si="1255"/>
        <v>695.30000000000007</v>
      </c>
      <c r="BG156" s="22">
        <f t="shared" si="1255"/>
        <v>711.98579825559352</v>
      </c>
      <c r="BH156" s="22">
        <f t="shared" ref="BH156" si="1256">SUM(BH149:BH155)</f>
        <v>894.2</v>
      </c>
      <c r="BI156" s="22">
        <f t="shared" si="1255"/>
        <v>902.45735723876476</v>
      </c>
      <c r="BJ156" s="22">
        <f t="shared" si="1255"/>
        <v>798.5</v>
      </c>
      <c r="BK156" s="22">
        <f t="shared" si="1255"/>
        <v>799.11556101556107</v>
      </c>
      <c r="BL156" s="22">
        <f t="shared" si="1255"/>
        <v>1207.5999999999999</v>
      </c>
      <c r="BM156" s="22">
        <f t="shared" si="1255"/>
        <v>1210.4319806005276</v>
      </c>
      <c r="BN156" s="22">
        <f t="shared" si="1255"/>
        <v>1497.5</v>
      </c>
      <c r="BO156" s="22">
        <f t="shared" si="1255"/>
        <v>1476.7615443107979</v>
      </c>
      <c r="BP156" s="22">
        <f t="shared" si="1255"/>
        <v>1352.5</v>
      </c>
      <c r="BQ156" s="22">
        <f t="shared" si="1255"/>
        <v>1362.6663342974578</v>
      </c>
      <c r="BR156" s="22">
        <f t="shared" si="1255"/>
        <v>1531.9</v>
      </c>
      <c r="BS156" s="22">
        <f t="shared" si="1255"/>
        <v>1544.6192502603262</v>
      </c>
      <c r="BT156" s="22">
        <f t="shared" si="1255"/>
        <v>1723.8</v>
      </c>
      <c r="BU156" s="22">
        <f t="shared" si="1255"/>
        <v>1730.5703676058968</v>
      </c>
      <c r="BV156" s="22">
        <f t="shared" si="1255"/>
        <v>1833.8999999999999</v>
      </c>
      <c r="BW156" s="22">
        <f t="shared" si="1255"/>
        <v>1889.9271852400204</v>
      </c>
      <c r="BX156" s="22">
        <f t="shared" si="1255"/>
        <v>1845.1000000000001</v>
      </c>
      <c r="BY156" s="22">
        <f t="shared" si="1255"/>
        <v>1823.6489985537098</v>
      </c>
      <c r="BZ156" s="22">
        <f t="shared" si="1255"/>
        <v>3705</v>
      </c>
      <c r="CA156" s="22">
        <f t="shared" si="1255"/>
        <v>3668.893748418122</v>
      </c>
      <c r="CB156" s="22">
        <f t="shared" si="1255"/>
        <v>2855.1</v>
      </c>
      <c r="CC156" s="22">
        <f t="shared" si="1255"/>
        <v>2874.0819777917454</v>
      </c>
      <c r="CD156" s="22">
        <f t="shared" si="1255"/>
        <v>3066.2</v>
      </c>
      <c r="CE156" s="22">
        <f t="shared" si="1255"/>
        <v>3024.1410758620691</v>
      </c>
      <c r="CF156" s="22">
        <f t="shared" ref="CF156:CG156" si="1257">SUM(CF149:CF155)</f>
        <v>2934.3999999999996</v>
      </c>
      <c r="CG156" s="22">
        <f t="shared" si="1257"/>
        <v>2978.2994947335687</v>
      </c>
      <c r="CH156" s="22">
        <f t="shared" ref="CH156:CI156" si="1258">SUM(CH149:CH155)</f>
        <v>3470.2000000000003</v>
      </c>
      <c r="CI156" s="22">
        <f t="shared" si="1258"/>
        <v>3770.4121616498596</v>
      </c>
      <c r="CJ156" s="22">
        <f t="shared" ref="CJ156:DB156" si="1259">SUM(CJ149:CJ155)</f>
        <v>3496.7999999999997</v>
      </c>
      <c r="CK156" s="22">
        <f t="shared" si="1259"/>
        <v>3431.077294848129</v>
      </c>
      <c r="CL156" s="22">
        <f t="shared" ref="CL156" si="1260">SUM(CL149:CL155)</f>
        <v>3996.6</v>
      </c>
      <c r="CM156" s="21">
        <f t="shared" si="1259"/>
        <v>4436.3488435671343</v>
      </c>
      <c r="CN156" s="21">
        <f t="shared" si="1259"/>
        <v>4552.4050752283511</v>
      </c>
      <c r="CO156" s="21">
        <f t="shared" si="1259"/>
        <v>4399.9464714711648</v>
      </c>
      <c r="CP156" s="21">
        <f t="shared" si="1259"/>
        <v>4275.4974951086015</v>
      </c>
      <c r="CQ156" s="21">
        <f t="shared" si="1259"/>
        <v>4819.5137461579416</v>
      </c>
      <c r="CR156" s="21">
        <f t="shared" si="1259"/>
        <v>4922.2351843912093</v>
      </c>
      <c r="CS156" s="21">
        <f t="shared" si="1259"/>
        <v>4744.9138002698883</v>
      </c>
      <c r="CT156" s="21">
        <f t="shared" si="1259"/>
        <v>4613.0417547543157</v>
      </c>
      <c r="CU156" s="21">
        <f t="shared" si="1259"/>
        <v>5211.0498144272315</v>
      </c>
      <c r="CV156" s="21">
        <f t="shared" si="1259"/>
        <v>5315.8039423296541</v>
      </c>
      <c r="CW156" s="21">
        <f t="shared" si="1259"/>
        <v>5122.7847657450939</v>
      </c>
      <c r="CX156" s="21">
        <f t="shared" si="1259"/>
        <v>4981.8344454754679</v>
      </c>
      <c r="CY156" s="21">
        <f t="shared" si="1259"/>
        <v>5628.9496818806047</v>
      </c>
      <c r="CZ156" s="21">
        <f t="shared" si="1259"/>
        <v>5740.7160770839519</v>
      </c>
      <c r="DA156" s="21">
        <f t="shared" si="1259"/>
        <v>5532.2379598273583</v>
      </c>
      <c r="DB156" s="21">
        <f t="shared" si="1259"/>
        <v>5380.3839602261605</v>
      </c>
      <c r="DE156" s="126"/>
      <c r="DF156" s="22">
        <v>3996.6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61">C148-C156</f>
        <v>0</v>
      </c>
      <c r="D157" s="22">
        <f t="shared" si="1261"/>
        <v>0</v>
      </c>
      <c r="E157" s="22">
        <f t="shared" si="1261"/>
        <v>0</v>
      </c>
      <c r="F157" s="22">
        <f t="shared" si="1261"/>
        <v>0</v>
      </c>
      <c r="G157" s="22">
        <f t="shared" si="1261"/>
        <v>0</v>
      </c>
      <c r="H157" s="22">
        <f t="shared" si="1261"/>
        <v>0</v>
      </c>
      <c r="I157" s="22">
        <f t="shared" si="1261"/>
        <v>0</v>
      </c>
      <c r="J157" s="22">
        <f t="shared" si="1261"/>
        <v>0</v>
      </c>
      <c r="K157" s="22">
        <f t="shared" si="1261"/>
        <v>0</v>
      </c>
      <c r="L157" s="22">
        <f t="shared" si="1261"/>
        <v>0</v>
      </c>
      <c r="M157" s="22">
        <f t="shared" si="1261"/>
        <v>0</v>
      </c>
      <c r="N157" s="22">
        <f t="shared" si="1261"/>
        <v>-3.0000000000000001E-3</v>
      </c>
      <c r="O157" s="22">
        <f t="shared" si="1261"/>
        <v>99.462000000000018</v>
      </c>
      <c r="P157" s="22">
        <f t="shared" si="1261"/>
        <v>549.21100000000001</v>
      </c>
      <c r="Q157" s="22">
        <f t="shared" si="1261"/>
        <v>380.99999999999989</v>
      </c>
      <c r="R157" s="22">
        <f t="shared" si="1261"/>
        <v>676.9</v>
      </c>
      <c r="S157" s="22">
        <f t="shared" si="1261"/>
        <v>898.2</v>
      </c>
      <c r="T157" s="22">
        <f t="shared" si="1261"/>
        <v>993.19999999999982</v>
      </c>
      <c r="U157" s="22">
        <f t="shared" si="1261"/>
        <v>706.59999999999991</v>
      </c>
      <c r="V157" s="22">
        <f t="shared" si="1261"/>
        <v>492.39999999999964</v>
      </c>
      <c r="W157" s="22">
        <f t="shared" ref="W157" si="1262">W148-W156</f>
        <v>798.59999999999991</v>
      </c>
      <c r="X157" s="22">
        <f t="shared" ref="X157:Y157" si="1263">X148-X156</f>
        <v>195.40000000000009</v>
      </c>
      <c r="Y157" s="22">
        <f t="shared" si="1263"/>
        <v>908.00000000000091</v>
      </c>
      <c r="Z157" s="22">
        <f t="shared" ref="Z157:AA157" si="1264">Z148-Z156</f>
        <v>1008.599999999999</v>
      </c>
      <c r="AA157" s="22">
        <f t="shared" si="1264"/>
        <v>592.59999999999991</v>
      </c>
      <c r="AB157" s="21">
        <f t="shared" ref="AB157:AD157" si="1265">AB148-AB156</f>
        <v>1170.0224216584802</v>
      </c>
      <c r="AC157" s="21">
        <f t="shared" si="1265"/>
        <v>1262.3939766738722</v>
      </c>
      <c r="AD157" s="21">
        <f t="shared" si="1265"/>
        <v>1363.3169026213582</v>
      </c>
      <c r="AE157" s="21">
        <f t="shared" ref="AE157" si="1266">AE148-AE156</f>
        <v>1472.3830098832395</v>
      </c>
      <c r="AJ157" s="22">
        <f t="shared" ref="AJ157" si="1267">AJ148-AJ156</f>
        <v>0</v>
      </c>
      <c r="AK157" s="22" t="e">
        <f t="shared" ref="AK157" si="1268">AK148-AK156</f>
        <v>#DIV/0!</v>
      </c>
      <c r="AL157" s="22">
        <f t="shared" ref="AL157:AM157" si="1269">AL148-AL156</f>
        <v>0</v>
      </c>
      <c r="AM157" s="22" t="e">
        <f t="shared" si="1269"/>
        <v>#DIV/0!</v>
      </c>
      <c r="AN157" s="22">
        <f t="shared" ref="AN157:AO157" si="1270">AN148-AN156</f>
        <v>0</v>
      </c>
      <c r="AO157" s="22" t="e">
        <f t="shared" si="1270"/>
        <v>#DIV/0!</v>
      </c>
      <c r="AP157" s="22">
        <f t="shared" ref="AP157:CE157" si="1271">AP148-AP156</f>
        <v>0</v>
      </c>
      <c r="AQ157" s="22" t="e">
        <f t="shared" si="1271"/>
        <v>#DIV/0!</v>
      </c>
      <c r="AR157" s="22">
        <f t="shared" si="1271"/>
        <v>0</v>
      </c>
      <c r="AS157" s="22" t="e">
        <f t="shared" si="1271"/>
        <v>#DIV/0!</v>
      </c>
      <c r="AT157" s="22">
        <f t="shared" si="1271"/>
        <v>0</v>
      </c>
      <c r="AU157" s="22" t="e">
        <f t="shared" si="1271"/>
        <v>#DIV/0!</v>
      </c>
      <c r="AV157" s="22">
        <f t="shared" si="1271"/>
        <v>0</v>
      </c>
      <c r="AW157" s="22">
        <f t="shared" si="1271"/>
        <v>0</v>
      </c>
      <c r="AX157" s="22">
        <f t="shared" si="1271"/>
        <v>381</v>
      </c>
      <c r="AY157" s="22">
        <f t="shared" si="1271"/>
        <v>381.95851010731235</v>
      </c>
      <c r="AZ157" s="22">
        <f t="shared" si="1271"/>
        <v>497.19999999999993</v>
      </c>
      <c r="BA157" s="22">
        <f t="shared" si="1271"/>
        <v>489.42709371581384</v>
      </c>
      <c r="BB157" s="22">
        <f t="shared" si="1271"/>
        <v>676.9</v>
      </c>
      <c r="BC157" s="22">
        <f t="shared" si="1271"/>
        <v>684.02238089375817</v>
      </c>
      <c r="BD157" s="22">
        <f t="shared" si="1271"/>
        <v>826.69999999999982</v>
      </c>
      <c r="BE157" s="22">
        <f t="shared" si="1271"/>
        <v>874.07802576060374</v>
      </c>
      <c r="BF157" s="22">
        <f t="shared" si="1271"/>
        <v>898.19999999999993</v>
      </c>
      <c r="BG157" s="22">
        <f t="shared" si="1271"/>
        <v>970.37277208949547</v>
      </c>
      <c r="BH157" s="22">
        <f t="shared" ref="BH157" si="1272">BH148-BH156</f>
        <v>834.59999999999968</v>
      </c>
      <c r="BI157" s="22">
        <f t="shared" si="1271"/>
        <v>871.505331332438</v>
      </c>
      <c r="BJ157" s="22">
        <f t="shared" si="1271"/>
        <v>993.2</v>
      </c>
      <c r="BK157" s="22">
        <f t="shared" si="1271"/>
        <v>996.07108927108925</v>
      </c>
      <c r="BL157" s="22">
        <f t="shared" si="1271"/>
        <v>1057.8000000000002</v>
      </c>
      <c r="BM157" s="22">
        <f t="shared" si="1271"/>
        <v>1071.8130375864778</v>
      </c>
      <c r="BN157" s="22">
        <f t="shared" si="1271"/>
        <v>1055.5999999999999</v>
      </c>
      <c r="BO157" s="22">
        <f t="shared" si="1271"/>
        <v>931.35827457486494</v>
      </c>
      <c r="BP157" s="22">
        <f t="shared" si="1271"/>
        <v>1019.6999999999998</v>
      </c>
      <c r="BQ157" s="22">
        <f t="shared" si="1271"/>
        <v>1088.0003044603438</v>
      </c>
      <c r="BR157" s="22">
        <f t="shared" si="1271"/>
        <v>912.09999999999991</v>
      </c>
      <c r="BS157" s="22">
        <f t="shared" si="1271"/>
        <v>966.1459979173901</v>
      </c>
      <c r="BT157" s="22">
        <f t="shared" si="1271"/>
        <v>1050.3999999999999</v>
      </c>
      <c r="BU157" s="22">
        <f t="shared" si="1271"/>
        <v>1117.562642284008</v>
      </c>
      <c r="BV157" s="22">
        <f t="shared" si="1271"/>
        <v>1205.9000000000003</v>
      </c>
      <c r="BW157" s="22">
        <f t="shared" si="1271"/>
        <v>1391.3992597232511</v>
      </c>
      <c r="BX157" s="22">
        <f t="shared" si="1271"/>
        <v>1101.6000000000001</v>
      </c>
      <c r="BY157" s="22">
        <f t="shared" si="1271"/>
        <v>1032.5250427312974</v>
      </c>
      <c r="BZ157" s="22">
        <f t="shared" si="1271"/>
        <v>573.10000000000036</v>
      </c>
      <c r="CA157" s="22">
        <f t="shared" si="1271"/>
        <v>546.34943896060076</v>
      </c>
      <c r="CB157" s="22">
        <f t="shared" si="1271"/>
        <v>1535.7999999999997</v>
      </c>
      <c r="CC157" s="22">
        <f t="shared" si="1271"/>
        <v>1557.2122271108315</v>
      </c>
      <c r="CD157" s="22">
        <f t="shared" si="1271"/>
        <v>1503.1000000000004</v>
      </c>
      <c r="CE157" s="22">
        <f t="shared" si="1271"/>
        <v>1480.1027034482763</v>
      </c>
      <c r="CF157" s="22">
        <f t="shared" ref="CF157:CG157" si="1273">CF148-CF156</f>
        <v>1854</v>
      </c>
      <c r="CG157" s="22">
        <f t="shared" si="1273"/>
        <v>1882.1839675074821</v>
      </c>
      <c r="CH157" s="22">
        <f t="shared" ref="CH157:CI157" si="1274">CH148-CH156</f>
        <v>1008.599999999999</v>
      </c>
      <c r="CI157" s="22">
        <f t="shared" si="1274"/>
        <v>1095.8554856319652</v>
      </c>
      <c r="CJ157" s="22">
        <f t="shared" ref="CJ157:DB157" si="1275">CJ148-CJ156</f>
        <v>1597.4999999999995</v>
      </c>
      <c r="CK157" s="22">
        <f t="shared" si="1275"/>
        <v>1567.4748279912737</v>
      </c>
      <c r="CL157" s="22">
        <f t="shared" ref="CL157" si="1276">CL148-CL156</f>
        <v>1093.7000000000003</v>
      </c>
      <c r="CM157" s="21">
        <f t="shared" si="1275"/>
        <v>1214.0406170768592</v>
      </c>
      <c r="CN157" s="21">
        <f t="shared" si="1275"/>
        <v>1245.8002879390606</v>
      </c>
      <c r="CO157" s="21">
        <f t="shared" si="1275"/>
        <v>1204.0788309683267</v>
      </c>
      <c r="CP157" s="21">
        <f t="shared" si="1275"/>
        <v>1170.0224216584802</v>
      </c>
      <c r="CQ157" s="21">
        <f t="shared" si="1275"/>
        <v>1318.896608160172</v>
      </c>
      <c r="CR157" s="21">
        <f t="shared" si="1275"/>
        <v>1347.0071113368031</v>
      </c>
      <c r="CS157" s="21">
        <f t="shared" si="1275"/>
        <v>1298.481765339332</v>
      </c>
      <c r="CT157" s="21">
        <f t="shared" si="1275"/>
        <v>1262.3939766738722</v>
      </c>
      <c r="CU157" s="21">
        <f t="shared" si="1275"/>
        <v>1426.0434324273301</v>
      </c>
      <c r="CV157" s="21">
        <f t="shared" si="1275"/>
        <v>1454.7101965985939</v>
      </c>
      <c r="CW157" s="21">
        <f t="shared" si="1275"/>
        <v>1401.8890302495647</v>
      </c>
      <c r="CX157" s="21">
        <f t="shared" si="1275"/>
        <v>1363.3169026213582</v>
      </c>
      <c r="CY157" s="21">
        <f t="shared" si="1275"/>
        <v>1540.4049109425059</v>
      </c>
      <c r="CZ157" s="21">
        <f t="shared" si="1275"/>
        <v>1570.9906354167842</v>
      </c>
      <c r="DA157" s="21">
        <f t="shared" si="1275"/>
        <v>1513.9390123262729</v>
      </c>
      <c r="DB157" s="21">
        <f t="shared" si="1275"/>
        <v>1472.3830098832395</v>
      </c>
      <c r="DE157" s="126"/>
      <c r="DF157" s="22">
        <v>592.59999999999991</v>
      </c>
    </row>
    <row r="158" spans="1:110" s="23" customFormat="1" x14ac:dyDescent="0.2">
      <c r="AB158" s="24"/>
      <c r="AC158" s="24"/>
      <c r="AD158" s="24"/>
      <c r="AE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55.5</v>
      </c>
      <c r="R159" s="23">
        <f>'Annual Raw'!S75</f>
        <v>194.6</v>
      </c>
      <c r="S159" s="23">
        <f>'Annual Raw'!T75</f>
        <v>220.7</v>
      </c>
      <c r="T159" s="23">
        <f>'Annual Raw'!U75</f>
        <v>574.9</v>
      </c>
      <c r="U159" s="23">
        <f>'Annual Raw'!V75</f>
        <v>611</v>
      </c>
      <c r="V159" s="23">
        <f>'Annual Raw'!W75</f>
        <v>1514.9</v>
      </c>
      <c r="W159" s="23">
        <f>'Annual Raw'!X75</f>
        <v>1391.8</v>
      </c>
      <c r="X159" s="23">
        <f>'Annual Raw'!Y75</f>
        <v>2108.8000000000002</v>
      </c>
      <c r="Y159" s="23">
        <f>'Annual Raw'!Z75</f>
        <v>1293.5999999999999</v>
      </c>
      <c r="Z159" s="23">
        <f>'Annual Raw'!AA75</f>
        <v>960.3</v>
      </c>
      <c r="AA159" s="23">
        <f>'Annual Raw'!AB75</f>
        <v>1428.6</v>
      </c>
      <c r="AB159" s="24">
        <f t="shared" ref="AB159:AB160" si="1277">+CP159</f>
        <v>0</v>
      </c>
      <c r="AC159" s="24">
        <f t="shared" ref="AC159:AC160" si="1278">+CT159</f>
        <v>0</v>
      </c>
      <c r="AD159" s="24">
        <f t="shared" ref="AD159:AD160" si="1279">+CX159</f>
        <v>0</v>
      </c>
      <c r="AE159" s="24">
        <f t="shared" ref="AE159:AE160" si="1280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55.5</v>
      </c>
      <c r="AZ159" s="23">
        <f>+'QTR Raw'!T80</f>
        <v>103.4</v>
      </c>
      <c r="BB159" s="23">
        <f>+'QTR Raw'!V80</f>
        <v>194.6</v>
      </c>
      <c r="BD159" s="23">
        <f>+'QTR Raw'!X80</f>
        <v>116.9</v>
      </c>
      <c r="BF159" s="23">
        <f>+'QTR Raw'!Z80</f>
        <v>220.7</v>
      </c>
      <c r="BH159" s="23">
        <f>+'QTR Raw'!AB80</f>
        <v>265.89999999999998</v>
      </c>
      <c r="BJ159" s="23">
        <f>+'QTR Raw'!AD80</f>
        <v>574.9</v>
      </c>
      <c r="BL159" s="23">
        <f>+'QTR Raw'!AF80</f>
        <v>304.39999999999998</v>
      </c>
      <c r="BN159" s="23">
        <f>+'QTR Raw'!AH80</f>
        <v>611</v>
      </c>
      <c r="BP159" s="23">
        <f>+'QTR Raw'!AJ80</f>
        <v>1023.7</v>
      </c>
      <c r="BR159" s="23">
        <f>+'QTR Raw'!AL80</f>
        <v>1514.9</v>
      </c>
      <c r="BT159" s="23">
        <f>+'QTR Raw'!AN80</f>
        <v>1187.2</v>
      </c>
      <c r="BV159" s="23">
        <f>+'QTR Raw'!AP80</f>
        <v>1391.8</v>
      </c>
      <c r="BX159" s="23">
        <f>+'QTR Raw'!AR80</f>
        <v>1663.3</v>
      </c>
      <c r="BZ159" s="23">
        <f>+'QTR Raw'!AT80</f>
        <v>2108.8000000000002</v>
      </c>
      <c r="CB159" s="23">
        <f>+'QTR Raw'!AV80</f>
        <v>1160.7</v>
      </c>
      <c r="CD159" s="23">
        <f>+'QTR Raw'!AX80</f>
        <v>1293.5999999999999</v>
      </c>
      <c r="CF159" s="23">
        <f>+'QTR Raw'!AZ80</f>
        <v>1546.8</v>
      </c>
      <c r="CH159" s="23">
        <f t="shared" ref="CH159:CH160" si="1281">Z159</f>
        <v>960.3</v>
      </c>
      <c r="CJ159" s="23">
        <f>+'QTR Raw'!BD80</f>
        <v>843.9</v>
      </c>
      <c r="CL159" s="23">
        <f>+'QTR Raw'!BF80</f>
        <v>1428.6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1428.6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0</v>
      </c>
      <c r="J160" s="23">
        <f>'Annual Raw'!K78</f>
        <v>0</v>
      </c>
      <c r="K160" s="23">
        <f>'Annual Raw'!L78</f>
        <v>0</v>
      </c>
      <c r="L160" s="23">
        <f>'Annual Raw'!M78</f>
        <v>0</v>
      </c>
      <c r="M160" s="23">
        <f>'Annual Raw'!N78</f>
        <v>0</v>
      </c>
      <c r="N160" s="23">
        <f>'Annual Raw'!O78</f>
        <v>0.05</v>
      </c>
      <c r="O160" s="23">
        <f>'Annual Raw'!P78</f>
        <v>29.497</v>
      </c>
      <c r="P160" s="23">
        <f>'Annual Raw'!Q78</f>
        <v>115.34099999999999</v>
      </c>
      <c r="Q160" s="23">
        <f>'Annual Raw'!R78</f>
        <v>83.4</v>
      </c>
      <c r="R160" s="23">
        <f>'Annual Raw'!S78</f>
        <v>67.2</v>
      </c>
      <c r="S160" s="23">
        <f>'Annual Raw'!T78</f>
        <v>154.19999999999999</v>
      </c>
      <c r="T160" s="23">
        <f>'Annual Raw'!U78</f>
        <v>205.1</v>
      </c>
      <c r="U160" s="23">
        <f>'Annual Raw'!V78</f>
        <v>243.9</v>
      </c>
      <c r="V160" s="23">
        <f>'Annual Raw'!W78</f>
        <v>232.7</v>
      </c>
      <c r="W160" s="23">
        <f>'Annual Raw'!X78</f>
        <v>674.2</v>
      </c>
      <c r="X160" s="23">
        <f>'Annual Raw'!Y78</f>
        <v>689.9</v>
      </c>
      <c r="Y160" s="23">
        <f>'Annual Raw'!Z78</f>
        <v>1390.5</v>
      </c>
      <c r="Z160" s="23">
        <f>'Annual Raw'!AA78</f>
        <v>1565.8</v>
      </c>
      <c r="AA160" s="23">
        <f>'Annual Raw'!AB78</f>
        <v>1650.5</v>
      </c>
      <c r="AB160" s="24">
        <f t="shared" si="1277"/>
        <v>4606.2637047837861</v>
      </c>
      <c r="AC160" s="24">
        <f t="shared" si="1278"/>
        <v>6315.729992313175</v>
      </c>
      <c r="AD160" s="24">
        <f t="shared" si="1279"/>
        <v>8234.8424432767988</v>
      </c>
      <c r="AE160" s="24">
        <f t="shared" si="1280"/>
        <v>10385.551120855742</v>
      </c>
      <c r="AJ160" s="23">
        <f>+'QTR Raw'!D83</f>
        <v>0</v>
      </c>
      <c r="AK160" s="23" t="e">
        <f t="shared" ref="AK160:AM160" si="1282">+AK210</f>
        <v>#DIV/0!</v>
      </c>
      <c r="AL160" s="23">
        <f>+'QTR Raw'!F83</f>
        <v>0</v>
      </c>
      <c r="AM160" s="23" t="e">
        <f t="shared" si="1282"/>
        <v>#DIV/0!</v>
      </c>
      <c r="AN160" s="23">
        <f>+'QTR Raw'!H83</f>
        <v>0</v>
      </c>
      <c r="AO160" s="23" t="e">
        <f t="shared" ref="AO160" si="1283">+AO210</f>
        <v>#DIV/0!</v>
      </c>
      <c r="AP160" s="23">
        <f>+'QTR Raw'!J83</f>
        <v>0</v>
      </c>
      <c r="AQ160" s="23" t="e">
        <f t="shared" ref="AQ160" si="1284">+AQ210</f>
        <v>#DIV/0!</v>
      </c>
      <c r="AR160" s="23">
        <f>+'QTR Raw'!L83</f>
        <v>0</v>
      </c>
      <c r="AS160" s="23" t="e">
        <f t="shared" ref="AS160" si="1285">+AS210</f>
        <v>#DIV/0!</v>
      </c>
      <c r="AT160" s="23">
        <f>+'QTR Raw'!N83</f>
        <v>0</v>
      </c>
      <c r="AU160" s="23" t="e">
        <f t="shared" ref="AU160" si="1286">+AU210</f>
        <v>#DIV/0!</v>
      </c>
      <c r="AV160" s="23">
        <f>+'QTR Raw'!P83</f>
        <v>0</v>
      </c>
      <c r="AW160" s="23">
        <f t="shared" ref="AW160" si="1287">+AW210</f>
        <v>130.80000000000004</v>
      </c>
      <c r="AX160" s="23">
        <f>+'QTR Raw'!R83</f>
        <v>83.4</v>
      </c>
      <c r="AY160" s="23">
        <f t="shared" ref="AY160" si="1288">+AY210</f>
        <v>246.24148989268792</v>
      </c>
      <c r="AZ160" s="23">
        <f>+'QTR Raw'!T83</f>
        <v>100.7</v>
      </c>
      <c r="BA160" s="23">
        <f t="shared" ref="BA160" si="1289">+BA210</f>
        <v>320.57290628418605</v>
      </c>
      <c r="BB160" s="23">
        <f>+'QTR Raw'!V83</f>
        <v>67.2</v>
      </c>
      <c r="BC160" s="23">
        <f t="shared" ref="BC160" si="1290">+BC210</f>
        <v>352.87761910624175</v>
      </c>
      <c r="BD160" s="23">
        <f>+'QTR Raw'!X83</f>
        <v>127.7</v>
      </c>
      <c r="BE160" s="23">
        <f t="shared" ref="BE160" si="1291">+BE210</f>
        <v>323.52197423939612</v>
      </c>
      <c r="BF160" s="23">
        <f>+'QTR Raw'!Z83</f>
        <v>154.19999999999999</v>
      </c>
      <c r="BG160" s="23">
        <f t="shared" ref="BG160" si="1292">+BG210</f>
        <v>500.22722791050444</v>
      </c>
      <c r="BH160" s="23">
        <f>+'QTR Raw'!AB83</f>
        <v>173.5</v>
      </c>
      <c r="BI160" s="23">
        <f t="shared" ref="BI160" si="1293">+BI210</f>
        <v>588.09466866756156</v>
      </c>
      <c r="BJ160" s="23">
        <f>+'QTR Raw'!AD83</f>
        <v>205.1</v>
      </c>
      <c r="BK160" s="23">
        <f t="shared" ref="BK160" si="1294">+BK210</f>
        <v>981.02891072891089</v>
      </c>
      <c r="BL160" s="23">
        <f>+'QTR Raw'!AF83</f>
        <v>148.80000000000001</v>
      </c>
      <c r="BM160" s="23">
        <f t="shared" ref="BM160" si="1295">+BM210</f>
        <v>643.28696241352259</v>
      </c>
      <c r="BN160" s="23">
        <f>+'QTR Raw'!AH83</f>
        <v>243.9</v>
      </c>
      <c r="BO160" s="23">
        <f t="shared" ref="BO160" si="1296">+BO210</f>
        <v>1096.3417254251349</v>
      </c>
      <c r="BP160" s="23">
        <f>+'QTR Raw'!AJ83</f>
        <v>277.3</v>
      </c>
      <c r="BQ160" s="23">
        <f t="shared" ref="BQ160" si="1297">+BQ210</f>
        <v>1418.7996955396559</v>
      </c>
      <c r="BR160" s="23">
        <f>+'QTR Raw'!AL83</f>
        <v>232.7</v>
      </c>
      <c r="BS160" s="23">
        <f t="shared" ref="BS160" si="1298">+BS210</f>
        <v>1909.7540020826104</v>
      </c>
      <c r="BT160" s="23">
        <f>+'QTR Raw'!AN83</f>
        <v>771.1</v>
      </c>
      <c r="BU160" s="23">
        <f t="shared" ref="BU160" si="1299">+BU210</f>
        <v>2139.9373577159922</v>
      </c>
      <c r="BV160" s="23">
        <f>+'QTR Raw'!AP83</f>
        <v>674.2</v>
      </c>
      <c r="BW160" s="23">
        <f t="shared" ref="BW160" si="1300">+BW210</f>
        <v>2155.9007402767493</v>
      </c>
      <c r="BX160" s="23">
        <f>+'QTR Raw'!AR83</f>
        <v>641.20000000000005</v>
      </c>
      <c r="BY160" s="23">
        <f t="shared" ref="BY160" si="1301">+BY210</f>
        <v>2670.3749572687025</v>
      </c>
      <c r="BZ160" s="23">
        <f>+'QTR Raw'!AT83</f>
        <v>689.9</v>
      </c>
      <c r="CA160" s="23">
        <f t="shared" ref="CA160" si="1302">+CA210</f>
        <v>3136.5505610393998</v>
      </c>
      <c r="CB160" s="23">
        <f>+'QTR Raw'!AV83</f>
        <v>948.8</v>
      </c>
      <c r="CC160" s="23">
        <f t="shared" ref="CC160" si="1303">+CC210</f>
        <v>2424.2877728891681</v>
      </c>
      <c r="CD160" s="23">
        <f>+'QTR Raw'!AX83</f>
        <v>1390.5</v>
      </c>
      <c r="CE160" s="23">
        <f t="shared" ref="CE160" si="1304">+CE210</f>
        <v>3020.6972965517239</v>
      </c>
      <c r="CF160" s="23">
        <f>+'QTR Raw'!AZ83</f>
        <v>1119.3</v>
      </c>
      <c r="CG160" s="23">
        <f t="shared" ref="CG160:CI160" si="1305">+CG210</f>
        <v>2960.3160324925179</v>
      </c>
      <c r="CH160" s="23">
        <f t="shared" si="1281"/>
        <v>1565.8</v>
      </c>
      <c r="CI160" s="23">
        <f t="shared" si="1305"/>
        <v>2835.6445143680339</v>
      </c>
      <c r="CJ160" s="23">
        <f>+'QTR Raw'!BD83</f>
        <v>1491.8</v>
      </c>
      <c r="CK160" s="23">
        <f t="shared" ref="CK160:DB160" si="1306">+CK210</f>
        <v>2755.0251720087258</v>
      </c>
      <c r="CL160" s="23">
        <f>+'QTR Raw'!BF83</f>
        <v>1650.5</v>
      </c>
      <c r="CM160" s="24">
        <f t="shared" si="1306"/>
        <v>3358.4436528072047</v>
      </c>
      <c r="CN160" s="24">
        <f t="shared" si="1306"/>
        <v>3732.2966057658227</v>
      </c>
      <c r="CO160" s="24">
        <f t="shared" si="1306"/>
        <v>4176.7750702999165</v>
      </c>
      <c r="CP160" s="24">
        <f t="shared" si="1306"/>
        <v>4606.2637047837861</v>
      </c>
      <c r="CQ160" s="24">
        <f t="shared" si="1306"/>
        <v>4906.1580637441057</v>
      </c>
      <c r="CR160" s="24">
        <f t="shared" si="1306"/>
        <v>5339.1151820010455</v>
      </c>
      <c r="CS160" s="24">
        <f t="shared" si="1306"/>
        <v>5837.6036846019078</v>
      </c>
      <c r="CT160" s="24">
        <f t="shared" si="1306"/>
        <v>6315.729992313175</v>
      </c>
      <c r="CU160" s="24">
        <f t="shared" si="1306"/>
        <v>6655.5216834973116</v>
      </c>
      <c r="CV160" s="24">
        <f t="shared" si="1306"/>
        <v>7143.8267799707291</v>
      </c>
      <c r="CW160" s="24">
        <f t="shared" si="1306"/>
        <v>7700.3992011230312</v>
      </c>
      <c r="CX160" s="24">
        <f t="shared" si="1306"/>
        <v>8234.8424432767988</v>
      </c>
      <c r="CY160" s="24">
        <f t="shared" si="1306"/>
        <v>8620.8318910448961</v>
      </c>
      <c r="CZ160" s="24">
        <f t="shared" si="1306"/>
        <v>9168.0033962075722</v>
      </c>
      <c r="DA160" s="24">
        <f t="shared" si="1306"/>
        <v>9788.5794871644375</v>
      </c>
      <c r="DB160" s="24">
        <f t="shared" si="1306"/>
        <v>10385.551120855742</v>
      </c>
      <c r="DE160" s="123"/>
      <c r="DF160" s="23">
        <v>1650.5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07">C159+C160</f>
        <v>0</v>
      </c>
      <c r="D161" s="22">
        <f t="shared" si="1307"/>
        <v>0</v>
      </c>
      <c r="E161" s="22">
        <f t="shared" si="1307"/>
        <v>0</v>
      </c>
      <c r="F161" s="22">
        <f t="shared" si="1307"/>
        <v>0</v>
      </c>
      <c r="G161" s="22">
        <f t="shared" si="1307"/>
        <v>0</v>
      </c>
      <c r="H161" s="22">
        <f t="shared" si="1307"/>
        <v>0</v>
      </c>
      <c r="I161" s="22">
        <f t="shared" si="1307"/>
        <v>0</v>
      </c>
      <c r="J161" s="22">
        <f t="shared" si="1307"/>
        <v>0</v>
      </c>
      <c r="K161" s="22">
        <f t="shared" si="1307"/>
        <v>0</v>
      </c>
      <c r="L161" s="22">
        <f t="shared" si="1307"/>
        <v>0</v>
      </c>
      <c r="M161" s="22">
        <f t="shared" si="1307"/>
        <v>0</v>
      </c>
      <c r="N161" s="22">
        <f t="shared" si="1307"/>
        <v>0.05</v>
      </c>
      <c r="O161" s="22">
        <f t="shared" si="1307"/>
        <v>29.497</v>
      </c>
      <c r="P161" s="22">
        <f t="shared" si="1307"/>
        <v>115.34099999999999</v>
      </c>
      <c r="Q161" s="22">
        <f t="shared" si="1307"/>
        <v>138.9</v>
      </c>
      <c r="R161" s="22">
        <f t="shared" si="1307"/>
        <v>261.8</v>
      </c>
      <c r="S161" s="22">
        <f t="shared" si="1307"/>
        <v>374.9</v>
      </c>
      <c r="T161" s="22">
        <f t="shared" si="1307"/>
        <v>780</v>
      </c>
      <c r="U161" s="22">
        <f t="shared" si="1307"/>
        <v>854.9</v>
      </c>
      <c r="V161" s="22">
        <f t="shared" si="1307"/>
        <v>1747.6000000000001</v>
      </c>
      <c r="W161" s="22">
        <f t="shared" ref="W161" si="1308">W159+W160</f>
        <v>2066</v>
      </c>
      <c r="X161" s="22">
        <f t="shared" ref="X161:Y161" si="1309">X159+X160</f>
        <v>2798.7000000000003</v>
      </c>
      <c r="Y161" s="22">
        <f t="shared" si="1309"/>
        <v>2684.1</v>
      </c>
      <c r="Z161" s="22">
        <f t="shared" ref="Z161:AA161" si="1310">Z159+Z160</f>
        <v>2526.1</v>
      </c>
      <c r="AA161" s="22">
        <f t="shared" si="1310"/>
        <v>3079.1</v>
      </c>
      <c r="AB161" s="21">
        <f t="shared" ref="AB161:AD161" si="1311">AB159+AB160</f>
        <v>4606.2637047837861</v>
      </c>
      <c r="AC161" s="21">
        <f t="shared" si="1311"/>
        <v>6315.729992313175</v>
      </c>
      <c r="AD161" s="21">
        <f t="shared" si="1311"/>
        <v>8234.8424432767988</v>
      </c>
      <c r="AE161" s="21">
        <f t="shared" ref="AE161" si="1312">AE159+AE160</f>
        <v>10385.551120855742</v>
      </c>
      <c r="AJ161" s="22">
        <f t="shared" ref="AJ161" si="1313">AJ159+AJ160</f>
        <v>0</v>
      </c>
      <c r="AK161" s="22" t="e">
        <f t="shared" ref="AK161" si="1314">AK159+AK160</f>
        <v>#DIV/0!</v>
      </c>
      <c r="AL161" s="22">
        <f t="shared" ref="AL161:AM161" si="1315">AL159+AL160</f>
        <v>0</v>
      </c>
      <c r="AM161" s="22" t="e">
        <f t="shared" si="1315"/>
        <v>#DIV/0!</v>
      </c>
      <c r="AN161" s="22">
        <f t="shared" ref="AN161:AO161" si="1316">AN159+AN160</f>
        <v>0</v>
      </c>
      <c r="AO161" s="22" t="e">
        <f t="shared" si="1316"/>
        <v>#DIV/0!</v>
      </c>
      <c r="AP161" s="22">
        <f t="shared" ref="AP161:CE161" si="1317">AP159+AP160</f>
        <v>0</v>
      </c>
      <c r="AQ161" s="22" t="e">
        <f t="shared" si="1317"/>
        <v>#DIV/0!</v>
      </c>
      <c r="AR161" s="22">
        <f t="shared" si="1317"/>
        <v>0</v>
      </c>
      <c r="AS161" s="22" t="e">
        <f t="shared" si="1317"/>
        <v>#DIV/0!</v>
      </c>
      <c r="AT161" s="22">
        <f t="shared" si="1317"/>
        <v>0</v>
      </c>
      <c r="AU161" s="22" t="e">
        <f t="shared" si="1317"/>
        <v>#DIV/0!</v>
      </c>
      <c r="AV161" s="22">
        <f t="shared" si="1317"/>
        <v>0</v>
      </c>
      <c r="AW161" s="22">
        <f t="shared" si="1317"/>
        <v>130.80000000000004</v>
      </c>
      <c r="AX161" s="22">
        <f t="shared" si="1317"/>
        <v>138.9</v>
      </c>
      <c r="AY161" s="22">
        <f t="shared" si="1317"/>
        <v>246.24148989268792</v>
      </c>
      <c r="AZ161" s="22">
        <f t="shared" si="1317"/>
        <v>204.10000000000002</v>
      </c>
      <c r="BA161" s="22">
        <f t="shared" si="1317"/>
        <v>320.57290628418605</v>
      </c>
      <c r="BB161" s="22">
        <f t="shared" si="1317"/>
        <v>261.8</v>
      </c>
      <c r="BC161" s="22">
        <f t="shared" si="1317"/>
        <v>352.87761910624175</v>
      </c>
      <c r="BD161" s="22">
        <f t="shared" si="1317"/>
        <v>244.60000000000002</v>
      </c>
      <c r="BE161" s="22">
        <f t="shared" si="1317"/>
        <v>323.52197423939612</v>
      </c>
      <c r="BF161" s="22">
        <f t="shared" si="1317"/>
        <v>374.9</v>
      </c>
      <c r="BG161" s="22">
        <f t="shared" si="1317"/>
        <v>500.22722791050444</v>
      </c>
      <c r="BH161" s="22">
        <f t="shared" si="1317"/>
        <v>439.4</v>
      </c>
      <c r="BI161" s="22">
        <f t="shared" si="1317"/>
        <v>588.09466866756156</v>
      </c>
      <c r="BJ161" s="22">
        <f t="shared" si="1317"/>
        <v>780</v>
      </c>
      <c r="BK161" s="22">
        <f t="shared" si="1317"/>
        <v>981.02891072891089</v>
      </c>
      <c r="BL161" s="22">
        <f t="shared" si="1317"/>
        <v>453.2</v>
      </c>
      <c r="BM161" s="22">
        <f t="shared" si="1317"/>
        <v>643.28696241352259</v>
      </c>
      <c r="BN161" s="22">
        <f t="shared" si="1317"/>
        <v>854.9</v>
      </c>
      <c r="BO161" s="22">
        <f t="shared" si="1317"/>
        <v>1096.3417254251349</v>
      </c>
      <c r="BP161" s="22">
        <f t="shared" si="1317"/>
        <v>1301</v>
      </c>
      <c r="BQ161" s="22">
        <f t="shared" si="1317"/>
        <v>1418.7996955396559</v>
      </c>
      <c r="BR161" s="22">
        <f t="shared" si="1317"/>
        <v>1747.6000000000001</v>
      </c>
      <c r="BS161" s="22">
        <f t="shared" si="1317"/>
        <v>1909.7540020826104</v>
      </c>
      <c r="BT161" s="22">
        <f t="shared" si="1317"/>
        <v>1958.3000000000002</v>
      </c>
      <c r="BU161" s="22">
        <f t="shared" si="1317"/>
        <v>2139.9373577159922</v>
      </c>
      <c r="BV161" s="22">
        <f t="shared" si="1317"/>
        <v>2066</v>
      </c>
      <c r="BW161" s="22">
        <f t="shared" si="1317"/>
        <v>2155.9007402767493</v>
      </c>
      <c r="BX161" s="22">
        <f t="shared" si="1317"/>
        <v>2304.5</v>
      </c>
      <c r="BY161" s="22">
        <f t="shared" si="1317"/>
        <v>2670.3749572687025</v>
      </c>
      <c r="BZ161" s="22">
        <f t="shared" si="1317"/>
        <v>2798.7000000000003</v>
      </c>
      <c r="CA161" s="22">
        <f t="shared" si="1317"/>
        <v>3136.5505610393998</v>
      </c>
      <c r="CB161" s="22">
        <f t="shared" si="1317"/>
        <v>2109.5</v>
      </c>
      <c r="CC161" s="22">
        <f t="shared" si="1317"/>
        <v>2424.2877728891681</v>
      </c>
      <c r="CD161" s="22">
        <f t="shared" si="1317"/>
        <v>2684.1</v>
      </c>
      <c r="CE161" s="22">
        <f t="shared" si="1317"/>
        <v>3020.6972965517239</v>
      </c>
      <c r="CF161" s="22">
        <f t="shared" ref="CF161:CG161" si="1318">CF159+CF160</f>
        <v>2666.1</v>
      </c>
      <c r="CG161" s="22">
        <f t="shared" si="1318"/>
        <v>2960.3160324925179</v>
      </c>
      <c r="CH161" s="22">
        <f t="shared" ref="CH161:CI161" si="1319">CH159+CH160</f>
        <v>2526.1</v>
      </c>
      <c r="CI161" s="22">
        <f t="shared" si="1319"/>
        <v>2835.6445143680339</v>
      </c>
      <c r="CJ161" s="22">
        <f t="shared" ref="CJ161:DB161" si="1320">CJ159+CJ160</f>
        <v>2335.6999999999998</v>
      </c>
      <c r="CK161" s="22">
        <f t="shared" si="1320"/>
        <v>2755.0251720087258</v>
      </c>
      <c r="CL161" s="22">
        <f t="shared" ref="CL161" si="1321">CL159+CL160</f>
        <v>3079.1</v>
      </c>
      <c r="CM161" s="21">
        <f t="shared" si="1320"/>
        <v>3358.4436528072047</v>
      </c>
      <c r="CN161" s="21">
        <f t="shared" si="1320"/>
        <v>3732.2966057658227</v>
      </c>
      <c r="CO161" s="21">
        <f t="shared" si="1320"/>
        <v>4176.7750702999165</v>
      </c>
      <c r="CP161" s="21">
        <f t="shared" si="1320"/>
        <v>4606.2637047837861</v>
      </c>
      <c r="CQ161" s="21">
        <f t="shared" si="1320"/>
        <v>4906.1580637441057</v>
      </c>
      <c r="CR161" s="21">
        <f t="shared" si="1320"/>
        <v>5339.1151820010455</v>
      </c>
      <c r="CS161" s="21">
        <f t="shared" si="1320"/>
        <v>5837.6036846019078</v>
      </c>
      <c r="CT161" s="21">
        <f t="shared" si="1320"/>
        <v>6315.729992313175</v>
      </c>
      <c r="CU161" s="21">
        <f t="shared" si="1320"/>
        <v>6655.5216834973116</v>
      </c>
      <c r="CV161" s="21">
        <f t="shared" si="1320"/>
        <v>7143.8267799707291</v>
      </c>
      <c r="CW161" s="21">
        <f t="shared" si="1320"/>
        <v>7700.3992011230312</v>
      </c>
      <c r="CX161" s="21">
        <f t="shared" si="1320"/>
        <v>8234.8424432767988</v>
      </c>
      <c r="CY161" s="21">
        <f t="shared" si="1320"/>
        <v>8620.8318910448961</v>
      </c>
      <c r="CZ161" s="21">
        <f t="shared" si="1320"/>
        <v>9168.0033962075722</v>
      </c>
      <c r="DA161" s="21">
        <f t="shared" si="1320"/>
        <v>9788.5794871644375</v>
      </c>
      <c r="DB161" s="21">
        <f t="shared" si="1320"/>
        <v>10385.551120855742</v>
      </c>
      <c r="DE161" s="126"/>
      <c r="DF161" s="22">
        <v>3079.1</v>
      </c>
    </row>
    <row r="162" spans="1:110" s="23" customFormat="1" x14ac:dyDescent="0.2">
      <c r="AB162" s="24"/>
      <c r="AC162" s="24"/>
      <c r="AD162" s="24"/>
      <c r="AE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0</v>
      </c>
      <c r="K163" s="23">
        <f>-'Annual Raw'!L49</f>
        <v>0</v>
      </c>
      <c r="L163" s="23">
        <f>-'Annual Raw'!M49</f>
        <v>0</v>
      </c>
      <c r="M163" s="23">
        <f>-'Annual Raw'!N49</f>
        <v>0</v>
      </c>
      <c r="N163" s="23">
        <f>-'Annual Raw'!O49</f>
        <v>0</v>
      </c>
      <c r="O163" s="23">
        <f>-'Annual Raw'!P49</f>
        <v>-5.6000000000000001E-2</v>
      </c>
      <c r="P163" s="23">
        <f>-'Annual Raw'!Q49</f>
        <v>36.729999999999997</v>
      </c>
      <c r="Q163" s="23">
        <f>-'Annual Raw'!R49</f>
        <v>106.1</v>
      </c>
      <c r="R163" s="23">
        <f>-'Annual Raw'!S49</f>
        <v>32.299999999999997</v>
      </c>
      <c r="S163" s="23">
        <f>-'Annual Raw'!T49</f>
        <v>24.3</v>
      </c>
      <c r="T163" s="23">
        <f>-'Annual Raw'!U49</f>
        <v>-0.8</v>
      </c>
      <c r="U163" s="23">
        <f>-'Annual Raw'!V49</f>
        <v>31.1</v>
      </c>
      <c r="V163" s="23">
        <f>-'Annual Raw'!W49</f>
        <v>-51.1</v>
      </c>
      <c r="W163" s="23">
        <f>-'Annual Raw'!X49</f>
        <v>-67.099999999999994</v>
      </c>
      <c r="X163" s="23">
        <f>-'Annual Raw'!Y49</f>
        <v>-25.9</v>
      </c>
      <c r="Y163" s="23">
        <f>-'Annual Raw'!Z49</f>
        <v>-69.099999999999994</v>
      </c>
      <c r="Z163" s="23">
        <f>-'Annual Raw'!AA49</f>
        <v>-59.4</v>
      </c>
      <c r="AA163" s="23">
        <f>-'Annual Raw'!AB49</f>
        <v>90.6</v>
      </c>
      <c r="AB163" s="24">
        <f t="shared" ref="AB163:AB164" si="1322">+CP163</f>
        <v>90.6</v>
      </c>
      <c r="AC163" s="24">
        <f t="shared" ref="AC163:AC164" si="1323">+CT163</f>
        <v>90.6</v>
      </c>
      <c r="AD163" s="24">
        <f t="shared" ref="AD163:AD164" si="1324">+CX163</f>
        <v>90.6</v>
      </c>
      <c r="AE163" s="24">
        <f t="shared" ref="AE163:AE164" si="1325">+DB163</f>
        <v>90.6</v>
      </c>
      <c r="AJ163" s="23">
        <f>+'QTR Raw'!D96</f>
        <v>0</v>
      </c>
      <c r="AK163" s="23">
        <f t="shared" ref="AK163:CE163" si="1326">+AJ163</f>
        <v>0</v>
      </c>
      <c r="AL163" s="23">
        <f>+'QTR Raw'!F96</f>
        <v>0</v>
      </c>
      <c r="AM163" s="23">
        <f t="shared" si="1326"/>
        <v>0</v>
      </c>
      <c r="AN163" s="23">
        <f>+'QTR Raw'!H96</f>
        <v>0</v>
      </c>
      <c r="AO163" s="23">
        <f t="shared" si="1326"/>
        <v>0</v>
      </c>
      <c r="AP163" s="23">
        <f>+'QTR Raw'!J96</f>
        <v>0</v>
      </c>
      <c r="AQ163" s="23">
        <f t="shared" si="1326"/>
        <v>0</v>
      </c>
      <c r="AR163" s="23">
        <f>+'QTR Raw'!L96</f>
        <v>0</v>
      </c>
      <c r="AS163" s="23">
        <f t="shared" si="1326"/>
        <v>0</v>
      </c>
      <c r="AT163" s="23">
        <f>+'QTR Raw'!N96</f>
        <v>0</v>
      </c>
      <c r="AU163" s="23">
        <f t="shared" si="1326"/>
        <v>0</v>
      </c>
      <c r="AV163" s="23">
        <f>+'QTR Raw'!P96</f>
        <v>0</v>
      </c>
      <c r="AW163" s="23">
        <f t="shared" si="1326"/>
        <v>0</v>
      </c>
      <c r="AX163" s="23">
        <f>+'QTR Raw'!R96</f>
        <v>106.1</v>
      </c>
      <c r="AY163" s="23">
        <f t="shared" si="1326"/>
        <v>106.1</v>
      </c>
      <c r="AZ163" s="23">
        <f>+'QTR Raw'!T96</f>
        <v>57.1</v>
      </c>
      <c r="BA163" s="23">
        <f t="shared" si="1326"/>
        <v>57.1</v>
      </c>
      <c r="BB163" s="23">
        <f>+'QTR Raw'!V96</f>
        <v>32.299999999999997</v>
      </c>
      <c r="BC163" s="23">
        <f t="shared" si="1326"/>
        <v>32.299999999999997</v>
      </c>
      <c r="BD163" s="23">
        <f>+'QTR Raw'!X96</f>
        <v>32.1</v>
      </c>
      <c r="BE163" s="23">
        <f t="shared" si="1326"/>
        <v>32.1</v>
      </c>
      <c r="BF163" s="23">
        <f>+'QTR Raw'!Z96</f>
        <v>24.3</v>
      </c>
      <c r="BG163" s="23">
        <f t="shared" si="1326"/>
        <v>24.3</v>
      </c>
      <c r="BH163" s="23">
        <f>+'QTR Raw'!AB96</f>
        <v>76</v>
      </c>
      <c r="BI163" s="23">
        <f t="shared" si="1326"/>
        <v>76</v>
      </c>
      <c r="BJ163" s="23">
        <f>+'QTR Raw'!AD96</f>
        <v>-0.8</v>
      </c>
      <c r="BK163" s="23">
        <f t="shared" si="1326"/>
        <v>-0.8</v>
      </c>
      <c r="BL163" s="23">
        <f>+'QTR Raw'!AF96</f>
        <v>-6.2</v>
      </c>
      <c r="BM163" s="23">
        <f t="shared" si="1326"/>
        <v>-6.2</v>
      </c>
      <c r="BN163" s="23">
        <f>+'QTR Raw'!AH96</f>
        <v>31.1</v>
      </c>
      <c r="BO163" s="23">
        <f t="shared" si="1326"/>
        <v>31.1</v>
      </c>
      <c r="BP163" s="23">
        <f>+'QTR Raw'!AJ96</f>
        <v>-32.799999999999997</v>
      </c>
      <c r="BQ163" s="23">
        <f t="shared" si="1326"/>
        <v>-32.799999999999997</v>
      </c>
      <c r="BR163" s="23">
        <f>+'QTR Raw'!AL96</f>
        <v>-51.1</v>
      </c>
      <c r="BS163" s="23">
        <f t="shared" si="1326"/>
        <v>-51.1</v>
      </c>
      <c r="BT163" s="23">
        <f>+'QTR Raw'!AN96</f>
        <v>-57</v>
      </c>
      <c r="BU163" s="23">
        <f t="shared" si="1326"/>
        <v>-57</v>
      </c>
      <c r="BV163" s="23">
        <f>+'QTR Raw'!AP96</f>
        <v>-67.099999999999994</v>
      </c>
      <c r="BW163" s="23">
        <f t="shared" si="1326"/>
        <v>-67.099999999999994</v>
      </c>
      <c r="BX163" s="23">
        <f>+'QTR Raw'!AR96</f>
        <v>-2.6</v>
      </c>
      <c r="BY163" s="23">
        <f t="shared" si="1326"/>
        <v>-2.6</v>
      </c>
      <c r="BZ163" s="23">
        <f>+'QTR Raw'!AT96</f>
        <v>-25.9</v>
      </c>
      <c r="CA163" s="23">
        <f t="shared" si="1326"/>
        <v>-25.9</v>
      </c>
      <c r="CB163" s="23">
        <f>+'QTR Raw'!AV96</f>
        <v>-35.4</v>
      </c>
      <c r="CC163" s="23">
        <f t="shared" si="1326"/>
        <v>-35.4</v>
      </c>
      <c r="CD163" s="23">
        <f>+'QTR Raw'!AX96</f>
        <v>-69.099999999999994</v>
      </c>
      <c r="CE163" s="23">
        <f t="shared" si="1326"/>
        <v>-69.099999999999994</v>
      </c>
      <c r="CF163" s="23">
        <f>+'QTR Raw'!AZ96</f>
        <v>-70.3</v>
      </c>
      <c r="CG163" s="23">
        <f t="shared" ref="CG163:CI164" si="1327">+CF163</f>
        <v>-70.3</v>
      </c>
      <c r="CH163" s="23">
        <f t="shared" ref="CH163:CH164" si="1328">Z163</f>
        <v>-59.4</v>
      </c>
      <c r="CI163" s="23">
        <f t="shared" si="1327"/>
        <v>-59.4</v>
      </c>
      <c r="CJ163" s="23">
        <f>+'QTR Raw'!BD96</f>
        <v>-8.6999999999999993</v>
      </c>
      <c r="CK163" s="23">
        <f t="shared" ref="CK163:CK164" si="1329">+CJ163</f>
        <v>-8.6999999999999993</v>
      </c>
      <c r="CL163" s="23">
        <f>+'QTR Raw'!BF96</f>
        <v>90.6</v>
      </c>
      <c r="CM163" s="24">
        <f t="shared" ref="CM163:CM164" si="1330">+CL163</f>
        <v>90.6</v>
      </c>
      <c r="CN163" s="24">
        <f t="shared" ref="CN163:CN164" si="1331">+CM163</f>
        <v>90.6</v>
      </c>
      <c r="CO163" s="24">
        <f t="shared" ref="CO163:CO164" si="1332">+CN163</f>
        <v>90.6</v>
      </c>
      <c r="CP163" s="24">
        <f t="shared" ref="CP163:CP164" si="1333">+CO163</f>
        <v>90.6</v>
      </c>
      <c r="CQ163" s="24">
        <f t="shared" ref="CQ163:CQ164" si="1334">+CP163</f>
        <v>90.6</v>
      </c>
      <c r="CR163" s="24">
        <f t="shared" ref="CR163:CR164" si="1335">+CQ163</f>
        <v>90.6</v>
      </c>
      <c r="CS163" s="24">
        <f t="shared" ref="CS163:CS164" si="1336">+CR163</f>
        <v>90.6</v>
      </c>
      <c r="CT163" s="24">
        <f t="shared" ref="CT163:CT164" si="1337">+CS163</f>
        <v>90.6</v>
      </c>
      <c r="CU163" s="24">
        <f t="shared" ref="CU163:CU164" si="1338">+CT163</f>
        <v>90.6</v>
      </c>
      <c r="CV163" s="24">
        <f t="shared" ref="CV163:CV164" si="1339">+CU163</f>
        <v>90.6</v>
      </c>
      <c r="CW163" s="24">
        <f t="shared" ref="CW163:CW164" si="1340">+CV163</f>
        <v>90.6</v>
      </c>
      <c r="CX163" s="24">
        <f t="shared" ref="CX163:CX164" si="1341">+CW163</f>
        <v>90.6</v>
      </c>
      <c r="CY163" s="24">
        <f t="shared" ref="CY163:CY164" si="1342">+CX163</f>
        <v>90.6</v>
      </c>
      <c r="CZ163" s="24">
        <f t="shared" ref="CZ163:CZ164" si="1343">+CY163</f>
        <v>90.6</v>
      </c>
      <c r="DA163" s="24">
        <f t="shared" ref="DA163:DA164" si="1344">+CZ163</f>
        <v>90.6</v>
      </c>
      <c r="DB163" s="24">
        <f t="shared" ref="DB163:DB164" si="1345">+DA163</f>
        <v>90.6</v>
      </c>
      <c r="DE163" s="123"/>
      <c r="DF163" s="23">
        <v>90.6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2"/>
        <v>0</v>
      </c>
      <c r="AC164" s="24">
        <f t="shared" si="1323"/>
        <v>0</v>
      </c>
      <c r="AD164" s="24">
        <f t="shared" si="1324"/>
        <v>0</v>
      </c>
      <c r="AE164" s="24">
        <f t="shared" si="1325"/>
        <v>0</v>
      </c>
      <c r="AJ164" s="23">
        <f>+'QTR Raw'!D95</f>
        <v>0</v>
      </c>
      <c r="AK164" s="23">
        <f t="shared" ref="AK164:CE164" si="1346">+AJ164</f>
        <v>0</v>
      </c>
      <c r="AL164" s="23">
        <f>+'QTR Raw'!F95</f>
        <v>0</v>
      </c>
      <c r="AM164" s="23">
        <f t="shared" si="1346"/>
        <v>0</v>
      </c>
      <c r="AN164" s="23">
        <f>+'QTR Raw'!H95</f>
        <v>0</v>
      </c>
      <c r="AO164" s="23">
        <f t="shared" si="1346"/>
        <v>0</v>
      </c>
      <c r="AP164" s="23">
        <f>+'QTR Raw'!J95</f>
        <v>0</v>
      </c>
      <c r="AQ164" s="23">
        <f t="shared" si="1346"/>
        <v>0</v>
      </c>
      <c r="AR164" s="23">
        <f>+'QTR Raw'!L95</f>
        <v>0</v>
      </c>
      <c r="AS164" s="23">
        <f t="shared" si="1346"/>
        <v>0</v>
      </c>
      <c r="AT164" s="23">
        <f>+'QTR Raw'!N95</f>
        <v>0</v>
      </c>
      <c r="AU164" s="23">
        <f t="shared" si="1346"/>
        <v>0</v>
      </c>
      <c r="AV164" s="23">
        <f>+'QTR Raw'!P95</f>
        <v>0</v>
      </c>
      <c r="AW164" s="23">
        <f t="shared" si="1346"/>
        <v>0</v>
      </c>
      <c r="AX164" s="23">
        <f>+'QTR Raw'!R95</f>
        <v>0</v>
      </c>
      <c r="AY164" s="23">
        <f t="shared" si="1346"/>
        <v>0</v>
      </c>
      <c r="AZ164" s="23">
        <f>+'QTR Raw'!T95</f>
        <v>0</v>
      </c>
      <c r="BA164" s="23">
        <f t="shared" si="1346"/>
        <v>0</v>
      </c>
      <c r="BB164" s="23">
        <f>+'QTR Raw'!V95</f>
        <v>0</v>
      </c>
      <c r="BC164" s="23">
        <f t="shared" si="1346"/>
        <v>0</v>
      </c>
      <c r="BD164" s="23">
        <f>+'QTR Raw'!X95</f>
        <v>0</v>
      </c>
      <c r="BE164" s="23">
        <f t="shared" si="1346"/>
        <v>0</v>
      </c>
      <c r="BF164" s="23">
        <f>+'QTR Raw'!Z95</f>
        <v>0</v>
      </c>
      <c r="BG164" s="23">
        <f t="shared" si="1346"/>
        <v>0</v>
      </c>
      <c r="BH164" s="23">
        <f>+'QTR Raw'!AB95</f>
        <v>0</v>
      </c>
      <c r="BI164" s="23">
        <f t="shared" si="1346"/>
        <v>0</v>
      </c>
      <c r="BJ164" s="23">
        <f>+'QTR Raw'!AD95</f>
        <v>0</v>
      </c>
      <c r="BK164" s="23">
        <f t="shared" si="1346"/>
        <v>0</v>
      </c>
      <c r="BL164" s="23">
        <f>+'QTR Raw'!AF95</f>
        <v>0</v>
      </c>
      <c r="BM164" s="23">
        <f t="shared" si="1346"/>
        <v>0</v>
      </c>
      <c r="BN164" s="23">
        <f>+'QTR Raw'!AH95</f>
        <v>0</v>
      </c>
      <c r="BO164" s="23">
        <f t="shared" si="1346"/>
        <v>0</v>
      </c>
      <c r="BP164" s="23">
        <f>+'QTR Raw'!AJ95</f>
        <v>0</v>
      </c>
      <c r="BQ164" s="23">
        <f t="shared" si="1346"/>
        <v>0</v>
      </c>
      <c r="BR164" s="23">
        <f>+'QTR Raw'!AL95</f>
        <v>0</v>
      </c>
      <c r="BS164" s="23">
        <f t="shared" si="1346"/>
        <v>0</v>
      </c>
      <c r="BT164" s="23">
        <f>+'QTR Raw'!AN95</f>
        <v>0</v>
      </c>
      <c r="BU164" s="23">
        <f t="shared" si="1346"/>
        <v>0</v>
      </c>
      <c r="BV164" s="23">
        <f>+'QTR Raw'!AP95</f>
        <v>0</v>
      </c>
      <c r="BW164" s="23">
        <f t="shared" si="1346"/>
        <v>0</v>
      </c>
      <c r="BX164" s="23">
        <f>+'QTR Raw'!AR95</f>
        <v>0</v>
      </c>
      <c r="BY164" s="23">
        <f t="shared" si="1346"/>
        <v>0</v>
      </c>
      <c r="BZ164" s="23">
        <f>+'QTR Raw'!AT95</f>
        <v>0</v>
      </c>
      <c r="CA164" s="23">
        <f t="shared" si="1346"/>
        <v>0</v>
      </c>
      <c r="CB164" s="23">
        <f>+'QTR Raw'!AV95</f>
        <v>0</v>
      </c>
      <c r="CC164" s="23">
        <f t="shared" si="1346"/>
        <v>0</v>
      </c>
      <c r="CD164" s="23">
        <f>+'QTR Raw'!AX95</f>
        <v>0</v>
      </c>
      <c r="CE164" s="23">
        <f t="shared" si="1346"/>
        <v>0</v>
      </c>
      <c r="CF164" s="23">
        <f>+'QTR Raw'!AZ95</f>
        <v>0</v>
      </c>
      <c r="CG164" s="23">
        <f t="shared" si="1327"/>
        <v>0</v>
      </c>
      <c r="CH164" s="23">
        <f t="shared" si="1328"/>
        <v>0</v>
      </c>
      <c r="CI164" s="23">
        <f t="shared" si="1327"/>
        <v>0</v>
      </c>
      <c r="CJ164" s="23">
        <f>+'QTR Raw'!BD95</f>
        <v>0</v>
      </c>
      <c r="CK164" s="23">
        <f t="shared" si="1329"/>
        <v>0</v>
      </c>
      <c r="CL164" s="23">
        <f>+'QTR Raw'!BF95</f>
        <v>0</v>
      </c>
      <c r="CM164" s="24">
        <f t="shared" si="1330"/>
        <v>0</v>
      </c>
      <c r="CN164" s="24">
        <f t="shared" si="1331"/>
        <v>0</v>
      </c>
      <c r="CO164" s="24">
        <f t="shared" si="1332"/>
        <v>0</v>
      </c>
      <c r="CP164" s="24">
        <f t="shared" si="1333"/>
        <v>0</v>
      </c>
      <c r="CQ164" s="24">
        <f t="shared" si="1334"/>
        <v>0</v>
      </c>
      <c r="CR164" s="24">
        <f t="shared" si="1335"/>
        <v>0</v>
      </c>
      <c r="CS164" s="24">
        <f t="shared" si="1336"/>
        <v>0</v>
      </c>
      <c r="CT164" s="24">
        <f t="shared" si="1337"/>
        <v>0</v>
      </c>
      <c r="CU164" s="24">
        <f t="shared" si="1338"/>
        <v>0</v>
      </c>
      <c r="CV164" s="24">
        <f t="shared" si="1339"/>
        <v>0</v>
      </c>
      <c r="CW164" s="24">
        <f t="shared" si="1340"/>
        <v>0</v>
      </c>
      <c r="CX164" s="24">
        <f t="shared" si="1341"/>
        <v>0</v>
      </c>
      <c r="CY164" s="24">
        <f t="shared" si="1342"/>
        <v>0</v>
      </c>
      <c r="CZ164" s="24">
        <f t="shared" si="1343"/>
        <v>0</v>
      </c>
      <c r="DA164" s="24">
        <f t="shared" si="1344"/>
        <v>0</v>
      </c>
      <c r="DB164" s="24">
        <f t="shared" si="1345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7">B163+B161+B157+B140+B138+B164</f>
        <v>0</v>
      </c>
      <c r="C165" s="26">
        <f t="shared" si="1347"/>
        <v>0</v>
      </c>
      <c r="D165" s="26">
        <f t="shared" si="1347"/>
        <v>0</v>
      </c>
      <c r="E165" s="26">
        <f t="shared" si="1347"/>
        <v>0</v>
      </c>
      <c r="F165" s="26">
        <f t="shared" si="1347"/>
        <v>0</v>
      </c>
      <c r="G165" s="26">
        <f t="shared" si="1347"/>
        <v>0</v>
      </c>
      <c r="H165" s="26">
        <f t="shared" si="1347"/>
        <v>0</v>
      </c>
      <c r="I165" s="26">
        <f t="shared" si="1347"/>
        <v>0</v>
      </c>
      <c r="J165" s="26">
        <f t="shared" si="1347"/>
        <v>0</v>
      </c>
      <c r="K165" s="26">
        <f t="shared" si="1347"/>
        <v>0</v>
      </c>
      <c r="L165" s="26">
        <f t="shared" si="1347"/>
        <v>0</v>
      </c>
      <c r="M165" s="26">
        <f t="shared" si="1347"/>
        <v>0</v>
      </c>
      <c r="N165" s="26">
        <f t="shared" si="1347"/>
        <v>4.7E-2</v>
      </c>
      <c r="O165" s="26">
        <f t="shared" si="1347"/>
        <v>533.59100000000001</v>
      </c>
      <c r="P165" s="26">
        <f t="shared" si="1347"/>
        <v>1270.8820000000001</v>
      </c>
      <c r="Q165" s="26">
        <f t="shared" si="1347"/>
        <v>1261.0999999999999</v>
      </c>
      <c r="R165" s="26">
        <f t="shared" si="1347"/>
        <v>1587.1</v>
      </c>
      <c r="S165" s="26">
        <f t="shared" si="1347"/>
        <v>2006.9</v>
      </c>
      <c r="T165" s="26">
        <f t="shared" si="1347"/>
        <v>2552.3999999999996</v>
      </c>
      <c r="U165" s="26">
        <f t="shared" si="1347"/>
        <v>2805.7999999999997</v>
      </c>
      <c r="V165" s="26">
        <f t="shared" si="1347"/>
        <v>3483.2</v>
      </c>
      <c r="W165" s="26">
        <f t="shared" si="1347"/>
        <v>4176.2</v>
      </c>
      <c r="X165" s="26">
        <f t="shared" ref="X165:Y165" si="1348">X163+X161+X157+X140+X138+X164</f>
        <v>4452.9000000000005</v>
      </c>
      <c r="Y165" s="26">
        <f t="shared" si="1348"/>
        <v>5347.8000000000011</v>
      </c>
      <c r="Z165" s="26">
        <f t="shared" ref="Z165:AA165" si="1349">Z163+Z161+Z157+Z140+Z138+Z164</f>
        <v>6097.4999999999982</v>
      </c>
      <c r="AA165" s="26">
        <f t="shared" si="1349"/>
        <v>6492.2</v>
      </c>
      <c r="AB165" s="27">
        <f t="shared" ref="AB165:AD165" si="1350">AB163+AB161+AB157+AB140+AB138+AB164</f>
        <v>8046.2441980247731</v>
      </c>
      <c r="AC165" s="27">
        <f t="shared" si="1350"/>
        <v>9825.2879953407264</v>
      </c>
      <c r="AD165" s="27">
        <f t="shared" si="1350"/>
        <v>11834.814710585031</v>
      </c>
      <c r="AE165" s="27">
        <f t="shared" ref="AE165" si="1351">AE163+AE161+AE157+AE140+AE138+AE164</f>
        <v>14089.744722638983</v>
      </c>
      <c r="AJ165" s="26">
        <f t="shared" ref="AJ165" si="1352">AJ163+AJ161+AJ157+AJ140+AJ138+AJ164</f>
        <v>0</v>
      </c>
      <c r="AK165" s="26" t="e">
        <f t="shared" ref="AK165:AL165" si="1353">AK163+AK161+AK157+AK140+AK138+AK164</f>
        <v>#DIV/0!</v>
      </c>
      <c r="AL165" s="26">
        <f t="shared" si="1353"/>
        <v>0</v>
      </c>
      <c r="AM165" s="26" t="e">
        <f t="shared" ref="AM165:AO165" si="1354">AM163+AM161+AM157+AM140+AM138+AM164</f>
        <v>#DIV/0!</v>
      </c>
      <c r="AN165" s="26">
        <f t="shared" si="1354"/>
        <v>0</v>
      </c>
      <c r="AO165" s="26" t="e">
        <f t="shared" si="1354"/>
        <v>#DIV/0!</v>
      </c>
      <c r="AP165" s="26">
        <f t="shared" ref="AP165:CE165" si="1355">AP163+AP161+AP157+AP140+AP138+AP164</f>
        <v>0</v>
      </c>
      <c r="AQ165" s="26" t="e">
        <f t="shared" si="1355"/>
        <v>#DIV/0!</v>
      </c>
      <c r="AR165" s="26">
        <f t="shared" si="1355"/>
        <v>0</v>
      </c>
      <c r="AS165" s="26" t="e">
        <f t="shared" si="1355"/>
        <v>#DIV/0!</v>
      </c>
      <c r="AT165" s="26">
        <f t="shared" si="1355"/>
        <v>0</v>
      </c>
      <c r="AU165" s="26" t="e">
        <f t="shared" si="1355"/>
        <v>#DIV/0!</v>
      </c>
      <c r="AV165" s="26">
        <f t="shared" si="1355"/>
        <v>0</v>
      </c>
      <c r="AW165" s="26">
        <f t="shared" si="1355"/>
        <v>130.80000000000004</v>
      </c>
      <c r="AX165" s="26">
        <f t="shared" si="1355"/>
        <v>1261.0999999999999</v>
      </c>
      <c r="AY165" s="26">
        <f t="shared" si="1355"/>
        <v>1369.4000000000003</v>
      </c>
      <c r="AZ165" s="26">
        <f t="shared" si="1355"/>
        <v>1378.3</v>
      </c>
      <c r="BA165" s="26">
        <f t="shared" si="1355"/>
        <v>1487</v>
      </c>
      <c r="BB165" s="26">
        <f t="shared" si="1355"/>
        <v>1587.1</v>
      </c>
      <c r="BC165" s="26">
        <f t="shared" si="1355"/>
        <v>1685.2999999999997</v>
      </c>
      <c r="BD165" s="26">
        <f t="shared" si="1355"/>
        <v>1822.6</v>
      </c>
      <c r="BE165" s="26">
        <f t="shared" si="1355"/>
        <v>1948.8999999999996</v>
      </c>
      <c r="BF165" s="26">
        <f t="shared" si="1355"/>
        <v>2006.8999999999999</v>
      </c>
      <c r="BG165" s="26">
        <f t="shared" si="1355"/>
        <v>2204.3999999999996</v>
      </c>
      <c r="BH165" s="26">
        <f t="shared" ref="BH165" si="1356">BH163+BH161+BH157+BH140+BH138+BH164</f>
        <v>2054.6999999999998</v>
      </c>
      <c r="BI165" s="26">
        <f t="shared" si="1355"/>
        <v>2240.2999999999993</v>
      </c>
      <c r="BJ165" s="26">
        <f t="shared" si="1355"/>
        <v>2552.4</v>
      </c>
      <c r="BK165" s="26">
        <f t="shared" si="1355"/>
        <v>2756.3</v>
      </c>
      <c r="BL165" s="26">
        <f t="shared" si="1355"/>
        <v>2666.7000000000003</v>
      </c>
      <c r="BM165" s="26">
        <f t="shared" si="1355"/>
        <v>2870.8</v>
      </c>
      <c r="BN165" s="26">
        <f t="shared" si="1355"/>
        <v>2805.8</v>
      </c>
      <c r="BO165" s="26">
        <f t="shared" si="1355"/>
        <v>2923</v>
      </c>
      <c r="BP165" s="26">
        <f t="shared" si="1355"/>
        <v>3134.9999999999995</v>
      </c>
      <c r="BQ165" s="26">
        <f t="shared" si="1355"/>
        <v>3321.1</v>
      </c>
      <c r="BR165" s="26">
        <f t="shared" si="1355"/>
        <v>3483.2000000000003</v>
      </c>
      <c r="BS165" s="26">
        <f t="shared" si="1355"/>
        <v>3699.4000000000005</v>
      </c>
      <c r="BT165" s="26">
        <f t="shared" si="1355"/>
        <v>3824.6</v>
      </c>
      <c r="BU165" s="26">
        <f t="shared" si="1355"/>
        <v>4073.4</v>
      </c>
      <c r="BV165" s="26">
        <f t="shared" si="1355"/>
        <v>4176.2</v>
      </c>
      <c r="BW165" s="26">
        <f t="shared" si="1355"/>
        <v>4451.6000000000004</v>
      </c>
      <c r="BX165" s="26">
        <f t="shared" si="1355"/>
        <v>4467.6000000000004</v>
      </c>
      <c r="BY165" s="26">
        <f t="shared" si="1355"/>
        <v>4764.4000000000005</v>
      </c>
      <c r="BZ165" s="26">
        <f t="shared" si="1355"/>
        <v>4452.9000000000005</v>
      </c>
      <c r="CA165" s="26">
        <f t="shared" si="1355"/>
        <v>4764</v>
      </c>
      <c r="CB165" s="26">
        <f t="shared" si="1355"/>
        <v>4808.5</v>
      </c>
      <c r="CC165" s="26">
        <f t="shared" si="1355"/>
        <v>5144.6999999999989</v>
      </c>
      <c r="CD165" s="26">
        <f t="shared" si="1355"/>
        <v>5347.8000000000011</v>
      </c>
      <c r="CE165" s="26">
        <f t="shared" si="1355"/>
        <v>5661.4000000000015</v>
      </c>
      <c r="CF165" s="26">
        <f t="shared" ref="CF165:CG165" si="1357">CF163+CF161+CF157+CF140+CF138+CF164</f>
        <v>5640.9</v>
      </c>
      <c r="CG165" s="26">
        <f t="shared" si="1357"/>
        <v>5963.2999999999993</v>
      </c>
      <c r="CH165" s="26">
        <f t="shared" ref="CH165:CI165" si="1358">CH163+CH161+CH157+CH140+CH138+CH164</f>
        <v>6097.4999999999982</v>
      </c>
      <c r="CI165" s="26">
        <f t="shared" si="1358"/>
        <v>6413.1999999999989</v>
      </c>
      <c r="CJ165" s="26">
        <f t="shared" ref="CJ165:DB165" si="1359">CJ163+CJ161+CJ157+CJ140+CJ138+CJ164</f>
        <v>6207.4</v>
      </c>
      <c r="CK165" s="26">
        <f t="shared" si="1359"/>
        <v>6509.9999999999991</v>
      </c>
      <c r="CL165" s="26">
        <f t="shared" ref="CL165" si="1360">CL163+CL161+CL157+CL140+CL138+CL164</f>
        <v>6492.1999999999989</v>
      </c>
      <c r="CM165" s="27">
        <f t="shared" si="1359"/>
        <v>6875.7399158657527</v>
      </c>
      <c r="CN165" s="27">
        <f t="shared" si="1359"/>
        <v>7268.0494605870481</v>
      </c>
      <c r="CO165" s="27">
        <f t="shared" si="1359"/>
        <v>7659.84462270726</v>
      </c>
      <c r="CP165" s="27">
        <f t="shared" si="1359"/>
        <v>8046.2441980247731</v>
      </c>
      <c r="CQ165" s="27">
        <f t="shared" si="1359"/>
        <v>8487.5697664941363</v>
      </c>
      <c r="CR165" s="27">
        <f t="shared" si="1359"/>
        <v>8942.5043143121966</v>
      </c>
      <c r="CS165" s="27">
        <f t="shared" si="1359"/>
        <v>9387.4137683432982</v>
      </c>
      <c r="CT165" s="27">
        <f t="shared" si="1359"/>
        <v>9825.2879953407264</v>
      </c>
      <c r="CU165" s="27">
        <f t="shared" si="1359"/>
        <v>10325.297731739984</v>
      </c>
      <c r="CV165" s="27">
        <f t="shared" si="1359"/>
        <v>10839.442082175046</v>
      </c>
      <c r="CW165" s="27">
        <f t="shared" si="1359"/>
        <v>11340.86344555432</v>
      </c>
      <c r="CX165" s="27">
        <f t="shared" si="1359"/>
        <v>11834.814710585031</v>
      </c>
      <c r="CY165" s="27">
        <f t="shared" si="1359"/>
        <v>12396.310195066109</v>
      </c>
      <c r="CZ165" s="27">
        <f t="shared" si="1359"/>
        <v>12972.763867223292</v>
      </c>
      <c r="DA165" s="27">
        <f t="shared" si="1359"/>
        <v>13535.214193117503</v>
      </c>
      <c r="DB165" s="27">
        <f t="shared" si="1359"/>
        <v>14089.744722638983</v>
      </c>
      <c r="DE165" s="121"/>
      <c r="DF165" s="26">
        <v>6492.2</v>
      </c>
    </row>
    <row r="166" spans="1:110" s="23" customFormat="1" x14ac:dyDescent="0.2">
      <c r="A166" s="28" t="s">
        <v>439</v>
      </c>
      <c r="B166" s="23">
        <f t="shared" ref="B166:W166" si="1361">B165-B129</f>
        <v>0</v>
      </c>
      <c r="C166" s="23">
        <f t="shared" si="1361"/>
        <v>0</v>
      </c>
      <c r="D166" s="23">
        <f t="shared" si="1361"/>
        <v>0</v>
      </c>
      <c r="E166" s="23">
        <f t="shared" si="1361"/>
        <v>0</v>
      </c>
      <c r="F166" s="23">
        <f t="shared" si="1361"/>
        <v>0</v>
      </c>
      <c r="G166" s="23">
        <f t="shared" si="1361"/>
        <v>0</v>
      </c>
      <c r="H166" s="23">
        <f t="shared" si="1361"/>
        <v>0</v>
      </c>
      <c r="I166" s="23">
        <f t="shared" si="1361"/>
        <v>0</v>
      </c>
      <c r="J166" s="23">
        <f t="shared" si="1361"/>
        <v>0</v>
      </c>
      <c r="K166" s="23">
        <f t="shared" si="1361"/>
        <v>0</v>
      </c>
      <c r="L166" s="23">
        <f t="shared" si="1361"/>
        <v>0</v>
      </c>
      <c r="M166" s="23">
        <f t="shared" si="1361"/>
        <v>0</v>
      </c>
      <c r="N166" s="23">
        <f t="shared" si="1361"/>
        <v>0</v>
      </c>
      <c r="O166" s="23">
        <f t="shared" si="1361"/>
        <v>0</v>
      </c>
      <c r="P166" s="23">
        <f t="shared" si="1361"/>
        <v>0</v>
      </c>
      <c r="Q166" s="23">
        <f t="shared" si="1361"/>
        <v>0</v>
      </c>
      <c r="R166" s="23">
        <f t="shared" si="1361"/>
        <v>0</v>
      </c>
      <c r="S166" s="23">
        <f t="shared" si="1361"/>
        <v>0</v>
      </c>
      <c r="T166" s="23">
        <f t="shared" si="1361"/>
        <v>0</v>
      </c>
      <c r="U166" s="23">
        <f t="shared" si="1361"/>
        <v>0</v>
      </c>
      <c r="V166" s="23">
        <f t="shared" si="1361"/>
        <v>0</v>
      </c>
      <c r="W166" s="23">
        <f t="shared" si="1361"/>
        <v>0</v>
      </c>
      <c r="X166" s="23">
        <f t="shared" ref="X166:Y166" si="1362">X165-X129</f>
        <v>0</v>
      </c>
      <c r="Y166" s="23">
        <f t="shared" si="1362"/>
        <v>0</v>
      </c>
      <c r="Z166" s="23">
        <f t="shared" ref="Z166:AA166" si="1363">Z165-Z129</f>
        <v>0</v>
      </c>
      <c r="AA166" s="23">
        <f t="shared" si="1363"/>
        <v>0</v>
      </c>
      <c r="AB166" s="24">
        <f t="shared" ref="AB166:AD166" si="1364">AB165-AB129</f>
        <v>0</v>
      </c>
      <c r="AC166" s="24">
        <f t="shared" si="1364"/>
        <v>0</v>
      </c>
      <c r="AD166" s="24">
        <f t="shared" si="1364"/>
        <v>0</v>
      </c>
      <c r="AE166" s="24">
        <f t="shared" ref="AE166" si="1365">AE165-AE129</f>
        <v>0</v>
      </c>
      <c r="AJ166" s="23">
        <f t="shared" ref="AJ166" si="1366">AJ165-AJ129</f>
        <v>0</v>
      </c>
      <c r="AK166" s="23" t="e">
        <f t="shared" ref="AK166" si="1367">AK165-AK129</f>
        <v>#DIV/0!</v>
      </c>
      <c r="AL166" s="23">
        <f t="shared" ref="AL166:AM166" si="1368">AL165-AL129</f>
        <v>0</v>
      </c>
      <c r="AM166" s="23" t="e">
        <f t="shared" si="1368"/>
        <v>#DIV/0!</v>
      </c>
      <c r="AN166" s="23">
        <f t="shared" ref="AN166:AO166" si="1369">AN165-AN129</f>
        <v>0</v>
      </c>
      <c r="AO166" s="23" t="e">
        <f t="shared" si="1369"/>
        <v>#DIV/0!</v>
      </c>
      <c r="AP166" s="23">
        <f t="shared" ref="AP166:CE166" si="1370">AP165-AP129</f>
        <v>0</v>
      </c>
      <c r="AQ166" s="23" t="e">
        <f t="shared" si="1370"/>
        <v>#DIV/0!</v>
      </c>
      <c r="AR166" s="23">
        <f t="shared" si="1370"/>
        <v>0</v>
      </c>
      <c r="AS166" s="23" t="e">
        <f t="shared" si="1370"/>
        <v>#DIV/0!</v>
      </c>
      <c r="AT166" s="23">
        <f t="shared" si="1370"/>
        <v>0</v>
      </c>
      <c r="AU166" s="23" t="e">
        <f t="shared" si="1370"/>
        <v>#DIV/0!</v>
      </c>
      <c r="AV166" s="23">
        <f t="shared" si="1370"/>
        <v>0</v>
      </c>
      <c r="AW166" s="23">
        <f t="shared" si="1370"/>
        <v>0</v>
      </c>
      <c r="AX166" s="23">
        <f t="shared" si="1370"/>
        <v>0</v>
      </c>
      <c r="AY166" s="23">
        <f t="shared" si="1370"/>
        <v>0</v>
      </c>
      <c r="AZ166" s="23">
        <f t="shared" si="1370"/>
        <v>0</v>
      </c>
      <c r="BA166" s="23">
        <f t="shared" si="1370"/>
        <v>0</v>
      </c>
      <c r="BB166" s="23">
        <f t="shared" si="1370"/>
        <v>0</v>
      </c>
      <c r="BC166" s="23">
        <f t="shared" si="1370"/>
        <v>0</v>
      </c>
      <c r="BD166" s="23">
        <f t="shared" si="1370"/>
        <v>0</v>
      </c>
      <c r="BE166" s="23">
        <f t="shared" si="1370"/>
        <v>0</v>
      </c>
      <c r="BF166" s="23">
        <f t="shared" si="1370"/>
        <v>0</v>
      </c>
      <c r="BG166" s="23">
        <f t="shared" si="1370"/>
        <v>0</v>
      </c>
      <c r="BH166" s="23">
        <f t="shared" ref="BH166" si="1371">BH165-BH129</f>
        <v>0</v>
      </c>
      <c r="BI166" s="23">
        <f t="shared" si="1370"/>
        <v>0</v>
      </c>
      <c r="BJ166" s="23">
        <f t="shared" si="1370"/>
        <v>0</v>
      </c>
      <c r="BK166" s="23">
        <f t="shared" si="1370"/>
        <v>0</v>
      </c>
      <c r="BL166" s="23">
        <f t="shared" si="1370"/>
        <v>0</v>
      </c>
      <c r="BM166" s="23">
        <f t="shared" si="1370"/>
        <v>0</v>
      </c>
      <c r="BN166" s="23">
        <f t="shared" si="1370"/>
        <v>0</v>
      </c>
      <c r="BO166" s="23">
        <f t="shared" si="1370"/>
        <v>0</v>
      </c>
      <c r="BP166" s="23">
        <f t="shared" si="1370"/>
        <v>0</v>
      </c>
      <c r="BQ166" s="23">
        <f t="shared" si="1370"/>
        <v>0</v>
      </c>
      <c r="BR166" s="23">
        <f t="shared" si="1370"/>
        <v>0</v>
      </c>
      <c r="BS166" s="23">
        <f t="shared" si="1370"/>
        <v>0</v>
      </c>
      <c r="BT166" s="23">
        <f t="shared" si="1370"/>
        <v>0</v>
      </c>
      <c r="BU166" s="23">
        <f t="shared" si="1370"/>
        <v>0</v>
      </c>
      <c r="BV166" s="23">
        <f t="shared" si="1370"/>
        <v>0</v>
      </c>
      <c r="BW166" s="23">
        <f t="shared" si="1370"/>
        <v>0</v>
      </c>
      <c r="BX166" s="23">
        <f t="shared" si="1370"/>
        <v>0</v>
      </c>
      <c r="BY166" s="23">
        <f t="shared" si="1370"/>
        <v>0</v>
      </c>
      <c r="BZ166" s="23">
        <f t="shared" si="1370"/>
        <v>0</v>
      </c>
      <c r="CA166" s="23">
        <f t="shared" si="1370"/>
        <v>0</v>
      </c>
      <c r="CB166" s="23">
        <f t="shared" si="1370"/>
        <v>0</v>
      </c>
      <c r="CC166" s="23">
        <f t="shared" si="1370"/>
        <v>0</v>
      </c>
      <c r="CD166" s="23">
        <f t="shared" si="1370"/>
        <v>0</v>
      </c>
      <c r="CE166" s="23">
        <f t="shared" si="1370"/>
        <v>0</v>
      </c>
      <c r="CF166" s="23">
        <f t="shared" ref="CF166:CG166" si="1372">CF165-CF129</f>
        <v>0</v>
      </c>
      <c r="CG166" s="23">
        <f t="shared" si="1372"/>
        <v>0</v>
      </c>
      <c r="CH166" s="23">
        <f t="shared" ref="CH166:CI166" si="1373">CH165-CH129</f>
        <v>0</v>
      </c>
      <c r="CI166" s="23">
        <f t="shared" si="1373"/>
        <v>0</v>
      </c>
      <c r="CJ166" s="23">
        <f t="shared" ref="CJ166:DB166" si="1374">CJ165-CJ129</f>
        <v>0</v>
      </c>
      <c r="CK166" s="23">
        <f t="shared" si="1374"/>
        <v>0</v>
      </c>
      <c r="CL166" s="23">
        <f t="shared" ref="CL166" si="1375">CL165-CL129</f>
        <v>0</v>
      </c>
      <c r="CM166" s="24">
        <f t="shared" si="1374"/>
        <v>0</v>
      </c>
      <c r="CN166" s="24">
        <f t="shared" si="1374"/>
        <v>0</v>
      </c>
      <c r="CO166" s="24">
        <f t="shared" si="1374"/>
        <v>0</v>
      </c>
      <c r="CP166" s="24">
        <f t="shared" si="1374"/>
        <v>0</v>
      </c>
      <c r="CQ166" s="24">
        <f t="shared" si="1374"/>
        <v>0</v>
      </c>
      <c r="CR166" s="24">
        <f t="shared" si="1374"/>
        <v>0</v>
      </c>
      <c r="CS166" s="24">
        <f t="shared" si="1374"/>
        <v>0</v>
      </c>
      <c r="CT166" s="24">
        <f t="shared" si="1374"/>
        <v>0</v>
      </c>
      <c r="CU166" s="24">
        <f t="shared" si="1374"/>
        <v>0</v>
      </c>
      <c r="CV166" s="24">
        <f t="shared" si="1374"/>
        <v>0</v>
      </c>
      <c r="CW166" s="24">
        <f t="shared" si="1374"/>
        <v>0</v>
      </c>
      <c r="CX166" s="24">
        <f t="shared" si="1374"/>
        <v>0</v>
      </c>
      <c r="CY166" s="24">
        <f t="shared" si="1374"/>
        <v>0</v>
      </c>
      <c r="CZ166" s="24">
        <f t="shared" si="1374"/>
        <v>0</v>
      </c>
      <c r="DA166" s="24">
        <f t="shared" si="1374"/>
        <v>0</v>
      </c>
      <c r="DB166" s="24">
        <f t="shared" si="1374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6">B128-B161</f>
        <v>0</v>
      </c>
      <c r="C168" s="22">
        <f t="shared" si="1376"/>
        <v>0</v>
      </c>
      <c r="D168" s="22">
        <f t="shared" si="1376"/>
        <v>0</v>
      </c>
      <c r="E168" s="22">
        <f t="shared" si="1376"/>
        <v>0</v>
      </c>
      <c r="F168" s="22">
        <f t="shared" si="1376"/>
        <v>0</v>
      </c>
      <c r="G168" s="22">
        <f t="shared" si="1376"/>
        <v>0</v>
      </c>
      <c r="H168" s="22">
        <f t="shared" si="1376"/>
        <v>0</v>
      </c>
      <c r="I168" s="22">
        <f t="shared" si="1376"/>
        <v>0</v>
      </c>
      <c r="J168" s="22">
        <f t="shared" si="1376"/>
        <v>0</v>
      </c>
      <c r="K168" s="22">
        <f t="shared" si="1376"/>
        <v>0</v>
      </c>
      <c r="L168" s="22">
        <f t="shared" si="1376"/>
        <v>0</v>
      </c>
      <c r="M168" s="22">
        <f t="shared" si="1376"/>
        <v>0</v>
      </c>
      <c r="N168" s="22">
        <f t="shared" si="1376"/>
        <v>-0.05</v>
      </c>
      <c r="O168" s="22">
        <f t="shared" si="1376"/>
        <v>19.189999999999998</v>
      </c>
      <c r="P168" s="22">
        <f t="shared" si="1376"/>
        <v>103.42800000000001</v>
      </c>
      <c r="Q168" s="22">
        <f t="shared" si="1376"/>
        <v>56.599999999999994</v>
      </c>
      <c r="R168" s="22">
        <f t="shared" si="1376"/>
        <v>-159.9</v>
      </c>
      <c r="S168" s="22">
        <f t="shared" si="1376"/>
        <v>-304.7</v>
      </c>
      <c r="T168" s="22">
        <f t="shared" si="1376"/>
        <v>-709.8</v>
      </c>
      <c r="U168" s="22">
        <f t="shared" si="1376"/>
        <v>-824.6</v>
      </c>
      <c r="V168" s="22">
        <f t="shared" si="1376"/>
        <v>-1747.6000000000001</v>
      </c>
      <c r="W168" s="22">
        <f t="shared" si="1376"/>
        <v>-2066</v>
      </c>
      <c r="X168" s="22">
        <f t="shared" ref="X168:Y168" si="1377">X128-X161</f>
        <v>-2798.7000000000003</v>
      </c>
      <c r="Y168" s="22">
        <f t="shared" si="1377"/>
        <v>-2684.1</v>
      </c>
      <c r="Z168" s="22">
        <f t="shared" ref="Z168:AA168" si="1378">Z128-Z161</f>
        <v>-2526.1</v>
      </c>
      <c r="AA168" s="22">
        <f t="shared" si="1378"/>
        <v>-3079.1</v>
      </c>
      <c r="AB168" s="21">
        <f t="shared" ref="AB168:AD168" si="1379">AB128-AB161</f>
        <v>-4606.2637047837861</v>
      </c>
      <c r="AC168" s="21">
        <f t="shared" si="1379"/>
        <v>-6315.729992313175</v>
      </c>
      <c r="AD168" s="21">
        <f t="shared" si="1379"/>
        <v>-8234.8424432767988</v>
      </c>
      <c r="AE168" s="21">
        <f t="shared" ref="AE168" si="1380">AE128-AE161</f>
        <v>-10385.551120855742</v>
      </c>
      <c r="AJ168" s="22">
        <f t="shared" ref="AJ168:AM168" si="1381">AJ128-AJ161</f>
        <v>0</v>
      </c>
      <c r="AK168" s="22" t="e">
        <f t="shared" si="1381"/>
        <v>#DIV/0!</v>
      </c>
      <c r="AL168" s="22">
        <f t="shared" si="1381"/>
        <v>0</v>
      </c>
      <c r="AM168" s="22" t="e">
        <f t="shared" si="1381"/>
        <v>#DIV/0!</v>
      </c>
      <c r="AN168" s="22">
        <f t="shared" ref="AN168:AO168" si="1382">AN128-AN161</f>
        <v>0</v>
      </c>
      <c r="AO168" s="22" t="e">
        <f t="shared" si="1382"/>
        <v>#DIV/0!</v>
      </c>
      <c r="AP168" s="22">
        <f t="shared" ref="AP168:CE168" si="1383">AP128-AP161</f>
        <v>0</v>
      </c>
      <c r="AQ168" s="22" t="e">
        <f t="shared" si="1383"/>
        <v>#DIV/0!</v>
      </c>
      <c r="AR168" s="22">
        <f t="shared" si="1383"/>
        <v>0</v>
      </c>
      <c r="AS168" s="22" t="e">
        <f t="shared" si="1383"/>
        <v>#DIV/0!</v>
      </c>
      <c r="AT168" s="22">
        <f t="shared" si="1383"/>
        <v>0</v>
      </c>
      <c r="AU168" s="22" t="e">
        <f t="shared" si="1383"/>
        <v>#DIV/0!</v>
      </c>
      <c r="AV168" s="22">
        <f t="shared" si="1383"/>
        <v>0</v>
      </c>
      <c r="AW168" s="22">
        <f t="shared" si="1383"/>
        <v>-130.80000000000004</v>
      </c>
      <c r="AX168" s="22">
        <f t="shared" si="1383"/>
        <v>56.599999999999994</v>
      </c>
      <c r="AY168" s="22">
        <f t="shared" si="1383"/>
        <v>-50.741489892687923</v>
      </c>
      <c r="AZ168" s="22">
        <f t="shared" si="1383"/>
        <v>-43.600000000000023</v>
      </c>
      <c r="BA168" s="22">
        <f t="shared" si="1383"/>
        <v>-160.07290628418605</v>
      </c>
      <c r="BB168" s="22">
        <f t="shared" si="1383"/>
        <v>-159.9</v>
      </c>
      <c r="BC168" s="22">
        <f t="shared" si="1383"/>
        <v>-250.97761910624175</v>
      </c>
      <c r="BD168" s="22">
        <f t="shared" si="1383"/>
        <v>-115.30000000000001</v>
      </c>
      <c r="BE168" s="22">
        <f t="shared" si="1383"/>
        <v>-194.2219742393961</v>
      </c>
      <c r="BF168" s="22">
        <f t="shared" si="1383"/>
        <v>-304.7</v>
      </c>
      <c r="BG168" s="22">
        <f t="shared" si="1383"/>
        <v>-430.02722791050445</v>
      </c>
      <c r="BH168" s="22">
        <f t="shared" si="1383"/>
        <v>-379.9</v>
      </c>
      <c r="BI168" s="22">
        <f t="shared" si="1383"/>
        <v>-528.59466866756156</v>
      </c>
      <c r="BJ168" s="22">
        <f t="shared" si="1383"/>
        <v>-709.8</v>
      </c>
      <c r="BK168" s="22">
        <f t="shared" si="1383"/>
        <v>-910.82891072891084</v>
      </c>
      <c r="BL168" s="22">
        <f t="shared" si="1383"/>
        <v>-424.8</v>
      </c>
      <c r="BM168" s="22">
        <f t="shared" si="1383"/>
        <v>-614.88696241352261</v>
      </c>
      <c r="BN168" s="22">
        <f t="shared" si="1383"/>
        <v>-824.6</v>
      </c>
      <c r="BO168" s="22">
        <f t="shared" si="1383"/>
        <v>-1066.0417254251349</v>
      </c>
      <c r="BP168" s="22">
        <f t="shared" si="1383"/>
        <v>-1271.5</v>
      </c>
      <c r="BQ168" s="22">
        <f t="shared" si="1383"/>
        <v>-1389.2996955396559</v>
      </c>
      <c r="BR168" s="22">
        <f t="shared" si="1383"/>
        <v>-1747.6000000000001</v>
      </c>
      <c r="BS168" s="22">
        <f t="shared" si="1383"/>
        <v>-1909.7540020826104</v>
      </c>
      <c r="BT168" s="22">
        <f t="shared" si="1383"/>
        <v>-1958.3000000000002</v>
      </c>
      <c r="BU168" s="22">
        <f t="shared" si="1383"/>
        <v>-2139.9373577159922</v>
      </c>
      <c r="BV168" s="22">
        <f t="shared" si="1383"/>
        <v>-2066</v>
      </c>
      <c r="BW168" s="22">
        <f t="shared" si="1383"/>
        <v>-2155.9007402767493</v>
      </c>
      <c r="BX168" s="22">
        <f t="shared" si="1383"/>
        <v>-2304.5</v>
      </c>
      <c r="BY168" s="22">
        <f t="shared" si="1383"/>
        <v>-2670.3749572687025</v>
      </c>
      <c r="BZ168" s="22">
        <f t="shared" si="1383"/>
        <v>-2798.7000000000003</v>
      </c>
      <c r="CA168" s="22">
        <f t="shared" si="1383"/>
        <v>-3136.5505610393998</v>
      </c>
      <c r="CB168" s="22">
        <f t="shared" si="1383"/>
        <v>-2109.5</v>
      </c>
      <c r="CC168" s="22">
        <f t="shared" si="1383"/>
        <v>-2424.2877728891681</v>
      </c>
      <c r="CD168" s="22">
        <f t="shared" si="1383"/>
        <v>-2684.1</v>
      </c>
      <c r="CE168" s="22">
        <f t="shared" si="1383"/>
        <v>-3020.6972965517239</v>
      </c>
      <c r="CF168" s="22">
        <f t="shared" ref="CF168:CG168" si="1384">CF128-CF161</f>
        <v>-2666.1</v>
      </c>
      <c r="CG168" s="22">
        <f t="shared" si="1384"/>
        <v>-2960.3160324925179</v>
      </c>
      <c r="CH168" s="22">
        <f t="shared" ref="CH168:CI168" si="1385">CH128-CH161</f>
        <v>-2526.1</v>
      </c>
      <c r="CI168" s="22">
        <f t="shared" si="1385"/>
        <v>-2835.6445143680339</v>
      </c>
      <c r="CJ168" s="22">
        <f t="shared" ref="CJ168:DB168" si="1386">CJ128-CJ161</f>
        <v>-2335.6999999999998</v>
      </c>
      <c r="CK168" s="22">
        <f t="shared" si="1386"/>
        <v>-2755.0251720087258</v>
      </c>
      <c r="CL168" s="22">
        <f t="shared" ref="CL168" si="1387">CL128-CL161</f>
        <v>-3079.1</v>
      </c>
      <c r="CM168" s="21">
        <f t="shared" si="1386"/>
        <v>-3358.4436528072047</v>
      </c>
      <c r="CN168" s="21">
        <f t="shared" si="1386"/>
        <v>-3732.2966057658227</v>
      </c>
      <c r="CO168" s="21">
        <f t="shared" si="1386"/>
        <v>-4176.7750702999165</v>
      </c>
      <c r="CP168" s="21">
        <f t="shared" si="1386"/>
        <v>-4606.2637047837861</v>
      </c>
      <c r="CQ168" s="21">
        <f t="shared" si="1386"/>
        <v>-4906.1580637441057</v>
      </c>
      <c r="CR168" s="21">
        <f t="shared" si="1386"/>
        <v>-5339.1151820010455</v>
      </c>
      <c r="CS168" s="21">
        <f t="shared" si="1386"/>
        <v>-5837.6036846019078</v>
      </c>
      <c r="CT168" s="21">
        <f t="shared" si="1386"/>
        <v>-6315.729992313175</v>
      </c>
      <c r="CU168" s="21">
        <f t="shared" si="1386"/>
        <v>-6655.5216834973116</v>
      </c>
      <c r="CV168" s="21">
        <f t="shared" si="1386"/>
        <v>-7143.8267799707291</v>
      </c>
      <c r="CW168" s="21">
        <f t="shared" si="1386"/>
        <v>-7700.3992011230312</v>
      </c>
      <c r="CX168" s="21">
        <f t="shared" si="1386"/>
        <v>-8234.8424432767988</v>
      </c>
      <c r="CY168" s="21">
        <f t="shared" si="1386"/>
        <v>-8620.8318910448961</v>
      </c>
      <c r="CZ168" s="21">
        <f t="shared" si="1386"/>
        <v>-9168.0033962075722</v>
      </c>
      <c r="DA168" s="21">
        <f t="shared" si="1386"/>
        <v>-9788.5794871644375</v>
      </c>
      <c r="DB168" s="21">
        <f t="shared" si="1386"/>
        <v>-10385.551120855742</v>
      </c>
      <c r="DE168" s="126"/>
      <c r="DF168" s="22">
        <v>-3079.1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0</v>
      </c>
      <c r="L170" s="49">
        <f>'Annual Raw'!M85</f>
        <v>0</v>
      </c>
      <c r="M170" s="49">
        <f>'Annual Raw'!N85</f>
        <v>0</v>
      </c>
      <c r="N170" s="49">
        <f>'Annual Raw'!O85</f>
        <v>0</v>
      </c>
      <c r="O170" s="49">
        <f>'Annual Raw'!P85</f>
        <v>0</v>
      </c>
      <c r="P170" s="49">
        <f>'Annual Raw'!Q85</f>
        <v>0</v>
      </c>
      <c r="Q170" s="49">
        <f>'Annual Raw'!R85</f>
        <v>109.3</v>
      </c>
      <c r="R170" s="49">
        <f>'Annual Raw'!S85</f>
        <v>107</v>
      </c>
      <c r="S170" s="49">
        <f>'Annual Raw'!T85</f>
        <v>112.8</v>
      </c>
      <c r="T170" s="49">
        <f>'Annual Raw'!U85</f>
        <v>119.6</v>
      </c>
      <c r="U170" s="49">
        <f>'Annual Raw'!V85</f>
        <v>130.9</v>
      </c>
      <c r="V170" s="49">
        <f>'Annual Raw'!W85</f>
        <v>120.6</v>
      </c>
      <c r="W170" s="49">
        <f>'Annual Raw'!X85</f>
        <v>125.1</v>
      </c>
      <c r="X170" s="49">
        <f>'Annual Raw'!Y85</f>
        <v>135.6</v>
      </c>
      <c r="Y170" s="49">
        <f>'Annual Raw'!Z85</f>
        <v>137.6</v>
      </c>
      <c r="Z170" s="49">
        <f>'Annual Raw'!AA85</f>
        <v>588.4</v>
      </c>
      <c r="AA170" s="49">
        <f>'Annual Raw'!AB85</f>
        <v>650.79999999999995</v>
      </c>
      <c r="AB170" s="50"/>
      <c r="AC170" s="50"/>
      <c r="AD170" s="50"/>
      <c r="AE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650.79999999999995</v>
      </c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109.3</v>
      </c>
      <c r="R171" s="29">
        <f>'Annual Raw'!S95</f>
        <v>107</v>
      </c>
      <c r="S171" s="29">
        <f>'Annual Raw'!T95</f>
        <v>112.8</v>
      </c>
      <c r="T171" s="29">
        <f>'Annual Raw'!U95</f>
        <v>119.6</v>
      </c>
      <c r="U171" s="29">
        <f>'Annual Raw'!V95</f>
        <v>130.9</v>
      </c>
      <c r="V171" s="29">
        <f>'Annual Raw'!W95</f>
        <v>120.6</v>
      </c>
      <c r="W171" s="29">
        <f>'Annual Raw'!X95</f>
        <v>125.1</v>
      </c>
      <c r="X171" s="29">
        <f>'Annual Raw'!Y95</f>
        <v>135.6</v>
      </c>
      <c r="Y171" s="29">
        <f>'Annual Raw'!Z95</f>
        <v>137.6</v>
      </c>
      <c r="Z171" s="29">
        <f>'Annual Raw'!AA95</f>
        <v>568.6</v>
      </c>
      <c r="AA171" s="29">
        <f>'Annual Raw'!AB95</f>
        <v>631</v>
      </c>
      <c r="AB171" s="30"/>
      <c r="AC171" s="30"/>
      <c r="AD171" s="30"/>
      <c r="AE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631</v>
      </c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0</v>
      </c>
      <c r="M172" s="29">
        <f>'Annual Raw'!N93</f>
        <v>0</v>
      </c>
      <c r="N172" s="29">
        <f>'Annual Raw'!O93</f>
        <v>0</v>
      </c>
      <c r="O172" s="29">
        <f>'Annual Raw'!P93</f>
        <v>0</v>
      </c>
      <c r="P172" s="29">
        <f>'Annual Raw'!Q93</f>
        <v>0</v>
      </c>
      <c r="Q172" s="29">
        <f>'Annual Raw'!R93</f>
        <v>0</v>
      </c>
      <c r="R172" s="29">
        <f>'Annual Raw'!S93</f>
        <v>0</v>
      </c>
      <c r="S172" s="29">
        <f>'Annual Raw'!T93</f>
        <v>0</v>
      </c>
      <c r="T172" s="29">
        <f>'Annual Raw'!U93</f>
        <v>0</v>
      </c>
      <c r="U172" s="29">
        <f>'Annual Raw'!V93</f>
        <v>0</v>
      </c>
      <c r="V172" s="29">
        <f>'Annual Raw'!W93</f>
        <v>0</v>
      </c>
      <c r="W172" s="29">
        <f>'Annual Raw'!X93</f>
        <v>0</v>
      </c>
      <c r="X172" s="29">
        <f>'Annual Raw'!Y93</f>
        <v>0</v>
      </c>
      <c r="Y172" s="29">
        <f>'Annual Raw'!Z93</f>
        <v>0</v>
      </c>
      <c r="Z172" s="29">
        <f>'Annual Raw'!AA93</f>
        <v>19.8</v>
      </c>
      <c r="AA172" s="29">
        <f>'Annual Raw'!AB93</f>
        <v>19.8</v>
      </c>
      <c r="AB172" s="30"/>
      <c r="AC172" s="30"/>
      <c r="AD172" s="30"/>
      <c r="AE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19.8</v>
      </c>
    </row>
    <row r="173" spans="1:110" s="29" customFormat="1" x14ac:dyDescent="0.2">
      <c r="A173" s="29" t="s">
        <v>84</v>
      </c>
      <c r="B173" s="29">
        <f t="shared" ref="B173:V173" si="1388">B170-B171-B172</f>
        <v>0</v>
      </c>
      <c r="C173" s="29">
        <f t="shared" si="1388"/>
        <v>0</v>
      </c>
      <c r="D173" s="29">
        <f t="shared" si="1388"/>
        <v>0</v>
      </c>
      <c r="E173" s="29">
        <f t="shared" si="1388"/>
        <v>0</v>
      </c>
      <c r="F173" s="29">
        <f t="shared" si="1388"/>
        <v>0</v>
      </c>
      <c r="G173" s="29">
        <f t="shared" si="1388"/>
        <v>0</v>
      </c>
      <c r="H173" s="29">
        <f t="shared" si="1388"/>
        <v>0</v>
      </c>
      <c r="I173" s="29">
        <f t="shared" si="1388"/>
        <v>0</v>
      </c>
      <c r="J173" s="29">
        <f t="shared" si="1388"/>
        <v>0</v>
      </c>
      <c r="K173" s="29">
        <f t="shared" si="1388"/>
        <v>0</v>
      </c>
      <c r="L173" s="29">
        <f t="shared" si="1388"/>
        <v>0</v>
      </c>
      <c r="M173" s="29">
        <f t="shared" si="1388"/>
        <v>0</v>
      </c>
      <c r="N173" s="29">
        <f t="shared" si="1388"/>
        <v>0</v>
      </c>
      <c r="O173" s="29">
        <f t="shared" si="1388"/>
        <v>0</v>
      </c>
      <c r="P173" s="29">
        <f t="shared" si="1388"/>
        <v>0</v>
      </c>
      <c r="Q173" s="29">
        <f t="shared" si="1388"/>
        <v>0</v>
      </c>
      <c r="R173" s="29">
        <f t="shared" si="1388"/>
        <v>0</v>
      </c>
      <c r="S173" s="29">
        <f t="shared" si="1388"/>
        <v>0</v>
      </c>
      <c r="T173" s="29">
        <f t="shared" si="1388"/>
        <v>0</v>
      </c>
      <c r="U173" s="29">
        <f t="shared" si="1388"/>
        <v>0</v>
      </c>
      <c r="V173" s="29">
        <f t="shared" si="1388"/>
        <v>0</v>
      </c>
      <c r="W173" s="29">
        <f t="shared" ref="W173" si="1389">W170-W171-W172</f>
        <v>0</v>
      </c>
      <c r="X173" s="29">
        <f t="shared" ref="X173:Y173" si="1390">X170-X171-X172</f>
        <v>0</v>
      </c>
      <c r="Y173" s="29">
        <f t="shared" si="1390"/>
        <v>0</v>
      </c>
      <c r="Z173" s="29">
        <f t="shared" ref="Z173:AA173" si="1391">Z170-Z171-Z172</f>
        <v>-4.6185277824406512E-14</v>
      </c>
      <c r="AA173" s="29">
        <f t="shared" si="1391"/>
        <v>-4.6185277824406512E-14</v>
      </c>
      <c r="AB173" s="30">
        <f t="shared" ref="AB173:AD173" si="1392">AB170-AB171-AB172</f>
        <v>0</v>
      </c>
      <c r="AC173" s="30">
        <f t="shared" si="1392"/>
        <v>0</v>
      </c>
      <c r="AD173" s="30">
        <f t="shared" si="1392"/>
        <v>0</v>
      </c>
      <c r="AE173" s="30">
        <f t="shared" ref="AE173" si="1393">AE170-AE171-AE172</f>
        <v>0</v>
      </c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-4.6185277824406512E-14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394">B170/B120</f>
        <v>#DIV/0!</v>
      </c>
      <c r="C175" s="95" t="e">
        <f t="shared" si="1394"/>
        <v>#DIV/0!</v>
      </c>
      <c r="D175" s="95" t="e">
        <f t="shared" si="1394"/>
        <v>#DIV/0!</v>
      </c>
      <c r="E175" s="95" t="e">
        <f t="shared" si="1394"/>
        <v>#DIV/0!</v>
      </c>
      <c r="F175" s="95" t="e">
        <f t="shared" si="1394"/>
        <v>#DIV/0!</v>
      </c>
      <c r="G175" s="95" t="e">
        <f t="shared" si="1394"/>
        <v>#DIV/0!</v>
      </c>
      <c r="H175" s="95" t="e">
        <f t="shared" si="1394"/>
        <v>#DIV/0!</v>
      </c>
      <c r="I175" s="95" t="e">
        <f t="shared" si="1394"/>
        <v>#DIV/0!</v>
      </c>
      <c r="J175" s="95" t="e">
        <f t="shared" si="1394"/>
        <v>#DIV/0!</v>
      </c>
      <c r="K175" s="95" t="e">
        <f t="shared" si="1394"/>
        <v>#DIV/0!</v>
      </c>
      <c r="L175" s="95" t="e">
        <f t="shared" si="1394"/>
        <v>#DIV/0!</v>
      </c>
      <c r="M175" s="95" t="e">
        <f t="shared" si="1394"/>
        <v>#DIV/0!</v>
      </c>
      <c r="N175" s="95">
        <f t="shared" si="1394"/>
        <v>0</v>
      </c>
      <c r="O175" s="95">
        <f t="shared" si="1394"/>
        <v>0</v>
      </c>
      <c r="P175" s="95">
        <f t="shared" si="1394"/>
        <v>0</v>
      </c>
      <c r="Q175" s="95">
        <f t="shared" si="1394"/>
        <v>0.10252321545821218</v>
      </c>
      <c r="R175" s="95">
        <f t="shared" si="1394"/>
        <v>7.2024771136241256E-2</v>
      </c>
      <c r="S175" s="95">
        <f t="shared" si="1394"/>
        <v>5.8252427184466021E-2</v>
      </c>
      <c r="T175" s="95">
        <f t="shared" si="1394"/>
        <v>4.8243314105925535E-2</v>
      </c>
      <c r="U175" s="95">
        <f t="shared" si="1394"/>
        <v>4.7280213826482696E-2</v>
      </c>
      <c r="V175" s="95">
        <f t="shared" si="1394"/>
        <v>3.4724021767297227E-2</v>
      </c>
      <c r="W175" s="95">
        <f t="shared" si="1394"/>
        <v>3.0054054054054053E-2</v>
      </c>
      <c r="X175" s="95">
        <f t="shared" ref="X175:Y175" si="1395">X170/X120</f>
        <v>3.057566123249679E-2</v>
      </c>
      <c r="Y175" s="95">
        <f t="shared" si="1395"/>
        <v>2.5830189033432822E-2</v>
      </c>
      <c r="Z175" s="95">
        <f t="shared" ref="Z175:AA175" si="1396">Z170/Z120</f>
        <v>9.6776315789473683E-2</v>
      </c>
      <c r="AA175" s="95">
        <f t="shared" si="1396"/>
        <v>0.10054536746643596</v>
      </c>
      <c r="AB175" s="87">
        <f t="shared" ref="AB175:AD175" si="1397">AB170/AB120</f>
        <v>0</v>
      </c>
      <c r="AC175" s="87">
        <f t="shared" si="1397"/>
        <v>0</v>
      </c>
      <c r="AD175" s="87">
        <f t="shared" si="1397"/>
        <v>0</v>
      </c>
      <c r="AE175" s="87">
        <f t="shared" ref="AE175" si="1398">AE170/AE120</f>
        <v>0</v>
      </c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0.10054536746643596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399">B144/B8*365</f>
        <v>#DIV/0!</v>
      </c>
      <c r="C179" s="67" t="e">
        <f t="shared" si="1399"/>
        <v>#DIV/0!</v>
      </c>
      <c r="D179" s="67" t="e">
        <f t="shared" si="1399"/>
        <v>#DIV/0!</v>
      </c>
      <c r="E179" s="67" t="e">
        <f t="shared" si="1399"/>
        <v>#DIV/0!</v>
      </c>
      <c r="F179" s="67" t="e">
        <f t="shared" si="1399"/>
        <v>#DIV/0!</v>
      </c>
      <c r="G179" s="67" t="e">
        <f t="shared" si="1399"/>
        <v>#DIV/0!</v>
      </c>
      <c r="H179" s="67" t="e">
        <f t="shared" si="1399"/>
        <v>#DIV/0!</v>
      </c>
      <c r="I179" s="67" t="e">
        <f t="shared" si="1399"/>
        <v>#DIV/0!</v>
      </c>
      <c r="J179" s="67" t="e">
        <f t="shared" si="1399"/>
        <v>#DIV/0!</v>
      </c>
      <c r="K179" s="67" t="e">
        <f t="shared" si="1399"/>
        <v>#DIV/0!</v>
      </c>
      <c r="L179" s="67" t="e">
        <f t="shared" si="1399"/>
        <v>#DIV/0!</v>
      </c>
      <c r="M179" s="67" t="e">
        <f t="shared" si="1399"/>
        <v>#DIV/0!</v>
      </c>
      <c r="N179" s="67" t="e">
        <f t="shared" si="1399"/>
        <v>#DIV/0!</v>
      </c>
      <c r="O179" s="67">
        <f t="shared" si="1399"/>
        <v>0</v>
      </c>
      <c r="P179" s="67">
        <f t="shared" si="1399"/>
        <v>0</v>
      </c>
      <c r="Q179" s="67">
        <f t="shared" si="1399"/>
        <v>0</v>
      </c>
      <c r="R179" s="67">
        <f t="shared" si="1399"/>
        <v>0</v>
      </c>
      <c r="S179" s="67">
        <f t="shared" si="1399"/>
        <v>0</v>
      </c>
      <c r="T179" s="67">
        <f t="shared" si="1399"/>
        <v>0</v>
      </c>
      <c r="U179" s="67">
        <f t="shared" si="1399"/>
        <v>0</v>
      </c>
      <c r="V179" s="67">
        <f t="shared" si="1399"/>
        <v>0</v>
      </c>
      <c r="W179" s="67">
        <f t="shared" si="1399"/>
        <v>0</v>
      </c>
      <c r="X179" s="67">
        <f t="shared" si="1399"/>
        <v>6.6246951392433778E-2</v>
      </c>
      <c r="Y179" s="67">
        <f t="shared" si="1399"/>
        <v>0.12485358597742374</v>
      </c>
      <c r="Z179" s="67">
        <f t="shared" si="1399"/>
        <v>0.1476322830889216</v>
      </c>
      <c r="AA179" s="67">
        <f t="shared" ref="AA179" si="1400">AA144/AA8*365</f>
        <v>0.192526305259233</v>
      </c>
      <c r="AB179" s="18">
        <f t="shared" si="1399"/>
        <v>0.17929433368817183</v>
      </c>
      <c r="AC179" s="18">
        <f t="shared" si="1399"/>
        <v>0.17890998009486</v>
      </c>
      <c r="AD179" s="18">
        <f t="shared" si="1399"/>
        <v>0.17886809658929645</v>
      </c>
      <c r="AE179" s="18">
        <f t="shared" si="1399"/>
        <v>0.17886580520009887</v>
      </c>
      <c r="AI179" s="67" t="e">
        <f>AJ144/AI8*90</f>
        <v>#DIV/0!</v>
      </c>
      <c r="AJ179" s="67" t="e">
        <f>AJ144/AJ8*90</f>
        <v>#DIV/0!</v>
      </c>
      <c r="AK179" s="67" t="e">
        <f t="shared" ref="AK179:CE179" si="1401">+AJ179</f>
        <v>#DIV/0!</v>
      </c>
      <c r="AL179" s="67" t="e">
        <f>AL144/AL8*90</f>
        <v>#DIV/0!</v>
      </c>
      <c r="AM179" s="67" t="e">
        <f t="shared" ref="AM179:AM180" si="1402">+AL179</f>
        <v>#DIV/0!</v>
      </c>
      <c r="AN179" s="67" t="e">
        <f>AN144/AN8*90</f>
        <v>#DIV/0!</v>
      </c>
      <c r="AO179" s="67" t="e">
        <f t="shared" ref="AO179:AO180" si="1403">+AN179</f>
        <v>#DIV/0!</v>
      </c>
      <c r="AP179" s="67" t="e">
        <f>AP144/AP8*90</f>
        <v>#DIV/0!</v>
      </c>
      <c r="AQ179" s="67" t="e">
        <f t="shared" ref="AQ179:AQ180" si="1404">+AP179</f>
        <v>#DIV/0!</v>
      </c>
      <c r="AR179" s="67" t="e">
        <f>AR144/AR8*90</f>
        <v>#DIV/0!</v>
      </c>
      <c r="AS179" s="67" t="e">
        <f t="shared" ref="AS179:AS180" si="1405">+AR179</f>
        <v>#DIV/0!</v>
      </c>
      <c r="AT179" s="67" t="e">
        <f>AT144/AT8*90</f>
        <v>#DIV/0!</v>
      </c>
      <c r="AU179" s="67" t="e">
        <f t="shared" ref="AU179:AU180" si="1406">+AT179</f>
        <v>#DIV/0!</v>
      </c>
      <c r="AV179" s="67">
        <f>AV144/AV8*90</f>
        <v>0</v>
      </c>
      <c r="AW179" s="67">
        <f t="shared" ref="AW179:AW180" si="1407">+AV179</f>
        <v>0</v>
      </c>
      <c r="AX179" s="67">
        <f>AX144/AX8*90</f>
        <v>0</v>
      </c>
      <c r="AY179" s="67">
        <f t="shared" ref="AY179:AY180" si="1408">+AX179</f>
        <v>0</v>
      </c>
      <c r="AZ179" s="67">
        <f>AZ144/AZ8*90</f>
        <v>0</v>
      </c>
      <c r="BA179" s="67">
        <f t="shared" ref="BA179:BA180" si="1409">+AZ179</f>
        <v>0</v>
      </c>
      <c r="BB179" s="67">
        <f>BB144/BB8*90</f>
        <v>0</v>
      </c>
      <c r="BC179" s="67">
        <f t="shared" ref="BC179:BC180" si="1410">+BB179</f>
        <v>0</v>
      </c>
      <c r="BD179" s="67">
        <f>BD144/BD8*90</f>
        <v>0</v>
      </c>
      <c r="BE179" s="67">
        <f t="shared" ref="BE179:BE180" si="1411">+BD179</f>
        <v>0</v>
      </c>
      <c r="BF179" s="67">
        <f>BF144/BF8*90</f>
        <v>0</v>
      </c>
      <c r="BG179" s="67">
        <f t="shared" ref="BG179:BG180" si="1412">+BF179</f>
        <v>0</v>
      </c>
      <c r="BH179" s="67">
        <f>BH144/BH8*90</f>
        <v>0</v>
      </c>
      <c r="BI179" s="67">
        <f t="shared" ref="BI179:BI180" si="1413">+BH179</f>
        <v>0</v>
      </c>
      <c r="BJ179" s="67">
        <f>BJ144/BJ8*90</f>
        <v>0</v>
      </c>
      <c r="BK179" s="67">
        <f t="shared" ref="BK179:BK180" si="1414">+BJ179</f>
        <v>0</v>
      </c>
      <c r="BL179" s="67">
        <f>BL144/BL8*90</f>
        <v>0</v>
      </c>
      <c r="BM179" s="67">
        <f t="shared" ref="BM179:BM180" si="1415">+BL179</f>
        <v>0</v>
      </c>
      <c r="BN179" s="67">
        <f>BN144/BN8*90</f>
        <v>0</v>
      </c>
      <c r="BO179" s="67">
        <f t="shared" ref="BO179:BO180" si="1416">+BN179</f>
        <v>0</v>
      </c>
      <c r="BP179" s="67">
        <f>BP144/BP8*90</f>
        <v>0</v>
      </c>
      <c r="BQ179" s="67">
        <f t="shared" ref="BQ179:BQ180" si="1417">+BP179</f>
        <v>0</v>
      </c>
      <c r="BR179" s="67">
        <f>BR144/BR8*90</f>
        <v>0</v>
      </c>
      <c r="BS179" s="67">
        <f t="shared" ref="BS179:BS180" si="1418">+BR179</f>
        <v>0</v>
      </c>
      <c r="BT179" s="67">
        <f>BT144/BT8*90</f>
        <v>0</v>
      </c>
      <c r="BU179" s="67">
        <f t="shared" ref="BU179:BU180" si="1419">+BT179</f>
        <v>0</v>
      </c>
      <c r="BV179" s="67">
        <f>BV144/BV8*90</f>
        <v>0</v>
      </c>
      <c r="BW179" s="67">
        <f t="shared" ref="BW179:BW180" si="1420">+BV179</f>
        <v>0</v>
      </c>
      <c r="BX179" s="67">
        <f>BX144/BX8*90</f>
        <v>0</v>
      </c>
      <c r="BY179" s="67">
        <f t="shared" ref="BY179:BY180" si="1421">+BX179</f>
        <v>0</v>
      </c>
      <c r="BZ179" s="67">
        <f>BZ144/BZ8*90</f>
        <v>6.0744115413819293E-2</v>
      </c>
      <c r="CA179" s="67">
        <f t="shared" ref="CA179:CA180" si="1422">+BZ179</f>
        <v>6.0744115413819293E-2</v>
      </c>
      <c r="CB179" s="67">
        <f>CB144/CB8*90</f>
        <v>9.0509113764927721E-2</v>
      </c>
      <c r="CC179" s="67">
        <f t="shared" ref="CC179:CC180" si="1423">+CB179</f>
        <v>9.0509113764927721E-2</v>
      </c>
      <c r="CD179" s="67">
        <f>CD144/CD8*90</f>
        <v>0.11704433497536947</v>
      </c>
      <c r="CE179" s="67">
        <f t="shared" si="1401"/>
        <v>0.11704433497536947</v>
      </c>
      <c r="CF179" s="67">
        <f>CF144/CF8*90</f>
        <v>0.22736989389404952</v>
      </c>
      <c r="CG179" s="67">
        <f t="shared" ref="CG179:CI180" si="1424">+CF179</f>
        <v>0.22736989389404952</v>
      </c>
      <c r="CH179" s="67">
        <f>CH144/CH8*90</f>
        <v>0.1330654333156418</v>
      </c>
      <c r="CI179" s="67">
        <f t="shared" si="1424"/>
        <v>0.1330654333156418</v>
      </c>
      <c r="CJ179" s="67">
        <f>CJ144/CJ8*90</f>
        <v>0.28394025843262294</v>
      </c>
      <c r="CK179" s="67">
        <f t="shared" ref="CK179:CK180" si="1425">+CJ179</f>
        <v>0.28394025843262294</v>
      </c>
      <c r="CL179" s="67">
        <f>CL144/CL8*90</f>
        <v>0.18265159732670841</v>
      </c>
      <c r="CM179" s="30">
        <f t="shared" ref="CM179:CM180" si="1426">+CL179</f>
        <v>0.18265159732670841</v>
      </c>
      <c r="CN179" s="30">
        <f t="shared" ref="CN179:CN180" si="1427">+CM179</f>
        <v>0.18265159732670841</v>
      </c>
      <c r="CO179" s="30">
        <f t="shared" ref="CO179:CO180" si="1428">+CN179</f>
        <v>0.18265159732670841</v>
      </c>
      <c r="CP179" s="30">
        <f t="shared" ref="CP179:CP180" si="1429">+CO179</f>
        <v>0.18265159732670841</v>
      </c>
      <c r="CQ179" s="30">
        <f t="shared" ref="CQ179:CQ180" si="1430">+CP179</f>
        <v>0.18265159732670841</v>
      </c>
      <c r="CR179" s="30">
        <f t="shared" ref="CR179:CR180" si="1431">+CQ179</f>
        <v>0.18265159732670841</v>
      </c>
      <c r="CS179" s="30">
        <f t="shared" ref="CS179:CS180" si="1432">+CR179</f>
        <v>0.18265159732670841</v>
      </c>
      <c r="CT179" s="30">
        <f t="shared" ref="CT179:CT180" si="1433">+CS179</f>
        <v>0.18265159732670841</v>
      </c>
      <c r="CU179" s="30">
        <f t="shared" ref="CU179:CU180" si="1434">+CT179</f>
        <v>0.18265159732670841</v>
      </c>
      <c r="CV179" s="30">
        <f t="shared" ref="CV179:CV180" si="1435">+CU179</f>
        <v>0.18265159732670841</v>
      </c>
      <c r="CW179" s="30">
        <f t="shared" ref="CW179:CW180" si="1436">+CV179</f>
        <v>0.18265159732670841</v>
      </c>
      <c r="CX179" s="30">
        <f t="shared" ref="CX179:CX180" si="1437">+CW179</f>
        <v>0.18265159732670841</v>
      </c>
      <c r="CY179" s="30">
        <f t="shared" ref="CY179:CY180" si="1438">+CX179</f>
        <v>0.18265159732670841</v>
      </c>
      <c r="CZ179" s="30">
        <f t="shared" ref="CZ179:CZ180" si="1439">+CY179</f>
        <v>0.18265159732670841</v>
      </c>
      <c r="DA179" s="30">
        <f t="shared" ref="DA179:DA180" si="1440">+CZ179</f>
        <v>0.18265159732670841</v>
      </c>
      <c r="DB179" s="30">
        <f t="shared" ref="DB179:DB180" si="1441">+DA179</f>
        <v>0.18265159732670841</v>
      </c>
      <c r="DE179" s="139"/>
      <c r="DF179" s="62">
        <v>0.192526305259233</v>
      </c>
    </row>
    <row r="180" spans="1:110" s="62" customFormat="1" outlineLevel="1" x14ac:dyDescent="0.2">
      <c r="A180" s="68" t="s">
        <v>465</v>
      </c>
      <c r="B180" s="67" t="e">
        <f t="shared" ref="B180:AE180" si="1442">B145/B8*365</f>
        <v>#DIV/0!</v>
      </c>
      <c r="C180" s="67" t="e">
        <f t="shared" si="1442"/>
        <v>#DIV/0!</v>
      </c>
      <c r="D180" s="67" t="e">
        <f t="shared" si="1442"/>
        <v>#DIV/0!</v>
      </c>
      <c r="E180" s="67" t="e">
        <f t="shared" si="1442"/>
        <v>#DIV/0!</v>
      </c>
      <c r="F180" s="67" t="e">
        <f t="shared" si="1442"/>
        <v>#DIV/0!</v>
      </c>
      <c r="G180" s="67" t="e">
        <f t="shared" si="1442"/>
        <v>#DIV/0!</v>
      </c>
      <c r="H180" s="67" t="e">
        <f t="shared" si="1442"/>
        <v>#DIV/0!</v>
      </c>
      <c r="I180" s="67" t="e">
        <f t="shared" si="1442"/>
        <v>#DIV/0!</v>
      </c>
      <c r="J180" s="67" t="e">
        <f t="shared" si="1442"/>
        <v>#DIV/0!</v>
      </c>
      <c r="K180" s="67" t="e">
        <f t="shared" si="1442"/>
        <v>#DIV/0!</v>
      </c>
      <c r="L180" s="67" t="e">
        <f t="shared" si="1442"/>
        <v>#DIV/0!</v>
      </c>
      <c r="M180" s="67" t="e">
        <f t="shared" si="1442"/>
        <v>#DIV/0!</v>
      </c>
      <c r="N180" s="67" t="e">
        <f t="shared" si="1442"/>
        <v>#DIV/0!</v>
      </c>
      <c r="O180" s="67">
        <f t="shared" si="1442"/>
        <v>433.90940794166596</v>
      </c>
      <c r="P180" s="67">
        <f t="shared" si="1442"/>
        <v>95.522495185454062</v>
      </c>
      <c r="Q180" s="67">
        <f t="shared" si="1442"/>
        <v>86.41102993933859</v>
      </c>
      <c r="R180" s="67">
        <f t="shared" si="1442"/>
        <v>79.847612597358619</v>
      </c>
      <c r="S180" s="67">
        <f t="shared" si="1442"/>
        <v>93.736356115395907</v>
      </c>
      <c r="T180" s="67">
        <f t="shared" si="1442"/>
        <v>76.495973061851402</v>
      </c>
      <c r="U180" s="67">
        <f t="shared" si="1442"/>
        <v>89.686159705290876</v>
      </c>
      <c r="V180" s="67">
        <f t="shared" si="1442"/>
        <v>82.68877185900142</v>
      </c>
      <c r="W180" s="67">
        <f t="shared" si="1442"/>
        <v>94.220968994018008</v>
      </c>
      <c r="X180" s="67">
        <f t="shared" si="1442"/>
        <v>89.089728319437341</v>
      </c>
      <c r="Y180" s="67">
        <f t="shared" si="1442"/>
        <v>82.490385911083948</v>
      </c>
      <c r="Z180" s="67">
        <f t="shared" si="1442"/>
        <v>95.11304474082678</v>
      </c>
      <c r="AA180" s="67">
        <f t="shared" ref="AA180" si="1443">AA145/AA8*365</f>
        <v>66.873016306077716</v>
      </c>
      <c r="AB180" s="18">
        <f t="shared" si="1442"/>
        <v>62.276959422101896</v>
      </c>
      <c r="AC180" s="18">
        <f t="shared" si="1442"/>
        <v>62.143456189500839</v>
      </c>
      <c r="AD180" s="18">
        <f t="shared" si="1442"/>
        <v>62.128908170482191</v>
      </c>
      <c r="AE180" s="18">
        <f t="shared" si="1442"/>
        <v>62.128112268296412</v>
      </c>
      <c r="AI180" s="67" t="e">
        <f>AJ145/AI8*90</f>
        <v>#DIV/0!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402"/>
        <v>#DIV/0!</v>
      </c>
      <c r="AN180" s="67" t="e">
        <f>AN145/AN8*90</f>
        <v>#DIV/0!</v>
      </c>
      <c r="AO180" s="67" t="e">
        <f t="shared" si="1403"/>
        <v>#DIV/0!</v>
      </c>
      <c r="AP180" s="67" t="e">
        <f>AP145/AP8*90</f>
        <v>#DIV/0!</v>
      </c>
      <c r="AQ180" s="67" t="e">
        <f t="shared" si="1404"/>
        <v>#DIV/0!</v>
      </c>
      <c r="AR180" s="67" t="e">
        <f>AR145/AR8*90</f>
        <v>#DIV/0!</v>
      </c>
      <c r="AS180" s="67" t="e">
        <f t="shared" si="1405"/>
        <v>#DIV/0!</v>
      </c>
      <c r="AT180" s="67" t="e">
        <f>AT145/AT8*90</f>
        <v>#DIV/0!</v>
      </c>
      <c r="AU180" s="67" t="e">
        <f t="shared" si="1406"/>
        <v>#DIV/0!</v>
      </c>
      <c r="AV180" s="67">
        <f>AV145/AV8*90</f>
        <v>0</v>
      </c>
      <c r="AW180" s="67">
        <f t="shared" si="1407"/>
        <v>0</v>
      </c>
      <c r="AX180" s="67">
        <f>AX145/AX8*90</f>
        <v>81.521088095832297</v>
      </c>
      <c r="AY180" s="67">
        <f t="shared" si="1408"/>
        <v>81.521088095832297</v>
      </c>
      <c r="AZ180" s="67">
        <f>AZ145/AZ8*90</f>
        <v>76.139540537255371</v>
      </c>
      <c r="BA180" s="67">
        <f t="shared" si="1409"/>
        <v>76.139540537255371</v>
      </c>
      <c r="BB180" s="67">
        <f>BB145/BB8*90</f>
        <v>78.731995568139851</v>
      </c>
      <c r="BC180" s="67">
        <f t="shared" si="1410"/>
        <v>78.731995568139851</v>
      </c>
      <c r="BD180" s="67">
        <f>BD145/BD8*90</f>
        <v>80.526315789473671</v>
      </c>
      <c r="BE180" s="67">
        <f t="shared" si="1411"/>
        <v>80.526315789473671</v>
      </c>
      <c r="BF180" s="67">
        <f>BF145/BF8*90</f>
        <v>82.107508532423211</v>
      </c>
      <c r="BG180" s="67">
        <f t="shared" si="1412"/>
        <v>82.107508532423211</v>
      </c>
      <c r="BH180" s="67">
        <f>BH145/BH8*90</f>
        <v>80.012637232446096</v>
      </c>
      <c r="BI180" s="67">
        <f t="shared" si="1413"/>
        <v>80.012637232446096</v>
      </c>
      <c r="BJ180" s="67">
        <f>BJ145/BJ8*90</f>
        <v>71.31784677239223</v>
      </c>
      <c r="BK180" s="67">
        <f t="shared" si="1414"/>
        <v>71.31784677239223</v>
      </c>
      <c r="BL180" s="67">
        <f>BL145/BL8*90</f>
        <v>72.887097924541763</v>
      </c>
      <c r="BM180" s="67">
        <f t="shared" si="1415"/>
        <v>72.887097924541763</v>
      </c>
      <c r="BN180" s="67">
        <f>BN145/BN8*90</f>
        <v>85.900041476565747</v>
      </c>
      <c r="BO180" s="67">
        <f t="shared" si="1416"/>
        <v>85.900041476565747</v>
      </c>
      <c r="BP180" s="67">
        <f>BP145/BP8*90</f>
        <v>81.265793880347076</v>
      </c>
      <c r="BQ180" s="67">
        <f t="shared" si="1417"/>
        <v>81.265793880347076</v>
      </c>
      <c r="BR180" s="67">
        <f>BR145/BR8*90</f>
        <v>77.135716765012148</v>
      </c>
      <c r="BS180" s="67">
        <f t="shared" si="1418"/>
        <v>77.135716765012148</v>
      </c>
      <c r="BT180" s="67">
        <f>BT145/BT8*90</f>
        <v>83.383093860794929</v>
      </c>
      <c r="BU180" s="67">
        <f t="shared" si="1419"/>
        <v>83.383093860794929</v>
      </c>
      <c r="BV180" s="67">
        <f>BV145/BV8*90</f>
        <v>86.914754285063509</v>
      </c>
      <c r="BW180" s="67">
        <f t="shared" si="1420"/>
        <v>86.914754285063509</v>
      </c>
      <c r="BX180" s="67">
        <f>BX145/BX8*90</f>
        <v>65.335495463908501</v>
      </c>
      <c r="BY180" s="67">
        <f t="shared" si="1421"/>
        <v>65.335495463908501</v>
      </c>
      <c r="BZ180" s="67">
        <f>BZ145/BZ8*90</f>
        <v>81.689445709946853</v>
      </c>
      <c r="CA180" s="67">
        <f t="shared" si="1422"/>
        <v>81.689445709946853</v>
      </c>
      <c r="CB180" s="67">
        <f>CB145/CB8*90</f>
        <v>102.8975487115022</v>
      </c>
      <c r="CC180" s="67">
        <f t="shared" si="1423"/>
        <v>102.8975487115022</v>
      </c>
      <c r="CD180" s="67">
        <f>CD145/CD8*90</f>
        <v>77.330837438423657</v>
      </c>
      <c r="CE180" s="114">
        <f t="shared" ref="CE180" si="1444">+CD180</f>
        <v>77.330837438423657</v>
      </c>
      <c r="CF180" s="67">
        <f>CF145/CF8*90</f>
        <v>80.765284309533982</v>
      </c>
      <c r="CG180" s="67">
        <f t="shared" si="1424"/>
        <v>80.765284309533982</v>
      </c>
      <c r="CH180" s="67">
        <f>CH145/CH8*90</f>
        <v>85.728258397149133</v>
      </c>
      <c r="CI180" s="67">
        <f t="shared" si="1424"/>
        <v>85.728258397149133</v>
      </c>
      <c r="CJ180" s="67">
        <f>CJ145/CJ8*90</f>
        <v>79.917100184594716</v>
      </c>
      <c r="CK180" s="67">
        <f t="shared" si="1425"/>
        <v>79.917100184594716</v>
      </c>
      <c r="CL180" s="67">
        <f>CL145/CL8*90</f>
        <v>63.44308758179082</v>
      </c>
      <c r="CM180" s="30">
        <f t="shared" si="1426"/>
        <v>63.44308758179082</v>
      </c>
      <c r="CN180" s="30">
        <f t="shared" si="1427"/>
        <v>63.44308758179082</v>
      </c>
      <c r="CO180" s="30">
        <f t="shared" si="1428"/>
        <v>63.44308758179082</v>
      </c>
      <c r="CP180" s="30">
        <f t="shared" si="1429"/>
        <v>63.44308758179082</v>
      </c>
      <c r="CQ180" s="30">
        <f t="shared" si="1430"/>
        <v>63.44308758179082</v>
      </c>
      <c r="CR180" s="30">
        <f t="shared" si="1431"/>
        <v>63.44308758179082</v>
      </c>
      <c r="CS180" s="30">
        <f t="shared" si="1432"/>
        <v>63.44308758179082</v>
      </c>
      <c r="CT180" s="30">
        <f t="shared" si="1433"/>
        <v>63.44308758179082</v>
      </c>
      <c r="CU180" s="30">
        <f t="shared" si="1434"/>
        <v>63.44308758179082</v>
      </c>
      <c r="CV180" s="30">
        <f t="shared" si="1435"/>
        <v>63.44308758179082</v>
      </c>
      <c r="CW180" s="30">
        <f t="shared" si="1436"/>
        <v>63.44308758179082</v>
      </c>
      <c r="CX180" s="30">
        <f t="shared" si="1437"/>
        <v>63.44308758179082</v>
      </c>
      <c r="CY180" s="30">
        <f t="shared" si="1438"/>
        <v>63.44308758179082</v>
      </c>
      <c r="CZ180" s="30">
        <f t="shared" si="1439"/>
        <v>63.44308758179082</v>
      </c>
      <c r="DA180" s="30">
        <f t="shared" si="1440"/>
        <v>63.44308758179082</v>
      </c>
      <c r="DB180" s="30">
        <f t="shared" si="1441"/>
        <v>63.44308758179082</v>
      </c>
      <c r="DE180" s="139"/>
      <c r="DF180" s="62">
        <v>66.873016306077716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45">C182-C180-C179</f>
        <v>#DIV/0!</v>
      </c>
      <c r="D181" s="67" t="e">
        <f t="shared" si="1445"/>
        <v>#DIV/0!</v>
      </c>
      <c r="E181" s="67" t="e">
        <f t="shared" si="1445"/>
        <v>#DIV/0!</v>
      </c>
      <c r="F181" s="67" t="e">
        <f t="shared" si="1445"/>
        <v>#DIV/0!</v>
      </c>
      <c r="G181" s="67" t="e">
        <f t="shared" si="1445"/>
        <v>#DIV/0!</v>
      </c>
      <c r="H181" s="67" t="e">
        <f t="shared" si="1445"/>
        <v>#DIV/0!</v>
      </c>
      <c r="I181" s="67" t="e">
        <f t="shared" si="1445"/>
        <v>#DIV/0!</v>
      </c>
      <c r="J181" s="67" t="e">
        <f t="shared" si="1445"/>
        <v>#DIV/0!</v>
      </c>
      <c r="K181" s="67" t="e">
        <f t="shared" si="1445"/>
        <v>#DIV/0!</v>
      </c>
      <c r="L181" s="67" t="e">
        <f t="shared" si="1445"/>
        <v>#DIV/0!</v>
      </c>
      <c r="M181" s="67" t="e">
        <f t="shared" si="1445"/>
        <v>#DIV/0!</v>
      </c>
      <c r="N181" s="67" t="e">
        <f t="shared" si="1445"/>
        <v>#DIV/0!</v>
      </c>
      <c r="O181" s="67">
        <f t="shared" si="1445"/>
        <v>152.50328921296665</v>
      </c>
      <c r="P181" s="67">
        <f t="shared" si="1445"/>
        <v>56.779592893527791</v>
      </c>
      <c r="Q181" s="67">
        <f t="shared" si="1445"/>
        <v>55.877307416345957</v>
      </c>
      <c r="R181" s="67">
        <f t="shared" si="1445"/>
        <v>68.644675676507688</v>
      </c>
      <c r="S181" s="67">
        <f t="shared" si="1445"/>
        <v>61.484347895706023</v>
      </c>
      <c r="T181" s="67">
        <f t="shared" si="1445"/>
        <v>52.281472146190652</v>
      </c>
      <c r="U181" s="67">
        <f t="shared" si="1445"/>
        <v>53.485611574807351</v>
      </c>
      <c r="V181" s="67">
        <f>V182-V180-V179</f>
        <v>52.891076573022346</v>
      </c>
      <c r="W181" s="67">
        <f t="shared" ref="W181" si="1446">W182-W180-W179</f>
        <v>52.035709393122957</v>
      </c>
      <c r="X181" s="67">
        <f t="shared" ref="X181:Y181" si="1447">X182-X180-X179</f>
        <v>72.337530486075678</v>
      </c>
      <c r="Y181" s="67">
        <f t="shared" si="1447"/>
        <v>67.74631243975</v>
      </c>
      <c r="Z181" s="67">
        <f t="shared" ref="Z181:AA181" si="1448">Z182-Z180-Z179</f>
        <v>74.281751052664291</v>
      </c>
      <c r="AA181" s="67">
        <f t="shared" si="1448"/>
        <v>85.269236715503041</v>
      </c>
      <c r="AB181" s="18">
        <f t="shared" ref="AB181:AD181" si="1449">AB182-AB180-AB179</f>
        <v>94.899254308503259</v>
      </c>
      <c r="AC181" s="18">
        <f t="shared" si="1449"/>
        <v>94.695818602277754</v>
      </c>
      <c r="AD181" s="18">
        <f t="shared" si="1449"/>
        <v>94.673649951634701</v>
      </c>
      <c r="AE181" s="18">
        <f t="shared" ref="AE181" si="1450">AE182-AE180-AE179</f>
        <v>94.672437135135112</v>
      </c>
      <c r="AI181" s="67" t="e">
        <f t="shared" ref="AI181:AK181" si="1451">AI182-AI180-AI179</f>
        <v>#DIV/0!</v>
      </c>
      <c r="AJ181" s="67" t="e">
        <f t="shared" ref="AJ181:AM181" si="1452">AJ182-AJ180-AJ179</f>
        <v>#DIV/0!</v>
      </c>
      <c r="AK181" s="67" t="e">
        <f t="shared" si="1451"/>
        <v>#DIV/0!</v>
      </c>
      <c r="AL181" s="67" t="e">
        <f t="shared" si="1452"/>
        <v>#DIV/0!</v>
      </c>
      <c r="AM181" s="67" t="e">
        <f t="shared" si="1452"/>
        <v>#DIV/0!</v>
      </c>
      <c r="AN181" s="67" t="e">
        <f t="shared" ref="AN181:AY181" si="1453">AN182-AN180-AN179</f>
        <v>#DIV/0!</v>
      </c>
      <c r="AO181" s="67" t="e">
        <f t="shared" si="1453"/>
        <v>#DIV/0!</v>
      </c>
      <c r="AP181" s="67" t="e">
        <f t="shared" si="1453"/>
        <v>#DIV/0!</v>
      </c>
      <c r="AQ181" s="67" t="e">
        <f t="shared" si="1453"/>
        <v>#DIV/0!</v>
      </c>
      <c r="AR181" s="67" t="e">
        <f t="shared" si="1453"/>
        <v>#DIV/0!</v>
      </c>
      <c r="AS181" s="67" t="e">
        <f t="shared" si="1453"/>
        <v>#DIV/0!</v>
      </c>
      <c r="AT181" s="67" t="e">
        <f t="shared" si="1453"/>
        <v>#DIV/0!</v>
      </c>
      <c r="AU181" s="67" t="e">
        <f t="shared" si="1453"/>
        <v>#DIV/0!</v>
      </c>
      <c r="AV181" s="67">
        <f t="shared" si="1453"/>
        <v>0</v>
      </c>
      <c r="AW181" s="67">
        <f t="shared" si="1453"/>
        <v>0</v>
      </c>
      <c r="AX181" s="67">
        <f t="shared" si="1453"/>
        <v>37.767656600948342</v>
      </c>
      <c r="AY181" s="67">
        <f t="shared" si="1453"/>
        <v>37.697098019678677</v>
      </c>
      <c r="AZ181" s="67">
        <f t="shared" ref="AZ181:BC181" si="1454">AZ182-AZ180-AZ179</f>
        <v>40.749969612252343</v>
      </c>
      <c r="BA181" s="67">
        <f t="shared" si="1454"/>
        <v>41.368460019743353</v>
      </c>
      <c r="BB181" s="67">
        <f t="shared" si="1454"/>
        <v>67.685584143789256</v>
      </c>
      <c r="BC181" s="67">
        <f t="shared" si="1454"/>
        <v>66.838074398249447</v>
      </c>
      <c r="BD181" s="67">
        <f t="shared" ref="BD181:CE181" si="1455">BD182-BD180-BD179</f>
        <v>62.668221185876092</v>
      </c>
      <c r="BE181" s="67">
        <f t="shared" si="1455"/>
        <v>58.238571870807959</v>
      </c>
      <c r="BF181" s="67">
        <f t="shared" si="1455"/>
        <v>53.856655290102381</v>
      </c>
      <c r="BG181" s="67">
        <f t="shared" si="1455"/>
        <v>49.303940288144403</v>
      </c>
      <c r="BH181" s="67">
        <f t="shared" si="1455"/>
        <v>42.878129689597955</v>
      </c>
      <c r="BI181" s="67">
        <f t="shared" si="1455"/>
        <v>41.22408687068112</v>
      </c>
      <c r="BJ181" s="67">
        <f t="shared" si="1455"/>
        <v>48.742461469734195</v>
      </c>
      <c r="BK181" s="67">
        <f t="shared" si="1455"/>
        <v>48.583302411873831</v>
      </c>
      <c r="BL181" s="67">
        <f t="shared" si="1455"/>
        <v>72.527637115754942</v>
      </c>
      <c r="BM181" s="67">
        <f t="shared" si="1455"/>
        <v>71.4674256799494</v>
      </c>
      <c r="BN181" s="67">
        <f t="shared" si="1455"/>
        <v>72.940688510991293</v>
      </c>
      <c r="BO181" s="67">
        <f t="shared" si="1455"/>
        <v>81.49841662161117</v>
      </c>
      <c r="BP181" s="67">
        <f t="shared" si="1455"/>
        <v>81.238392449383468</v>
      </c>
      <c r="BQ181" s="67">
        <f t="shared" si="1455"/>
        <v>76.198329406725207</v>
      </c>
      <c r="BR181" s="67">
        <f t="shared" si="1455"/>
        <v>75.561263450190893</v>
      </c>
      <c r="BS181" s="67">
        <f t="shared" si="1455"/>
        <v>71.684668071654386</v>
      </c>
      <c r="BT181" s="67">
        <f t="shared" si="1455"/>
        <v>71.918268333644306</v>
      </c>
      <c r="BU181" s="67">
        <f t="shared" si="1455"/>
        <v>68.51733333333334</v>
      </c>
      <c r="BV181" s="67">
        <f t="shared" si="1455"/>
        <v>68.87477934058424</v>
      </c>
      <c r="BW181" s="67">
        <f t="shared" si="1455"/>
        <v>60.288605323497166</v>
      </c>
      <c r="BX181" s="67">
        <f t="shared" si="1455"/>
        <v>50.894946750230105</v>
      </c>
      <c r="BY181" s="67">
        <f t="shared" si="1455"/>
        <v>53.837273991655096</v>
      </c>
      <c r="BZ181" s="67">
        <f t="shared" si="1455"/>
        <v>80.668185269552026</v>
      </c>
      <c r="CA181" s="67">
        <f t="shared" si="1455"/>
        <v>83.093769010167705</v>
      </c>
      <c r="CB181" s="67">
        <f t="shared" si="1455"/>
        <v>62.602137020741658</v>
      </c>
      <c r="CC181" s="67">
        <f t="shared" si="1455"/>
        <v>61.689652324717152</v>
      </c>
      <c r="CD181" s="67">
        <f t="shared" si="1455"/>
        <v>84.615960591133003</v>
      </c>
      <c r="CE181" s="114">
        <f t="shared" si="1455"/>
        <v>87.214346642836844</v>
      </c>
      <c r="CF181" s="67">
        <f t="shared" ref="CF181:CG181" si="1456">CF182-CF180-CF179</f>
        <v>86.50549963076682</v>
      </c>
      <c r="CG181" s="67">
        <f t="shared" si="1456"/>
        <v>83.893705239351675</v>
      </c>
      <c r="CH181" s="67">
        <f t="shared" ref="CH181" si="1457">CH182-CH180-CH179</f>
        <v>66.9523845628933</v>
      </c>
      <c r="CI181" s="67">
        <f>CH181</f>
        <v>66.9523845628933</v>
      </c>
      <c r="CJ181" s="67">
        <f t="shared" ref="CJ181:CL181" si="1458">CJ182-CJ180-CJ179</f>
        <v>73.679476422218485</v>
      </c>
      <c r="CK181" s="67">
        <f t="shared" ref="CK181:DB181" si="1459">CJ181</f>
        <v>73.679476422218485</v>
      </c>
      <c r="CL181" s="67">
        <f t="shared" si="1458"/>
        <v>96.676230798838318</v>
      </c>
      <c r="CM181" s="30">
        <f t="shared" si="1459"/>
        <v>96.676230798838318</v>
      </c>
      <c r="CN181" s="30">
        <f t="shared" si="1459"/>
        <v>96.676230798838318</v>
      </c>
      <c r="CO181" s="30">
        <f t="shared" si="1459"/>
        <v>96.676230798838318</v>
      </c>
      <c r="CP181" s="30">
        <f t="shared" si="1459"/>
        <v>96.676230798838318</v>
      </c>
      <c r="CQ181" s="30">
        <f t="shared" si="1459"/>
        <v>96.676230798838318</v>
      </c>
      <c r="CR181" s="30">
        <f t="shared" si="1459"/>
        <v>96.676230798838318</v>
      </c>
      <c r="CS181" s="30">
        <f t="shared" si="1459"/>
        <v>96.676230798838318</v>
      </c>
      <c r="CT181" s="30">
        <f t="shared" si="1459"/>
        <v>96.676230798838318</v>
      </c>
      <c r="CU181" s="30">
        <f t="shared" si="1459"/>
        <v>96.676230798838318</v>
      </c>
      <c r="CV181" s="30">
        <f t="shared" si="1459"/>
        <v>96.676230798838318</v>
      </c>
      <c r="CW181" s="30">
        <f t="shared" si="1459"/>
        <v>96.676230798838318</v>
      </c>
      <c r="CX181" s="30">
        <f t="shared" si="1459"/>
        <v>96.676230798838318</v>
      </c>
      <c r="CY181" s="30">
        <f t="shared" si="1459"/>
        <v>96.676230798838318</v>
      </c>
      <c r="CZ181" s="30">
        <f t="shared" si="1459"/>
        <v>96.676230798838318</v>
      </c>
      <c r="DA181" s="30">
        <f t="shared" si="1459"/>
        <v>96.676230798838318</v>
      </c>
      <c r="DB181" s="30">
        <f t="shared" si="1459"/>
        <v>96.676230798838318</v>
      </c>
      <c r="DE181" s="139"/>
      <c r="DF181" s="62">
        <v>85.269236715503041</v>
      </c>
    </row>
    <row r="182" spans="1:110" s="7" customFormat="1" outlineLevel="1" x14ac:dyDescent="0.2">
      <c r="A182" s="69" t="s">
        <v>467</v>
      </c>
      <c r="B182" s="70" t="e">
        <f t="shared" ref="B182:AE182" si="1460">B148/B8*365</f>
        <v>#DIV/0!</v>
      </c>
      <c r="C182" s="70" t="e">
        <f t="shared" si="1460"/>
        <v>#DIV/0!</v>
      </c>
      <c r="D182" s="70" t="e">
        <f t="shared" si="1460"/>
        <v>#DIV/0!</v>
      </c>
      <c r="E182" s="70" t="e">
        <f t="shared" si="1460"/>
        <v>#DIV/0!</v>
      </c>
      <c r="F182" s="70" t="e">
        <f t="shared" si="1460"/>
        <v>#DIV/0!</v>
      </c>
      <c r="G182" s="70" t="e">
        <f t="shared" si="1460"/>
        <v>#DIV/0!</v>
      </c>
      <c r="H182" s="70" t="e">
        <f t="shared" si="1460"/>
        <v>#DIV/0!</v>
      </c>
      <c r="I182" s="70" t="e">
        <f t="shared" si="1460"/>
        <v>#DIV/0!</v>
      </c>
      <c r="J182" s="70" t="e">
        <f t="shared" si="1460"/>
        <v>#DIV/0!</v>
      </c>
      <c r="K182" s="70" t="e">
        <f t="shared" si="1460"/>
        <v>#DIV/0!</v>
      </c>
      <c r="L182" s="70" t="e">
        <f t="shared" si="1460"/>
        <v>#DIV/0!</v>
      </c>
      <c r="M182" s="70" t="e">
        <f t="shared" si="1460"/>
        <v>#DIV/0!</v>
      </c>
      <c r="N182" s="70" t="e">
        <f t="shared" si="1460"/>
        <v>#DIV/0!</v>
      </c>
      <c r="O182" s="70">
        <f t="shared" si="1460"/>
        <v>586.41269715463261</v>
      </c>
      <c r="P182" s="70">
        <f t="shared" si="1460"/>
        <v>152.30208807898185</v>
      </c>
      <c r="Q182" s="70">
        <f t="shared" si="1460"/>
        <v>142.28833735568455</v>
      </c>
      <c r="R182" s="70">
        <f t="shared" si="1460"/>
        <v>148.49228827386631</v>
      </c>
      <c r="S182" s="70">
        <f t="shared" si="1460"/>
        <v>155.22070401110193</v>
      </c>
      <c r="T182" s="70">
        <f t="shared" si="1460"/>
        <v>128.77744520804205</v>
      </c>
      <c r="U182" s="70">
        <f t="shared" si="1460"/>
        <v>143.17177128009823</v>
      </c>
      <c r="V182" s="70">
        <f t="shared" si="1460"/>
        <v>135.57984843202377</v>
      </c>
      <c r="W182" s="70">
        <f t="shared" si="1460"/>
        <v>146.25667838714097</v>
      </c>
      <c r="X182" s="70">
        <f t="shared" si="1460"/>
        <v>161.49350575690545</v>
      </c>
      <c r="Y182" s="70">
        <f t="shared" si="1460"/>
        <v>150.36155193681137</v>
      </c>
      <c r="Z182" s="70">
        <f t="shared" si="1460"/>
        <v>169.54242807657999</v>
      </c>
      <c r="AA182" s="70">
        <f t="shared" ref="AA182" si="1461">AA148/AA8*365</f>
        <v>152.33477932683999</v>
      </c>
      <c r="AB182" s="71">
        <f t="shared" si="1460"/>
        <v>157.35550806429333</v>
      </c>
      <c r="AC182" s="71">
        <f t="shared" si="1460"/>
        <v>157.01818477187345</v>
      </c>
      <c r="AD182" s="71">
        <f t="shared" si="1460"/>
        <v>156.98142621870619</v>
      </c>
      <c r="AE182" s="71">
        <f t="shared" si="1460"/>
        <v>156.97941520863162</v>
      </c>
      <c r="AI182" s="70" t="e">
        <f t="shared" ref="AI182:CD182" si="1462">AI148/AI8*90</f>
        <v>#DIV/0!</v>
      </c>
      <c r="AJ182" s="70" t="e">
        <f t="shared" si="1462"/>
        <v>#DIV/0!</v>
      </c>
      <c r="AK182" s="70" t="e">
        <f t="shared" si="1462"/>
        <v>#DIV/0!</v>
      </c>
      <c r="AL182" s="70" t="e">
        <f t="shared" si="1462"/>
        <v>#DIV/0!</v>
      </c>
      <c r="AM182" s="70" t="e">
        <f t="shared" si="1462"/>
        <v>#DIV/0!</v>
      </c>
      <c r="AN182" s="70" t="e">
        <f t="shared" si="1462"/>
        <v>#DIV/0!</v>
      </c>
      <c r="AO182" s="70" t="e">
        <f t="shared" si="1462"/>
        <v>#DIV/0!</v>
      </c>
      <c r="AP182" s="70" t="e">
        <f t="shared" si="1462"/>
        <v>#DIV/0!</v>
      </c>
      <c r="AQ182" s="70" t="e">
        <f t="shared" si="1462"/>
        <v>#DIV/0!</v>
      </c>
      <c r="AR182" s="70" t="e">
        <f t="shared" si="1462"/>
        <v>#DIV/0!</v>
      </c>
      <c r="AS182" s="70" t="e">
        <f t="shared" si="1462"/>
        <v>#DIV/0!</v>
      </c>
      <c r="AT182" s="70" t="e">
        <f t="shared" si="1462"/>
        <v>#DIV/0!</v>
      </c>
      <c r="AU182" s="70" t="e">
        <f t="shared" si="1462"/>
        <v>#DIV/0!</v>
      </c>
      <c r="AV182" s="70">
        <f t="shared" si="1462"/>
        <v>0</v>
      </c>
      <c r="AW182" s="70">
        <f t="shared" si="1462"/>
        <v>0</v>
      </c>
      <c r="AX182" s="70">
        <f t="shared" si="1462"/>
        <v>119.28874469678064</v>
      </c>
      <c r="AY182" s="70">
        <f t="shared" si="1462"/>
        <v>119.21818611551097</v>
      </c>
      <c r="AZ182" s="70">
        <f t="shared" si="1462"/>
        <v>116.88951014950771</v>
      </c>
      <c r="BA182" s="70">
        <f t="shared" si="1462"/>
        <v>117.50800055699872</v>
      </c>
      <c r="BB182" s="70">
        <f t="shared" si="1462"/>
        <v>146.41757971192911</v>
      </c>
      <c r="BC182" s="70">
        <f t="shared" si="1462"/>
        <v>145.5700699663893</v>
      </c>
      <c r="BD182" s="70">
        <f t="shared" si="1462"/>
        <v>143.19453697534976</v>
      </c>
      <c r="BE182" s="70">
        <f t="shared" si="1462"/>
        <v>138.76488766028163</v>
      </c>
      <c r="BF182" s="70">
        <f t="shared" si="1462"/>
        <v>135.96416382252559</v>
      </c>
      <c r="BG182" s="70">
        <f t="shared" si="1462"/>
        <v>131.41144882056761</v>
      </c>
      <c r="BH182" s="70">
        <f t="shared" si="1462"/>
        <v>122.89076692204405</v>
      </c>
      <c r="BI182" s="70">
        <f t="shared" si="1462"/>
        <v>121.23672410312722</v>
      </c>
      <c r="BJ182" s="70">
        <f t="shared" si="1462"/>
        <v>120.06030824212642</v>
      </c>
      <c r="BK182" s="70">
        <f t="shared" si="1462"/>
        <v>119.90114918426606</v>
      </c>
      <c r="BL182" s="70">
        <f t="shared" si="1462"/>
        <v>145.4147350402967</v>
      </c>
      <c r="BM182" s="70">
        <f t="shared" si="1462"/>
        <v>144.35452360449116</v>
      </c>
      <c r="BN182" s="70">
        <f t="shared" si="1462"/>
        <v>158.84072998755704</v>
      </c>
      <c r="BO182" s="70">
        <f t="shared" si="1462"/>
        <v>167.39845809817692</v>
      </c>
      <c r="BP182" s="70">
        <f t="shared" si="1462"/>
        <v>162.50418632973054</v>
      </c>
      <c r="BQ182" s="70">
        <f t="shared" si="1462"/>
        <v>157.46412328707228</v>
      </c>
      <c r="BR182" s="70">
        <f t="shared" si="1462"/>
        <v>152.69698021520304</v>
      </c>
      <c r="BS182" s="70">
        <f t="shared" si="1462"/>
        <v>148.82038483666653</v>
      </c>
      <c r="BT182" s="70">
        <f t="shared" si="1462"/>
        <v>155.30136219443924</v>
      </c>
      <c r="BU182" s="70">
        <f t="shared" si="1462"/>
        <v>151.90042719412827</v>
      </c>
      <c r="BV182" s="70">
        <f t="shared" si="1462"/>
        <v>155.78953362564775</v>
      </c>
      <c r="BW182" s="70">
        <f t="shared" si="1462"/>
        <v>147.20335960856067</v>
      </c>
      <c r="BX182" s="70">
        <f t="shared" si="1462"/>
        <v>116.23044221413861</v>
      </c>
      <c r="BY182" s="70">
        <f t="shared" si="1462"/>
        <v>119.1727694555636</v>
      </c>
      <c r="BZ182" s="70">
        <f t="shared" si="1462"/>
        <v>162.4183750949127</v>
      </c>
      <c r="CA182" s="70">
        <f t="shared" si="1462"/>
        <v>164.84395883552838</v>
      </c>
      <c r="CB182" s="70">
        <f t="shared" si="1462"/>
        <v>165.59019484600879</v>
      </c>
      <c r="CC182" s="70">
        <f t="shared" si="1462"/>
        <v>164.67771014998428</v>
      </c>
      <c r="CD182" s="70">
        <f t="shared" si="1462"/>
        <v>162.06384236453204</v>
      </c>
      <c r="CE182" s="115">
        <f>CE148/CE10*90</f>
        <v>164.66222841623588</v>
      </c>
      <c r="CF182" s="70">
        <f>CF148/CF8*90</f>
        <v>167.49815383419485</v>
      </c>
      <c r="CG182" s="70">
        <f>CG148/CG10*90</f>
        <v>164.88635944277971</v>
      </c>
      <c r="CH182" s="70">
        <f>CH148/CH8*90</f>
        <v>152.81370839335807</v>
      </c>
      <c r="CI182" s="70">
        <f>CI179+CI180+CI181</f>
        <v>152.81370839335807</v>
      </c>
      <c r="CJ182" s="70">
        <f>CJ148/CJ8*90</f>
        <v>153.88051686524582</v>
      </c>
      <c r="CK182" s="70">
        <f t="shared" ref="CK182:DB182" si="1463">CK179+CK180+CK181</f>
        <v>153.88051686524582</v>
      </c>
      <c r="CL182" s="70">
        <f>CL148/CL8*90</f>
        <v>160.30196997795585</v>
      </c>
      <c r="CM182" s="50">
        <f t="shared" si="1463"/>
        <v>160.30196997795585</v>
      </c>
      <c r="CN182" s="50">
        <f t="shared" si="1463"/>
        <v>160.30196997795585</v>
      </c>
      <c r="CO182" s="50">
        <f t="shared" si="1463"/>
        <v>160.30196997795585</v>
      </c>
      <c r="CP182" s="50">
        <f t="shared" si="1463"/>
        <v>160.30196997795585</v>
      </c>
      <c r="CQ182" s="50">
        <f t="shared" si="1463"/>
        <v>160.30196997795585</v>
      </c>
      <c r="CR182" s="50">
        <f t="shared" si="1463"/>
        <v>160.30196997795585</v>
      </c>
      <c r="CS182" s="50">
        <f t="shared" si="1463"/>
        <v>160.30196997795585</v>
      </c>
      <c r="CT182" s="50">
        <f t="shared" si="1463"/>
        <v>160.30196997795585</v>
      </c>
      <c r="CU182" s="50">
        <f t="shared" si="1463"/>
        <v>160.30196997795585</v>
      </c>
      <c r="CV182" s="50">
        <f t="shared" si="1463"/>
        <v>160.30196997795585</v>
      </c>
      <c r="CW182" s="50">
        <f t="shared" si="1463"/>
        <v>160.30196997795585</v>
      </c>
      <c r="CX182" s="50">
        <f t="shared" si="1463"/>
        <v>160.30196997795585</v>
      </c>
      <c r="CY182" s="50">
        <f t="shared" si="1463"/>
        <v>160.30196997795585</v>
      </c>
      <c r="CZ182" s="50">
        <f t="shared" si="1463"/>
        <v>160.30196997795585</v>
      </c>
      <c r="DA182" s="50">
        <f t="shared" si="1463"/>
        <v>160.30196997795585</v>
      </c>
      <c r="DB182" s="50">
        <f t="shared" si="1463"/>
        <v>160.30196997795585</v>
      </c>
      <c r="DE182" s="138"/>
      <c r="DF182" s="7">
        <v>152.33477932683999</v>
      </c>
    </row>
    <row r="183" spans="1:110" s="62" customFormat="1" outlineLevel="1" x14ac:dyDescent="0.2">
      <c r="A183" s="68" t="s">
        <v>468</v>
      </c>
      <c r="B183" s="67" t="e">
        <f t="shared" ref="B183:AE183" si="1464">B153/B8*365</f>
        <v>#DIV/0!</v>
      </c>
      <c r="C183" s="67" t="e">
        <f t="shared" si="1464"/>
        <v>#DIV/0!</v>
      </c>
      <c r="D183" s="67" t="e">
        <f t="shared" si="1464"/>
        <v>#DIV/0!</v>
      </c>
      <c r="E183" s="67" t="e">
        <f t="shared" si="1464"/>
        <v>#DIV/0!</v>
      </c>
      <c r="F183" s="67" t="e">
        <f t="shared" si="1464"/>
        <v>#DIV/0!</v>
      </c>
      <c r="G183" s="67" t="e">
        <f t="shared" si="1464"/>
        <v>#DIV/0!</v>
      </c>
      <c r="H183" s="67" t="e">
        <f t="shared" si="1464"/>
        <v>#DIV/0!</v>
      </c>
      <c r="I183" s="67" t="e">
        <f t="shared" si="1464"/>
        <v>#DIV/0!</v>
      </c>
      <c r="J183" s="67" t="e">
        <f t="shared" si="1464"/>
        <v>#DIV/0!</v>
      </c>
      <c r="K183" s="67" t="e">
        <f t="shared" si="1464"/>
        <v>#DIV/0!</v>
      </c>
      <c r="L183" s="67" t="e">
        <f t="shared" si="1464"/>
        <v>#DIV/0!</v>
      </c>
      <c r="M183" s="67" t="e">
        <f t="shared" si="1464"/>
        <v>#DIV/0!</v>
      </c>
      <c r="N183" s="67" t="e">
        <f t="shared" si="1464"/>
        <v>#DIV/0!</v>
      </c>
      <c r="O183" s="67">
        <f t="shared" si="1464"/>
        <v>145.4821669176508</v>
      </c>
      <c r="P183" s="67">
        <f t="shared" si="1464"/>
        <v>23.546201883658881</v>
      </c>
      <c r="Q183" s="67">
        <f t="shared" si="1464"/>
        <v>25.450720761855067</v>
      </c>
      <c r="R183" s="67">
        <f t="shared" si="1464"/>
        <v>16.731367176677029</v>
      </c>
      <c r="S183" s="67">
        <f t="shared" si="1464"/>
        <v>17.601745349737129</v>
      </c>
      <c r="T183" s="67">
        <f t="shared" si="1464"/>
        <v>13.505208435893902</v>
      </c>
      <c r="U183" s="67">
        <f t="shared" si="1464"/>
        <v>12.829011763449662</v>
      </c>
      <c r="V183" s="67">
        <f t="shared" si="1464"/>
        <v>15.752793731765053</v>
      </c>
      <c r="W183" s="67">
        <f t="shared" si="1464"/>
        <v>21.856553571700381</v>
      </c>
      <c r="X183" s="67">
        <f t="shared" si="1464"/>
        <v>51.21303386081334</v>
      </c>
      <c r="Y183" s="67">
        <f t="shared" si="1464"/>
        <v>53.41085070434216</v>
      </c>
      <c r="Z183" s="67">
        <f t="shared" si="1464"/>
        <v>61.411244321835255</v>
      </c>
      <c r="AA183" s="67">
        <f t="shared" ref="AA183" si="1465">AA153/AA8*365</f>
        <v>31.09631771842232</v>
      </c>
      <c r="AB183" s="18">
        <f t="shared" si="1464"/>
        <v>28.959126172255068</v>
      </c>
      <c r="AC183" s="18">
        <f t="shared" si="1464"/>
        <v>28.897046440149108</v>
      </c>
      <c r="AD183" s="18">
        <f t="shared" si="1464"/>
        <v>28.890281531871196</v>
      </c>
      <c r="AE183" s="18">
        <f t="shared" si="1464"/>
        <v>28.889911433009075</v>
      </c>
      <c r="AI183" s="67" t="e">
        <f>AJ153/AI8*90</f>
        <v>#DIV/0!</v>
      </c>
      <c r="AJ183" s="67" t="e">
        <f>AJ153/AJ8*90</f>
        <v>#DIV/0!</v>
      </c>
      <c r="AK183" s="67" t="e">
        <f t="shared" ref="AK183:CE183" si="1466">+AJ183</f>
        <v>#DIV/0!</v>
      </c>
      <c r="AL183" s="67" t="e">
        <f>AL153/AL8*90</f>
        <v>#DIV/0!</v>
      </c>
      <c r="AM183" s="67" t="e">
        <f t="shared" ref="AM183" si="1467">+AL183</f>
        <v>#DIV/0!</v>
      </c>
      <c r="AN183" s="67" t="e">
        <f>AN153/AN8*90</f>
        <v>#DIV/0!</v>
      </c>
      <c r="AO183" s="67" t="e">
        <f t="shared" ref="AO183" si="1468">+AN183</f>
        <v>#DIV/0!</v>
      </c>
      <c r="AP183" s="67" t="e">
        <f>AP153/AP8*90</f>
        <v>#DIV/0!</v>
      </c>
      <c r="AQ183" s="67" t="e">
        <f t="shared" ref="AQ183" si="1469">+AP183</f>
        <v>#DIV/0!</v>
      </c>
      <c r="AR183" s="67" t="e">
        <f>AR153/AR8*90</f>
        <v>#DIV/0!</v>
      </c>
      <c r="AS183" s="67" t="e">
        <f t="shared" ref="AS183" si="1470">+AR183</f>
        <v>#DIV/0!</v>
      </c>
      <c r="AT183" s="67" t="e">
        <f>AT153/AT8*90</f>
        <v>#DIV/0!</v>
      </c>
      <c r="AU183" s="67" t="e">
        <f t="shared" ref="AU183" si="1471">+AT183</f>
        <v>#DIV/0!</v>
      </c>
      <c r="AV183" s="67">
        <f>AV153/AV8*90</f>
        <v>0</v>
      </c>
      <c r="AW183" s="67">
        <f t="shared" ref="AW183" si="1472">+AV183</f>
        <v>0</v>
      </c>
      <c r="AX183" s="67">
        <f>AX153/AX8*90</f>
        <v>24.010481657100076</v>
      </c>
      <c r="AY183" s="67">
        <f t="shared" ref="AY183" si="1473">+AX183</f>
        <v>24.010481657100076</v>
      </c>
      <c r="AZ183" s="67">
        <f>AZ153/AZ8*90</f>
        <v>19.264616506624527</v>
      </c>
      <c r="BA183" s="67">
        <f t="shared" ref="BA183" si="1474">+AZ183</f>
        <v>19.264616506624527</v>
      </c>
      <c r="BB183" s="67">
        <f>BB153/BB8*90</f>
        <v>16.497599409085314</v>
      </c>
      <c r="BC183" s="67">
        <f t="shared" ref="BC183" si="1475">+BB183</f>
        <v>16.497599409085314</v>
      </c>
      <c r="BD183" s="67">
        <f>BD153/BD8*90</f>
        <v>18.277814790139907</v>
      </c>
      <c r="BE183" s="67">
        <f t="shared" ref="BE183" si="1476">+BD183</f>
        <v>18.277814790139907</v>
      </c>
      <c r="BF183" s="67">
        <f>BF153/BF8*90</f>
        <v>15.418088737201364</v>
      </c>
      <c r="BG183" s="67">
        <f t="shared" ref="BG183" si="1477">+BF183</f>
        <v>15.418088737201364</v>
      </c>
      <c r="BH183" s="67">
        <f>BH153/BH8*90</f>
        <v>14.629176210409923</v>
      </c>
      <c r="BI183" s="67">
        <f t="shared" ref="BI183" si="1478">+BH183</f>
        <v>14.629176210409923</v>
      </c>
      <c r="BJ183" s="67">
        <f>BJ153/BJ8*90</f>
        <v>12.591020772838956</v>
      </c>
      <c r="BK183" s="67">
        <f t="shared" ref="BK183" si="1479">+BJ183</f>
        <v>12.591020772838956</v>
      </c>
      <c r="BL183" s="67">
        <f>BL153/BL8*90</f>
        <v>12.253762213822124</v>
      </c>
      <c r="BM183" s="67">
        <f t="shared" ref="BM183" si="1480">+BL183</f>
        <v>12.253762213822124</v>
      </c>
      <c r="BN183" s="67">
        <f>BN153/BN8*90</f>
        <v>12.287432600580672</v>
      </c>
      <c r="BO183" s="67">
        <f t="shared" ref="BO183" si="1481">+BN183</f>
        <v>12.287432600580672</v>
      </c>
      <c r="BP183" s="67">
        <f>BP153/BP8*90</f>
        <v>10.528999847769828</v>
      </c>
      <c r="BQ183" s="67">
        <f t="shared" ref="BQ183" si="1482">+BP183</f>
        <v>10.528999847769828</v>
      </c>
      <c r="BR183" s="67">
        <f>BR153/BR8*90</f>
        <v>14.694897604998264</v>
      </c>
      <c r="BS183" s="67">
        <f t="shared" ref="BS183" si="1483">+BR183</f>
        <v>14.694897604998264</v>
      </c>
      <c r="BT183" s="67">
        <f>BT153/BT8*90</f>
        <v>7.6357529389811534</v>
      </c>
      <c r="BU183" s="67">
        <f t="shared" ref="BU183" si="1484">+BT183</f>
        <v>7.6357529389811534</v>
      </c>
      <c r="BV183" s="67">
        <f>BV153/BV8*90</f>
        <v>20.161721997608335</v>
      </c>
      <c r="BW183" s="67">
        <f t="shared" ref="BW183" si="1485">+BV183</f>
        <v>20.161721997608335</v>
      </c>
      <c r="BX183" s="67">
        <f>BX153/BX8*90</f>
        <v>15.481877547442698</v>
      </c>
      <c r="BY183" s="67">
        <f t="shared" ref="BY183" si="1486">+BX183</f>
        <v>15.481877547442698</v>
      </c>
      <c r="BZ183" s="67">
        <f>BZ153/BZ8*90</f>
        <v>46.958997722095681</v>
      </c>
      <c r="CA183" s="67">
        <f t="shared" ref="CA183" si="1487">+BZ183</f>
        <v>46.958997722095681</v>
      </c>
      <c r="CB183" s="67">
        <f>CB153/CB8*90</f>
        <v>48.395977372721553</v>
      </c>
      <c r="CC183" s="67">
        <f t="shared" ref="CC183" si="1488">+CB183</f>
        <v>48.395977372721553</v>
      </c>
      <c r="CD183" s="67">
        <f>CD153/CD8*90</f>
        <v>50.070147783251237</v>
      </c>
      <c r="CE183" s="114">
        <f t="shared" si="1466"/>
        <v>50.070147783251237</v>
      </c>
      <c r="CF183" s="67">
        <f>CF153/CF8*90</f>
        <v>49.325274981538335</v>
      </c>
      <c r="CG183" s="67">
        <f t="shared" ref="CG183:CI183" si="1489">+CF183</f>
        <v>49.325274981538335</v>
      </c>
      <c r="CH183" s="67">
        <f>CH153/CH8*90</f>
        <v>55.351808325119414</v>
      </c>
      <c r="CI183" s="67">
        <f t="shared" si="1489"/>
        <v>55.351808325119414</v>
      </c>
      <c r="CJ183" s="67">
        <f>CJ153/CJ8*90</f>
        <v>51.973149857358614</v>
      </c>
      <c r="CK183" s="67">
        <f t="shared" ref="CK183" si="1490">+CJ183</f>
        <v>51.973149857358614</v>
      </c>
      <c r="CL183" s="67">
        <f>CL153/CL8*90</f>
        <v>29.501382133734559</v>
      </c>
      <c r="CM183" s="30">
        <f t="shared" ref="CM183" si="1491">+CL183</f>
        <v>29.501382133734559</v>
      </c>
      <c r="CN183" s="30">
        <f t="shared" ref="CN183" si="1492">+CM183</f>
        <v>29.501382133734559</v>
      </c>
      <c r="CO183" s="30">
        <f t="shared" ref="CO183" si="1493">+CN183</f>
        <v>29.501382133734559</v>
      </c>
      <c r="CP183" s="30">
        <f t="shared" ref="CP183" si="1494">+CO183</f>
        <v>29.501382133734559</v>
      </c>
      <c r="CQ183" s="30">
        <f t="shared" ref="CQ183" si="1495">+CP183</f>
        <v>29.501382133734559</v>
      </c>
      <c r="CR183" s="30">
        <f t="shared" ref="CR183" si="1496">+CQ183</f>
        <v>29.501382133734559</v>
      </c>
      <c r="CS183" s="30">
        <f t="shared" ref="CS183" si="1497">+CR183</f>
        <v>29.501382133734559</v>
      </c>
      <c r="CT183" s="30">
        <f t="shared" ref="CT183" si="1498">+CS183</f>
        <v>29.501382133734559</v>
      </c>
      <c r="CU183" s="30">
        <f t="shared" ref="CU183" si="1499">+CT183</f>
        <v>29.501382133734559</v>
      </c>
      <c r="CV183" s="30">
        <f t="shared" ref="CV183" si="1500">+CU183</f>
        <v>29.501382133734559</v>
      </c>
      <c r="CW183" s="30">
        <f t="shared" ref="CW183" si="1501">+CV183</f>
        <v>29.501382133734559</v>
      </c>
      <c r="CX183" s="30">
        <f t="shared" ref="CX183" si="1502">+CW183</f>
        <v>29.501382133734559</v>
      </c>
      <c r="CY183" s="30">
        <f t="shared" ref="CY183" si="1503">+CX183</f>
        <v>29.501382133734559</v>
      </c>
      <c r="CZ183" s="30">
        <f t="shared" ref="CZ183" si="1504">+CY183</f>
        <v>29.501382133734559</v>
      </c>
      <c r="DA183" s="30">
        <f t="shared" ref="DA183" si="1505">+CZ183</f>
        <v>29.501382133734559</v>
      </c>
      <c r="DB183" s="30">
        <f t="shared" ref="DB183" si="1506">+DA183</f>
        <v>29.501382133734559</v>
      </c>
      <c r="DE183" s="139"/>
      <c r="DF183" s="62">
        <v>31.09631771842232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07">C185-C183</f>
        <v>#DIV/0!</v>
      </c>
      <c r="D184" s="67" t="e">
        <f t="shared" si="1507"/>
        <v>#DIV/0!</v>
      </c>
      <c r="E184" s="67" t="e">
        <f t="shared" si="1507"/>
        <v>#DIV/0!</v>
      </c>
      <c r="F184" s="67" t="e">
        <f t="shared" si="1507"/>
        <v>#DIV/0!</v>
      </c>
      <c r="G184" s="67" t="e">
        <f t="shared" si="1507"/>
        <v>#DIV/0!</v>
      </c>
      <c r="H184" s="67" t="e">
        <f t="shared" si="1507"/>
        <v>#DIV/0!</v>
      </c>
      <c r="I184" s="67" t="e">
        <f t="shared" si="1507"/>
        <v>#DIV/0!</v>
      </c>
      <c r="J184" s="67" t="e">
        <f t="shared" si="1507"/>
        <v>#DIV/0!</v>
      </c>
      <c r="K184" s="67" t="e">
        <f t="shared" si="1507"/>
        <v>#DIV/0!</v>
      </c>
      <c r="L184" s="67" t="e">
        <f t="shared" si="1507"/>
        <v>#DIV/0!</v>
      </c>
      <c r="M184" s="67" t="e">
        <f t="shared" si="1507"/>
        <v>#DIV/0!</v>
      </c>
      <c r="N184" s="67" t="e">
        <f t="shared" si="1507"/>
        <v>#DIV/0!</v>
      </c>
      <c r="O184" s="67">
        <f t="shared" si="1507"/>
        <v>153.19469763018148</v>
      </c>
      <c r="P184" s="67">
        <f t="shared" si="1507"/>
        <v>52.20354979918865</v>
      </c>
      <c r="Q184" s="67">
        <f t="shared" si="1507"/>
        <v>71.483432261431091</v>
      </c>
      <c r="R184" s="67">
        <f t="shared" si="1507"/>
        <v>55.700058492134346</v>
      </c>
      <c r="S184" s="67">
        <f t="shared" si="1507"/>
        <v>50.126497824984654</v>
      </c>
      <c r="T184" s="67">
        <f t="shared" si="1507"/>
        <v>43.88653683319221</v>
      </c>
      <c r="U184" s="67">
        <f t="shared" si="1507"/>
        <v>84.444128063212972</v>
      </c>
      <c r="V184" s="67">
        <f t="shared" si="1507"/>
        <v>86.847991632566945</v>
      </c>
      <c r="W184" s="67">
        <f t="shared" ref="W184" si="1508">W185-W183</f>
        <v>80.031432181073711</v>
      </c>
      <c r="X184" s="67">
        <f t="shared" ref="X184:Y184" si="1509">X185-X183</f>
        <v>102.19006295729113</v>
      </c>
      <c r="Y184" s="67">
        <f t="shared" si="1509"/>
        <v>62.59704787868106</v>
      </c>
      <c r="Z184" s="67">
        <f t="shared" ref="Z184:AA184" si="1510">Z185-Z183</f>
        <v>69.951204082055966</v>
      </c>
      <c r="AA184" s="67">
        <f t="shared" si="1510"/>
        <v>101.56758428141399</v>
      </c>
      <c r="AB184" s="18">
        <f t="shared" ref="AB184:AD184" si="1511">AB185-AB183</f>
        <v>94.587034865356586</v>
      </c>
      <c r="AC184" s="18">
        <f t="shared" si="1511"/>
        <v>94.384268464526315</v>
      </c>
      <c r="AD184" s="18">
        <f t="shared" si="1511"/>
        <v>94.362172748953355</v>
      </c>
      <c r="AE184" s="18">
        <f t="shared" ref="AE184" si="1512">AE185-AE183</f>
        <v>94.36096392263147</v>
      </c>
      <c r="AI184" s="67" t="e">
        <f t="shared" ref="AI184:AK184" si="1513">AI185-AI183</f>
        <v>#DIV/0!</v>
      </c>
      <c r="AJ184" s="67" t="e">
        <f t="shared" ref="AJ184:AM184" si="1514">AJ185-AJ183</f>
        <v>#DIV/0!</v>
      </c>
      <c r="AK184" s="67" t="e">
        <f t="shared" si="1513"/>
        <v>#DIV/0!</v>
      </c>
      <c r="AL184" s="67" t="e">
        <f t="shared" si="1514"/>
        <v>#DIV/0!</v>
      </c>
      <c r="AM184" s="67" t="e">
        <f t="shared" si="1514"/>
        <v>#DIV/0!</v>
      </c>
      <c r="AN184" s="67" t="e">
        <f t="shared" ref="AN184:AY184" si="1515">AN185-AN183</f>
        <v>#DIV/0!</v>
      </c>
      <c r="AO184" s="67" t="e">
        <f t="shared" si="1515"/>
        <v>#DIV/0!</v>
      </c>
      <c r="AP184" s="67" t="e">
        <f t="shared" si="1515"/>
        <v>#DIV/0!</v>
      </c>
      <c r="AQ184" s="67" t="e">
        <f t="shared" si="1515"/>
        <v>#DIV/0!</v>
      </c>
      <c r="AR184" s="67" t="e">
        <f t="shared" si="1515"/>
        <v>#DIV/0!</v>
      </c>
      <c r="AS184" s="67" t="e">
        <f t="shared" si="1515"/>
        <v>#DIV/0!</v>
      </c>
      <c r="AT184" s="67" t="e">
        <f t="shared" si="1515"/>
        <v>#DIV/0!</v>
      </c>
      <c r="AU184" s="67" t="e">
        <f t="shared" si="1515"/>
        <v>#DIV/0!</v>
      </c>
      <c r="AV184" s="67">
        <f t="shared" si="1515"/>
        <v>0</v>
      </c>
      <c r="AW184" s="67">
        <f t="shared" si="1515"/>
        <v>0</v>
      </c>
      <c r="AX184" s="67">
        <f t="shared" si="1515"/>
        <v>52.490641377589228</v>
      </c>
      <c r="AY184" s="67">
        <f t="shared" si="1515"/>
        <v>52.392576908705948</v>
      </c>
      <c r="AZ184" s="67">
        <f t="shared" ref="AZ184:BC184" si="1516">AZ185-AZ183</f>
        <v>43.233256351039266</v>
      </c>
      <c r="BA184" s="67">
        <f t="shared" si="1516"/>
        <v>43.889437314906218</v>
      </c>
      <c r="BB184" s="67">
        <f t="shared" si="1516"/>
        <v>54.921826911239691</v>
      </c>
      <c r="BC184" s="67">
        <f t="shared" si="1516"/>
        <v>54.23413566739606</v>
      </c>
      <c r="BD184" s="67">
        <f t="shared" ref="BD184:CE184" si="1517">BD185-BD183</f>
        <v>42.301798800799475</v>
      </c>
      <c r="BE184" s="67">
        <f t="shared" si="1517"/>
        <v>39.311732535342067</v>
      </c>
      <c r="BF184" s="67">
        <f t="shared" si="1517"/>
        <v>43.907849829351541</v>
      </c>
      <c r="BG184" s="67">
        <f t="shared" si="1517"/>
        <v>40.196146502343346</v>
      </c>
      <c r="BH184" s="67">
        <f t="shared" si="1517"/>
        <v>48.934523339388683</v>
      </c>
      <c r="BI184" s="67">
        <f t="shared" si="1517"/>
        <v>47.046852456526686</v>
      </c>
      <c r="BJ184" s="67">
        <f t="shared" si="1517"/>
        <v>40.915791824882731</v>
      </c>
      <c r="BK184" s="67">
        <f t="shared" si="1517"/>
        <v>40.782189239332098</v>
      </c>
      <c r="BL184" s="67">
        <f t="shared" si="1517"/>
        <v>65.261393623849926</v>
      </c>
      <c r="BM184" s="67">
        <f t="shared" si="1517"/>
        <v>64.307400379506618</v>
      </c>
      <c r="BN184" s="67">
        <f t="shared" si="1517"/>
        <v>80.879303193695577</v>
      </c>
      <c r="BO184" s="67">
        <f t="shared" si="1517"/>
        <v>90.368425117787908</v>
      </c>
      <c r="BP184" s="67">
        <f t="shared" si="1517"/>
        <v>82.122088597960115</v>
      </c>
      <c r="BQ184" s="67">
        <f t="shared" si="1517"/>
        <v>77.027200685371611</v>
      </c>
      <c r="BR184" s="67">
        <f t="shared" si="1517"/>
        <v>81.01561957653594</v>
      </c>
      <c r="BS184" s="67">
        <f t="shared" si="1517"/>
        <v>76.859193888303466</v>
      </c>
      <c r="BT184" s="67">
        <f t="shared" si="1517"/>
        <v>88.863593954095904</v>
      </c>
      <c r="BU184" s="67">
        <f t="shared" si="1517"/>
        <v>84.661333333333332</v>
      </c>
      <c r="BV184" s="67">
        <f t="shared" si="1517"/>
        <v>73.825522464552137</v>
      </c>
      <c r="BW184" s="67">
        <f t="shared" si="1517"/>
        <v>64.622171269065888</v>
      </c>
      <c r="BX184" s="67">
        <f t="shared" si="1517"/>
        <v>57.296752421440168</v>
      </c>
      <c r="BY184" s="67">
        <f t="shared" si="1517"/>
        <v>60.609179415855344</v>
      </c>
      <c r="BZ184" s="67">
        <f t="shared" si="1517"/>
        <v>93.701594533029606</v>
      </c>
      <c r="CA184" s="67">
        <f t="shared" si="1517"/>
        <v>96.519075345441877</v>
      </c>
      <c r="CB184" s="67">
        <f t="shared" si="1517"/>
        <v>59.275927089880575</v>
      </c>
      <c r="CC184" s="67">
        <f t="shared" si="1517"/>
        <v>58.411925014452059</v>
      </c>
      <c r="CD184" s="67">
        <f t="shared" si="1517"/>
        <v>58.681773399014766</v>
      </c>
      <c r="CE184" s="114">
        <f t="shared" si="1517"/>
        <v>60.483772695885285</v>
      </c>
      <c r="CF184" s="67">
        <f t="shared" ref="CF184:CG184" si="1518">CF185-CF183</f>
        <v>53.319989117338402</v>
      </c>
      <c r="CG184" s="67">
        <f t="shared" si="1518"/>
        <v>51.710139464756871</v>
      </c>
      <c r="CH184" s="67">
        <f t="shared" ref="CH184" si="1519">CH185-CH183</f>
        <v>63.049131852301166</v>
      </c>
      <c r="CI184" s="67">
        <f>CH184</f>
        <v>63.049131852301166</v>
      </c>
      <c r="CJ184" s="67">
        <f t="shared" ref="CJ184:CL184" si="1520">CJ185-CJ183</f>
        <v>53.652626279577113</v>
      </c>
      <c r="CK184" s="67">
        <f t="shared" ref="CK184:DB184" si="1521">CJ184</f>
        <v>53.652626279577113</v>
      </c>
      <c r="CL184" s="67">
        <f t="shared" si="1520"/>
        <v>96.358165086252143</v>
      </c>
      <c r="CM184" s="30">
        <f t="shared" si="1521"/>
        <v>96.358165086252143</v>
      </c>
      <c r="CN184" s="30">
        <f t="shared" si="1521"/>
        <v>96.358165086252143</v>
      </c>
      <c r="CO184" s="30">
        <f t="shared" si="1521"/>
        <v>96.358165086252143</v>
      </c>
      <c r="CP184" s="30">
        <f t="shared" si="1521"/>
        <v>96.358165086252143</v>
      </c>
      <c r="CQ184" s="30">
        <f t="shared" si="1521"/>
        <v>96.358165086252143</v>
      </c>
      <c r="CR184" s="30">
        <f t="shared" si="1521"/>
        <v>96.358165086252143</v>
      </c>
      <c r="CS184" s="30">
        <f t="shared" si="1521"/>
        <v>96.358165086252143</v>
      </c>
      <c r="CT184" s="30">
        <f t="shared" si="1521"/>
        <v>96.358165086252143</v>
      </c>
      <c r="CU184" s="30">
        <f t="shared" si="1521"/>
        <v>96.358165086252143</v>
      </c>
      <c r="CV184" s="30">
        <f t="shared" si="1521"/>
        <v>96.358165086252143</v>
      </c>
      <c r="CW184" s="30">
        <f t="shared" si="1521"/>
        <v>96.358165086252143</v>
      </c>
      <c r="CX184" s="30">
        <f t="shared" si="1521"/>
        <v>96.358165086252143</v>
      </c>
      <c r="CY184" s="30">
        <f t="shared" si="1521"/>
        <v>96.358165086252143</v>
      </c>
      <c r="CZ184" s="30">
        <f t="shared" si="1521"/>
        <v>96.358165086252143</v>
      </c>
      <c r="DA184" s="30">
        <f t="shared" si="1521"/>
        <v>96.358165086252143</v>
      </c>
      <c r="DB184" s="30">
        <f t="shared" si="1521"/>
        <v>96.358165086252143</v>
      </c>
      <c r="DE184" s="139"/>
      <c r="DF184" s="62">
        <v>101.56758428141399</v>
      </c>
    </row>
    <row r="185" spans="1:110" s="7" customFormat="1" outlineLevel="1" x14ac:dyDescent="0.2">
      <c r="A185" s="69" t="s">
        <v>469</v>
      </c>
      <c r="B185" s="70" t="e">
        <f t="shared" ref="B185:AE185" si="1522">B156/B8*365</f>
        <v>#DIV/0!</v>
      </c>
      <c r="C185" s="70" t="e">
        <f t="shared" si="1522"/>
        <v>#DIV/0!</v>
      </c>
      <c r="D185" s="70" t="e">
        <f t="shared" si="1522"/>
        <v>#DIV/0!</v>
      </c>
      <c r="E185" s="70" t="e">
        <f t="shared" si="1522"/>
        <v>#DIV/0!</v>
      </c>
      <c r="F185" s="70" t="e">
        <f t="shared" si="1522"/>
        <v>#DIV/0!</v>
      </c>
      <c r="G185" s="70" t="e">
        <f t="shared" si="1522"/>
        <v>#DIV/0!</v>
      </c>
      <c r="H185" s="70" t="e">
        <f t="shared" si="1522"/>
        <v>#DIV/0!</v>
      </c>
      <c r="I185" s="70" t="e">
        <f t="shared" si="1522"/>
        <v>#DIV/0!</v>
      </c>
      <c r="J185" s="70" t="e">
        <f t="shared" si="1522"/>
        <v>#DIV/0!</v>
      </c>
      <c r="K185" s="70" t="e">
        <f t="shared" si="1522"/>
        <v>#DIV/0!</v>
      </c>
      <c r="L185" s="70" t="e">
        <f t="shared" si="1522"/>
        <v>#DIV/0!</v>
      </c>
      <c r="M185" s="70" t="e">
        <f t="shared" si="1522"/>
        <v>#DIV/0!</v>
      </c>
      <c r="N185" s="70" t="e">
        <f t="shared" si="1522"/>
        <v>#DIV/0!</v>
      </c>
      <c r="O185" s="70">
        <f t="shared" si="1522"/>
        <v>298.67686454783228</v>
      </c>
      <c r="P185" s="70">
        <f t="shared" si="1522"/>
        <v>75.749751682847531</v>
      </c>
      <c r="Q185" s="70">
        <f t="shared" si="1522"/>
        <v>96.934153023286157</v>
      </c>
      <c r="R185" s="70">
        <f t="shared" si="1522"/>
        <v>72.431425668811372</v>
      </c>
      <c r="S185" s="70">
        <f t="shared" si="1522"/>
        <v>67.728243174721783</v>
      </c>
      <c r="T185" s="70">
        <f t="shared" si="1522"/>
        <v>57.391745269086108</v>
      </c>
      <c r="U185" s="70">
        <f t="shared" si="1522"/>
        <v>97.273139826662629</v>
      </c>
      <c r="V185" s="70">
        <f t="shared" si="1522"/>
        <v>102.600785364332</v>
      </c>
      <c r="W185" s="70">
        <f t="shared" si="1522"/>
        <v>101.8879857527741</v>
      </c>
      <c r="X185" s="70">
        <f t="shared" si="1522"/>
        <v>153.40309681810447</v>
      </c>
      <c r="Y185" s="70">
        <f t="shared" si="1522"/>
        <v>116.00789858302322</v>
      </c>
      <c r="Z185" s="70">
        <f t="shared" si="1522"/>
        <v>131.36244840389122</v>
      </c>
      <c r="AA185" s="70">
        <f t="shared" ref="AA185" si="1523">AA156/AA8*365</f>
        <v>132.6639019998363</v>
      </c>
      <c r="AB185" s="71">
        <f t="shared" si="1522"/>
        <v>123.54616103761165</v>
      </c>
      <c r="AC185" s="71">
        <f t="shared" si="1522"/>
        <v>123.28131490467543</v>
      </c>
      <c r="AD185" s="71">
        <f t="shared" si="1522"/>
        <v>123.25245428082455</v>
      </c>
      <c r="AE185" s="71">
        <f t="shared" si="1522"/>
        <v>123.25087535564055</v>
      </c>
      <c r="AI185" s="70" t="e">
        <f t="shared" ref="AI185:CD185" si="1524">AI156/AI8*90</f>
        <v>#DIV/0!</v>
      </c>
      <c r="AJ185" s="70" t="e">
        <f t="shared" si="1524"/>
        <v>#DIV/0!</v>
      </c>
      <c r="AK185" s="70" t="e">
        <f>AK156/AK8*90</f>
        <v>#DIV/0!</v>
      </c>
      <c r="AL185" s="70" t="e">
        <f t="shared" si="1524"/>
        <v>#DIV/0!</v>
      </c>
      <c r="AM185" s="70" t="e">
        <f t="shared" si="1524"/>
        <v>#DIV/0!</v>
      </c>
      <c r="AN185" s="70" t="e">
        <f t="shared" si="1524"/>
        <v>#DIV/0!</v>
      </c>
      <c r="AO185" s="70" t="e">
        <f t="shared" si="1524"/>
        <v>#DIV/0!</v>
      </c>
      <c r="AP185" s="70" t="e">
        <f t="shared" si="1524"/>
        <v>#DIV/0!</v>
      </c>
      <c r="AQ185" s="70" t="e">
        <f t="shared" si="1524"/>
        <v>#DIV/0!</v>
      </c>
      <c r="AR185" s="70" t="e">
        <f t="shared" si="1524"/>
        <v>#DIV/0!</v>
      </c>
      <c r="AS185" s="70" t="e">
        <f t="shared" si="1524"/>
        <v>#DIV/0!</v>
      </c>
      <c r="AT185" s="70" t="e">
        <f t="shared" si="1524"/>
        <v>#DIV/0!</v>
      </c>
      <c r="AU185" s="70" t="e">
        <f t="shared" si="1524"/>
        <v>#DIV/0!</v>
      </c>
      <c r="AV185" s="70">
        <f t="shared" si="1524"/>
        <v>0</v>
      </c>
      <c r="AW185" s="70">
        <f t="shared" si="1524"/>
        <v>0</v>
      </c>
      <c r="AX185" s="70">
        <f t="shared" si="1524"/>
        <v>76.5011230346893</v>
      </c>
      <c r="AY185" s="70">
        <f t="shared" si="1524"/>
        <v>76.40305856580602</v>
      </c>
      <c r="AZ185" s="70">
        <f t="shared" si="1524"/>
        <v>62.497872857663793</v>
      </c>
      <c r="BA185" s="70">
        <f t="shared" si="1524"/>
        <v>63.154053821530745</v>
      </c>
      <c r="BB185" s="70">
        <f t="shared" si="1524"/>
        <v>71.419426320325002</v>
      </c>
      <c r="BC185" s="70">
        <f t="shared" si="1524"/>
        <v>70.731735076481371</v>
      </c>
      <c r="BD185" s="70">
        <f t="shared" si="1524"/>
        <v>60.579613590939381</v>
      </c>
      <c r="BE185" s="70">
        <f t="shared" si="1524"/>
        <v>57.589547325481973</v>
      </c>
      <c r="BF185" s="70">
        <f t="shared" si="1524"/>
        <v>59.325938566552907</v>
      </c>
      <c r="BG185" s="70">
        <f t="shared" si="1524"/>
        <v>55.614235239544712</v>
      </c>
      <c r="BH185" s="70">
        <f t="shared" si="1524"/>
        <v>63.563699549798606</v>
      </c>
      <c r="BI185" s="70">
        <f t="shared" si="1524"/>
        <v>61.67602866693661</v>
      </c>
      <c r="BJ185" s="70">
        <f t="shared" si="1524"/>
        <v>53.506812597721691</v>
      </c>
      <c r="BK185" s="70">
        <f t="shared" si="1524"/>
        <v>53.37321001217105</v>
      </c>
      <c r="BL185" s="70">
        <f t="shared" si="1524"/>
        <v>77.515155837672054</v>
      </c>
      <c r="BM185" s="70">
        <f t="shared" si="1524"/>
        <v>76.561162593328746</v>
      </c>
      <c r="BN185" s="70">
        <f t="shared" si="1524"/>
        <v>93.166735794276249</v>
      </c>
      <c r="BO185" s="70">
        <f t="shared" si="1524"/>
        <v>102.65585771836858</v>
      </c>
      <c r="BP185" s="70">
        <f t="shared" si="1524"/>
        <v>92.65108844572994</v>
      </c>
      <c r="BQ185" s="70">
        <f t="shared" si="1524"/>
        <v>87.556200533141435</v>
      </c>
      <c r="BR185" s="70">
        <f t="shared" si="1524"/>
        <v>95.7105171815342</v>
      </c>
      <c r="BS185" s="70">
        <f t="shared" si="1524"/>
        <v>91.554091493301726</v>
      </c>
      <c r="BT185" s="70">
        <f t="shared" si="1524"/>
        <v>96.49934689307706</v>
      </c>
      <c r="BU185" s="70">
        <f t="shared" si="1524"/>
        <v>92.297086272314488</v>
      </c>
      <c r="BV185" s="70">
        <f t="shared" si="1524"/>
        <v>93.987244462160476</v>
      </c>
      <c r="BW185" s="70">
        <f t="shared" si="1524"/>
        <v>84.783893266674227</v>
      </c>
      <c r="BX185" s="70">
        <f t="shared" si="1524"/>
        <v>72.778629968882868</v>
      </c>
      <c r="BY185" s="70">
        <f t="shared" si="1524"/>
        <v>76.091056963298044</v>
      </c>
      <c r="BZ185" s="70">
        <f t="shared" si="1524"/>
        <v>140.66059225512529</v>
      </c>
      <c r="CA185" s="70">
        <f t="shared" si="1524"/>
        <v>143.47807306753757</v>
      </c>
      <c r="CB185" s="70">
        <f t="shared" si="1524"/>
        <v>107.67190446260213</v>
      </c>
      <c r="CC185" s="70">
        <f t="shared" si="1524"/>
        <v>106.80790238717361</v>
      </c>
      <c r="CD185" s="70">
        <f t="shared" si="1524"/>
        <v>108.751921182266</v>
      </c>
      <c r="CE185" s="115">
        <f>CE156/CE10*90</f>
        <v>110.55392047913652</v>
      </c>
      <c r="CF185" s="70">
        <f>CF156/CF8*90</f>
        <v>102.64526409887674</v>
      </c>
      <c r="CG185" s="70">
        <f>CG156/CG10*90</f>
        <v>101.03541444629521</v>
      </c>
      <c r="CH185" s="70">
        <f>CH156/CH8*90</f>
        <v>118.40094017742058</v>
      </c>
      <c r="CI185" s="70">
        <f>CI183+CI184</f>
        <v>118.40094017742058</v>
      </c>
      <c r="CJ185" s="70">
        <f>CJ156/CJ8*90</f>
        <v>105.62577613693573</v>
      </c>
      <c r="CK185" s="70">
        <f t="shared" ref="CK185:DB185" si="1525">CK183+CK184</f>
        <v>105.62577613693573</v>
      </c>
      <c r="CL185" s="70">
        <f>CL156/CL8*90</f>
        <v>125.85954721998669</v>
      </c>
      <c r="CM185" s="50">
        <f t="shared" si="1525"/>
        <v>125.85954721998669</v>
      </c>
      <c r="CN185" s="50">
        <f t="shared" si="1525"/>
        <v>125.85954721998669</v>
      </c>
      <c r="CO185" s="50">
        <f t="shared" si="1525"/>
        <v>125.85954721998669</v>
      </c>
      <c r="CP185" s="50">
        <f t="shared" si="1525"/>
        <v>125.85954721998669</v>
      </c>
      <c r="CQ185" s="50">
        <f t="shared" si="1525"/>
        <v>125.85954721998669</v>
      </c>
      <c r="CR185" s="50">
        <f t="shared" si="1525"/>
        <v>125.85954721998669</v>
      </c>
      <c r="CS185" s="50">
        <f t="shared" si="1525"/>
        <v>125.85954721998669</v>
      </c>
      <c r="CT185" s="50">
        <f t="shared" si="1525"/>
        <v>125.85954721998669</v>
      </c>
      <c r="CU185" s="50">
        <f t="shared" si="1525"/>
        <v>125.85954721998669</v>
      </c>
      <c r="CV185" s="50">
        <f t="shared" si="1525"/>
        <v>125.85954721998669</v>
      </c>
      <c r="CW185" s="50">
        <f t="shared" si="1525"/>
        <v>125.85954721998669</v>
      </c>
      <c r="CX185" s="50">
        <f t="shared" si="1525"/>
        <v>125.85954721998669</v>
      </c>
      <c r="CY185" s="50">
        <f t="shared" si="1525"/>
        <v>125.85954721998669</v>
      </c>
      <c r="CZ185" s="50">
        <f t="shared" si="1525"/>
        <v>125.85954721998669</v>
      </c>
      <c r="DA185" s="50">
        <f t="shared" si="1525"/>
        <v>125.85954721998669</v>
      </c>
      <c r="DB185" s="50">
        <f t="shared" si="1525"/>
        <v>125.85954721998669</v>
      </c>
      <c r="DE185" s="138"/>
      <c r="DF185" s="7">
        <v>132.6639019998363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26">C182-C185</f>
        <v>#DIV/0!</v>
      </c>
      <c r="D186" s="70" t="e">
        <f t="shared" si="1526"/>
        <v>#DIV/0!</v>
      </c>
      <c r="E186" s="70" t="e">
        <f t="shared" si="1526"/>
        <v>#DIV/0!</v>
      </c>
      <c r="F186" s="70" t="e">
        <f t="shared" si="1526"/>
        <v>#DIV/0!</v>
      </c>
      <c r="G186" s="70" t="e">
        <f t="shared" si="1526"/>
        <v>#DIV/0!</v>
      </c>
      <c r="H186" s="70" t="e">
        <f t="shared" si="1526"/>
        <v>#DIV/0!</v>
      </c>
      <c r="I186" s="70" t="e">
        <f t="shared" si="1526"/>
        <v>#DIV/0!</v>
      </c>
      <c r="J186" s="70" t="e">
        <f t="shared" si="1526"/>
        <v>#DIV/0!</v>
      </c>
      <c r="K186" s="70" t="e">
        <f t="shared" si="1526"/>
        <v>#DIV/0!</v>
      </c>
      <c r="L186" s="70" t="e">
        <f t="shared" si="1526"/>
        <v>#DIV/0!</v>
      </c>
      <c r="M186" s="70" t="e">
        <f t="shared" si="1526"/>
        <v>#DIV/0!</v>
      </c>
      <c r="N186" s="70" t="e">
        <f t="shared" si="1526"/>
        <v>#DIV/0!</v>
      </c>
      <c r="O186" s="70">
        <f t="shared" si="1526"/>
        <v>287.73583260680033</v>
      </c>
      <c r="P186" s="70">
        <f t="shared" si="1526"/>
        <v>76.552336396134322</v>
      </c>
      <c r="Q186" s="70">
        <f t="shared" si="1526"/>
        <v>45.35418433239839</v>
      </c>
      <c r="R186" s="70">
        <f t="shared" si="1526"/>
        <v>76.060862605054936</v>
      </c>
      <c r="S186" s="70">
        <f t="shared" si="1526"/>
        <v>87.492460836380147</v>
      </c>
      <c r="T186" s="70">
        <f t="shared" si="1526"/>
        <v>71.385699938955952</v>
      </c>
      <c r="U186" s="70">
        <f t="shared" si="1526"/>
        <v>45.898631453435598</v>
      </c>
      <c r="V186" s="70">
        <f t="shared" si="1526"/>
        <v>32.979063067691769</v>
      </c>
      <c r="W186" s="70">
        <f t="shared" ref="W186" si="1527">W182-W185</f>
        <v>44.368692634366866</v>
      </c>
      <c r="X186" s="70">
        <f t="shared" ref="X186:Y186" si="1528">X182-X185</f>
        <v>8.0904089388009766</v>
      </c>
      <c r="Y186" s="70">
        <f t="shared" si="1528"/>
        <v>34.353653353788147</v>
      </c>
      <c r="Z186" s="70">
        <f t="shared" ref="Z186:AA186" si="1529">Z182-Z185</f>
        <v>38.179979672688773</v>
      </c>
      <c r="AA186" s="70">
        <f t="shared" si="1529"/>
        <v>19.670877327003694</v>
      </c>
      <c r="AB186" s="71">
        <f t="shared" ref="AB186:AD186" si="1530">AB182-AB185</f>
        <v>33.809347026681678</v>
      </c>
      <c r="AC186" s="71">
        <f t="shared" si="1530"/>
        <v>33.736869867198024</v>
      </c>
      <c r="AD186" s="71">
        <f t="shared" si="1530"/>
        <v>33.728971937881639</v>
      </c>
      <c r="AE186" s="71">
        <f t="shared" ref="AE186" si="1531">AE182-AE185</f>
        <v>33.728539852991076</v>
      </c>
      <c r="AI186" s="70" t="e">
        <f t="shared" ref="AI186:AK186" si="1532">AI182-AI185</f>
        <v>#DIV/0!</v>
      </c>
      <c r="AJ186" s="70" t="e">
        <f t="shared" ref="AJ186:AM186" si="1533">AJ182-AJ185</f>
        <v>#DIV/0!</v>
      </c>
      <c r="AK186" s="70" t="e">
        <f t="shared" si="1532"/>
        <v>#DIV/0!</v>
      </c>
      <c r="AL186" s="70" t="e">
        <f t="shared" si="1533"/>
        <v>#DIV/0!</v>
      </c>
      <c r="AM186" s="70" t="e">
        <f t="shared" si="1533"/>
        <v>#DIV/0!</v>
      </c>
      <c r="AN186" s="70" t="e">
        <f t="shared" ref="AN186:AY186" si="1534">AN182-AN185</f>
        <v>#DIV/0!</v>
      </c>
      <c r="AO186" s="70" t="e">
        <f t="shared" si="1534"/>
        <v>#DIV/0!</v>
      </c>
      <c r="AP186" s="70" t="e">
        <f t="shared" si="1534"/>
        <v>#DIV/0!</v>
      </c>
      <c r="AQ186" s="70" t="e">
        <f t="shared" si="1534"/>
        <v>#DIV/0!</v>
      </c>
      <c r="AR186" s="70" t="e">
        <f t="shared" si="1534"/>
        <v>#DIV/0!</v>
      </c>
      <c r="AS186" s="70" t="e">
        <f t="shared" si="1534"/>
        <v>#DIV/0!</v>
      </c>
      <c r="AT186" s="70" t="e">
        <f t="shared" si="1534"/>
        <v>#DIV/0!</v>
      </c>
      <c r="AU186" s="70" t="e">
        <f t="shared" si="1534"/>
        <v>#DIV/0!</v>
      </c>
      <c r="AV186" s="70">
        <f t="shared" si="1534"/>
        <v>0</v>
      </c>
      <c r="AW186" s="70">
        <f t="shared" si="1534"/>
        <v>0</v>
      </c>
      <c r="AX186" s="70">
        <f t="shared" si="1534"/>
        <v>42.78762166209134</v>
      </c>
      <c r="AY186" s="70">
        <f t="shared" si="1534"/>
        <v>42.815127549704954</v>
      </c>
      <c r="AZ186" s="70">
        <f t="shared" ref="AZ186:BC186" si="1535">AZ182-AZ185</f>
        <v>54.391637291843921</v>
      </c>
      <c r="BA186" s="70">
        <f t="shared" si="1535"/>
        <v>54.353946735467979</v>
      </c>
      <c r="BB186" s="70">
        <f t="shared" si="1535"/>
        <v>74.998153391604106</v>
      </c>
      <c r="BC186" s="70">
        <f t="shared" si="1535"/>
        <v>74.838334889907927</v>
      </c>
      <c r="BD186" s="70">
        <f t="shared" ref="BD186:CE186" si="1536">BD182-BD185</f>
        <v>82.614923384410389</v>
      </c>
      <c r="BE186" s="70">
        <f t="shared" si="1536"/>
        <v>81.175340334799657</v>
      </c>
      <c r="BF186" s="70">
        <f t="shared" si="1536"/>
        <v>76.638225255972685</v>
      </c>
      <c r="BG186" s="70">
        <f t="shared" si="1536"/>
        <v>75.797213581022902</v>
      </c>
      <c r="BH186" s="70">
        <f t="shared" si="1536"/>
        <v>59.327067372245445</v>
      </c>
      <c r="BI186" s="70">
        <f t="shared" si="1536"/>
        <v>59.560695436190606</v>
      </c>
      <c r="BJ186" s="70">
        <f t="shared" si="1536"/>
        <v>66.553495644404734</v>
      </c>
      <c r="BK186" s="70">
        <f t="shared" si="1536"/>
        <v>66.527939172095017</v>
      </c>
      <c r="BL186" s="70">
        <f t="shared" si="1536"/>
        <v>67.899579202624651</v>
      </c>
      <c r="BM186" s="70">
        <f t="shared" si="1536"/>
        <v>67.793361011162418</v>
      </c>
      <c r="BN186" s="70">
        <f t="shared" si="1536"/>
        <v>65.673994193280791</v>
      </c>
      <c r="BO186" s="70">
        <f t="shared" si="1536"/>
        <v>64.742600379808337</v>
      </c>
      <c r="BP186" s="70">
        <f t="shared" si="1536"/>
        <v>69.853097884000604</v>
      </c>
      <c r="BQ186" s="70">
        <f t="shared" si="1536"/>
        <v>69.907922753930848</v>
      </c>
      <c r="BR186" s="70">
        <f t="shared" si="1536"/>
        <v>56.986463033668841</v>
      </c>
      <c r="BS186" s="70">
        <f t="shared" si="1536"/>
        <v>57.266293343364808</v>
      </c>
      <c r="BT186" s="70">
        <f t="shared" si="1536"/>
        <v>58.802015301362175</v>
      </c>
      <c r="BU186" s="70">
        <f t="shared" si="1536"/>
        <v>59.603340921813782</v>
      </c>
      <c r="BV186" s="70">
        <f t="shared" si="1536"/>
        <v>61.802289163487274</v>
      </c>
      <c r="BW186" s="70">
        <f t="shared" si="1536"/>
        <v>62.419466341886448</v>
      </c>
      <c r="BX186" s="70">
        <f t="shared" si="1536"/>
        <v>43.451812245255738</v>
      </c>
      <c r="BY186" s="70">
        <f t="shared" si="1536"/>
        <v>43.081712492265552</v>
      </c>
      <c r="BZ186" s="70">
        <f t="shared" si="1536"/>
        <v>21.75778283978741</v>
      </c>
      <c r="CA186" s="70">
        <f t="shared" si="1536"/>
        <v>21.365885767990818</v>
      </c>
      <c r="CB186" s="70">
        <f t="shared" si="1536"/>
        <v>57.918290383406656</v>
      </c>
      <c r="CC186" s="70">
        <f t="shared" si="1536"/>
        <v>57.869807762810666</v>
      </c>
      <c r="CD186" s="70">
        <f t="shared" si="1536"/>
        <v>53.311921182266033</v>
      </c>
      <c r="CE186" s="115">
        <f t="shared" si="1536"/>
        <v>54.108307937099354</v>
      </c>
      <c r="CF186" s="70">
        <f t="shared" ref="CF186:CG186" si="1537">CF182-CF185</f>
        <v>64.852889735318115</v>
      </c>
      <c r="CG186" s="70">
        <f t="shared" si="1537"/>
        <v>63.8509449964845</v>
      </c>
      <c r="CH186" s="70">
        <f t="shared" ref="CH186:CI186" si="1538">CH182-CH185</f>
        <v>34.41276821593749</v>
      </c>
      <c r="CI186" s="70">
        <f t="shared" si="1538"/>
        <v>34.41276821593749</v>
      </c>
      <c r="CJ186" s="70">
        <f t="shared" ref="CJ186:DB186" si="1539">CJ182-CJ185</f>
        <v>48.254740728310097</v>
      </c>
      <c r="CK186" s="70">
        <f t="shared" si="1539"/>
        <v>48.254740728310097</v>
      </c>
      <c r="CL186" s="70">
        <f t="shared" ref="CL186" si="1540">CL182-CL185</f>
        <v>34.442422757969155</v>
      </c>
      <c r="CM186" s="50">
        <f t="shared" si="1539"/>
        <v>34.442422757969155</v>
      </c>
      <c r="CN186" s="50">
        <f t="shared" si="1539"/>
        <v>34.442422757969155</v>
      </c>
      <c r="CO186" s="50">
        <f t="shared" si="1539"/>
        <v>34.442422757969155</v>
      </c>
      <c r="CP186" s="50">
        <f t="shared" si="1539"/>
        <v>34.442422757969155</v>
      </c>
      <c r="CQ186" s="50">
        <f t="shared" si="1539"/>
        <v>34.442422757969155</v>
      </c>
      <c r="CR186" s="50">
        <f t="shared" si="1539"/>
        <v>34.442422757969155</v>
      </c>
      <c r="CS186" s="50">
        <f t="shared" si="1539"/>
        <v>34.442422757969155</v>
      </c>
      <c r="CT186" s="50">
        <f t="shared" si="1539"/>
        <v>34.442422757969155</v>
      </c>
      <c r="CU186" s="50">
        <f t="shared" si="1539"/>
        <v>34.442422757969155</v>
      </c>
      <c r="CV186" s="50">
        <f t="shared" si="1539"/>
        <v>34.442422757969155</v>
      </c>
      <c r="CW186" s="50">
        <f t="shared" si="1539"/>
        <v>34.442422757969155</v>
      </c>
      <c r="CX186" s="50">
        <f t="shared" si="1539"/>
        <v>34.442422757969155</v>
      </c>
      <c r="CY186" s="50">
        <f t="shared" si="1539"/>
        <v>34.442422757969155</v>
      </c>
      <c r="CZ186" s="50">
        <f t="shared" si="1539"/>
        <v>34.442422757969155</v>
      </c>
      <c r="DA186" s="50">
        <f t="shared" si="1539"/>
        <v>34.442422757969155</v>
      </c>
      <c r="DB186" s="50">
        <f t="shared" si="1539"/>
        <v>34.442422757969155</v>
      </c>
      <c r="DE186" s="138"/>
      <c r="DF186" s="7">
        <v>19.670877327003694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41">C10/B10-1</f>
        <v>#DIV/0!</v>
      </c>
      <c r="D188" s="86" t="e">
        <f t="shared" si="1541"/>
        <v>#DIV/0!</v>
      </c>
      <c r="E188" s="86" t="e">
        <f t="shared" si="1541"/>
        <v>#DIV/0!</v>
      </c>
      <c r="F188" s="86" t="e">
        <f t="shared" si="1541"/>
        <v>#DIV/0!</v>
      </c>
      <c r="G188" s="86" t="e">
        <f t="shared" si="1541"/>
        <v>#DIV/0!</v>
      </c>
      <c r="H188" s="86" t="e">
        <f t="shared" si="1541"/>
        <v>#DIV/0!</v>
      </c>
      <c r="I188" s="86" t="e">
        <f t="shared" si="1541"/>
        <v>#DIV/0!</v>
      </c>
      <c r="J188" s="86" t="e">
        <f t="shared" si="1541"/>
        <v>#DIV/0!</v>
      </c>
      <c r="K188" s="86" t="e">
        <f t="shared" si="1541"/>
        <v>#DIV/0!</v>
      </c>
      <c r="L188" s="86" t="e">
        <f t="shared" si="1541"/>
        <v>#DIV/0!</v>
      </c>
      <c r="M188" s="86" t="e">
        <f t="shared" si="1541"/>
        <v>#DIV/0!</v>
      </c>
      <c r="N188" s="86" t="e">
        <f t="shared" si="1541"/>
        <v>#DIV/0!</v>
      </c>
      <c r="O188" s="86" t="e">
        <f t="shared" si="1541"/>
        <v>#DIV/0!</v>
      </c>
      <c r="P188" s="86">
        <f t="shared" si="1541"/>
        <v>19.754751525719268</v>
      </c>
      <c r="Q188" s="86">
        <f t="shared" si="1541"/>
        <v>0.17091895867567231</v>
      </c>
      <c r="R188" s="86">
        <f t="shared" si="1541"/>
        <v>5.9389472311003999E-2</v>
      </c>
      <c r="S188" s="86">
        <f t="shared" si="1541"/>
        <v>0.1535572453283256</v>
      </c>
      <c r="T188" s="86">
        <f t="shared" si="1541"/>
        <v>0.35526140215099677</v>
      </c>
      <c r="U188" s="86">
        <f t="shared" si="1541"/>
        <v>0.1064923301104701</v>
      </c>
      <c r="V188" s="86">
        <f t="shared" si="1541"/>
        <v>-3.0147176594116587E-2</v>
      </c>
      <c r="W188" s="86">
        <f t="shared" si="1541"/>
        <v>0.20551589995779596</v>
      </c>
      <c r="X188" s="86">
        <f t="shared" si="1541"/>
        <v>0.34184209324626691</v>
      </c>
      <c r="Y188" s="86">
        <f t="shared" si="1541"/>
        <v>9.4356531109976771E-2</v>
      </c>
      <c r="Z188" s="86">
        <f>Z10/Y10-1</f>
        <v>-5.2864532045215906E-4</v>
      </c>
      <c r="AA188" s="86">
        <f>AA10/Z10-1</f>
        <v>0.14039327124515144</v>
      </c>
      <c r="AB188" s="87">
        <f t="shared" ref="AB188:AE188" si="1542">AB10/AA10-1</f>
        <v>0.14873402303866223</v>
      </c>
      <c r="AC188" s="87">
        <f t="shared" si="1542"/>
        <v>8.1266446940486459E-2</v>
      </c>
      <c r="AD188" s="87">
        <f t="shared" si="1542"/>
        <v>8.0198543572288727E-2</v>
      </c>
      <c r="AE188" s="87">
        <f t="shared" si="1542"/>
        <v>8.0014389355665294E-2</v>
      </c>
      <c r="AN188" s="86" t="e">
        <f t="shared" ref="AN188:CI188" si="1543">+(AN10+AM10)/(AJ10+AI10)-1</f>
        <v>#DIV/0!</v>
      </c>
      <c r="AO188" s="86" t="e">
        <f t="shared" si="1543"/>
        <v>#DIV/0!</v>
      </c>
      <c r="AP188" s="86" t="e">
        <f t="shared" si="1543"/>
        <v>#DIV/0!</v>
      </c>
      <c r="AQ188" s="86" t="e">
        <f t="shared" si="1543"/>
        <v>#DIV/0!</v>
      </c>
      <c r="AR188" s="86" t="e">
        <f t="shared" si="1543"/>
        <v>#DIV/0!</v>
      </c>
      <c r="AS188" s="86" t="e">
        <f t="shared" si="1543"/>
        <v>#DIV/0!</v>
      </c>
      <c r="AT188" s="86" t="e">
        <f t="shared" si="1543"/>
        <v>#DIV/0!</v>
      </c>
      <c r="AU188" s="86" t="e">
        <f t="shared" si="1543"/>
        <v>#DIV/0!</v>
      </c>
      <c r="AV188" s="86" t="e">
        <f t="shared" si="1543"/>
        <v>#DIV/0!</v>
      </c>
      <c r="AW188" s="86" t="e">
        <f t="shared" si="1543"/>
        <v>#DIV/0!</v>
      </c>
      <c r="AX188" s="86" t="e">
        <f t="shared" si="1543"/>
        <v>#DIV/0!</v>
      </c>
      <c r="AY188" s="86" t="e">
        <f t="shared" si="1543"/>
        <v>#DIV/0!</v>
      </c>
      <c r="AZ188" s="86">
        <f t="shared" si="1543"/>
        <v>1.1067910834629342</v>
      </c>
      <c r="BA188" s="86">
        <f t="shared" si="1543"/>
        <v>5.2390772006701614E-2</v>
      </c>
      <c r="BB188" s="86">
        <f t="shared" si="1543"/>
        <v>2.5986342943854268E-2</v>
      </c>
      <c r="BC188" s="86">
        <f t="shared" si="1543"/>
        <v>1.9073739325562666E-2</v>
      </c>
      <c r="BD188" s="86">
        <f t="shared" si="1543"/>
        <v>6.0039370078740273E-2</v>
      </c>
      <c r="BE188" s="86">
        <f t="shared" si="1543"/>
        <v>0.14487783969138457</v>
      </c>
      <c r="BF188" s="86">
        <f t="shared" si="1543"/>
        <v>0.24724225057003779</v>
      </c>
      <c r="BG188" s="86">
        <f t="shared" si="1543"/>
        <v>0.34992965930637943</v>
      </c>
      <c r="BH188" s="86">
        <f t="shared" si="1543"/>
        <v>0.40337743732590536</v>
      </c>
      <c r="BI188" s="86">
        <f t="shared" si="1543"/>
        <v>0.38150505428678394</v>
      </c>
      <c r="BJ188" s="86">
        <f t="shared" si="1543"/>
        <v>0.31429418449528135</v>
      </c>
      <c r="BK188" s="86">
        <f t="shared" si="1543"/>
        <v>0.21912097870412328</v>
      </c>
      <c r="BL188" s="86">
        <f t="shared" si="1543"/>
        <v>0.13699706405326051</v>
      </c>
      <c r="BM188" s="86">
        <f t="shared" si="1543"/>
        <v>9.3689508323654636E-2</v>
      </c>
      <c r="BN188" s="86">
        <f t="shared" si="1543"/>
        <v>7.8759398496240696E-2</v>
      </c>
      <c r="BO188" s="86">
        <f t="shared" si="1543"/>
        <v>1.8843380658589259E-2</v>
      </c>
      <c r="BP188" s="86">
        <f t="shared" si="1543"/>
        <v>-5.131655513529243E-2</v>
      </c>
      <c r="BQ188" s="86">
        <f t="shared" si="1543"/>
        <v>-3.9115044247787556E-2</v>
      </c>
      <c r="BR188" s="86">
        <f t="shared" si="1543"/>
        <v>-9.8623453563339014E-3</v>
      </c>
      <c r="BS188" s="86">
        <f t="shared" si="1543"/>
        <v>7.93783971108597E-2</v>
      </c>
      <c r="BT188" s="86">
        <f t="shared" si="1543"/>
        <v>0.1984282154494923</v>
      </c>
      <c r="BU188" s="86">
        <f t="shared" si="1543"/>
        <v>0.21392521643028184</v>
      </c>
      <c r="BV188" s="86">
        <f t="shared" si="1543"/>
        <v>0.21202308883570331</v>
      </c>
      <c r="BW188" s="86">
        <f t="shared" si="1543"/>
        <v>0.27151982155530763</v>
      </c>
      <c r="BX188" s="86">
        <f t="shared" si="1543"/>
        <v>0.37164518089632415</v>
      </c>
      <c r="BY188" s="86">
        <f t="shared" si="1543"/>
        <v>0.34701990774459812</v>
      </c>
      <c r="BZ188" s="86">
        <f t="shared" si="1543"/>
        <v>0.31478685096991543</v>
      </c>
      <c r="CA188" s="86">
        <f t="shared" si="1543"/>
        <v>0.24179358371209103</v>
      </c>
      <c r="CB188" s="86">
        <f t="shared" si="1543"/>
        <v>9.3285757596958785E-2</v>
      </c>
      <c r="CC188" s="86">
        <f t="shared" si="1543"/>
        <v>8.3267623403248781E-2</v>
      </c>
      <c r="CD188" s="86">
        <f t="shared" si="1543"/>
        <v>9.5348529021998418E-2</v>
      </c>
      <c r="CE188" s="86">
        <f t="shared" si="1543"/>
        <v>7.0077054794520421E-2</v>
      </c>
      <c r="CF188" s="86">
        <f t="shared" si="1543"/>
        <v>7.3999018750400047E-2</v>
      </c>
      <c r="CG188" s="86">
        <f t="shared" si="1543"/>
        <v>8.6849822182476055E-2</v>
      </c>
      <c r="CH188" s="86">
        <f t="shared" si="1543"/>
        <v>6.6844111064061407E-2</v>
      </c>
      <c r="CI188" s="86">
        <f t="shared" si="1543"/>
        <v>0.10089210705284657</v>
      </c>
      <c r="CJ188" s="86">
        <f>+(CJ10+CI10)/(CF10+CE10)-1</f>
        <v>0.16101930563279576</v>
      </c>
      <c r="CL188" s="86">
        <f>+(CL10+CK10)/(CH10+CG10)-1</f>
        <v>9.2726997807514921E-2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0.14039327124515144</v>
      </c>
    </row>
    <row r="189" spans="1:110" s="86" customFormat="1" x14ac:dyDescent="0.2">
      <c r="A189" s="86" t="s">
        <v>441</v>
      </c>
      <c r="C189" s="86" t="e">
        <f t="shared" ref="C189" si="1544">C186/B186-1</f>
        <v>#DIV/0!</v>
      </c>
      <c r="D189" s="86" t="e">
        <f t="shared" ref="D189" si="1545">D186/C186-1</f>
        <v>#DIV/0!</v>
      </c>
      <c r="E189" s="86" t="e">
        <f>E186/D186-1</f>
        <v>#DIV/0!</v>
      </c>
      <c r="F189" s="86" t="e">
        <f t="shared" ref="F189" si="1546">F186/E186-1</f>
        <v>#DIV/0!</v>
      </c>
      <c r="G189" s="86" t="e">
        <f t="shared" ref="G189" si="1547">G186/F186-1</f>
        <v>#DIV/0!</v>
      </c>
      <c r="H189" s="86" t="e">
        <f t="shared" ref="H189" si="1548">H186/G186-1</f>
        <v>#DIV/0!</v>
      </c>
      <c r="I189" s="86" t="e">
        <f t="shared" ref="I189" si="1549">I186/H186-1</f>
        <v>#DIV/0!</v>
      </c>
      <c r="J189" s="86" t="e">
        <f t="shared" ref="J189" si="1550">J186/I186-1</f>
        <v>#DIV/0!</v>
      </c>
      <c r="K189" s="86" t="e">
        <f>K186/J186-1</f>
        <v>#DIV/0!</v>
      </c>
      <c r="L189" s="86" t="e">
        <f t="shared" ref="L189" si="1551">L186/K186-1</f>
        <v>#DIV/0!</v>
      </c>
      <c r="M189" s="86" t="e">
        <f t="shared" ref="M189" si="1552">M186/L186-1</f>
        <v>#DIV/0!</v>
      </c>
      <c r="N189" s="86" t="e">
        <f t="shared" ref="N189" si="1553">N186/M186-1</f>
        <v>#DIV/0!</v>
      </c>
      <c r="O189" s="86" t="e">
        <f t="shared" ref="O189" si="1554">O186/N186-1</f>
        <v>#DIV/0!</v>
      </c>
      <c r="P189" s="86">
        <f t="shared" ref="P189" si="1555">P186/O186-1</f>
        <v>-0.73394924190500321</v>
      </c>
      <c r="Q189" s="86">
        <f t="shared" ref="Q189" si="1556">Q186/P186-1</f>
        <v>-0.40754016836658369</v>
      </c>
      <c r="R189" s="86">
        <f t="shared" ref="R189" si="1557">R186/Q186-1</f>
        <v>0.67704179282795485</v>
      </c>
      <c r="S189" s="86">
        <f t="shared" ref="S189" si="1558">S186/R186-1</f>
        <v>0.15029540607084146</v>
      </c>
      <c r="T189" s="86">
        <f t="shared" ref="T189" si="1559">T186/S186-1</f>
        <v>-0.18409312920738952</v>
      </c>
      <c r="U189" s="86">
        <f t="shared" ref="U189" si="1560">U186/T186-1</f>
        <v>-0.3570332504593372</v>
      </c>
      <c r="V189" s="86">
        <f t="shared" ref="V189" si="1561">V186/U186-1</f>
        <v>-0.28148047069444326</v>
      </c>
      <c r="W189" s="86">
        <f t="shared" ref="W189:AA189" si="1562">W186/V186-1</f>
        <v>0.3453594040345267</v>
      </c>
      <c r="X189" s="86">
        <f t="shared" si="1562"/>
        <v>-0.81765500720356243</v>
      </c>
      <c r="Y189" s="86">
        <f t="shared" si="1562"/>
        <v>3.2462196427464471</v>
      </c>
      <c r="Z189" s="86">
        <f t="shared" si="1562"/>
        <v>0.11138047763058956</v>
      </c>
      <c r="AA189" s="86">
        <f t="shared" si="1562"/>
        <v>-0.48478554740889945</v>
      </c>
      <c r="AB189" s="87">
        <f t="shared" ref="AB189" si="1563">AB186/AA186-1</f>
        <v>0.71875135331503714</v>
      </c>
      <c r="AC189" s="87">
        <f t="shared" ref="AC189" si="1564">AC186/AB186-1</f>
        <v>-2.1437018415781939E-3</v>
      </c>
      <c r="AD189" s="87">
        <f t="shared" ref="AD189" si="1565">AD186/AC186-1</f>
        <v>-2.3410379645394386E-4</v>
      </c>
      <c r="AE189" s="87">
        <f t="shared" ref="AE189" si="1566">AE186/AD186-1</f>
        <v>-1.2810496903270518E-5</v>
      </c>
      <c r="AN189" s="86" t="e">
        <f t="shared" ref="AN189:CI189" si="1567">+AN186/AJ186-1</f>
        <v>#DIV/0!</v>
      </c>
      <c r="AO189" s="86" t="e">
        <f t="shared" si="1567"/>
        <v>#DIV/0!</v>
      </c>
      <c r="AP189" s="86" t="e">
        <f t="shared" si="1567"/>
        <v>#DIV/0!</v>
      </c>
      <c r="AQ189" s="86" t="e">
        <f t="shared" si="1567"/>
        <v>#DIV/0!</v>
      </c>
      <c r="AR189" s="86" t="e">
        <f t="shared" si="1567"/>
        <v>#DIV/0!</v>
      </c>
      <c r="AS189" s="86" t="e">
        <f t="shared" si="1567"/>
        <v>#DIV/0!</v>
      </c>
      <c r="AT189" s="86" t="e">
        <f t="shared" si="1567"/>
        <v>#DIV/0!</v>
      </c>
      <c r="AU189" s="86" t="e">
        <f t="shared" si="1567"/>
        <v>#DIV/0!</v>
      </c>
      <c r="AV189" s="86" t="e">
        <f t="shared" si="1567"/>
        <v>#DIV/0!</v>
      </c>
      <c r="AW189" s="86" t="e">
        <f t="shared" si="1567"/>
        <v>#DIV/0!</v>
      </c>
      <c r="AX189" s="86" t="e">
        <f t="shared" si="1567"/>
        <v>#DIV/0!</v>
      </c>
      <c r="AY189" s="86" t="e">
        <f t="shared" si="1567"/>
        <v>#DIV/0!</v>
      </c>
      <c r="AZ189" s="86" t="e">
        <f t="shared" si="1567"/>
        <v>#DIV/0!</v>
      </c>
      <c r="BA189" s="86" t="e">
        <f t="shared" si="1567"/>
        <v>#DIV/0!</v>
      </c>
      <c r="BB189" s="86">
        <f t="shared" si="1567"/>
        <v>0.75280023703795651</v>
      </c>
      <c r="BC189" s="86">
        <f t="shared" si="1567"/>
        <v>0.74794142100888483</v>
      </c>
      <c r="BD189" s="86">
        <f t="shared" si="1567"/>
        <v>0.51889017315532393</v>
      </c>
      <c r="BE189" s="86">
        <f t="shared" si="1567"/>
        <v>0.49345806901322442</v>
      </c>
      <c r="BF189" s="86">
        <f t="shared" si="1567"/>
        <v>2.1868163284033404E-2</v>
      </c>
      <c r="BG189" s="86">
        <f t="shared" si="1567"/>
        <v>1.2812667365268648E-2</v>
      </c>
      <c r="BH189" s="86">
        <f t="shared" si="1567"/>
        <v>-0.28188437461602023</v>
      </c>
      <c r="BI189" s="86">
        <f t="shared" si="1567"/>
        <v>-0.2662710720948207</v>
      </c>
      <c r="BJ189" s="86">
        <f t="shared" si="1567"/>
        <v>-0.13158876758803872</v>
      </c>
      <c r="BK189" s="86">
        <f t="shared" si="1567"/>
        <v>-0.12229043748448032</v>
      </c>
      <c r="BL189" s="86">
        <f t="shared" si="1567"/>
        <v>0.14449579610249907</v>
      </c>
      <c r="BM189" s="86">
        <f t="shared" si="1567"/>
        <v>0.13822312709212303</v>
      </c>
      <c r="BN189" s="86">
        <f t="shared" si="1567"/>
        <v>-1.3214955016384367E-2</v>
      </c>
      <c r="BO189" s="86">
        <f t="shared" si="1567"/>
        <v>-2.6835925094092494E-2</v>
      </c>
      <c r="BP189" s="86">
        <f t="shared" si="1567"/>
        <v>2.8770703799890995E-2</v>
      </c>
      <c r="BQ189" s="86">
        <f t="shared" si="1567"/>
        <v>3.1191280550617151E-2</v>
      </c>
      <c r="BR189" s="86">
        <f t="shared" si="1567"/>
        <v>-0.13228266784024512</v>
      </c>
      <c r="BS189" s="86">
        <f t="shared" si="1567"/>
        <v>-0.11547739807459467</v>
      </c>
      <c r="BT189" s="86">
        <f t="shared" si="1567"/>
        <v>-0.15820461679437714</v>
      </c>
      <c r="BU189" s="86">
        <f t="shared" si="1567"/>
        <v>-0.14740220315783381</v>
      </c>
      <c r="BV189" s="86">
        <f t="shared" si="1567"/>
        <v>8.4508247633708011E-2</v>
      </c>
      <c r="BW189" s="86">
        <f t="shared" si="1567"/>
        <v>8.99861453861448E-2</v>
      </c>
      <c r="BX189" s="86">
        <f t="shared" si="1567"/>
        <v>-0.26104892795657031</v>
      </c>
      <c r="BY189" s="86">
        <f t="shared" si="1567"/>
        <v>-0.27719299244015372</v>
      </c>
      <c r="BZ189" s="86">
        <f t="shared" si="1567"/>
        <v>-0.64794535713343959</v>
      </c>
      <c r="CA189" s="86">
        <f t="shared" si="1567"/>
        <v>-0.65770476711600323</v>
      </c>
      <c r="CB189" s="86">
        <f t="shared" si="1567"/>
        <v>0.3329315255367844</v>
      </c>
      <c r="CC189" s="86">
        <f t="shared" si="1567"/>
        <v>0.34325690449747137</v>
      </c>
      <c r="CD189" s="86">
        <f t="shared" si="1567"/>
        <v>1.4502460372376311</v>
      </c>
      <c r="CE189" s="86">
        <f t="shared" si="1567"/>
        <v>1.5324626614900945</v>
      </c>
      <c r="CF189" s="86">
        <f t="shared" si="1567"/>
        <v>0.11973073283078461</v>
      </c>
      <c r="CG189" s="86">
        <f t="shared" si="1567"/>
        <v>0.10335505620112917</v>
      </c>
      <c r="CH189" s="86">
        <f t="shared" si="1567"/>
        <v>-0.35450144258945337</v>
      </c>
      <c r="CI189" s="86">
        <f t="shared" si="1567"/>
        <v>-0.36400213704811901</v>
      </c>
      <c r="CJ189" s="86">
        <f>+CJ186/CF186-1</f>
        <v>-0.25593538043947583</v>
      </c>
      <c r="CL189" s="86">
        <f>+CL186/CH186-1</f>
        <v>8.6173079264018071E-4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-0.48478554740889945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568">IF(E189&gt;E188,"RF",0)</f>
        <v>#DIV/0!</v>
      </c>
      <c r="F190" s="103" t="e">
        <f t="shared" si="1568"/>
        <v>#DIV/0!</v>
      </c>
      <c r="G190" s="103" t="e">
        <f t="shared" si="1568"/>
        <v>#DIV/0!</v>
      </c>
      <c r="H190" s="103" t="e">
        <f t="shared" si="1568"/>
        <v>#DIV/0!</v>
      </c>
      <c r="I190" s="103" t="e">
        <f t="shared" si="1568"/>
        <v>#DIV/0!</v>
      </c>
      <c r="J190" s="103" t="e">
        <f t="shared" si="1568"/>
        <v>#DIV/0!</v>
      </c>
      <c r="K190" s="103" t="e">
        <f t="shared" si="1568"/>
        <v>#DIV/0!</v>
      </c>
      <c r="L190" s="103" t="e">
        <f t="shared" si="1568"/>
        <v>#DIV/0!</v>
      </c>
      <c r="M190" s="103" t="e">
        <f t="shared" si="1568"/>
        <v>#DIV/0!</v>
      </c>
      <c r="N190" s="103" t="e">
        <f t="shared" si="1568"/>
        <v>#DIV/0!</v>
      </c>
      <c r="O190" s="103" t="e">
        <f t="shared" si="1568"/>
        <v>#DIV/0!</v>
      </c>
      <c r="P190" s="103">
        <f t="shared" si="1568"/>
        <v>0</v>
      </c>
      <c r="Q190" s="103">
        <f t="shared" si="1568"/>
        <v>0</v>
      </c>
      <c r="R190" s="103" t="str">
        <f t="shared" si="1568"/>
        <v>RF</v>
      </c>
      <c r="S190" s="103">
        <f t="shared" si="1568"/>
        <v>0</v>
      </c>
      <c r="T190" s="103">
        <f t="shared" si="1568"/>
        <v>0</v>
      </c>
      <c r="U190" s="103">
        <f t="shared" si="1568"/>
        <v>0</v>
      </c>
      <c r="V190" s="103">
        <f>IF(V189&gt;V188,"RF",0)</f>
        <v>0</v>
      </c>
      <c r="W190" s="103" t="str">
        <f t="shared" ref="W190" si="1569">IF(W189&gt;W188,"RF",0)</f>
        <v>RF</v>
      </c>
      <c r="X190" s="103">
        <f t="shared" ref="X190:Y190" si="1570">IF(X189&gt;X188,"RF",0)</f>
        <v>0</v>
      </c>
      <c r="Y190" s="103" t="str">
        <f t="shared" si="1570"/>
        <v>RF</v>
      </c>
      <c r="Z190" s="103" t="str">
        <f t="shared" ref="Z190:AA190" si="1571">IF(Z189&gt;Z188,"RF",0)</f>
        <v>RF</v>
      </c>
      <c r="AA190" s="103">
        <f t="shared" si="1571"/>
        <v>0</v>
      </c>
      <c r="AB190" s="73" t="str">
        <f t="shared" ref="AB190:AD190" si="1572">IF(AB189&gt;AB188,"RF",0)</f>
        <v>RF</v>
      </c>
      <c r="AC190" s="73">
        <f t="shared" si="1572"/>
        <v>0</v>
      </c>
      <c r="AD190" s="73">
        <f t="shared" si="1572"/>
        <v>0</v>
      </c>
      <c r="AE190" s="73">
        <f t="shared" ref="AE190" si="1573">IF(AE189&gt;AE188,"RF",0)</f>
        <v>0</v>
      </c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4">C48</f>
        <v>0</v>
      </c>
      <c r="D193" s="23">
        <f t="shared" si="1574"/>
        <v>0</v>
      </c>
      <c r="E193" s="23">
        <f t="shared" si="1574"/>
        <v>0</v>
      </c>
      <c r="F193" s="23">
        <f t="shared" si="1574"/>
        <v>0</v>
      </c>
      <c r="G193" s="23">
        <f t="shared" si="1574"/>
        <v>0</v>
      </c>
      <c r="H193" s="23">
        <f t="shared" si="1574"/>
        <v>0</v>
      </c>
      <c r="I193" s="23">
        <f t="shared" si="1574"/>
        <v>0</v>
      </c>
      <c r="J193" s="23">
        <f t="shared" si="1574"/>
        <v>0</v>
      </c>
      <c r="K193" s="23">
        <f t="shared" si="1574"/>
        <v>0</v>
      </c>
      <c r="L193" s="23">
        <f t="shared" si="1574"/>
        <v>0</v>
      </c>
      <c r="M193" s="23">
        <f t="shared" si="1574"/>
        <v>0</v>
      </c>
      <c r="N193" s="23">
        <f t="shared" si="1574"/>
        <v>-3.0000000000000001E-3</v>
      </c>
      <c r="O193" s="23">
        <f t="shared" si="1574"/>
        <v>6.2139999999999995</v>
      </c>
      <c r="P193" s="23">
        <f t="shared" si="1574"/>
        <v>310.89699999999982</v>
      </c>
      <c r="Q193" s="23">
        <f t="shared" si="1574"/>
        <v>419.09999999999968</v>
      </c>
      <c r="R193" s="23">
        <f t="shared" si="1574"/>
        <v>424.90000000000003</v>
      </c>
      <c r="S193" s="23">
        <f t="shared" si="1574"/>
        <v>506.00000000000006</v>
      </c>
      <c r="T193" s="23">
        <f t="shared" si="1574"/>
        <v>765.59999999999945</v>
      </c>
      <c r="U193" s="23">
        <f t="shared" si="1574"/>
        <v>818.59999999999968</v>
      </c>
      <c r="V193" s="23">
        <f t="shared" si="1574"/>
        <v>663.30000000000018</v>
      </c>
      <c r="W193" s="23">
        <f t="shared" si="1574"/>
        <v>956.99999999999932</v>
      </c>
      <c r="X193" s="23">
        <f t="shared" si="1574"/>
        <v>1212.1000000000015</v>
      </c>
      <c r="Y193" s="23">
        <f t="shared" si="1574"/>
        <v>1303.6999999999991</v>
      </c>
      <c r="Z193" s="23">
        <f t="shared" si="1574"/>
        <v>1266.7</v>
      </c>
      <c r="AA193" s="23">
        <f t="shared" ref="AA193" si="1575">AA48</f>
        <v>1279.2000000000003</v>
      </c>
      <c r="AB193" s="24">
        <f t="shared" si="1574"/>
        <v>1554.0441980247715</v>
      </c>
      <c r="AC193" s="24">
        <f t="shared" si="1574"/>
        <v>1779.0437973159519</v>
      </c>
      <c r="AD193" s="24">
        <f t="shared" si="1574"/>
        <v>2009.5267152443048</v>
      </c>
      <c r="AE193" s="24">
        <f t="shared" si="1574"/>
        <v>2254.9300120539519</v>
      </c>
      <c r="AI193" s="23">
        <f t="shared" ref="AI193:BN193" si="1576">AI48</f>
        <v>0</v>
      </c>
      <c r="AJ193" s="23">
        <f t="shared" si="1576"/>
        <v>0</v>
      </c>
      <c r="AK193" s="23">
        <f t="shared" si="1576"/>
        <v>0</v>
      </c>
      <c r="AL193" s="23">
        <f t="shared" si="1576"/>
        <v>0</v>
      </c>
      <c r="AM193" s="23">
        <f t="shared" si="1576"/>
        <v>0</v>
      </c>
      <c r="AN193" s="23">
        <f t="shared" si="1576"/>
        <v>0</v>
      </c>
      <c r="AO193" s="23">
        <f t="shared" si="1576"/>
        <v>0</v>
      </c>
      <c r="AP193" s="23">
        <f t="shared" si="1576"/>
        <v>0</v>
      </c>
      <c r="AQ193" s="23">
        <f t="shared" si="1576"/>
        <v>0</v>
      </c>
      <c r="AR193" s="23">
        <f t="shared" si="1576"/>
        <v>0</v>
      </c>
      <c r="AS193" s="23">
        <f t="shared" si="1576"/>
        <v>0</v>
      </c>
      <c r="AT193" s="23">
        <f t="shared" si="1576"/>
        <v>0</v>
      </c>
      <c r="AU193" s="23">
        <f t="shared" si="1576"/>
        <v>0</v>
      </c>
      <c r="AV193" s="23">
        <f t="shared" si="1576"/>
        <v>93.6</v>
      </c>
      <c r="AW193" s="23">
        <f t="shared" si="1576"/>
        <v>130.80000000000004</v>
      </c>
      <c r="AX193" s="23">
        <f t="shared" si="1576"/>
        <v>108.99999999999997</v>
      </c>
      <c r="AY193" s="23">
        <f t="shared" si="1576"/>
        <v>108.29999999999998</v>
      </c>
      <c r="AZ193" s="23">
        <f t="shared" si="1576"/>
        <v>111.90000000000006</v>
      </c>
      <c r="BA193" s="23">
        <f t="shared" si="1576"/>
        <v>108.69999999999992</v>
      </c>
      <c r="BB193" s="23">
        <f t="shared" si="1576"/>
        <v>95.999999999999915</v>
      </c>
      <c r="BC193" s="23">
        <f t="shared" si="1576"/>
        <v>98.199999999999932</v>
      </c>
      <c r="BD193" s="23">
        <f t="shared" si="1576"/>
        <v>122.7</v>
      </c>
      <c r="BE193" s="23">
        <f t="shared" si="1576"/>
        <v>126.3</v>
      </c>
      <c r="BF193" s="23">
        <f t="shared" si="1576"/>
        <v>158.79999999999998</v>
      </c>
      <c r="BG193" s="23">
        <f t="shared" si="1576"/>
        <v>197.50000000000003</v>
      </c>
      <c r="BH193" s="23">
        <f t="shared" si="1576"/>
        <v>190.99999999999997</v>
      </c>
      <c r="BI193" s="23">
        <f t="shared" si="1576"/>
        <v>185.60000000000005</v>
      </c>
      <c r="BJ193" s="23">
        <f t="shared" si="1576"/>
        <v>191.49999999999989</v>
      </c>
      <c r="BK193" s="23">
        <f t="shared" si="1576"/>
        <v>203.90000000000003</v>
      </c>
      <c r="BL193" s="23">
        <f t="shared" si="1576"/>
        <v>205.79999999999978</v>
      </c>
      <c r="BM193" s="23">
        <f t="shared" si="1576"/>
        <v>204.10000000000025</v>
      </c>
      <c r="BN193" s="23">
        <f t="shared" si="1576"/>
        <v>204.79999999999973</v>
      </c>
      <c r="BO193" s="23">
        <f t="shared" ref="BO193:CT193" si="1577">BO48</f>
        <v>117.2000000000001</v>
      </c>
      <c r="BP193" s="23">
        <f t="shared" si="1577"/>
        <v>165.49999999999994</v>
      </c>
      <c r="BQ193" s="23">
        <f t="shared" si="1577"/>
        <v>186.10000000000008</v>
      </c>
      <c r="BR193" s="23">
        <f t="shared" si="1577"/>
        <v>194.49999999999991</v>
      </c>
      <c r="BS193" s="23">
        <f t="shared" si="1577"/>
        <v>216.20000000000027</v>
      </c>
      <c r="BT193" s="23">
        <f t="shared" si="1577"/>
        <v>229.99999999999997</v>
      </c>
      <c r="BU193" s="23">
        <f t="shared" si="1577"/>
        <v>248.80000000000007</v>
      </c>
      <c r="BV193" s="23">
        <f t="shared" si="1577"/>
        <v>261.99999999999994</v>
      </c>
      <c r="BW193" s="23">
        <f t="shared" si="1577"/>
        <v>275.40000000000003</v>
      </c>
      <c r="BX193" s="23">
        <f t="shared" si="1577"/>
        <v>299.89999999999986</v>
      </c>
      <c r="BY193" s="23">
        <f t="shared" si="1577"/>
        <v>296.79999999999995</v>
      </c>
      <c r="BZ193" s="23">
        <f t="shared" si="1577"/>
        <v>340.0999999999998</v>
      </c>
      <c r="CA193" s="23">
        <f t="shared" si="1577"/>
        <v>311.10000000000019</v>
      </c>
      <c r="CB193" s="23">
        <f t="shared" si="1577"/>
        <v>315.39999999999986</v>
      </c>
      <c r="CC193" s="23">
        <f t="shared" si="1577"/>
        <v>336.2</v>
      </c>
      <c r="CD193" s="23">
        <f t="shared" si="1577"/>
        <v>340.9000000000002</v>
      </c>
      <c r="CE193" s="23">
        <f t="shared" si="1577"/>
        <v>313.59999999999997</v>
      </c>
      <c r="CF193" s="23">
        <f t="shared" si="1577"/>
        <v>319.60000000000002</v>
      </c>
      <c r="CG193" s="23">
        <f t="shared" si="1577"/>
        <v>322.39999999999975</v>
      </c>
      <c r="CH193" s="23">
        <f t="shared" si="1577"/>
        <v>311.10000000000031</v>
      </c>
      <c r="CI193" s="23">
        <f t="shared" si="1577"/>
        <v>315.70000000000005</v>
      </c>
      <c r="CJ193" s="23">
        <f t="shared" si="1577"/>
        <v>328.70000000000016</v>
      </c>
      <c r="CK193" s="23">
        <f t="shared" si="1577"/>
        <v>302.60000000000025</v>
      </c>
      <c r="CL193" s="23">
        <f t="shared" ref="CL193" si="1578">CL48</f>
        <v>332.10000000000008</v>
      </c>
      <c r="CM193" s="24">
        <f t="shared" si="1577"/>
        <v>383.5399158657533</v>
      </c>
      <c r="CN193" s="24">
        <f t="shared" si="1577"/>
        <v>392.30954472129525</v>
      </c>
      <c r="CO193" s="24">
        <f t="shared" si="1577"/>
        <v>391.7951621202119</v>
      </c>
      <c r="CP193" s="24">
        <f t="shared" si="1577"/>
        <v>386.39957531751247</v>
      </c>
      <c r="CQ193" s="24">
        <f t="shared" si="1577"/>
        <v>441.32556846936058</v>
      </c>
      <c r="CR193" s="24">
        <f t="shared" si="1577"/>
        <v>454.93454781806179</v>
      </c>
      <c r="CS193" s="24">
        <f t="shared" si="1577"/>
        <v>444.90945403110032</v>
      </c>
      <c r="CT193" s="24">
        <f t="shared" si="1577"/>
        <v>437.87422699742882</v>
      </c>
      <c r="CU193" s="24">
        <f t="shared" ref="CU193:DB193" si="1579">CU48</f>
        <v>500.00973639925633</v>
      </c>
      <c r="CV193" s="24">
        <f t="shared" si="1579"/>
        <v>514.1443504350641</v>
      </c>
      <c r="CW193" s="24">
        <f t="shared" si="1579"/>
        <v>501.42136337927428</v>
      </c>
      <c r="CX193" s="24">
        <f t="shared" si="1579"/>
        <v>493.95126503071083</v>
      </c>
      <c r="CY193" s="24">
        <f t="shared" si="1579"/>
        <v>561.49548448107635</v>
      </c>
      <c r="CZ193" s="24">
        <f t="shared" si="1579"/>
        <v>576.4536721571825</v>
      </c>
      <c r="DA193" s="24">
        <f t="shared" si="1579"/>
        <v>562.45032589421169</v>
      </c>
      <c r="DB193" s="24">
        <f t="shared" si="1579"/>
        <v>554.5305295214813</v>
      </c>
      <c r="DE193" s="123"/>
      <c r="DF193" s="23">
        <v>1279.2000000000003</v>
      </c>
    </row>
    <row r="194" spans="1:110" s="23" customFormat="1" x14ac:dyDescent="0.2">
      <c r="A194" s="23" t="s">
        <v>88</v>
      </c>
      <c r="C194" s="23">
        <f t="shared" ref="C194:AE194" si="1580">C32</f>
        <v>0</v>
      </c>
      <c r="D194" s="23">
        <f t="shared" si="1580"/>
        <v>0</v>
      </c>
      <c r="E194" s="23">
        <f t="shared" si="1580"/>
        <v>0</v>
      </c>
      <c r="F194" s="23">
        <f t="shared" si="1580"/>
        <v>0</v>
      </c>
      <c r="G194" s="23">
        <f t="shared" si="1580"/>
        <v>0</v>
      </c>
      <c r="H194" s="23">
        <f t="shared" si="1580"/>
        <v>0</v>
      </c>
      <c r="I194" s="23">
        <f t="shared" si="1580"/>
        <v>0</v>
      </c>
      <c r="J194" s="23">
        <f t="shared" si="1580"/>
        <v>0</v>
      </c>
      <c r="K194" s="23">
        <f t="shared" si="1580"/>
        <v>0</v>
      </c>
      <c r="L194" s="23">
        <f t="shared" si="1580"/>
        <v>0</v>
      </c>
      <c r="M194" s="23">
        <f t="shared" si="1580"/>
        <v>0</v>
      </c>
      <c r="N194" s="23">
        <f t="shared" si="1580"/>
        <v>0</v>
      </c>
      <c r="O194" s="23">
        <f t="shared" si="1580"/>
        <v>1.1240000000000001</v>
      </c>
      <c r="P194" s="23">
        <f t="shared" si="1580"/>
        <v>48.463000000000001</v>
      </c>
      <c r="Q194" s="23">
        <f t="shared" si="1580"/>
        <v>58.9</v>
      </c>
      <c r="R194" s="23">
        <f t="shared" si="1580"/>
        <v>62.5</v>
      </c>
      <c r="S194" s="23">
        <f t="shared" si="1580"/>
        <v>88.8</v>
      </c>
      <c r="T194" s="23">
        <f t="shared" si="1580"/>
        <v>104.2</v>
      </c>
      <c r="U194" s="23">
        <f t="shared" si="1580"/>
        <v>182.9</v>
      </c>
      <c r="V194" s="23">
        <f t="shared" si="1580"/>
        <v>218.3</v>
      </c>
      <c r="W194" s="23">
        <f t="shared" si="1580"/>
        <v>214.4</v>
      </c>
      <c r="X194" s="23">
        <f t="shared" si="1580"/>
        <v>233.8</v>
      </c>
      <c r="Y194" s="23">
        <f t="shared" si="1580"/>
        <v>271.60000000000002</v>
      </c>
      <c r="Z194" s="23">
        <f t="shared" si="1580"/>
        <v>303.10000000000002</v>
      </c>
      <c r="AA194" s="23">
        <f t="shared" ref="AA194" si="1581">AA32</f>
        <v>345.2</v>
      </c>
      <c r="AB194" s="24">
        <f t="shared" si="1580"/>
        <v>369.44192841749384</v>
      </c>
      <c r="AC194" s="24">
        <f t="shared" si="1580"/>
        <v>342.79404522882731</v>
      </c>
      <c r="AD194" s="24">
        <f t="shared" si="1580"/>
        <v>330.50866166680481</v>
      </c>
      <c r="AE194" s="24">
        <f t="shared" si="1580"/>
        <v>324.8447727868728</v>
      </c>
      <c r="AI194" s="23">
        <f t="shared" ref="AI194:BN194" si="1582">AI32</f>
        <v>0</v>
      </c>
      <c r="AJ194" s="23">
        <f t="shared" si="1582"/>
        <v>0</v>
      </c>
      <c r="AK194" s="23">
        <f t="shared" si="1582"/>
        <v>0</v>
      </c>
      <c r="AL194" s="23">
        <f t="shared" si="1582"/>
        <v>0</v>
      </c>
      <c r="AM194" s="23">
        <f t="shared" si="1582"/>
        <v>0</v>
      </c>
      <c r="AN194" s="23">
        <f t="shared" si="1582"/>
        <v>0</v>
      </c>
      <c r="AO194" s="23">
        <f t="shared" si="1582"/>
        <v>0</v>
      </c>
      <c r="AP194" s="23">
        <f t="shared" si="1582"/>
        <v>0</v>
      </c>
      <c r="AQ194" s="23">
        <f t="shared" si="1582"/>
        <v>0</v>
      </c>
      <c r="AR194" s="23">
        <f t="shared" si="1582"/>
        <v>0</v>
      </c>
      <c r="AS194" s="23">
        <f t="shared" si="1582"/>
        <v>0</v>
      </c>
      <c r="AT194" s="23">
        <f t="shared" si="1582"/>
        <v>0</v>
      </c>
      <c r="AU194" s="23">
        <f t="shared" si="1582"/>
        <v>0</v>
      </c>
      <c r="AV194" s="23">
        <f t="shared" si="1582"/>
        <v>14.4</v>
      </c>
      <c r="AW194" s="23">
        <f t="shared" si="1582"/>
        <v>13.8</v>
      </c>
      <c r="AX194" s="23">
        <f t="shared" si="1582"/>
        <v>17.899999999999999</v>
      </c>
      <c r="AY194" s="23">
        <f t="shared" si="1582"/>
        <v>17.8</v>
      </c>
      <c r="AZ194" s="23">
        <f t="shared" si="1582"/>
        <v>15.1</v>
      </c>
      <c r="BA194" s="23">
        <f t="shared" si="1582"/>
        <v>14.9</v>
      </c>
      <c r="BB194" s="23">
        <f t="shared" si="1582"/>
        <v>14.7</v>
      </c>
      <c r="BC194" s="23">
        <f t="shared" si="1582"/>
        <v>14.5</v>
      </c>
      <c r="BD194" s="23">
        <f t="shared" si="1582"/>
        <v>14.6</v>
      </c>
      <c r="BE194" s="23">
        <f t="shared" si="1582"/>
        <v>14.5</v>
      </c>
      <c r="BF194" s="23">
        <f t="shared" si="1582"/>
        <v>45.2</v>
      </c>
      <c r="BG194" s="23">
        <f t="shared" si="1582"/>
        <v>26</v>
      </c>
      <c r="BH194" s="23">
        <f t="shared" si="1582"/>
        <v>27</v>
      </c>
      <c r="BI194" s="23">
        <f t="shared" si="1582"/>
        <v>23.9</v>
      </c>
      <c r="BJ194" s="23">
        <f t="shared" si="1582"/>
        <v>27.3</v>
      </c>
      <c r="BK194" s="23">
        <f t="shared" si="1582"/>
        <v>42.8</v>
      </c>
      <c r="BL194" s="23">
        <f t="shared" si="1582"/>
        <v>44.4</v>
      </c>
      <c r="BM194" s="23">
        <f t="shared" si="1582"/>
        <v>47.2</v>
      </c>
      <c r="BN194" s="23">
        <f t="shared" si="1582"/>
        <v>48.5</v>
      </c>
      <c r="BO194" s="23">
        <f t="shared" ref="BO194:CT194" si="1583">BO32</f>
        <v>49.2</v>
      </c>
      <c r="BP194" s="23">
        <f t="shared" si="1583"/>
        <v>52.7</v>
      </c>
      <c r="BQ194" s="23">
        <f t="shared" si="1583"/>
        <v>62.4</v>
      </c>
      <c r="BR194" s="23">
        <f t="shared" si="1583"/>
        <v>54</v>
      </c>
      <c r="BS194" s="23">
        <f t="shared" si="1583"/>
        <v>55.4</v>
      </c>
      <c r="BT194" s="23">
        <f t="shared" si="1583"/>
        <v>52.9</v>
      </c>
      <c r="BU194" s="23">
        <f t="shared" si="1583"/>
        <v>53</v>
      </c>
      <c r="BV194" s="23">
        <f t="shared" si="1583"/>
        <v>53.1</v>
      </c>
      <c r="BW194" s="23">
        <f t="shared" si="1583"/>
        <v>59</v>
      </c>
      <c r="BX194" s="23">
        <f t="shared" si="1583"/>
        <v>59</v>
      </c>
      <c r="BY194" s="23">
        <f t="shared" si="1583"/>
        <v>58.9</v>
      </c>
      <c r="BZ194" s="23">
        <f t="shared" si="1583"/>
        <v>56.8</v>
      </c>
      <c r="CA194" s="23">
        <f t="shared" si="1583"/>
        <v>57.4</v>
      </c>
      <c r="CB194" s="23">
        <f t="shared" si="1583"/>
        <v>68.099999999999994</v>
      </c>
      <c r="CC194" s="23">
        <f t="shared" si="1583"/>
        <v>71.5</v>
      </c>
      <c r="CD194" s="23">
        <f t="shared" si="1583"/>
        <v>74.599999999999994</v>
      </c>
      <c r="CE194" s="23">
        <f t="shared" si="1583"/>
        <v>72.599999999999994</v>
      </c>
      <c r="CF194" s="23">
        <f t="shared" si="1583"/>
        <v>78.3</v>
      </c>
      <c r="CG194" s="23">
        <f t="shared" si="1583"/>
        <v>72.8</v>
      </c>
      <c r="CH194" s="23">
        <f t="shared" si="1583"/>
        <v>80.900000000000006</v>
      </c>
      <c r="CI194" s="23">
        <f t="shared" si="1583"/>
        <v>81.099999999999994</v>
      </c>
      <c r="CJ194" s="23">
        <f t="shared" si="1583"/>
        <v>92.6</v>
      </c>
      <c r="CK194" s="23">
        <f t="shared" si="1583"/>
        <v>86.7</v>
      </c>
      <c r="CL194" s="23">
        <f t="shared" ref="CL194" si="1584">CL32</f>
        <v>86.5</v>
      </c>
      <c r="CM194" s="24">
        <f t="shared" si="1583"/>
        <v>96.14435401831129</v>
      </c>
      <c r="CN194" s="24">
        <f t="shared" si="1583"/>
        <v>93.303079099524041</v>
      </c>
      <c r="CO194" s="24">
        <f t="shared" si="1583"/>
        <v>90.961845443147993</v>
      </c>
      <c r="CP194" s="24">
        <f t="shared" si="1583"/>
        <v>89.032649856510574</v>
      </c>
      <c r="CQ194" s="24">
        <f t="shared" si="1583"/>
        <v>87.44297699264861</v>
      </c>
      <c r="CR194" s="24">
        <f t="shared" si="1583"/>
        <v>86.133073615509048</v>
      </c>
      <c r="CS194" s="24">
        <f t="shared" si="1583"/>
        <v>85.053702572291257</v>
      </c>
      <c r="CT194" s="24">
        <f t="shared" si="1583"/>
        <v>84.164292048378385</v>
      </c>
      <c r="CU194" s="24">
        <f t="shared" ref="CU194:DB194" si="1585">CU32</f>
        <v>83.43141053833827</v>
      </c>
      <c r="CV194" s="24">
        <f t="shared" si="1585"/>
        <v>82.8275102096175</v>
      </c>
      <c r="CW194" s="24">
        <f t="shared" si="1585"/>
        <v>82.32989142399812</v>
      </c>
      <c r="CX194" s="24">
        <f t="shared" si="1585"/>
        <v>81.919849494850936</v>
      </c>
      <c r="CY194" s="24">
        <f t="shared" si="1585"/>
        <v>81.581971608168118</v>
      </c>
      <c r="CZ194" s="24">
        <f t="shared" si="1585"/>
        <v>81.30355747977228</v>
      </c>
      <c r="DA194" s="24">
        <f t="shared" si="1585"/>
        <v>81.074141972141959</v>
      </c>
      <c r="DB194" s="24">
        <f t="shared" si="1585"/>
        <v>80.885101726790396</v>
      </c>
      <c r="DE194" s="123"/>
      <c r="DF194" s="23">
        <v>345.2</v>
      </c>
    </row>
    <row r="195" spans="1:110" s="22" customFormat="1" x14ac:dyDescent="0.2">
      <c r="A195" s="22" t="s">
        <v>89</v>
      </c>
      <c r="C195" s="22">
        <f t="shared" ref="C195:W195" si="1586">C193+C194</f>
        <v>0</v>
      </c>
      <c r="D195" s="22">
        <f t="shared" si="1586"/>
        <v>0</v>
      </c>
      <c r="E195" s="22">
        <f t="shared" si="1586"/>
        <v>0</v>
      </c>
      <c r="F195" s="22">
        <f t="shared" si="1586"/>
        <v>0</v>
      </c>
      <c r="G195" s="22">
        <f t="shared" si="1586"/>
        <v>0</v>
      </c>
      <c r="H195" s="22">
        <f t="shared" si="1586"/>
        <v>0</v>
      </c>
      <c r="I195" s="22">
        <f t="shared" si="1586"/>
        <v>0</v>
      </c>
      <c r="J195" s="22">
        <f t="shared" si="1586"/>
        <v>0</v>
      </c>
      <c r="K195" s="22">
        <f t="shared" si="1586"/>
        <v>0</v>
      </c>
      <c r="L195" s="22">
        <f t="shared" si="1586"/>
        <v>0</v>
      </c>
      <c r="M195" s="22">
        <f t="shared" si="1586"/>
        <v>0</v>
      </c>
      <c r="N195" s="22">
        <f t="shared" si="1586"/>
        <v>-3.0000000000000001E-3</v>
      </c>
      <c r="O195" s="22">
        <f t="shared" si="1586"/>
        <v>7.3379999999999992</v>
      </c>
      <c r="P195" s="22">
        <f t="shared" si="1586"/>
        <v>359.35999999999984</v>
      </c>
      <c r="Q195" s="22">
        <f t="shared" si="1586"/>
        <v>477.99999999999966</v>
      </c>
      <c r="R195" s="22">
        <f t="shared" si="1586"/>
        <v>487.40000000000003</v>
      </c>
      <c r="S195" s="22">
        <f t="shared" si="1586"/>
        <v>594.80000000000007</v>
      </c>
      <c r="T195" s="22">
        <f t="shared" si="1586"/>
        <v>869.7999999999995</v>
      </c>
      <c r="U195" s="22">
        <f t="shared" si="1586"/>
        <v>1001.4999999999997</v>
      </c>
      <c r="V195" s="22">
        <f t="shared" si="1586"/>
        <v>881.60000000000014</v>
      </c>
      <c r="W195" s="22">
        <f t="shared" si="1586"/>
        <v>1171.3999999999994</v>
      </c>
      <c r="X195" s="22">
        <f t="shared" ref="X195:Y195" si="1587">X193+X194</f>
        <v>1445.9000000000015</v>
      </c>
      <c r="Y195" s="22">
        <f t="shared" si="1587"/>
        <v>1575.2999999999993</v>
      </c>
      <c r="Z195" s="22">
        <f t="shared" ref="Z195:AA195" si="1588">Z193+Z194</f>
        <v>1569.8000000000002</v>
      </c>
      <c r="AA195" s="22">
        <f t="shared" si="1588"/>
        <v>1624.4000000000003</v>
      </c>
      <c r="AB195" s="21">
        <f t="shared" ref="AB195:AD195" si="1589">AB193+AB194</f>
        <v>1923.4861264422652</v>
      </c>
      <c r="AC195" s="21">
        <f t="shared" si="1589"/>
        <v>2121.8378425447791</v>
      </c>
      <c r="AD195" s="21">
        <f t="shared" si="1589"/>
        <v>2340.0353769111098</v>
      </c>
      <c r="AE195" s="21">
        <f t="shared" ref="AE195" si="1590">AE193+AE194</f>
        <v>2579.7747848408249</v>
      </c>
      <c r="AI195" s="22">
        <f t="shared" ref="AI195" si="1591">AI193+AI194</f>
        <v>0</v>
      </c>
      <c r="AJ195" s="22">
        <f t="shared" ref="AJ195:AL195" si="1592">AJ193+AJ194</f>
        <v>0</v>
      </c>
      <c r="AK195" s="22">
        <f t="shared" si="1592"/>
        <v>0</v>
      </c>
      <c r="AL195" s="22">
        <f t="shared" si="1592"/>
        <v>0</v>
      </c>
      <c r="AM195" s="22">
        <f t="shared" ref="AM195" si="1593">AM193+AM194</f>
        <v>0</v>
      </c>
      <c r="AN195" s="22">
        <f t="shared" ref="AN195:CD195" si="1594">AN193+AN194</f>
        <v>0</v>
      </c>
      <c r="AO195" s="22">
        <f t="shared" si="1594"/>
        <v>0</v>
      </c>
      <c r="AP195" s="22">
        <f t="shared" si="1594"/>
        <v>0</v>
      </c>
      <c r="AQ195" s="22">
        <f t="shared" si="1594"/>
        <v>0</v>
      </c>
      <c r="AR195" s="22">
        <f t="shared" si="1594"/>
        <v>0</v>
      </c>
      <c r="AS195" s="22">
        <f t="shared" si="1594"/>
        <v>0</v>
      </c>
      <c r="AT195" s="22">
        <f t="shared" si="1594"/>
        <v>0</v>
      </c>
      <c r="AU195" s="22">
        <f t="shared" si="1594"/>
        <v>0</v>
      </c>
      <c r="AV195" s="22">
        <f t="shared" si="1594"/>
        <v>108</v>
      </c>
      <c r="AW195" s="22">
        <f t="shared" si="1594"/>
        <v>144.60000000000005</v>
      </c>
      <c r="AX195" s="22">
        <f t="shared" si="1594"/>
        <v>126.89999999999998</v>
      </c>
      <c r="AY195" s="22">
        <f t="shared" si="1594"/>
        <v>126.09999999999998</v>
      </c>
      <c r="AZ195" s="22">
        <f t="shared" si="1594"/>
        <v>127.00000000000006</v>
      </c>
      <c r="BA195" s="22">
        <f t="shared" si="1594"/>
        <v>123.59999999999992</v>
      </c>
      <c r="BB195" s="22">
        <f t="shared" si="1594"/>
        <v>110.69999999999992</v>
      </c>
      <c r="BC195" s="22">
        <f t="shared" si="1594"/>
        <v>112.69999999999993</v>
      </c>
      <c r="BD195" s="22">
        <f t="shared" si="1594"/>
        <v>137.30000000000001</v>
      </c>
      <c r="BE195" s="22">
        <f t="shared" si="1594"/>
        <v>140.80000000000001</v>
      </c>
      <c r="BF195" s="22">
        <f t="shared" si="1594"/>
        <v>204</v>
      </c>
      <c r="BG195" s="22">
        <f t="shared" si="1594"/>
        <v>223.50000000000003</v>
      </c>
      <c r="BH195" s="22">
        <f t="shared" si="1594"/>
        <v>217.99999999999997</v>
      </c>
      <c r="BI195" s="22">
        <f t="shared" si="1594"/>
        <v>209.50000000000006</v>
      </c>
      <c r="BJ195" s="22">
        <f t="shared" si="1594"/>
        <v>218.7999999999999</v>
      </c>
      <c r="BK195" s="22">
        <f t="shared" si="1594"/>
        <v>246.70000000000005</v>
      </c>
      <c r="BL195" s="22">
        <f t="shared" si="1594"/>
        <v>250.19999999999979</v>
      </c>
      <c r="BM195" s="22">
        <f t="shared" si="1594"/>
        <v>251.30000000000024</v>
      </c>
      <c r="BN195" s="22">
        <f t="shared" si="1594"/>
        <v>253.29999999999973</v>
      </c>
      <c r="BO195" s="22">
        <f t="shared" si="1594"/>
        <v>166.40000000000009</v>
      </c>
      <c r="BP195" s="22">
        <f t="shared" si="1594"/>
        <v>218.19999999999993</v>
      </c>
      <c r="BQ195" s="22">
        <f t="shared" si="1594"/>
        <v>248.50000000000009</v>
      </c>
      <c r="BR195" s="22">
        <f t="shared" si="1594"/>
        <v>248.49999999999991</v>
      </c>
      <c r="BS195" s="22">
        <f t="shared" si="1594"/>
        <v>271.60000000000025</v>
      </c>
      <c r="BT195" s="22">
        <f t="shared" si="1594"/>
        <v>282.89999999999998</v>
      </c>
      <c r="BU195" s="22">
        <f t="shared" si="1594"/>
        <v>301.80000000000007</v>
      </c>
      <c r="BV195" s="22">
        <f t="shared" si="1594"/>
        <v>315.09999999999997</v>
      </c>
      <c r="BW195" s="22">
        <f t="shared" si="1594"/>
        <v>334.40000000000003</v>
      </c>
      <c r="BX195" s="22">
        <f t="shared" si="1594"/>
        <v>358.89999999999986</v>
      </c>
      <c r="BY195" s="22">
        <f t="shared" si="1594"/>
        <v>355.69999999999993</v>
      </c>
      <c r="BZ195" s="22">
        <f t="shared" si="1594"/>
        <v>396.89999999999981</v>
      </c>
      <c r="CA195" s="22">
        <f t="shared" si="1594"/>
        <v>368.50000000000017</v>
      </c>
      <c r="CB195" s="22">
        <f t="shared" si="1594"/>
        <v>383.49999999999989</v>
      </c>
      <c r="CC195" s="22">
        <f t="shared" si="1594"/>
        <v>407.7</v>
      </c>
      <c r="CD195" s="22">
        <f t="shared" si="1594"/>
        <v>415.50000000000023</v>
      </c>
      <c r="CE195" s="22">
        <f t="shared" ref="CE195:CF195" si="1595">CE193+CE194</f>
        <v>386.19999999999993</v>
      </c>
      <c r="CF195" s="22">
        <f t="shared" si="1595"/>
        <v>397.90000000000003</v>
      </c>
      <c r="CG195" s="22">
        <f t="shared" ref="CG195:CH195" si="1596">CG193+CG194</f>
        <v>395.19999999999976</v>
      </c>
      <c r="CH195" s="22">
        <f t="shared" si="1596"/>
        <v>392.00000000000034</v>
      </c>
      <c r="CI195" s="22">
        <f t="shared" ref="CI195:CJ195" si="1597">CI193+CI194</f>
        <v>396.80000000000007</v>
      </c>
      <c r="CJ195" s="22">
        <f t="shared" si="1597"/>
        <v>421.30000000000018</v>
      </c>
      <c r="CK195" s="22">
        <f t="shared" ref="CK195:DB195" si="1598">CK193+CK194</f>
        <v>389.30000000000024</v>
      </c>
      <c r="CL195" s="22">
        <f t="shared" si="1598"/>
        <v>418.60000000000008</v>
      </c>
      <c r="CM195" s="21">
        <f t="shared" si="1598"/>
        <v>479.68426988406458</v>
      </c>
      <c r="CN195" s="21">
        <f t="shared" si="1598"/>
        <v>485.61262382081929</v>
      </c>
      <c r="CO195" s="21">
        <f t="shared" si="1598"/>
        <v>482.75700756335988</v>
      </c>
      <c r="CP195" s="21">
        <f t="shared" si="1598"/>
        <v>475.43222517402307</v>
      </c>
      <c r="CQ195" s="21">
        <f t="shared" si="1598"/>
        <v>528.76854546200923</v>
      </c>
      <c r="CR195" s="21">
        <f t="shared" si="1598"/>
        <v>541.06762143357082</v>
      </c>
      <c r="CS195" s="21">
        <f t="shared" si="1598"/>
        <v>529.96315660339155</v>
      </c>
      <c r="CT195" s="21">
        <f t="shared" si="1598"/>
        <v>522.03851904580722</v>
      </c>
      <c r="CU195" s="21">
        <f t="shared" si="1598"/>
        <v>583.44114693759457</v>
      </c>
      <c r="CV195" s="21">
        <f t="shared" si="1598"/>
        <v>596.97186064468156</v>
      </c>
      <c r="CW195" s="21">
        <f t="shared" si="1598"/>
        <v>583.75125480327245</v>
      </c>
      <c r="CX195" s="21">
        <f t="shared" si="1598"/>
        <v>575.87111452556178</v>
      </c>
      <c r="CY195" s="21">
        <f t="shared" si="1598"/>
        <v>643.07745608924449</v>
      </c>
      <c r="CZ195" s="21">
        <f t="shared" si="1598"/>
        <v>657.75722963695478</v>
      </c>
      <c r="DA195" s="21">
        <f t="shared" si="1598"/>
        <v>643.52446786635369</v>
      </c>
      <c r="DB195" s="21">
        <f t="shared" si="1598"/>
        <v>635.41563124827167</v>
      </c>
      <c r="DE195" s="126"/>
      <c r="DF195" s="22">
        <v>1624.4000000000003</v>
      </c>
    </row>
    <row r="196" spans="1:110" s="23" customFormat="1" x14ac:dyDescent="0.2">
      <c r="A196" s="23" t="s">
        <v>65</v>
      </c>
      <c r="C196" s="23">
        <f t="shared" ref="C196:AA196" si="1599">B148-C148+B163+B164-C163-C164</f>
        <v>0</v>
      </c>
      <c r="D196" s="23">
        <f t="shared" si="1599"/>
        <v>0</v>
      </c>
      <c r="E196" s="23">
        <f>D148-E148+D163+D164-E163-E164</f>
        <v>0</v>
      </c>
      <c r="F196" s="23">
        <f t="shared" si="1599"/>
        <v>0</v>
      </c>
      <c r="G196" s="23">
        <f t="shared" si="1599"/>
        <v>0</v>
      </c>
      <c r="H196" s="23">
        <f t="shared" si="1599"/>
        <v>0</v>
      </c>
      <c r="I196" s="23">
        <f t="shared" si="1599"/>
        <v>0</v>
      </c>
      <c r="J196" s="23">
        <f>I148-J148+I163+I164-J163-J164</f>
        <v>0</v>
      </c>
      <c r="K196" s="23">
        <f>J148-K148+J163+J164-K163-K164</f>
        <v>0</v>
      </c>
      <c r="L196" s="23">
        <f t="shared" si="1599"/>
        <v>0</v>
      </c>
      <c r="M196" s="23">
        <f t="shared" si="1599"/>
        <v>0</v>
      </c>
      <c r="N196" s="23">
        <f t="shared" si="1599"/>
        <v>0</v>
      </c>
      <c r="O196" s="23">
        <f t="shared" si="1599"/>
        <v>-202.65</v>
      </c>
      <c r="P196" s="23">
        <f t="shared" si="1599"/>
        <v>-926.74400000000003</v>
      </c>
      <c r="Q196" s="23">
        <f t="shared" si="1599"/>
        <v>-172.00599999999997</v>
      </c>
      <c r="R196" s="23">
        <f t="shared" si="1599"/>
        <v>-52.400000000000048</v>
      </c>
      <c r="S196" s="23">
        <f t="shared" si="1599"/>
        <v>-264</v>
      </c>
      <c r="T196" s="23">
        <f t="shared" si="1599"/>
        <v>-173.0999999999998</v>
      </c>
      <c r="U196" s="23">
        <f t="shared" si="1599"/>
        <v>-444.30000000000013</v>
      </c>
      <c r="V196" s="23">
        <f t="shared" si="1599"/>
        <v>262.00000000000017</v>
      </c>
      <c r="W196" s="23">
        <f t="shared" si="1599"/>
        <v>-592.20000000000027</v>
      </c>
      <c r="X196" s="23">
        <f t="shared" si="1599"/>
        <v>-1309.0999999999999</v>
      </c>
      <c r="Y196" s="23">
        <f t="shared" si="1599"/>
        <v>-30.600000000000648</v>
      </c>
      <c r="Z196" s="23">
        <f t="shared" si="1599"/>
        <v>-514.29999999999859</v>
      </c>
      <c r="AA196" s="23">
        <f t="shared" si="1599"/>
        <v>-260.40000000000055</v>
      </c>
      <c r="AB196" s="24">
        <f t="shared" ref="AB196" si="1600">AA148-AB148+AA163+AA164-AB163-AB164</f>
        <v>-856.31991676708185</v>
      </c>
      <c r="AC196" s="24">
        <f t="shared" ref="AC196" si="1601">AB148-AC148+AB163+AB164-AC163-AC164</f>
        <v>-429.9158146611062</v>
      </c>
      <c r="AD196" s="24">
        <f t="shared" ref="AD196" si="1602">AC148-AD148+AC163+AC164-AD163-AD164</f>
        <v>-469.71561666863818</v>
      </c>
      <c r="AE196" s="24">
        <f t="shared" ref="AE196" si="1603">AD148-AE148+AD163+AD164-AE163-AE164</f>
        <v>-507.61562201257402</v>
      </c>
      <c r="AI196" s="23">
        <f>AH148-AI148+AH163+AH164-AI163-AJ164</f>
        <v>0</v>
      </c>
      <c r="AJ196" s="23">
        <f t="shared" ref="AJ196:AL196" si="1604">AI148-AJ148+AI163+AI164-AJ163-AK164</f>
        <v>0</v>
      </c>
      <c r="AK196" s="23" t="e">
        <f t="shared" si="1604"/>
        <v>#DIV/0!</v>
      </c>
      <c r="AL196" s="23" t="e">
        <f t="shared" si="1604"/>
        <v>#DIV/0!</v>
      </c>
      <c r="AM196" s="23" t="e">
        <f t="shared" ref="AM196" si="1605">AL148-AM148+AL163+AL164-AM163-AM164</f>
        <v>#DIV/0!</v>
      </c>
      <c r="AN196" s="23" t="e">
        <f t="shared" ref="AN196" si="1606">AM148-AN148+AM163+AM164-AN163-AN164</f>
        <v>#DIV/0!</v>
      </c>
      <c r="AO196" s="23" t="e">
        <f t="shared" ref="AO196" si="1607">AN148-AO148+AN163+AN164-AO163-AO164</f>
        <v>#DIV/0!</v>
      </c>
      <c r="AP196" s="23" t="e">
        <f t="shared" ref="AP196" si="1608">AO148-AP148+AO163+AO164-AP163-AP164</f>
        <v>#DIV/0!</v>
      </c>
      <c r="AQ196" s="23" t="e">
        <f t="shared" ref="AQ196" si="1609">AP148-AQ148+AP163+AP164-AQ163-AQ164</f>
        <v>#DIV/0!</v>
      </c>
      <c r="AR196" s="23" t="e">
        <f t="shared" ref="AR196" si="1610">AQ148-AR148+AQ163+AQ164-AR163-AR164</f>
        <v>#DIV/0!</v>
      </c>
      <c r="AS196" s="23" t="e">
        <f t="shared" ref="AS196" si="1611">AR148-AS148+AR163+AR164-AS163-AS164</f>
        <v>#DIV/0!</v>
      </c>
      <c r="AT196" s="23" t="e">
        <f t="shared" ref="AT196" si="1612">AS148-AT148+AS163+AS164-AT163-AT164</f>
        <v>#DIV/0!</v>
      </c>
      <c r="AU196" s="23" t="e">
        <f t="shared" ref="AU196" si="1613">AT148-AU148+AT163+AT164-AU163-AU164</f>
        <v>#DIV/0!</v>
      </c>
      <c r="AV196" s="23" t="e">
        <f t="shared" ref="AV196" si="1614">AU148-AV148+AU163+AU164-AV163-AV164</f>
        <v>#DIV/0!</v>
      </c>
      <c r="AW196" s="23">
        <f t="shared" ref="AW196" si="1615">AV148-AW148+AV163+AV164-AW163-AW164</f>
        <v>0</v>
      </c>
      <c r="AX196" s="23">
        <f t="shared" ref="AX196" si="1616">AW148-AX148+AW163+AW164-AX163-AX164</f>
        <v>-1168.3</v>
      </c>
      <c r="AY196" s="23">
        <f t="shared" ref="AY196" si="1617">AX148-AY148+AX163+AX164-AY163-AY164</f>
        <v>-1.3586848015972919</v>
      </c>
      <c r="AZ196" s="23">
        <f t="shared" ref="AZ196" si="1618">AY148-AZ148+AY163+AY164-AZ163-AZ164</f>
        <v>44.05868480159733</v>
      </c>
      <c r="BA196" s="23">
        <f t="shared" ref="BA196" si="1619">AZ148-BA148+AZ163+AZ164-BA163-BA164</f>
        <v>10.405737206758197</v>
      </c>
      <c r="BB196" s="23">
        <f t="shared" ref="BB196" si="1620">BA148-BB148+BA163+BA164-BB163-BB164</f>
        <v>-238.60573720675819</v>
      </c>
      <c r="BC196" s="23">
        <f t="shared" ref="BC196" si="1621">BB148-BC148+BB163+BB164-BC163-BC164</f>
        <v>-9.0104394927980138</v>
      </c>
      <c r="BD196" s="23">
        <f t="shared" ref="BD196" si="1622">BC148-BD148+BC163+BC164-BD163-BD164</f>
        <v>-102.18956050720186</v>
      </c>
      <c r="BE196" s="23">
        <f t="shared" ref="BE196" si="1623">BD148-BE148+BD163+BD164-BE163-BE164</f>
        <v>-61.289473684210407</v>
      </c>
      <c r="BF196" s="23">
        <f t="shared" ref="BF196" si="1624">BE148-BF148+BE163+BE164-BF163-BF164</f>
        <v>-91.510526315789733</v>
      </c>
      <c r="BG196" s="23">
        <f t="shared" ref="BG196" si="1625">BF148-BG148+BF163+BF164-BG163-BG164</f>
        <v>-88.858570345088992</v>
      </c>
      <c r="BH196" s="23">
        <f t="shared" ref="BH196" si="1626">BG148-BH148+BG163+BG164-BH163-BH164</f>
        <v>-98.141429654910738</v>
      </c>
      <c r="BI196" s="23">
        <f t="shared" ref="BI196" si="1627">BH148-BI148+BH163+BH164-BI163-BI164</f>
        <v>-45.162688571203034</v>
      </c>
      <c r="BJ196" s="23">
        <f t="shared" ref="BJ196" si="1628">BI148-BJ148+BI163+BI164-BJ163-BJ164</f>
        <v>59.062688571202713</v>
      </c>
      <c r="BK196" s="23">
        <f t="shared" ref="BK196" si="1629">BJ148-BK148+BJ163+BJ164-BK163-BK164</f>
        <v>-3.4866502866502742</v>
      </c>
      <c r="BL196" s="23">
        <f t="shared" ref="BL196" si="1630">BK148-BL148+BK163+BK164-BL163-BL164</f>
        <v>-464.81334971334979</v>
      </c>
      <c r="BM196" s="23">
        <f t="shared" ref="BM196" si="1631">BL148-BM148+BL163+BL164-BM163-BM164</f>
        <v>-16.84501818700528</v>
      </c>
      <c r="BN196" s="23">
        <f t="shared" ref="BN196" si="1632">BM148-BN148+BM163+BM164-BN163-BN164</f>
        <v>-308.15498181299455</v>
      </c>
      <c r="BO196" s="23">
        <f t="shared" ref="BO196" si="1633">BN148-BO148+BN163+BN164-BO163-BO164</f>
        <v>144.98018111433703</v>
      </c>
      <c r="BP196" s="23">
        <f t="shared" ref="BP196" si="1634">BO148-BP148+BO163+BO164-BP163-BP164</f>
        <v>99.819818885663054</v>
      </c>
      <c r="BQ196" s="23">
        <f t="shared" ref="BQ196" si="1635">BP148-BQ148+BP163+BP164-BQ163-BQ164</f>
        <v>-78.466638757801775</v>
      </c>
      <c r="BR196" s="23">
        <f t="shared" ref="BR196" si="1636">BQ148-BR148+BQ163+BQ164-BR163-BR164</f>
        <v>24.966638757801597</v>
      </c>
      <c r="BS196" s="23">
        <f t="shared" ref="BS196" si="1637">BR148-BS148+BR163+BR164-BS163-BS164</f>
        <v>-66.76524817771633</v>
      </c>
      <c r="BT196" s="23">
        <f t="shared" ref="BT196" si="1638">BS148-BT148+BS163+BS164-BT163-BT164</f>
        <v>-257.53475182228351</v>
      </c>
      <c r="BU196" s="23">
        <f t="shared" ref="BU196" si="1639">BT148-BU148+BT163+BT164-BU163-BU164</f>
        <v>-73.933009889904952</v>
      </c>
      <c r="BV196" s="23">
        <f t="shared" ref="BV196" si="1640">BU148-BV148+BU163+BU164-BV163-BV164</f>
        <v>-181.56699011009542</v>
      </c>
      <c r="BW196" s="23">
        <f t="shared" ref="BW196" si="1641">BV148-BW148+BV163+BV164-BW163-BW164</f>
        <v>-241.52644496327142</v>
      </c>
      <c r="BX196" s="23">
        <f t="shared" ref="BX196" si="1642">BW148-BX148+BW163+BW164-BX163-BX164</f>
        <v>270.1264449632713</v>
      </c>
      <c r="BY196" s="23">
        <f t="shared" ref="BY196" si="1643">BX148-BY148+BX163+BX164-BY163-BY164</f>
        <v>90.525958714993067</v>
      </c>
      <c r="BZ196" s="23">
        <f t="shared" ref="BZ196" si="1644">BY148-BZ148+BY163+BY164-BZ163-BZ164</f>
        <v>-1398.625958714993</v>
      </c>
      <c r="CA196" s="23">
        <f t="shared" ref="CA196" si="1645">BZ148-CA148+BZ163+BZ164-CA163-CA164</f>
        <v>62.856812621277641</v>
      </c>
      <c r="CB196" s="23">
        <f t="shared" ref="CB196" si="1646">CA148-CB148+CA163+CA164-CB163-CB164</f>
        <v>-166.15681262127691</v>
      </c>
      <c r="CC196" s="23">
        <f t="shared" ref="CC196" si="1647">CB148-CC148+CB163+CB164-CC163-CC164</f>
        <v>-40.394204902577265</v>
      </c>
      <c r="CD196" s="23">
        <f t="shared" ref="CD196" si="1648">CC148-CD148+CC163+CC164-CD163-CD164</f>
        <v>-104.3057950974233</v>
      </c>
      <c r="CE196" s="23">
        <f t="shared" ref="CE196" si="1649">CD148-CE148+CD163+CD164-CE163-CE164</f>
        <v>65.056220689654765</v>
      </c>
      <c r="CF196" s="23">
        <f t="shared" ref="CF196" si="1650">CE148-CF148+CE163+CE164-CF163-CF164</f>
        <v>-282.95622068965423</v>
      </c>
      <c r="CG196" s="23">
        <f t="shared" ref="CG196" si="1651">CF148-CG148+CF163+CF164-CG163-CG164</f>
        <v>-72.08346224105118</v>
      </c>
      <c r="CH196" s="23">
        <f t="shared" ref="CH196:CL196" si="1652">CG148-CH148+CG163+CG164-CH163-CH164</f>
        <v>370.7834622410515</v>
      </c>
      <c r="CI196" s="23">
        <f t="shared" si="1652"/>
        <v>-387.46764728182552</v>
      </c>
      <c r="CJ196" s="23">
        <f t="shared" si="1652"/>
        <v>-278.73235271817447</v>
      </c>
      <c r="CK196" s="23">
        <f t="shared" ref="CK196" si="1653">CJ148-CK148+CJ163+CJ164-CK163-CK164</f>
        <v>95.747877160596545</v>
      </c>
      <c r="CL196" s="23">
        <f t="shared" si="1652"/>
        <v>-191.04787716059747</v>
      </c>
      <c r="CM196" s="24">
        <f t="shared" ref="CM196" si="1654">CL148-CM148+CL163+CL164-CM163-CM164</f>
        <v>-560.08946064399333</v>
      </c>
      <c r="CN196" s="24">
        <f t="shared" ref="CN196" si="1655">CM148-CN148+CM163+CM164-CN163-CN164</f>
        <v>-147.81590252341812</v>
      </c>
      <c r="CO196" s="24">
        <f t="shared" ref="CO196" si="1656">CN148-CO148+CN163+CN164-CO163-CO164</f>
        <v>194.18006072792016</v>
      </c>
      <c r="CP196" s="24">
        <f t="shared" ref="CP196" si="1657">CO148-CP148+CO163+CO164-CP163-CP164</f>
        <v>158.50538567240983</v>
      </c>
      <c r="CQ196" s="24">
        <f t="shared" ref="CQ196" si="1658">CP148-CQ148+CP163+CP164-CQ163-CQ164</f>
        <v>-692.89043755103194</v>
      </c>
      <c r="CR196" s="24">
        <f t="shared" ref="CR196" si="1659">CQ148-CR148+CQ163+CQ164-CR163-CR164</f>
        <v>-130.83194140989872</v>
      </c>
      <c r="CS196" s="24">
        <f t="shared" ref="CS196" si="1660">CR148-CS148+CR163+CR164-CS163-CS164</f>
        <v>225.84673011879207</v>
      </c>
      <c r="CT196" s="24">
        <f t="shared" ref="CT196" si="1661">CS148-CT148+CS163+CS164-CT163-CT164</f>
        <v>167.95983418103245</v>
      </c>
      <c r="CU196" s="24">
        <f t="shared" ref="CU196" si="1662">CT148-CU148+CT163+CT164-CU163-CU164</f>
        <v>-761.65751542637372</v>
      </c>
      <c r="CV196" s="24">
        <f t="shared" ref="CV196" si="1663">CU148-CV148+CU163+CU164-CV163-CV164</f>
        <v>-133.42089207368645</v>
      </c>
      <c r="CW196" s="24">
        <f t="shared" ref="CW196" si="1664">CV148-CW148+CV163+CV164-CW163-CW164</f>
        <v>245.84034293358948</v>
      </c>
      <c r="CX196" s="24">
        <f t="shared" ref="CX196" si="1665">CW148-CX148+CW163+CW164-CX163-CX164</f>
        <v>179.52244789783256</v>
      </c>
      <c r="CY196" s="24">
        <f t="shared" ref="CY196" si="1666">CX148-CY148+CX163+CX164-CY163-CY164</f>
        <v>-824.20324472628454</v>
      </c>
      <c r="CZ196" s="24">
        <f t="shared" ref="CZ196" si="1667">CY148-CZ148+CY163+CY164-CZ163-CZ164</f>
        <v>-142.35211967762552</v>
      </c>
      <c r="DA196" s="24">
        <f t="shared" ref="DA196" si="1668">CZ148-DA148+CZ163+CZ164-DA163-DA164</f>
        <v>265.52974034710496</v>
      </c>
      <c r="DB196" s="24">
        <f t="shared" ref="DB196" si="1669">DA148-DB148+DA163+DA164-DB163-DB164</f>
        <v>193.41000204423111</v>
      </c>
      <c r="DE196" s="123"/>
      <c r="DF196" s="23">
        <v>-260.40000000000055</v>
      </c>
    </row>
    <row r="197" spans="1:110" s="23" customFormat="1" x14ac:dyDescent="0.2">
      <c r="A197" s="23" t="s">
        <v>73</v>
      </c>
      <c r="C197" s="23">
        <f t="shared" ref="C197:AA197" si="1670">B156-C156</f>
        <v>0</v>
      </c>
      <c r="D197" s="23">
        <f t="shared" si="1670"/>
        <v>0</v>
      </c>
      <c r="E197" s="23">
        <f>D156-E156</f>
        <v>0</v>
      </c>
      <c r="F197" s="23">
        <f t="shared" si="1670"/>
        <v>0</v>
      </c>
      <c r="G197" s="23">
        <f t="shared" si="1670"/>
        <v>0</v>
      </c>
      <c r="H197" s="23">
        <f t="shared" si="1670"/>
        <v>0</v>
      </c>
      <c r="I197" s="23">
        <f t="shared" si="1670"/>
        <v>0</v>
      </c>
      <c r="J197" s="23">
        <f>I156-J156</f>
        <v>0</v>
      </c>
      <c r="K197" s="23">
        <f>J156-K156</f>
        <v>0</v>
      </c>
      <c r="L197" s="23">
        <f t="shared" si="1670"/>
        <v>0</v>
      </c>
      <c r="M197" s="23">
        <f t="shared" si="1670"/>
        <v>0</v>
      </c>
      <c r="N197" s="23">
        <f t="shared" si="1670"/>
        <v>-3.0000000000000001E-3</v>
      </c>
      <c r="O197" s="23">
        <f t="shared" si="1670"/>
        <v>-103.241</v>
      </c>
      <c r="P197" s="23">
        <f t="shared" si="1670"/>
        <v>-440.20899999999995</v>
      </c>
      <c r="Q197" s="23">
        <f t="shared" si="1670"/>
        <v>-270.84700000000009</v>
      </c>
      <c r="R197" s="23">
        <f t="shared" si="1670"/>
        <v>169.70000000000005</v>
      </c>
      <c r="S197" s="23">
        <f t="shared" si="1670"/>
        <v>-50.699999999999932</v>
      </c>
      <c r="T197" s="23">
        <f t="shared" si="1670"/>
        <v>-103.20000000000005</v>
      </c>
      <c r="U197" s="23">
        <f t="shared" si="1670"/>
        <v>-699</v>
      </c>
      <c r="V197" s="23">
        <f t="shared" si="1670"/>
        <v>-34.400000000000091</v>
      </c>
      <c r="W197" s="23">
        <f t="shared" si="1670"/>
        <v>-302</v>
      </c>
      <c r="X197" s="23">
        <f t="shared" si="1670"/>
        <v>-1871.1</v>
      </c>
      <c r="Y197" s="23">
        <f t="shared" si="1670"/>
        <v>638.80000000000018</v>
      </c>
      <c r="Z197" s="23">
        <f t="shared" si="1670"/>
        <v>-404.00000000000045</v>
      </c>
      <c r="AA197" s="23">
        <f t="shared" si="1670"/>
        <v>-526.39999999999964</v>
      </c>
      <c r="AB197" s="24">
        <f t="shared" ref="AB197" si="1671">AA156-AB156</f>
        <v>-278.89749510860156</v>
      </c>
      <c r="AC197" s="24">
        <f t="shared" ref="AC197" si="1672">AB156-AC156</f>
        <v>-337.54425964571419</v>
      </c>
      <c r="AD197" s="24">
        <f t="shared" ref="AD197" si="1673">AC156-AD156</f>
        <v>-368.79269072115221</v>
      </c>
      <c r="AE197" s="24">
        <f t="shared" ref="AE197" si="1674">AD156-AE156</f>
        <v>-398.54951475069265</v>
      </c>
      <c r="AI197" s="23">
        <f t="shared" ref="AI197" si="1675">AH156-AI156</f>
        <v>0</v>
      </c>
      <c r="AJ197" s="23">
        <f t="shared" ref="AJ197" si="1676">AI156-AJ156</f>
        <v>0</v>
      </c>
      <c r="AK197" s="23" t="e">
        <f t="shared" ref="AK197" si="1677">AJ156-AK156</f>
        <v>#DIV/0!</v>
      </c>
      <c r="AL197" s="23" t="e">
        <f t="shared" ref="AL197" si="1678">AK156-AL156</f>
        <v>#DIV/0!</v>
      </c>
      <c r="AM197" s="23" t="e">
        <f t="shared" ref="AM197" si="1679">AL156-AM156</f>
        <v>#DIV/0!</v>
      </c>
      <c r="AN197" s="23" t="e">
        <f t="shared" ref="AN197" si="1680">AM156-AN156</f>
        <v>#DIV/0!</v>
      </c>
      <c r="AO197" s="23" t="e">
        <f t="shared" ref="AO197" si="1681">AN156-AO156</f>
        <v>#DIV/0!</v>
      </c>
      <c r="AP197" s="23" t="e">
        <f t="shared" ref="AP197" si="1682">AO156-AP156</f>
        <v>#DIV/0!</v>
      </c>
      <c r="AQ197" s="23" t="e">
        <f t="shared" ref="AQ197" si="1683">AP156-AQ156</f>
        <v>#DIV/0!</v>
      </c>
      <c r="AR197" s="23" t="e">
        <f t="shared" ref="AR197" si="1684">AQ156-AR156</f>
        <v>#DIV/0!</v>
      </c>
      <c r="AS197" s="23" t="e">
        <f t="shared" ref="AS197" si="1685">AR156-AS156</f>
        <v>#DIV/0!</v>
      </c>
      <c r="AT197" s="23" t="e">
        <f t="shared" ref="AT197" si="1686">AS156-AT156</f>
        <v>#DIV/0!</v>
      </c>
      <c r="AU197" s="23" t="e">
        <f t="shared" ref="AU197" si="1687">AT156-AU156</f>
        <v>#DIV/0!</v>
      </c>
      <c r="AV197" s="23" t="e">
        <f t="shared" ref="AV197" si="1688">AU156-AV156</f>
        <v>#DIV/0!</v>
      </c>
      <c r="AW197" s="23">
        <f t="shared" ref="AW197" si="1689">AV156-AW156</f>
        <v>0</v>
      </c>
      <c r="AX197" s="23">
        <f t="shared" ref="AX197" si="1690">AW156-AX156</f>
        <v>-681.2</v>
      </c>
      <c r="AY197" s="23">
        <f t="shared" ref="AY197" si="1691">AX156-AY156</f>
        <v>-0.40017469428494223</v>
      </c>
      <c r="AZ197" s="23">
        <f t="shared" ref="AZ197" si="1692">AY156-AZ156</f>
        <v>110.30017469428492</v>
      </c>
      <c r="BA197" s="23">
        <f t="shared" ref="BA197" si="1693">AZ156-BA156</f>
        <v>2.6328309225721114</v>
      </c>
      <c r="BB197" s="23">
        <f t="shared" ref="BB197" si="1694">BA156-BB156</f>
        <v>-75.932830922572066</v>
      </c>
      <c r="BC197" s="23">
        <f t="shared" ref="BC197" si="1695">BB156-BC156</f>
        <v>-1.8880585990398231</v>
      </c>
      <c r="BD197" s="23">
        <f t="shared" ref="BD197" si="1696">BC156-BD156</f>
        <v>40.2880585990398</v>
      </c>
      <c r="BE197" s="23">
        <f t="shared" ref="BE197" si="1697">BD156-BE156</f>
        <v>-13.911447923606488</v>
      </c>
      <c r="BF197" s="23">
        <f t="shared" ref="BF197" si="1698">BE156-BF156</f>
        <v>-75.188552076393535</v>
      </c>
      <c r="BG197" s="23">
        <f t="shared" ref="BG197" si="1699">BF156-BG156</f>
        <v>-16.685798255593454</v>
      </c>
      <c r="BH197" s="23">
        <f t="shared" ref="BH197" si="1700">BG156-BH156</f>
        <v>-182.21420174440652</v>
      </c>
      <c r="BI197" s="23">
        <f t="shared" ref="BI197" si="1701">BH156-BI156</f>
        <v>-8.2573572387647118</v>
      </c>
      <c r="BJ197" s="23">
        <f t="shared" ref="BJ197" si="1702">BI156-BJ156</f>
        <v>103.95735723876476</v>
      </c>
      <c r="BK197" s="23">
        <f t="shared" ref="BK197" si="1703">BJ156-BK156</f>
        <v>-0.61556101556107023</v>
      </c>
      <c r="BL197" s="23">
        <f t="shared" ref="BL197" si="1704">BK156-BL156</f>
        <v>-408.48443898443884</v>
      </c>
      <c r="BM197" s="23">
        <f t="shared" ref="BM197" si="1705">BL156-BM156</f>
        <v>-2.831980600527686</v>
      </c>
      <c r="BN197" s="23">
        <f t="shared" ref="BN197" si="1706">BM156-BN156</f>
        <v>-287.0680193994724</v>
      </c>
      <c r="BO197" s="23">
        <f t="shared" ref="BO197" si="1707">BN156-BO156</f>
        <v>20.738455689202056</v>
      </c>
      <c r="BP197" s="23">
        <f t="shared" ref="BP197" si="1708">BO156-BP156</f>
        <v>124.26154431079794</v>
      </c>
      <c r="BQ197" s="23">
        <f t="shared" ref="BQ197" si="1709">BP156-BQ156</f>
        <v>-10.166334297457752</v>
      </c>
      <c r="BR197" s="23">
        <f t="shared" ref="BR197" si="1710">BQ156-BR156</f>
        <v>-169.23366570254234</v>
      </c>
      <c r="BS197" s="23">
        <f t="shared" ref="BS197" si="1711">BR156-BS156</f>
        <v>-12.719250260326135</v>
      </c>
      <c r="BT197" s="23">
        <f t="shared" ref="BT197" si="1712">BS156-BT156</f>
        <v>-179.18074973967373</v>
      </c>
      <c r="BU197" s="23">
        <f t="shared" ref="BU197" si="1713">BT156-BU156</f>
        <v>-6.7703676058968085</v>
      </c>
      <c r="BV197" s="23">
        <f t="shared" ref="BV197" si="1714">BU156-BV156</f>
        <v>-103.3296323941031</v>
      </c>
      <c r="BW197" s="23">
        <f t="shared" ref="BW197" si="1715">BV156-BW156</f>
        <v>-56.027185240020572</v>
      </c>
      <c r="BX197" s="23">
        <f t="shared" ref="BX197" si="1716">BW156-BX156</f>
        <v>44.827185240020299</v>
      </c>
      <c r="BY197" s="23">
        <f t="shared" ref="BY197" si="1717">BX156-BY156</f>
        <v>21.45100144629032</v>
      </c>
      <c r="BZ197" s="23">
        <f t="shared" ref="BZ197" si="1718">BY156-BZ156</f>
        <v>-1881.3510014462902</v>
      </c>
      <c r="CA197" s="23">
        <f t="shared" ref="CA197" si="1719">BZ156-CA156</f>
        <v>36.106251581878041</v>
      </c>
      <c r="CB197" s="23">
        <f t="shared" ref="CB197" si="1720">CA156-CB156</f>
        <v>813.79374841812205</v>
      </c>
      <c r="CC197" s="23">
        <f t="shared" ref="CC197" si="1721">CB156-CC156</f>
        <v>-18.981977791745521</v>
      </c>
      <c r="CD197" s="23">
        <f t="shared" ref="CD197" si="1722">CC156-CD156</f>
        <v>-192.11802220825439</v>
      </c>
      <c r="CE197" s="23">
        <f t="shared" ref="CE197" si="1723">CD156-CE156</f>
        <v>42.058924137930717</v>
      </c>
      <c r="CF197" s="23">
        <f t="shared" ref="CF197" si="1724">CE156-CF156</f>
        <v>89.741075862069465</v>
      </c>
      <c r="CG197" s="23">
        <f t="shared" ref="CG197" si="1725">CF156-CG156</f>
        <v>-43.899494733569099</v>
      </c>
      <c r="CH197" s="23">
        <f t="shared" ref="CH197:CL197" si="1726">CG156-CH156</f>
        <v>-491.90050526643154</v>
      </c>
      <c r="CI197" s="23">
        <f t="shared" si="1726"/>
        <v>-300.21216164985935</v>
      </c>
      <c r="CJ197" s="23">
        <f t="shared" si="1726"/>
        <v>273.6121616498599</v>
      </c>
      <c r="CK197" s="23">
        <f t="shared" ref="CK197" si="1727">CJ156-CK156</f>
        <v>65.722705151870741</v>
      </c>
      <c r="CL197" s="23">
        <f t="shared" si="1726"/>
        <v>-565.52270515187092</v>
      </c>
      <c r="CM197" s="24">
        <f t="shared" ref="CM197" si="1728">CL156-CM156</f>
        <v>-439.74884356713437</v>
      </c>
      <c r="CN197" s="24">
        <f t="shared" ref="CN197" si="1729">CM156-CN156</f>
        <v>-116.05623166121677</v>
      </c>
      <c r="CO197" s="24">
        <f t="shared" ref="CO197" si="1730">CN156-CO156</f>
        <v>152.45860375718621</v>
      </c>
      <c r="CP197" s="24">
        <f t="shared" ref="CP197" si="1731">CO156-CP156</f>
        <v>124.44897636256337</v>
      </c>
      <c r="CQ197" s="24">
        <f t="shared" ref="CQ197" si="1732">CP156-CQ156</f>
        <v>-544.0162510493401</v>
      </c>
      <c r="CR197" s="24">
        <f t="shared" ref="CR197" si="1733">CQ156-CR156</f>
        <v>-102.72143823326769</v>
      </c>
      <c r="CS197" s="24">
        <f t="shared" ref="CS197" si="1734">CR156-CS156</f>
        <v>177.32138412132099</v>
      </c>
      <c r="CT197" s="24">
        <f t="shared" ref="CT197" si="1735">CS156-CT156</f>
        <v>131.87204551557261</v>
      </c>
      <c r="CU197" s="24">
        <f t="shared" ref="CU197" si="1736">CT156-CU156</f>
        <v>-598.00805967291581</v>
      </c>
      <c r="CV197" s="24">
        <f t="shared" ref="CV197" si="1737">CU156-CV156</f>
        <v>-104.75412790242262</v>
      </c>
      <c r="CW197" s="24">
        <f t="shared" ref="CW197" si="1738">CV156-CW156</f>
        <v>193.01917658456023</v>
      </c>
      <c r="CX197" s="24">
        <f t="shared" ref="CX197" si="1739">CW156-CX156</f>
        <v>140.95032026962599</v>
      </c>
      <c r="CY197" s="24">
        <f t="shared" ref="CY197" si="1740">CX156-CY156</f>
        <v>-647.11523640513678</v>
      </c>
      <c r="CZ197" s="24">
        <f t="shared" ref="CZ197" si="1741">CY156-CZ156</f>
        <v>-111.7663952033472</v>
      </c>
      <c r="DA197" s="24">
        <f t="shared" ref="DA197" si="1742">CZ156-DA156</f>
        <v>208.47811725659358</v>
      </c>
      <c r="DB197" s="24">
        <f t="shared" ref="DB197" si="1743">DA156-DB156</f>
        <v>151.85399960119776</v>
      </c>
      <c r="DE197" s="123"/>
      <c r="DF197" s="23">
        <v>-526.39999999999964</v>
      </c>
    </row>
    <row r="198" spans="1:110" s="22" customFormat="1" x14ac:dyDescent="0.2">
      <c r="A198" s="22" t="s">
        <v>90</v>
      </c>
      <c r="C198" s="22">
        <f t="shared" ref="C198:W198" si="1744">C196-C197</f>
        <v>0</v>
      </c>
      <c r="D198" s="22">
        <f t="shared" si="1744"/>
        <v>0</v>
      </c>
      <c r="E198" s="22">
        <f t="shared" si="1744"/>
        <v>0</v>
      </c>
      <c r="F198" s="22">
        <f t="shared" si="1744"/>
        <v>0</v>
      </c>
      <c r="G198" s="22">
        <f t="shared" si="1744"/>
        <v>0</v>
      </c>
      <c r="H198" s="22">
        <f t="shared" si="1744"/>
        <v>0</v>
      </c>
      <c r="I198" s="22">
        <f t="shared" si="1744"/>
        <v>0</v>
      </c>
      <c r="J198" s="22">
        <f>J196-J197</f>
        <v>0</v>
      </c>
      <c r="K198" s="22">
        <f t="shared" si="1744"/>
        <v>0</v>
      </c>
      <c r="L198" s="22">
        <f t="shared" si="1744"/>
        <v>0</v>
      </c>
      <c r="M198" s="22">
        <f t="shared" si="1744"/>
        <v>0</v>
      </c>
      <c r="N198" s="22">
        <f t="shared" si="1744"/>
        <v>3.0000000000000001E-3</v>
      </c>
      <c r="O198" s="22">
        <f t="shared" si="1744"/>
        <v>-99.409000000000006</v>
      </c>
      <c r="P198" s="22">
        <f t="shared" si="1744"/>
        <v>-486.53500000000008</v>
      </c>
      <c r="Q198" s="22">
        <f t="shared" si="1744"/>
        <v>98.841000000000122</v>
      </c>
      <c r="R198" s="22">
        <f t="shared" si="1744"/>
        <v>-222.10000000000008</v>
      </c>
      <c r="S198" s="22">
        <f t="shared" si="1744"/>
        <v>-213.30000000000007</v>
      </c>
      <c r="T198" s="22">
        <f t="shared" si="1744"/>
        <v>-69.89999999999975</v>
      </c>
      <c r="U198" s="22">
        <f t="shared" si="1744"/>
        <v>254.69999999999987</v>
      </c>
      <c r="V198" s="22">
        <f t="shared" si="1744"/>
        <v>296.40000000000026</v>
      </c>
      <c r="W198" s="22">
        <f t="shared" si="1744"/>
        <v>-290.20000000000027</v>
      </c>
      <c r="X198" s="22">
        <f t="shared" ref="X198:Y198" si="1745">X196-X197</f>
        <v>562</v>
      </c>
      <c r="Y198" s="22">
        <f t="shared" si="1745"/>
        <v>-669.40000000000077</v>
      </c>
      <c r="Z198" s="22">
        <f t="shared" ref="Z198:AA198" si="1746">Z196-Z197</f>
        <v>-110.29999999999814</v>
      </c>
      <c r="AA198" s="22">
        <f t="shared" si="1746"/>
        <v>265.99999999999909</v>
      </c>
      <c r="AB198" s="21">
        <f t="shared" ref="AB198:AD198" si="1747">AB196-AB197</f>
        <v>-577.42242165848029</v>
      </c>
      <c r="AC198" s="21">
        <f t="shared" si="1747"/>
        <v>-92.371555015392005</v>
      </c>
      <c r="AD198" s="21">
        <f t="shared" si="1747"/>
        <v>-100.92292594748596</v>
      </c>
      <c r="AE198" s="21">
        <f t="shared" ref="AE198" si="1748">AE196-AE197</f>
        <v>-109.06610726188137</v>
      </c>
      <c r="AI198" s="22">
        <f t="shared" ref="AI198" si="1749">AI196-AI197</f>
        <v>0</v>
      </c>
      <c r="AJ198" s="22">
        <f t="shared" ref="AJ198:AL198" si="1750">AJ196-AJ197</f>
        <v>0</v>
      </c>
      <c r="AK198" s="22" t="e">
        <f t="shared" si="1750"/>
        <v>#DIV/0!</v>
      </c>
      <c r="AL198" s="22" t="e">
        <f t="shared" si="1750"/>
        <v>#DIV/0!</v>
      </c>
      <c r="AM198" s="22" t="e">
        <f t="shared" ref="AM198" si="1751">AM196-AM197</f>
        <v>#DIV/0!</v>
      </c>
      <c r="AN198" s="22" t="e">
        <f t="shared" ref="AN198:CD198" si="1752">AN196-AN197</f>
        <v>#DIV/0!</v>
      </c>
      <c r="AO198" s="22" t="e">
        <f t="shared" si="1752"/>
        <v>#DIV/0!</v>
      </c>
      <c r="AP198" s="22" t="e">
        <f t="shared" si="1752"/>
        <v>#DIV/0!</v>
      </c>
      <c r="AQ198" s="22" t="e">
        <f t="shared" si="1752"/>
        <v>#DIV/0!</v>
      </c>
      <c r="AR198" s="22" t="e">
        <f t="shared" si="1752"/>
        <v>#DIV/0!</v>
      </c>
      <c r="AS198" s="22" t="e">
        <f t="shared" si="1752"/>
        <v>#DIV/0!</v>
      </c>
      <c r="AT198" s="22" t="e">
        <f t="shared" si="1752"/>
        <v>#DIV/0!</v>
      </c>
      <c r="AU198" s="22" t="e">
        <f t="shared" si="1752"/>
        <v>#DIV/0!</v>
      </c>
      <c r="AV198" s="22" t="e">
        <f t="shared" si="1752"/>
        <v>#DIV/0!</v>
      </c>
      <c r="AW198" s="22">
        <f t="shared" si="1752"/>
        <v>0</v>
      </c>
      <c r="AX198" s="22">
        <f t="shared" si="1752"/>
        <v>-487.09999999999991</v>
      </c>
      <c r="AY198" s="22">
        <f t="shared" si="1752"/>
        <v>-0.95851010731234965</v>
      </c>
      <c r="AZ198" s="22">
        <f t="shared" si="1752"/>
        <v>-66.241489892687582</v>
      </c>
      <c r="BA198" s="22">
        <f t="shared" si="1752"/>
        <v>7.7729062841860852</v>
      </c>
      <c r="BB198" s="22">
        <f t="shared" si="1752"/>
        <v>-162.67290628418613</v>
      </c>
      <c r="BC198" s="22">
        <f t="shared" si="1752"/>
        <v>-7.1223808937581907</v>
      </c>
      <c r="BD198" s="22">
        <f t="shared" si="1752"/>
        <v>-142.47761910624166</v>
      </c>
      <c r="BE198" s="22">
        <f t="shared" si="1752"/>
        <v>-47.378025760603919</v>
      </c>
      <c r="BF198" s="22">
        <f t="shared" si="1752"/>
        <v>-16.321974239396198</v>
      </c>
      <c r="BG198" s="22">
        <f t="shared" si="1752"/>
        <v>-72.172772089495538</v>
      </c>
      <c r="BH198" s="22">
        <f t="shared" si="1752"/>
        <v>84.072772089495786</v>
      </c>
      <c r="BI198" s="22">
        <f t="shared" si="1752"/>
        <v>-36.905331332438323</v>
      </c>
      <c r="BJ198" s="22">
        <f t="shared" si="1752"/>
        <v>-44.894668667562044</v>
      </c>
      <c r="BK198" s="22">
        <f t="shared" si="1752"/>
        <v>-2.871089271089204</v>
      </c>
      <c r="BL198" s="22">
        <f t="shared" si="1752"/>
        <v>-56.328910728910955</v>
      </c>
      <c r="BM198" s="22">
        <f t="shared" si="1752"/>
        <v>-14.013037586477594</v>
      </c>
      <c r="BN198" s="22">
        <f t="shared" si="1752"/>
        <v>-21.086962413522144</v>
      </c>
      <c r="BO198" s="22">
        <f t="shared" si="1752"/>
        <v>124.24172542513497</v>
      </c>
      <c r="BP198" s="22">
        <f t="shared" si="1752"/>
        <v>-24.441725425134891</v>
      </c>
      <c r="BQ198" s="22">
        <f t="shared" si="1752"/>
        <v>-68.300304460344023</v>
      </c>
      <c r="BR198" s="22">
        <f t="shared" si="1752"/>
        <v>194.20030446034394</v>
      </c>
      <c r="BS198" s="22">
        <f t="shared" si="1752"/>
        <v>-54.045997917390196</v>
      </c>
      <c r="BT198" s="22">
        <f t="shared" si="1752"/>
        <v>-78.354002082609782</v>
      </c>
      <c r="BU198" s="22">
        <f t="shared" si="1752"/>
        <v>-67.162642284008143</v>
      </c>
      <c r="BV198" s="22">
        <f t="shared" si="1752"/>
        <v>-78.237357715992317</v>
      </c>
      <c r="BW198" s="22">
        <f t="shared" si="1752"/>
        <v>-185.49925972325084</v>
      </c>
      <c r="BX198" s="22">
        <f t="shared" si="1752"/>
        <v>225.299259723251</v>
      </c>
      <c r="BY198" s="22">
        <f t="shared" si="1752"/>
        <v>69.074957268702747</v>
      </c>
      <c r="BZ198" s="22">
        <f t="shared" si="1752"/>
        <v>482.72504273129721</v>
      </c>
      <c r="CA198" s="22">
        <f t="shared" si="1752"/>
        <v>26.750561039399599</v>
      </c>
      <c r="CB198" s="22">
        <f t="shared" si="1752"/>
        <v>-979.95056103939896</v>
      </c>
      <c r="CC198" s="22">
        <f t="shared" si="1752"/>
        <v>-21.412227110831743</v>
      </c>
      <c r="CD198" s="22">
        <f t="shared" si="1752"/>
        <v>87.812227110831088</v>
      </c>
      <c r="CE198" s="22">
        <f t="shared" ref="CE198:CF198" si="1753">CE196-CE197</f>
        <v>22.997296551724048</v>
      </c>
      <c r="CF198" s="22">
        <f t="shared" si="1753"/>
        <v>-372.6972965517237</v>
      </c>
      <c r="CG198" s="22">
        <f t="shared" ref="CG198:CH198" si="1754">CG196-CG197</f>
        <v>-28.18396750748208</v>
      </c>
      <c r="CH198" s="22">
        <f t="shared" si="1754"/>
        <v>862.68396750748298</v>
      </c>
      <c r="CI198" s="22">
        <f t="shared" ref="CI198:CJ198" si="1755">CI196-CI197</f>
        <v>-87.255485631966167</v>
      </c>
      <c r="CJ198" s="22">
        <f t="shared" si="1755"/>
        <v>-552.34451436803442</v>
      </c>
      <c r="CK198" s="22">
        <f t="shared" ref="CK198:DB198" si="1756">CK196-CK197</f>
        <v>30.025172008725804</v>
      </c>
      <c r="CL198" s="22">
        <f t="shared" si="1756"/>
        <v>374.47482799127346</v>
      </c>
      <c r="CM198" s="21">
        <f t="shared" si="1756"/>
        <v>-120.34061707685896</v>
      </c>
      <c r="CN198" s="21">
        <f t="shared" si="1756"/>
        <v>-31.759670862201347</v>
      </c>
      <c r="CO198" s="21">
        <f t="shared" si="1756"/>
        <v>41.721456970733954</v>
      </c>
      <c r="CP198" s="21">
        <f t="shared" si="1756"/>
        <v>34.056409309846458</v>
      </c>
      <c r="CQ198" s="21">
        <f t="shared" si="1756"/>
        <v>-148.87418650169184</v>
      </c>
      <c r="CR198" s="21">
        <f t="shared" si="1756"/>
        <v>-28.110503176631028</v>
      </c>
      <c r="CS198" s="21">
        <f t="shared" si="1756"/>
        <v>48.525345997471078</v>
      </c>
      <c r="CT198" s="21">
        <f t="shared" si="1756"/>
        <v>36.08778866545984</v>
      </c>
      <c r="CU198" s="21">
        <f t="shared" si="1756"/>
        <v>-163.64945575345791</v>
      </c>
      <c r="CV198" s="21">
        <f t="shared" si="1756"/>
        <v>-28.666764171263821</v>
      </c>
      <c r="CW198" s="21">
        <f t="shared" si="1756"/>
        <v>52.821166349029255</v>
      </c>
      <c r="CX198" s="21">
        <f t="shared" si="1756"/>
        <v>38.572127628206573</v>
      </c>
      <c r="CY198" s="21">
        <f t="shared" si="1756"/>
        <v>-177.08800832114775</v>
      </c>
      <c r="CZ198" s="21">
        <f t="shared" si="1756"/>
        <v>-30.585724474278322</v>
      </c>
      <c r="DA198" s="21">
        <f t="shared" si="1756"/>
        <v>57.051623090511384</v>
      </c>
      <c r="DB198" s="21">
        <f t="shared" si="1756"/>
        <v>41.55600244303335</v>
      </c>
      <c r="DE198" s="126"/>
      <c r="DF198" s="22">
        <v>265.99999999999909</v>
      </c>
    </row>
    <row r="199" spans="1:110" s="22" customFormat="1" x14ac:dyDescent="0.2">
      <c r="A199" s="22" t="s">
        <v>91</v>
      </c>
      <c r="C199" s="22">
        <f t="shared" ref="C199:W199" si="1757">C195+C198</f>
        <v>0</v>
      </c>
      <c r="D199" s="22">
        <f>D195+D198</f>
        <v>0</v>
      </c>
      <c r="E199" s="22">
        <f t="shared" si="1757"/>
        <v>0</v>
      </c>
      <c r="F199" s="22">
        <f t="shared" si="1757"/>
        <v>0</v>
      </c>
      <c r="G199" s="22">
        <f t="shared" si="1757"/>
        <v>0</v>
      </c>
      <c r="H199" s="22">
        <f t="shared" si="1757"/>
        <v>0</v>
      </c>
      <c r="I199" s="22">
        <f t="shared" si="1757"/>
        <v>0</v>
      </c>
      <c r="J199" s="22">
        <f>J195+J198</f>
        <v>0</v>
      </c>
      <c r="K199" s="22">
        <f t="shared" si="1757"/>
        <v>0</v>
      </c>
      <c r="L199" s="22">
        <f t="shared" si="1757"/>
        <v>0</v>
      </c>
      <c r="M199" s="22">
        <f t="shared" si="1757"/>
        <v>0</v>
      </c>
      <c r="N199" s="22">
        <f t="shared" si="1757"/>
        <v>0</v>
      </c>
      <c r="O199" s="22">
        <f t="shared" si="1757"/>
        <v>-92.071000000000012</v>
      </c>
      <c r="P199" s="22">
        <f t="shared" si="1757"/>
        <v>-127.17500000000024</v>
      </c>
      <c r="Q199" s="22">
        <f t="shared" si="1757"/>
        <v>576.84099999999978</v>
      </c>
      <c r="R199" s="22">
        <f t="shared" si="1757"/>
        <v>265.29999999999995</v>
      </c>
      <c r="S199" s="22">
        <f t="shared" si="1757"/>
        <v>381.5</v>
      </c>
      <c r="T199" s="22">
        <f t="shared" si="1757"/>
        <v>799.89999999999975</v>
      </c>
      <c r="U199" s="22">
        <f t="shared" si="1757"/>
        <v>1256.1999999999996</v>
      </c>
      <c r="V199" s="22">
        <f t="shared" si="1757"/>
        <v>1178.0000000000005</v>
      </c>
      <c r="W199" s="22">
        <f t="shared" si="1757"/>
        <v>881.19999999999914</v>
      </c>
      <c r="X199" s="22">
        <f t="shared" ref="X199:Y199" si="1758">X195+X198</f>
        <v>2007.9000000000015</v>
      </c>
      <c r="Y199" s="22">
        <f t="shared" si="1758"/>
        <v>905.8999999999985</v>
      </c>
      <c r="Z199" s="22">
        <f t="shared" ref="Z199:AA199" si="1759">Z195+Z198</f>
        <v>1459.500000000002</v>
      </c>
      <c r="AA199" s="22">
        <f t="shared" si="1759"/>
        <v>1890.3999999999994</v>
      </c>
      <c r="AB199" s="21">
        <f t="shared" ref="AB199:AD199" si="1760">AB195+AB198</f>
        <v>1346.0637047837849</v>
      </c>
      <c r="AC199" s="21">
        <f t="shared" si="1760"/>
        <v>2029.466287529387</v>
      </c>
      <c r="AD199" s="21">
        <f t="shared" si="1760"/>
        <v>2239.1124509636238</v>
      </c>
      <c r="AE199" s="21">
        <f t="shared" ref="AE199" si="1761">AE195+AE198</f>
        <v>2470.7086775789435</v>
      </c>
      <c r="AI199" s="22">
        <f t="shared" ref="AI199" si="1762">AI195+AI198</f>
        <v>0</v>
      </c>
      <c r="AJ199" s="22">
        <f t="shared" ref="AJ199:AL199" si="1763">AJ195+AJ198</f>
        <v>0</v>
      </c>
      <c r="AK199" s="22" t="e">
        <f t="shared" si="1763"/>
        <v>#DIV/0!</v>
      </c>
      <c r="AL199" s="22" t="e">
        <f t="shared" si="1763"/>
        <v>#DIV/0!</v>
      </c>
      <c r="AM199" s="22" t="e">
        <f t="shared" ref="AM199" si="1764">AM195+AM198</f>
        <v>#DIV/0!</v>
      </c>
      <c r="AN199" s="22" t="e">
        <f t="shared" ref="AN199:CD199" si="1765">AN195+AN198</f>
        <v>#DIV/0!</v>
      </c>
      <c r="AO199" s="22" t="e">
        <f t="shared" si="1765"/>
        <v>#DIV/0!</v>
      </c>
      <c r="AP199" s="22" t="e">
        <f t="shared" si="1765"/>
        <v>#DIV/0!</v>
      </c>
      <c r="AQ199" s="22" t="e">
        <f t="shared" si="1765"/>
        <v>#DIV/0!</v>
      </c>
      <c r="AR199" s="22" t="e">
        <f t="shared" si="1765"/>
        <v>#DIV/0!</v>
      </c>
      <c r="AS199" s="22" t="e">
        <f t="shared" si="1765"/>
        <v>#DIV/0!</v>
      </c>
      <c r="AT199" s="22" t="e">
        <f t="shared" si="1765"/>
        <v>#DIV/0!</v>
      </c>
      <c r="AU199" s="22" t="e">
        <f t="shared" si="1765"/>
        <v>#DIV/0!</v>
      </c>
      <c r="AV199" s="22" t="e">
        <f t="shared" si="1765"/>
        <v>#DIV/0!</v>
      </c>
      <c r="AW199" s="22">
        <f t="shared" si="1765"/>
        <v>144.60000000000005</v>
      </c>
      <c r="AX199" s="22">
        <f t="shared" si="1765"/>
        <v>-360.19999999999993</v>
      </c>
      <c r="AY199" s="22">
        <f t="shared" si="1765"/>
        <v>125.14148989268763</v>
      </c>
      <c r="AZ199" s="22">
        <f t="shared" si="1765"/>
        <v>60.758510107312475</v>
      </c>
      <c r="BA199" s="22">
        <f t="shared" si="1765"/>
        <v>131.372906284186</v>
      </c>
      <c r="BB199" s="22">
        <f t="shared" si="1765"/>
        <v>-51.972906284186209</v>
      </c>
      <c r="BC199" s="22">
        <f t="shared" si="1765"/>
        <v>105.57761910624174</v>
      </c>
      <c r="BD199" s="22">
        <f t="shared" si="1765"/>
        <v>-5.1776191062416501</v>
      </c>
      <c r="BE199" s="22">
        <f t="shared" si="1765"/>
        <v>93.421974239396093</v>
      </c>
      <c r="BF199" s="22">
        <f t="shared" si="1765"/>
        <v>187.67802576060382</v>
      </c>
      <c r="BG199" s="22">
        <f t="shared" si="1765"/>
        <v>151.32722791050449</v>
      </c>
      <c r="BH199" s="22">
        <f t="shared" si="1765"/>
        <v>302.07277208949574</v>
      </c>
      <c r="BI199" s="22">
        <f t="shared" si="1765"/>
        <v>172.59466866756173</v>
      </c>
      <c r="BJ199" s="22">
        <f t="shared" si="1765"/>
        <v>173.90533133243787</v>
      </c>
      <c r="BK199" s="22">
        <f t="shared" si="1765"/>
        <v>243.82891072891084</v>
      </c>
      <c r="BL199" s="22">
        <f t="shared" si="1765"/>
        <v>193.87108927108883</v>
      </c>
      <c r="BM199" s="22">
        <f t="shared" si="1765"/>
        <v>237.28696241352264</v>
      </c>
      <c r="BN199" s="22">
        <f t="shared" si="1765"/>
        <v>232.21303758647758</v>
      </c>
      <c r="BO199" s="22">
        <f t="shared" si="1765"/>
        <v>290.64172542513506</v>
      </c>
      <c r="BP199" s="22">
        <f t="shared" si="1765"/>
        <v>193.75827457486503</v>
      </c>
      <c r="BQ199" s="22">
        <f t="shared" si="1765"/>
        <v>180.19969553965606</v>
      </c>
      <c r="BR199" s="22">
        <f t="shared" si="1765"/>
        <v>442.70030446034389</v>
      </c>
      <c r="BS199" s="22">
        <f t="shared" si="1765"/>
        <v>217.55400208261005</v>
      </c>
      <c r="BT199" s="22">
        <f t="shared" si="1765"/>
        <v>204.5459979173902</v>
      </c>
      <c r="BU199" s="22">
        <f t="shared" si="1765"/>
        <v>234.63735771599193</v>
      </c>
      <c r="BV199" s="22">
        <f t="shared" si="1765"/>
        <v>236.86264228400765</v>
      </c>
      <c r="BW199" s="22">
        <f t="shared" si="1765"/>
        <v>148.90074027674919</v>
      </c>
      <c r="BX199" s="22">
        <f t="shared" si="1765"/>
        <v>584.19925972325086</v>
      </c>
      <c r="BY199" s="22">
        <f t="shared" si="1765"/>
        <v>424.77495726870268</v>
      </c>
      <c r="BZ199" s="22">
        <f t="shared" si="1765"/>
        <v>879.62504273129707</v>
      </c>
      <c r="CA199" s="22">
        <f t="shared" si="1765"/>
        <v>395.25056103939977</v>
      </c>
      <c r="CB199" s="22">
        <f t="shared" si="1765"/>
        <v>-596.45056103939908</v>
      </c>
      <c r="CC199" s="22">
        <f t="shared" si="1765"/>
        <v>386.28777288916825</v>
      </c>
      <c r="CD199" s="22">
        <f t="shared" si="1765"/>
        <v>503.31222711083132</v>
      </c>
      <c r="CE199" s="22">
        <f t="shared" ref="CE199:CF199" si="1766">CE195+CE198</f>
        <v>409.19729655172398</v>
      </c>
      <c r="CF199" s="22">
        <f t="shared" si="1766"/>
        <v>25.202703448276338</v>
      </c>
      <c r="CG199" s="22">
        <f t="shared" ref="CG199:CH199" si="1767">CG195+CG198</f>
        <v>367.0160324925177</v>
      </c>
      <c r="CH199" s="22">
        <f t="shared" si="1767"/>
        <v>1254.6839675074834</v>
      </c>
      <c r="CI199" s="22">
        <f t="shared" ref="CI199:CJ199" si="1768">CI195+CI198</f>
        <v>309.5445143680339</v>
      </c>
      <c r="CJ199" s="22">
        <f t="shared" si="1768"/>
        <v>-131.04451436803424</v>
      </c>
      <c r="CK199" s="22">
        <f t="shared" ref="CK199:DB199" si="1769">CK195+CK198</f>
        <v>419.32517200872604</v>
      </c>
      <c r="CL199" s="22">
        <f t="shared" si="1769"/>
        <v>793.07482799127354</v>
      </c>
      <c r="CM199" s="21">
        <f t="shared" si="1769"/>
        <v>359.34365280720561</v>
      </c>
      <c r="CN199" s="21">
        <f t="shared" si="1769"/>
        <v>453.85295295861795</v>
      </c>
      <c r="CO199" s="21">
        <f t="shared" si="1769"/>
        <v>524.47846453409386</v>
      </c>
      <c r="CP199" s="21">
        <f t="shared" si="1769"/>
        <v>509.48863448386953</v>
      </c>
      <c r="CQ199" s="21">
        <f t="shared" si="1769"/>
        <v>379.89435896031739</v>
      </c>
      <c r="CR199" s="21">
        <f t="shared" si="1769"/>
        <v>512.95711825693979</v>
      </c>
      <c r="CS199" s="21">
        <f t="shared" si="1769"/>
        <v>578.4885026008626</v>
      </c>
      <c r="CT199" s="21">
        <f t="shared" si="1769"/>
        <v>558.12630771126703</v>
      </c>
      <c r="CU199" s="21">
        <f t="shared" si="1769"/>
        <v>419.79169118413665</v>
      </c>
      <c r="CV199" s="21">
        <f t="shared" si="1769"/>
        <v>568.30509647341773</v>
      </c>
      <c r="CW199" s="21">
        <f t="shared" si="1769"/>
        <v>636.57242115230167</v>
      </c>
      <c r="CX199" s="21">
        <f t="shared" si="1769"/>
        <v>614.44324215376832</v>
      </c>
      <c r="CY199" s="21">
        <f t="shared" si="1769"/>
        <v>465.98944776809674</v>
      </c>
      <c r="CZ199" s="21">
        <f t="shared" si="1769"/>
        <v>627.17150516267645</v>
      </c>
      <c r="DA199" s="21">
        <f t="shared" si="1769"/>
        <v>700.57609095686507</v>
      </c>
      <c r="DB199" s="21">
        <f t="shared" si="1769"/>
        <v>676.97163369130499</v>
      </c>
      <c r="DE199" s="126"/>
      <c r="DF199" s="22">
        <v>1890.3999999999994</v>
      </c>
    </row>
    <row r="200" spans="1:110" s="23" customFormat="1" x14ac:dyDescent="0.2">
      <c r="AB200" s="24"/>
      <c r="AC200" s="24"/>
      <c r="AD200" s="24"/>
      <c r="AE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70">C202+C203</f>
        <v>0</v>
      </c>
      <c r="D201" s="22">
        <f>D202+D203</f>
        <v>0</v>
      </c>
      <c r="E201" s="22">
        <f t="shared" si="1770"/>
        <v>0</v>
      </c>
      <c r="F201" s="22">
        <f t="shared" si="1770"/>
        <v>0</v>
      </c>
      <c r="G201" s="22">
        <f t="shared" si="1770"/>
        <v>0</v>
      </c>
      <c r="H201" s="22">
        <f t="shared" si="1770"/>
        <v>0</v>
      </c>
      <c r="I201" s="22">
        <f t="shared" si="1770"/>
        <v>0</v>
      </c>
      <c r="J201" s="22">
        <f t="shared" si="1770"/>
        <v>0</v>
      </c>
      <c r="K201" s="22">
        <f t="shared" si="1770"/>
        <v>0</v>
      </c>
      <c r="L201" s="22">
        <f t="shared" si="1770"/>
        <v>0</v>
      </c>
      <c r="M201" s="22">
        <f t="shared" si="1770"/>
        <v>0</v>
      </c>
      <c r="N201" s="22">
        <f t="shared" si="1770"/>
        <v>0</v>
      </c>
      <c r="O201" s="22">
        <f t="shared" si="1770"/>
        <v>-405.81200000000001</v>
      </c>
      <c r="P201" s="22">
        <f t="shared" si="1770"/>
        <v>-213.37499999999994</v>
      </c>
      <c r="Q201" s="22">
        <f t="shared" si="1770"/>
        <v>-124.40000000000009</v>
      </c>
      <c r="R201" s="22">
        <f t="shared" si="1770"/>
        <v>-43.5</v>
      </c>
      <c r="S201" s="22">
        <f t="shared" si="1770"/>
        <v>-182.19999999999993</v>
      </c>
      <c r="T201" s="22">
        <f t="shared" si="1770"/>
        <v>-174.70000000000005</v>
      </c>
      <c r="U201" s="22">
        <f t="shared" si="1770"/>
        <v>-616.0999999999998</v>
      </c>
      <c r="V201" s="22">
        <f t="shared" si="1770"/>
        <v>-299.40000000000032</v>
      </c>
      <c r="W201" s="22">
        <f t="shared" si="1770"/>
        <v>-298.79999999999984</v>
      </c>
      <c r="X201" s="22">
        <f t="shared" ref="X201:Y201" si="1771">X202+X203</f>
        <v>-339.8000000000003</v>
      </c>
      <c r="Y201" s="22">
        <f t="shared" si="1771"/>
        <v>-611.70000000000016</v>
      </c>
      <c r="Z201" s="22">
        <f t="shared" ref="Z201:AA201" si="1772">Z202+Z203</f>
        <v>-1100.4999999999993</v>
      </c>
      <c r="AA201" s="22">
        <f t="shared" si="1772"/>
        <v>-452.90000000000038</v>
      </c>
      <c r="AB201" s="21">
        <f t="shared" ref="AB201:AD201" si="1773">AB202+AB203</f>
        <v>181.09999999999991</v>
      </c>
      <c r="AC201" s="21">
        <f t="shared" si="1773"/>
        <v>-320.00000000000045</v>
      </c>
      <c r="AD201" s="21">
        <f t="shared" si="1773"/>
        <v>-319.99999999999977</v>
      </c>
      <c r="AE201" s="21">
        <f t="shared" ref="AE201" si="1774">AE202+AE203</f>
        <v>-319.99999999999977</v>
      </c>
      <c r="AI201" s="22">
        <f t="shared" ref="AI201" si="1775">AI202+AI203</f>
        <v>0</v>
      </c>
      <c r="AJ201" s="22">
        <f t="shared" ref="AJ201:AL201" si="1776">AJ202+AJ203</f>
        <v>0</v>
      </c>
      <c r="AK201" s="22">
        <f t="shared" si="1776"/>
        <v>0</v>
      </c>
      <c r="AL201" s="22">
        <f t="shared" si="1776"/>
        <v>0</v>
      </c>
      <c r="AM201" s="22">
        <f t="shared" ref="AM201" si="1777">AM202+AM203</f>
        <v>0</v>
      </c>
      <c r="AN201" s="22">
        <f t="shared" ref="AN201:CD201" si="1778">AN202+AN203</f>
        <v>0</v>
      </c>
      <c r="AO201" s="22">
        <f t="shared" si="1778"/>
        <v>0</v>
      </c>
      <c r="AP201" s="22">
        <f t="shared" si="1778"/>
        <v>0</v>
      </c>
      <c r="AQ201" s="22">
        <f t="shared" si="1778"/>
        <v>0</v>
      </c>
      <c r="AR201" s="22">
        <f t="shared" si="1778"/>
        <v>0</v>
      </c>
      <c r="AS201" s="22">
        <f t="shared" si="1778"/>
        <v>0</v>
      </c>
      <c r="AT201" s="22">
        <f t="shared" si="1778"/>
        <v>0</v>
      </c>
      <c r="AU201" s="22">
        <f t="shared" si="1778"/>
        <v>0</v>
      </c>
      <c r="AV201" s="22">
        <f t="shared" si="1778"/>
        <v>-14.4</v>
      </c>
      <c r="AW201" s="22">
        <f t="shared" si="1778"/>
        <v>-13.8</v>
      </c>
      <c r="AX201" s="22">
        <f t="shared" si="1778"/>
        <v>-653</v>
      </c>
      <c r="AY201" s="22">
        <f t="shared" si="1778"/>
        <v>-17.799999999999955</v>
      </c>
      <c r="AZ201" s="22">
        <f t="shared" si="1778"/>
        <v>0.10000000000002274</v>
      </c>
      <c r="BA201" s="22">
        <f t="shared" si="1778"/>
        <v>-14.899999999999977</v>
      </c>
      <c r="BB201" s="22">
        <f t="shared" si="1778"/>
        <v>-10.900000000000091</v>
      </c>
      <c r="BC201" s="22">
        <f t="shared" si="1778"/>
        <v>-14.5</v>
      </c>
      <c r="BD201" s="22">
        <f t="shared" si="1778"/>
        <v>-117.69999999999993</v>
      </c>
      <c r="BE201" s="22">
        <f t="shared" si="1778"/>
        <v>-14.5</v>
      </c>
      <c r="BF201" s="22">
        <f t="shared" si="1778"/>
        <v>-35.500000000000114</v>
      </c>
      <c r="BG201" s="22">
        <f t="shared" si="1778"/>
        <v>-26</v>
      </c>
      <c r="BH201" s="22">
        <f t="shared" si="1778"/>
        <v>-22.200000000000045</v>
      </c>
      <c r="BI201" s="22">
        <f t="shared" si="1778"/>
        <v>-23.899999999999977</v>
      </c>
      <c r="BJ201" s="22">
        <f t="shared" si="1778"/>
        <v>-102.59999999999991</v>
      </c>
      <c r="BK201" s="22">
        <f t="shared" si="1778"/>
        <v>-42.799999999999955</v>
      </c>
      <c r="BL201" s="22">
        <f t="shared" si="1778"/>
        <v>-426.30000000000007</v>
      </c>
      <c r="BM201" s="22">
        <f t="shared" si="1778"/>
        <v>-47.200000000000045</v>
      </c>
      <c r="BN201" s="22">
        <f t="shared" si="1778"/>
        <v>249.20000000000005</v>
      </c>
      <c r="BO201" s="22">
        <f t="shared" si="1778"/>
        <v>-49.200000000000045</v>
      </c>
      <c r="BP201" s="22">
        <f t="shared" si="1778"/>
        <v>-35.600000000000094</v>
      </c>
      <c r="BQ201" s="22">
        <f t="shared" si="1778"/>
        <v>-62.399999999999977</v>
      </c>
      <c r="BR201" s="22">
        <f t="shared" si="1778"/>
        <v>-81.499999999999929</v>
      </c>
      <c r="BS201" s="22">
        <f t="shared" si="1778"/>
        <v>-55.399999999999977</v>
      </c>
      <c r="BT201" s="22">
        <f t="shared" si="1778"/>
        <v>-51.200000000000045</v>
      </c>
      <c r="BU201" s="22">
        <f t="shared" si="1778"/>
        <v>-53</v>
      </c>
      <c r="BV201" s="22">
        <f t="shared" si="1778"/>
        <v>-151.59999999999988</v>
      </c>
      <c r="BW201" s="22">
        <f t="shared" si="1778"/>
        <v>-59</v>
      </c>
      <c r="BX201" s="22">
        <f t="shared" si="1778"/>
        <v>-151.69999999999999</v>
      </c>
      <c r="BY201" s="22">
        <f t="shared" si="1778"/>
        <v>-58.899999999999977</v>
      </c>
      <c r="BZ201" s="22">
        <f t="shared" si="1778"/>
        <v>-99.69999999999996</v>
      </c>
      <c r="CA201" s="22">
        <f t="shared" si="1778"/>
        <v>-57.399999999999977</v>
      </c>
      <c r="CB201" s="22">
        <f t="shared" si="1778"/>
        <v>-159.70000000000016</v>
      </c>
      <c r="CC201" s="22">
        <f t="shared" si="1778"/>
        <v>-71.5</v>
      </c>
      <c r="CD201" s="22">
        <f t="shared" si="1778"/>
        <v>-105.69999999999985</v>
      </c>
      <c r="CE201" s="22">
        <f t="shared" ref="CE201:CF201" si="1779">CE202+CE203</f>
        <v>-72.600000000000023</v>
      </c>
      <c r="CF201" s="22">
        <f t="shared" si="1779"/>
        <v>-39.69999999999996</v>
      </c>
      <c r="CG201" s="22">
        <f t="shared" ref="CG201:CH201" si="1780">CG202+CG203</f>
        <v>-72.799999999999955</v>
      </c>
      <c r="CH201" s="22">
        <f t="shared" si="1780"/>
        <v>-1511.9999999999998</v>
      </c>
      <c r="CI201" s="22">
        <f t="shared" ref="CI201:CJ201" si="1781">CI202+CI203</f>
        <v>0</v>
      </c>
      <c r="CJ201" s="22">
        <f t="shared" si="1781"/>
        <v>165.59999999999997</v>
      </c>
      <c r="CK201" s="22">
        <f t="shared" ref="CK201:DB201" si="1782">CK202+CK203</f>
        <v>0</v>
      </c>
      <c r="CL201" s="22">
        <f t="shared" si="1782"/>
        <v>-119.10000000000002</v>
      </c>
      <c r="CM201" s="21">
        <f t="shared" si="1782"/>
        <v>-80</v>
      </c>
      <c r="CN201" s="21">
        <f t="shared" si="1782"/>
        <v>-80</v>
      </c>
      <c r="CO201" s="21">
        <f t="shared" si="1782"/>
        <v>-80</v>
      </c>
      <c r="CP201" s="21">
        <f t="shared" si="1782"/>
        <v>-80</v>
      </c>
      <c r="CQ201" s="21">
        <f t="shared" si="1782"/>
        <v>-80.000000000000227</v>
      </c>
      <c r="CR201" s="21">
        <f t="shared" si="1782"/>
        <v>-80</v>
      </c>
      <c r="CS201" s="21">
        <f t="shared" si="1782"/>
        <v>-80.000000000000227</v>
      </c>
      <c r="CT201" s="21">
        <f t="shared" si="1782"/>
        <v>-80.000000000000227</v>
      </c>
      <c r="CU201" s="21">
        <f t="shared" si="1782"/>
        <v>-80</v>
      </c>
      <c r="CV201" s="21">
        <f t="shared" si="1782"/>
        <v>-79.999999999999773</v>
      </c>
      <c r="CW201" s="21">
        <f t="shared" si="1782"/>
        <v>-80</v>
      </c>
      <c r="CX201" s="21">
        <f t="shared" si="1782"/>
        <v>-80</v>
      </c>
      <c r="CY201" s="21">
        <f t="shared" si="1782"/>
        <v>-79.999999999999773</v>
      </c>
      <c r="CZ201" s="21">
        <f t="shared" si="1782"/>
        <v>-80</v>
      </c>
      <c r="DA201" s="21">
        <f t="shared" si="1782"/>
        <v>-79.999999999999773</v>
      </c>
      <c r="DB201" s="21">
        <f t="shared" si="1782"/>
        <v>-80.000000000000227</v>
      </c>
      <c r="DE201" s="126"/>
      <c r="DF201" s="22">
        <v>-452.90000000000038</v>
      </c>
    </row>
    <row r="202" spans="1:110" s="23" customFormat="1" x14ac:dyDescent="0.2">
      <c r="A202" s="23" t="s">
        <v>93</v>
      </c>
      <c r="C202" s="23">
        <f t="shared" ref="C202:AA202" si="1783">B140-C140</f>
        <v>0</v>
      </c>
      <c r="D202" s="23">
        <f t="shared" si="1783"/>
        <v>0</v>
      </c>
      <c r="E202" s="23">
        <f>D140-E140</f>
        <v>0</v>
      </c>
      <c r="F202" s="23">
        <f t="shared" si="1783"/>
        <v>0</v>
      </c>
      <c r="G202" s="23">
        <f t="shared" si="1783"/>
        <v>0</v>
      </c>
      <c r="H202" s="23">
        <f t="shared" si="1783"/>
        <v>0</v>
      </c>
      <c r="I202" s="23">
        <f t="shared" si="1783"/>
        <v>0</v>
      </c>
      <c r="J202" s="23">
        <f>I140-J140</f>
        <v>0</v>
      </c>
      <c r="K202" s="23">
        <f>J140-K140</f>
        <v>0</v>
      </c>
      <c r="L202" s="23">
        <f t="shared" si="1783"/>
        <v>0</v>
      </c>
      <c r="M202" s="23">
        <f t="shared" si="1783"/>
        <v>0</v>
      </c>
      <c r="N202" s="23">
        <f t="shared" si="1783"/>
        <v>0</v>
      </c>
      <c r="O202" s="23">
        <f t="shared" si="1783"/>
        <v>0</v>
      </c>
      <c r="P202" s="23">
        <f t="shared" si="1783"/>
        <v>0</v>
      </c>
      <c r="Q202" s="23">
        <f t="shared" si="1783"/>
        <v>0</v>
      </c>
      <c r="R202" s="23">
        <f t="shared" si="1783"/>
        <v>0</v>
      </c>
      <c r="S202" s="23">
        <f t="shared" si="1783"/>
        <v>0</v>
      </c>
      <c r="T202" s="23">
        <f t="shared" si="1783"/>
        <v>0</v>
      </c>
      <c r="U202" s="23">
        <f t="shared" si="1783"/>
        <v>-31</v>
      </c>
      <c r="V202" s="23">
        <f t="shared" si="1783"/>
        <v>31</v>
      </c>
      <c r="W202" s="23">
        <f t="shared" si="1783"/>
        <v>-86.1</v>
      </c>
      <c r="X202" s="23">
        <f t="shared" si="1783"/>
        <v>-89.1</v>
      </c>
      <c r="Y202" s="23">
        <f t="shared" si="1783"/>
        <v>-23.900000000000006</v>
      </c>
      <c r="Z202" s="23">
        <f t="shared" si="1783"/>
        <v>-150.20000000000002</v>
      </c>
      <c r="AA202" s="23">
        <f t="shared" si="1783"/>
        <v>-118.59999999999997</v>
      </c>
      <c r="AB202" s="24">
        <f t="shared" ref="AB202" si="1784">AA140-AB140</f>
        <v>0</v>
      </c>
      <c r="AC202" s="24">
        <f t="shared" ref="AC202" si="1785">AB140-AC140</f>
        <v>0</v>
      </c>
      <c r="AD202" s="24">
        <f t="shared" ref="AD202" si="1786">AC140-AD140</f>
        <v>0</v>
      </c>
      <c r="AE202" s="24">
        <f t="shared" ref="AE202" si="1787">AD140-AE140</f>
        <v>0</v>
      </c>
      <c r="AI202" s="23">
        <f t="shared" ref="AI202" si="1788">AH140-AI140</f>
        <v>0</v>
      </c>
      <c r="AJ202" s="23">
        <f t="shared" ref="AJ202" si="1789">AI140-AJ140</f>
        <v>0</v>
      </c>
      <c r="AK202" s="23">
        <f t="shared" ref="AK202" si="1790">AJ140-AK140</f>
        <v>0</v>
      </c>
      <c r="AL202" s="23">
        <f t="shared" ref="AL202" si="1791">AK140-AL140</f>
        <v>0</v>
      </c>
      <c r="AM202" s="23">
        <f t="shared" ref="AM202" si="1792">AL140-AM140</f>
        <v>0</v>
      </c>
      <c r="AN202" s="23">
        <f t="shared" ref="AN202" si="1793">AM140-AN140</f>
        <v>0</v>
      </c>
      <c r="AO202" s="23">
        <f t="shared" ref="AO202" si="1794">AN140-AO140</f>
        <v>0</v>
      </c>
      <c r="AP202" s="23">
        <f t="shared" ref="AP202" si="1795">AO140-AP140</f>
        <v>0</v>
      </c>
      <c r="AQ202" s="23">
        <f t="shared" ref="AQ202" si="1796">AP140-AQ140</f>
        <v>0</v>
      </c>
      <c r="AR202" s="23">
        <f t="shared" ref="AR202" si="1797">AQ140-AR140</f>
        <v>0</v>
      </c>
      <c r="AS202" s="23">
        <f t="shared" ref="AS202" si="1798">AR140-AS140</f>
        <v>0</v>
      </c>
      <c r="AT202" s="23">
        <f t="shared" ref="AT202" si="1799">AS140-AT140</f>
        <v>0</v>
      </c>
      <c r="AU202" s="23">
        <f t="shared" ref="AU202" si="1800">AT140-AU140</f>
        <v>0</v>
      </c>
      <c r="AV202" s="23">
        <f t="shared" ref="AV202" si="1801">AU140-AV140</f>
        <v>0</v>
      </c>
      <c r="AW202" s="23">
        <f t="shared" ref="AW202" si="1802">AV140-AW140</f>
        <v>0</v>
      </c>
      <c r="AX202" s="23">
        <f t="shared" ref="AX202" si="1803">AW140-AX140</f>
        <v>0</v>
      </c>
      <c r="AY202" s="23">
        <f t="shared" ref="AY202" si="1804">AX140-AY140</f>
        <v>0</v>
      </c>
      <c r="AZ202" s="23">
        <f t="shared" ref="AZ202" si="1805">AY140-AZ140</f>
        <v>0</v>
      </c>
      <c r="BA202" s="23">
        <f t="shared" ref="BA202" si="1806">AZ140-BA140</f>
        <v>0</v>
      </c>
      <c r="BB202" s="23">
        <f t="shared" ref="BB202" si="1807">BA140-BB140</f>
        <v>0</v>
      </c>
      <c r="BC202" s="23">
        <f t="shared" ref="BC202" si="1808">BB140-BC140</f>
        <v>0</v>
      </c>
      <c r="BD202" s="23">
        <f t="shared" ref="BD202" si="1809">BC140-BD140</f>
        <v>0</v>
      </c>
      <c r="BE202" s="23">
        <f t="shared" ref="BE202" si="1810">BD140-BE140</f>
        <v>0</v>
      </c>
      <c r="BF202" s="23">
        <f t="shared" ref="BF202" si="1811">BE140-BF140</f>
        <v>0</v>
      </c>
      <c r="BG202" s="23">
        <f t="shared" ref="BG202" si="1812">BF140-BG140</f>
        <v>0</v>
      </c>
      <c r="BH202" s="23">
        <f t="shared" ref="BH202" si="1813">BG140-BH140</f>
        <v>0</v>
      </c>
      <c r="BI202" s="23">
        <f t="shared" ref="BI202" si="1814">BH140-BI140</f>
        <v>0</v>
      </c>
      <c r="BJ202" s="23">
        <f t="shared" ref="BJ202" si="1815">BI140-BJ140</f>
        <v>0</v>
      </c>
      <c r="BK202" s="23">
        <f t="shared" ref="BK202" si="1816">BJ140-BK140</f>
        <v>0</v>
      </c>
      <c r="BL202" s="23">
        <f t="shared" ref="BL202" si="1817">BK140-BL140</f>
        <v>0</v>
      </c>
      <c r="BM202" s="23">
        <f t="shared" ref="BM202" si="1818">BL140-BM140</f>
        <v>0</v>
      </c>
      <c r="BN202" s="23">
        <f t="shared" ref="BN202" si="1819">BM140-BN140</f>
        <v>-31</v>
      </c>
      <c r="BO202" s="23">
        <f t="shared" ref="BO202" si="1820">BN140-BO140</f>
        <v>0</v>
      </c>
      <c r="BP202" s="23">
        <f t="shared" ref="BP202" si="1821">BO140-BP140</f>
        <v>-1.2000000000000028</v>
      </c>
      <c r="BQ202" s="23">
        <f t="shared" ref="BQ202" si="1822">BP140-BQ140</f>
        <v>0</v>
      </c>
      <c r="BR202" s="23">
        <f t="shared" ref="BR202" si="1823">BQ140-BR140</f>
        <v>32.200000000000003</v>
      </c>
      <c r="BS202" s="23">
        <f t="shared" ref="BS202" si="1824">BR140-BS140</f>
        <v>0</v>
      </c>
      <c r="BT202" s="23">
        <f t="shared" ref="BT202" si="1825">BS140-BT140</f>
        <v>0</v>
      </c>
      <c r="BU202" s="23">
        <f t="shared" ref="BU202" si="1826">BT140-BU140</f>
        <v>0</v>
      </c>
      <c r="BV202" s="23">
        <f t="shared" ref="BV202" si="1827">BU140-BV140</f>
        <v>-86.1</v>
      </c>
      <c r="BW202" s="23">
        <f t="shared" ref="BW202" si="1828">BV140-BW140</f>
        <v>0</v>
      </c>
      <c r="BX202" s="23">
        <f t="shared" ref="BX202" si="1829">BW140-BX140</f>
        <v>-45.300000000000011</v>
      </c>
      <c r="BY202" s="23">
        <f t="shared" ref="BY202" si="1830">BX140-BY140</f>
        <v>0</v>
      </c>
      <c r="BZ202" s="23">
        <f t="shared" ref="BZ202" si="1831">BY140-BZ140</f>
        <v>-43.799999999999983</v>
      </c>
      <c r="CA202" s="23">
        <f t="shared" ref="CA202" si="1832">BZ140-CA140</f>
        <v>0</v>
      </c>
      <c r="CB202" s="23">
        <f t="shared" ref="CB202" si="1833">CA140-CB140</f>
        <v>15.5</v>
      </c>
      <c r="CC202" s="23">
        <f t="shared" ref="CC202" si="1834">CB140-CC140</f>
        <v>0</v>
      </c>
      <c r="CD202" s="23">
        <f t="shared" ref="CD202" si="1835">CC140-CD140</f>
        <v>-39.400000000000006</v>
      </c>
      <c r="CE202" s="23">
        <f t="shared" ref="CE202" si="1836">CD140-CE140</f>
        <v>0</v>
      </c>
      <c r="CF202" s="23">
        <f t="shared" ref="CF202" si="1837">CE140-CF140</f>
        <v>16.599999999999994</v>
      </c>
      <c r="CG202" s="23">
        <f t="shared" ref="CG202" si="1838">CF140-CG140</f>
        <v>0</v>
      </c>
      <c r="CH202" s="23">
        <f t="shared" ref="CH202:CL202" si="1839">CG140-CH140</f>
        <v>-166.8</v>
      </c>
      <c r="CI202" s="23">
        <f t="shared" si="1839"/>
        <v>0</v>
      </c>
      <c r="CJ202" s="23">
        <f t="shared" si="1839"/>
        <v>-191.40000000000003</v>
      </c>
      <c r="CK202" s="23">
        <f t="shared" ref="CK202" si="1840">CJ140-CK140</f>
        <v>0</v>
      </c>
      <c r="CL202" s="23">
        <f t="shared" si="1839"/>
        <v>72.800000000000068</v>
      </c>
      <c r="CM202" s="24">
        <f t="shared" ref="CM202" si="1841">CL140-CM140</f>
        <v>0</v>
      </c>
      <c r="CN202" s="24">
        <f t="shared" ref="CN202" si="1842">CM140-CN140</f>
        <v>0</v>
      </c>
      <c r="CO202" s="24">
        <f t="shared" ref="CO202" si="1843">CN140-CO140</f>
        <v>0</v>
      </c>
      <c r="CP202" s="24">
        <f t="shared" ref="CP202" si="1844">CO140-CP140</f>
        <v>0</v>
      </c>
      <c r="CQ202" s="24">
        <f t="shared" ref="CQ202" si="1845">CP140-CQ140</f>
        <v>0</v>
      </c>
      <c r="CR202" s="24">
        <f t="shared" ref="CR202" si="1846">CQ140-CR140</f>
        <v>0</v>
      </c>
      <c r="CS202" s="24">
        <f t="shared" ref="CS202" si="1847">CR140-CS140</f>
        <v>0</v>
      </c>
      <c r="CT202" s="24">
        <f t="shared" ref="CT202" si="1848">CS140-CT140</f>
        <v>0</v>
      </c>
      <c r="CU202" s="24">
        <f t="shared" ref="CU202" si="1849">CT140-CU140</f>
        <v>0</v>
      </c>
      <c r="CV202" s="24">
        <f t="shared" ref="CV202" si="1850">CU140-CV140</f>
        <v>0</v>
      </c>
      <c r="CW202" s="24">
        <f t="shared" ref="CW202" si="1851">CV140-CW140</f>
        <v>0</v>
      </c>
      <c r="CX202" s="24">
        <f t="shared" ref="CX202" si="1852">CW140-CX140</f>
        <v>0</v>
      </c>
      <c r="CY202" s="24">
        <f t="shared" ref="CY202" si="1853">CX140-CY140</f>
        <v>0</v>
      </c>
      <c r="CZ202" s="24">
        <f t="shared" ref="CZ202" si="1854">CY140-CZ140</f>
        <v>0</v>
      </c>
      <c r="DA202" s="24">
        <f t="shared" ref="DA202" si="1855">CZ140-DA140</f>
        <v>0</v>
      </c>
      <c r="DB202" s="24">
        <f t="shared" ref="DB202" si="1856">DA140-DB140</f>
        <v>0</v>
      </c>
      <c r="DE202" s="123"/>
      <c r="DF202" s="23">
        <v>-118.59999999999997</v>
      </c>
    </row>
    <row r="203" spans="1:110" s="23" customFormat="1" x14ac:dyDescent="0.2">
      <c r="A203" s="23" t="s">
        <v>94</v>
      </c>
      <c r="C203" s="23">
        <f t="shared" ref="C203:AE203" si="1857">B138-C32-C138</f>
        <v>0</v>
      </c>
      <c r="D203" s="23">
        <f t="shared" si="1857"/>
        <v>0</v>
      </c>
      <c r="E203" s="23">
        <f t="shared" si="1857"/>
        <v>0</v>
      </c>
      <c r="F203" s="23">
        <f t="shared" si="1857"/>
        <v>0</v>
      </c>
      <c r="G203" s="23">
        <f t="shared" si="1857"/>
        <v>0</v>
      </c>
      <c r="H203" s="23">
        <f t="shared" si="1857"/>
        <v>0</v>
      </c>
      <c r="I203" s="23">
        <f t="shared" si="1857"/>
        <v>0</v>
      </c>
      <c r="J203" s="23">
        <f t="shared" si="1857"/>
        <v>0</v>
      </c>
      <c r="K203" s="23">
        <f t="shared" si="1857"/>
        <v>0</v>
      </c>
      <c r="L203" s="23">
        <f t="shared" si="1857"/>
        <v>0</v>
      </c>
      <c r="M203" s="23">
        <f t="shared" si="1857"/>
        <v>0</v>
      </c>
      <c r="N203" s="23">
        <f t="shared" si="1857"/>
        <v>0</v>
      </c>
      <c r="O203" s="23">
        <f t="shared" si="1857"/>
        <v>-405.81200000000001</v>
      </c>
      <c r="P203" s="23">
        <f t="shared" si="1857"/>
        <v>-213.37499999999994</v>
      </c>
      <c r="Q203" s="23">
        <f t="shared" si="1857"/>
        <v>-124.40000000000009</v>
      </c>
      <c r="R203" s="23">
        <f t="shared" si="1857"/>
        <v>-43.5</v>
      </c>
      <c r="S203" s="23">
        <f t="shared" si="1857"/>
        <v>-182.19999999999993</v>
      </c>
      <c r="T203" s="23">
        <f t="shared" si="1857"/>
        <v>-174.70000000000005</v>
      </c>
      <c r="U203" s="23">
        <f t="shared" si="1857"/>
        <v>-585.0999999999998</v>
      </c>
      <c r="V203" s="23">
        <f t="shared" si="1857"/>
        <v>-330.40000000000032</v>
      </c>
      <c r="W203" s="23">
        <f t="shared" si="1857"/>
        <v>-212.69999999999982</v>
      </c>
      <c r="X203" s="23">
        <f t="shared" si="1857"/>
        <v>-250.70000000000027</v>
      </c>
      <c r="Y203" s="23">
        <f t="shared" si="1857"/>
        <v>-587.80000000000018</v>
      </c>
      <c r="Z203" s="23">
        <f t="shared" si="1857"/>
        <v>-950.29999999999927</v>
      </c>
      <c r="AA203" s="23">
        <f t="shared" si="1857"/>
        <v>-334.30000000000041</v>
      </c>
      <c r="AB203" s="24">
        <f t="shared" si="1857"/>
        <v>181.09999999999991</v>
      </c>
      <c r="AC203" s="24">
        <f t="shared" si="1857"/>
        <v>-320.00000000000045</v>
      </c>
      <c r="AD203" s="24">
        <f t="shared" si="1857"/>
        <v>-319.99999999999977</v>
      </c>
      <c r="AE203" s="24">
        <f t="shared" si="1857"/>
        <v>-319.99999999999977</v>
      </c>
      <c r="AI203" s="23">
        <f t="shared" ref="AI203:BN203" si="1858">AH138-AI32-AI138</f>
        <v>0</v>
      </c>
      <c r="AJ203" s="23">
        <f t="shared" si="1858"/>
        <v>0</v>
      </c>
      <c r="AK203" s="23">
        <f t="shared" si="1858"/>
        <v>0</v>
      </c>
      <c r="AL203" s="23">
        <f t="shared" si="1858"/>
        <v>0</v>
      </c>
      <c r="AM203" s="23">
        <f t="shared" si="1858"/>
        <v>0</v>
      </c>
      <c r="AN203" s="23">
        <f t="shared" si="1858"/>
        <v>0</v>
      </c>
      <c r="AO203" s="23">
        <f t="shared" si="1858"/>
        <v>0</v>
      </c>
      <c r="AP203" s="23">
        <f t="shared" si="1858"/>
        <v>0</v>
      </c>
      <c r="AQ203" s="23">
        <f t="shared" si="1858"/>
        <v>0</v>
      </c>
      <c r="AR203" s="23">
        <f t="shared" si="1858"/>
        <v>0</v>
      </c>
      <c r="AS203" s="23">
        <f t="shared" si="1858"/>
        <v>0</v>
      </c>
      <c r="AT203" s="23">
        <f t="shared" si="1858"/>
        <v>0</v>
      </c>
      <c r="AU203" s="23">
        <f t="shared" si="1858"/>
        <v>0</v>
      </c>
      <c r="AV203" s="23">
        <f t="shared" si="1858"/>
        <v>-14.4</v>
      </c>
      <c r="AW203" s="23">
        <f t="shared" si="1858"/>
        <v>-13.8</v>
      </c>
      <c r="AX203" s="23">
        <f t="shared" si="1858"/>
        <v>-653</v>
      </c>
      <c r="AY203" s="23">
        <f t="shared" si="1858"/>
        <v>-17.799999999999955</v>
      </c>
      <c r="AZ203" s="23">
        <f t="shared" si="1858"/>
        <v>0.10000000000002274</v>
      </c>
      <c r="BA203" s="23">
        <f t="shared" si="1858"/>
        <v>-14.899999999999977</v>
      </c>
      <c r="BB203" s="23">
        <f t="shared" si="1858"/>
        <v>-10.900000000000091</v>
      </c>
      <c r="BC203" s="23">
        <f t="shared" si="1858"/>
        <v>-14.5</v>
      </c>
      <c r="BD203" s="23">
        <f t="shared" si="1858"/>
        <v>-117.69999999999993</v>
      </c>
      <c r="BE203" s="23">
        <f t="shared" si="1858"/>
        <v>-14.5</v>
      </c>
      <c r="BF203" s="23">
        <f t="shared" si="1858"/>
        <v>-35.500000000000114</v>
      </c>
      <c r="BG203" s="23">
        <f t="shared" si="1858"/>
        <v>-26</v>
      </c>
      <c r="BH203" s="23">
        <f t="shared" si="1858"/>
        <v>-22.200000000000045</v>
      </c>
      <c r="BI203" s="23">
        <f t="shared" si="1858"/>
        <v>-23.899999999999977</v>
      </c>
      <c r="BJ203" s="23">
        <f t="shared" si="1858"/>
        <v>-102.59999999999991</v>
      </c>
      <c r="BK203" s="23">
        <f t="shared" si="1858"/>
        <v>-42.799999999999955</v>
      </c>
      <c r="BL203" s="23">
        <f t="shared" si="1858"/>
        <v>-426.30000000000007</v>
      </c>
      <c r="BM203" s="23">
        <f t="shared" si="1858"/>
        <v>-47.200000000000045</v>
      </c>
      <c r="BN203" s="23">
        <f t="shared" si="1858"/>
        <v>280.20000000000005</v>
      </c>
      <c r="BO203" s="23">
        <f t="shared" ref="BO203:CT203" si="1859">BN138-BO32-BO138</f>
        <v>-49.200000000000045</v>
      </c>
      <c r="BP203" s="23">
        <f t="shared" si="1859"/>
        <v>-34.400000000000091</v>
      </c>
      <c r="BQ203" s="23">
        <f t="shared" si="1859"/>
        <v>-62.399999999999977</v>
      </c>
      <c r="BR203" s="23">
        <f t="shared" si="1859"/>
        <v>-113.69999999999993</v>
      </c>
      <c r="BS203" s="23">
        <f t="shared" si="1859"/>
        <v>-55.399999999999977</v>
      </c>
      <c r="BT203" s="23">
        <f t="shared" si="1859"/>
        <v>-51.200000000000045</v>
      </c>
      <c r="BU203" s="23">
        <f t="shared" si="1859"/>
        <v>-53</v>
      </c>
      <c r="BV203" s="23">
        <f t="shared" si="1859"/>
        <v>-65.499999999999886</v>
      </c>
      <c r="BW203" s="23">
        <f t="shared" si="1859"/>
        <v>-59</v>
      </c>
      <c r="BX203" s="23">
        <f t="shared" si="1859"/>
        <v>-106.39999999999998</v>
      </c>
      <c r="BY203" s="23">
        <f t="shared" si="1859"/>
        <v>-58.899999999999977</v>
      </c>
      <c r="BZ203" s="23">
        <f t="shared" si="1859"/>
        <v>-55.899999999999977</v>
      </c>
      <c r="CA203" s="23">
        <f t="shared" si="1859"/>
        <v>-57.399999999999977</v>
      </c>
      <c r="CB203" s="23">
        <f t="shared" si="1859"/>
        <v>-175.20000000000016</v>
      </c>
      <c r="CC203" s="23">
        <f t="shared" si="1859"/>
        <v>-71.5</v>
      </c>
      <c r="CD203" s="23">
        <f t="shared" si="1859"/>
        <v>-66.299999999999841</v>
      </c>
      <c r="CE203" s="23">
        <f t="shared" si="1859"/>
        <v>-72.600000000000023</v>
      </c>
      <c r="CF203" s="23">
        <f t="shared" si="1859"/>
        <v>-56.299999999999955</v>
      </c>
      <c r="CG203" s="23">
        <f t="shared" si="1859"/>
        <v>-72.799999999999955</v>
      </c>
      <c r="CH203" s="23">
        <f t="shared" si="1859"/>
        <v>-1345.1999999999998</v>
      </c>
      <c r="CI203" s="23">
        <f t="shared" si="1859"/>
        <v>0</v>
      </c>
      <c r="CJ203" s="23">
        <f t="shared" si="1859"/>
        <v>357</v>
      </c>
      <c r="CK203" s="23">
        <f t="shared" si="1859"/>
        <v>0</v>
      </c>
      <c r="CL203" s="23">
        <f t="shared" si="1859"/>
        <v>-191.90000000000009</v>
      </c>
      <c r="CM203" s="24">
        <f t="shared" si="1859"/>
        <v>-80</v>
      </c>
      <c r="CN203" s="24">
        <f t="shared" si="1859"/>
        <v>-80</v>
      </c>
      <c r="CO203" s="24">
        <f t="shared" si="1859"/>
        <v>-80</v>
      </c>
      <c r="CP203" s="24">
        <f t="shared" si="1859"/>
        <v>-80</v>
      </c>
      <c r="CQ203" s="24">
        <f t="shared" si="1859"/>
        <v>-80.000000000000227</v>
      </c>
      <c r="CR203" s="24">
        <f t="shared" si="1859"/>
        <v>-80</v>
      </c>
      <c r="CS203" s="24">
        <f t="shared" si="1859"/>
        <v>-80.000000000000227</v>
      </c>
      <c r="CT203" s="24">
        <f t="shared" si="1859"/>
        <v>-80.000000000000227</v>
      </c>
      <c r="CU203" s="24">
        <f t="shared" ref="CU203:DB203" si="1860">CT138-CU32-CU138</f>
        <v>-80</v>
      </c>
      <c r="CV203" s="24">
        <f t="shared" si="1860"/>
        <v>-79.999999999999773</v>
      </c>
      <c r="CW203" s="24">
        <f t="shared" si="1860"/>
        <v>-80</v>
      </c>
      <c r="CX203" s="24">
        <f t="shared" si="1860"/>
        <v>-80</v>
      </c>
      <c r="CY203" s="24">
        <f t="shared" si="1860"/>
        <v>-79.999999999999773</v>
      </c>
      <c r="CZ203" s="24">
        <f t="shared" si="1860"/>
        <v>-80</v>
      </c>
      <c r="DA203" s="24">
        <f t="shared" si="1860"/>
        <v>-79.999999999999773</v>
      </c>
      <c r="DB203" s="24">
        <f t="shared" si="1860"/>
        <v>-80.000000000000227</v>
      </c>
      <c r="DE203" s="123"/>
      <c r="DF203" s="23">
        <v>-334.30000000000041</v>
      </c>
    </row>
    <row r="204" spans="1:110" s="23" customFormat="1" x14ac:dyDescent="0.2">
      <c r="AB204" s="24"/>
      <c r="AC204" s="24"/>
      <c r="AD204" s="24"/>
      <c r="AE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61">C206+C207</f>
        <v>0</v>
      </c>
      <c r="D205" s="22">
        <f t="shared" si="1861"/>
        <v>0</v>
      </c>
      <c r="E205" s="22">
        <f t="shared" si="1861"/>
        <v>0</v>
      </c>
      <c r="F205" s="22">
        <f t="shared" si="1861"/>
        <v>0</v>
      </c>
      <c r="G205" s="22">
        <f t="shared" si="1861"/>
        <v>0</v>
      </c>
      <c r="H205" s="22">
        <f t="shared" si="1861"/>
        <v>0</v>
      </c>
      <c r="I205" s="22">
        <f t="shared" si="1861"/>
        <v>0</v>
      </c>
      <c r="J205" s="22">
        <f t="shared" si="1861"/>
        <v>0</v>
      </c>
      <c r="K205" s="22">
        <f t="shared" si="1861"/>
        <v>0</v>
      </c>
      <c r="L205" s="22">
        <f t="shared" si="1861"/>
        <v>0</v>
      </c>
      <c r="M205" s="22">
        <f t="shared" si="1861"/>
        <v>0</v>
      </c>
      <c r="N205" s="22">
        <f t="shared" si="1861"/>
        <v>0.05</v>
      </c>
      <c r="O205" s="22">
        <f t="shared" si="1861"/>
        <v>527.33000000000004</v>
      </c>
      <c r="P205" s="22">
        <f t="shared" si="1861"/>
        <v>426.39400000000018</v>
      </c>
      <c r="Q205" s="22">
        <f t="shared" si="1861"/>
        <v>-428.88199999999983</v>
      </c>
      <c r="R205" s="22">
        <f t="shared" si="1861"/>
        <v>-98.900000000000091</v>
      </c>
      <c r="S205" s="22">
        <f t="shared" si="1861"/>
        <v>-86.200000000000045</v>
      </c>
      <c r="T205" s="22">
        <f t="shared" si="1861"/>
        <v>-220.09999999999943</v>
      </c>
      <c r="U205" s="22">
        <f t="shared" si="1861"/>
        <v>-565.19999999999925</v>
      </c>
      <c r="V205" s="22">
        <f t="shared" si="1861"/>
        <v>14.099999999999365</v>
      </c>
      <c r="W205" s="22">
        <f t="shared" si="1861"/>
        <v>-263.99999999999903</v>
      </c>
      <c r="X205" s="22">
        <f t="shared" ref="X205:Y205" si="1862">X206+X207</f>
        <v>-935.40000000000168</v>
      </c>
      <c r="Y205" s="22">
        <f t="shared" si="1862"/>
        <v>-408.79999999999819</v>
      </c>
      <c r="Z205" s="22">
        <f t="shared" ref="Z205:AA205" si="1863">Z206+Z207</f>
        <v>-517.00000000000023</v>
      </c>
      <c r="AA205" s="22">
        <f t="shared" si="1863"/>
        <v>-884.5</v>
      </c>
      <c r="AB205" s="21">
        <f t="shared" ref="AB205:AD205" si="1864">AB206+AB207</f>
        <v>9.0949470177292824E-13</v>
      </c>
      <c r="AC205" s="21">
        <f t="shared" si="1864"/>
        <v>9.0949470177292824E-13</v>
      </c>
      <c r="AD205" s="21">
        <f t="shared" si="1864"/>
        <v>3.637978807091713E-12</v>
      </c>
      <c r="AE205" s="21">
        <f t="shared" ref="AE205" si="1865">AE206+AE207</f>
        <v>0</v>
      </c>
      <c r="AI205" s="22">
        <f t="shared" ref="AI205" si="1866">AI206+AI207</f>
        <v>0</v>
      </c>
      <c r="AJ205" s="22">
        <f t="shared" ref="AJ205:AL205" si="1867">AJ206+AJ207</f>
        <v>0</v>
      </c>
      <c r="AK205" s="22">
        <f t="shared" si="1867"/>
        <v>0</v>
      </c>
      <c r="AL205" s="22">
        <f t="shared" si="1867"/>
        <v>0</v>
      </c>
      <c r="AM205" s="22">
        <f t="shared" ref="AM205" si="1868">AM206+AM207</f>
        <v>0</v>
      </c>
      <c r="AN205" s="22">
        <f t="shared" ref="AN205:CD205" si="1869">AN206+AN207</f>
        <v>0</v>
      </c>
      <c r="AO205" s="22">
        <f t="shared" si="1869"/>
        <v>0</v>
      </c>
      <c r="AP205" s="22">
        <f t="shared" si="1869"/>
        <v>0</v>
      </c>
      <c r="AQ205" s="22">
        <f t="shared" si="1869"/>
        <v>0</v>
      </c>
      <c r="AR205" s="22">
        <f t="shared" si="1869"/>
        <v>0</v>
      </c>
      <c r="AS205" s="22">
        <f t="shared" si="1869"/>
        <v>0</v>
      </c>
      <c r="AT205" s="22">
        <f t="shared" si="1869"/>
        <v>0</v>
      </c>
      <c r="AU205" s="22">
        <f t="shared" si="1869"/>
        <v>0</v>
      </c>
      <c r="AV205" s="22">
        <f t="shared" si="1869"/>
        <v>-93.6</v>
      </c>
      <c r="AW205" s="22">
        <f t="shared" si="1869"/>
        <v>0</v>
      </c>
      <c r="AX205" s="22">
        <f t="shared" si="1869"/>
        <v>1021.2999999999998</v>
      </c>
      <c r="AY205" s="22">
        <f t="shared" si="1869"/>
        <v>2.2737367544323206E-13</v>
      </c>
      <c r="AZ205" s="22">
        <f t="shared" si="1869"/>
        <v>-103.00000000000018</v>
      </c>
      <c r="BA205" s="22">
        <f t="shared" si="1869"/>
        <v>0</v>
      </c>
      <c r="BB205" s="22">
        <f t="shared" si="1869"/>
        <v>4.1000000000001009</v>
      </c>
      <c r="BC205" s="22">
        <f t="shared" si="1869"/>
        <v>0</v>
      </c>
      <c r="BD205" s="22">
        <f t="shared" si="1869"/>
        <v>14.600000000000142</v>
      </c>
      <c r="BE205" s="22">
        <f t="shared" si="1869"/>
        <v>0</v>
      </c>
      <c r="BF205" s="22">
        <f t="shared" si="1869"/>
        <v>-100.79999999999997</v>
      </c>
      <c r="BG205" s="22">
        <f t="shared" si="1869"/>
        <v>0</v>
      </c>
      <c r="BH205" s="22">
        <f t="shared" si="1869"/>
        <v>-340.7000000000001</v>
      </c>
      <c r="BI205" s="22">
        <f t="shared" si="1869"/>
        <v>-2.2737367544323206E-13</v>
      </c>
      <c r="BJ205" s="22">
        <f t="shared" si="1869"/>
        <v>120.60000000000045</v>
      </c>
      <c r="BK205" s="22">
        <f t="shared" si="1869"/>
        <v>0</v>
      </c>
      <c r="BL205" s="22">
        <f t="shared" si="1869"/>
        <v>-295.39999999999981</v>
      </c>
      <c r="BM205" s="22">
        <f t="shared" si="1869"/>
        <v>0</v>
      </c>
      <c r="BN205" s="22">
        <f t="shared" si="1869"/>
        <v>-269.80000000000058</v>
      </c>
      <c r="BO205" s="22">
        <f t="shared" si="1869"/>
        <v>0</v>
      </c>
      <c r="BP205" s="22">
        <f t="shared" si="1869"/>
        <v>46.499999999999915</v>
      </c>
      <c r="BQ205" s="22">
        <f t="shared" si="1869"/>
        <v>0</v>
      </c>
      <c r="BR205" s="22">
        <f t="shared" si="1869"/>
        <v>-32.400000000000091</v>
      </c>
      <c r="BS205" s="22">
        <f t="shared" si="1869"/>
        <v>0</v>
      </c>
      <c r="BT205" s="22">
        <f t="shared" si="1869"/>
        <v>-104.8</v>
      </c>
      <c r="BU205" s="22">
        <f t="shared" si="1869"/>
        <v>0</v>
      </c>
      <c r="BV205" s="22">
        <f t="shared" si="1869"/>
        <v>-159.20000000000039</v>
      </c>
      <c r="BW205" s="22">
        <f t="shared" si="1869"/>
        <v>0</v>
      </c>
      <c r="BX205" s="22">
        <f t="shared" si="1869"/>
        <v>-283.89999999999907</v>
      </c>
      <c r="BY205" s="22">
        <f t="shared" si="1869"/>
        <v>0</v>
      </c>
      <c r="BZ205" s="22">
        <f t="shared" si="1869"/>
        <v>-651.59999999999968</v>
      </c>
      <c r="CA205" s="22">
        <f t="shared" si="1869"/>
        <v>0</v>
      </c>
      <c r="CB205" s="22">
        <f t="shared" si="1869"/>
        <v>-270.90000000000055</v>
      </c>
      <c r="CC205" s="22">
        <f t="shared" si="1869"/>
        <v>0</v>
      </c>
      <c r="CD205" s="22">
        <f t="shared" si="1869"/>
        <v>-137.80000000000092</v>
      </c>
      <c r="CE205" s="22">
        <f t="shared" ref="CE205:CF205" si="1870">CE206+CE207</f>
        <v>0</v>
      </c>
      <c r="CF205" s="22">
        <f t="shared" si="1870"/>
        <v>-340.1000000000007</v>
      </c>
      <c r="CG205" s="22">
        <f t="shared" ref="CG205:CH205" si="1871">CG206+CG207</f>
        <v>0</v>
      </c>
      <c r="CH205" s="22">
        <f t="shared" si="1871"/>
        <v>-176.89999999999947</v>
      </c>
      <c r="CI205" s="22">
        <f t="shared" ref="CI205:CJ205" si="1872">CI206+CI207</f>
        <v>0</v>
      </c>
      <c r="CJ205" s="22">
        <f t="shared" si="1872"/>
        <v>-534.49999999999966</v>
      </c>
      <c r="CK205" s="22">
        <f t="shared" ref="CK205:DB205" si="1873">CK206+CK207</f>
        <v>0</v>
      </c>
      <c r="CL205" s="22">
        <f t="shared" si="1873"/>
        <v>-349.90000000000089</v>
      </c>
      <c r="CM205" s="21">
        <f t="shared" si="1873"/>
        <v>-9.0949470177292824E-13</v>
      </c>
      <c r="CN205" s="21">
        <f t="shared" si="1873"/>
        <v>0</v>
      </c>
      <c r="CO205" s="21">
        <f t="shared" si="1873"/>
        <v>0</v>
      </c>
      <c r="CP205" s="21">
        <f t="shared" si="1873"/>
        <v>0</v>
      </c>
      <c r="CQ205" s="21">
        <f t="shared" si="1873"/>
        <v>1.8189894035458565E-12</v>
      </c>
      <c r="CR205" s="21">
        <f t="shared" si="1873"/>
        <v>0</v>
      </c>
      <c r="CS205" s="21">
        <f t="shared" si="1873"/>
        <v>0</v>
      </c>
      <c r="CT205" s="21">
        <f t="shared" si="1873"/>
        <v>0</v>
      </c>
      <c r="CU205" s="21">
        <f t="shared" si="1873"/>
        <v>0</v>
      </c>
      <c r="CV205" s="21">
        <f t="shared" si="1873"/>
        <v>0</v>
      </c>
      <c r="CW205" s="21">
        <f t="shared" si="1873"/>
        <v>0</v>
      </c>
      <c r="CX205" s="21">
        <f t="shared" si="1873"/>
        <v>0</v>
      </c>
      <c r="CY205" s="21">
        <f t="shared" si="1873"/>
        <v>0</v>
      </c>
      <c r="CZ205" s="21">
        <f t="shared" si="1873"/>
        <v>0</v>
      </c>
      <c r="DA205" s="21">
        <f t="shared" si="1873"/>
        <v>0</v>
      </c>
      <c r="DB205" s="21">
        <f t="shared" si="1873"/>
        <v>0</v>
      </c>
      <c r="DE205" s="126"/>
      <c r="DF205" s="22">
        <v>-884.5</v>
      </c>
    </row>
    <row r="206" spans="1:110" s="23" customFormat="1" x14ac:dyDescent="0.2">
      <c r="A206" s="23" t="s">
        <v>49</v>
      </c>
      <c r="C206" s="23">
        <f t="shared" ref="C206:AA206" si="1874">C128-B128</f>
        <v>0</v>
      </c>
      <c r="D206" s="23">
        <f t="shared" si="1874"/>
        <v>0</v>
      </c>
      <c r="E206" s="23">
        <f>E128-D128</f>
        <v>0</v>
      </c>
      <c r="F206" s="23">
        <f t="shared" si="1874"/>
        <v>0</v>
      </c>
      <c r="G206" s="23">
        <f t="shared" si="1874"/>
        <v>0</v>
      </c>
      <c r="H206" s="23">
        <f t="shared" si="1874"/>
        <v>0</v>
      </c>
      <c r="I206" s="23">
        <f t="shared" si="1874"/>
        <v>0</v>
      </c>
      <c r="J206" s="23">
        <f>J128-I128</f>
        <v>0</v>
      </c>
      <c r="K206" s="23">
        <f>K128-J128</f>
        <v>0</v>
      </c>
      <c r="L206" s="23">
        <f t="shared" si="1874"/>
        <v>0</v>
      </c>
      <c r="M206" s="23">
        <f t="shared" si="1874"/>
        <v>0</v>
      </c>
      <c r="N206" s="23">
        <f t="shared" si="1874"/>
        <v>0</v>
      </c>
      <c r="O206" s="23">
        <f t="shared" si="1874"/>
        <v>48.686999999999998</v>
      </c>
      <c r="P206" s="23">
        <f t="shared" si="1874"/>
        <v>170.08199999999999</v>
      </c>
      <c r="Q206" s="23">
        <f t="shared" si="1874"/>
        <v>-23.269000000000005</v>
      </c>
      <c r="R206" s="23">
        <f t="shared" si="1874"/>
        <v>-93.6</v>
      </c>
      <c r="S206" s="23">
        <f t="shared" si="1874"/>
        <v>-31.700000000000003</v>
      </c>
      <c r="T206" s="23">
        <f t="shared" si="1874"/>
        <v>0</v>
      </c>
      <c r="U206" s="23">
        <f t="shared" si="1874"/>
        <v>-39.900000000000006</v>
      </c>
      <c r="V206" s="23">
        <f t="shared" si="1874"/>
        <v>-30.3</v>
      </c>
      <c r="W206" s="23">
        <f t="shared" si="1874"/>
        <v>0</v>
      </c>
      <c r="X206" s="23">
        <f t="shared" si="1874"/>
        <v>0</v>
      </c>
      <c r="Y206" s="23">
        <f t="shared" si="1874"/>
        <v>0</v>
      </c>
      <c r="Z206" s="23">
        <f t="shared" si="1874"/>
        <v>0</v>
      </c>
      <c r="AA206" s="23">
        <f t="shared" si="1874"/>
        <v>0</v>
      </c>
      <c r="AB206" s="24">
        <f t="shared" ref="AB206" si="1875">AB128-AA128</f>
        <v>0</v>
      </c>
      <c r="AC206" s="24">
        <f t="shared" ref="AC206" si="1876">AC128-AB128</f>
        <v>0</v>
      </c>
      <c r="AD206" s="24">
        <f t="shared" ref="AD206" si="1877">AD128-AC128</f>
        <v>0</v>
      </c>
      <c r="AE206" s="24">
        <f t="shared" ref="AE206" si="1878">AE128-AD128</f>
        <v>0</v>
      </c>
      <c r="AI206" s="23">
        <f t="shared" ref="AI206" si="1879">AI128-AH128</f>
        <v>0</v>
      </c>
      <c r="AJ206" s="23">
        <f t="shared" ref="AJ206" si="1880">AJ128-AI128</f>
        <v>0</v>
      </c>
      <c r="AK206" s="23">
        <f t="shared" ref="AK206" si="1881">AK128-AJ128</f>
        <v>0</v>
      </c>
      <c r="AL206" s="23">
        <f t="shared" ref="AL206" si="1882">AL128-AK128</f>
        <v>0</v>
      </c>
      <c r="AM206" s="23">
        <f t="shared" ref="AM206" si="1883">AM128-AL128</f>
        <v>0</v>
      </c>
      <c r="AN206" s="23">
        <f t="shared" ref="AN206" si="1884">AN128-AM128</f>
        <v>0</v>
      </c>
      <c r="AO206" s="23">
        <f t="shared" ref="AO206" si="1885">AO128-AN128</f>
        <v>0</v>
      </c>
      <c r="AP206" s="23">
        <f t="shared" ref="AP206" si="1886">AP128-AO128</f>
        <v>0</v>
      </c>
      <c r="AQ206" s="23">
        <f t="shared" ref="AQ206" si="1887">AQ128-AP128</f>
        <v>0</v>
      </c>
      <c r="AR206" s="23">
        <f t="shared" ref="AR206" si="1888">AR128-AQ128</f>
        <v>0</v>
      </c>
      <c r="AS206" s="23">
        <f t="shared" ref="AS206" si="1889">AS128-AR128</f>
        <v>0</v>
      </c>
      <c r="AT206" s="23">
        <f t="shared" ref="AT206" si="1890">AT128-AS128</f>
        <v>0</v>
      </c>
      <c r="AU206" s="23">
        <f t="shared" ref="AU206" si="1891">AU128-AT128</f>
        <v>0</v>
      </c>
      <c r="AV206" s="23">
        <f t="shared" ref="AV206" si="1892">AV128-AU128</f>
        <v>0</v>
      </c>
      <c r="AW206" s="23">
        <f t="shared" ref="AW206" si="1893">AW128-AV128</f>
        <v>0</v>
      </c>
      <c r="AX206" s="23">
        <f t="shared" ref="AX206" si="1894">AX128-AW128</f>
        <v>195.5</v>
      </c>
      <c r="AY206" s="23">
        <f t="shared" ref="AY206" si="1895">AY128-AX128</f>
        <v>0</v>
      </c>
      <c r="AZ206" s="23">
        <f t="shared" ref="AZ206" si="1896">AZ128-AY128</f>
        <v>-35</v>
      </c>
      <c r="BA206" s="23">
        <f t="shared" ref="BA206" si="1897">BA128-AZ128</f>
        <v>0</v>
      </c>
      <c r="BB206" s="23">
        <f t="shared" ref="BB206" si="1898">BB128-BA128</f>
        <v>-58.599999999999994</v>
      </c>
      <c r="BC206" s="23">
        <f t="shared" ref="BC206" si="1899">BC128-BB128</f>
        <v>0</v>
      </c>
      <c r="BD206" s="23">
        <f t="shared" ref="BD206" si="1900">BD128-BC128</f>
        <v>27.400000000000006</v>
      </c>
      <c r="BE206" s="23">
        <f t="shared" ref="BE206" si="1901">BE128-BD128</f>
        <v>0</v>
      </c>
      <c r="BF206" s="23">
        <f t="shared" ref="BF206" si="1902">BF128-BE128</f>
        <v>-59.100000000000009</v>
      </c>
      <c r="BG206" s="23">
        <f t="shared" ref="BG206" si="1903">BG128-BF128</f>
        <v>0</v>
      </c>
      <c r="BH206" s="23">
        <f t="shared" ref="BH206" si="1904">BH128-BG128</f>
        <v>-10.700000000000003</v>
      </c>
      <c r="BI206" s="23">
        <f t="shared" ref="BI206" si="1905">BI128-BH128</f>
        <v>0</v>
      </c>
      <c r="BJ206" s="23">
        <f t="shared" ref="BJ206" si="1906">BJ128-BI128</f>
        <v>10.700000000000003</v>
      </c>
      <c r="BK206" s="23">
        <f t="shared" ref="BK206" si="1907">BK128-BJ128</f>
        <v>0</v>
      </c>
      <c r="BL206" s="23">
        <f t="shared" ref="BL206" si="1908">BL128-BK128</f>
        <v>-41.800000000000004</v>
      </c>
      <c r="BM206" s="23">
        <f t="shared" ref="BM206" si="1909">BM128-BL128</f>
        <v>0</v>
      </c>
      <c r="BN206" s="23">
        <f t="shared" ref="BN206" si="1910">BN128-BM128</f>
        <v>1.9000000000000021</v>
      </c>
      <c r="BO206" s="23">
        <f t="shared" ref="BO206" si="1911">BO128-BN128</f>
        <v>0</v>
      </c>
      <c r="BP206" s="23">
        <f t="shared" ref="BP206" si="1912">BP128-BO128</f>
        <v>-0.80000000000000071</v>
      </c>
      <c r="BQ206" s="23">
        <f t="shared" ref="BQ206" si="1913">BQ128-BP128</f>
        <v>0</v>
      </c>
      <c r="BR206" s="23">
        <f t="shared" ref="BR206" si="1914">BR128-BQ128</f>
        <v>-29.5</v>
      </c>
      <c r="BS206" s="23">
        <f t="shared" ref="BS206" si="1915">BS128-BR128</f>
        <v>0</v>
      </c>
      <c r="BT206" s="23">
        <f t="shared" ref="BT206" si="1916">BT128-BS128</f>
        <v>0</v>
      </c>
      <c r="BU206" s="23">
        <f t="shared" ref="BU206" si="1917">BU128-BT128</f>
        <v>0</v>
      </c>
      <c r="BV206" s="23">
        <f t="shared" ref="BV206" si="1918">BV128-BU128</f>
        <v>0</v>
      </c>
      <c r="BW206" s="23">
        <f t="shared" ref="BW206" si="1919">BW128-BV128</f>
        <v>0</v>
      </c>
      <c r="BX206" s="23">
        <f t="shared" ref="BX206" si="1920">BX128-BW128</f>
        <v>0</v>
      </c>
      <c r="BY206" s="23">
        <f t="shared" ref="BY206" si="1921">BY128-BX128</f>
        <v>0</v>
      </c>
      <c r="BZ206" s="23">
        <f t="shared" ref="BZ206" si="1922">BZ128-BY128</f>
        <v>0</v>
      </c>
      <c r="CA206" s="23">
        <f t="shared" ref="CA206" si="1923">CA128-BZ128</f>
        <v>0</v>
      </c>
      <c r="CB206" s="23">
        <f t="shared" ref="CB206" si="1924">CB128-CA128</f>
        <v>0</v>
      </c>
      <c r="CC206" s="23">
        <f t="shared" ref="CC206" si="1925">CC128-CB128</f>
        <v>0</v>
      </c>
      <c r="CD206" s="23">
        <f t="shared" ref="CD206" si="1926">CD128-CC128</f>
        <v>0</v>
      </c>
      <c r="CE206" s="23">
        <f t="shared" ref="CE206" si="1927">CE128-CD128</f>
        <v>0</v>
      </c>
      <c r="CF206" s="23">
        <f t="shared" ref="CF206" si="1928">CF128-CE128</f>
        <v>0</v>
      </c>
      <c r="CG206" s="23">
        <f t="shared" ref="CG206" si="1929">CG128-CF128</f>
        <v>0</v>
      </c>
      <c r="CH206" s="23">
        <f t="shared" ref="CH206:CL206" si="1930">CH128-CG128</f>
        <v>0</v>
      </c>
      <c r="CI206" s="23">
        <f t="shared" si="1930"/>
        <v>0</v>
      </c>
      <c r="CJ206" s="23">
        <f t="shared" si="1930"/>
        <v>0</v>
      </c>
      <c r="CK206" s="23">
        <f t="shared" ref="CK206" si="1931">CK128-CJ128</f>
        <v>0</v>
      </c>
      <c r="CL206" s="23">
        <f t="shared" si="1930"/>
        <v>0</v>
      </c>
      <c r="CM206" s="24">
        <f t="shared" ref="CM206" si="1932">CM128-CL128</f>
        <v>0</v>
      </c>
      <c r="CN206" s="24">
        <f t="shared" ref="CN206" si="1933">CN128-CM128</f>
        <v>0</v>
      </c>
      <c r="CO206" s="24">
        <f t="shared" ref="CO206" si="1934">CO128-CN128</f>
        <v>0</v>
      </c>
      <c r="CP206" s="24">
        <f t="shared" ref="CP206" si="1935">CP128-CO128</f>
        <v>0</v>
      </c>
      <c r="CQ206" s="24">
        <f t="shared" ref="CQ206" si="1936">CQ128-CP128</f>
        <v>0</v>
      </c>
      <c r="CR206" s="24">
        <f t="shared" ref="CR206" si="1937">CR128-CQ128</f>
        <v>0</v>
      </c>
      <c r="CS206" s="24">
        <f t="shared" ref="CS206" si="1938">CS128-CR128</f>
        <v>0</v>
      </c>
      <c r="CT206" s="24">
        <f t="shared" ref="CT206" si="1939">CT128-CS128</f>
        <v>0</v>
      </c>
      <c r="CU206" s="24">
        <f t="shared" ref="CU206" si="1940">CU128-CT128</f>
        <v>0</v>
      </c>
      <c r="CV206" s="24">
        <f t="shared" ref="CV206" si="1941">CV128-CU128</f>
        <v>0</v>
      </c>
      <c r="CW206" s="24">
        <f t="shared" ref="CW206" si="1942">CW128-CV128</f>
        <v>0</v>
      </c>
      <c r="CX206" s="24">
        <f t="shared" ref="CX206" si="1943">CX128-CW128</f>
        <v>0</v>
      </c>
      <c r="CY206" s="24">
        <f t="shared" ref="CY206" si="1944">CY128-CX128</f>
        <v>0</v>
      </c>
      <c r="CZ206" s="24">
        <f t="shared" ref="CZ206" si="1945">CZ128-CY128</f>
        <v>0</v>
      </c>
      <c r="DA206" s="24">
        <f t="shared" ref="DA206" si="1946">DA128-CZ128</f>
        <v>0</v>
      </c>
      <c r="DB206" s="24">
        <f t="shared" ref="DB206" si="1947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48">C120-C48-B120+C122-B122</f>
        <v>0</v>
      </c>
      <c r="D207" s="23">
        <f t="shared" si="1948"/>
        <v>0</v>
      </c>
      <c r="E207" s="23">
        <f t="shared" si="1948"/>
        <v>0</v>
      </c>
      <c r="F207" s="23">
        <f t="shared" si="1948"/>
        <v>0</v>
      </c>
      <c r="G207" s="23">
        <f t="shared" si="1948"/>
        <v>0</v>
      </c>
      <c r="H207" s="23">
        <f t="shared" si="1948"/>
        <v>0</v>
      </c>
      <c r="I207" s="23">
        <f t="shared" si="1948"/>
        <v>0</v>
      </c>
      <c r="J207" s="23">
        <f t="shared" si="1948"/>
        <v>0</v>
      </c>
      <c r="K207" s="23">
        <f t="shared" si="1948"/>
        <v>0</v>
      </c>
      <c r="L207" s="23">
        <f t="shared" si="1948"/>
        <v>0</v>
      </c>
      <c r="M207" s="23">
        <f t="shared" si="1948"/>
        <v>0</v>
      </c>
      <c r="N207" s="23">
        <f t="shared" si="1948"/>
        <v>0.05</v>
      </c>
      <c r="O207" s="23">
        <f t="shared" si="1948"/>
        <v>478.64300000000003</v>
      </c>
      <c r="P207" s="23">
        <f t="shared" si="1948"/>
        <v>256.31200000000018</v>
      </c>
      <c r="Q207" s="23">
        <f t="shared" si="1948"/>
        <v>-405.61299999999983</v>
      </c>
      <c r="R207" s="23">
        <f t="shared" si="1948"/>
        <v>-5.3000000000000913</v>
      </c>
      <c r="S207" s="23">
        <f t="shared" si="1948"/>
        <v>-54.50000000000005</v>
      </c>
      <c r="T207" s="23">
        <f t="shared" si="1948"/>
        <v>-220.09999999999943</v>
      </c>
      <c r="U207" s="23">
        <f t="shared" si="1948"/>
        <v>-525.29999999999927</v>
      </c>
      <c r="V207" s="23">
        <f t="shared" si="1948"/>
        <v>44.399999999999366</v>
      </c>
      <c r="W207" s="23">
        <f t="shared" si="1948"/>
        <v>-263.99999999999903</v>
      </c>
      <c r="X207" s="23">
        <f t="shared" si="1948"/>
        <v>-935.40000000000168</v>
      </c>
      <c r="Y207" s="23">
        <f t="shared" si="1948"/>
        <v>-408.79999999999819</v>
      </c>
      <c r="Z207" s="23">
        <f t="shared" si="1948"/>
        <v>-517.00000000000023</v>
      </c>
      <c r="AA207" s="23">
        <f t="shared" si="1948"/>
        <v>-884.5</v>
      </c>
      <c r="AB207" s="24">
        <f t="shared" si="1948"/>
        <v>9.0949470177292824E-13</v>
      </c>
      <c r="AC207" s="24">
        <f t="shared" si="1948"/>
        <v>9.0949470177292824E-13</v>
      </c>
      <c r="AD207" s="24">
        <f t="shared" si="1948"/>
        <v>3.637978807091713E-12</v>
      </c>
      <c r="AE207" s="24">
        <f t="shared" si="1948"/>
        <v>0</v>
      </c>
      <c r="AI207" s="23">
        <f t="shared" ref="AI207:BN207" si="1949">AI120-AI48-AH120+AI122-AH122</f>
        <v>0</v>
      </c>
      <c r="AJ207" s="23">
        <f t="shared" si="1949"/>
        <v>0</v>
      </c>
      <c r="AK207" s="23">
        <f t="shared" si="1949"/>
        <v>0</v>
      </c>
      <c r="AL207" s="23">
        <f t="shared" si="1949"/>
        <v>0</v>
      </c>
      <c r="AM207" s="23">
        <f t="shared" si="1949"/>
        <v>0</v>
      </c>
      <c r="AN207" s="23">
        <f t="shared" si="1949"/>
        <v>0</v>
      </c>
      <c r="AO207" s="23">
        <f t="shared" si="1949"/>
        <v>0</v>
      </c>
      <c r="AP207" s="23">
        <f t="shared" si="1949"/>
        <v>0</v>
      </c>
      <c r="AQ207" s="23">
        <f t="shared" si="1949"/>
        <v>0</v>
      </c>
      <c r="AR207" s="23">
        <f t="shared" si="1949"/>
        <v>0</v>
      </c>
      <c r="AS207" s="23">
        <f t="shared" si="1949"/>
        <v>0</v>
      </c>
      <c r="AT207" s="23">
        <f t="shared" si="1949"/>
        <v>0</v>
      </c>
      <c r="AU207" s="23">
        <f t="shared" si="1949"/>
        <v>0</v>
      </c>
      <c r="AV207" s="23">
        <f t="shared" si="1949"/>
        <v>-93.6</v>
      </c>
      <c r="AW207" s="23">
        <f t="shared" si="1949"/>
        <v>0</v>
      </c>
      <c r="AX207" s="23">
        <f t="shared" si="1949"/>
        <v>825.79999999999984</v>
      </c>
      <c r="AY207" s="23">
        <f t="shared" si="1949"/>
        <v>2.2737367544323206E-13</v>
      </c>
      <c r="AZ207" s="23">
        <f t="shared" si="1949"/>
        <v>-68.000000000000185</v>
      </c>
      <c r="BA207" s="23">
        <f t="shared" si="1949"/>
        <v>0</v>
      </c>
      <c r="BB207" s="23">
        <f t="shared" si="1949"/>
        <v>62.700000000000095</v>
      </c>
      <c r="BC207" s="23">
        <f t="shared" si="1949"/>
        <v>0</v>
      </c>
      <c r="BD207" s="23">
        <f t="shared" si="1949"/>
        <v>-12.799999999999864</v>
      </c>
      <c r="BE207" s="23">
        <f t="shared" si="1949"/>
        <v>0</v>
      </c>
      <c r="BF207" s="23">
        <f t="shared" si="1949"/>
        <v>-41.69999999999996</v>
      </c>
      <c r="BG207" s="23">
        <f t="shared" si="1949"/>
        <v>0</v>
      </c>
      <c r="BH207" s="23">
        <f t="shared" si="1949"/>
        <v>-330.00000000000011</v>
      </c>
      <c r="BI207" s="23">
        <f t="shared" si="1949"/>
        <v>-2.2737367544323206E-13</v>
      </c>
      <c r="BJ207" s="23">
        <f t="shared" si="1949"/>
        <v>109.90000000000045</v>
      </c>
      <c r="BK207" s="23">
        <f t="shared" si="1949"/>
        <v>0</v>
      </c>
      <c r="BL207" s="23">
        <f t="shared" si="1949"/>
        <v>-253.59999999999982</v>
      </c>
      <c r="BM207" s="23">
        <f t="shared" si="1949"/>
        <v>0</v>
      </c>
      <c r="BN207" s="23">
        <f t="shared" si="1949"/>
        <v>-271.70000000000056</v>
      </c>
      <c r="BO207" s="23">
        <f t="shared" ref="BO207:CT207" si="1950">BO120-BO48-BN120+BO122-BN122</f>
        <v>0</v>
      </c>
      <c r="BP207" s="23">
        <f t="shared" si="1950"/>
        <v>47.299999999999912</v>
      </c>
      <c r="BQ207" s="23">
        <f t="shared" si="1950"/>
        <v>0</v>
      </c>
      <c r="BR207" s="23">
        <f t="shared" si="1950"/>
        <v>-2.9000000000000909</v>
      </c>
      <c r="BS207" s="23">
        <f t="shared" si="1950"/>
        <v>0</v>
      </c>
      <c r="BT207" s="23">
        <f t="shared" si="1950"/>
        <v>-104.8</v>
      </c>
      <c r="BU207" s="23">
        <f t="shared" si="1950"/>
        <v>0</v>
      </c>
      <c r="BV207" s="23">
        <f t="shared" si="1950"/>
        <v>-159.20000000000039</v>
      </c>
      <c r="BW207" s="23">
        <f t="shared" si="1950"/>
        <v>0</v>
      </c>
      <c r="BX207" s="23">
        <f t="shared" si="1950"/>
        <v>-283.89999999999907</v>
      </c>
      <c r="BY207" s="23">
        <f t="shared" si="1950"/>
        <v>0</v>
      </c>
      <c r="BZ207" s="23">
        <f t="shared" si="1950"/>
        <v>-651.59999999999968</v>
      </c>
      <c r="CA207" s="23">
        <f t="shared" si="1950"/>
        <v>0</v>
      </c>
      <c r="CB207" s="23">
        <f t="shared" si="1950"/>
        <v>-270.90000000000055</v>
      </c>
      <c r="CC207" s="23">
        <f t="shared" si="1950"/>
        <v>0</v>
      </c>
      <c r="CD207" s="23">
        <f t="shared" si="1950"/>
        <v>-137.80000000000092</v>
      </c>
      <c r="CE207" s="23">
        <f t="shared" si="1950"/>
        <v>0</v>
      </c>
      <c r="CF207" s="23">
        <f t="shared" si="1950"/>
        <v>-340.1000000000007</v>
      </c>
      <c r="CG207" s="23">
        <f t="shared" si="1950"/>
        <v>0</v>
      </c>
      <c r="CH207" s="23">
        <f t="shared" si="1950"/>
        <v>-176.89999999999947</v>
      </c>
      <c r="CI207" s="23">
        <f t="shared" si="1950"/>
        <v>0</v>
      </c>
      <c r="CJ207" s="23">
        <f t="shared" si="1950"/>
        <v>-534.49999999999966</v>
      </c>
      <c r="CK207" s="23">
        <f t="shared" si="1950"/>
        <v>0</v>
      </c>
      <c r="CL207" s="23">
        <f t="shared" si="1950"/>
        <v>-349.90000000000089</v>
      </c>
      <c r="CM207" s="24">
        <f t="shared" si="1950"/>
        <v>-9.0949470177292824E-13</v>
      </c>
      <c r="CN207" s="24">
        <f t="shared" si="1950"/>
        <v>0</v>
      </c>
      <c r="CO207" s="24">
        <f t="shared" si="1950"/>
        <v>0</v>
      </c>
      <c r="CP207" s="24">
        <f t="shared" si="1950"/>
        <v>0</v>
      </c>
      <c r="CQ207" s="24">
        <f t="shared" si="1950"/>
        <v>1.8189894035458565E-12</v>
      </c>
      <c r="CR207" s="24">
        <f t="shared" si="1950"/>
        <v>0</v>
      </c>
      <c r="CS207" s="24">
        <f t="shared" si="1950"/>
        <v>0</v>
      </c>
      <c r="CT207" s="24">
        <f t="shared" si="1950"/>
        <v>0</v>
      </c>
      <c r="CU207" s="24">
        <f t="shared" ref="CU207:DB207" si="1951">CU120-CU48-CT120+CU122-CT122</f>
        <v>0</v>
      </c>
      <c r="CV207" s="24">
        <f t="shared" si="1951"/>
        <v>0</v>
      </c>
      <c r="CW207" s="24">
        <f t="shared" si="1951"/>
        <v>0</v>
      </c>
      <c r="CX207" s="24">
        <f t="shared" si="1951"/>
        <v>0</v>
      </c>
      <c r="CY207" s="24">
        <f t="shared" si="1951"/>
        <v>0</v>
      </c>
      <c r="CZ207" s="24">
        <f t="shared" si="1951"/>
        <v>0</v>
      </c>
      <c r="DA207" s="24">
        <f t="shared" si="1951"/>
        <v>0</v>
      </c>
      <c r="DB207" s="24">
        <f t="shared" si="1951"/>
        <v>0</v>
      </c>
      <c r="DE207" s="123"/>
      <c r="DF207" s="23">
        <v>-884.5</v>
      </c>
    </row>
    <row r="208" spans="1:110" s="23" customFormat="1" x14ac:dyDescent="0.2">
      <c r="AB208" s="24"/>
      <c r="AC208" s="24"/>
      <c r="AD208" s="24"/>
      <c r="AE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2">B161</f>
        <v>0</v>
      </c>
      <c r="D209" s="23">
        <f t="shared" ref="D209" si="1953">C161</f>
        <v>0</v>
      </c>
      <c r="E209" s="23">
        <f>D161</f>
        <v>0</v>
      </c>
      <c r="F209" s="23">
        <f t="shared" ref="F209" si="1954">E161</f>
        <v>0</v>
      </c>
      <c r="G209" s="23">
        <f t="shared" ref="G209" si="1955">F161</f>
        <v>0</v>
      </c>
      <c r="H209" s="23">
        <f t="shared" ref="H209" si="1956">G161</f>
        <v>0</v>
      </c>
      <c r="I209" s="23">
        <f t="shared" ref="I209" si="1957">H161</f>
        <v>0</v>
      </c>
      <c r="J209" s="23">
        <f>I161</f>
        <v>0</v>
      </c>
      <c r="K209" s="23">
        <f>J161</f>
        <v>0</v>
      </c>
      <c r="L209" s="23">
        <f t="shared" ref="L209" si="1958">K161</f>
        <v>0</v>
      </c>
      <c r="M209" s="23">
        <f t="shared" ref="M209" si="1959">L161</f>
        <v>0</v>
      </c>
      <c r="N209" s="23">
        <f t="shared" ref="N209" si="1960">M161</f>
        <v>0</v>
      </c>
      <c r="O209" s="23">
        <f t="shared" ref="O209" si="1961">N161</f>
        <v>0.05</v>
      </c>
      <c r="P209" s="23">
        <f t="shared" ref="P209" si="1962">O161</f>
        <v>29.497</v>
      </c>
      <c r="Q209" s="23">
        <f t="shared" ref="Q209" si="1963">P161</f>
        <v>115.34099999999999</v>
      </c>
      <c r="R209" s="23">
        <f t="shared" ref="R209" si="1964">Q161</f>
        <v>138.9</v>
      </c>
      <c r="S209" s="23">
        <f t="shared" ref="S209" si="1965">R161</f>
        <v>261.8</v>
      </c>
      <c r="T209" s="23">
        <f t="shared" ref="T209" si="1966">S161</f>
        <v>374.9</v>
      </c>
      <c r="U209" s="23">
        <f t="shared" ref="U209" si="1967">T161</f>
        <v>780</v>
      </c>
      <c r="V209" s="23">
        <f t="shared" ref="V209" si="1968">U161</f>
        <v>854.9</v>
      </c>
      <c r="W209" s="23">
        <f t="shared" ref="W209:AA209" si="1969">V161</f>
        <v>1747.6000000000001</v>
      </c>
      <c r="X209" s="23">
        <f t="shared" si="1969"/>
        <v>2066</v>
      </c>
      <c r="Y209" s="23">
        <f t="shared" si="1969"/>
        <v>2798.7000000000003</v>
      </c>
      <c r="Z209" s="23">
        <f t="shared" si="1969"/>
        <v>2684.1</v>
      </c>
      <c r="AA209" s="23">
        <f t="shared" si="1969"/>
        <v>2526.1</v>
      </c>
      <c r="AB209" s="24">
        <f t="shared" ref="AB209" si="1970">AA161</f>
        <v>3079.1</v>
      </c>
      <c r="AC209" s="24">
        <f t="shared" ref="AC209" si="1971">AB161</f>
        <v>4606.2637047837861</v>
      </c>
      <c r="AD209" s="24">
        <f t="shared" ref="AD209" si="1972">AC161</f>
        <v>6315.729992313175</v>
      </c>
      <c r="AE209" s="24">
        <f t="shared" ref="AE209" si="1973">AD161</f>
        <v>8234.8424432767988</v>
      </c>
      <c r="AI209" s="23">
        <f t="shared" ref="AI209" si="1974">AH161</f>
        <v>0</v>
      </c>
      <c r="AJ209" s="23">
        <f t="shared" ref="AJ209" si="1975">AI161</f>
        <v>0</v>
      </c>
      <c r="AK209" s="23">
        <f t="shared" ref="AK209" si="1976">AJ161</f>
        <v>0</v>
      </c>
      <c r="AL209" s="23" t="e">
        <f t="shared" ref="AL209" si="1977">AK161</f>
        <v>#DIV/0!</v>
      </c>
      <c r="AM209" s="23">
        <f t="shared" ref="AM209" si="1978">AL161</f>
        <v>0</v>
      </c>
      <c r="AN209" s="23" t="e">
        <f t="shared" ref="AN209" si="1979">AM161</f>
        <v>#DIV/0!</v>
      </c>
      <c r="AO209" s="23">
        <f t="shared" ref="AO209" si="1980">AN161</f>
        <v>0</v>
      </c>
      <c r="AP209" s="23" t="e">
        <f t="shared" ref="AP209" si="1981">AO161</f>
        <v>#DIV/0!</v>
      </c>
      <c r="AQ209" s="23">
        <f t="shared" ref="AQ209" si="1982">AP161</f>
        <v>0</v>
      </c>
      <c r="AR209" s="23" t="e">
        <f t="shared" ref="AR209" si="1983">AQ161</f>
        <v>#DIV/0!</v>
      </c>
      <c r="AS209" s="23">
        <f t="shared" ref="AS209" si="1984">AR161</f>
        <v>0</v>
      </c>
      <c r="AT209" s="23" t="e">
        <f t="shared" ref="AT209" si="1985">AS161</f>
        <v>#DIV/0!</v>
      </c>
      <c r="AU209" s="23">
        <f t="shared" ref="AU209" si="1986">AT161</f>
        <v>0</v>
      </c>
      <c r="AV209" s="23" t="e">
        <f t="shared" ref="AV209" si="1987">AU161</f>
        <v>#DIV/0!</v>
      </c>
      <c r="AW209" s="23">
        <f t="shared" ref="AW209" si="1988">AV161</f>
        <v>0</v>
      </c>
      <c r="AX209" s="23">
        <f t="shared" ref="AX209" si="1989">AW161</f>
        <v>130.80000000000004</v>
      </c>
      <c r="AY209" s="23">
        <f t="shared" ref="AY209" si="1990">AX161</f>
        <v>138.9</v>
      </c>
      <c r="AZ209" s="23">
        <f t="shared" ref="AZ209" si="1991">AY161</f>
        <v>246.24148989268792</v>
      </c>
      <c r="BA209" s="23">
        <f t="shared" ref="BA209" si="1992">AZ161</f>
        <v>204.10000000000002</v>
      </c>
      <c r="BB209" s="23">
        <f t="shared" ref="BB209" si="1993">BA161</f>
        <v>320.57290628418605</v>
      </c>
      <c r="BC209" s="23">
        <f t="shared" ref="BC209" si="1994">BB161</f>
        <v>261.8</v>
      </c>
      <c r="BD209" s="23">
        <f t="shared" ref="BD209" si="1995">BC161</f>
        <v>352.87761910624175</v>
      </c>
      <c r="BE209" s="23">
        <f t="shared" ref="BE209" si="1996">BD161</f>
        <v>244.60000000000002</v>
      </c>
      <c r="BF209" s="23">
        <f t="shared" ref="BF209" si="1997">BE161</f>
        <v>323.52197423939612</v>
      </c>
      <c r="BG209" s="23">
        <f t="shared" ref="BG209" si="1998">BF161</f>
        <v>374.9</v>
      </c>
      <c r="BH209" s="23">
        <f t="shared" ref="BH209" si="1999">BG161</f>
        <v>500.22722791050444</v>
      </c>
      <c r="BI209" s="23">
        <f t="shared" ref="BI209" si="2000">BH161</f>
        <v>439.4</v>
      </c>
      <c r="BJ209" s="23">
        <f t="shared" ref="BJ209" si="2001">BI161</f>
        <v>588.09466866756156</v>
      </c>
      <c r="BK209" s="23">
        <f t="shared" ref="BK209" si="2002">BJ161</f>
        <v>780</v>
      </c>
      <c r="BL209" s="23">
        <f t="shared" ref="BL209" si="2003">BK161</f>
        <v>981.02891072891089</v>
      </c>
      <c r="BM209" s="23">
        <f t="shared" ref="BM209" si="2004">BL161</f>
        <v>453.2</v>
      </c>
      <c r="BN209" s="23">
        <f t="shared" ref="BN209" si="2005">BM161</f>
        <v>643.28696241352259</v>
      </c>
      <c r="BO209" s="23">
        <f t="shared" ref="BO209" si="2006">BN161</f>
        <v>854.9</v>
      </c>
      <c r="BP209" s="23">
        <f t="shared" ref="BP209" si="2007">BO161</f>
        <v>1096.3417254251349</v>
      </c>
      <c r="BQ209" s="23">
        <f t="shared" ref="BQ209" si="2008">BP161</f>
        <v>1301</v>
      </c>
      <c r="BR209" s="23">
        <f t="shared" ref="BR209" si="2009">BQ161</f>
        <v>1418.7996955396559</v>
      </c>
      <c r="BS209" s="23">
        <f t="shared" ref="BS209" si="2010">BR161</f>
        <v>1747.6000000000001</v>
      </c>
      <c r="BT209" s="23">
        <f t="shared" ref="BT209" si="2011">BS161</f>
        <v>1909.7540020826104</v>
      </c>
      <c r="BU209" s="23">
        <f t="shared" ref="BU209" si="2012">BT161</f>
        <v>1958.3000000000002</v>
      </c>
      <c r="BV209" s="23">
        <f t="shared" ref="BV209" si="2013">BU161</f>
        <v>2139.9373577159922</v>
      </c>
      <c r="BW209" s="23">
        <f t="shared" ref="BW209" si="2014">BV161</f>
        <v>2066</v>
      </c>
      <c r="BX209" s="23">
        <f t="shared" ref="BX209" si="2015">BW161</f>
        <v>2155.9007402767493</v>
      </c>
      <c r="BY209" s="23">
        <f t="shared" ref="BY209" si="2016">BX161</f>
        <v>2304.5</v>
      </c>
      <c r="BZ209" s="23">
        <f t="shared" ref="BZ209" si="2017">BY161</f>
        <v>2670.3749572687025</v>
      </c>
      <c r="CA209" s="23">
        <f t="shared" ref="CA209" si="2018">BZ161</f>
        <v>2798.7000000000003</v>
      </c>
      <c r="CB209" s="23">
        <f t="shared" ref="CB209" si="2019">CA161</f>
        <v>3136.5505610393998</v>
      </c>
      <c r="CC209" s="23">
        <f t="shared" ref="CC209" si="2020">CB161</f>
        <v>2109.5</v>
      </c>
      <c r="CD209" s="23">
        <f t="shared" ref="CD209" si="2021">CC161</f>
        <v>2424.2877728891681</v>
      </c>
      <c r="CE209" s="23">
        <f t="shared" ref="CE209" si="2022">CD161</f>
        <v>2684.1</v>
      </c>
      <c r="CF209" s="23">
        <f t="shared" ref="CF209" si="2023">CE161</f>
        <v>3020.6972965517239</v>
      </c>
      <c r="CG209" s="23">
        <f t="shared" ref="CG209" si="2024">CF161</f>
        <v>2666.1</v>
      </c>
      <c r="CH209" s="23">
        <f t="shared" ref="CH209:CL209" si="2025">CG161</f>
        <v>2960.3160324925179</v>
      </c>
      <c r="CI209" s="23">
        <f t="shared" si="2025"/>
        <v>2526.1</v>
      </c>
      <c r="CJ209" s="23">
        <f t="shared" si="2025"/>
        <v>2835.6445143680339</v>
      </c>
      <c r="CK209" s="23">
        <f t="shared" ref="CK209" si="2026">CJ161</f>
        <v>2335.6999999999998</v>
      </c>
      <c r="CL209" s="23">
        <f t="shared" si="2025"/>
        <v>2755.0251720087258</v>
      </c>
      <c r="CM209" s="24">
        <f t="shared" ref="CM209" si="2027">CL161</f>
        <v>3079.1</v>
      </c>
      <c r="CN209" s="24">
        <f t="shared" ref="CN209" si="2028">CM161</f>
        <v>3358.4436528072047</v>
      </c>
      <c r="CO209" s="24">
        <f t="shared" ref="CO209" si="2029">CN161</f>
        <v>3732.2966057658227</v>
      </c>
      <c r="CP209" s="24">
        <f t="shared" ref="CP209" si="2030">CO161</f>
        <v>4176.7750702999165</v>
      </c>
      <c r="CQ209" s="24">
        <f t="shared" ref="CQ209" si="2031">CP161</f>
        <v>4606.2637047837861</v>
      </c>
      <c r="CR209" s="24">
        <f t="shared" ref="CR209" si="2032">CQ161</f>
        <v>4906.1580637441057</v>
      </c>
      <c r="CS209" s="24">
        <f t="shared" ref="CS209" si="2033">CR161</f>
        <v>5339.1151820010455</v>
      </c>
      <c r="CT209" s="24">
        <f t="shared" ref="CT209" si="2034">CS161</f>
        <v>5837.6036846019078</v>
      </c>
      <c r="CU209" s="24">
        <f t="shared" ref="CU209" si="2035">CT161</f>
        <v>6315.729992313175</v>
      </c>
      <c r="CV209" s="24">
        <f t="shared" ref="CV209" si="2036">CU161</f>
        <v>6655.5216834973116</v>
      </c>
      <c r="CW209" s="24">
        <f t="shared" ref="CW209" si="2037">CV161</f>
        <v>7143.8267799707291</v>
      </c>
      <c r="CX209" s="24">
        <f t="shared" ref="CX209" si="2038">CW161</f>
        <v>7700.3992011230312</v>
      </c>
      <c r="CY209" s="24">
        <f t="shared" ref="CY209" si="2039">CX161</f>
        <v>8234.8424432767988</v>
      </c>
      <c r="CZ209" s="24">
        <f t="shared" ref="CZ209" si="2040">CY161</f>
        <v>8620.8318910448961</v>
      </c>
      <c r="DA209" s="24">
        <f t="shared" ref="DA209" si="2041">CZ161</f>
        <v>9168.0033962075722</v>
      </c>
      <c r="DB209" s="24">
        <f t="shared" ref="DB209" si="2042">DA161</f>
        <v>9788.5794871644375</v>
      </c>
      <c r="DE209" s="123"/>
      <c r="DF209" s="23">
        <v>2526.1</v>
      </c>
    </row>
    <row r="210" spans="1:110" s="23" customFormat="1" x14ac:dyDescent="0.2">
      <c r="A210" s="23" t="s">
        <v>443</v>
      </c>
      <c r="C210" s="23">
        <f t="shared" ref="C210:W210" si="2043">C209+C205+C201+C199</f>
        <v>0</v>
      </c>
      <c r="D210" s="23">
        <f t="shared" si="2043"/>
        <v>0</v>
      </c>
      <c r="E210" s="23">
        <f t="shared" si="2043"/>
        <v>0</v>
      </c>
      <c r="F210" s="23">
        <f t="shared" si="2043"/>
        <v>0</v>
      </c>
      <c r="G210" s="23">
        <f t="shared" si="2043"/>
        <v>0</v>
      </c>
      <c r="H210" s="23">
        <f t="shared" si="2043"/>
        <v>0</v>
      </c>
      <c r="I210" s="23">
        <f t="shared" si="2043"/>
        <v>0</v>
      </c>
      <c r="J210" s="23">
        <f>J209+J205+J201+J199</f>
        <v>0</v>
      </c>
      <c r="K210" s="23">
        <f>K209+K205+K201+K199</f>
        <v>0</v>
      </c>
      <c r="L210" s="23">
        <f>L209+L205+L201+L199</f>
        <v>0</v>
      </c>
      <c r="M210" s="23">
        <f>M209+M205+M201+M199</f>
        <v>0</v>
      </c>
      <c r="N210" s="23">
        <f t="shared" si="2043"/>
        <v>0.05</v>
      </c>
      <c r="O210" s="23">
        <f t="shared" si="2043"/>
        <v>29.496999999999971</v>
      </c>
      <c r="P210" s="23">
        <f t="shared" si="2043"/>
        <v>115.34100000000001</v>
      </c>
      <c r="Q210" s="23">
        <f t="shared" si="2043"/>
        <v>138.89999999999986</v>
      </c>
      <c r="R210" s="23">
        <f t="shared" si="2043"/>
        <v>261.79999999999984</v>
      </c>
      <c r="S210" s="23">
        <f t="shared" si="2043"/>
        <v>374.90000000000003</v>
      </c>
      <c r="T210" s="23">
        <f t="shared" si="2043"/>
        <v>780.00000000000023</v>
      </c>
      <c r="U210" s="23">
        <f t="shared" si="2043"/>
        <v>854.90000000000055</v>
      </c>
      <c r="V210" s="23">
        <f t="shared" si="2043"/>
        <v>1747.5999999999995</v>
      </c>
      <c r="W210" s="23">
        <f t="shared" si="2043"/>
        <v>2066</v>
      </c>
      <c r="X210" s="23">
        <f t="shared" ref="X210:Y210" si="2044">X209+X205+X201+X199</f>
        <v>2798.6999999999994</v>
      </c>
      <c r="Y210" s="23">
        <f t="shared" si="2044"/>
        <v>2684.1000000000004</v>
      </c>
      <c r="Z210" s="23">
        <f t="shared" ref="Z210:AA210" si="2045">Z209+Z205+Z201+Z199</f>
        <v>2526.1000000000022</v>
      </c>
      <c r="AA210" s="23">
        <f t="shared" si="2045"/>
        <v>3079.099999999999</v>
      </c>
      <c r="AB210" s="24">
        <f t="shared" ref="AB210:AD210" si="2046">AB209+AB205+AB201+AB199</f>
        <v>4606.2637047837852</v>
      </c>
      <c r="AC210" s="24">
        <f t="shared" si="2046"/>
        <v>6315.7299923131741</v>
      </c>
      <c r="AD210" s="24">
        <f t="shared" si="2046"/>
        <v>8234.8424432768024</v>
      </c>
      <c r="AE210" s="24">
        <f t="shared" ref="AE210" si="2047">AE209+AE205+AE201+AE199</f>
        <v>10385.551120855742</v>
      </c>
      <c r="AI210" s="23">
        <f t="shared" ref="AI210" si="2048">AI209+AI205+AI201+AI199</f>
        <v>0</v>
      </c>
      <c r="AJ210" s="23">
        <f t="shared" ref="AJ210:AL210" si="2049">AJ209+AJ205+AJ201+AJ199</f>
        <v>0</v>
      </c>
      <c r="AK210" s="23" t="e">
        <f t="shared" si="2049"/>
        <v>#DIV/0!</v>
      </c>
      <c r="AL210" s="23" t="e">
        <f t="shared" si="2049"/>
        <v>#DIV/0!</v>
      </c>
      <c r="AM210" s="23" t="e">
        <f t="shared" ref="AM210" si="2050">AM209+AM205+AM201+AM199</f>
        <v>#DIV/0!</v>
      </c>
      <c r="AN210" s="23" t="e">
        <f t="shared" ref="AN210:CD210" si="2051">AN209+AN205+AN201+AN199</f>
        <v>#DIV/0!</v>
      </c>
      <c r="AO210" s="23" t="e">
        <f t="shared" si="2051"/>
        <v>#DIV/0!</v>
      </c>
      <c r="AP210" s="23" t="e">
        <f t="shared" si="2051"/>
        <v>#DIV/0!</v>
      </c>
      <c r="AQ210" s="23" t="e">
        <f t="shared" si="2051"/>
        <v>#DIV/0!</v>
      </c>
      <c r="AR210" s="23" t="e">
        <f t="shared" si="2051"/>
        <v>#DIV/0!</v>
      </c>
      <c r="AS210" s="23" t="e">
        <f t="shared" si="2051"/>
        <v>#DIV/0!</v>
      </c>
      <c r="AT210" s="23" t="e">
        <f t="shared" si="2051"/>
        <v>#DIV/0!</v>
      </c>
      <c r="AU210" s="23" t="e">
        <f t="shared" si="2051"/>
        <v>#DIV/0!</v>
      </c>
      <c r="AV210" s="23" t="e">
        <f t="shared" si="2051"/>
        <v>#DIV/0!</v>
      </c>
      <c r="AW210" s="23">
        <f t="shared" si="2051"/>
        <v>130.80000000000004</v>
      </c>
      <c r="AX210" s="23">
        <f t="shared" si="2051"/>
        <v>138.89999999999998</v>
      </c>
      <c r="AY210" s="23">
        <f t="shared" si="2051"/>
        <v>246.24148989268792</v>
      </c>
      <c r="AZ210" s="23">
        <f t="shared" si="2051"/>
        <v>204.10000000000025</v>
      </c>
      <c r="BA210" s="23">
        <f t="shared" si="2051"/>
        <v>320.57290628418605</v>
      </c>
      <c r="BB210" s="23">
        <f t="shared" si="2051"/>
        <v>261.79999999999984</v>
      </c>
      <c r="BC210" s="23">
        <f t="shared" si="2051"/>
        <v>352.87761910624175</v>
      </c>
      <c r="BD210" s="23">
        <f t="shared" si="2051"/>
        <v>244.60000000000031</v>
      </c>
      <c r="BE210" s="23">
        <f t="shared" si="2051"/>
        <v>323.52197423939612</v>
      </c>
      <c r="BF210" s="23">
        <f t="shared" si="2051"/>
        <v>374.89999999999986</v>
      </c>
      <c r="BG210" s="23">
        <f t="shared" si="2051"/>
        <v>500.22722791050444</v>
      </c>
      <c r="BH210" s="23">
        <f t="shared" si="2051"/>
        <v>439.40000000000003</v>
      </c>
      <c r="BI210" s="23">
        <f t="shared" si="2051"/>
        <v>588.09466866756156</v>
      </c>
      <c r="BJ210" s="23">
        <f t="shared" si="2051"/>
        <v>780</v>
      </c>
      <c r="BK210" s="23">
        <f t="shared" si="2051"/>
        <v>981.02891072891089</v>
      </c>
      <c r="BL210" s="23">
        <f t="shared" si="2051"/>
        <v>453.19999999999982</v>
      </c>
      <c r="BM210" s="23">
        <f t="shared" si="2051"/>
        <v>643.28696241352259</v>
      </c>
      <c r="BN210" s="23">
        <f t="shared" si="2051"/>
        <v>854.89999999999964</v>
      </c>
      <c r="BO210" s="23">
        <f t="shared" si="2051"/>
        <v>1096.3417254251349</v>
      </c>
      <c r="BP210" s="23">
        <f t="shared" si="2051"/>
        <v>1300.9999999999998</v>
      </c>
      <c r="BQ210" s="23">
        <f t="shared" si="2051"/>
        <v>1418.7996955396559</v>
      </c>
      <c r="BR210" s="23">
        <f t="shared" si="2051"/>
        <v>1747.5999999999997</v>
      </c>
      <c r="BS210" s="23">
        <f t="shared" si="2051"/>
        <v>1909.7540020826104</v>
      </c>
      <c r="BT210" s="23">
        <f t="shared" si="2051"/>
        <v>1958.3000000000006</v>
      </c>
      <c r="BU210" s="23">
        <f t="shared" si="2051"/>
        <v>2139.9373577159922</v>
      </c>
      <c r="BV210" s="23">
        <f t="shared" si="2051"/>
        <v>2065.9999999999995</v>
      </c>
      <c r="BW210" s="23">
        <f t="shared" si="2051"/>
        <v>2155.9007402767493</v>
      </c>
      <c r="BX210" s="23">
        <f t="shared" si="2051"/>
        <v>2304.5000000000009</v>
      </c>
      <c r="BY210" s="23">
        <f t="shared" si="2051"/>
        <v>2670.3749572687025</v>
      </c>
      <c r="BZ210" s="23">
        <f t="shared" si="2051"/>
        <v>2798.7</v>
      </c>
      <c r="CA210" s="23">
        <f t="shared" si="2051"/>
        <v>3136.5505610393998</v>
      </c>
      <c r="CB210" s="23">
        <f t="shared" si="2051"/>
        <v>2109.5</v>
      </c>
      <c r="CC210" s="23">
        <f t="shared" si="2051"/>
        <v>2424.2877728891681</v>
      </c>
      <c r="CD210" s="23">
        <f t="shared" si="2051"/>
        <v>2684.0999999999985</v>
      </c>
      <c r="CE210" s="23">
        <f t="shared" ref="CE210:CF210" si="2052">CE209+CE205+CE201+CE199</f>
        <v>3020.6972965517239</v>
      </c>
      <c r="CF210" s="23">
        <f t="shared" si="2052"/>
        <v>2666.0999999999995</v>
      </c>
      <c r="CG210" s="23">
        <f t="shared" ref="CG210:CH210" si="2053">CG209+CG205+CG201+CG199</f>
        <v>2960.3160324925179</v>
      </c>
      <c r="CH210" s="23">
        <f t="shared" si="2053"/>
        <v>2526.1000000000022</v>
      </c>
      <c r="CI210" s="23">
        <f t="shared" ref="CI210:CJ210" si="2054">CI209+CI205+CI201+CI199</f>
        <v>2835.6445143680339</v>
      </c>
      <c r="CJ210" s="23">
        <f t="shared" si="2054"/>
        <v>2335.6999999999998</v>
      </c>
      <c r="CK210" s="23">
        <f t="shared" ref="CK210:DB210" si="2055">CK209+CK205+CK201+CK199</f>
        <v>2755.0251720087258</v>
      </c>
      <c r="CL210" s="23">
        <f t="shared" si="2055"/>
        <v>3079.0999999999985</v>
      </c>
      <c r="CM210" s="24">
        <f t="shared" si="2055"/>
        <v>3358.4436528072047</v>
      </c>
      <c r="CN210" s="24">
        <f t="shared" si="2055"/>
        <v>3732.2966057658227</v>
      </c>
      <c r="CO210" s="24">
        <f t="shared" si="2055"/>
        <v>4176.7750702999165</v>
      </c>
      <c r="CP210" s="24">
        <f t="shared" si="2055"/>
        <v>4606.2637047837861</v>
      </c>
      <c r="CQ210" s="24">
        <f t="shared" si="2055"/>
        <v>4906.1580637441057</v>
      </c>
      <c r="CR210" s="24">
        <f t="shared" si="2055"/>
        <v>5339.1151820010455</v>
      </c>
      <c r="CS210" s="24">
        <f t="shared" si="2055"/>
        <v>5837.6036846019078</v>
      </c>
      <c r="CT210" s="24">
        <f t="shared" si="2055"/>
        <v>6315.729992313175</v>
      </c>
      <c r="CU210" s="24">
        <f t="shared" si="2055"/>
        <v>6655.5216834973116</v>
      </c>
      <c r="CV210" s="24">
        <f t="shared" si="2055"/>
        <v>7143.8267799707291</v>
      </c>
      <c r="CW210" s="24">
        <f t="shared" si="2055"/>
        <v>7700.3992011230312</v>
      </c>
      <c r="CX210" s="24">
        <f t="shared" si="2055"/>
        <v>8234.8424432767988</v>
      </c>
      <c r="CY210" s="24">
        <f t="shared" si="2055"/>
        <v>8620.8318910448961</v>
      </c>
      <c r="CZ210" s="24">
        <f t="shared" si="2055"/>
        <v>9168.0033962075722</v>
      </c>
      <c r="DA210" s="24">
        <f t="shared" si="2055"/>
        <v>9788.5794871644375</v>
      </c>
      <c r="DB210" s="24">
        <f t="shared" si="2055"/>
        <v>10385.551120855742</v>
      </c>
      <c r="DE210" s="123"/>
      <c r="DF210" s="23">
        <v>3079.099999999999</v>
      </c>
    </row>
    <row r="211" spans="1:110" s="28" customFormat="1" x14ac:dyDescent="0.2">
      <c r="A211" s="28" t="s">
        <v>444</v>
      </c>
      <c r="C211" s="28">
        <f t="shared" ref="C211:W211" si="2056">C210-C161</f>
        <v>0</v>
      </c>
      <c r="D211" s="28">
        <f t="shared" si="2056"/>
        <v>0</v>
      </c>
      <c r="E211" s="28">
        <f t="shared" si="2056"/>
        <v>0</v>
      </c>
      <c r="F211" s="28">
        <f t="shared" si="2056"/>
        <v>0</v>
      </c>
      <c r="G211" s="28">
        <f t="shared" si="2056"/>
        <v>0</v>
      </c>
      <c r="H211" s="28">
        <f t="shared" si="2056"/>
        <v>0</v>
      </c>
      <c r="I211" s="28">
        <f t="shared" si="2056"/>
        <v>0</v>
      </c>
      <c r="J211" s="28">
        <f>J210-J161</f>
        <v>0</v>
      </c>
      <c r="K211" s="28">
        <f t="shared" si="2056"/>
        <v>0</v>
      </c>
      <c r="L211" s="28">
        <f t="shared" si="2056"/>
        <v>0</v>
      </c>
      <c r="M211" s="28">
        <f t="shared" si="2056"/>
        <v>0</v>
      </c>
      <c r="N211" s="28">
        <f t="shared" si="2056"/>
        <v>0</v>
      </c>
      <c r="O211" s="28">
        <f t="shared" si="2056"/>
        <v>-2.8421709430404007E-14</v>
      </c>
      <c r="P211" s="28">
        <f t="shared" si="2056"/>
        <v>0</v>
      </c>
      <c r="Q211" s="28">
        <f t="shared" si="2056"/>
        <v>0</v>
      </c>
      <c r="R211" s="28">
        <f t="shared" si="2056"/>
        <v>0</v>
      </c>
      <c r="S211" s="28">
        <f t="shared" si="2056"/>
        <v>0</v>
      </c>
      <c r="T211" s="28">
        <f t="shared" si="2056"/>
        <v>0</v>
      </c>
      <c r="U211" s="28">
        <f t="shared" si="2056"/>
        <v>0</v>
      </c>
      <c r="V211" s="28">
        <f t="shared" si="2056"/>
        <v>0</v>
      </c>
      <c r="W211" s="28">
        <f t="shared" si="2056"/>
        <v>0</v>
      </c>
      <c r="X211" s="28">
        <f t="shared" ref="X211:Y211" si="2057">X210-X161</f>
        <v>0</v>
      </c>
      <c r="Y211" s="28">
        <f t="shared" si="2057"/>
        <v>0</v>
      </c>
      <c r="Z211" s="28">
        <f t="shared" ref="Z211:AA211" si="2058">Z210-Z161</f>
        <v>0</v>
      </c>
      <c r="AA211" s="28">
        <f t="shared" si="2058"/>
        <v>0</v>
      </c>
      <c r="AB211" s="30">
        <f t="shared" ref="AB211:AD211" si="2059">AB210-AB161</f>
        <v>0</v>
      </c>
      <c r="AC211" s="30">
        <f t="shared" si="2059"/>
        <v>0</v>
      </c>
      <c r="AD211" s="30">
        <f t="shared" si="2059"/>
        <v>0</v>
      </c>
      <c r="AE211" s="30">
        <f t="shared" ref="AE211" si="2060">AE210-AE161</f>
        <v>0</v>
      </c>
      <c r="AI211" s="28">
        <f t="shared" ref="AI211" si="2061">AI210-AI161</f>
        <v>0</v>
      </c>
      <c r="AJ211" s="28">
        <f t="shared" ref="AJ211:AL211" si="2062">AJ210-AJ161</f>
        <v>0</v>
      </c>
      <c r="AK211" s="28" t="e">
        <f t="shared" si="2062"/>
        <v>#DIV/0!</v>
      </c>
      <c r="AL211" s="28" t="e">
        <f t="shared" si="2062"/>
        <v>#DIV/0!</v>
      </c>
      <c r="AM211" s="28" t="e">
        <f t="shared" ref="AM211" si="2063">AM210-AM161</f>
        <v>#DIV/0!</v>
      </c>
      <c r="AN211" s="28" t="e">
        <f t="shared" ref="AN211:CD211" si="2064">AN210-AN161</f>
        <v>#DIV/0!</v>
      </c>
      <c r="AO211" s="28" t="e">
        <f t="shared" si="2064"/>
        <v>#DIV/0!</v>
      </c>
      <c r="AP211" s="28" t="e">
        <f t="shared" si="2064"/>
        <v>#DIV/0!</v>
      </c>
      <c r="AQ211" s="28" t="e">
        <f t="shared" si="2064"/>
        <v>#DIV/0!</v>
      </c>
      <c r="AR211" s="28" t="e">
        <f t="shared" si="2064"/>
        <v>#DIV/0!</v>
      </c>
      <c r="AS211" s="28" t="e">
        <f t="shared" si="2064"/>
        <v>#DIV/0!</v>
      </c>
      <c r="AT211" s="28" t="e">
        <f t="shared" si="2064"/>
        <v>#DIV/0!</v>
      </c>
      <c r="AU211" s="28" t="e">
        <f t="shared" si="2064"/>
        <v>#DIV/0!</v>
      </c>
      <c r="AV211" s="28" t="e">
        <f t="shared" si="2064"/>
        <v>#DIV/0!</v>
      </c>
      <c r="AW211" s="28">
        <f t="shared" si="2064"/>
        <v>0</v>
      </c>
      <c r="AX211" s="28">
        <f t="shared" si="2064"/>
        <v>0</v>
      </c>
      <c r="AY211" s="28">
        <f t="shared" si="2064"/>
        <v>0</v>
      </c>
      <c r="AZ211" s="28">
        <f t="shared" si="2064"/>
        <v>2.2737367544323206E-13</v>
      </c>
      <c r="BA211" s="28">
        <f t="shared" si="2064"/>
        <v>0</v>
      </c>
      <c r="BB211" s="28">
        <f t="shared" si="2064"/>
        <v>0</v>
      </c>
      <c r="BC211" s="28">
        <f t="shared" si="2064"/>
        <v>0</v>
      </c>
      <c r="BD211" s="28">
        <f t="shared" si="2064"/>
        <v>2.8421709430404007E-13</v>
      </c>
      <c r="BE211" s="28">
        <f t="shared" si="2064"/>
        <v>0</v>
      </c>
      <c r="BF211" s="28">
        <f t="shared" si="2064"/>
        <v>0</v>
      </c>
      <c r="BG211" s="28">
        <f t="shared" si="2064"/>
        <v>0</v>
      </c>
      <c r="BH211" s="28">
        <f t="shared" si="2064"/>
        <v>0</v>
      </c>
      <c r="BI211" s="28">
        <f t="shared" si="2064"/>
        <v>0</v>
      </c>
      <c r="BJ211" s="28">
        <f t="shared" si="2064"/>
        <v>0</v>
      </c>
      <c r="BK211" s="28">
        <f t="shared" si="2064"/>
        <v>0</v>
      </c>
      <c r="BL211" s="28">
        <f t="shared" si="2064"/>
        <v>0</v>
      </c>
      <c r="BM211" s="28">
        <f t="shared" si="2064"/>
        <v>0</v>
      </c>
      <c r="BN211" s="28">
        <f t="shared" si="2064"/>
        <v>0</v>
      </c>
      <c r="BO211" s="28">
        <f t="shared" si="2064"/>
        <v>0</v>
      </c>
      <c r="BP211" s="28">
        <f t="shared" si="2064"/>
        <v>0</v>
      </c>
      <c r="BQ211" s="28">
        <f t="shared" si="2064"/>
        <v>0</v>
      </c>
      <c r="BR211" s="28">
        <f t="shared" si="2064"/>
        <v>0</v>
      </c>
      <c r="BS211" s="28">
        <f t="shared" si="2064"/>
        <v>0</v>
      </c>
      <c r="BT211" s="28">
        <f t="shared" si="2064"/>
        <v>0</v>
      </c>
      <c r="BU211" s="28">
        <f t="shared" si="2064"/>
        <v>0</v>
      </c>
      <c r="BV211" s="28">
        <f t="shared" si="2064"/>
        <v>0</v>
      </c>
      <c r="BW211" s="28">
        <f t="shared" si="2064"/>
        <v>0</v>
      </c>
      <c r="BX211" s="28">
        <f t="shared" si="2064"/>
        <v>0</v>
      </c>
      <c r="BY211" s="28">
        <f t="shared" si="2064"/>
        <v>0</v>
      </c>
      <c r="BZ211" s="28">
        <f t="shared" si="2064"/>
        <v>0</v>
      </c>
      <c r="CA211" s="28">
        <f t="shared" si="2064"/>
        <v>0</v>
      </c>
      <c r="CB211" s="28">
        <f t="shared" si="2064"/>
        <v>0</v>
      </c>
      <c r="CC211" s="28">
        <f t="shared" si="2064"/>
        <v>0</v>
      </c>
      <c r="CD211" s="28">
        <f t="shared" si="2064"/>
        <v>0</v>
      </c>
      <c r="CE211" s="28">
        <f t="shared" ref="CE211:CF211" si="2065">CE210-CE161</f>
        <v>0</v>
      </c>
      <c r="CF211" s="28">
        <f t="shared" si="2065"/>
        <v>0</v>
      </c>
      <c r="CG211" s="28">
        <f t="shared" ref="CG211:CH211" si="2066">CG210-CG161</f>
        <v>0</v>
      </c>
      <c r="CH211" s="28">
        <f t="shared" si="2066"/>
        <v>0</v>
      </c>
      <c r="CI211" s="28">
        <f t="shared" ref="CI211:CJ211" si="2067">CI210-CI161</f>
        <v>0</v>
      </c>
      <c r="CJ211" s="28">
        <f t="shared" si="2067"/>
        <v>0</v>
      </c>
      <c r="CK211" s="28">
        <f t="shared" ref="CK211:DB211" si="2068">CK210-CK161</f>
        <v>0</v>
      </c>
      <c r="CL211" s="28">
        <f t="shared" si="2068"/>
        <v>0</v>
      </c>
      <c r="CM211" s="30">
        <f t="shared" si="2068"/>
        <v>0</v>
      </c>
      <c r="CN211" s="30">
        <f t="shared" si="2068"/>
        <v>0</v>
      </c>
      <c r="CO211" s="30">
        <f t="shared" si="2068"/>
        <v>0</v>
      </c>
      <c r="CP211" s="30">
        <f t="shared" si="2068"/>
        <v>0</v>
      </c>
      <c r="CQ211" s="30">
        <f t="shared" si="2068"/>
        <v>0</v>
      </c>
      <c r="CR211" s="30">
        <f t="shared" si="2068"/>
        <v>0</v>
      </c>
      <c r="CS211" s="30">
        <f t="shared" si="2068"/>
        <v>0</v>
      </c>
      <c r="CT211" s="30">
        <f t="shared" si="2068"/>
        <v>0</v>
      </c>
      <c r="CU211" s="30">
        <f t="shared" si="2068"/>
        <v>0</v>
      </c>
      <c r="CV211" s="30">
        <f t="shared" si="2068"/>
        <v>0</v>
      </c>
      <c r="CW211" s="30">
        <f t="shared" si="2068"/>
        <v>0</v>
      </c>
      <c r="CX211" s="30">
        <f t="shared" si="2068"/>
        <v>0</v>
      </c>
      <c r="CY211" s="30">
        <f t="shared" si="2068"/>
        <v>0</v>
      </c>
      <c r="CZ211" s="30">
        <f t="shared" si="2068"/>
        <v>0</v>
      </c>
      <c r="DA211" s="30">
        <f t="shared" si="2068"/>
        <v>0</v>
      </c>
      <c r="DB211" s="30">
        <f t="shared" si="2068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9">C199+C201</f>
        <v>0</v>
      </c>
      <c r="D213" s="22">
        <f t="shared" si="2069"/>
        <v>0</v>
      </c>
      <c r="E213" s="22">
        <f t="shared" si="2069"/>
        <v>0</v>
      </c>
      <c r="F213" s="22">
        <f t="shared" si="2069"/>
        <v>0</v>
      </c>
      <c r="G213" s="22">
        <f t="shared" si="2069"/>
        <v>0</v>
      </c>
      <c r="H213" s="22">
        <f t="shared" si="2069"/>
        <v>0</v>
      </c>
      <c r="I213" s="22">
        <f t="shared" si="2069"/>
        <v>0</v>
      </c>
      <c r="J213" s="22">
        <f>J199+J201</f>
        <v>0</v>
      </c>
      <c r="K213" s="22">
        <f t="shared" si="2069"/>
        <v>0</v>
      </c>
      <c r="L213" s="22">
        <f t="shared" si="2069"/>
        <v>0</v>
      </c>
      <c r="M213" s="22">
        <f t="shared" si="2069"/>
        <v>0</v>
      </c>
      <c r="N213" s="22">
        <f t="shared" si="2069"/>
        <v>0</v>
      </c>
      <c r="O213" s="22">
        <f t="shared" si="2069"/>
        <v>-497.88300000000004</v>
      </c>
      <c r="P213" s="22">
        <f t="shared" si="2069"/>
        <v>-340.55000000000018</v>
      </c>
      <c r="Q213" s="22">
        <f t="shared" si="2069"/>
        <v>452.44099999999969</v>
      </c>
      <c r="R213" s="22">
        <f t="shared" si="2069"/>
        <v>221.79999999999995</v>
      </c>
      <c r="S213" s="22">
        <f t="shared" si="2069"/>
        <v>199.30000000000007</v>
      </c>
      <c r="T213" s="22">
        <f t="shared" si="2069"/>
        <v>625.1999999999997</v>
      </c>
      <c r="U213" s="22">
        <f t="shared" si="2069"/>
        <v>640.0999999999998</v>
      </c>
      <c r="V213" s="22">
        <f t="shared" si="2069"/>
        <v>878.60000000000014</v>
      </c>
      <c r="W213" s="22">
        <f t="shared" si="2069"/>
        <v>582.3999999999993</v>
      </c>
      <c r="X213" s="22">
        <f t="shared" ref="X213:Y213" si="2070">X199+X201</f>
        <v>1668.1000000000013</v>
      </c>
      <c r="Y213" s="22">
        <f t="shared" si="2070"/>
        <v>294.19999999999834</v>
      </c>
      <c r="Z213" s="22">
        <f t="shared" ref="Z213:AA213" si="2071">Z199+Z201</f>
        <v>359.00000000000273</v>
      </c>
      <c r="AA213" s="22">
        <f t="shared" si="2071"/>
        <v>1437.4999999999991</v>
      </c>
      <c r="AB213" s="21">
        <f t="shared" ref="AB213:AD213" si="2072">AB199+AB201</f>
        <v>1527.1637047837849</v>
      </c>
      <c r="AC213" s="21">
        <f t="shared" si="2072"/>
        <v>1709.4662875293866</v>
      </c>
      <c r="AD213" s="21">
        <f t="shared" si="2072"/>
        <v>1919.112450963624</v>
      </c>
      <c r="AE213" s="21">
        <f t="shared" ref="AE213" si="2073">AE199+AE201</f>
        <v>2150.7086775789439</v>
      </c>
      <c r="AI213" s="22">
        <f t="shared" ref="AI213" si="2074">AI199+AI201</f>
        <v>0</v>
      </c>
      <c r="AJ213" s="22">
        <f t="shared" ref="AJ213:AL213" si="2075">AJ199+AJ201</f>
        <v>0</v>
      </c>
      <c r="AK213" s="22" t="e">
        <f t="shared" si="2075"/>
        <v>#DIV/0!</v>
      </c>
      <c r="AL213" s="22" t="e">
        <f t="shared" si="2075"/>
        <v>#DIV/0!</v>
      </c>
      <c r="AM213" s="22" t="e">
        <f t="shared" ref="AM213" si="2076">AM199+AM201</f>
        <v>#DIV/0!</v>
      </c>
      <c r="AN213" s="22" t="e">
        <f t="shared" ref="AN213:CD213" si="2077">AN199+AN201</f>
        <v>#DIV/0!</v>
      </c>
      <c r="AO213" s="22" t="e">
        <f t="shared" si="2077"/>
        <v>#DIV/0!</v>
      </c>
      <c r="AP213" s="22" t="e">
        <f t="shared" si="2077"/>
        <v>#DIV/0!</v>
      </c>
      <c r="AQ213" s="22" t="e">
        <f t="shared" si="2077"/>
        <v>#DIV/0!</v>
      </c>
      <c r="AR213" s="22" t="e">
        <f t="shared" si="2077"/>
        <v>#DIV/0!</v>
      </c>
      <c r="AS213" s="22" t="e">
        <f t="shared" si="2077"/>
        <v>#DIV/0!</v>
      </c>
      <c r="AT213" s="22" t="e">
        <f t="shared" si="2077"/>
        <v>#DIV/0!</v>
      </c>
      <c r="AU213" s="22" t="e">
        <f t="shared" si="2077"/>
        <v>#DIV/0!</v>
      </c>
      <c r="AV213" s="22" t="e">
        <f t="shared" si="2077"/>
        <v>#DIV/0!</v>
      </c>
      <c r="AW213" s="22">
        <f t="shared" si="2077"/>
        <v>130.80000000000004</v>
      </c>
      <c r="AX213" s="22">
        <f t="shared" si="2077"/>
        <v>-1013.1999999999999</v>
      </c>
      <c r="AY213" s="22">
        <f t="shared" si="2077"/>
        <v>107.34148989268768</v>
      </c>
      <c r="AZ213" s="22">
        <f t="shared" si="2077"/>
        <v>60.858510107312497</v>
      </c>
      <c r="BA213" s="22">
        <f t="shared" si="2077"/>
        <v>116.47290628418602</v>
      </c>
      <c r="BB213" s="22">
        <f t="shared" si="2077"/>
        <v>-62.8729062841863</v>
      </c>
      <c r="BC213" s="22">
        <f t="shared" si="2077"/>
        <v>91.077619106241741</v>
      </c>
      <c r="BD213" s="22">
        <f t="shared" si="2077"/>
        <v>-122.87761910624158</v>
      </c>
      <c r="BE213" s="22">
        <f t="shared" si="2077"/>
        <v>78.921974239396093</v>
      </c>
      <c r="BF213" s="22">
        <f t="shared" si="2077"/>
        <v>152.1780257606037</v>
      </c>
      <c r="BG213" s="22">
        <f t="shared" si="2077"/>
        <v>125.32722791050449</v>
      </c>
      <c r="BH213" s="22">
        <f t="shared" si="2077"/>
        <v>279.8727720894957</v>
      </c>
      <c r="BI213" s="22">
        <f t="shared" si="2077"/>
        <v>148.69466866756176</v>
      </c>
      <c r="BJ213" s="22">
        <f t="shared" si="2077"/>
        <v>71.305331332437959</v>
      </c>
      <c r="BK213" s="22">
        <f t="shared" si="2077"/>
        <v>201.02891072891089</v>
      </c>
      <c r="BL213" s="22">
        <f t="shared" si="2077"/>
        <v>-232.42891072891123</v>
      </c>
      <c r="BM213" s="22">
        <f t="shared" si="2077"/>
        <v>190.0869624135226</v>
      </c>
      <c r="BN213" s="22">
        <f t="shared" si="2077"/>
        <v>481.41303758647763</v>
      </c>
      <c r="BO213" s="22">
        <f t="shared" si="2077"/>
        <v>241.44172542513502</v>
      </c>
      <c r="BP213" s="22">
        <f t="shared" si="2077"/>
        <v>158.15827457486495</v>
      </c>
      <c r="BQ213" s="22">
        <f t="shared" si="2077"/>
        <v>117.79969553965608</v>
      </c>
      <c r="BR213" s="22">
        <f t="shared" si="2077"/>
        <v>361.20030446034394</v>
      </c>
      <c r="BS213" s="22">
        <f t="shared" si="2077"/>
        <v>162.15400208261008</v>
      </c>
      <c r="BT213" s="22">
        <f t="shared" si="2077"/>
        <v>153.34599791739015</v>
      </c>
      <c r="BU213" s="22">
        <f t="shared" si="2077"/>
        <v>181.63735771599193</v>
      </c>
      <c r="BV213" s="22">
        <f t="shared" si="2077"/>
        <v>85.262642284007768</v>
      </c>
      <c r="BW213" s="22">
        <f t="shared" si="2077"/>
        <v>89.90074027674919</v>
      </c>
      <c r="BX213" s="22">
        <f t="shared" si="2077"/>
        <v>432.49925972325087</v>
      </c>
      <c r="BY213" s="22">
        <f t="shared" si="2077"/>
        <v>365.8749572687027</v>
      </c>
      <c r="BZ213" s="22">
        <f t="shared" si="2077"/>
        <v>779.92504273129714</v>
      </c>
      <c r="CA213" s="22">
        <f t="shared" si="2077"/>
        <v>337.85056103939979</v>
      </c>
      <c r="CB213" s="22">
        <f t="shared" si="2077"/>
        <v>-756.15056103939924</v>
      </c>
      <c r="CC213" s="22">
        <f t="shared" si="2077"/>
        <v>314.78777288916825</v>
      </c>
      <c r="CD213" s="22">
        <f t="shared" si="2077"/>
        <v>397.61222711083144</v>
      </c>
      <c r="CE213" s="22">
        <f t="shared" ref="CE213:CF213" si="2078">CE199+CE201</f>
        <v>336.59729655172396</v>
      </c>
      <c r="CF213" s="22">
        <f t="shared" si="2078"/>
        <v>-14.497296551723622</v>
      </c>
      <c r="CG213" s="22">
        <f t="shared" ref="CG213:CH213" si="2079">CG199+CG201</f>
        <v>294.21603249251774</v>
      </c>
      <c r="CH213" s="22">
        <f t="shared" si="2079"/>
        <v>-257.31603249251634</v>
      </c>
      <c r="CI213" s="22">
        <f t="shared" ref="CI213:CJ213" si="2080">CI199+CI201</f>
        <v>309.5445143680339</v>
      </c>
      <c r="CJ213" s="22">
        <f t="shared" si="2080"/>
        <v>34.555485631965723</v>
      </c>
      <c r="CK213" s="22">
        <f t="shared" ref="CK213:DB213" si="2081">CK199+CK201</f>
        <v>419.32517200872604</v>
      </c>
      <c r="CL213" s="22">
        <f t="shared" si="2081"/>
        <v>673.97482799127351</v>
      </c>
      <c r="CM213" s="21">
        <f t="shared" si="2081"/>
        <v>279.34365280720561</v>
      </c>
      <c r="CN213" s="21">
        <f t="shared" si="2081"/>
        <v>373.85295295861795</v>
      </c>
      <c r="CO213" s="21">
        <f t="shared" si="2081"/>
        <v>444.47846453409386</v>
      </c>
      <c r="CP213" s="21">
        <f t="shared" si="2081"/>
        <v>429.48863448386953</v>
      </c>
      <c r="CQ213" s="21">
        <f t="shared" si="2081"/>
        <v>299.89435896031716</v>
      </c>
      <c r="CR213" s="21">
        <f t="shared" si="2081"/>
        <v>432.95711825693979</v>
      </c>
      <c r="CS213" s="21">
        <f t="shared" si="2081"/>
        <v>498.48850260086238</v>
      </c>
      <c r="CT213" s="21">
        <f t="shared" si="2081"/>
        <v>478.1263077112668</v>
      </c>
      <c r="CU213" s="21">
        <f t="shared" si="2081"/>
        <v>339.79169118413665</v>
      </c>
      <c r="CV213" s="21">
        <f t="shared" si="2081"/>
        <v>488.30509647341796</v>
      </c>
      <c r="CW213" s="21">
        <f t="shared" si="2081"/>
        <v>556.57242115230167</v>
      </c>
      <c r="CX213" s="21">
        <f t="shared" si="2081"/>
        <v>534.44324215376832</v>
      </c>
      <c r="CY213" s="21">
        <f t="shared" si="2081"/>
        <v>385.98944776809697</v>
      </c>
      <c r="CZ213" s="21">
        <f t="shared" si="2081"/>
        <v>547.17150516267645</v>
      </c>
      <c r="DA213" s="21">
        <f t="shared" si="2081"/>
        <v>620.5760909568653</v>
      </c>
      <c r="DB213" s="21">
        <f t="shared" si="2081"/>
        <v>596.97163369130476</v>
      </c>
      <c r="DE213" s="126"/>
      <c r="DF213" s="22">
        <v>1437.4999999999991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82">SUM(AI10:AL10)</f>
        <v>0</v>
      </c>
      <c r="AM225" s="66">
        <f t="shared" si="2082"/>
        <v>0</v>
      </c>
      <c r="AN225" s="66">
        <f t="shared" si="2082"/>
        <v>0</v>
      </c>
      <c r="AO225" s="66">
        <f t="shared" si="2082"/>
        <v>0</v>
      </c>
      <c r="AP225" s="66">
        <f t="shared" si="2082"/>
        <v>0</v>
      </c>
      <c r="AQ225" s="66">
        <f t="shared" si="2082"/>
        <v>0</v>
      </c>
      <c r="AR225" s="66">
        <f t="shared" si="2082"/>
        <v>0</v>
      </c>
      <c r="AS225" s="66">
        <f t="shared" si="2082"/>
        <v>0</v>
      </c>
      <c r="AT225" s="66">
        <f t="shared" si="2082"/>
        <v>0</v>
      </c>
      <c r="AU225" s="66">
        <f t="shared" si="2082"/>
        <v>0</v>
      </c>
      <c r="AV225" s="66">
        <f t="shared" si="2082"/>
        <v>771.6</v>
      </c>
      <c r="AW225" s="66">
        <f t="shared" si="2082"/>
        <v>1551.8000000000002</v>
      </c>
      <c r="AX225" s="66">
        <f t="shared" si="2082"/>
        <v>2353.2000000000003</v>
      </c>
      <c r="AY225" s="66">
        <f t="shared" si="2082"/>
        <v>3156.1000000000004</v>
      </c>
      <c r="AZ225" s="66">
        <f t="shared" si="2082"/>
        <v>3207.2</v>
      </c>
      <c r="BA225" s="66">
        <f t="shared" si="2082"/>
        <v>3237.4</v>
      </c>
      <c r="BB225" s="66">
        <f t="shared" si="2082"/>
        <v>3248.3</v>
      </c>
      <c r="BC225" s="66">
        <f t="shared" si="2082"/>
        <v>3267.9999999999995</v>
      </c>
      <c r="BD225" s="66">
        <f t="shared" si="2082"/>
        <v>3345.8999999999996</v>
      </c>
      <c r="BE225" s="66">
        <f t="shared" si="2082"/>
        <v>3504.6</v>
      </c>
      <c r="BF225" s="66">
        <f t="shared" si="2082"/>
        <v>3747.1000000000004</v>
      </c>
      <c r="BG225" s="66">
        <f t="shared" si="2082"/>
        <v>4076.7</v>
      </c>
      <c r="BH225" s="66">
        <f t="shared" si="2082"/>
        <v>4442.2000000000007</v>
      </c>
      <c r="BI225" s="66">
        <f t="shared" si="2082"/>
        <v>4790</v>
      </c>
      <c r="BJ225" s="66">
        <f t="shared" si="2082"/>
        <v>5078.3</v>
      </c>
      <c r="BK225" s="66">
        <f t="shared" si="2082"/>
        <v>5273.6</v>
      </c>
      <c r="BL225" s="66">
        <f t="shared" si="2082"/>
        <v>5409.6</v>
      </c>
      <c r="BM225" s="66">
        <f t="shared" si="2082"/>
        <v>5515.6</v>
      </c>
      <c r="BN225" s="66">
        <f t="shared" si="2082"/>
        <v>5619.1</v>
      </c>
      <c r="BO225" s="66">
        <f t="shared" si="2082"/>
        <v>5566.3</v>
      </c>
      <c r="BP225" s="66">
        <f t="shared" si="2082"/>
        <v>5478</v>
      </c>
      <c r="BQ225" s="66">
        <f t="shared" si="2082"/>
        <v>5455.8</v>
      </c>
      <c r="BR225" s="66">
        <f t="shared" ref="BR225:CW225" si="2083">SUM(BO10:BR10)</f>
        <v>5449.7</v>
      </c>
      <c r="BS225" s="66">
        <f t="shared" si="2083"/>
        <v>5673.4</v>
      </c>
      <c r="BT225" s="66">
        <f t="shared" si="2083"/>
        <v>5967.3</v>
      </c>
      <c r="BU225" s="66">
        <f t="shared" si="2083"/>
        <v>6254.1</v>
      </c>
      <c r="BV225" s="66">
        <f t="shared" si="2083"/>
        <v>6569.7000000000007</v>
      </c>
      <c r="BW225" s="66">
        <f t="shared" si="2083"/>
        <v>7057.4999999999991</v>
      </c>
      <c r="BX225" s="66">
        <f t="shared" si="2083"/>
        <v>7731.5</v>
      </c>
      <c r="BY225" s="66">
        <f t="shared" si="2083"/>
        <v>8201</v>
      </c>
      <c r="BZ225" s="66">
        <f t="shared" si="2083"/>
        <v>8815.5</v>
      </c>
      <c r="CA225" s="66">
        <f t="shared" si="2083"/>
        <v>9110.6999999999989</v>
      </c>
      <c r="CB225" s="66">
        <f t="shared" si="2083"/>
        <v>9215.5</v>
      </c>
      <c r="CC225" s="66">
        <f t="shared" si="2083"/>
        <v>9480.2999999999993</v>
      </c>
      <c r="CD225" s="66">
        <f t="shared" si="2083"/>
        <v>9647.2000000000007</v>
      </c>
      <c r="CE225" s="66">
        <f t="shared" si="2083"/>
        <v>9807.7000000000007</v>
      </c>
      <c r="CF225" s="66">
        <f t="shared" si="2083"/>
        <v>9994.1</v>
      </c>
      <c r="CG225" s="66">
        <f t="shared" si="2083"/>
        <v>10225.299999999999</v>
      </c>
      <c r="CH225" s="66">
        <f t="shared" si="2083"/>
        <v>10325.6</v>
      </c>
      <c r="CI225" s="66">
        <f t="shared" si="2083"/>
        <v>10729.7</v>
      </c>
      <c r="CJ225" s="66">
        <f t="shared" si="2083"/>
        <v>11136.3</v>
      </c>
      <c r="CK225" s="66">
        <f t="shared" si="2083"/>
        <v>11406.8</v>
      </c>
      <c r="CL225" s="66">
        <f t="shared" si="2083"/>
        <v>11626.9</v>
      </c>
      <c r="CM225" s="50">
        <f t="shared" si="2083"/>
        <v>11933.256843324454</v>
      </c>
      <c r="CN225" s="50">
        <f t="shared" si="2083"/>
        <v>12209.103504109898</v>
      </c>
      <c r="CO225" s="50">
        <f t="shared" si="2083"/>
        <v>12431.929636526813</v>
      </c>
      <c r="CP225" s="50">
        <f t="shared" si="2083"/>
        <v>12631.364443930825</v>
      </c>
      <c r="CQ225" s="50">
        <f t="shared" si="2083"/>
        <v>12905.359083152729</v>
      </c>
      <c r="CR225" s="50">
        <f t="shared" si="2083"/>
        <v>13169.818240680763</v>
      </c>
      <c r="CS225" s="50">
        <f t="shared" si="2083"/>
        <v>13416.498451103089</v>
      </c>
      <c r="CT225" s="50">
        <f t="shared" si="2083"/>
        <v>13657.870552299477</v>
      </c>
      <c r="CU225" s="50">
        <f t="shared" si="2083"/>
        <v>13937.851268284765</v>
      </c>
      <c r="CV225" s="50">
        <f t="shared" si="2083"/>
        <v>14219.285525731666</v>
      </c>
      <c r="CW225" s="50">
        <f t="shared" si="2083"/>
        <v>14489.494561469941</v>
      </c>
      <c r="CX225" s="50">
        <f t="shared" ref="CX225:DB225" si="2084">SUM(CU10:CX10)</f>
        <v>14753.211878892746</v>
      </c>
      <c r="CY225" s="50">
        <f t="shared" si="2084"/>
        <v>15052.044894754978</v>
      </c>
      <c r="CZ225" s="50">
        <f t="shared" si="2084"/>
        <v>15355.892262496134</v>
      </c>
      <c r="DA225" s="50">
        <f t="shared" si="2084"/>
        <v>15648.685207341179</v>
      </c>
      <c r="DB225" s="50">
        <f t="shared" si="2084"/>
        <v>15933.681118417095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5">SUM(AI28:AL28)</f>
        <v>0</v>
      </c>
      <c r="AM226" s="66">
        <f t="shared" si="2085"/>
        <v>0</v>
      </c>
      <c r="AN226" s="66">
        <f t="shared" si="2085"/>
        <v>0</v>
      </c>
      <c r="AO226" s="66">
        <f t="shared" si="2085"/>
        <v>0</v>
      </c>
      <c r="AP226" s="66">
        <f t="shared" si="2085"/>
        <v>0</v>
      </c>
      <c r="AQ226" s="66">
        <f t="shared" si="2085"/>
        <v>0</v>
      </c>
      <c r="AR226" s="66">
        <f t="shared" si="2085"/>
        <v>0</v>
      </c>
      <c r="AS226" s="66">
        <f t="shared" si="2085"/>
        <v>0</v>
      </c>
      <c r="AT226" s="66">
        <f t="shared" si="2085"/>
        <v>0</v>
      </c>
      <c r="AU226" s="66">
        <f t="shared" si="2085"/>
        <v>0</v>
      </c>
      <c r="AV226" s="66">
        <f t="shared" si="2085"/>
        <v>122.5</v>
      </c>
      <c r="AW226" s="66">
        <f t="shared" si="2085"/>
        <v>276.20000000000005</v>
      </c>
      <c r="AX226" s="66">
        <f t="shared" si="2085"/>
        <v>421.6</v>
      </c>
      <c r="AY226" s="66">
        <f t="shared" si="2085"/>
        <v>570.6</v>
      </c>
      <c r="AZ226" s="66">
        <f t="shared" si="2085"/>
        <v>604.30000000000007</v>
      </c>
      <c r="BA226" s="66">
        <f t="shared" si="2085"/>
        <v>596.29999999999995</v>
      </c>
      <c r="BB226" s="66">
        <f t="shared" si="2085"/>
        <v>585.49999999999989</v>
      </c>
      <c r="BC226" s="66">
        <f t="shared" si="2085"/>
        <v>562.19999999999982</v>
      </c>
      <c r="BD226" s="66">
        <f t="shared" si="2085"/>
        <v>543.39999999999975</v>
      </c>
      <c r="BE226" s="66">
        <f t="shared" si="2085"/>
        <v>546.19999999999982</v>
      </c>
      <c r="BF226" s="66">
        <f t="shared" si="2085"/>
        <v>575.59999999999991</v>
      </c>
      <c r="BG226" s="66">
        <f t="shared" si="2085"/>
        <v>646</v>
      </c>
      <c r="BH226" s="66">
        <f t="shared" si="2085"/>
        <v>737.4</v>
      </c>
      <c r="BI226" s="66">
        <f t="shared" si="2085"/>
        <v>830.6</v>
      </c>
      <c r="BJ226" s="66">
        <f t="shared" si="2085"/>
        <v>914.69999999999993</v>
      </c>
      <c r="BK226" s="66">
        <f t="shared" si="2085"/>
        <v>991.3</v>
      </c>
      <c r="BL226" s="66">
        <f t="shared" si="2085"/>
        <v>1045.6999999999998</v>
      </c>
      <c r="BM226" s="66">
        <f t="shared" si="2085"/>
        <v>1090.3</v>
      </c>
      <c r="BN226" s="66">
        <f t="shared" si="2085"/>
        <v>1110.4999999999998</v>
      </c>
      <c r="BO226" s="66">
        <f t="shared" si="2085"/>
        <v>1043.6999999999998</v>
      </c>
      <c r="BP226" s="66">
        <f t="shared" si="2085"/>
        <v>993.3</v>
      </c>
      <c r="BQ226" s="66">
        <f t="shared" si="2085"/>
        <v>982.59999999999991</v>
      </c>
      <c r="BR226" s="66">
        <f t="shared" ref="BR226:CW226" si="2086">SUM(BO28:BR28)</f>
        <v>1007.4000000000001</v>
      </c>
      <c r="BS226" s="66">
        <f t="shared" si="2086"/>
        <v>1119.2000000000003</v>
      </c>
      <c r="BT226" s="66">
        <f t="shared" si="2086"/>
        <v>1235.7000000000003</v>
      </c>
      <c r="BU226" s="66">
        <f t="shared" si="2086"/>
        <v>1327.5000000000002</v>
      </c>
      <c r="BV226" s="66">
        <f t="shared" si="2086"/>
        <v>1414.9000000000003</v>
      </c>
      <c r="BW226" s="66">
        <f t="shared" si="2086"/>
        <v>1504.9</v>
      </c>
      <c r="BX226" s="66">
        <f t="shared" si="2086"/>
        <v>1593</v>
      </c>
      <c r="BY226" s="66">
        <f t="shared" si="2086"/>
        <v>1661.1999999999998</v>
      </c>
      <c r="BZ226" s="66">
        <f t="shared" si="2086"/>
        <v>1760.8999999999996</v>
      </c>
      <c r="CA226" s="66">
        <f t="shared" si="2086"/>
        <v>1805.9999999999998</v>
      </c>
      <c r="CB226" s="66">
        <f t="shared" si="2086"/>
        <v>1844.1999999999998</v>
      </c>
      <c r="CC226" s="66">
        <f t="shared" si="2086"/>
        <v>1896.3</v>
      </c>
      <c r="CD226" s="66">
        <f t="shared" si="2086"/>
        <v>1918.9000000000003</v>
      </c>
      <c r="CE226" s="66">
        <f t="shared" si="2086"/>
        <v>1922.3000000000002</v>
      </c>
      <c r="CF226" s="66">
        <f t="shared" si="2086"/>
        <v>1912.7000000000003</v>
      </c>
      <c r="CG226" s="66">
        <f t="shared" si="2086"/>
        <v>1919.7</v>
      </c>
      <c r="CH226" s="66">
        <f t="shared" si="2086"/>
        <v>1849.6000000000001</v>
      </c>
      <c r="CI226" s="66">
        <f t="shared" si="2086"/>
        <v>1855.8000000000002</v>
      </c>
      <c r="CJ226" s="66">
        <f t="shared" si="2086"/>
        <v>1880.6000000000004</v>
      </c>
      <c r="CK226" s="66">
        <f t="shared" si="2086"/>
        <v>1899.7000000000007</v>
      </c>
      <c r="CL226" s="66">
        <f t="shared" si="2086"/>
        <v>1988.4000000000005</v>
      </c>
      <c r="CM226" s="50">
        <f t="shared" si="2086"/>
        <v>2094.9723655027501</v>
      </c>
      <c r="CN226" s="50">
        <f t="shared" si="2086"/>
        <v>2175.7044063737007</v>
      </c>
      <c r="CO226" s="50">
        <f t="shared" si="2086"/>
        <v>2222.8237889931793</v>
      </c>
      <c r="CP226" s="50">
        <f t="shared" si="2086"/>
        <v>2248.4112624159893</v>
      </c>
      <c r="CQ226" s="50">
        <f t="shared" si="2086"/>
        <v>2292.9823928547571</v>
      </c>
      <c r="CR226" s="50">
        <f t="shared" si="2086"/>
        <v>2346.9036743832435</v>
      </c>
      <c r="CS226" s="50">
        <f t="shared" si="2086"/>
        <v>2390.7111986443301</v>
      </c>
      <c r="CT226" s="50">
        <f t="shared" si="2086"/>
        <v>2431.6025585142374</v>
      </c>
      <c r="CU226" s="50">
        <f t="shared" si="2086"/>
        <v>2481.4996871792009</v>
      </c>
      <c r="CV226" s="50">
        <f t="shared" si="2086"/>
        <v>2532.8371963758987</v>
      </c>
      <c r="CW226" s="50">
        <f t="shared" si="2086"/>
        <v>2580.6464778527434</v>
      </c>
      <c r="CX226" s="50">
        <f t="shared" ref="CX226:DB226" si="2087">SUM(CU28:CX28)</f>
        <v>2627.264750952851</v>
      </c>
      <c r="CY226" s="50">
        <f t="shared" si="2087"/>
        <v>2680.631849638014</v>
      </c>
      <c r="CZ226" s="50">
        <f t="shared" si="2087"/>
        <v>2734.9228518380742</v>
      </c>
      <c r="DA226" s="50">
        <f t="shared" si="2087"/>
        <v>2786.9651446106909</v>
      </c>
      <c r="DB226" s="50">
        <f t="shared" si="2087"/>
        <v>2837.6789934700387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8">SUM(AI41:AL41)</f>
        <v>0</v>
      </c>
      <c r="AM227" s="66">
        <f t="shared" si="2088"/>
        <v>0</v>
      </c>
      <c r="AN227" s="66">
        <f t="shared" si="2088"/>
        <v>0</v>
      </c>
      <c r="AO227" s="66">
        <f t="shared" si="2088"/>
        <v>0</v>
      </c>
      <c r="AP227" s="66">
        <f t="shared" si="2088"/>
        <v>0</v>
      </c>
      <c r="AQ227" s="66">
        <f t="shared" si="2088"/>
        <v>0</v>
      </c>
      <c r="AR227" s="66">
        <f t="shared" si="2088"/>
        <v>0</v>
      </c>
      <c r="AS227" s="66">
        <f t="shared" si="2088"/>
        <v>0</v>
      </c>
      <c r="AT227" s="66">
        <f t="shared" si="2088"/>
        <v>0</v>
      </c>
      <c r="AU227" s="66">
        <f t="shared" si="2088"/>
        <v>0</v>
      </c>
      <c r="AV227" s="66">
        <f t="shared" si="2088"/>
        <v>93.5</v>
      </c>
      <c r="AW227" s="66">
        <f t="shared" si="2088"/>
        <v>224.20000000000005</v>
      </c>
      <c r="AX227" s="66">
        <f t="shared" si="2088"/>
        <v>333.3</v>
      </c>
      <c r="AY227" s="66">
        <f t="shared" si="2088"/>
        <v>441.3</v>
      </c>
      <c r="AZ227" s="66">
        <f t="shared" si="2088"/>
        <v>459.70000000000005</v>
      </c>
      <c r="BA227" s="66">
        <f t="shared" si="2088"/>
        <v>437.59999999999991</v>
      </c>
      <c r="BB227" s="66">
        <f t="shared" si="2088"/>
        <v>424.99999999999989</v>
      </c>
      <c r="BC227" s="66">
        <f t="shared" si="2088"/>
        <v>414.99999999999983</v>
      </c>
      <c r="BD227" s="66">
        <f t="shared" si="2088"/>
        <v>426.0999999999998</v>
      </c>
      <c r="BE227" s="66">
        <f t="shared" si="2088"/>
        <v>443.99999999999983</v>
      </c>
      <c r="BF227" s="66">
        <f t="shared" si="2088"/>
        <v>506.59999999999991</v>
      </c>
      <c r="BG227" s="66">
        <f t="shared" si="2088"/>
        <v>606.70000000000005</v>
      </c>
      <c r="BH227" s="66">
        <f t="shared" si="2088"/>
        <v>675.5</v>
      </c>
      <c r="BI227" s="66">
        <f t="shared" si="2088"/>
        <v>735.1</v>
      </c>
      <c r="BJ227" s="66">
        <f t="shared" si="2088"/>
        <v>768.39999999999986</v>
      </c>
      <c r="BK227" s="66">
        <f t="shared" si="2088"/>
        <v>774.4</v>
      </c>
      <c r="BL227" s="66">
        <f t="shared" si="2088"/>
        <v>788.79999999999973</v>
      </c>
      <c r="BM227" s="66">
        <f t="shared" si="2088"/>
        <v>808.5</v>
      </c>
      <c r="BN227" s="66">
        <f t="shared" si="2088"/>
        <v>822.39999999999986</v>
      </c>
      <c r="BO227" s="66">
        <f t="shared" si="2088"/>
        <v>736.29999999999984</v>
      </c>
      <c r="BP227" s="66">
        <f t="shared" si="2088"/>
        <v>696.4</v>
      </c>
      <c r="BQ227" s="66">
        <f t="shared" si="2088"/>
        <v>677.49999999999989</v>
      </c>
      <c r="BR227" s="66">
        <f t="shared" ref="BR227:CW227" si="2089">SUM(BO41:BR41)</f>
        <v>666.50000000000011</v>
      </c>
      <c r="BS227" s="66">
        <f t="shared" si="2089"/>
        <v>765.50000000000023</v>
      </c>
      <c r="BT227" s="66">
        <f t="shared" si="2089"/>
        <v>830.00000000000023</v>
      </c>
      <c r="BU227" s="66">
        <f t="shared" si="2089"/>
        <v>892.70000000000027</v>
      </c>
      <c r="BV227" s="66">
        <f t="shared" si="2089"/>
        <v>960.60000000000025</v>
      </c>
      <c r="BW227" s="66">
        <f t="shared" si="2089"/>
        <v>1019.8000000000001</v>
      </c>
      <c r="BX227" s="66">
        <f t="shared" si="2089"/>
        <v>1089.5999999999999</v>
      </c>
      <c r="BY227" s="66">
        <f t="shared" si="2089"/>
        <v>1138.1999999999998</v>
      </c>
      <c r="BZ227" s="66">
        <f t="shared" si="2089"/>
        <v>1216.3999999999996</v>
      </c>
      <c r="CA227" s="66">
        <f t="shared" si="2089"/>
        <v>1252.2999999999997</v>
      </c>
      <c r="CB227" s="66">
        <f t="shared" si="2089"/>
        <v>1267.5999999999997</v>
      </c>
      <c r="CC227" s="66">
        <f t="shared" si="2089"/>
        <v>1306.1999999999998</v>
      </c>
      <c r="CD227" s="66">
        <f t="shared" si="2089"/>
        <v>1306.2000000000003</v>
      </c>
      <c r="CE227" s="66">
        <f t="shared" si="2089"/>
        <v>1308</v>
      </c>
      <c r="CF227" s="66">
        <f t="shared" si="2089"/>
        <v>1312.1000000000004</v>
      </c>
      <c r="CG227" s="66">
        <f t="shared" si="2089"/>
        <v>1294.8</v>
      </c>
      <c r="CH227" s="66">
        <f t="shared" si="2089"/>
        <v>1232.9000000000001</v>
      </c>
      <c r="CI227" s="66">
        <f t="shared" si="2089"/>
        <v>1235.1000000000001</v>
      </c>
      <c r="CJ227" s="66">
        <f t="shared" si="2089"/>
        <v>1244.3000000000002</v>
      </c>
      <c r="CK227" s="66">
        <f t="shared" si="2089"/>
        <v>1263.3000000000006</v>
      </c>
      <c r="CL227" s="66">
        <f t="shared" si="2089"/>
        <v>1340.8000000000006</v>
      </c>
      <c r="CM227" s="50">
        <f t="shared" si="2089"/>
        <v>1408.8399158657539</v>
      </c>
      <c r="CN227" s="50">
        <f t="shared" si="2089"/>
        <v>1472.549460587049</v>
      </c>
      <c r="CO227" s="50">
        <f t="shared" si="2089"/>
        <v>1526.4446227072608</v>
      </c>
      <c r="CP227" s="50">
        <f t="shared" si="2089"/>
        <v>1556.444198024773</v>
      </c>
      <c r="CQ227" s="50">
        <f t="shared" si="2089"/>
        <v>1614.2298506283803</v>
      </c>
      <c r="CR227" s="50">
        <f t="shared" si="2089"/>
        <v>1676.8548537251468</v>
      </c>
      <c r="CS227" s="50">
        <f t="shared" si="2089"/>
        <v>1729.9691456360354</v>
      </c>
      <c r="CT227" s="50">
        <f t="shared" si="2089"/>
        <v>1781.4437973159515</v>
      </c>
      <c r="CU227" s="50">
        <f t="shared" si="2089"/>
        <v>1840.1279652458475</v>
      </c>
      <c r="CV227" s="50">
        <f t="shared" si="2089"/>
        <v>1899.3377678628494</v>
      </c>
      <c r="CW227" s="50">
        <f t="shared" si="2089"/>
        <v>1955.8496772110236</v>
      </c>
      <c r="CX227" s="50">
        <f t="shared" ref="CX227:DB227" si="2090">SUM(CU41:CX41)</f>
        <v>2011.9267152443058</v>
      </c>
      <c r="CY227" s="50">
        <f t="shared" si="2090"/>
        <v>2073.4124633261254</v>
      </c>
      <c r="CZ227" s="50">
        <f t="shared" si="2090"/>
        <v>2135.7217850482439</v>
      </c>
      <c r="DA227" s="50">
        <f t="shared" si="2090"/>
        <v>2196.7507475631814</v>
      </c>
      <c r="DB227" s="50">
        <f t="shared" si="2090"/>
        <v>2257.3300120539516</v>
      </c>
      <c r="DE227" s="138"/>
    </row>
    <row r="228" spans="1:110" s="93" customFormat="1" x14ac:dyDescent="0.2">
      <c r="AB228" s="30"/>
      <c r="AC228" s="30"/>
      <c r="AD228" s="30"/>
      <c r="AE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091">B8-B237</f>
        <v>0</v>
      </c>
      <c r="C231" s="64">
        <f t="shared" si="2091"/>
        <v>0</v>
      </c>
      <c r="D231" s="64">
        <f t="shared" si="2091"/>
        <v>0</v>
      </c>
      <c r="E231" s="64">
        <f t="shared" si="2091"/>
        <v>0</v>
      </c>
      <c r="F231" s="64">
        <f t="shared" si="2091"/>
        <v>0</v>
      </c>
      <c r="G231" s="64">
        <f t="shared" si="2091"/>
        <v>0</v>
      </c>
      <c r="H231" s="64">
        <f t="shared" si="2091"/>
        <v>0</v>
      </c>
      <c r="I231" s="64">
        <f t="shared" si="2091"/>
        <v>0</v>
      </c>
      <c r="J231" s="64">
        <f t="shared" si="2091"/>
        <v>0</v>
      </c>
      <c r="K231" s="64">
        <f t="shared" si="2091"/>
        <v>0</v>
      </c>
      <c r="L231" s="64">
        <f t="shared" si="2091"/>
        <v>0</v>
      </c>
      <c r="M231" s="64">
        <f t="shared" si="2091"/>
        <v>0</v>
      </c>
      <c r="N231" s="64">
        <f t="shared" si="2091"/>
        <v>0</v>
      </c>
      <c r="O231" s="64">
        <f t="shared" si="2091"/>
        <v>126.17</v>
      </c>
      <c r="P231" s="64">
        <f t="shared" si="2091"/>
        <v>2618.627</v>
      </c>
      <c r="Q231" s="64">
        <f t="shared" si="2091"/>
        <v>3066.2</v>
      </c>
      <c r="R231" s="64">
        <f t="shared" si="2091"/>
        <v>3248.3</v>
      </c>
      <c r="S231" s="64">
        <f t="shared" si="2091"/>
        <v>3747.1</v>
      </c>
      <c r="T231" s="64">
        <f t="shared" si="2091"/>
        <v>5078.3</v>
      </c>
      <c r="U231" s="64">
        <f t="shared" si="2091"/>
        <v>5619.1</v>
      </c>
      <c r="V231" s="64">
        <f t="shared" si="2091"/>
        <v>5449.7</v>
      </c>
      <c r="W231" s="64">
        <f t="shared" si="2091"/>
        <v>6569.7</v>
      </c>
      <c r="X231" s="64">
        <f t="shared" si="2091"/>
        <v>8815.5</v>
      </c>
      <c r="Y231" s="64">
        <f t="shared" si="2091"/>
        <v>9647.2999999999993</v>
      </c>
      <c r="Z231" s="64">
        <f t="shared" si="2091"/>
        <v>9642.2000000000007</v>
      </c>
      <c r="AA231" s="64">
        <f t="shared" ref="AA231" si="2092">AA8-AA237</f>
        <v>10995.9</v>
      </c>
      <c r="AB231" s="30"/>
      <c r="AC231" s="30"/>
      <c r="AD231" s="30"/>
      <c r="AE231" s="30"/>
      <c r="AI231" s="64">
        <f t="shared" ref="AI231:BN231" si="2093">AI8-AI237</f>
        <v>0</v>
      </c>
      <c r="AJ231" s="64">
        <f t="shared" si="2093"/>
        <v>0</v>
      </c>
      <c r="AK231" s="64">
        <f t="shared" si="2093"/>
        <v>0</v>
      </c>
      <c r="AL231" s="64">
        <f t="shared" si="2093"/>
        <v>0</v>
      </c>
      <c r="AM231" s="64">
        <f t="shared" si="2093"/>
        <v>0</v>
      </c>
      <c r="AN231" s="64">
        <f t="shared" si="2093"/>
        <v>0</v>
      </c>
      <c r="AO231" s="64">
        <f t="shared" si="2093"/>
        <v>0</v>
      </c>
      <c r="AP231" s="64">
        <f t="shared" si="2093"/>
        <v>0</v>
      </c>
      <c r="AQ231" s="64">
        <f t="shared" si="2093"/>
        <v>0</v>
      </c>
      <c r="AR231" s="64">
        <f t="shared" si="2093"/>
        <v>0</v>
      </c>
      <c r="AS231" s="64">
        <f t="shared" si="2093"/>
        <v>0</v>
      </c>
      <c r="AT231" s="64">
        <f t="shared" si="2093"/>
        <v>0</v>
      </c>
      <c r="AU231" s="64">
        <f t="shared" si="2093"/>
        <v>0</v>
      </c>
      <c r="AV231" s="64">
        <f t="shared" si="2093"/>
        <v>771.6</v>
      </c>
      <c r="AW231" s="64">
        <f t="shared" si="2093"/>
        <v>780.2</v>
      </c>
      <c r="AX231" s="64">
        <f t="shared" si="2093"/>
        <v>801.4</v>
      </c>
      <c r="AY231" s="64">
        <f t="shared" si="2093"/>
        <v>802.9</v>
      </c>
      <c r="AZ231" s="64">
        <f t="shared" si="2093"/>
        <v>822.7</v>
      </c>
      <c r="BA231" s="64">
        <f t="shared" si="2093"/>
        <v>810.4</v>
      </c>
      <c r="BB231" s="64">
        <f t="shared" si="2093"/>
        <v>812.3</v>
      </c>
      <c r="BC231" s="64">
        <f t="shared" si="2093"/>
        <v>822.6</v>
      </c>
      <c r="BD231" s="64">
        <f t="shared" si="2093"/>
        <v>900.6</v>
      </c>
      <c r="BE231" s="64">
        <f t="shared" si="2093"/>
        <v>969.1</v>
      </c>
      <c r="BF231" s="64">
        <f t="shared" si="2093"/>
        <v>1054.8</v>
      </c>
      <c r="BG231" s="64">
        <f t="shared" si="2093"/>
        <v>1152.2</v>
      </c>
      <c r="BH231" s="64">
        <f t="shared" si="2093"/>
        <v>1266.0999999999999</v>
      </c>
      <c r="BI231" s="64">
        <f t="shared" si="2093"/>
        <v>1316.9</v>
      </c>
      <c r="BJ231" s="64">
        <f t="shared" si="2093"/>
        <v>1343.1</v>
      </c>
      <c r="BK231" s="64">
        <f t="shared" si="2093"/>
        <v>1347.5</v>
      </c>
      <c r="BL231" s="64">
        <f t="shared" si="2093"/>
        <v>1402.1</v>
      </c>
      <c r="BM231" s="64">
        <f t="shared" si="2093"/>
        <v>1422.9</v>
      </c>
      <c r="BN231" s="64">
        <f t="shared" si="2093"/>
        <v>1446.6</v>
      </c>
      <c r="BO231" s="64">
        <f t="shared" ref="BO231:CT231" si="2094">BO8-BO237</f>
        <v>1294.7</v>
      </c>
      <c r="BP231" s="64">
        <f t="shared" si="2094"/>
        <v>1313.8</v>
      </c>
      <c r="BQ231" s="64">
        <f t="shared" si="2094"/>
        <v>1400.7</v>
      </c>
      <c r="BR231" s="64">
        <f t="shared" si="2094"/>
        <v>1440.5</v>
      </c>
      <c r="BS231" s="64">
        <f t="shared" si="2094"/>
        <v>1518.4</v>
      </c>
      <c r="BT231" s="64">
        <f t="shared" si="2094"/>
        <v>1607.7</v>
      </c>
      <c r="BU231" s="64">
        <f t="shared" si="2094"/>
        <v>1687.5</v>
      </c>
      <c r="BV231" s="64">
        <f t="shared" si="2094"/>
        <v>1756.1</v>
      </c>
      <c r="BW231" s="64">
        <f t="shared" si="2094"/>
        <v>2006.2</v>
      </c>
      <c r="BX231" s="64">
        <f t="shared" si="2094"/>
        <v>2281.6999999999998</v>
      </c>
      <c r="BY231" s="64">
        <f t="shared" si="2094"/>
        <v>2157</v>
      </c>
      <c r="BZ231" s="64">
        <f t="shared" si="2094"/>
        <v>2370.6</v>
      </c>
      <c r="CA231" s="64">
        <f t="shared" si="2094"/>
        <v>2301.4</v>
      </c>
      <c r="CB231" s="64">
        <f t="shared" si="2094"/>
        <v>2386.5</v>
      </c>
      <c r="CC231" s="64">
        <f t="shared" si="2094"/>
        <v>2421.8000000000002</v>
      </c>
      <c r="CD231" s="64">
        <f t="shared" si="2094"/>
        <v>2537.5</v>
      </c>
      <c r="CE231" s="64">
        <f t="shared" si="2094"/>
        <v>2461.9</v>
      </c>
      <c r="CF231" s="64">
        <f t="shared" si="2094"/>
        <v>2572.9</v>
      </c>
      <c r="CG231" s="64">
        <f t="shared" si="2094"/>
        <v>2653</v>
      </c>
      <c r="CH231" s="64">
        <f t="shared" si="2094"/>
        <v>2637.8</v>
      </c>
      <c r="CI231" s="64">
        <f t="shared" si="2094"/>
        <v>2866</v>
      </c>
      <c r="CJ231" s="64">
        <f t="shared" si="2094"/>
        <v>2979.5</v>
      </c>
      <c r="CK231" s="64">
        <f t="shared" si="2094"/>
        <v>2923.5</v>
      </c>
      <c r="CL231" s="64">
        <f t="shared" ref="CL231" si="2095">CL8-CL237</f>
        <v>2857.9</v>
      </c>
      <c r="CM231" s="30">
        <f t="shared" si="2094"/>
        <v>3172.3568433244541</v>
      </c>
      <c r="CN231" s="30">
        <f t="shared" si="2094"/>
        <v>3255.3466607854439</v>
      </c>
      <c r="CO231" s="30">
        <f t="shared" si="2094"/>
        <v>3146.3261324169148</v>
      </c>
      <c r="CP231" s="30">
        <f t="shared" si="2094"/>
        <v>3057.3348074040118</v>
      </c>
      <c r="CQ231" s="30">
        <f t="shared" si="2094"/>
        <v>3446.3514825463599</v>
      </c>
      <c r="CR231" s="30">
        <f t="shared" si="2094"/>
        <v>3519.8058183134758</v>
      </c>
      <c r="CS231" s="30">
        <f t="shared" si="2094"/>
        <v>3393.0063428392414</v>
      </c>
      <c r="CT231" s="30">
        <f t="shared" si="2094"/>
        <v>3298.7069086003999</v>
      </c>
      <c r="CU231" s="30">
        <f t="shared" ref="CU231:DB231" si="2096">CU8-CU237</f>
        <v>3726.3321985316484</v>
      </c>
      <c r="CV231" s="30">
        <f t="shared" si="2096"/>
        <v>3801.2400757603755</v>
      </c>
      <c r="CW231" s="30">
        <f t="shared" si="2096"/>
        <v>3663.2153785775172</v>
      </c>
      <c r="CX231" s="30">
        <f t="shared" si="2096"/>
        <v>3562.4242260232045</v>
      </c>
      <c r="CY231" s="30">
        <f t="shared" si="2096"/>
        <v>4025.16521439388</v>
      </c>
      <c r="CZ231" s="30">
        <f t="shared" si="2096"/>
        <v>4105.087443501533</v>
      </c>
      <c r="DA231" s="30">
        <f t="shared" si="2096"/>
        <v>3956.0083234225608</v>
      </c>
      <c r="DB231" s="30">
        <f t="shared" si="2096"/>
        <v>3847.4201370991204</v>
      </c>
      <c r="DE231" s="139"/>
      <c r="DF231" s="64">
        <v>10995.9</v>
      </c>
    </row>
    <row r="232" spans="1:110" s="64" customFormat="1" hidden="1" outlineLevel="1" x14ac:dyDescent="0.2">
      <c r="A232" s="64" t="s">
        <v>475</v>
      </c>
      <c r="B232" s="64">
        <f t="shared" ref="B232:Z232" si="2097">B28-B238</f>
        <v>0</v>
      </c>
      <c r="C232" s="64">
        <f t="shared" si="2097"/>
        <v>0</v>
      </c>
      <c r="D232" s="64">
        <f t="shared" si="2097"/>
        <v>0</v>
      </c>
      <c r="E232" s="64">
        <f t="shared" si="2097"/>
        <v>0</v>
      </c>
      <c r="F232" s="64">
        <f t="shared" si="2097"/>
        <v>0</v>
      </c>
      <c r="G232" s="64">
        <f t="shared" si="2097"/>
        <v>0</v>
      </c>
      <c r="H232" s="64">
        <f t="shared" si="2097"/>
        <v>0</v>
      </c>
      <c r="I232" s="64">
        <f t="shared" si="2097"/>
        <v>0</v>
      </c>
      <c r="J232" s="64">
        <f t="shared" si="2097"/>
        <v>0</v>
      </c>
      <c r="K232" s="64">
        <f t="shared" si="2097"/>
        <v>0</v>
      </c>
      <c r="L232" s="64">
        <f t="shared" si="2097"/>
        <v>0</v>
      </c>
      <c r="M232" s="64">
        <f t="shared" si="2097"/>
        <v>0</v>
      </c>
      <c r="N232" s="64">
        <f t="shared" si="2097"/>
        <v>-3.0000000000000001E-3</v>
      </c>
      <c r="O232" s="64">
        <f t="shared" si="2097"/>
        <v>15.579999999999998</v>
      </c>
      <c r="P232" s="64">
        <f t="shared" si="2097"/>
        <v>398.73599999999988</v>
      </c>
      <c r="Q232" s="64">
        <f t="shared" si="2097"/>
        <v>519.39999999999964</v>
      </c>
      <c r="R232" s="64">
        <f t="shared" si="2097"/>
        <v>564.40000000000009</v>
      </c>
      <c r="S232" s="64">
        <f t="shared" si="2097"/>
        <v>562.90000000000009</v>
      </c>
      <c r="T232" s="64">
        <f t="shared" si="2097"/>
        <v>914.59999999999945</v>
      </c>
      <c r="U232" s="64">
        <f t="shared" si="2097"/>
        <v>1108.3999999999996</v>
      </c>
      <c r="V232" s="64">
        <f t="shared" si="2097"/>
        <v>966.80000000000018</v>
      </c>
      <c r="W232" s="64">
        <f t="shared" si="2097"/>
        <v>1382.0999999999995</v>
      </c>
      <c r="X232" s="64">
        <f t="shared" si="2097"/>
        <v>1746.4000000000015</v>
      </c>
      <c r="Y232" s="64">
        <f t="shared" si="2097"/>
        <v>1907.4999999999991</v>
      </c>
      <c r="Z232" s="64">
        <f t="shared" si="2097"/>
        <v>1786.5</v>
      </c>
      <c r="AA232" s="64">
        <f t="shared" ref="AA232" si="2098">AA28-AA238</f>
        <v>1910.1000000000004</v>
      </c>
      <c r="AB232" s="30"/>
      <c r="AC232" s="30"/>
      <c r="AD232" s="30"/>
      <c r="AE232" s="30"/>
      <c r="AI232" s="64">
        <f t="shared" ref="AI232:BN232" si="2099">AI28-AI238</f>
        <v>0</v>
      </c>
      <c r="AJ232" s="64">
        <f t="shared" si="2099"/>
        <v>0</v>
      </c>
      <c r="AK232" s="64">
        <f t="shared" si="2099"/>
        <v>0</v>
      </c>
      <c r="AL232" s="64">
        <f t="shared" si="2099"/>
        <v>0</v>
      </c>
      <c r="AM232" s="64">
        <f t="shared" si="2099"/>
        <v>0</v>
      </c>
      <c r="AN232" s="64">
        <f t="shared" si="2099"/>
        <v>0</v>
      </c>
      <c r="AO232" s="64">
        <f t="shared" si="2099"/>
        <v>0</v>
      </c>
      <c r="AP232" s="64">
        <f t="shared" si="2099"/>
        <v>0</v>
      </c>
      <c r="AQ232" s="64">
        <f t="shared" si="2099"/>
        <v>0</v>
      </c>
      <c r="AR232" s="64">
        <f t="shared" si="2099"/>
        <v>0</v>
      </c>
      <c r="AS232" s="64">
        <f t="shared" si="2099"/>
        <v>0</v>
      </c>
      <c r="AT232" s="64">
        <f t="shared" si="2099"/>
        <v>0</v>
      </c>
      <c r="AU232" s="64">
        <f t="shared" si="2099"/>
        <v>0</v>
      </c>
      <c r="AV232" s="64">
        <f t="shared" si="2099"/>
        <v>122.5</v>
      </c>
      <c r="AW232" s="64">
        <f t="shared" si="2099"/>
        <v>153.70000000000005</v>
      </c>
      <c r="AX232" s="64">
        <f t="shared" si="2099"/>
        <v>145.39999999999998</v>
      </c>
      <c r="AY232" s="64">
        <f t="shared" si="2099"/>
        <v>149</v>
      </c>
      <c r="AZ232" s="64">
        <f t="shared" si="2099"/>
        <v>156.20000000000005</v>
      </c>
      <c r="BA232" s="64">
        <f t="shared" si="2099"/>
        <v>145.69999999999993</v>
      </c>
      <c r="BB232" s="64">
        <f t="shared" si="2099"/>
        <v>134.59999999999991</v>
      </c>
      <c r="BC232" s="64">
        <f t="shared" si="2099"/>
        <v>125.69999999999993</v>
      </c>
      <c r="BD232" s="64">
        <f t="shared" si="2099"/>
        <v>137.39999999999998</v>
      </c>
      <c r="BE232" s="64">
        <f t="shared" si="2099"/>
        <v>148.5</v>
      </c>
      <c r="BF232" s="64">
        <f t="shared" si="2099"/>
        <v>164</v>
      </c>
      <c r="BG232" s="64">
        <f t="shared" si="2099"/>
        <v>196.10000000000002</v>
      </c>
      <c r="BH232" s="64">
        <f t="shared" si="2099"/>
        <v>228.79999999999995</v>
      </c>
      <c r="BI232" s="64">
        <f t="shared" si="2099"/>
        <v>241.70000000000005</v>
      </c>
      <c r="BJ232" s="64">
        <f t="shared" si="2099"/>
        <v>248.09999999999991</v>
      </c>
      <c r="BK232" s="64">
        <f t="shared" si="2099"/>
        <v>272.70000000000005</v>
      </c>
      <c r="BL232" s="64">
        <f t="shared" si="2099"/>
        <v>283.19999999999982</v>
      </c>
      <c r="BM232" s="64">
        <f t="shared" si="2099"/>
        <v>286.30000000000018</v>
      </c>
      <c r="BN232" s="64">
        <f t="shared" si="2099"/>
        <v>268.29999999999973</v>
      </c>
      <c r="BO232" s="64">
        <f t="shared" ref="BO232:CT232" si="2100">BO28-BO238</f>
        <v>205.90000000000009</v>
      </c>
      <c r="BP232" s="64">
        <f t="shared" si="2100"/>
        <v>232.79999999999995</v>
      </c>
      <c r="BQ232" s="64">
        <f t="shared" si="2100"/>
        <v>275.60000000000014</v>
      </c>
      <c r="BR232" s="64">
        <f t="shared" si="2100"/>
        <v>293.09999999999991</v>
      </c>
      <c r="BS232" s="64">
        <f t="shared" si="2100"/>
        <v>317.70000000000027</v>
      </c>
      <c r="BT232" s="64">
        <f t="shared" si="2100"/>
        <v>349.29999999999995</v>
      </c>
      <c r="BU232" s="64">
        <f t="shared" si="2100"/>
        <v>367.40000000000009</v>
      </c>
      <c r="BV232" s="64">
        <f t="shared" si="2100"/>
        <v>380.5</v>
      </c>
      <c r="BW232" s="64">
        <f t="shared" si="2100"/>
        <v>407.70000000000005</v>
      </c>
      <c r="BX232" s="64">
        <f t="shared" si="2100"/>
        <v>437.39999999999986</v>
      </c>
      <c r="BY232" s="64">
        <f t="shared" si="2100"/>
        <v>435.59999999999991</v>
      </c>
      <c r="BZ232" s="64">
        <f t="shared" si="2100"/>
        <v>480.19999999999982</v>
      </c>
      <c r="CA232" s="64">
        <f t="shared" si="2100"/>
        <v>452.80000000000018</v>
      </c>
      <c r="CB232" s="64">
        <f t="shared" si="2100"/>
        <v>475.59999999999991</v>
      </c>
      <c r="CC232" s="64">
        <f t="shared" si="2100"/>
        <v>487.70000000000005</v>
      </c>
      <c r="CD232" s="64">
        <f t="shared" si="2100"/>
        <v>502.80000000000018</v>
      </c>
      <c r="CE232" s="64">
        <f t="shared" si="2100"/>
        <v>456.20000000000005</v>
      </c>
      <c r="CF232" s="64">
        <f t="shared" si="2100"/>
        <v>466</v>
      </c>
      <c r="CG232" s="64">
        <f t="shared" si="2100"/>
        <v>494.69999999999982</v>
      </c>
      <c r="CH232" s="64">
        <f t="shared" si="2100"/>
        <v>432.70000000000027</v>
      </c>
      <c r="CI232" s="64">
        <f t="shared" si="2100"/>
        <v>462.40000000000009</v>
      </c>
      <c r="CJ232" s="64">
        <f t="shared" si="2100"/>
        <v>490.80000000000018</v>
      </c>
      <c r="CK232" s="64">
        <f t="shared" si="2100"/>
        <v>513.80000000000018</v>
      </c>
      <c r="CL232" s="64">
        <f t="shared" ref="CL232" si="2101">CL28-CL238</f>
        <v>521.40000000000009</v>
      </c>
      <c r="CM232" s="30">
        <f t="shared" si="2100"/>
        <v>568.97236550274965</v>
      </c>
      <c r="CN232" s="30">
        <f t="shared" si="2100"/>
        <v>571.53204087095082</v>
      </c>
      <c r="CO232" s="30">
        <f t="shared" si="2100"/>
        <v>560.91938261947871</v>
      </c>
      <c r="CP232" s="30">
        <f t="shared" si="2100"/>
        <v>546.98747342281013</v>
      </c>
      <c r="CQ232" s="30">
        <f t="shared" si="2100"/>
        <v>613.54349594151745</v>
      </c>
      <c r="CR232" s="30">
        <f t="shared" si="2100"/>
        <v>625.45332239943718</v>
      </c>
      <c r="CS232" s="30">
        <f t="shared" si="2100"/>
        <v>604.72690688056537</v>
      </c>
      <c r="CT232" s="30">
        <f t="shared" si="2100"/>
        <v>587.87883329271745</v>
      </c>
      <c r="CU232" s="30">
        <f t="shared" ref="CU232:DB232" si="2102">CU28-CU238</f>
        <v>663.44062460648092</v>
      </c>
      <c r="CV232" s="30">
        <f t="shared" si="2102"/>
        <v>676.79083159613492</v>
      </c>
      <c r="CW232" s="30">
        <f t="shared" si="2102"/>
        <v>652.53618835741008</v>
      </c>
      <c r="CX232" s="30">
        <f t="shared" si="2102"/>
        <v>634.49710639282512</v>
      </c>
      <c r="CY232" s="30">
        <f t="shared" si="2102"/>
        <v>716.80772329164392</v>
      </c>
      <c r="CZ232" s="30">
        <f t="shared" si="2102"/>
        <v>731.08183379619504</v>
      </c>
      <c r="DA232" s="30">
        <f t="shared" si="2102"/>
        <v>704.57848113002683</v>
      </c>
      <c r="DB232" s="30">
        <f t="shared" si="2102"/>
        <v>685.21095525217288</v>
      </c>
      <c r="DE232" s="139"/>
      <c r="DF232" s="64">
        <v>1910.1000000000004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03">+C232/C231</f>
        <v>#DIV/0!</v>
      </c>
      <c r="D233" s="86" t="e">
        <f t="shared" ref="D233" si="2104">+D232/D231</f>
        <v>#DIV/0!</v>
      </c>
      <c r="E233" s="86" t="e">
        <f t="shared" ref="E233" si="2105">+E232/E231</f>
        <v>#DIV/0!</v>
      </c>
      <c r="F233" s="86" t="e">
        <f t="shared" ref="F233" si="2106">+F232/F231</f>
        <v>#DIV/0!</v>
      </c>
      <c r="G233" s="86" t="e">
        <f t="shared" ref="G233" si="2107">+G232/G231</f>
        <v>#DIV/0!</v>
      </c>
      <c r="H233" s="86" t="e">
        <f t="shared" ref="H233" si="2108">+H232/H231</f>
        <v>#DIV/0!</v>
      </c>
      <c r="I233" s="86" t="e">
        <f t="shared" ref="I233" si="2109">+I232/I231</f>
        <v>#DIV/0!</v>
      </c>
      <c r="J233" s="86" t="e">
        <f t="shared" ref="J233" si="2110">+J232/J231</f>
        <v>#DIV/0!</v>
      </c>
      <c r="K233" s="86" t="e">
        <f t="shared" ref="K233" si="2111">+K232/K231</f>
        <v>#DIV/0!</v>
      </c>
      <c r="L233" s="86" t="e">
        <f t="shared" ref="L233" si="2112">+L232/L231</f>
        <v>#DIV/0!</v>
      </c>
      <c r="M233" s="86" t="e">
        <f t="shared" ref="M233" si="2113">+M232/M231</f>
        <v>#DIV/0!</v>
      </c>
      <c r="N233" s="86" t="e">
        <f t="shared" ref="N233" si="2114">+N232/N231</f>
        <v>#DIV/0!</v>
      </c>
      <c r="O233" s="86">
        <f t="shared" ref="O233" si="2115">+O232/O231</f>
        <v>0.12348418800031702</v>
      </c>
      <c r="P233" s="86">
        <f t="shared" ref="P233" si="2116">+P232/P231</f>
        <v>0.15226910896435417</v>
      </c>
      <c r="Q233" s="86">
        <f t="shared" ref="Q233" si="2117">+Q232/Q231</f>
        <v>0.16939534276955179</v>
      </c>
      <c r="R233" s="86">
        <f t="shared" ref="R233" si="2118">+R232/R231</f>
        <v>0.17375242434504204</v>
      </c>
      <c r="S233" s="86">
        <f t="shared" ref="S233" si="2119">+S232/S231</f>
        <v>0.15022283899548988</v>
      </c>
      <c r="T233" s="86">
        <f t="shared" ref="T233" si="2120">+T232/T231</f>
        <v>0.18009963964318756</v>
      </c>
      <c r="U233" s="86">
        <f t="shared" ref="U233" si="2121">+U232/U231</f>
        <v>0.19725578829349888</v>
      </c>
      <c r="V233" s="86">
        <f t="shared" ref="V233" si="2122">+V232/V231</f>
        <v>0.17740426078499738</v>
      </c>
      <c r="W233" s="86">
        <f t="shared" ref="W233" si="2123">+W232/W231</f>
        <v>0.21037490296360556</v>
      </c>
      <c r="X233" s="86">
        <f t="shared" ref="X233:Y233" si="2124">+X232/X231</f>
        <v>0.19810560943792202</v>
      </c>
      <c r="Y233" s="86">
        <f t="shared" si="2124"/>
        <v>0.19772371544369918</v>
      </c>
      <c r="Z233" s="86">
        <f t="shared" ref="Z233:AA233" si="2125">+Z232/Z231</f>
        <v>0.18527929310738211</v>
      </c>
      <c r="AA233" s="86">
        <f t="shared" si="2125"/>
        <v>0.17371020107494617</v>
      </c>
      <c r="AB233" s="87"/>
      <c r="AC233" s="87"/>
      <c r="AD233" s="87"/>
      <c r="AE233" s="87"/>
      <c r="AF233" s="86"/>
      <c r="AG233" s="86"/>
      <c r="AH233" s="86"/>
      <c r="AI233" s="86" t="e">
        <f t="shared" ref="AI233" si="2126">+AI232/AI231</f>
        <v>#DIV/0!</v>
      </c>
      <c r="AJ233" s="86" t="e">
        <f t="shared" ref="AJ233" si="2127">+AJ232/AJ231</f>
        <v>#DIV/0!</v>
      </c>
      <c r="AK233" s="86" t="e">
        <f t="shared" ref="AK233" si="2128">+AK232/AK231</f>
        <v>#DIV/0!</v>
      </c>
      <c r="AL233" s="86" t="e">
        <f t="shared" ref="AL233" si="2129">+AL232/AL231</f>
        <v>#DIV/0!</v>
      </c>
      <c r="AM233" s="86" t="e">
        <f t="shared" ref="AM233" si="2130">+AM232/AM231</f>
        <v>#DIV/0!</v>
      </c>
      <c r="AN233" s="86" t="e">
        <f t="shared" ref="AN233" si="2131">+AN232/AN231</f>
        <v>#DIV/0!</v>
      </c>
      <c r="AO233" s="86" t="e">
        <f t="shared" ref="AO233" si="2132">+AO232/AO231</f>
        <v>#DIV/0!</v>
      </c>
      <c r="AP233" s="86" t="e">
        <f t="shared" ref="AP233" si="2133">+AP232/AP231</f>
        <v>#DIV/0!</v>
      </c>
      <c r="AQ233" s="86" t="e">
        <f t="shared" ref="AQ233" si="2134">+AQ232/AQ231</f>
        <v>#DIV/0!</v>
      </c>
      <c r="AR233" s="86" t="e">
        <f t="shared" ref="AR233" si="2135">+AR232/AR231</f>
        <v>#DIV/0!</v>
      </c>
      <c r="AS233" s="86" t="e">
        <f t="shared" ref="AS233" si="2136">+AS232/AS231</f>
        <v>#DIV/0!</v>
      </c>
      <c r="AT233" s="86" t="e">
        <f t="shared" ref="AT233" si="2137">+AT232/AT231</f>
        <v>#DIV/0!</v>
      </c>
      <c r="AU233" s="86" t="e">
        <f t="shared" ref="AU233" si="2138">+AU232/AU231</f>
        <v>#DIV/0!</v>
      </c>
      <c r="AV233" s="86">
        <f t="shared" ref="AV233" si="2139">+AV232/AV231</f>
        <v>0.15876101607050286</v>
      </c>
      <c r="AW233" s="86">
        <f t="shared" ref="AW233" si="2140">+AW232/AW231</f>
        <v>0.19700076903358119</v>
      </c>
      <c r="AX233" s="86">
        <f t="shared" ref="AX233" si="2141">+AX232/AX231</f>
        <v>0.18143249313701021</v>
      </c>
      <c r="AY233" s="86">
        <f t="shared" ref="AY233" si="2142">+AY232/AY231</f>
        <v>0.18557728235147591</v>
      </c>
      <c r="AZ233" s="86">
        <f t="shared" ref="AZ233" si="2143">+AZ232/AZ231</f>
        <v>0.1898626473805762</v>
      </c>
      <c r="BA233" s="86">
        <f t="shared" ref="BA233" si="2144">+BA232/BA231</f>
        <v>0.17978775913129311</v>
      </c>
      <c r="BB233" s="86">
        <f t="shared" ref="BB233" si="2145">+BB232/BB231</f>
        <v>0.16570232672657875</v>
      </c>
      <c r="BC233" s="86">
        <f t="shared" ref="BC233" si="2146">+BC232/BC231</f>
        <v>0.15280816921954768</v>
      </c>
      <c r="BD233" s="86">
        <f t="shared" ref="BD233" si="2147">+BD232/BD231</f>
        <v>0.15256495669553627</v>
      </c>
      <c r="BE233" s="86">
        <f t="shared" ref="BE233" si="2148">+BE232/BE231</f>
        <v>0.1532349602724177</v>
      </c>
      <c r="BF233" s="86">
        <f t="shared" ref="BF233" si="2149">+BF232/BF231</f>
        <v>0.15547971179370498</v>
      </c>
      <c r="BG233" s="86">
        <f t="shared" ref="BG233" si="2150">+BG232/BG231</f>
        <v>0.17019614650234335</v>
      </c>
      <c r="BH233" s="86">
        <f t="shared" ref="BH233" si="2151">+BH232/BH231</f>
        <v>0.18071242397914855</v>
      </c>
      <c r="BI233" s="86">
        <f t="shared" ref="BI233" si="2152">+BI232/BI231</f>
        <v>0.18353709469207991</v>
      </c>
      <c r="BJ233" s="86">
        <f t="shared" ref="BJ233" si="2153">+BJ232/BJ231</f>
        <v>0.18472191199463922</v>
      </c>
      <c r="BK233" s="86">
        <f t="shared" ref="BK233" si="2154">+BK232/BK231</f>
        <v>0.20237476808905383</v>
      </c>
      <c r="BL233" s="86">
        <f t="shared" ref="BL233" si="2155">+BL232/BL231</f>
        <v>0.20198274017545098</v>
      </c>
      <c r="BM233" s="86">
        <f t="shared" ref="BM233" si="2156">+BM232/BM231</f>
        <v>0.20120879893175919</v>
      </c>
      <c r="BN233" s="86">
        <f t="shared" ref="BN233" si="2157">+BN232/BN231</f>
        <v>0.18546937646896153</v>
      </c>
      <c r="BO233" s="86">
        <f t="shared" ref="BO233" si="2158">+BO232/BO231</f>
        <v>0.15903298061326954</v>
      </c>
      <c r="BP233" s="86">
        <f t="shared" ref="BP233" si="2159">+BP232/BP231</f>
        <v>0.17719592023138983</v>
      </c>
      <c r="BQ233" s="86">
        <f t="shared" ref="BQ233" si="2160">+BQ232/BQ231</f>
        <v>0.19675876347540525</v>
      </c>
      <c r="BR233" s="86">
        <f t="shared" ref="BR233" si="2161">+BR232/BR231</f>
        <v>0.20347101700798328</v>
      </c>
      <c r="BS233" s="86">
        <f t="shared" ref="BS233" si="2162">+BS232/BS231</f>
        <v>0.20923340358271883</v>
      </c>
      <c r="BT233" s="86">
        <f t="shared" ref="BT233" si="2163">+BT232/BT231</f>
        <v>0.21726690302917206</v>
      </c>
      <c r="BU233" s="86">
        <f t="shared" ref="BU233" si="2164">+BU232/BU231</f>
        <v>0.21771851851851856</v>
      </c>
      <c r="BV233" s="86">
        <f t="shared" ref="BV233" si="2165">+BV232/BV231</f>
        <v>0.21667331017595809</v>
      </c>
      <c r="BW233" s="86">
        <f t="shared" ref="BW233" si="2166">+BW232/BW231</f>
        <v>0.20322001794437247</v>
      </c>
      <c r="BX233" s="86">
        <f t="shared" ref="BX233" si="2167">+BX232/BX231</f>
        <v>0.19169917167024583</v>
      </c>
      <c r="BY233" s="86">
        <f t="shared" ref="BY233" si="2168">+BY232/BY231</f>
        <v>0.20194714881780246</v>
      </c>
      <c r="BZ233" s="86">
        <f t="shared" ref="BZ233" si="2169">+BZ232/BZ231</f>
        <v>0.20256475153969453</v>
      </c>
      <c r="CA233" s="86">
        <f t="shared" ref="CA233" si="2170">+CA232/CA231</f>
        <v>0.19674980446684634</v>
      </c>
      <c r="CB233" s="86">
        <f t="shared" ref="CB233:CC233" si="2171">+CB232/CB231</f>
        <v>0.19928765975277599</v>
      </c>
      <c r="CC233" s="86">
        <f t="shared" si="2171"/>
        <v>0.20137913948302916</v>
      </c>
      <c r="CD233" s="86">
        <f t="shared" ref="CD233" si="2172">+CD232/CD231</f>
        <v>0.19814778325123159</v>
      </c>
      <c r="CE233" s="86">
        <f t="shared" ref="CE233:CF233" si="2173">+CE232/CE231</f>
        <v>0.18530403347008409</v>
      </c>
      <c r="CF233" s="86">
        <f t="shared" si="2173"/>
        <v>0.18111858214466167</v>
      </c>
      <c r="CG233" s="86">
        <f t="shared" ref="CG233:CH233" si="2174">+CG232/CG231</f>
        <v>0.18646814926498298</v>
      </c>
      <c r="CH233" s="86">
        <f t="shared" si="2174"/>
        <v>0.164038213662901</v>
      </c>
      <c r="CI233" s="86">
        <f t="shared" ref="CI233:CJ233" si="2175">+CI232/CI231</f>
        <v>0.16133984647592467</v>
      </c>
      <c r="CJ233" s="86">
        <f t="shared" si="2175"/>
        <v>0.16472562510488342</v>
      </c>
      <c r="CK233" s="86">
        <f t="shared" ref="CK233:DB233" si="2176">+CK232/CK231</f>
        <v>0.17574824696425523</v>
      </c>
      <c r="CL233" s="86">
        <f t="shared" si="2176"/>
        <v>0.1824416529619651</v>
      </c>
      <c r="CM233" s="47">
        <f t="shared" si="2176"/>
        <v>0.17935320444798958</v>
      </c>
      <c r="CN233" s="47">
        <f t="shared" si="2176"/>
        <v>0.17556718236977337</v>
      </c>
      <c r="CO233" s="47">
        <f t="shared" si="2176"/>
        <v>0.17827757168599589</v>
      </c>
      <c r="CP233" s="47">
        <f t="shared" si="2176"/>
        <v>0.17890990286643094</v>
      </c>
      <c r="CQ233" s="47">
        <f t="shared" si="2176"/>
        <v>0.17802696534254733</v>
      </c>
      <c r="CR233" s="47">
        <f t="shared" si="2176"/>
        <v>0.17769540556618682</v>
      </c>
      <c r="CS233" s="47">
        <f t="shared" si="2176"/>
        <v>0.17822746136529016</v>
      </c>
      <c r="CT233" s="47">
        <f t="shared" si="2176"/>
        <v>0.17821493378511372</v>
      </c>
      <c r="CU233" s="47">
        <f t="shared" si="2176"/>
        <v>0.17804119151478442</v>
      </c>
      <c r="CV233" s="47">
        <f t="shared" si="2176"/>
        <v>0.17804474805784373</v>
      </c>
      <c r="CW233" s="47">
        <f t="shared" si="2176"/>
        <v>0.17813208368075806</v>
      </c>
      <c r="CX233" s="47">
        <f t="shared" si="2176"/>
        <v>0.17810823925962493</v>
      </c>
      <c r="CY233" s="47">
        <f t="shared" si="2176"/>
        <v>0.17808156562825278</v>
      </c>
      <c r="CZ233" s="47">
        <f t="shared" si="2176"/>
        <v>0.17809165915661987</v>
      </c>
      <c r="DA233" s="47">
        <f t="shared" si="2176"/>
        <v>0.17810338693131392</v>
      </c>
      <c r="DB233" s="47">
        <f t="shared" si="2176"/>
        <v>0.17809621274395276</v>
      </c>
      <c r="DE233" s="130"/>
      <c r="DF233" s="89">
        <v>0.17371020107494617</v>
      </c>
    </row>
    <row r="234" spans="1:110" s="64" customFormat="1" hidden="1" outlineLevel="1" x14ac:dyDescent="0.2">
      <c r="A234" s="64" t="s">
        <v>477</v>
      </c>
      <c r="B234" s="64">
        <f t="shared" ref="B234:Z234" si="2177">B41-B240</f>
        <v>0</v>
      </c>
      <c r="C234" s="64">
        <f t="shared" si="2177"/>
        <v>0</v>
      </c>
      <c r="D234" s="64">
        <f t="shared" si="2177"/>
        <v>0</v>
      </c>
      <c r="E234" s="64">
        <f t="shared" si="2177"/>
        <v>0</v>
      </c>
      <c r="F234" s="64">
        <f t="shared" si="2177"/>
        <v>0</v>
      </c>
      <c r="G234" s="64">
        <f t="shared" si="2177"/>
        <v>0</v>
      </c>
      <c r="H234" s="64">
        <f t="shared" si="2177"/>
        <v>0</v>
      </c>
      <c r="I234" s="64">
        <f t="shared" si="2177"/>
        <v>0</v>
      </c>
      <c r="J234" s="64">
        <f t="shared" si="2177"/>
        <v>0</v>
      </c>
      <c r="K234" s="64">
        <f t="shared" si="2177"/>
        <v>0</v>
      </c>
      <c r="L234" s="64">
        <f t="shared" si="2177"/>
        <v>0</v>
      </c>
      <c r="M234" s="64">
        <f t="shared" si="2177"/>
        <v>0</v>
      </c>
      <c r="N234" s="64">
        <f t="shared" si="2177"/>
        <v>-3.0000000000000001E-3</v>
      </c>
      <c r="O234" s="64">
        <f t="shared" si="2177"/>
        <v>6.2139999999999995</v>
      </c>
      <c r="P234" s="64">
        <f t="shared" si="2177"/>
        <v>311.10899999999981</v>
      </c>
      <c r="Q234" s="64">
        <f t="shared" si="2177"/>
        <v>418.59999999999968</v>
      </c>
      <c r="R234" s="64">
        <f t="shared" si="2177"/>
        <v>425.00000000000006</v>
      </c>
      <c r="S234" s="64">
        <f t="shared" si="2177"/>
        <v>506.60000000000008</v>
      </c>
      <c r="T234" s="64">
        <f t="shared" si="2177"/>
        <v>768.39999999999941</v>
      </c>
      <c r="U234" s="64">
        <f t="shared" si="2177"/>
        <v>822.39999999999964</v>
      </c>
      <c r="V234" s="64">
        <f t="shared" si="2177"/>
        <v>666.50000000000023</v>
      </c>
      <c r="W234" s="64">
        <f t="shared" si="2177"/>
        <v>960.59999999999934</v>
      </c>
      <c r="X234" s="64">
        <f t="shared" si="2177"/>
        <v>1216.4000000000015</v>
      </c>
      <c r="Y234" s="64">
        <f t="shared" si="2177"/>
        <v>1306.299999999999</v>
      </c>
      <c r="Z234" s="64">
        <f t="shared" si="2177"/>
        <v>1189.9000000000001</v>
      </c>
      <c r="AA234" s="64">
        <f t="shared" ref="AA234" si="2178">AA41-AA240</f>
        <v>1302.4000000000003</v>
      </c>
      <c r="AB234" s="30"/>
      <c r="AC234" s="30"/>
      <c r="AD234" s="30"/>
      <c r="AE234" s="30"/>
      <c r="AI234" s="64">
        <f t="shared" ref="AI234:BN234" si="2179">AI41-AI240</f>
        <v>0</v>
      </c>
      <c r="AJ234" s="64">
        <f t="shared" si="2179"/>
        <v>0</v>
      </c>
      <c r="AK234" s="64">
        <f t="shared" si="2179"/>
        <v>0</v>
      </c>
      <c r="AL234" s="64">
        <f t="shared" si="2179"/>
        <v>0</v>
      </c>
      <c r="AM234" s="64">
        <f t="shared" si="2179"/>
        <v>0</v>
      </c>
      <c r="AN234" s="64">
        <f t="shared" si="2179"/>
        <v>0</v>
      </c>
      <c r="AO234" s="64">
        <f t="shared" si="2179"/>
        <v>0</v>
      </c>
      <c r="AP234" s="64">
        <f t="shared" si="2179"/>
        <v>0</v>
      </c>
      <c r="AQ234" s="64">
        <f t="shared" si="2179"/>
        <v>0</v>
      </c>
      <c r="AR234" s="64">
        <f t="shared" si="2179"/>
        <v>0</v>
      </c>
      <c r="AS234" s="64">
        <f t="shared" si="2179"/>
        <v>0</v>
      </c>
      <c r="AT234" s="64">
        <f t="shared" si="2179"/>
        <v>0</v>
      </c>
      <c r="AU234" s="64">
        <f t="shared" si="2179"/>
        <v>0</v>
      </c>
      <c r="AV234" s="64">
        <f t="shared" si="2179"/>
        <v>93.5</v>
      </c>
      <c r="AW234" s="64">
        <f t="shared" si="2179"/>
        <v>130.70000000000005</v>
      </c>
      <c r="AX234" s="64">
        <f t="shared" si="2179"/>
        <v>109.09999999999997</v>
      </c>
      <c r="AY234" s="64">
        <f t="shared" si="2179"/>
        <v>107.99999999999999</v>
      </c>
      <c r="AZ234" s="64">
        <f t="shared" si="2179"/>
        <v>111.90000000000006</v>
      </c>
      <c r="BA234" s="64">
        <f t="shared" si="2179"/>
        <v>108.59999999999992</v>
      </c>
      <c r="BB234" s="64">
        <f t="shared" si="2179"/>
        <v>96.499999999999915</v>
      </c>
      <c r="BC234" s="64">
        <f t="shared" si="2179"/>
        <v>97.999999999999929</v>
      </c>
      <c r="BD234" s="64">
        <f t="shared" si="2179"/>
        <v>123</v>
      </c>
      <c r="BE234" s="64">
        <f t="shared" si="2179"/>
        <v>126.5</v>
      </c>
      <c r="BF234" s="64">
        <f t="shared" si="2179"/>
        <v>159.1</v>
      </c>
      <c r="BG234" s="64">
        <f t="shared" si="2179"/>
        <v>198.10000000000002</v>
      </c>
      <c r="BH234" s="64">
        <f t="shared" si="2179"/>
        <v>191.79999999999998</v>
      </c>
      <c r="BI234" s="64">
        <f t="shared" si="2179"/>
        <v>186.10000000000005</v>
      </c>
      <c r="BJ234" s="64">
        <f t="shared" si="2179"/>
        <v>192.39999999999989</v>
      </c>
      <c r="BK234" s="64">
        <f t="shared" si="2179"/>
        <v>204.10000000000002</v>
      </c>
      <c r="BL234" s="64">
        <f t="shared" si="2179"/>
        <v>206.19999999999979</v>
      </c>
      <c r="BM234" s="64">
        <f t="shared" si="2179"/>
        <v>205.80000000000024</v>
      </c>
      <c r="BN234" s="64">
        <f t="shared" si="2179"/>
        <v>206.29999999999973</v>
      </c>
      <c r="BO234" s="64">
        <f t="shared" ref="BO234:CT234" si="2180">BO41-BO240</f>
        <v>118.0000000000001</v>
      </c>
      <c r="BP234" s="64">
        <f t="shared" si="2180"/>
        <v>166.29999999999995</v>
      </c>
      <c r="BQ234" s="64">
        <f t="shared" si="2180"/>
        <v>186.90000000000009</v>
      </c>
      <c r="BR234" s="64">
        <f t="shared" si="2180"/>
        <v>195.29999999999993</v>
      </c>
      <c r="BS234" s="64">
        <f t="shared" si="2180"/>
        <v>217.00000000000028</v>
      </c>
      <c r="BT234" s="64">
        <f t="shared" si="2180"/>
        <v>230.79999999999998</v>
      </c>
      <c r="BU234" s="64">
        <f t="shared" si="2180"/>
        <v>249.60000000000008</v>
      </c>
      <c r="BV234" s="64">
        <f t="shared" si="2180"/>
        <v>263.19999999999993</v>
      </c>
      <c r="BW234" s="64">
        <f t="shared" si="2180"/>
        <v>276.20000000000005</v>
      </c>
      <c r="BX234" s="64">
        <f t="shared" si="2180"/>
        <v>300.59999999999985</v>
      </c>
      <c r="BY234" s="64">
        <f t="shared" si="2180"/>
        <v>298.19999999999993</v>
      </c>
      <c r="BZ234" s="64">
        <f t="shared" si="2180"/>
        <v>341.39999999999981</v>
      </c>
      <c r="CA234" s="64">
        <f t="shared" si="2180"/>
        <v>312.10000000000019</v>
      </c>
      <c r="CB234" s="64">
        <f t="shared" si="2180"/>
        <v>315.89999999999986</v>
      </c>
      <c r="CC234" s="64">
        <f t="shared" si="2180"/>
        <v>336.8</v>
      </c>
      <c r="CD234" s="64">
        <f t="shared" si="2180"/>
        <v>341.4000000000002</v>
      </c>
      <c r="CE234" s="64">
        <f t="shared" si="2180"/>
        <v>313.89999999999998</v>
      </c>
      <c r="CF234" s="64">
        <f t="shared" si="2180"/>
        <v>320</v>
      </c>
      <c r="CG234" s="64">
        <f t="shared" si="2180"/>
        <v>319.49999999999977</v>
      </c>
      <c r="CH234" s="64">
        <f t="shared" si="2180"/>
        <v>279.50000000000034</v>
      </c>
      <c r="CI234" s="64">
        <f t="shared" si="2180"/>
        <v>316.10000000000002</v>
      </c>
      <c r="CJ234" s="64">
        <f t="shared" si="2180"/>
        <v>329.20000000000016</v>
      </c>
      <c r="CK234" s="64">
        <f t="shared" si="2180"/>
        <v>338.50000000000023</v>
      </c>
      <c r="CL234" s="64">
        <f t="shared" ref="CL234" si="2181">CL41-CL240</f>
        <v>357.00000000000011</v>
      </c>
      <c r="CM234" s="30">
        <f t="shared" si="2180"/>
        <v>384.13991586575332</v>
      </c>
      <c r="CN234" s="30">
        <f t="shared" si="2180"/>
        <v>392.90954472129528</v>
      </c>
      <c r="CO234" s="30">
        <f t="shared" si="2180"/>
        <v>392.39516212021192</v>
      </c>
      <c r="CP234" s="30">
        <f t="shared" si="2180"/>
        <v>386.99957531751249</v>
      </c>
      <c r="CQ234" s="30">
        <f t="shared" si="2180"/>
        <v>441.9255684693606</v>
      </c>
      <c r="CR234" s="30">
        <f t="shared" si="2180"/>
        <v>455.53454781806181</v>
      </c>
      <c r="CS234" s="30">
        <f t="shared" si="2180"/>
        <v>445.50945403110035</v>
      </c>
      <c r="CT234" s="30">
        <f t="shared" si="2180"/>
        <v>438.47422699742884</v>
      </c>
      <c r="CU234" s="30">
        <f t="shared" ref="CU234:DB234" si="2182">CU41-CU240</f>
        <v>500.60973639925635</v>
      </c>
      <c r="CV234" s="30">
        <f t="shared" si="2182"/>
        <v>514.74435043506412</v>
      </c>
      <c r="CW234" s="30">
        <f t="shared" si="2182"/>
        <v>502.02136337927431</v>
      </c>
      <c r="CX234" s="30">
        <f t="shared" si="2182"/>
        <v>494.55126503071085</v>
      </c>
      <c r="CY234" s="30">
        <f t="shared" si="2182"/>
        <v>562.09548448107637</v>
      </c>
      <c r="CZ234" s="30">
        <f t="shared" si="2182"/>
        <v>577.05367215718252</v>
      </c>
      <c r="DA234" s="30">
        <f t="shared" si="2182"/>
        <v>563.05032589421171</v>
      </c>
      <c r="DB234" s="30">
        <f t="shared" si="2182"/>
        <v>555.13052952148132</v>
      </c>
      <c r="DE234" s="139"/>
      <c r="DF234" s="64">
        <v>1302.4000000000003</v>
      </c>
    </row>
    <row r="235" spans="1:110" s="64" customFormat="1" hidden="1" outlineLevel="1" x14ac:dyDescent="0.2">
      <c r="AB235" s="30"/>
      <c r="AC235" s="30"/>
      <c r="AD235" s="30"/>
      <c r="AE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3">+C238/C237</f>
        <v>#DIV/0!</v>
      </c>
      <c r="D239" s="86" t="e">
        <f t="shared" si="2183"/>
        <v>#DIV/0!</v>
      </c>
      <c r="E239" s="86" t="e">
        <f t="shared" si="2183"/>
        <v>#DIV/0!</v>
      </c>
      <c r="F239" s="86" t="e">
        <f t="shared" si="2183"/>
        <v>#DIV/0!</v>
      </c>
      <c r="G239" s="86" t="e">
        <f t="shared" si="2183"/>
        <v>#DIV/0!</v>
      </c>
      <c r="H239" s="86" t="e">
        <f t="shared" si="2183"/>
        <v>#DIV/0!</v>
      </c>
      <c r="I239" s="86" t="e">
        <f t="shared" si="2183"/>
        <v>#DIV/0!</v>
      </c>
      <c r="J239" s="86" t="e">
        <f t="shared" si="2183"/>
        <v>#DIV/0!</v>
      </c>
      <c r="K239" s="86" t="e">
        <f t="shared" si="2183"/>
        <v>#DIV/0!</v>
      </c>
      <c r="L239" s="86" t="e">
        <f t="shared" si="2183"/>
        <v>#DIV/0!</v>
      </c>
      <c r="M239" s="86" t="e">
        <f t="shared" si="2183"/>
        <v>#DIV/0!</v>
      </c>
      <c r="N239" s="86" t="e">
        <f t="shared" si="2183"/>
        <v>#DIV/0!</v>
      </c>
      <c r="O239" s="86" t="e">
        <f t="shared" si="2183"/>
        <v>#DIV/0!</v>
      </c>
      <c r="P239" s="86" t="e">
        <f t="shared" si="2183"/>
        <v>#DIV/0!</v>
      </c>
      <c r="Q239" s="86" t="e">
        <f t="shared" si="2183"/>
        <v>#DIV/0!</v>
      </c>
      <c r="R239" s="86" t="e">
        <f t="shared" si="2183"/>
        <v>#DIV/0!</v>
      </c>
      <c r="S239" s="86" t="e">
        <f t="shared" si="2183"/>
        <v>#DIV/0!</v>
      </c>
      <c r="T239" s="86" t="e">
        <f t="shared" si="2183"/>
        <v>#DIV/0!</v>
      </c>
      <c r="U239" s="86" t="e">
        <f t="shared" si="2183"/>
        <v>#DIV/0!</v>
      </c>
      <c r="V239" s="86" t="e">
        <f t="shared" si="2183"/>
        <v>#DIV/0!</v>
      </c>
      <c r="W239" s="86" t="e">
        <f t="shared" si="2183"/>
        <v>#DIV/0!</v>
      </c>
      <c r="X239" s="86" t="e">
        <f t="shared" si="2183"/>
        <v>#DIV/0!</v>
      </c>
      <c r="Y239" s="86" t="e">
        <f t="shared" ref="Y239:Z239" si="2184">+Y238/Y237</f>
        <v>#DIV/0!</v>
      </c>
      <c r="Z239" s="86" t="e">
        <f t="shared" si="2184"/>
        <v>#DIV/0!</v>
      </c>
      <c r="AA239" s="86" t="e">
        <f t="shared" ref="AA239" si="2185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6">+AI238/AI237</f>
        <v>#DIV/0!</v>
      </c>
      <c r="AJ239" s="86" t="e">
        <f t="shared" ref="AJ239" si="2187">+AJ238/AJ237</f>
        <v>#DIV/0!</v>
      </c>
      <c r="AK239" s="86" t="e">
        <f t="shared" ref="AK239" si="2188">+AK238/AK237</f>
        <v>#DIV/0!</v>
      </c>
      <c r="AL239" s="86" t="e">
        <f t="shared" ref="AL239" si="2189">+AL238/AL237</f>
        <v>#DIV/0!</v>
      </c>
      <c r="AM239" s="86" t="e">
        <f t="shared" ref="AM239" si="2190">+AM238/AM237</f>
        <v>#DIV/0!</v>
      </c>
      <c r="AN239" s="86" t="e">
        <f t="shared" ref="AN239" si="2191">+AN238/AN237</f>
        <v>#DIV/0!</v>
      </c>
      <c r="AO239" s="86" t="e">
        <f t="shared" ref="AO239" si="2192">+AO238/AO237</f>
        <v>#DIV/0!</v>
      </c>
      <c r="AP239" s="86" t="e">
        <f t="shared" ref="AP239" si="2193">+AP238/AP237</f>
        <v>#DIV/0!</v>
      </c>
      <c r="AQ239" s="86" t="e">
        <f t="shared" ref="AQ239" si="2194">+AQ238/AQ237</f>
        <v>#DIV/0!</v>
      </c>
      <c r="AR239" s="86" t="e">
        <f t="shared" ref="AR239" si="2195">+AR238/AR237</f>
        <v>#DIV/0!</v>
      </c>
      <c r="AS239" s="86" t="e">
        <f t="shared" ref="AS239" si="2196">+AS238/AS237</f>
        <v>#DIV/0!</v>
      </c>
      <c r="AT239" s="86" t="e">
        <f t="shared" ref="AT239" si="2197">+AT238/AT237</f>
        <v>#DIV/0!</v>
      </c>
      <c r="AU239" s="86" t="e">
        <f t="shared" ref="AU239" si="2198">+AU238/AU237</f>
        <v>#DIV/0!</v>
      </c>
      <c r="AV239" s="86" t="e">
        <f t="shared" ref="AV239" si="2199">+AV238/AV237</f>
        <v>#DIV/0!</v>
      </c>
      <c r="AW239" s="86" t="e">
        <f t="shared" ref="AW239" si="2200">+AW238/AW237</f>
        <v>#DIV/0!</v>
      </c>
      <c r="AX239" s="86" t="e">
        <f t="shared" ref="AX239" si="2201">+AX238/AX237</f>
        <v>#DIV/0!</v>
      </c>
      <c r="AY239" s="86" t="e">
        <f t="shared" ref="AY239" si="2202">+AY238/AY237</f>
        <v>#DIV/0!</v>
      </c>
      <c r="AZ239" s="86" t="e">
        <f t="shared" ref="AZ239" si="2203">+AZ238/AZ237</f>
        <v>#DIV/0!</v>
      </c>
      <c r="BA239" s="86" t="e">
        <f t="shared" ref="BA239" si="2204">+BA238/BA237</f>
        <v>#DIV/0!</v>
      </c>
      <c r="BB239" s="86" t="e">
        <f t="shared" ref="BB239" si="2205">+BB238/BB237</f>
        <v>#DIV/0!</v>
      </c>
      <c r="BC239" s="86" t="e">
        <f t="shared" ref="BC239" si="2206">+BC238/BC237</f>
        <v>#DIV/0!</v>
      </c>
      <c r="BD239" s="86" t="e">
        <f t="shared" ref="BD239" si="2207">+BD238/BD237</f>
        <v>#DIV/0!</v>
      </c>
      <c r="BE239" s="86" t="e">
        <f t="shared" ref="BE239" si="2208">+BE238/BE237</f>
        <v>#DIV/0!</v>
      </c>
      <c r="BF239" s="86" t="e">
        <f t="shared" ref="BF239" si="2209">+BF238/BF237</f>
        <v>#DIV/0!</v>
      </c>
      <c r="BG239" s="86" t="e">
        <f t="shared" ref="BG239" si="2210">+BG238/BG237</f>
        <v>#DIV/0!</v>
      </c>
      <c r="BH239" s="86" t="e">
        <f t="shared" ref="BH239" si="2211">+BH238/BH237</f>
        <v>#DIV/0!</v>
      </c>
      <c r="BI239" s="86" t="e">
        <f t="shared" ref="BI239" si="2212">+BI238/BI237</f>
        <v>#DIV/0!</v>
      </c>
      <c r="BJ239" s="86" t="e">
        <f t="shared" ref="BJ239" si="2213">+BJ238/BJ237</f>
        <v>#DIV/0!</v>
      </c>
      <c r="BK239" s="86" t="e">
        <f t="shared" ref="BK239" si="2214">+BK238/BK237</f>
        <v>#DIV/0!</v>
      </c>
      <c r="BL239" s="86" t="e">
        <f t="shared" ref="BL239" si="2215">+BL238/BL237</f>
        <v>#DIV/0!</v>
      </c>
      <c r="BM239" s="86" t="e">
        <f t="shared" ref="BM239" si="2216">+BM238/BM237</f>
        <v>#DIV/0!</v>
      </c>
      <c r="BN239" s="86" t="e">
        <f t="shared" ref="BN239" si="2217">+BN238/BN237</f>
        <v>#DIV/0!</v>
      </c>
      <c r="BO239" s="86" t="e">
        <f t="shared" ref="BO239" si="2218">+BO238/BO237</f>
        <v>#DIV/0!</v>
      </c>
      <c r="BP239" s="86" t="e">
        <f t="shared" ref="BP239" si="2219">+BP238/BP237</f>
        <v>#DIV/0!</v>
      </c>
      <c r="BQ239" s="86" t="e">
        <f t="shared" ref="BQ239" si="2220">+BQ238/BQ237</f>
        <v>#DIV/0!</v>
      </c>
      <c r="BR239" s="86" t="e">
        <f t="shared" ref="BR239" si="2221">+BR238/BR237</f>
        <v>#DIV/0!</v>
      </c>
      <c r="BS239" s="86" t="e">
        <f t="shared" ref="BS239" si="2222">+BS238/BS237</f>
        <v>#DIV/0!</v>
      </c>
      <c r="BT239" s="86" t="e">
        <f t="shared" ref="BT239" si="2223">+BT238/BT237</f>
        <v>#DIV/0!</v>
      </c>
      <c r="BU239" s="86" t="e">
        <f t="shared" ref="BU239" si="2224">+BU238/BU237</f>
        <v>#DIV/0!</v>
      </c>
      <c r="BV239" s="86" t="e">
        <f t="shared" ref="BV239" si="2225">+BV238/BV237</f>
        <v>#DIV/0!</v>
      </c>
      <c r="BW239" s="86" t="e">
        <f t="shared" ref="BW239" si="2226">+BW238/BW237</f>
        <v>#DIV/0!</v>
      </c>
      <c r="BX239" s="86" t="e">
        <f t="shared" ref="BX239" si="2227">+BX238/BX237</f>
        <v>#DIV/0!</v>
      </c>
      <c r="BY239" s="86" t="e">
        <f t="shared" ref="BY239" si="2228">+BY238/BY237</f>
        <v>#DIV/0!</v>
      </c>
      <c r="BZ239" s="86" t="e">
        <f t="shared" ref="BZ239" si="2229">+BZ238/BZ237</f>
        <v>#DIV/0!</v>
      </c>
      <c r="CA239" s="86" t="e">
        <f t="shared" ref="CA239" si="2230">+CA238/CA237</f>
        <v>#DIV/0!</v>
      </c>
      <c r="CB239" s="86" t="e">
        <f t="shared" ref="CB239:CC239" si="2231">+CB238/CB237</f>
        <v>#DIV/0!</v>
      </c>
      <c r="CC239" s="86" t="e">
        <f t="shared" si="2231"/>
        <v>#DIV/0!</v>
      </c>
      <c r="CD239" s="86" t="e">
        <f t="shared" ref="CD239" si="2232">+CD238/CD237</f>
        <v>#DIV/0!</v>
      </c>
      <c r="CE239" s="86" t="e">
        <f t="shared" ref="CE239:CF239" si="2233">+CE238/CE237</f>
        <v>#DIV/0!</v>
      </c>
      <c r="CF239" s="86" t="e">
        <f t="shared" si="2233"/>
        <v>#DIV/0!</v>
      </c>
      <c r="CG239" s="86" t="e">
        <f t="shared" ref="CG239:CH239" si="2234">+CG238/CG237</f>
        <v>#DIV/0!</v>
      </c>
      <c r="CH239" s="86" t="e">
        <f t="shared" si="2234"/>
        <v>#DIV/0!</v>
      </c>
      <c r="CI239" s="86" t="e">
        <f t="shared" ref="CI239:CJ239" si="2235">+CI238/CI237</f>
        <v>#DIV/0!</v>
      </c>
      <c r="CJ239" s="86" t="e">
        <f t="shared" si="2235"/>
        <v>#DIV/0!</v>
      </c>
      <c r="CK239" s="86" t="e">
        <f t="shared" ref="CK239:DB239" si="2236">+CK238/CK237</f>
        <v>#DIV/0!</v>
      </c>
      <c r="CL239" s="86" t="e">
        <f t="shared" si="2236"/>
        <v>#DIV/0!</v>
      </c>
      <c r="CM239" s="47" t="e">
        <f t="shared" si="2236"/>
        <v>#DIV/0!</v>
      </c>
      <c r="CN239" s="47" t="e">
        <f t="shared" si="2236"/>
        <v>#DIV/0!</v>
      </c>
      <c r="CO239" s="47" t="e">
        <f t="shared" si="2236"/>
        <v>#DIV/0!</v>
      </c>
      <c r="CP239" s="47" t="e">
        <f t="shared" si="2236"/>
        <v>#DIV/0!</v>
      </c>
      <c r="CQ239" s="47" t="e">
        <f t="shared" si="2236"/>
        <v>#DIV/0!</v>
      </c>
      <c r="CR239" s="47" t="e">
        <f t="shared" si="2236"/>
        <v>#DIV/0!</v>
      </c>
      <c r="CS239" s="47" t="e">
        <f t="shared" si="2236"/>
        <v>#DIV/0!</v>
      </c>
      <c r="CT239" s="47" t="e">
        <f t="shared" si="2236"/>
        <v>#DIV/0!</v>
      </c>
      <c r="CU239" s="47" t="e">
        <f t="shared" si="2236"/>
        <v>#DIV/0!</v>
      </c>
      <c r="CV239" s="47" t="e">
        <f t="shared" si="2236"/>
        <v>#DIV/0!</v>
      </c>
      <c r="CW239" s="47" t="e">
        <f t="shared" si="2236"/>
        <v>#DIV/0!</v>
      </c>
      <c r="CX239" s="47" t="e">
        <f t="shared" si="2236"/>
        <v>#DIV/0!</v>
      </c>
      <c r="CY239" s="47" t="e">
        <f t="shared" si="2236"/>
        <v>#DIV/0!</v>
      </c>
      <c r="CZ239" s="47" t="e">
        <f t="shared" si="2236"/>
        <v>#DIV/0!</v>
      </c>
      <c r="DA239" s="47" t="e">
        <f t="shared" si="2236"/>
        <v>#DIV/0!</v>
      </c>
      <c r="DB239" s="47" t="e">
        <f t="shared" si="2236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18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37">E10/(E161+E148+E138)</f>
        <v>#DIV/0!</v>
      </c>
      <c r="F244" s="84" t="e">
        <f t="shared" si="2237"/>
        <v>#DIV/0!</v>
      </c>
      <c r="G244" s="84" t="e">
        <f t="shared" si="2237"/>
        <v>#DIV/0!</v>
      </c>
      <c r="H244" s="84" t="e">
        <f t="shared" si="2237"/>
        <v>#DIV/0!</v>
      </c>
      <c r="I244" s="84" t="e">
        <f t="shared" si="2237"/>
        <v>#DIV/0!</v>
      </c>
      <c r="J244" s="84" t="e">
        <f t="shared" si="2237"/>
        <v>#DIV/0!</v>
      </c>
      <c r="K244" s="84" t="e">
        <f t="shared" si="2237"/>
        <v>#DIV/0!</v>
      </c>
      <c r="L244" s="84" t="e">
        <f t="shared" si="2237"/>
        <v>#DIV/0!</v>
      </c>
      <c r="M244" s="84" t="e">
        <f t="shared" si="2237"/>
        <v>#DIV/0!</v>
      </c>
      <c r="N244" s="84">
        <f t="shared" si="2237"/>
        <v>0</v>
      </c>
      <c r="O244" s="84">
        <f t="shared" si="2237"/>
        <v>0.19810297209412597</v>
      </c>
      <c r="P244" s="84">
        <f t="shared" si="2237"/>
        <v>1.4731208564332348</v>
      </c>
      <c r="Q244" s="84">
        <f t="shared" si="2237"/>
        <v>1.5569999492205351</v>
      </c>
      <c r="R244" s="84">
        <f t="shared" si="2237"/>
        <v>1.4769027916704556</v>
      </c>
      <c r="S244" s="84">
        <f t="shared" si="2237"/>
        <v>1.3992680831995219</v>
      </c>
      <c r="T244" s="84">
        <f t="shared" si="2237"/>
        <v>1.515141569949578</v>
      </c>
      <c r="U244" s="84">
        <f t="shared" si="2237"/>
        <v>1.3248844666603792</v>
      </c>
      <c r="V244" s="84">
        <f t="shared" si="2237"/>
        <v>1.0756977616359402</v>
      </c>
      <c r="W244" s="84">
        <f t="shared" si="2237"/>
        <v>1.0965765886064327</v>
      </c>
      <c r="X244" s="84">
        <f t="shared" si="2237"/>
        <v>1.10075418924656</v>
      </c>
      <c r="Y244" s="84">
        <f t="shared" si="2237"/>
        <v>1.1645702559150166</v>
      </c>
      <c r="Z244" s="84">
        <f>Z10/(Z161+Z148+Z138)</f>
        <v>1.0392765526310119</v>
      </c>
      <c r="AA244" s="84">
        <f>AA10/(AA161+AA148+AA138)</f>
        <v>1.1073079363161233</v>
      </c>
      <c r="AB244" s="50">
        <f t="shared" ref="AB244:AE244" si="2238">AB10/(AB161+AB148+AB138)</f>
        <v>1.0737996186292935</v>
      </c>
      <c r="AC244" s="50">
        <f t="shared" si="2238"/>
        <v>0.98400850717970467</v>
      </c>
      <c r="AD244" s="50">
        <f t="shared" si="2238"/>
        <v>0.90743489540402189</v>
      </c>
      <c r="AE244" s="50">
        <f t="shared" si="2238"/>
        <v>0.84253352186709263</v>
      </c>
      <c r="AL244" s="84" t="e">
        <f>SUM(AI10:AL10)/(AL161+AL148+AL138)</f>
        <v>#DIV/0!</v>
      </c>
      <c r="AM244" s="84" t="e">
        <f t="shared" ref="AM244:CL244" si="2239">SUM(AJ10:AM10)/(AM161+AM148+AM138)</f>
        <v>#DIV/0!</v>
      </c>
      <c r="AN244" s="84" t="e">
        <f t="shared" si="2239"/>
        <v>#DIV/0!</v>
      </c>
      <c r="AO244" s="84" t="e">
        <f t="shared" si="2239"/>
        <v>#DIV/0!</v>
      </c>
      <c r="AP244" s="84" t="e">
        <f t="shared" si="2239"/>
        <v>#DIV/0!</v>
      </c>
      <c r="AQ244" s="84" t="e">
        <f t="shared" si="2239"/>
        <v>#DIV/0!</v>
      </c>
      <c r="AR244" s="84" t="e">
        <f t="shared" si="2239"/>
        <v>#DIV/0!</v>
      </c>
      <c r="AS244" s="84" t="e">
        <f t="shared" si="2239"/>
        <v>#DIV/0!</v>
      </c>
      <c r="AT244" s="84" t="e">
        <f t="shared" si="2239"/>
        <v>#DIV/0!</v>
      </c>
      <c r="AU244" s="84" t="e">
        <f t="shared" si="2239"/>
        <v>#DIV/0!</v>
      </c>
      <c r="AV244" s="84" t="e">
        <f t="shared" si="2239"/>
        <v>#DIV/0!</v>
      </c>
      <c r="AW244" s="84">
        <f t="shared" si="2239"/>
        <v>11.863914373088683</v>
      </c>
      <c r="AX244" s="84">
        <f t="shared" si="2239"/>
        <v>1.2815597429473913</v>
      </c>
      <c r="AY244" s="84">
        <f t="shared" si="2239"/>
        <v>1.6227568083262169</v>
      </c>
      <c r="AZ244" s="84">
        <f t="shared" si="2239"/>
        <v>1.6946895640686921</v>
      </c>
      <c r="BA244" s="84">
        <f t="shared" si="2239"/>
        <v>1.619860493102385</v>
      </c>
      <c r="BB244" s="84">
        <f t="shared" si="2239"/>
        <v>1.4769027916704556</v>
      </c>
      <c r="BC244" s="84">
        <f t="shared" si="2239"/>
        <v>1.4211858973475271</v>
      </c>
      <c r="BD244" s="84">
        <f t="shared" si="2239"/>
        <v>1.3960445612717487</v>
      </c>
      <c r="BE244" s="84">
        <f t="shared" si="2239"/>
        <v>1.3814435670856469</v>
      </c>
      <c r="BF244" s="84">
        <f t="shared" si="2239"/>
        <v>1.3992680831995221</v>
      </c>
      <c r="BG244" s="84">
        <f t="shared" si="2239"/>
        <v>1.4096054835091423</v>
      </c>
      <c r="BH244" s="84">
        <f t="shared" si="2239"/>
        <v>1.546242472762714</v>
      </c>
      <c r="BI244" s="84">
        <f t="shared" si="2239"/>
        <v>1.5619103313451581</v>
      </c>
      <c r="BJ244" s="84">
        <f t="shared" si="2239"/>
        <v>1.515141569949578</v>
      </c>
      <c r="BK244" s="84">
        <f t="shared" si="2239"/>
        <v>1.4829247298198085</v>
      </c>
      <c r="BL244" s="84">
        <f t="shared" si="2239"/>
        <v>1.3940471588712795</v>
      </c>
      <c r="BM244" s="84">
        <f t="shared" si="2239"/>
        <v>1.3494047182137192</v>
      </c>
      <c r="BN244" s="84">
        <f t="shared" si="2239"/>
        <v>1.3248844666603792</v>
      </c>
      <c r="BO244" s="84">
        <f t="shared" si="2239"/>
        <v>1.2832490370994167</v>
      </c>
      <c r="BP244" s="84">
        <f t="shared" si="2239"/>
        <v>1.2205610391925312</v>
      </c>
      <c r="BQ244" s="84">
        <f t="shared" si="2239"/>
        <v>1.1646826082013157</v>
      </c>
      <c r="BR244" s="84">
        <f t="shared" si="2239"/>
        <v>1.07569776163594</v>
      </c>
      <c r="BS244" s="84">
        <f t="shared" si="2239"/>
        <v>1.0714395147420097</v>
      </c>
      <c r="BT244" s="84">
        <f t="shared" si="2239"/>
        <v>1.0645627430691833</v>
      </c>
      <c r="BU244" s="84">
        <f t="shared" si="2239"/>
        <v>1.0670758607767352</v>
      </c>
      <c r="BV244" s="84">
        <f t="shared" si="2239"/>
        <v>1.0965765886064329</v>
      </c>
      <c r="BW244" s="84">
        <f t="shared" si="2239"/>
        <v>1.1162466832053766</v>
      </c>
      <c r="BX244" s="84">
        <f t="shared" si="2239"/>
        <v>1.2502627791523149</v>
      </c>
      <c r="BY244" s="84">
        <f t="shared" si="2239"/>
        <v>1.2696522462342428</v>
      </c>
      <c r="BZ244" s="84">
        <f t="shared" si="2239"/>
        <v>1.1007541892465598</v>
      </c>
      <c r="CA244" s="84">
        <f t="shared" si="2239"/>
        <v>1.0998487222698272</v>
      </c>
      <c r="CB244" s="84">
        <f t="shared" si="2239"/>
        <v>1.2223283328690995</v>
      </c>
      <c r="CC244" s="84">
        <f t="shared" si="2239"/>
        <v>1.2008767676801817</v>
      </c>
      <c r="CD244" s="84">
        <f t="shared" si="2239"/>
        <v>1.1645581844519557</v>
      </c>
      <c r="CE244" s="84">
        <f t="shared" si="2239"/>
        <v>1.1463564855846085</v>
      </c>
      <c r="CF244" s="84">
        <f t="shared" si="2239"/>
        <v>1.1809029788139098</v>
      </c>
      <c r="CG244" s="84">
        <f t="shared" si="2239"/>
        <v>1.1580968791930908</v>
      </c>
      <c r="CH244" s="84">
        <f t="shared" si="2239"/>
        <v>1.1129362564401044</v>
      </c>
      <c r="CI244" s="84">
        <f t="shared" si="2239"/>
        <v>1.0844968829385</v>
      </c>
      <c r="CJ244" s="84">
        <f t="shared" si="2239"/>
        <v>1.2141361941518938</v>
      </c>
      <c r="CK244" s="84">
        <f t="shared" ref="CK244" si="2240">SUM(CH10:CK10)/(CK161+CK148+CK138)</f>
        <v>1.2123186623459572</v>
      </c>
      <c r="CL244" s="84">
        <f t="shared" si="2239"/>
        <v>1.1708508302871012</v>
      </c>
      <c r="CM244" s="50">
        <f t="shared" ref="CM244:DB244" si="2241">SUM(CJ10:CM10)/(CM161+CM148+CM138)</f>
        <v>1.1096999439240023</v>
      </c>
      <c r="CN244" s="50">
        <f t="shared" si="2241"/>
        <v>1.0841016508530881</v>
      </c>
      <c r="CO244" s="50">
        <f t="shared" si="2241"/>
        <v>1.0809160062751082</v>
      </c>
      <c r="CP244" s="50">
        <f t="shared" si="2241"/>
        <v>1.0737996186292935</v>
      </c>
      <c r="CQ244" s="50">
        <f t="shared" si="2241"/>
        <v>1.0122974893912773</v>
      </c>
      <c r="CR244" s="50">
        <f t="shared" si="2241"/>
        <v>0.98974757232981292</v>
      </c>
      <c r="CS244" s="50">
        <f t="shared" si="2241"/>
        <v>0.98840937703718224</v>
      </c>
      <c r="CT244" s="50">
        <f t="shared" si="2241"/>
        <v>0.98400850717970467</v>
      </c>
      <c r="CU244" s="50">
        <f t="shared" si="2241"/>
        <v>0.93056437016889115</v>
      </c>
      <c r="CV244" s="50">
        <f t="shared" si="2241"/>
        <v>0.91168282816115309</v>
      </c>
      <c r="CW244" s="50">
        <f t="shared" si="2241"/>
        <v>0.91099399823110372</v>
      </c>
      <c r="CX244" s="50">
        <f t="shared" si="2241"/>
        <v>0.90743489540402189</v>
      </c>
      <c r="CY244" s="50">
        <f t="shared" si="2241"/>
        <v>0.86175369678157854</v>
      </c>
      <c r="CZ244" s="50">
        <f t="shared" si="2241"/>
        <v>0.84582259576173191</v>
      </c>
      <c r="DA244" s="50">
        <f t="shared" si="2241"/>
        <v>0.84546575505904042</v>
      </c>
      <c r="DB244" s="50">
        <f t="shared" si="2241"/>
        <v>0.84253352186709263</v>
      </c>
      <c r="DE244" s="138"/>
      <c r="DF244" s="84">
        <v>1.1073079363161233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42">+F42</f>
        <v>#DIV/0!</v>
      </c>
      <c r="G245" s="181" t="e">
        <f t="shared" si="2242"/>
        <v>#DIV/0!</v>
      </c>
      <c r="H245" s="181" t="e">
        <f t="shared" si="2242"/>
        <v>#DIV/0!</v>
      </c>
      <c r="I245" s="181" t="e">
        <f t="shared" si="2242"/>
        <v>#DIV/0!</v>
      </c>
      <c r="J245" s="181" t="e">
        <f t="shared" si="2242"/>
        <v>#DIV/0!</v>
      </c>
      <c r="K245" s="181" t="e">
        <f t="shared" si="2242"/>
        <v>#DIV/0!</v>
      </c>
      <c r="L245" s="181" t="e">
        <f t="shared" si="2242"/>
        <v>#DIV/0!</v>
      </c>
      <c r="M245" s="181" t="e">
        <f t="shared" si="2242"/>
        <v>#DIV/0!</v>
      </c>
      <c r="N245" s="181" t="e">
        <f t="shared" si="2242"/>
        <v>#DIV/0!</v>
      </c>
      <c r="O245" s="181">
        <f t="shared" si="2242"/>
        <v>4.9251010541333115E-2</v>
      </c>
      <c r="P245" s="181">
        <f t="shared" si="2242"/>
        <v>0.11880615299544373</v>
      </c>
      <c r="Q245" s="181">
        <f t="shared" si="2242"/>
        <v>0.13652077490052825</v>
      </c>
      <c r="R245" s="181">
        <f t="shared" si="2242"/>
        <v>0.13083766893451962</v>
      </c>
      <c r="S245" s="181">
        <f t="shared" si="2242"/>
        <v>0.13519788636545599</v>
      </c>
      <c r="T245" s="181">
        <f t="shared" si="2242"/>
        <v>0.15131047791583785</v>
      </c>
      <c r="U245" s="181">
        <f t="shared" si="2242"/>
        <v>0.14635795768005544</v>
      </c>
      <c r="V245" s="181">
        <f t="shared" si="2242"/>
        <v>0.12230031010881337</v>
      </c>
      <c r="W245" s="181">
        <f t="shared" si="2242"/>
        <v>0.14621672222475904</v>
      </c>
      <c r="X245" s="181">
        <f t="shared" si="2242"/>
        <v>0.13798423231807627</v>
      </c>
      <c r="Y245" s="181">
        <f t="shared" si="2242"/>
        <v>0.13540576119743339</v>
      </c>
      <c r="Z245" s="181">
        <f t="shared" si="2242"/>
        <v>0.12340544688971397</v>
      </c>
      <c r="AA245" s="181">
        <f t="shared" ref="AA245" si="2243">+AA42</f>
        <v>0.11844414736401752</v>
      </c>
      <c r="AB245" s="182">
        <f t="shared" si="2242"/>
        <v>0.12322059148349718</v>
      </c>
      <c r="AC245" s="182">
        <f t="shared" si="2242"/>
        <v>0.13043349550681041</v>
      </c>
      <c r="AD245" s="182">
        <f t="shared" si="2242"/>
        <v>0.13637211556100173</v>
      </c>
      <c r="AE245" s="182">
        <f t="shared" si="2242"/>
        <v>0.14167033940730719</v>
      </c>
      <c r="AL245" s="181" t="e">
        <f t="shared" ref="AL245:CW245" si="2244">+AL42</f>
        <v>#DIV/0!</v>
      </c>
      <c r="AM245" s="181" t="e">
        <f t="shared" si="2244"/>
        <v>#DIV/0!</v>
      </c>
      <c r="AN245" s="181" t="e">
        <f t="shared" si="2244"/>
        <v>#DIV/0!</v>
      </c>
      <c r="AO245" s="181" t="e">
        <f t="shared" si="2244"/>
        <v>#DIV/0!</v>
      </c>
      <c r="AP245" s="181" t="e">
        <f t="shared" si="2244"/>
        <v>#DIV/0!</v>
      </c>
      <c r="AQ245" s="181" t="e">
        <f t="shared" si="2244"/>
        <v>#DIV/0!</v>
      </c>
      <c r="AR245" s="181" t="e">
        <f t="shared" si="2244"/>
        <v>#DIV/0!</v>
      </c>
      <c r="AS245" s="181" t="e">
        <f t="shared" si="2244"/>
        <v>#DIV/0!</v>
      </c>
      <c r="AT245" s="181" t="e">
        <f t="shared" si="2244"/>
        <v>#DIV/0!</v>
      </c>
      <c r="AU245" s="181" t="e">
        <f t="shared" si="2244"/>
        <v>#DIV/0!</v>
      </c>
      <c r="AV245" s="181">
        <f t="shared" si="2244"/>
        <v>0.1211767755313634</v>
      </c>
      <c r="AW245" s="181">
        <f t="shared" si="2244"/>
        <v>0.1675211484234812</v>
      </c>
      <c r="AX245" s="181">
        <f t="shared" si="2244"/>
        <v>0.13613676066882952</v>
      </c>
      <c r="AY245" s="181">
        <f t="shared" si="2244"/>
        <v>0.1345123925769087</v>
      </c>
      <c r="AZ245" s="181">
        <f t="shared" si="2244"/>
        <v>0.13601555852680206</v>
      </c>
      <c r="BA245" s="181">
        <f t="shared" si="2244"/>
        <v>0.13400789733464946</v>
      </c>
      <c r="BB245" s="181">
        <f t="shared" si="2244"/>
        <v>0.11879847347039262</v>
      </c>
      <c r="BC245" s="181">
        <f t="shared" si="2244"/>
        <v>0.11913445173839038</v>
      </c>
      <c r="BD245" s="181">
        <f t="shared" si="2244"/>
        <v>0.13657561625582945</v>
      </c>
      <c r="BE245" s="181">
        <f t="shared" si="2244"/>
        <v>0.13053348467650397</v>
      </c>
      <c r="BF245" s="181">
        <f t="shared" si="2244"/>
        <v>0.15083428138035646</v>
      </c>
      <c r="BG245" s="181">
        <f t="shared" si="2244"/>
        <v>0.17193195625759419</v>
      </c>
      <c r="BH245" s="181">
        <f t="shared" si="2244"/>
        <v>0.15148882394755547</v>
      </c>
      <c r="BI245" s="181">
        <f t="shared" si="2244"/>
        <v>0.14131672868099326</v>
      </c>
      <c r="BJ245" s="181">
        <f t="shared" si="2244"/>
        <v>0.14325068870523408</v>
      </c>
      <c r="BK245" s="181">
        <f t="shared" si="2244"/>
        <v>0.1514656771799629</v>
      </c>
      <c r="BL245" s="181">
        <f t="shared" si="2244"/>
        <v>0.14706511661079794</v>
      </c>
      <c r="BM245" s="181">
        <f t="shared" si="2244"/>
        <v>0.1446341977651277</v>
      </c>
      <c r="BN245" s="181">
        <f t="shared" si="2244"/>
        <v>0.14261025853725962</v>
      </c>
      <c r="BO245" s="181">
        <f t="shared" si="2244"/>
        <v>9.114080481964941E-2</v>
      </c>
      <c r="BP245" s="181">
        <f t="shared" si="2244"/>
        <v>0.12657938803470845</v>
      </c>
      <c r="BQ245" s="181">
        <f t="shared" si="2244"/>
        <v>0.13343328335832089</v>
      </c>
      <c r="BR245" s="181">
        <f t="shared" si="2244"/>
        <v>0.13557792433182916</v>
      </c>
      <c r="BS245" s="181">
        <f t="shared" si="2244"/>
        <v>0.14291359325605918</v>
      </c>
      <c r="BT245" s="181">
        <f t="shared" si="2244"/>
        <v>0.14355912172669028</v>
      </c>
      <c r="BU245" s="181">
        <f t="shared" si="2244"/>
        <v>0.14791111111111116</v>
      </c>
      <c r="BV245" s="181">
        <f t="shared" si="2244"/>
        <v>0.14987756961448662</v>
      </c>
      <c r="BW245" s="181">
        <f t="shared" si="2244"/>
        <v>0.13767321303957733</v>
      </c>
      <c r="BX245" s="181">
        <f t="shared" si="2244"/>
        <v>0.1317438751807862</v>
      </c>
      <c r="BY245" s="181">
        <f t="shared" si="2244"/>
        <v>0.13824756606397773</v>
      </c>
      <c r="BZ245" s="181">
        <f t="shared" si="2244"/>
        <v>0.14401417362692981</v>
      </c>
      <c r="CA245" s="181">
        <f t="shared" si="2244"/>
        <v>0.13561310506648136</v>
      </c>
      <c r="CB245" s="181">
        <f t="shared" si="2244"/>
        <v>0.13236957888120673</v>
      </c>
      <c r="CC245" s="181">
        <f t="shared" si="2244"/>
        <v>0.13907011313898751</v>
      </c>
      <c r="CD245" s="181">
        <f t="shared" si="2244"/>
        <v>0.13454187192118236</v>
      </c>
      <c r="CE245" s="181">
        <f t="shared" si="2244"/>
        <v>0.12750314797514115</v>
      </c>
      <c r="CF245" s="181">
        <f t="shared" si="2244"/>
        <v>0.12437327529247152</v>
      </c>
      <c r="CG245" s="181">
        <f t="shared" si="2244"/>
        <v>0.12042970222389739</v>
      </c>
      <c r="CH245" s="181">
        <f t="shared" si="2244"/>
        <v>0.10595951171430749</v>
      </c>
      <c r="CI245" s="181">
        <f t="shared" si="2244"/>
        <v>0.11029309141660852</v>
      </c>
      <c r="CJ245" s="181">
        <f t="shared" si="2244"/>
        <v>0.1104883369692902</v>
      </c>
      <c r="CK245" s="181">
        <f t="shared" si="2244"/>
        <v>0.11578587309731495</v>
      </c>
      <c r="CL245" s="181">
        <f t="shared" ref="CL245" si="2245">+CL42</f>
        <v>0.12491689702228913</v>
      </c>
      <c r="CM245" s="182">
        <f t="shared" si="2244"/>
        <v>0.12108975592518652</v>
      </c>
      <c r="CN245" s="182">
        <f t="shared" si="2244"/>
        <v>0.12069668323019546</v>
      </c>
      <c r="CO245" s="182">
        <f t="shared" si="2244"/>
        <v>0.12471534914239343</v>
      </c>
      <c r="CP245" s="182">
        <f t="shared" si="2244"/>
        <v>0.12658069845026704</v>
      </c>
      <c r="CQ245" s="182">
        <f t="shared" si="2244"/>
        <v>0.12822997616680726</v>
      </c>
      <c r="CR245" s="182">
        <f t="shared" si="2244"/>
        <v>0.12942036331888684</v>
      </c>
      <c r="CS245" s="182">
        <f t="shared" si="2244"/>
        <v>0.13130227562684174</v>
      </c>
      <c r="CT245" s="182">
        <f t="shared" si="2244"/>
        <v>0.13292306323251615</v>
      </c>
      <c r="CU245" s="182">
        <f t="shared" si="2244"/>
        <v>0.13434382919389751</v>
      </c>
      <c r="CV245" s="182">
        <f t="shared" si="2244"/>
        <v>0.13541484888509653</v>
      </c>
      <c r="CW245" s="182">
        <f t="shared" si="2244"/>
        <v>0.13704391129036397</v>
      </c>
      <c r="CX245" s="182">
        <f t="shared" ref="CX245:DB245" si="2246">+CX42</f>
        <v>0.13882436050654948</v>
      </c>
      <c r="CY245" s="182">
        <f t="shared" si="2246"/>
        <v>0.13964532001594329</v>
      </c>
      <c r="CZ245" s="182">
        <f t="shared" si="2246"/>
        <v>0.14057037276286877</v>
      </c>
      <c r="DA245" s="182">
        <f t="shared" si="2246"/>
        <v>0.14232789212311006</v>
      </c>
      <c r="DB245" s="182">
        <f t="shared" si="2246"/>
        <v>0.14428643343849598</v>
      </c>
      <c r="DE245" s="138"/>
      <c r="DF245" s="84">
        <v>0.11844414736401752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47">(F161+F148+F138+F140)/F120</f>
        <v>#DIV/0!</v>
      </c>
      <c r="G246" s="84" t="e">
        <f t="shared" si="2247"/>
        <v>#DIV/0!</v>
      </c>
      <c r="H246" s="84" t="e">
        <f t="shared" si="2247"/>
        <v>#DIV/0!</v>
      </c>
      <c r="I246" s="84" t="e">
        <f t="shared" si="2247"/>
        <v>#DIV/0!</v>
      </c>
      <c r="J246" s="84" t="e">
        <f t="shared" si="2247"/>
        <v>#DIV/0!</v>
      </c>
      <c r="K246" s="84" t="e">
        <f t="shared" si="2247"/>
        <v>#DIV/0!</v>
      </c>
      <c r="L246" s="84" t="e">
        <f t="shared" si="2247"/>
        <v>#DIV/0!</v>
      </c>
      <c r="M246" s="84" t="e">
        <f t="shared" si="2247"/>
        <v>#DIV/0!</v>
      </c>
      <c r="N246" s="84">
        <f t="shared" si="2247"/>
        <v>1.0638297872340425</v>
      </c>
      <c r="O246" s="84">
        <f t="shared" si="2247"/>
        <v>1.3134372989292726</v>
      </c>
      <c r="P246" s="84">
        <f t="shared" si="2247"/>
        <v>1.6895571103103941</v>
      </c>
      <c r="Q246" s="84">
        <f t="shared" si="2247"/>
        <v>1.8472000750398652</v>
      </c>
      <c r="R246" s="84">
        <f t="shared" si="2247"/>
        <v>1.4804792676359722</v>
      </c>
      <c r="S246" s="84">
        <f t="shared" si="2247"/>
        <v>1.3829270811815741</v>
      </c>
      <c r="T246" s="84">
        <f t="shared" si="2247"/>
        <v>1.3519825743213263</v>
      </c>
      <c r="U246" s="84">
        <f t="shared" si="2247"/>
        <v>1.5430903705844106</v>
      </c>
      <c r="V246" s="84">
        <f t="shared" si="2247"/>
        <v>1.4586968414384844</v>
      </c>
      <c r="W246" s="84">
        <f t="shared" si="2247"/>
        <v>1.4599879879879882</v>
      </c>
      <c r="X246" s="84">
        <f t="shared" si="2247"/>
        <v>1.8453178200184899</v>
      </c>
      <c r="Y246" s="84">
        <f t="shared" si="2247"/>
        <v>1.5924424170749567</v>
      </c>
      <c r="Z246" s="84">
        <f t="shared" si="2247"/>
        <v>1.5834046052631576</v>
      </c>
      <c r="AA246" s="84">
        <f t="shared" ref="AA246" si="2248">(AA161+AA148+AA138+AA140)/AA120</f>
        <v>1.6064702519813987</v>
      </c>
      <c r="AB246" s="50">
        <f t="shared" si="2247"/>
        <v>1.5237986151524829</v>
      </c>
      <c r="AC246" s="50">
        <f t="shared" si="2247"/>
        <v>1.463189878968671</v>
      </c>
      <c r="AD246" s="50">
        <f t="shared" si="2247"/>
        <v>1.4156245149421258</v>
      </c>
      <c r="AE246" s="50">
        <f t="shared" si="2247"/>
        <v>1.377341266259821</v>
      </c>
      <c r="AL246" s="84" t="e">
        <f t="shared" ref="AL246:CW246" si="2249">(AL161+AL148+AL138+AL140)/AL120</f>
        <v>#DIV/0!</v>
      </c>
      <c r="AM246" s="84" t="e">
        <f t="shared" si="2249"/>
        <v>#DIV/0!</v>
      </c>
      <c r="AN246" s="84" t="e">
        <f t="shared" si="2249"/>
        <v>#DIV/0!</v>
      </c>
      <c r="AO246" s="84" t="e">
        <f t="shared" si="2249"/>
        <v>#DIV/0!</v>
      </c>
      <c r="AP246" s="84" t="e">
        <f t="shared" si="2249"/>
        <v>#DIV/0!</v>
      </c>
      <c r="AQ246" s="84" t="e">
        <f t="shared" si="2249"/>
        <v>#DIV/0!</v>
      </c>
      <c r="AR246" s="84" t="e">
        <f t="shared" si="2249"/>
        <v>#DIV/0!</v>
      </c>
      <c r="AS246" s="84" t="e">
        <f t="shared" si="2249"/>
        <v>#DIV/0!</v>
      </c>
      <c r="AT246" s="84" t="e">
        <f t="shared" si="2249"/>
        <v>#DIV/0!</v>
      </c>
      <c r="AU246" s="84" t="e">
        <f t="shared" si="2249"/>
        <v>#DIV/0!</v>
      </c>
      <c r="AV246" s="84" t="e">
        <f t="shared" si="2249"/>
        <v>#DIV/0!</v>
      </c>
      <c r="AW246" s="84">
        <f t="shared" si="2249"/>
        <v>1</v>
      </c>
      <c r="AX246" s="84">
        <f t="shared" si="2249"/>
        <v>1.7223524997655009</v>
      </c>
      <c r="AY246" s="84">
        <f t="shared" si="2249"/>
        <v>1.6560798490244255</v>
      </c>
      <c r="AZ246" s="84">
        <f t="shared" si="2249"/>
        <v>1.5531391054575296</v>
      </c>
      <c r="BA246" s="84">
        <f t="shared" si="2249"/>
        <v>1.5058522973760007</v>
      </c>
      <c r="BB246" s="84">
        <f t="shared" si="2249"/>
        <v>1.4804792676359722</v>
      </c>
      <c r="BC246" s="84">
        <f t="shared" si="2249"/>
        <v>1.4518803249141559</v>
      </c>
      <c r="BD246" s="84">
        <f t="shared" si="2249"/>
        <v>1.4151511572980631</v>
      </c>
      <c r="BE246" s="84">
        <f t="shared" si="2249"/>
        <v>1.3939839814954702</v>
      </c>
      <c r="BF246" s="84">
        <f t="shared" si="2249"/>
        <v>1.3829270811815741</v>
      </c>
      <c r="BG246" s="84">
        <f t="shared" si="2249"/>
        <v>1.3553052149845792</v>
      </c>
      <c r="BH246" s="84">
        <f t="shared" si="2249"/>
        <v>1.4411336844745422</v>
      </c>
      <c r="BI246" s="84">
        <f t="shared" si="2249"/>
        <v>1.4073504461652815</v>
      </c>
      <c r="BJ246" s="84">
        <f t="shared" si="2249"/>
        <v>1.3519825743213261</v>
      </c>
      <c r="BK246" s="84">
        <f t="shared" si="2249"/>
        <v>1.3254623783136641</v>
      </c>
      <c r="BL246" s="84">
        <f t="shared" si="2249"/>
        <v>1.4728991118196308</v>
      </c>
      <c r="BM246" s="84">
        <f t="shared" si="2249"/>
        <v>1.4398957200833225</v>
      </c>
      <c r="BN246" s="84">
        <f t="shared" si="2249"/>
        <v>1.5430903705844108</v>
      </c>
      <c r="BO246" s="84">
        <f t="shared" si="2249"/>
        <v>1.5138476485933874</v>
      </c>
      <c r="BP246" s="84">
        <f t="shared" si="2249"/>
        <v>1.4596209112338145</v>
      </c>
      <c r="BQ246" s="84">
        <f t="shared" si="2249"/>
        <v>1.4366635194326707</v>
      </c>
      <c r="BR246" s="84">
        <f t="shared" si="2249"/>
        <v>1.4586968414384847</v>
      </c>
      <c r="BS246" s="84">
        <f t="shared" si="2249"/>
        <v>1.4352639390291728</v>
      </c>
      <c r="BT246" s="84">
        <f t="shared" si="2249"/>
        <v>1.4701531682752831</v>
      </c>
      <c r="BU246" s="84">
        <f t="shared" si="2249"/>
        <v>1.4430200826289874</v>
      </c>
      <c r="BV246" s="84">
        <f t="shared" si="2249"/>
        <v>1.4599879879879882</v>
      </c>
      <c r="BW246" s="84">
        <f t="shared" si="2249"/>
        <v>1.4440675060817103</v>
      </c>
      <c r="BX246" s="84">
        <f t="shared" si="2249"/>
        <v>1.4184354154032748</v>
      </c>
      <c r="BY246" s="84">
        <f t="shared" si="2249"/>
        <v>1.3877679978424773</v>
      </c>
      <c r="BZ246" s="84">
        <f t="shared" si="2249"/>
        <v>1.8453178200184897</v>
      </c>
      <c r="CA246" s="84">
        <f t="shared" si="2249"/>
        <v>1.7822995677240034</v>
      </c>
      <c r="CB246" s="84">
        <f t="shared" si="2249"/>
        <v>1.6076425140948003</v>
      </c>
      <c r="CC246" s="84">
        <f t="shared" si="2249"/>
        <v>1.5714863766861284</v>
      </c>
      <c r="CD246" s="84">
        <f t="shared" si="2249"/>
        <v>1.5924424170749565</v>
      </c>
      <c r="CE246" s="84">
        <f t="shared" si="2249"/>
        <v>1.5520486953502348</v>
      </c>
      <c r="CF246" s="84">
        <f t="shared" si="2249"/>
        <v>1.5384724891451351</v>
      </c>
      <c r="CG246" s="84">
        <f t="shared" si="2249"/>
        <v>1.5166441424997594</v>
      </c>
      <c r="CH246" s="84">
        <f t="shared" si="2249"/>
        <v>1.5834046052631576</v>
      </c>
      <c r="CI246" s="84">
        <f t="shared" si="2249"/>
        <v>1.6015466894397576</v>
      </c>
      <c r="CJ246" s="84">
        <f t="shared" si="2249"/>
        <v>1.5693811601227985</v>
      </c>
      <c r="CK246" s="84">
        <f t="shared" si="2249"/>
        <v>1.5327157087386973</v>
      </c>
      <c r="CL246" s="84">
        <f t="shared" ref="CL246" si="2250">(CL161+CL148+CL138+CL140)/CL120</f>
        <v>1.6064702519813987</v>
      </c>
      <c r="CM246" s="50">
        <f t="shared" si="2249"/>
        <v>1.6366826273779718</v>
      </c>
      <c r="CN246" s="50">
        <f t="shared" si="2249"/>
        <v>1.6182347378044126</v>
      </c>
      <c r="CO246" s="50">
        <f t="shared" si="2249"/>
        <v>1.5665773842983135</v>
      </c>
      <c r="CP246" s="50">
        <f t="shared" si="2249"/>
        <v>1.5237986151524829</v>
      </c>
      <c r="CQ246" s="50">
        <f t="shared" si="2249"/>
        <v>1.5607433425910275</v>
      </c>
      <c r="CR246" s="50">
        <f t="shared" si="2249"/>
        <v>1.5436661256131134</v>
      </c>
      <c r="CS246" s="50">
        <f t="shared" si="2249"/>
        <v>1.4989172526399597</v>
      </c>
      <c r="CT246" s="50">
        <f t="shared" si="2249"/>
        <v>1.463189878968671</v>
      </c>
      <c r="CU246" s="50">
        <f t="shared" si="2249"/>
        <v>1.4987435177965041</v>
      </c>
      <c r="CV246" s="50">
        <f t="shared" si="2249"/>
        <v>1.4847256946938623</v>
      </c>
      <c r="CW246" s="50">
        <f t="shared" si="2249"/>
        <v>1.4462081612377518</v>
      </c>
      <c r="CX246" s="50">
        <f t="shared" ref="CX246:DB246" si="2251">(CX161+CX148+CX138+CX140)/CX120</f>
        <v>1.4156245149421258</v>
      </c>
      <c r="CY246" s="50">
        <f t="shared" si="2251"/>
        <v>1.4490534793929526</v>
      </c>
      <c r="CZ246" s="50">
        <f t="shared" si="2251"/>
        <v>1.4376978756242469</v>
      </c>
      <c r="DA246" s="50">
        <f t="shared" si="2251"/>
        <v>1.4040584079980243</v>
      </c>
      <c r="DB246" s="50">
        <f t="shared" si="2251"/>
        <v>1.377341266259821</v>
      </c>
      <c r="DE246" s="138"/>
      <c r="DF246" s="84">
        <v>1.6064702519813987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52">B161/B120</f>
        <v>#DIV/0!</v>
      </c>
      <c r="C248" s="88" t="e">
        <f t="shared" si="2252"/>
        <v>#DIV/0!</v>
      </c>
      <c r="D248" s="88" t="e">
        <f t="shared" si="2252"/>
        <v>#DIV/0!</v>
      </c>
      <c r="F248" s="88" t="e">
        <f t="shared" si="2252"/>
        <v>#DIV/0!</v>
      </c>
      <c r="G248" s="88" t="e">
        <f t="shared" si="2252"/>
        <v>#DIV/0!</v>
      </c>
      <c r="H248" s="88" t="e">
        <f t="shared" si="2252"/>
        <v>#DIV/0!</v>
      </c>
      <c r="I248" s="88" t="e">
        <f t="shared" si="2252"/>
        <v>#DIV/0!</v>
      </c>
      <c r="J248" s="88" t="e">
        <f t="shared" si="2252"/>
        <v>#DIV/0!</v>
      </c>
      <c r="K248" s="88" t="e">
        <f t="shared" si="2252"/>
        <v>#DIV/0!</v>
      </c>
      <c r="L248" s="88" t="e">
        <f t="shared" si="2252"/>
        <v>#DIV/0!</v>
      </c>
      <c r="M248" s="88" t="e">
        <f t="shared" si="2252"/>
        <v>#DIV/0!</v>
      </c>
      <c r="N248" s="88">
        <f t="shared" si="2252"/>
        <v>1.0638297872340425</v>
      </c>
      <c r="O248" s="88">
        <f t="shared" si="2252"/>
        <v>6.0830597396598081E-2</v>
      </c>
      <c r="P248" s="88">
        <f t="shared" si="2252"/>
        <v>0.10962795821361393</v>
      </c>
      <c r="Q248" s="88">
        <f t="shared" si="2252"/>
        <v>0.13028796548166216</v>
      </c>
      <c r="R248" s="88">
        <f t="shared" si="2252"/>
        <v>0.17622509423801833</v>
      </c>
      <c r="S248" s="88">
        <f t="shared" si="2252"/>
        <v>0.1936066928320595</v>
      </c>
      <c r="T248" s="88">
        <f t="shared" si="2252"/>
        <v>0.31463030938647091</v>
      </c>
      <c r="U248" s="88">
        <f t="shared" si="2252"/>
        <v>0.30878422307303327</v>
      </c>
      <c r="V248" s="88">
        <f t="shared" si="2252"/>
        <v>0.50318159569260901</v>
      </c>
      <c r="W248" s="88">
        <f t="shared" si="2252"/>
        <v>0.49633633633633634</v>
      </c>
      <c r="X248" s="88">
        <f t="shared" si="2252"/>
        <v>0.631062707163634</v>
      </c>
      <c r="Y248" s="88">
        <f t="shared" si="2252"/>
        <v>0.50385763360928082</v>
      </c>
      <c r="Z248" s="88">
        <f t="shared" si="2252"/>
        <v>0.41547697368421049</v>
      </c>
      <c r="AA248" s="88">
        <f t="shared" ref="AA248" si="2253">AA161/AA120</f>
        <v>0.47570565606315757</v>
      </c>
      <c r="AB248" s="42">
        <f t="shared" si="2252"/>
        <v>0.57386451980334685</v>
      </c>
      <c r="AC248" s="42">
        <f t="shared" si="2252"/>
        <v>0.64408184179732719</v>
      </c>
      <c r="AD248" s="42">
        <f t="shared" si="2252"/>
        <v>0.69696344490083006</v>
      </c>
      <c r="AE248" s="42">
        <f t="shared" si="2252"/>
        <v>0.7381215697084087</v>
      </c>
      <c r="AL248" s="88" t="e">
        <f t="shared" ref="AL248:CW248" si="2254">AL161/AL120</f>
        <v>#DIV/0!</v>
      </c>
      <c r="AM248" s="88" t="e">
        <f t="shared" si="2254"/>
        <v>#DIV/0!</v>
      </c>
      <c r="AN248" s="88" t="e">
        <f t="shared" si="2254"/>
        <v>#DIV/0!</v>
      </c>
      <c r="AO248" s="88" t="e">
        <f t="shared" si="2254"/>
        <v>#DIV/0!</v>
      </c>
      <c r="AP248" s="88" t="e">
        <f t="shared" si="2254"/>
        <v>#DIV/0!</v>
      </c>
      <c r="AQ248" s="88" t="e">
        <f t="shared" si="2254"/>
        <v>#DIV/0!</v>
      </c>
      <c r="AR248" s="88" t="e">
        <f t="shared" si="2254"/>
        <v>#DIV/0!</v>
      </c>
      <c r="AS248" s="88" t="e">
        <f t="shared" si="2254"/>
        <v>#DIV/0!</v>
      </c>
      <c r="AT248" s="88" t="e">
        <f t="shared" si="2254"/>
        <v>#DIV/0!</v>
      </c>
      <c r="AU248" s="88" t="e">
        <f t="shared" si="2254"/>
        <v>#DIV/0!</v>
      </c>
      <c r="AV248" s="88" t="e">
        <f t="shared" si="2254"/>
        <v>#DIV/0!</v>
      </c>
      <c r="AW248" s="88">
        <f t="shared" si="2254"/>
        <v>1</v>
      </c>
      <c r="AX248" s="88">
        <f t="shared" si="2254"/>
        <v>0.13028796548166216</v>
      </c>
      <c r="AY248" s="88">
        <f t="shared" si="2254"/>
        <v>0.20967429316475469</v>
      </c>
      <c r="AZ248" s="88">
        <f t="shared" si="2254"/>
        <v>0.16750102585145674</v>
      </c>
      <c r="BA248" s="88">
        <f t="shared" si="2254"/>
        <v>0.24154076724245485</v>
      </c>
      <c r="BB248" s="88">
        <f t="shared" si="2254"/>
        <v>0.17622509423801833</v>
      </c>
      <c r="BC248" s="88">
        <f t="shared" si="2254"/>
        <v>0.22280440655779882</v>
      </c>
      <c r="BD248" s="88">
        <f t="shared" si="2254"/>
        <v>0.14442607463391591</v>
      </c>
      <c r="BE248" s="88">
        <f t="shared" si="2254"/>
        <v>0.17776909403780214</v>
      </c>
      <c r="BF248" s="88">
        <f t="shared" si="2254"/>
        <v>0.19360669283205947</v>
      </c>
      <c r="BG248" s="88">
        <f t="shared" si="2254"/>
        <v>0.23441924547097073</v>
      </c>
      <c r="BH248" s="88">
        <f t="shared" si="2254"/>
        <v>0.22041635314773012</v>
      </c>
      <c r="BI248" s="88">
        <f t="shared" si="2254"/>
        <v>0.26987961482610323</v>
      </c>
      <c r="BJ248" s="88">
        <f t="shared" si="2254"/>
        <v>0.31463030938647085</v>
      </c>
      <c r="BK248" s="88">
        <f t="shared" si="2254"/>
        <v>0.36564625819191604</v>
      </c>
      <c r="BL248" s="88">
        <f t="shared" si="2254"/>
        <v>0.17201852273589915</v>
      </c>
      <c r="BM248" s="88">
        <f t="shared" si="2254"/>
        <v>0.2266132252134859</v>
      </c>
      <c r="BN248" s="88">
        <f t="shared" si="2254"/>
        <v>0.30878422307303333</v>
      </c>
      <c r="BO248" s="88">
        <f t="shared" si="2254"/>
        <v>0.37990911547062678</v>
      </c>
      <c r="BP248" s="88">
        <f t="shared" si="2254"/>
        <v>0.42009751687171043</v>
      </c>
      <c r="BQ248" s="88">
        <f t="shared" si="2254"/>
        <v>0.43216560936328235</v>
      </c>
      <c r="BR248" s="88">
        <f t="shared" si="2254"/>
        <v>0.50318159569260901</v>
      </c>
      <c r="BS248" s="88">
        <f t="shared" si="2254"/>
        <v>0.51764670861209727</v>
      </c>
      <c r="BT248" s="88">
        <f t="shared" si="2254"/>
        <v>0.51361204364246749</v>
      </c>
      <c r="BU248" s="88">
        <f t="shared" si="2254"/>
        <v>0.52687053321744926</v>
      </c>
      <c r="BV248" s="88">
        <f t="shared" si="2254"/>
        <v>0.49633633633633634</v>
      </c>
      <c r="BW248" s="88">
        <f t="shared" si="2254"/>
        <v>0.485792996749983</v>
      </c>
      <c r="BX248" s="88">
        <f t="shared" si="2254"/>
        <v>0.51759764616041148</v>
      </c>
      <c r="BY248" s="88">
        <f t="shared" si="2254"/>
        <v>0.56229074082851538</v>
      </c>
      <c r="BZ248" s="88">
        <f t="shared" si="2254"/>
        <v>0.63106270716363388</v>
      </c>
      <c r="CA248" s="88">
        <f t="shared" si="2254"/>
        <v>0.66088296692781268</v>
      </c>
      <c r="CB248" s="88">
        <f t="shared" si="2254"/>
        <v>0.44048861975360198</v>
      </c>
      <c r="CC248" s="88">
        <f t="shared" si="2254"/>
        <v>0.47301330150807153</v>
      </c>
      <c r="CD248" s="88">
        <f t="shared" si="2254"/>
        <v>0.50385763360928093</v>
      </c>
      <c r="CE248" s="88">
        <f t="shared" si="2254"/>
        <v>0.53551816202806812</v>
      </c>
      <c r="CF248" s="88">
        <f t="shared" si="2254"/>
        <v>0.47442878496690161</v>
      </c>
      <c r="CG248" s="88">
        <f t="shared" si="2254"/>
        <v>0.49820195767292469</v>
      </c>
      <c r="CH248" s="88">
        <f t="shared" si="2254"/>
        <v>0.41547697368421049</v>
      </c>
      <c r="CI248" s="88">
        <f t="shared" si="2254"/>
        <v>0.44336734280345136</v>
      </c>
      <c r="CJ248" s="88">
        <f t="shared" si="2254"/>
        <v>0.37739537889804486</v>
      </c>
      <c r="CK248" s="88">
        <f t="shared" si="2254"/>
        <v>0.42439847988303742</v>
      </c>
      <c r="CL248" s="88">
        <f t="shared" ref="CL248" si="2255">CL161/CL120</f>
        <v>0.47570565606315757</v>
      </c>
      <c r="CM248" s="42">
        <f t="shared" si="2254"/>
        <v>0.48983753398645857</v>
      </c>
      <c r="CN248" s="42">
        <f t="shared" si="2254"/>
        <v>0.51490255064956825</v>
      </c>
      <c r="CO248" s="42">
        <f t="shared" si="2254"/>
        <v>0.54667364844858646</v>
      </c>
      <c r="CP248" s="42">
        <f t="shared" si="2254"/>
        <v>0.57386451980334685</v>
      </c>
      <c r="CQ248" s="42">
        <f t="shared" si="2254"/>
        <v>0.57937147414118484</v>
      </c>
      <c r="CR248" s="42">
        <f t="shared" si="2254"/>
        <v>0.59835398414380292</v>
      </c>
      <c r="CS248" s="42">
        <f t="shared" si="2254"/>
        <v>0.62314874250110441</v>
      </c>
      <c r="CT248" s="42">
        <f t="shared" si="2254"/>
        <v>0.64408184179732719</v>
      </c>
      <c r="CU248" s="42">
        <f t="shared" si="2254"/>
        <v>0.64580363953772502</v>
      </c>
      <c r="CV248" s="42">
        <f t="shared" si="2254"/>
        <v>0.66024630499081771</v>
      </c>
      <c r="CW248" s="42">
        <f t="shared" si="2254"/>
        <v>0.68016535624486352</v>
      </c>
      <c r="CX248" s="42">
        <f t="shared" ref="CX248:DB248" si="2256">CX161/CX120</f>
        <v>0.69696344490083006</v>
      </c>
      <c r="CY248" s="42">
        <f t="shared" si="2256"/>
        <v>0.69653099265281648</v>
      </c>
      <c r="CZ248" s="42">
        <f t="shared" si="2256"/>
        <v>0.70777554523583242</v>
      </c>
      <c r="DA248" s="42">
        <f t="shared" si="2256"/>
        <v>0.72423693985398097</v>
      </c>
      <c r="DB248" s="42">
        <f t="shared" si="2256"/>
        <v>0.7381215697084087</v>
      </c>
      <c r="DE248" s="125"/>
      <c r="DF248" s="88">
        <v>0.47570565606315757</v>
      </c>
    </row>
    <row r="249" spans="1:110" s="89" customFormat="1" x14ac:dyDescent="0.2">
      <c r="A249" s="89" t="s">
        <v>103</v>
      </c>
      <c r="C249" s="89" t="e">
        <f t="shared" ref="C249:AE249" si="2257">C128/B128-1</f>
        <v>#DIV/0!</v>
      </c>
      <c r="D249" s="89" t="e">
        <f t="shared" si="2257"/>
        <v>#DIV/0!</v>
      </c>
      <c r="F249" s="89" t="e">
        <f t="shared" si="2257"/>
        <v>#DIV/0!</v>
      </c>
      <c r="G249" s="89" t="e">
        <f t="shared" si="2257"/>
        <v>#DIV/0!</v>
      </c>
      <c r="H249" s="89" t="e">
        <f t="shared" si="2257"/>
        <v>#DIV/0!</v>
      </c>
      <c r="I249" s="89" t="e">
        <f t="shared" si="2257"/>
        <v>#DIV/0!</v>
      </c>
      <c r="J249" s="89" t="e">
        <f t="shared" si="2257"/>
        <v>#DIV/0!</v>
      </c>
      <c r="K249" s="89" t="e">
        <f>K128/J128-1</f>
        <v>#DIV/0!</v>
      </c>
      <c r="L249" s="89" t="e">
        <f t="shared" si="2257"/>
        <v>#DIV/0!</v>
      </c>
      <c r="M249" s="89" t="e">
        <f t="shared" si="2257"/>
        <v>#DIV/0!</v>
      </c>
      <c r="N249" s="89" t="e">
        <f t="shared" si="2257"/>
        <v>#DIV/0!</v>
      </c>
      <c r="O249" s="89" t="e">
        <f t="shared" si="2257"/>
        <v>#DIV/0!</v>
      </c>
      <c r="P249" s="89">
        <f t="shared" si="2257"/>
        <v>3.4933760552098096</v>
      </c>
      <c r="Q249" s="89">
        <f t="shared" si="2257"/>
        <v>-0.10636333301336109</v>
      </c>
      <c r="R249" s="89">
        <f t="shared" si="2257"/>
        <v>-0.47877237851662402</v>
      </c>
      <c r="S249" s="89">
        <f t="shared" si="2257"/>
        <v>-0.31108930323846906</v>
      </c>
      <c r="T249" s="89">
        <f t="shared" si="2257"/>
        <v>0</v>
      </c>
      <c r="U249" s="89">
        <f t="shared" si="2257"/>
        <v>-0.56837606837606836</v>
      </c>
      <c r="V249" s="89">
        <f t="shared" si="2257"/>
        <v>-1</v>
      </c>
      <c r="W249" s="89" t="e">
        <f t="shared" si="2257"/>
        <v>#DIV/0!</v>
      </c>
      <c r="X249" s="89" t="e">
        <f t="shared" si="2257"/>
        <v>#DIV/0!</v>
      </c>
      <c r="Y249" s="89" t="e">
        <f t="shared" si="2257"/>
        <v>#DIV/0!</v>
      </c>
      <c r="Z249" s="89" t="e">
        <f t="shared" si="2257"/>
        <v>#DIV/0!</v>
      </c>
      <c r="AA249" s="89" t="e">
        <f t="shared" si="2257"/>
        <v>#DIV/0!</v>
      </c>
      <c r="AB249" s="47" t="e">
        <f t="shared" si="2257"/>
        <v>#DIV/0!</v>
      </c>
      <c r="AC249" s="47" t="e">
        <f t="shared" si="2257"/>
        <v>#DIV/0!</v>
      </c>
      <c r="AD249" s="47" t="e">
        <f t="shared" si="2257"/>
        <v>#DIV/0!</v>
      </c>
      <c r="AE249" s="47" t="e">
        <f t="shared" si="2257"/>
        <v>#DIV/0!</v>
      </c>
      <c r="AL249" s="89" t="e">
        <f t="shared" ref="AL249:CW249" si="2258">AL128/AK128-1</f>
        <v>#DIV/0!</v>
      </c>
      <c r="AM249" s="89" t="e">
        <f t="shared" si="2258"/>
        <v>#DIV/0!</v>
      </c>
      <c r="AN249" s="89" t="e">
        <f t="shared" si="2258"/>
        <v>#DIV/0!</v>
      </c>
      <c r="AO249" s="89" t="e">
        <f t="shared" si="2258"/>
        <v>#DIV/0!</v>
      </c>
      <c r="AP249" s="89" t="e">
        <f t="shared" si="2258"/>
        <v>#DIV/0!</v>
      </c>
      <c r="AQ249" s="89" t="e">
        <f t="shared" si="2258"/>
        <v>#DIV/0!</v>
      </c>
      <c r="AR249" s="89" t="e">
        <f t="shared" si="2258"/>
        <v>#DIV/0!</v>
      </c>
      <c r="AS249" s="89" t="e">
        <f t="shared" si="2258"/>
        <v>#DIV/0!</v>
      </c>
      <c r="AT249" s="89" t="e">
        <f t="shared" si="2258"/>
        <v>#DIV/0!</v>
      </c>
      <c r="AU249" s="89" t="e">
        <f t="shared" si="2258"/>
        <v>#DIV/0!</v>
      </c>
      <c r="AV249" s="89" t="e">
        <f t="shared" si="2258"/>
        <v>#DIV/0!</v>
      </c>
      <c r="AW249" s="89" t="e">
        <f t="shared" si="2258"/>
        <v>#DIV/0!</v>
      </c>
      <c r="AX249" s="89" t="e">
        <f t="shared" si="2258"/>
        <v>#DIV/0!</v>
      </c>
      <c r="AY249" s="89">
        <f t="shared" si="2258"/>
        <v>0</v>
      </c>
      <c r="AZ249" s="89">
        <f t="shared" si="2258"/>
        <v>-0.17902813299232734</v>
      </c>
      <c r="BA249" s="89">
        <f t="shared" si="2258"/>
        <v>0</v>
      </c>
      <c r="BB249" s="89">
        <f t="shared" si="2258"/>
        <v>-0.36510903426791275</v>
      </c>
      <c r="BC249" s="89">
        <f t="shared" si="2258"/>
        <v>0</v>
      </c>
      <c r="BD249" s="89">
        <f t="shared" si="2258"/>
        <v>0.26889106967615306</v>
      </c>
      <c r="BE249" s="89">
        <f t="shared" si="2258"/>
        <v>0</v>
      </c>
      <c r="BF249" s="89">
        <f t="shared" si="2258"/>
        <v>-0.45707656612529002</v>
      </c>
      <c r="BG249" s="89">
        <f t="shared" si="2258"/>
        <v>0</v>
      </c>
      <c r="BH249" s="89">
        <f t="shared" si="2258"/>
        <v>-0.15242165242165251</v>
      </c>
      <c r="BI249" s="89">
        <f t="shared" si="2258"/>
        <v>0</v>
      </c>
      <c r="BJ249" s="89">
        <f t="shared" si="2258"/>
        <v>0.17983193277310927</v>
      </c>
      <c r="BK249" s="89">
        <f t="shared" si="2258"/>
        <v>0</v>
      </c>
      <c r="BL249" s="89">
        <f t="shared" si="2258"/>
        <v>-0.59544159544159547</v>
      </c>
      <c r="BM249" s="89">
        <f t="shared" si="2258"/>
        <v>0</v>
      </c>
      <c r="BN249" s="89">
        <f t="shared" si="2258"/>
        <v>6.6901408450704247E-2</v>
      </c>
      <c r="BO249" s="89">
        <f t="shared" si="2258"/>
        <v>0</v>
      </c>
      <c r="BP249" s="89">
        <f t="shared" si="2258"/>
        <v>-2.6402640264026389E-2</v>
      </c>
      <c r="BQ249" s="89">
        <f t="shared" si="2258"/>
        <v>0</v>
      </c>
      <c r="BR249" s="89">
        <f t="shared" si="2258"/>
        <v>-1</v>
      </c>
      <c r="BS249" s="89" t="e">
        <f t="shared" si="2258"/>
        <v>#DIV/0!</v>
      </c>
      <c r="BT249" s="89" t="e">
        <f t="shared" si="2258"/>
        <v>#DIV/0!</v>
      </c>
      <c r="BU249" s="89" t="e">
        <f t="shared" si="2258"/>
        <v>#DIV/0!</v>
      </c>
      <c r="BV249" s="89" t="e">
        <f t="shared" si="2258"/>
        <v>#DIV/0!</v>
      </c>
      <c r="BW249" s="89" t="e">
        <f t="shared" si="2258"/>
        <v>#DIV/0!</v>
      </c>
      <c r="BX249" s="89" t="e">
        <f t="shared" si="2258"/>
        <v>#DIV/0!</v>
      </c>
      <c r="BY249" s="89" t="e">
        <f t="shared" si="2258"/>
        <v>#DIV/0!</v>
      </c>
      <c r="BZ249" s="89" t="e">
        <f t="shared" si="2258"/>
        <v>#DIV/0!</v>
      </c>
      <c r="CA249" s="89" t="e">
        <f t="shared" si="2258"/>
        <v>#DIV/0!</v>
      </c>
      <c r="CB249" s="89" t="e">
        <f t="shared" si="2258"/>
        <v>#DIV/0!</v>
      </c>
      <c r="CC249" s="89" t="e">
        <f t="shared" si="2258"/>
        <v>#DIV/0!</v>
      </c>
      <c r="CD249" s="89" t="e">
        <f t="shared" si="2258"/>
        <v>#DIV/0!</v>
      </c>
      <c r="CE249" s="89" t="e">
        <f t="shared" si="2258"/>
        <v>#DIV/0!</v>
      </c>
      <c r="CF249" s="89" t="e">
        <f t="shared" si="2258"/>
        <v>#DIV/0!</v>
      </c>
      <c r="CG249" s="89" t="e">
        <f t="shared" si="2258"/>
        <v>#DIV/0!</v>
      </c>
      <c r="CH249" s="89" t="e">
        <f t="shared" si="2258"/>
        <v>#DIV/0!</v>
      </c>
      <c r="CI249" s="89" t="e">
        <f t="shared" si="2258"/>
        <v>#DIV/0!</v>
      </c>
      <c r="CJ249" s="89" t="e">
        <f t="shared" si="2258"/>
        <v>#DIV/0!</v>
      </c>
      <c r="CK249" s="89" t="e">
        <f t="shared" si="2258"/>
        <v>#DIV/0!</v>
      </c>
      <c r="CL249" s="89" t="e">
        <f t="shared" si="2258"/>
        <v>#DIV/0!</v>
      </c>
      <c r="CM249" s="47" t="e">
        <f t="shared" si="2258"/>
        <v>#DIV/0!</v>
      </c>
      <c r="CN249" s="47" t="e">
        <f t="shared" si="2258"/>
        <v>#DIV/0!</v>
      </c>
      <c r="CO249" s="47" t="e">
        <f t="shared" si="2258"/>
        <v>#DIV/0!</v>
      </c>
      <c r="CP249" s="47" t="e">
        <f t="shared" si="2258"/>
        <v>#DIV/0!</v>
      </c>
      <c r="CQ249" s="47" t="e">
        <f t="shared" si="2258"/>
        <v>#DIV/0!</v>
      </c>
      <c r="CR249" s="47" t="e">
        <f t="shared" si="2258"/>
        <v>#DIV/0!</v>
      </c>
      <c r="CS249" s="47" t="e">
        <f t="shared" si="2258"/>
        <v>#DIV/0!</v>
      </c>
      <c r="CT249" s="47" t="e">
        <f t="shared" si="2258"/>
        <v>#DIV/0!</v>
      </c>
      <c r="CU249" s="47" t="e">
        <f t="shared" si="2258"/>
        <v>#DIV/0!</v>
      </c>
      <c r="CV249" s="47" t="e">
        <f t="shared" si="2258"/>
        <v>#DIV/0!</v>
      </c>
      <c r="CW249" s="47" t="e">
        <f t="shared" si="2258"/>
        <v>#DIV/0!</v>
      </c>
      <c r="CX249" s="47" t="e">
        <f t="shared" ref="CX249:DB249" si="2259">CX128/CW128-1</f>
        <v>#DIV/0!</v>
      </c>
      <c r="CY249" s="47" t="e">
        <f t="shared" si="2259"/>
        <v>#DIV/0!</v>
      </c>
      <c r="CZ249" s="47" t="e">
        <f t="shared" si="2259"/>
        <v>#DIV/0!</v>
      </c>
      <c r="DA249" s="47" t="e">
        <f t="shared" si="2259"/>
        <v>#DIV/0!</v>
      </c>
      <c r="DB249" s="47" t="e">
        <f t="shared" si="2259"/>
        <v>#DIV/0!</v>
      </c>
      <c r="DE249" s="130"/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260">F28/E28-1</f>
        <v>#DIV/0!</v>
      </c>
      <c r="G250" s="89" t="e">
        <f t="shared" si="2260"/>
        <v>#DIV/0!</v>
      </c>
      <c r="H250" s="89" t="e">
        <f t="shared" si="2260"/>
        <v>#DIV/0!</v>
      </c>
      <c r="I250" s="89" t="e">
        <f t="shared" si="2260"/>
        <v>#DIV/0!</v>
      </c>
      <c r="J250" s="89" t="e">
        <f t="shared" si="2260"/>
        <v>#DIV/0!</v>
      </c>
      <c r="K250" s="89" t="e">
        <f t="shared" si="2260"/>
        <v>#DIV/0!</v>
      </c>
      <c r="L250" s="89" t="e">
        <f t="shared" si="2260"/>
        <v>#DIV/0!</v>
      </c>
      <c r="M250" s="89" t="e">
        <f t="shared" si="2260"/>
        <v>#DIV/0!</v>
      </c>
      <c r="N250" s="89" t="e">
        <f t="shared" si="2260"/>
        <v>#DIV/0!</v>
      </c>
      <c r="O250" s="89">
        <f t="shared" si="2260"/>
        <v>-5194.333333333333</v>
      </c>
      <c r="P250" s="89">
        <f t="shared" si="2260"/>
        <v>24.592811296534013</v>
      </c>
      <c r="Q250" s="89">
        <f t="shared" si="2260"/>
        <v>0.30261626740499925</v>
      </c>
      <c r="R250" s="89">
        <f t="shared" si="2260"/>
        <v>8.6638428956489211E-2</v>
      </c>
      <c r="S250" s="89">
        <f t="shared" si="2260"/>
        <v>-2.6576895818568591E-3</v>
      </c>
      <c r="T250" s="89">
        <f t="shared" si="2260"/>
        <v>0.62480014212115709</v>
      </c>
      <c r="U250" s="89">
        <f t="shared" si="2260"/>
        <v>0.21189591078066949</v>
      </c>
      <c r="V250" s="89">
        <f t="shared" si="2260"/>
        <v>-0.12775171418260511</v>
      </c>
      <c r="W250" s="89">
        <f t="shared" si="2260"/>
        <v>0.42956143980140582</v>
      </c>
      <c r="X250" s="89">
        <f t="shared" si="2260"/>
        <v>0.2635844005498893</v>
      </c>
      <c r="Y250" s="89">
        <f t="shared" si="2260"/>
        <v>9.2246907924872668E-2</v>
      </c>
      <c r="Z250" s="89">
        <f t="shared" si="2260"/>
        <v>-6.3433813892529001E-2</v>
      </c>
      <c r="AA250" s="89">
        <f t="shared" si="2260"/>
        <v>6.9185558354324384E-2</v>
      </c>
      <c r="AB250" s="47">
        <f t="shared" si="2260"/>
        <v>0.17711704225746683</v>
      </c>
      <c r="AC250" s="47">
        <f t="shared" si="2260"/>
        <v>8.1475884399104581E-2</v>
      </c>
      <c r="AD250" s="47">
        <f t="shared" si="2260"/>
        <v>8.0466354073161828E-2</v>
      </c>
      <c r="AE250" s="47">
        <f t="shared" si="2260"/>
        <v>8.0088709156881155E-2</v>
      </c>
      <c r="AL250" s="89" t="e">
        <f t="shared" ref="AL250:CW250" si="2261">AL28/AK28-1</f>
        <v>#DIV/0!</v>
      </c>
      <c r="AM250" s="89" t="e">
        <f t="shared" si="2261"/>
        <v>#DIV/0!</v>
      </c>
      <c r="AN250" s="89" t="e">
        <f t="shared" si="2261"/>
        <v>#DIV/0!</v>
      </c>
      <c r="AO250" s="89" t="e">
        <f t="shared" si="2261"/>
        <v>#DIV/0!</v>
      </c>
      <c r="AP250" s="89" t="e">
        <f t="shared" si="2261"/>
        <v>#DIV/0!</v>
      </c>
      <c r="AQ250" s="89" t="e">
        <f t="shared" si="2261"/>
        <v>#DIV/0!</v>
      </c>
      <c r="AR250" s="89" t="e">
        <f t="shared" si="2261"/>
        <v>#DIV/0!</v>
      </c>
      <c r="AS250" s="89" t="e">
        <f t="shared" si="2261"/>
        <v>#DIV/0!</v>
      </c>
      <c r="AT250" s="89" t="e">
        <f t="shared" si="2261"/>
        <v>#DIV/0!</v>
      </c>
      <c r="AU250" s="89" t="e">
        <f t="shared" si="2261"/>
        <v>#DIV/0!</v>
      </c>
      <c r="AV250" s="89" t="e">
        <f t="shared" si="2261"/>
        <v>#DIV/0!</v>
      </c>
      <c r="AW250" s="89">
        <f t="shared" si="2261"/>
        <v>0.2546938775510208</v>
      </c>
      <c r="AX250" s="89">
        <f t="shared" si="2261"/>
        <v>-5.4001301236174748E-2</v>
      </c>
      <c r="AY250" s="89">
        <f t="shared" si="2261"/>
        <v>2.4759284731774578E-2</v>
      </c>
      <c r="AZ250" s="89">
        <f t="shared" si="2261"/>
        <v>4.8322147651006953E-2</v>
      </c>
      <c r="BA250" s="89">
        <f t="shared" si="2261"/>
        <v>-6.7221510883483382E-2</v>
      </c>
      <c r="BB250" s="89">
        <f t="shared" si="2261"/>
        <v>-7.6183939601921935E-2</v>
      </c>
      <c r="BC250" s="89">
        <f t="shared" si="2261"/>
        <v>-6.6121842496285166E-2</v>
      </c>
      <c r="BD250" s="89">
        <f t="shared" si="2261"/>
        <v>9.3078758949881157E-2</v>
      </c>
      <c r="BE250" s="89">
        <f t="shared" si="2261"/>
        <v>8.0786026200873495E-2</v>
      </c>
      <c r="BF250" s="89">
        <f t="shared" si="2261"/>
        <v>0.10437710437710446</v>
      </c>
      <c r="BG250" s="89">
        <f t="shared" si="2261"/>
        <v>0.19573170731707323</v>
      </c>
      <c r="BH250" s="89">
        <f t="shared" si="2261"/>
        <v>0.16675165731769459</v>
      </c>
      <c r="BI250" s="89">
        <f t="shared" si="2261"/>
        <v>5.6381118881119185E-2</v>
      </c>
      <c r="BJ250" s="89">
        <f t="shared" si="2261"/>
        <v>2.6479106330160818E-2</v>
      </c>
      <c r="BK250" s="89">
        <f t="shared" si="2261"/>
        <v>9.9153567110036755E-2</v>
      </c>
      <c r="BL250" s="89">
        <f t="shared" si="2261"/>
        <v>3.8503850385037675E-2</v>
      </c>
      <c r="BM250" s="89">
        <f t="shared" si="2261"/>
        <v>1.094632768361703E-2</v>
      </c>
      <c r="BN250" s="89">
        <f t="shared" si="2261"/>
        <v>-6.2871114215859003E-2</v>
      </c>
      <c r="BO250" s="89">
        <f t="shared" si="2261"/>
        <v>-0.23257547521431121</v>
      </c>
      <c r="BP250" s="89">
        <f t="shared" si="2261"/>
        <v>0.13064594463331636</v>
      </c>
      <c r="BQ250" s="89">
        <f t="shared" si="2261"/>
        <v>0.18384879725086001</v>
      </c>
      <c r="BR250" s="89">
        <f t="shared" si="2261"/>
        <v>6.3497822931784409E-2</v>
      </c>
      <c r="BS250" s="89">
        <f t="shared" si="2261"/>
        <v>8.393039918116818E-2</v>
      </c>
      <c r="BT250" s="89">
        <f t="shared" si="2261"/>
        <v>9.9464903997480869E-2</v>
      </c>
      <c r="BU250" s="89">
        <f t="shared" si="2261"/>
        <v>5.1817921557400837E-2</v>
      </c>
      <c r="BV250" s="89">
        <f t="shared" si="2261"/>
        <v>3.5655960805661246E-2</v>
      </c>
      <c r="BW250" s="89">
        <f t="shared" si="2261"/>
        <v>7.1484888304862215E-2</v>
      </c>
      <c r="BX250" s="89">
        <f t="shared" si="2261"/>
        <v>7.2847682119204782E-2</v>
      </c>
      <c r="BY250" s="89">
        <f t="shared" si="2261"/>
        <v>-4.1152263374484299E-3</v>
      </c>
      <c r="BZ250" s="89">
        <f t="shared" si="2261"/>
        <v>0.10238751147842029</v>
      </c>
      <c r="CA250" s="89">
        <f t="shared" si="2261"/>
        <v>-5.7059558517283726E-2</v>
      </c>
      <c r="CB250" s="89">
        <f t="shared" si="2261"/>
        <v>5.0353356890458834E-2</v>
      </c>
      <c r="CC250" s="89">
        <f t="shared" si="2261"/>
        <v>2.5441547518923802E-2</v>
      </c>
      <c r="CD250" s="89">
        <f t="shared" si="2261"/>
        <v>3.0961656756202771E-2</v>
      </c>
      <c r="CE250" s="89">
        <f t="shared" si="2261"/>
        <v>-9.2680986475736082E-2</v>
      </c>
      <c r="CF250" s="89">
        <f t="shared" si="2261"/>
        <v>2.1481806225339684E-2</v>
      </c>
      <c r="CG250" s="89">
        <f t="shared" si="2261"/>
        <v>6.1587982832617572E-2</v>
      </c>
      <c r="CH250" s="89">
        <f t="shared" si="2261"/>
        <v>-0.12532848190822632</v>
      </c>
      <c r="CI250" s="89">
        <f t="shared" si="2261"/>
        <v>6.863877975502608E-2</v>
      </c>
      <c r="CJ250" s="89">
        <f t="shared" si="2261"/>
        <v>6.1418685121107375E-2</v>
      </c>
      <c r="CK250" s="89">
        <f t="shared" si="2261"/>
        <v>4.6862265688671467E-2</v>
      </c>
      <c r="CL250" s="89">
        <f t="shared" si="2261"/>
        <v>1.4791747761774721E-2</v>
      </c>
      <c r="CM250" s="47">
        <f t="shared" si="2261"/>
        <v>9.1239673001054067E-2</v>
      </c>
      <c r="CN250" s="47">
        <f t="shared" si="2261"/>
        <v>4.4987692257063561E-3</v>
      </c>
      <c r="CO250" s="47">
        <f t="shared" si="2261"/>
        <v>-1.8568789661030372E-2</v>
      </c>
      <c r="CP250" s="47">
        <f t="shared" si="2261"/>
        <v>-2.483763198127853E-2</v>
      </c>
      <c r="CQ250" s="47">
        <f t="shared" si="2261"/>
        <v>0.12167741630759599</v>
      </c>
      <c r="CR250" s="47">
        <f t="shared" si="2261"/>
        <v>1.9411543821589161E-2</v>
      </c>
      <c r="CS250" s="47">
        <f t="shared" si="2261"/>
        <v>-3.313822914771436E-2</v>
      </c>
      <c r="CT250" s="47">
        <f t="shared" si="2261"/>
        <v>-2.7860631627518173E-2</v>
      </c>
      <c r="CU250" s="47">
        <f t="shared" si="2261"/>
        <v>0.12853293405809629</v>
      </c>
      <c r="CV250" s="47">
        <f t="shared" si="2261"/>
        <v>2.0122685428816789E-2</v>
      </c>
      <c r="CW250" s="47">
        <f t="shared" si="2261"/>
        <v>-3.5837724310660346E-2</v>
      </c>
      <c r="CX250" s="47">
        <f t="shared" ref="CX250:DB250" si="2262">CX28/CW28-1</f>
        <v>-2.7644569429924881E-2</v>
      </c>
      <c r="CY250" s="47">
        <f t="shared" si="2262"/>
        <v>0.12972575614530735</v>
      </c>
      <c r="CZ250" s="47">
        <f t="shared" si="2262"/>
        <v>1.9913444066985253E-2</v>
      </c>
      <c r="DA250" s="47">
        <f t="shared" si="2262"/>
        <v>-3.6252238040914819E-2</v>
      </c>
      <c r="DB250" s="47">
        <f t="shared" si="2262"/>
        <v>-2.7488103024082777E-2</v>
      </c>
      <c r="DE250" s="130"/>
      <c r="DF250" s="89">
        <v>6.9185558354324384E-2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263">IF(D249&gt;D250,"RF",0)</f>
        <v>#DIV/0!</v>
      </c>
      <c r="F251" s="103" t="e">
        <f t="shared" si="2263"/>
        <v>#DIV/0!</v>
      </c>
      <c r="G251" s="103" t="e">
        <f t="shared" si="2263"/>
        <v>#DIV/0!</v>
      </c>
      <c r="H251" s="103" t="e">
        <f t="shared" si="2263"/>
        <v>#DIV/0!</v>
      </c>
      <c r="I251" s="103" t="e">
        <f t="shared" si="2263"/>
        <v>#DIV/0!</v>
      </c>
      <c r="J251" s="103" t="e">
        <f t="shared" si="2263"/>
        <v>#DIV/0!</v>
      </c>
      <c r="K251" s="103" t="e">
        <f t="shared" si="2263"/>
        <v>#DIV/0!</v>
      </c>
      <c r="L251" s="103" t="e">
        <f t="shared" si="2263"/>
        <v>#DIV/0!</v>
      </c>
      <c r="M251" s="103" t="e">
        <f t="shared" si="2263"/>
        <v>#DIV/0!</v>
      </c>
      <c r="N251" s="103" t="e">
        <f t="shared" si="2263"/>
        <v>#DIV/0!</v>
      </c>
      <c r="O251" s="103" t="e">
        <f t="shared" si="2263"/>
        <v>#DIV/0!</v>
      </c>
      <c r="P251" s="103">
        <f t="shared" si="2263"/>
        <v>0</v>
      </c>
      <c r="Q251" s="103">
        <f t="shared" si="2263"/>
        <v>0</v>
      </c>
      <c r="R251" s="103">
        <f t="shared" si="2263"/>
        <v>0</v>
      </c>
      <c r="S251" s="103">
        <f t="shared" si="2263"/>
        <v>0</v>
      </c>
      <c r="T251" s="103">
        <f t="shared" si="2263"/>
        <v>0</v>
      </c>
      <c r="U251" s="103">
        <f t="shared" si="2263"/>
        <v>0</v>
      </c>
      <c r="V251" s="103">
        <f>IF(V249&gt;V250,"RF",0)</f>
        <v>0</v>
      </c>
      <c r="W251" s="103" t="e">
        <f t="shared" ref="W251:AE251" si="2264">IF(W249&gt;W250,"RF",0)</f>
        <v>#DIV/0!</v>
      </c>
      <c r="X251" s="103" t="e">
        <f t="shared" si="2264"/>
        <v>#DIV/0!</v>
      </c>
      <c r="Y251" s="103" t="e">
        <f t="shared" si="2264"/>
        <v>#DIV/0!</v>
      </c>
      <c r="Z251" s="103" t="e">
        <f t="shared" si="2264"/>
        <v>#DIV/0!</v>
      </c>
      <c r="AA251" s="103" t="e">
        <f t="shared" ref="AA251" si="2265">IF(AA249&gt;AA250,"RF",0)</f>
        <v>#DIV/0!</v>
      </c>
      <c r="AB251" s="73" t="e">
        <f t="shared" si="2264"/>
        <v>#DIV/0!</v>
      </c>
      <c r="AC251" s="73" t="e">
        <f t="shared" si="2264"/>
        <v>#DIV/0!</v>
      </c>
      <c r="AD251" s="73" t="e">
        <f t="shared" si="2264"/>
        <v>#DIV/0!</v>
      </c>
      <c r="AE251" s="73" t="e">
        <f t="shared" si="2264"/>
        <v>#DIV/0!</v>
      </c>
      <c r="AL251" s="103" t="e">
        <f t="shared" ref="AL251:CW251" si="2266">IF(AL249&gt;AL250,"RF",0)</f>
        <v>#DIV/0!</v>
      </c>
      <c r="AM251" s="103" t="e">
        <f t="shared" si="2266"/>
        <v>#DIV/0!</v>
      </c>
      <c r="AN251" s="103" t="e">
        <f t="shared" si="2266"/>
        <v>#DIV/0!</v>
      </c>
      <c r="AO251" s="103" t="e">
        <f t="shared" si="2266"/>
        <v>#DIV/0!</v>
      </c>
      <c r="AP251" s="103" t="e">
        <f t="shared" si="2266"/>
        <v>#DIV/0!</v>
      </c>
      <c r="AQ251" s="103" t="e">
        <f t="shared" si="2266"/>
        <v>#DIV/0!</v>
      </c>
      <c r="AR251" s="103" t="e">
        <f t="shared" si="2266"/>
        <v>#DIV/0!</v>
      </c>
      <c r="AS251" s="103" t="e">
        <f t="shared" si="2266"/>
        <v>#DIV/0!</v>
      </c>
      <c r="AT251" s="103" t="e">
        <f t="shared" si="2266"/>
        <v>#DIV/0!</v>
      </c>
      <c r="AU251" s="103" t="e">
        <f t="shared" si="2266"/>
        <v>#DIV/0!</v>
      </c>
      <c r="AV251" s="103" t="e">
        <f t="shared" si="2266"/>
        <v>#DIV/0!</v>
      </c>
      <c r="AW251" s="103" t="e">
        <f t="shared" si="2266"/>
        <v>#DIV/0!</v>
      </c>
      <c r="AX251" s="103" t="e">
        <f t="shared" si="2266"/>
        <v>#DIV/0!</v>
      </c>
      <c r="AY251" s="103">
        <f t="shared" si="2266"/>
        <v>0</v>
      </c>
      <c r="AZ251" s="103">
        <f t="shared" si="2266"/>
        <v>0</v>
      </c>
      <c r="BA251" s="103" t="str">
        <f t="shared" si="2266"/>
        <v>RF</v>
      </c>
      <c r="BB251" s="103">
        <f t="shared" si="2266"/>
        <v>0</v>
      </c>
      <c r="BC251" s="103" t="str">
        <f t="shared" si="2266"/>
        <v>RF</v>
      </c>
      <c r="BD251" s="103" t="str">
        <f t="shared" si="2266"/>
        <v>RF</v>
      </c>
      <c r="BE251" s="103">
        <f t="shared" si="2266"/>
        <v>0</v>
      </c>
      <c r="BF251" s="103">
        <f t="shared" si="2266"/>
        <v>0</v>
      </c>
      <c r="BG251" s="103">
        <f t="shared" si="2266"/>
        <v>0</v>
      </c>
      <c r="BH251" s="103">
        <f t="shared" si="2266"/>
        <v>0</v>
      </c>
      <c r="BI251" s="103">
        <f t="shared" si="2266"/>
        <v>0</v>
      </c>
      <c r="BJ251" s="103" t="str">
        <f t="shared" si="2266"/>
        <v>RF</v>
      </c>
      <c r="BK251" s="103">
        <f t="shared" si="2266"/>
        <v>0</v>
      </c>
      <c r="BL251" s="103">
        <f t="shared" si="2266"/>
        <v>0</v>
      </c>
      <c r="BM251" s="103">
        <f t="shared" si="2266"/>
        <v>0</v>
      </c>
      <c r="BN251" s="103" t="str">
        <f t="shared" si="2266"/>
        <v>RF</v>
      </c>
      <c r="BO251" s="103" t="str">
        <f t="shared" si="2266"/>
        <v>RF</v>
      </c>
      <c r="BP251" s="103">
        <f t="shared" si="2266"/>
        <v>0</v>
      </c>
      <c r="BQ251" s="103">
        <f t="shared" si="2266"/>
        <v>0</v>
      </c>
      <c r="BR251" s="103">
        <f t="shared" si="2266"/>
        <v>0</v>
      </c>
      <c r="BS251" s="103" t="e">
        <f t="shared" si="2266"/>
        <v>#DIV/0!</v>
      </c>
      <c r="BT251" s="103" t="e">
        <f t="shared" si="2266"/>
        <v>#DIV/0!</v>
      </c>
      <c r="BU251" s="103" t="e">
        <f t="shared" si="2266"/>
        <v>#DIV/0!</v>
      </c>
      <c r="BV251" s="103" t="e">
        <f t="shared" si="2266"/>
        <v>#DIV/0!</v>
      </c>
      <c r="BW251" s="103" t="e">
        <f t="shared" si="2266"/>
        <v>#DIV/0!</v>
      </c>
      <c r="BX251" s="103" t="e">
        <f t="shared" si="2266"/>
        <v>#DIV/0!</v>
      </c>
      <c r="BY251" s="103" t="e">
        <f t="shared" si="2266"/>
        <v>#DIV/0!</v>
      </c>
      <c r="BZ251" s="103" t="e">
        <f t="shared" si="2266"/>
        <v>#DIV/0!</v>
      </c>
      <c r="CA251" s="103" t="e">
        <f t="shared" si="2266"/>
        <v>#DIV/0!</v>
      </c>
      <c r="CB251" s="103" t="e">
        <f t="shared" si="2266"/>
        <v>#DIV/0!</v>
      </c>
      <c r="CC251" s="103" t="e">
        <f t="shared" si="2266"/>
        <v>#DIV/0!</v>
      </c>
      <c r="CD251" s="103" t="e">
        <f t="shared" si="2266"/>
        <v>#DIV/0!</v>
      </c>
      <c r="CE251" s="103" t="e">
        <f t="shared" si="2266"/>
        <v>#DIV/0!</v>
      </c>
      <c r="CF251" s="103" t="e">
        <f t="shared" si="2266"/>
        <v>#DIV/0!</v>
      </c>
      <c r="CG251" s="103" t="e">
        <f t="shared" si="2266"/>
        <v>#DIV/0!</v>
      </c>
      <c r="CH251" s="103" t="e">
        <f t="shared" si="2266"/>
        <v>#DIV/0!</v>
      </c>
      <c r="CI251" s="103" t="e">
        <f t="shared" si="2266"/>
        <v>#DIV/0!</v>
      </c>
      <c r="CJ251" s="103" t="e">
        <f t="shared" si="2266"/>
        <v>#DIV/0!</v>
      </c>
      <c r="CK251" s="103" t="e">
        <f t="shared" si="2266"/>
        <v>#DIV/0!</v>
      </c>
      <c r="CL251" s="103" t="e">
        <f t="shared" ref="CL251" si="2267">IF(CL249&gt;CL250,"RF",0)</f>
        <v>#DIV/0!</v>
      </c>
      <c r="CM251" s="73" t="e">
        <f t="shared" si="2266"/>
        <v>#DIV/0!</v>
      </c>
      <c r="CN251" s="73" t="e">
        <f t="shared" si="2266"/>
        <v>#DIV/0!</v>
      </c>
      <c r="CO251" s="73" t="e">
        <f t="shared" si="2266"/>
        <v>#DIV/0!</v>
      </c>
      <c r="CP251" s="73" t="e">
        <f t="shared" si="2266"/>
        <v>#DIV/0!</v>
      </c>
      <c r="CQ251" s="73" t="e">
        <f t="shared" si="2266"/>
        <v>#DIV/0!</v>
      </c>
      <c r="CR251" s="73" t="e">
        <f t="shared" si="2266"/>
        <v>#DIV/0!</v>
      </c>
      <c r="CS251" s="73" t="e">
        <f t="shared" si="2266"/>
        <v>#DIV/0!</v>
      </c>
      <c r="CT251" s="73" t="e">
        <f t="shared" si="2266"/>
        <v>#DIV/0!</v>
      </c>
      <c r="CU251" s="73" t="e">
        <f t="shared" si="2266"/>
        <v>#DIV/0!</v>
      </c>
      <c r="CV251" s="73" t="e">
        <f t="shared" si="2266"/>
        <v>#DIV/0!</v>
      </c>
      <c r="CW251" s="73" t="e">
        <f t="shared" si="2266"/>
        <v>#DIV/0!</v>
      </c>
      <c r="CX251" s="73" t="e">
        <f t="shared" ref="CX251:DB251" si="2268">IF(CX249&gt;CX250,"RF",0)</f>
        <v>#DIV/0!</v>
      </c>
      <c r="CY251" s="73" t="e">
        <f t="shared" si="2268"/>
        <v>#DIV/0!</v>
      </c>
      <c r="CZ251" s="73" t="e">
        <f t="shared" si="2268"/>
        <v>#DIV/0!</v>
      </c>
      <c r="DA251" s="73" t="e">
        <f t="shared" si="2268"/>
        <v>#DIV/0!</v>
      </c>
      <c r="DB251" s="73" t="e">
        <f t="shared" si="2268"/>
        <v>#DIV/0!</v>
      </c>
      <c r="DE251" s="142"/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269">F36/F8</f>
        <v>#DIV/0!</v>
      </c>
      <c r="G252" s="86" t="e">
        <f t="shared" si="2269"/>
        <v>#DIV/0!</v>
      </c>
      <c r="H252" s="86" t="e">
        <f t="shared" si="2269"/>
        <v>#DIV/0!</v>
      </c>
      <c r="I252" s="86" t="e">
        <f t="shared" si="2269"/>
        <v>#DIV/0!</v>
      </c>
      <c r="J252" s="86" t="e">
        <f t="shared" si="2269"/>
        <v>#DIV/0!</v>
      </c>
      <c r="K252" s="86" t="e">
        <f t="shared" si="2269"/>
        <v>#DIV/0!</v>
      </c>
      <c r="L252" s="86" t="e">
        <f t="shared" si="2269"/>
        <v>#DIV/0!</v>
      </c>
      <c r="M252" s="86" t="e">
        <f t="shared" si="2269"/>
        <v>#DIV/0!</v>
      </c>
      <c r="N252" s="86" t="e">
        <f t="shared" si="2269"/>
        <v>#DIV/0!</v>
      </c>
      <c r="O252" s="86">
        <f t="shared" si="2269"/>
        <v>2.3183007053974795E-2</v>
      </c>
      <c r="P252" s="86">
        <f t="shared" si="2269"/>
        <v>1.2922802674836852E-3</v>
      </c>
      <c r="Q252" s="86">
        <f t="shared" si="2269"/>
        <v>8.153414650055444E-4</v>
      </c>
      <c r="R252" s="86">
        <f t="shared" si="2269"/>
        <v>6.4649201120586157E-4</v>
      </c>
      <c r="S252" s="86">
        <f t="shared" si="2269"/>
        <v>6.4049531637799893E-4</v>
      </c>
      <c r="T252" s="86">
        <f t="shared" si="2269"/>
        <v>3.7414095268101526E-4</v>
      </c>
      <c r="U252" s="86">
        <f t="shared" si="2269"/>
        <v>6.4957021587086893E-3</v>
      </c>
      <c r="V252" s="86">
        <f t="shared" si="2269"/>
        <v>8.3490834357854565E-3</v>
      </c>
      <c r="W252" s="86">
        <f t="shared" si="2269"/>
        <v>6.6517496993774459E-3</v>
      </c>
      <c r="X252" s="86">
        <f t="shared" si="2269"/>
        <v>5.0365832907946226E-3</v>
      </c>
      <c r="Y252" s="86">
        <f t="shared" si="2269"/>
        <v>5.2760876100048718E-3</v>
      </c>
      <c r="Z252" s="86">
        <f t="shared" si="2269"/>
        <v>5.8596585841405487E-3</v>
      </c>
      <c r="AA252" s="86">
        <f t="shared" ref="AA252" si="2270">AA36/AA8</f>
        <v>5.8294455206031335E-3</v>
      </c>
      <c r="AB252" s="87">
        <f t="shared" si="2269"/>
        <v>-1.5789645910103674E-2</v>
      </c>
      <c r="AC252" s="87">
        <f t="shared" si="2269"/>
        <v>-2.1058753558457773E-2</v>
      </c>
      <c r="AD252" s="87">
        <f t="shared" si="2269"/>
        <v>-2.6210369612826957E-2</v>
      </c>
      <c r="AE252" s="87">
        <f t="shared" si="2269"/>
        <v>-3.1245593363204101E-2</v>
      </c>
      <c r="AL252" s="86" t="e">
        <f t="shared" ref="AL252:CW252" si="2271">AL36/AL8</f>
        <v>#DIV/0!</v>
      </c>
      <c r="AM252" s="86" t="e">
        <f t="shared" si="2271"/>
        <v>#DIV/0!</v>
      </c>
      <c r="AN252" s="86" t="e">
        <f t="shared" si="2271"/>
        <v>#DIV/0!</v>
      </c>
      <c r="AO252" s="86" t="e">
        <f t="shared" si="2271"/>
        <v>#DIV/0!</v>
      </c>
      <c r="AP252" s="86" t="e">
        <f t="shared" si="2271"/>
        <v>#DIV/0!</v>
      </c>
      <c r="AQ252" s="86" t="e">
        <f t="shared" si="2271"/>
        <v>#DIV/0!</v>
      </c>
      <c r="AR252" s="86" t="e">
        <f t="shared" si="2271"/>
        <v>#DIV/0!</v>
      </c>
      <c r="AS252" s="86" t="e">
        <f t="shared" si="2271"/>
        <v>#DIV/0!</v>
      </c>
      <c r="AT252" s="86" t="e">
        <f t="shared" si="2271"/>
        <v>#DIV/0!</v>
      </c>
      <c r="AU252" s="86" t="e">
        <f t="shared" si="2271"/>
        <v>#DIV/0!</v>
      </c>
      <c r="AV252" s="86">
        <f t="shared" si="2271"/>
        <v>9.0720580611715904E-4</v>
      </c>
      <c r="AW252" s="86">
        <f t="shared" si="2271"/>
        <v>8.9720584465521652E-4</v>
      </c>
      <c r="AX252" s="86">
        <f t="shared" si="2271"/>
        <v>7.4868979286249059E-4</v>
      </c>
      <c r="AY252" s="86">
        <f t="shared" si="2271"/>
        <v>6.2274255822642919E-4</v>
      </c>
      <c r="AZ252" s="86">
        <f t="shared" si="2271"/>
        <v>6.0775495320286859E-4</v>
      </c>
      <c r="BA252" s="86">
        <f t="shared" si="2271"/>
        <v>6.169792694965449E-4</v>
      </c>
      <c r="BB252" s="86">
        <f t="shared" si="2271"/>
        <v>7.3864335836513605E-4</v>
      </c>
      <c r="BC252" s="86">
        <f t="shared" si="2271"/>
        <v>2.4313153415998054E-4</v>
      </c>
      <c r="BD252" s="86">
        <f t="shared" si="2271"/>
        <v>5.5518543193426606E-4</v>
      </c>
      <c r="BE252" s="86">
        <f t="shared" si="2271"/>
        <v>9.2869672892374364E-4</v>
      </c>
      <c r="BF252" s="86">
        <f t="shared" si="2271"/>
        <v>7.5843761850587796E-4</v>
      </c>
      <c r="BG252" s="86">
        <f t="shared" si="2271"/>
        <v>3.4716195105016491E-4</v>
      </c>
      <c r="BH252" s="86">
        <f t="shared" si="2271"/>
        <v>3.1593081115235765E-4</v>
      </c>
      <c r="BI252" s="86">
        <f t="shared" si="2271"/>
        <v>4.5561546055129467E-4</v>
      </c>
      <c r="BJ252" s="86">
        <f t="shared" si="2271"/>
        <v>3.7227309954582683E-4</v>
      </c>
      <c r="BK252" s="86">
        <f t="shared" si="2271"/>
        <v>6.7532467532467532E-3</v>
      </c>
      <c r="BL252" s="86">
        <f t="shared" si="2271"/>
        <v>6.4902646030953574E-3</v>
      </c>
      <c r="BM252" s="86">
        <f t="shared" si="2271"/>
        <v>6.2548316817766531E-3</v>
      </c>
      <c r="BN252" s="86">
        <f t="shared" si="2271"/>
        <v>6.4979952993225497E-3</v>
      </c>
      <c r="BO252" s="86">
        <f t="shared" si="2271"/>
        <v>8.2644628099173539E-3</v>
      </c>
      <c r="BP252" s="86">
        <f t="shared" si="2271"/>
        <v>8.2965443750951436E-3</v>
      </c>
      <c r="BQ252" s="86">
        <f t="shared" si="2271"/>
        <v>8.1387877489826517E-3</v>
      </c>
      <c r="BR252" s="86">
        <f t="shared" si="2271"/>
        <v>8.6775425199583471E-3</v>
      </c>
      <c r="BS252" s="86">
        <f t="shared" si="2271"/>
        <v>7.1127502634351948E-3</v>
      </c>
      <c r="BT252" s="86">
        <f t="shared" si="2271"/>
        <v>7.0286745039497417E-3</v>
      </c>
      <c r="BU252" s="86">
        <f t="shared" si="2271"/>
        <v>6.5777777777777779E-3</v>
      </c>
      <c r="BV252" s="86">
        <f t="shared" si="2271"/>
        <v>5.9791583622800524E-3</v>
      </c>
      <c r="BW252" s="86">
        <f t="shared" si="2271"/>
        <v>5.4331572126408139E-3</v>
      </c>
      <c r="BX252" s="86">
        <f t="shared" si="2271"/>
        <v>4.64565893851076E-3</v>
      </c>
      <c r="BY252" s="86">
        <f t="shared" si="2271"/>
        <v>5.3314789058878072E-3</v>
      </c>
      <c r="BZ252" s="86">
        <f t="shared" si="2271"/>
        <v>4.8089091369273602E-3</v>
      </c>
      <c r="CA252" s="86">
        <f t="shared" si="2271"/>
        <v>5.2142174328669508E-3</v>
      </c>
      <c r="CB252" s="86">
        <f t="shared" si="2271"/>
        <v>5.2796983029541169E-3</v>
      </c>
      <c r="CC252" s="86">
        <f t="shared" si="2271"/>
        <v>5.4091997687670326E-3</v>
      </c>
      <c r="CD252" s="86">
        <f t="shared" si="2271"/>
        <v>5.2019704433497538E-3</v>
      </c>
      <c r="CE252" s="86">
        <f t="shared" si="2271"/>
        <v>5.3210934643974162E-3</v>
      </c>
      <c r="CF252" s="86">
        <f t="shared" si="2271"/>
        <v>4.625131174938785E-3</v>
      </c>
      <c r="CG252" s="86">
        <f t="shared" si="2271"/>
        <v>5.8424425179042592E-3</v>
      </c>
      <c r="CH252" s="86">
        <f t="shared" si="2271"/>
        <v>6.0277503980589887E-3</v>
      </c>
      <c r="CI252" s="86">
        <f t="shared" si="2271"/>
        <v>5.7571528262386606E-3</v>
      </c>
      <c r="CJ252" s="86">
        <f t="shared" si="2271"/>
        <v>5.3029031716730997E-3</v>
      </c>
      <c r="CK252" s="86">
        <f t="shared" si="2271"/>
        <v>5.0966307508123823E-3</v>
      </c>
      <c r="CL252" s="86">
        <f t="shared" ref="CL252" si="2272">CL36/CL8</f>
        <v>5.9484236677280521E-3</v>
      </c>
      <c r="CM252" s="87">
        <f t="shared" si="2271"/>
        <v>-1.3493200176631808E-2</v>
      </c>
      <c r="CN252" s="87">
        <f t="shared" si="2271"/>
        <v>-1.4342142250613159E-2</v>
      </c>
      <c r="CO252" s="87">
        <f t="shared" si="2271"/>
        <v>-1.6490947730426444E-2</v>
      </c>
      <c r="CP252" s="87">
        <f t="shared" si="2271"/>
        <v>-1.899202573275062E-2</v>
      </c>
      <c r="CQ252" s="87">
        <f t="shared" si="2271"/>
        <v>-1.8580715444866631E-2</v>
      </c>
      <c r="CR252" s="87">
        <f t="shared" si="2271"/>
        <v>-1.9377423624533617E-2</v>
      </c>
      <c r="CS252" s="87">
        <f t="shared" si="2271"/>
        <v>-2.1875491587806745E-2</v>
      </c>
      <c r="CT252" s="87">
        <f t="shared" si="2271"/>
        <v>-2.4601641186947208E-2</v>
      </c>
      <c r="CU252" s="87">
        <f t="shared" si="2271"/>
        <v>-2.3562164759215427E-2</v>
      </c>
      <c r="CV252" s="87">
        <f t="shared" si="2271"/>
        <v>-2.4340528633478558E-2</v>
      </c>
      <c r="CW252" s="87">
        <f t="shared" si="2271"/>
        <v>-2.7110758254116189E-2</v>
      </c>
      <c r="CX252" s="87">
        <f t="shared" ref="CX252:DB252" si="2273">CX36/CX8</f>
        <v>-3.0049746142701887E-2</v>
      </c>
      <c r="CY252" s="87">
        <f t="shared" si="2273"/>
        <v>-2.8440995008896127E-2</v>
      </c>
      <c r="CZ252" s="87">
        <f t="shared" si="2273"/>
        <v>-2.9194427718224853E-2</v>
      </c>
      <c r="DA252" s="87">
        <f t="shared" si="2273"/>
        <v>-3.221742094652548E-2</v>
      </c>
      <c r="DB252" s="87">
        <f t="shared" si="2273"/>
        <v>-3.5369039073831231E-2</v>
      </c>
      <c r="DE252" s="141"/>
      <c r="DF252" s="86">
        <v>5.8294455206031335E-3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274">F32/F8</f>
        <v>#DIV/0!</v>
      </c>
      <c r="G253" s="86" t="e">
        <f t="shared" si="2274"/>
        <v>#DIV/0!</v>
      </c>
      <c r="H253" s="86" t="e">
        <f t="shared" si="2274"/>
        <v>#DIV/0!</v>
      </c>
      <c r="I253" s="86" t="e">
        <f t="shared" si="2274"/>
        <v>#DIV/0!</v>
      </c>
      <c r="J253" s="86" t="e">
        <f t="shared" si="2274"/>
        <v>#DIV/0!</v>
      </c>
      <c r="K253" s="86" t="e">
        <f t="shared" si="2274"/>
        <v>#DIV/0!</v>
      </c>
      <c r="L253" s="86" t="e">
        <f t="shared" si="2274"/>
        <v>#DIV/0!</v>
      </c>
      <c r="M253" s="86" t="e">
        <f t="shared" si="2274"/>
        <v>#DIV/0!</v>
      </c>
      <c r="N253" s="86" t="e">
        <f t="shared" si="2274"/>
        <v>#DIV/0!</v>
      </c>
      <c r="O253" s="86">
        <f t="shared" si="2274"/>
        <v>8.9086153602282638E-3</v>
      </c>
      <c r="P253" s="86">
        <f t="shared" si="2274"/>
        <v>1.8507026773954442E-2</v>
      </c>
      <c r="Q253" s="86">
        <f t="shared" si="2274"/>
        <v>1.9209444915530626E-2</v>
      </c>
      <c r="R253" s="86">
        <f t="shared" si="2274"/>
        <v>1.9240833666841116E-2</v>
      </c>
      <c r="S253" s="86">
        <f t="shared" si="2274"/>
        <v>2.3698326705985963E-2</v>
      </c>
      <c r="T253" s="86">
        <f t="shared" si="2274"/>
        <v>2.0518677510190417E-2</v>
      </c>
      <c r="U253" s="86">
        <f t="shared" si="2274"/>
        <v>3.2549696570625189E-2</v>
      </c>
      <c r="V253" s="86">
        <f t="shared" si="2274"/>
        <v>4.0057250857845388E-2</v>
      </c>
      <c r="W253" s="86">
        <f t="shared" si="2274"/>
        <v>3.263467129397081E-2</v>
      </c>
      <c r="X253" s="86">
        <f t="shared" si="2274"/>
        <v>2.652146786909421E-2</v>
      </c>
      <c r="Y253" s="86">
        <f t="shared" si="2274"/>
        <v>2.8152954712717553E-2</v>
      </c>
      <c r="Z253" s="86">
        <f t="shared" si="2274"/>
        <v>3.1434734811557528E-2</v>
      </c>
      <c r="AA253" s="86">
        <f t="shared" ref="AA253" si="2275">AA32/AA8</f>
        <v>3.1393519402686455E-2</v>
      </c>
      <c r="AB253" s="87">
        <f t="shared" si="2274"/>
        <v>2.9247982674983696E-2</v>
      </c>
      <c r="AC253" s="87">
        <f t="shared" si="2274"/>
        <v>2.5098645057161827E-2</v>
      </c>
      <c r="AD253" s="87">
        <f t="shared" si="2274"/>
        <v>2.2402488649923061E-2</v>
      </c>
      <c r="AE253" s="87">
        <f t="shared" si="2274"/>
        <v>2.0387302241877923E-2</v>
      </c>
      <c r="AL253" s="86" t="e">
        <f t="shared" ref="AL253:CW253" si="2276">AL32/AL8</f>
        <v>#DIV/0!</v>
      </c>
      <c r="AM253" s="86" t="e">
        <f t="shared" si="2276"/>
        <v>#DIV/0!</v>
      </c>
      <c r="AN253" s="86" t="e">
        <f t="shared" si="2276"/>
        <v>#DIV/0!</v>
      </c>
      <c r="AO253" s="86" t="e">
        <f t="shared" si="2276"/>
        <v>#DIV/0!</v>
      </c>
      <c r="AP253" s="86" t="e">
        <f t="shared" si="2276"/>
        <v>#DIV/0!</v>
      </c>
      <c r="AQ253" s="86" t="e">
        <f t="shared" si="2276"/>
        <v>#DIV/0!</v>
      </c>
      <c r="AR253" s="86" t="e">
        <f t="shared" si="2276"/>
        <v>#DIV/0!</v>
      </c>
      <c r="AS253" s="86" t="e">
        <f t="shared" si="2276"/>
        <v>#DIV/0!</v>
      </c>
      <c r="AT253" s="86" t="e">
        <f t="shared" si="2276"/>
        <v>#DIV/0!</v>
      </c>
      <c r="AU253" s="86" t="e">
        <f t="shared" si="2276"/>
        <v>#DIV/0!</v>
      </c>
      <c r="AV253" s="86">
        <f t="shared" si="2276"/>
        <v>1.8662519440124415E-2</v>
      </c>
      <c r="AW253" s="86">
        <f t="shared" si="2276"/>
        <v>1.7687772366059985E-2</v>
      </c>
      <c r="AX253" s="86">
        <f t="shared" si="2276"/>
        <v>2.2335912153730968E-2</v>
      </c>
      <c r="AY253" s="86">
        <f t="shared" si="2276"/>
        <v>2.2169635072860881E-2</v>
      </c>
      <c r="AZ253" s="86">
        <f t="shared" si="2276"/>
        <v>1.8354199586726631E-2</v>
      </c>
      <c r="BA253" s="86">
        <f t="shared" si="2276"/>
        <v>1.838598223099704E-2</v>
      </c>
      <c r="BB253" s="86">
        <f t="shared" si="2276"/>
        <v>1.8096762279945833E-2</v>
      </c>
      <c r="BC253" s="86">
        <f t="shared" si="2276"/>
        <v>1.7627036226598589E-2</v>
      </c>
      <c r="BD253" s="86">
        <f t="shared" si="2276"/>
        <v>1.6211414612480567E-2</v>
      </c>
      <c r="BE253" s="86">
        <f t="shared" si="2276"/>
        <v>1.496233618821587E-2</v>
      </c>
      <c r="BF253" s="86">
        <f t="shared" si="2276"/>
        <v>4.2851725445582106E-2</v>
      </c>
      <c r="BG253" s="86">
        <f t="shared" si="2276"/>
        <v>2.2565526818260719E-2</v>
      </c>
      <c r="BH253" s="86">
        <f t="shared" si="2276"/>
        <v>2.1325329752784141E-2</v>
      </c>
      <c r="BI253" s="86">
        <f t="shared" si="2276"/>
        <v>1.8148682511959904E-2</v>
      </c>
      <c r="BJ253" s="86">
        <f t="shared" si="2276"/>
        <v>2.0326111235202147E-2</v>
      </c>
      <c r="BK253" s="86">
        <f t="shared" si="2276"/>
        <v>3.176252319109462E-2</v>
      </c>
      <c r="BL253" s="86">
        <f t="shared" si="2276"/>
        <v>3.1666785535981741E-2</v>
      </c>
      <c r="BM253" s="86">
        <f t="shared" si="2276"/>
        <v>3.3171691615714385E-2</v>
      </c>
      <c r="BN253" s="86">
        <f t="shared" si="2276"/>
        <v>3.3526890640121668E-2</v>
      </c>
      <c r="BO253" s="86">
        <f t="shared" si="2276"/>
        <v>3.8001081331582608E-2</v>
      </c>
      <c r="BP253" s="86">
        <f t="shared" si="2276"/>
        <v>4.0112650327294871E-2</v>
      </c>
      <c r="BQ253" s="86">
        <f t="shared" si="2276"/>
        <v>4.4549153994431351E-2</v>
      </c>
      <c r="BR253" s="86">
        <f t="shared" si="2276"/>
        <v>3.7486983686220061E-2</v>
      </c>
      <c r="BS253" s="86">
        <f t="shared" si="2276"/>
        <v>3.6485774499473128E-2</v>
      </c>
      <c r="BT253" s="86">
        <f t="shared" si="2276"/>
        <v>3.2904148783977107E-2</v>
      </c>
      <c r="BU253" s="86">
        <f t="shared" si="2276"/>
        <v>3.1407407407407405E-2</v>
      </c>
      <c r="BV253" s="86">
        <f t="shared" si="2276"/>
        <v>3.0237458003530553E-2</v>
      </c>
      <c r="BW253" s="86">
        <f t="shared" si="2276"/>
        <v>2.9408832618881466E-2</v>
      </c>
      <c r="BX253" s="86">
        <f t="shared" si="2276"/>
        <v>2.5857912959635361E-2</v>
      </c>
      <c r="BY253" s="86">
        <f t="shared" si="2276"/>
        <v>2.7306444135373201E-2</v>
      </c>
      <c r="BZ253" s="86">
        <f t="shared" si="2276"/>
        <v>2.3960178857673164E-2</v>
      </c>
      <c r="CA253" s="86">
        <f t="shared" si="2276"/>
        <v>2.4941340053880247E-2</v>
      </c>
      <c r="CB253" s="86">
        <f t="shared" si="2276"/>
        <v>2.8535512256442488E-2</v>
      </c>
      <c r="CC253" s="86">
        <f t="shared" si="2276"/>
        <v>2.9523494921133039E-2</v>
      </c>
      <c r="CD253" s="86">
        <f t="shared" si="2276"/>
        <v>2.9399014778325121E-2</v>
      </c>
      <c r="CE253" s="86">
        <f t="shared" si="2276"/>
        <v>2.9489418741622322E-2</v>
      </c>
      <c r="CF253" s="86">
        <f t="shared" si="2276"/>
        <v>3.0432585798126625E-2</v>
      </c>
      <c r="CG253" s="86">
        <f t="shared" si="2276"/>
        <v>2.7440633245382585E-2</v>
      </c>
      <c r="CH253" s="86">
        <f t="shared" si="2276"/>
        <v>3.066949730836303E-2</v>
      </c>
      <c r="CI253" s="86">
        <f t="shared" si="2276"/>
        <v>2.8297278436845777E-2</v>
      </c>
      <c r="CJ253" s="86">
        <f t="shared" si="2276"/>
        <v>3.107904010740057E-2</v>
      </c>
      <c r="CK253" s="86">
        <f t="shared" si="2276"/>
        <v>2.965623396613648E-2</v>
      </c>
      <c r="CL253" s="86">
        <f t="shared" ref="CL253" si="2277">CL32/CL8</f>
        <v>3.0266979250498618E-2</v>
      </c>
      <c r="CM253" s="87">
        <f t="shared" si="2276"/>
        <v>3.0306916518747413E-2</v>
      </c>
      <c r="CN253" s="87">
        <f t="shared" si="2276"/>
        <v>2.8661487952564797E-2</v>
      </c>
      <c r="CO253" s="87">
        <f t="shared" si="2276"/>
        <v>2.891049484856606E-2</v>
      </c>
      <c r="CP253" s="87">
        <f t="shared" si="2276"/>
        <v>2.9121000958383211E-2</v>
      </c>
      <c r="CQ253" s="87">
        <f t="shared" si="2276"/>
        <v>2.5372623029163811E-2</v>
      </c>
      <c r="CR253" s="87">
        <f t="shared" si="2276"/>
        <v>2.4470973133620177E-2</v>
      </c>
      <c r="CS253" s="87">
        <f t="shared" si="2276"/>
        <v>2.5067357375205782E-2</v>
      </c>
      <c r="CT253" s="87">
        <f t="shared" si="2276"/>
        <v>2.5514328608263123E-2</v>
      </c>
      <c r="CU253" s="87">
        <f t="shared" si="2276"/>
        <v>2.2389686719615123E-2</v>
      </c>
      <c r="CV253" s="87">
        <f t="shared" si="2276"/>
        <v>2.1789602487301257E-2</v>
      </c>
      <c r="CW253" s="87">
        <f t="shared" si="2276"/>
        <v>2.2474761354591189E-2</v>
      </c>
      <c r="CX253" s="87">
        <f t="shared" ref="CX253:DB253" si="2278">CX32/CX8</f>
        <v>2.2995534584689111E-2</v>
      </c>
      <c r="CY253" s="87">
        <f t="shared" si="2278"/>
        <v>2.0267980880991725E-2</v>
      </c>
      <c r="CZ253" s="87">
        <f t="shared" si="2278"/>
        <v>1.9805560441465885E-2</v>
      </c>
      <c r="DA253" s="87">
        <f t="shared" si="2278"/>
        <v>2.0493926034513561E-2</v>
      </c>
      <c r="DB253" s="87">
        <f t="shared" si="2278"/>
        <v>2.1023204860537062E-2</v>
      </c>
      <c r="DE253" s="141"/>
      <c r="DF253" s="86">
        <v>3.1393519402686455E-2</v>
      </c>
    </row>
    <row r="254" spans="1:110" s="85" customFormat="1" x14ac:dyDescent="0.2">
      <c r="AB254" s="58"/>
      <c r="AC254" s="58"/>
      <c r="AD254" s="58"/>
      <c r="AE254" s="58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268618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L&amp;T Technology Services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771.6</v>
      </c>
      <c r="Q6">
        <f>_xll.EQNXTDZ($A$1,$B6,Q$1,$B$1)</f>
        <v>780.2</v>
      </c>
      <c r="R6">
        <f>_xll.EQNXTDZ($A$1,$B6,R$1,$B$1)</f>
        <v>801.4</v>
      </c>
      <c r="S6">
        <f>_xll.EQNXTDZ($A$1,$B6,S$1,$B$1)</f>
        <v>802.9</v>
      </c>
      <c r="T6">
        <f>_xll.EQNXTDZ($A$1,$B6,T$1,$B$1)</f>
        <v>822.7</v>
      </c>
      <c r="U6">
        <f>_xll.EQNXTDZ($A$1,$B6,U$1,$B$1)</f>
        <v>810.4</v>
      </c>
      <c r="V6">
        <f>_xll.EQNXTDZ($A$1,$B6,V$1,$B$1)</f>
        <v>812.3</v>
      </c>
      <c r="W6">
        <f>_xll.EQNXTDZ($A$1,$B6,W$1,$B$1)</f>
        <v>822.6</v>
      </c>
      <c r="X6">
        <f>_xll.EQNXTDZ($A$1,$B6,X$1,$B$1)</f>
        <v>900.6</v>
      </c>
      <c r="Y6">
        <f>_xll.EQNXTDZ($A$1,$B6,Y$1,$B$1)</f>
        <v>969.1</v>
      </c>
      <c r="Z6">
        <f>_xll.EQNXTDZ($A$1,$B6,Z$1,$B$1)</f>
        <v>1054.8</v>
      </c>
      <c r="AA6">
        <f>_xll.EQNXTDZ($A$1,$B6,AA$1,$B$1)</f>
        <v>1152.2</v>
      </c>
      <c r="AB6">
        <f>_xll.EQNXTDZ($A$1,$B6,AB$1,$B$1)</f>
        <v>1266.0999999999999</v>
      </c>
      <c r="AC6">
        <f>_xll.EQNXTDZ($A$1,$B6,AC$1,$B$1)</f>
        <v>1316.9</v>
      </c>
      <c r="AD6">
        <f>_xll.EQNXTDZ($A$1,$B6,AD$1,$B$1)</f>
        <v>1343.1</v>
      </c>
      <c r="AE6">
        <f>_xll.EQNXTDZ($A$1,$B6,AE$1,$B$1)</f>
        <v>1347.5</v>
      </c>
      <c r="AF6">
        <f>_xll.EQNXTDZ($A$1,$B6,AF$1,$B$1)</f>
        <v>1402.1</v>
      </c>
      <c r="AG6">
        <f>_xll.EQNXTDZ($A$1,$B6,AG$1,$B$1)</f>
        <v>1422.9</v>
      </c>
      <c r="AH6">
        <f>_xll.EQNXTDZ($A$1,$B6,AH$1,$B$1)</f>
        <v>1446.6</v>
      </c>
      <c r="AI6">
        <f>_xll.EQNXTDZ($A$1,$B6,AI$1,$B$1)</f>
        <v>1294.7</v>
      </c>
      <c r="AJ6">
        <f>_xll.EQNXTDZ($A$1,$B6,AJ$1,$B$1)</f>
        <v>1313.8</v>
      </c>
      <c r="AK6">
        <f>_xll.EQNXTDZ($A$1,$B6,AK$1,$B$1)</f>
        <v>1400.7</v>
      </c>
      <c r="AL6">
        <f>_xll.EQNXTDZ($A$1,$B6,AL$1,$B$1)</f>
        <v>1440.5</v>
      </c>
      <c r="AM6">
        <f>_xll.EQNXTDZ($A$1,$B6,AM$1,$B$1)</f>
        <v>1518.4</v>
      </c>
      <c r="AN6">
        <f>_xll.EQNXTDZ($A$1,$B6,AN$1,$B$1)</f>
        <v>1607.7</v>
      </c>
      <c r="AO6">
        <f>_xll.EQNXTDZ($A$1,$B6,AO$1,$B$1)</f>
        <v>1687.5</v>
      </c>
      <c r="AP6">
        <f>_xll.EQNXTDZ($A$1,$B6,AP$1,$B$1)</f>
        <v>1756.1</v>
      </c>
      <c r="AQ6">
        <f>_xll.EQNXTDZ($A$1,$B6,AQ$1,$B$1)</f>
        <v>2006.2</v>
      </c>
      <c r="AR6">
        <f>_xll.EQNXTDZ($A$1,$B6,AR$1,$B$1)</f>
        <v>2281.6999999999998</v>
      </c>
      <c r="AS6">
        <f>_xll.EQNXTDZ($A$1,$B6,AS$1,$B$1)</f>
        <v>2157</v>
      </c>
      <c r="AT6">
        <f>_xll.EQNXTDZ($A$1,$B6,AT$1,$B$1)</f>
        <v>2370.6</v>
      </c>
      <c r="AU6">
        <f>_xll.EQNXTDZ($A$1,$B6,AU$1,$B$1)</f>
        <v>2301.4</v>
      </c>
      <c r="AV6">
        <f>_xll.EQNXTDZ($A$1,$B6,AV$1,$B$1)</f>
        <v>2386.5</v>
      </c>
      <c r="AW6">
        <f>_xll.EQNXTDZ($A$1,$B6,AW$1,$B$1)</f>
        <v>2421.8000000000002</v>
      </c>
      <c r="AX6">
        <f>_xll.EQNXTDZ($A$1,$B6,AX$1,$B$1)</f>
        <v>2537.5</v>
      </c>
      <c r="AY6">
        <f>_xll.EQNXTDZ($A$1,$B6,AY$1,$B$1)</f>
        <v>2461.9</v>
      </c>
      <c r="AZ6">
        <f>_xll.EQNXTDZ($A$1,$B6,AZ$1,$B$1)</f>
        <v>2572.9</v>
      </c>
      <c r="BA6">
        <f>_xll.EQNXTDZ($A$1,$B6,BA$1,$B$1)</f>
        <v>2653</v>
      </c>
      <c r="BB6">
        <f>_xll.EQNXTDZ($A$1,$B6,BB$1,$B$1)</f>
        <v>2637.8</v>
      </c>
      <c r="BC6">
        <f>_xll.EQNXTDZ($A$1,$B6,BC$1,$B$1)</f>
        <v>2866</v>
      </c>
      <c r="BD6">
        <f>_xll.EQNXTDZ($A$1,$B6,BD$1,$B$1)</f>
        <v>2979.5</v>
      </c>
      <c r="BE6">
        <f>_xll.EQNXTDZ($A$1,$B6,BE$1,$B$1)</f>
        <v>2923.5</v>
      </c>
      <c r="BF6">
        <f>_xll.EQNXTDZ($A$1,$B6,BF$1,$B$1)</f>
        <v>2857.9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771.6</v>
      </c>
      <c r="Q9">
        <f>_xll.EQNXTDZ($A$1,$B9,Q$1,$B$1)</f>
        <v>780.2</v>
      </c>
      <c r="R9">
        <f>_xll.EQNXTDZ($A$1,$B9,R$1,$B$1)</f>
        <v>801.4</v>
      </c>
      <c r="S9">
        <f>_xll.EQNXTDZ($A$1,$B9,S$1,$B$1)</f>
        <v>802.9</v>
      </c>
      <c r="T9">
        <f>_xll.EQNXTDZ($A$1,$B9,T$1,$B$1)</f>
        <v>822.7</v>
      </c>
      <c r="U9">
        <f>_xll.EQNXTDZ($A$1,$B9,U$1,$B$1)</f>
        <v>810.4</v>
      </c>
      <c r="V9">
        <f>_xll.EQNXTDZ($A$1,$B9,V$1,$B$1)</f>
        <v>812.3</v>
      </c>
      <c r="W9">
        <f>_xll.EQNXTDZ($A$1,$B9,W$1,$B$1)</f>
        <v>822.6</v>
      </c>
      <c r="X9">
        <f>_xll.EQNXTDZ($A$1,$B9,X$1,$B$1)</f>
        <v>900.6</v>
      </c>
      <c r="Y9">
        <f>_xll.EQNXTDZ($A$1,$B9,Y$1,$B$1)</f>
        <v>969.1</v>
      </c>
      <c r="Z9">
        <f>_xll.EQNXTDZ($A$1,$B9,Z$1,$B$1)</f>
        <v>1054.8</v>
      </c>
      <c r="AA9">
        <f>_xll.EQNXTDZ($A$1,$B9,AA$1,$B$1)</f>
        <v>1152.2</v>
      </c>
      <c r="AB9">
        <f>_xll.EQNXTDZ($A$1,$B9,AB$1,$B$1)</f>
        <v>1266.0999999999999</v>
      </c>
      <c r="AC9">
        <f>_xll.EQNXTDZ($A$1,$B9,AC$1,$B$1)</f>
        <v>1316.9</v>
      </c>
      <c r="AD9">
        <f>_xll.EQNXTDZ($A$1,$B9,AD$1,$B$1)</f>
        <v>1343.1</v>
      </c>
      <c r="AE9">
        <f>_xll.EQNXTDZ($A$1,$B9,AE$1,$B$1)</f>
        <v>1347.5</v>
      </c>
      <c r="AF9">
        <f>_xll.EQNXTDZ($A$1,$B9,AF$1,$B$1)</f>
        <v>1402.1</v>
      </c>
      <c r="AG9">
        <f>_xll.EQNXTDZ($A$1,$B9,AG$1,$B$1)</f>
        <v>1422.9</v>
      </c>
      <c r="AH9">
        <f>_xll.EQNXTDZ($A$1,$B9,AH$1,$B$1)</f>
        <v>1446.6</v>
      </c>
      <c r="AI9">
        <f>_xll.EQNXTDZ($A$1,$B9,AI$1,$B$1)</f>
        <v>1294.7</v>
      </c>
      <c r="AJ9">
        <f>_xll.EQNXTDZ($A$1,$B9,AJ$1,$B$1)</f>
        <v>1313.8</v>
      </c>
      <c r="AK9">
        <f>_xll.EQNXTDZ($A$1,$B9,AK$1,$B$1)</f>
        <v>1400.7</v>
      </c>
      <c r="AL9">
        <f>_xll.EQNXTDZ($A$1,$B9,AL$1,$B$1)</f>
        <v>1440.5</v>
      </c>
      <c r="AM9">
        <f>_xll.EQNXTDZ($A$1,$B9,AM$1,$B$1)</f>
        <v>1518.4</v>
      </c>
      <c r="AN9">
        <f>_xll.EQNXTDZ($A$1,$B9,AN$1,$B$1)</f>
        <v>1607.7</v>
      </c>
      <c r="AO9">
        <f>_xll.EQNXTDZ($A$1,$B9,AO$1,$B$1)</f>
        <v>1687.5</v>
      </c>
      <c r="AP9">
        <f>_xll.EQNXTDZ($A$1,$B9,AP$1,$B$1)</f>
        <v>1756.1</v>
      </c>
      <c r="AQ9">
        <f>_xll.EQNXTDZ($A$1,$B9,AQ$1,$B$1)</f>
        <v>2006.2</v>
      </c>
      <c r="AR9">
        <f>_xll.EQNXTDZ($A$1,$B9,AR$1,$B$1)</f>
        <v>2281.6999999999998</v>
      </c>
      <c r="AS9">
        <f>_xll.EQNXTDZ($A$1,$B9,AS$1,$B$1)</f>
        <v>2157</v>
      </c>
      <c r="AT9">
        <f>_xll.EQNXTDZ($A$1,$B9,AT$1,$B$1)</f>
        <v>2370.6</v>
      </c>
      <c r="AU9">
        <f>_xll.EQNXTDZ($A$1,$B9,AU$1,$B$1)</f>
        <v>2301.4</v>
      </c>
      <c r="AV9">
        <f>_xll.EQNXTDZ($A$1,$B9,AV$1,$B$1)</f>
        <v>2386.5</v>
      </c>
      <c r="AW9">
        <f>_xll.EQNXTDZ($A$1,$B9,AW$1,$B$1)</f>
        <v>2421.8000000000002</v>
      </c>
      <c r="AX9">
        <f>_xll.EQNXTDZ($A$1,$B9,AX$1,$B$1)</f>
        <v>2537.5</v>
      </c>
      <c r="AY9">
        <f>_xll.EQNXTDZ($A$1,$B9,AY$1,$B$1)</f>
        <v>2461.9</v>
      </c>
      <c r="AZ9">
        <f>_xll.EQNXTDZ($A$1,$B9,AZ$1,$B$1)</f>
        <v>2572.9</v>
      </c>
      <c r="BA9">
        <f>_xll.EQNXTDZ($A$1,$B9,BA$1,$B$1)</f>
        <v>2653</v>
      </c>
      <c r="BB9">
        <f>_xll.EQNXTDZ($A$1,$B9,BB$1,$B$1)</f>
        <v>2637.8</v>
      </c>
      <c r="BC9">
        <f>_xll.EQNXTDZ($A$1,$B9,BC$1,$B$1)</f>
        <v>2866</v>
      </c>
      <c r="BD9">
        <f>_xll.EQNXTDZ($A$1,$B9,BD$1,$B$1)</f>
        <v>2979.5</v>
      </c>
      <c r="BE9">
        <f>_xll.EQNXTDZ($A$1,$B9,BE$1,$B$1)</f>
        <v>2923.5</v>
      </c>
      <c r="BF9">
        <f>_xll.EQNXTDZ($A$1,$B9,BF$1,$B$1)</f>
        <v>2857.9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5.5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147.5</v>
      </c>
      <c r="Q14">
        <f>_xll.EQNXTDZ($A$1,$B14,Q$1,$B$1)</f>
        <v>132.1</v>
      </c>
      <c r="R14">
        <f>_xll.EQNXTDZ($A$1,$B14,R$1,$B$1)</f>
        <v>151.6</v>
      </c>
      <c r="S14">
        <f>_xll.EQNXTDZ($A$1,$B14,S$1,$B$1)</f>
        <v>133.1</v>
      </c>
      <c r="T14">
        <f>_xll.EQNXTDZ($A$1,$B14,T$1,$B$1)</f>
        <v>143.69999999999999</v>
      </c>
      <c r="U14">
        <f>_xll.EQNXTDZ($A$1,$B14,U$1,$B$1)</f>
        <v>139.69999999999999</v>
      </c>
      <c r="V14">
        <f>_xll.EQNXTDZ($A$1,$B14,V$1,$B$1)</f>
        <v>150.69999999999999</v>
      </c>
      <c r="W14">
        <f>_xll.EQNXTDZ($A$1,$B14,W$1,$B$1)</f>
        <v>163.19999999999999</v>
      </c>
      <c r="X14">
        <f>_xll.EQNXTDZ($A$1,$B14,X$1,$B$1)</f>
        <v>150.69999999999999</v>
      </c>
      <c r="Y14">
        <f>_xll.EQNXTDZ($A$1,$B14,Y$1,$B$1)</f>
        <v>188.6</v>
      </c>
      <c r="Z14">
        <f>_xll.EQNXTDZ($A$1,$B14,Z$1,$B$1)</f>
        <v>203.5</v>
      </c>
      <c r="AA14">
        <f>_xll.EQNXTDZ($A$1,$B14,AA$1,$B$1)</f>
        <v>218</v>
      </c>
      <c r="AB14">
        <f>_xll.EQNXTDZ($A$1,$B14,AB$1,$B$1)</f>
        <v>244.9</v>
      </c>
      <c r="AC14">
        <f>_xll.EQNXTDZ($A$1,$B14,AC$1,$B$1)</f>
        <v>245.4</v>
      </c>
      <c r="AD14">
        <f>_xll.EQNXTDZ($A$1,$B14,AD$1,$B$1)</f>
        <v>310.2</v>
      </c>
      <c r="AE14">
        <f>_xll.EQNXTDZ($A$1,$B14,AE$1,$B$1)</f>
        <v>293.3</v>
      </c>
      <c r="AF14">
        <f>_xll.EQNXTDZ($A$1,$B14,AF$1,$B$1)</f>
        <v>296.10000000000002</v>
      </c>
      <c r="AG14">
        <f>_xll.EQNXTDZ($A$1,$B14,AG$1,$B$1)</f>
        <v>317.39999999999998</v>
      </c>
      <c r="AH14">
        <f>_xll.EQNXTDZ($A$1,$B14,AH$1,$B$1)</f>
        <v>344.6</v>
      </c>
      <c r="AI14">
        <f>_xll.EQNXTDZ($A$1,$B14,AI$1,$B$1)</f>
        <v>255.1</v>
      </c>
      <c r="AJ14">
        <f>_xll.EQNXTDZ($A$1,$B14,AJ$1,$B$1)</f>
        <v>264.89999999999998</v>
      </c>
      <c r="AK14">
        <f>_xll.EQNXTDZ($A$1,$B14,AK$1,$B$1)</f>
        <v>269.5</v>
      </c>
      <c r="AL14">
        <f>_xll.EQNXTDZ($A$1,$B14,AL$1,$B$1)</f>
        <v>297.8</v>
      </c>
      <c r="AM14">
        <f>_xll.EQNXTDZ($A$1,$B14,AM$1,$B$1)</f>
        <v>324.89999999999998</v>
      </c>
      <c r="AN14">
        <f>_xll.EQNXTDZ($A$1,$B14,AN$1,$B$1)</f>
        <v>354.6</v>
      </c>
      <c r="AO14">
        <f>_xll.EQNXTDZ($A$1,$B14,AO$1,$B$1)</f>
        <v>397.7</v>
      </c>
      <c r="AP14">
        <f>_xll.EQNXTDZ($A$1,$B14,AP$1,$B$1)</f>
        <v>427.1</v>
      </c>
      <c r="AQ14">
        <f>_xll.EQNXTDZ($A$1,$B14,AQ$1,$B$1)</f>
        <v>514.29999999999995</v>
      </c>
      <c r="AR14">
        <f>_xll.EQNXTDZ($A$1,$B14,AR$1,$B$1)</f>
        <v>674.3</v>
      </c>
      <c r="AS14">
        <f>_xll.EQNXTDZ($A$1,$B14,AS$1,$B$1)</f>
        <v>529.6</v>
      </c>
      <c r="AT14">
        <f>_xll.EQNXTDZ($A$1,$B14,AT$1,$B$1)</f>
        <v>705.6</v>
      </c>
      <c r="AU14">
        <f>_xll.EQNXTDZ($A$1,$B14,AU$1,$B$1)</f>
        <v>633.5</v>
      </c>
      <c r="AV14">
        <f>_xll.EQNXTDZ($A$1,$B14,AV$1,$B$1)</f>
        <v>669.2</v>
      </c>
      <c r="AW14">
        <f>_xll.EQNXTDZ($A$1,$B14,AW$1,$B$1)</f>
        <v>680.2</v>
      </c>
      <c r="AX14">
        <f>_xll.EQNXTDZ($A$1,$B14,AX$1,$B$1)</f>
        <v>815.6</v>
      </c>
      <c r="AY14">
        <f>_xll.EQNXTDZ($A$1,$B14,AY$1,$B$1)</f>
        <v>674</v>
      </c>
      <c r="AZ14">
        <f>_xll.EQNXTDZ($A$1,$B14,AZ$1,$B$1)</f>
        <v>721.7</v>
      </c>
      <c r="BA14">
        <f>_xll.EQNXTDZ($A$1,$B14,BA$1,$B$1)</f>
        <v>763.2</v>
      </c>
      <c r="BB14">
        <f>_xll.EQNXTDZ($A$1,$B14,BB$1,$B$1)</f>
        <v>656.6</v>
      </c>
      <c r="BC14">
        <f>_xll.EQNXTDZ($A$1,$B14,BC$1,$B$1)</f>
        <v>812.4</v>
      </c>
      <c r="BD14">
        <f>_xll.EQNXTDZ($A$1,$B14,BD$1,$B$1)</f>
        <v>887.5</v>
      </c>
      <c r="BE14">
        <f>_xll.EQNXTDZ($A$1,$B14,BE$1,$B$1)</f>
        <v>767.2</v>
      </c>
      <c r="BF14">
        <f>_xll.EQNXTDZ($A$1,$B14,BF$1,$B$1)</f>
        <v>654.79999999999995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501.6</v>
      </c>
      <c r="Q16">
        <f>_xll.EQNXTDZ($A$1,$B16,Q$1,$B$1)</f>
        <v>494.4</v>
      </c>
      <c r="R16">
        <f>_xll.EQNXTDZ($A$1,$B16,R$1,$B$1)</f>
        <v>504.4</v>
      </c>
      <c r="S16">
        <f>_xll.EQNXTDZ($A$1,$B16,S$1,$B$1)</f>
        <v>520.79999999999995</v>
      </c>
      <c r="T16">
        <f>_xll.EQNXTDZ($A$1,$B16,T$1,$B$1)</f>
        <v>522.79999999999995</v>
      </c>
      <c r="U16">
        <f>_xll.EQNXTDZ($A$1,$B16,U$1,$B$1)</f>
        <v>525</v>
      </c>
      <c r="V16">
        <f>_xll.EQNXTDZ($A$1,$B16,V$1,$B$1)</f>
        <v>527</v>
      </c>
      <c r="W16">
        <f>_xll.EQNXTDZ($A$1,$B16,W$1,$B$1)</f>
        <v>533.70000000000005</v>
      </c>
      <c r="X16">
        <f>_xll.EQNXTDZ($A$1,$B16,X$1,$B$1)</f>
        <v>612.5</v>
      </c>
      <c r="Y16">
        <f>_xll.EQNXTDZ($A$1,$B16,Y$1,$B$1)</f>
        <v>632</v>
      </c>
      <c r="Z16">
        <f>_xll.EQNXTDZ($A$1,$B16,Z$1,$B$1)</f>
        <v>681.8</v>
      </c>
      <c r="AA16">
        <f>_xll.EQNXTDZ($A$1,$B16,AA$1,$B$1)</f>
        <v>738.1</v>
      </c>
      <c r="AB16">
        <f>_xll.EQNXTDZ($A$1,$B16,AB$1,$B$1)</f>
        <v>792.4</v>
      </c>
      <c r="AC16">
        <f>_xll.EQNXTDZ($A$1,$B16,AC$1,$B$1)</f>
        <v>829.8</v>
      </c>
      <c r="AD16">
        <f>_xll.EQNXTDZ($A$1,$B16,AD$1,$B$1)</f>
        <v>783.7</v>
      </c>
      <c r="AE16">
        <f>_xll.EQNXTDZ($A$1,$B16,AE$1,$B$1)</f>
        <v>781.5</v>
      </c>
      <c r="AF16">
        <f>_xll.EQNXTDZ($A$1,$B16,AF$1,$B$1)</f>
        <v>822.8</v>
      </c>
      <c r="AG16">
        <f>_xll.EQNXTDZ($A$1,$B16,AG$1,$B$1)</f>
        <v>819.2</v>
      </c>
      <c r="AH16">
        <f>_xll.EQNXTDZ($A$1,$B16,AH$1,$B$1)</f>
        <v>833.7</v>
      </c>
      <c r="AI16">
        <f>_xll.EQNXTDZ($A$1,$B16,AI$1,$B$1)</f>
        <v>833.7</v>
      </c>
      <c r="AJ16">
        <f>_xll.EQNXTDZ($A$1,$B16,AJ$1,$B$1)</f>
        <v>816.1</v>
      </c>
      <c r="AK16">
        <f>_xll.EQNXTDZ($A$1,$B16,AK$1,$B$1)</f>
        <v>855.6</v>
      </c>
      <c r="AL16">
        <f>_xll.EQNXTDZ($A$1,$B16,AL$1,$B$1)</f>
        <v>849.6</v>
      </c>
      <c r="AM16">
        <f>_xll.EQNXTDZ($A$1,$B16,AM$1,$B$1)</f>
        <v>875.8</v>
      </c>
      <c r="AN16">
        <f>_xll.EQNXTDZ($A$1,$B16,AN$1,$B$1)</f>
        <v>903.8</v>
      </c>
      <c r="AO16">
        <f>_xll.EQNXTDZ($A$1,$B16,AO$1,$B$1)</f>
        <v>922.4</v>
      </c>
      <c r="AP16">
        <f>_xll.EQNXTDZ($A$1,$B16,AP$1,$B$1)</f>
        <v>948.5</v>
      </c>
      <c r="AQ16">
        <f>_xll.EQNXTDZ($A$1,$B16,AQ$1,$B$1)</f>
        <v>1084.2</v>
      </c>
      <c r="AR16">
        <f>_xll.EQNXTDZ($A$1,$B16,AR$1,$B$1)</f>
        <v>1170</v>
      </c>
      <c r="AS16">
        <f>_xll.EQNXTDZ($A$1,$B16,AS$1,$B$1)</f>
        <v>1191.8</v>
      </c>
      <c r="AT16">
        <f>_xll.EQNXTDZ($A$1,$B16,AT$1,$B$1)</f>
        <v>1184.8</v>
      </c>
      <c r="AU16">
        <f>_xll.EQNXTDZ($A$1,$B16,AU$1,$B$1)</f>
        <v>1215.0999999999999</v>
      </c>
      <c r="AV16">
        <f>_xll.EQNXTDZ($A$1,$B16,AV$1,$B$1)</f>
        <v>1241.7</v>
      </c>
      <c r="AW16">
        <f>_xll.EQNXTDZ($A$1,$B16,AW$1,$B$1)</f>
        <v>1253.9000000000001</v>
      </c>
      <c r="AX16">
        <f>_xll.EQNXTDZ($A$1,$B16,AX$1,$B$1)</f>
        <v>1219.0999999999999</v>
      </c>
      <c r="AY16">
        <f>_xll.EQNXTDZ($A$1,$B16,AY$1,$B$1)</f>
        <v>1331.7</v>
      </c>
      <c r="AZ16">
        <f>_xll.EQNXTDZ($A$1,$B16,AZ$1,$B$1)</f>
        <v>1385.2</v>
      </c>
      <c r="BA16">
        <f>_xll.EQNXTDZ($A$1,$B16,BA$1,$B$1)</f>
        <v>1395.1</v>
      </c>
      <c r="BB16">
        <f>_xll.EQNXTDZ($A$1,$B16,BB$1,$B$1)</f>
        <v>1548.5</v>
      </c>
      <c r="BC16">
        <f>_xll.EQNXTDZ($A$1,$B16,BC$1,$B$1)</f>
        <v>1591.2</v>
      </c>
      <c r="BD16">
        <f>_xll.EQNXTDZ($A$1,$B16,BD$1,$B$1)</f>
        <v>1601.2</v>
      </c>
      <c r="BE16">
        <f>_xll.EQNXTDZ($A$1,$B16,BE$1,$B$1)</f>
        <v>1642.5</v>
      </c>
      <c r="BF16">
        <f>_xll.EQNXTDZ($A$1,$B16,BF$1,$B$1)</f>
        <v>1681.7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1.1000000000000001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122.5</v>
      </c>
      <c r="Q22">
        <f>_xll.EQNXTDZ($A$1,$B22,Q$1,$B$1)</f>
        <v>153.69999999999999</v>
      </c>
      <c r="R22">
        <f>_xll.EQNXTDZ($A$1,$B22,R$1,$B$1)</f>
        <v>145.4</v>
      </c>
      <c r="S22">
        <f>_xll.EQNXTDZ($A$1,$B22,S$1,$B$1)</f>
        <v>149</v>
      </c>
      <c r="T22">
        <f>_xll.EQNXTDZ($A$1,$B22,T$1,$B$1)</f>
        <v>156.19999999999999</v>
      </c>
      <c r="U22">
        <f>_xll.EQNXTDZ($A$1,$B22,U$1,$B$1)</f>
        <v>145.69999999999999</v>
      </c>
      <c r="V22">
        <f>_xll.EQNXTDZ($A$1,$B22,V$1,$B$1)</f>
        <v>134.6</v>
      </c>
      <c r="W22">
        <f>_xll.EQNXTDZ($A$1,$B22,W$1,$B$1)</f>
        <v>125.7</v>
      </c>
      <c r="X22">
        <f>_xll.EQNXTDZ($A$1,$B22,X$1,$B$1)</f>
        <v>137.4</v>
      </c>
      <c r="Y22">
        <f>_xll.EQNXTDZ($A$1,$B22,Y$1,$B$1)</f>
        <v>148.5</v>
      </c>
      <c r="Z22">
        <f>_xll.EQNXTDZ($A$1,$B22,Z$1,$B$1)</f>
        <v>164</v>
      </c>
      <c r="AA22">
        <f>_xll.EQNXTDZ($A$1,$B22,AA$1,$B$1)</f>
        <v>196.1</v>
      </c>
      <c r="AB22">
        <f>_xll.EQNXTDZ($A$1,$B22,AB$1,$B$1)</f>
        <v>228.8</v>
      </c>
      <c r="AC22">
        <f>_xll.EQNXTDZ($A$1,$B22,AC$1,$B$1)</f>
        <v>241.7</v>
      </c>
      <c r="AD22">
        <f>_xll.EQNXTDZ($A$1,$B22,AD$1,$B$1)</f>
        <v>248.1</v>
      </c>
      <c r="AE22">
        <f>_xll.EQNXTDZ($A$1,$B22,AE$1,$B$1)</f>
        <v>272.7</v>
      </c>
      <c r="AF22">
        <f>_xll.EQNXTDZ($A$1,$B22,AF$1,$B$1)</f>
        <v>283.2</v>
      </c>
      <c r="AG22">
        <f>_xll.EQNXTDZ($A$1,$B22,AG$1,$B$1)</f>
        <v>286.3</v>
      </c>
      <c r="AH22">
        <f>_xll.EQNXTDZ($A$1,$B22,AH$1,$B$1)</f>
        <v>268.3</v>
      </c>
      <c r="AI22">
        <f>_xll.EQNXTDZ($A$1,$B22,AI$1,$B$1)</f>
        <v>205.9</v>
      </c>
      <c r="AJ22">
        <f>_xll.EQNXTDZ($A$1,$B22,AJ$1,$B$1)</f>
        <v>232.8</v>
      </c>
      <c r="AK22">
        <f>_xll.EQNXTDZ($A$1,$B22,AK$1,$B$1)</f>
        <v>275.60000000000002</v>
      </c>
      <c r="AL22">
        <f>_xll.EQNXTDZ($A$1,$B22,AL$1,$B$1)</f>
        <v>293.10000000000002</v>
      </c>
      <c r="AM22">
        <f>_xll.EQNXTDZ($A$1,$B22,AM$1,$B$1)</f>
        <v>317.7</v>
      </c>
      <c r="AN22">
        <f>_xll.EQNXTDZ($A$1,$B22,AN$1,$B$1)</f>
        <v>349.3</v>
      </c>
      <c r="AO22">
        <f>_xll.EQNXTDZ($A$1,$B22,AO$1,$B$1)</f>
        <v>367.4</v>
      </c>
      <c r="AP22">
        <f>_xll.EQNXTDZ($A$1,$B22,AP$1,$B$1)</f>
        <v>380.5</v>
      </c>
      <c r="AQ22">
        <f>_xll.EQNXTDZ($A$1,$B22,AQ$1,$B$1)</f>
        <v>407.7</v>
      </c>
      <c r="AR22">
        <f>_xll.EQNXTDZ($A$1,$B22,AR$1,$B$1)</f>
        <v>437.4</v>
      </c>
      <c r="AS22">
        <f>_xll.EQNXTDZ($A$1,$B22,AS$1,$B$1)</f>
        <v>435.6</v>
      </c>
      <c r="AT22">
        <f>_xll.EQNXTDZ($A$1,$B22,AT$1,$B$1)</f>
        <v>480.2</v>
      </c>
      <c r="AU22">
        <f>_xll.EQNXTDZ($A$1,$B22,AU$1,$B$1)</f>
        <v>452.8</v>
      </c>
      <c r="AV22">
        <f>_xll.EQNXTDZ($A$1,$B22,AV$1,$B$1)</f>
        <v>475.6</v>
      </c>
      <c r="AW22">
        <f>_xll.EQNXTDZ($A$1,$B22,AW$1,$B$1)</f>
        <v>487.7</v>
      </c>
      <c r="AX22">
        <f>_xll.EQNXTDZ($A$1,$B22,AX$1,$B$1)</f>
        <v>502.8</v>
      </c>
      <c r="AY22">
        <f>_xll.EQNXTDZ($A$1,$B22,AY$1,$B$1)</f>
        <v>456.2</v>
      </c>
      <c r="AZ22">
        <f>_xll.EQNXTDZ($A$1,$B22,AZ$1,$B$1)</f>
        <v>466</v>
      </c>
      <c r="BA22">
        <f>_xll.EQNXTDZ($A$1,$B22,BA$1,$B$1)</f>
        <v>494.7</v>
      </c>
      <c r="BB22">
        <f>_xll.EQNXTDZ($A$1,$B22,BB$1,$B$1)</f>
        <v>432.7</v>
      </c>
      <c r="BC22">
        <f>_xll.EQNXTDZ($A$1,$B22,BC$1,$B$1)</f>
        <v>462.4</v>
      </c>
      <c r="BD22">
        <f>_xll.EQNXTDZ($A$1,$B22,BD$1,$B$1)</f>
        <v>490.8</v>
      </c>
      <c r="BE22">
        <f>_xll.EQNXTDZ($A$1,$B22,BE$1,$B$1)</f>
        <v>513.79999999999995</v>
      </c>
      <c r="BF22">
        <f>_xll.EQNXTDZ($A$1,$B22,BF$1,$B$1)</f>
        <v>521.4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25.7</v>
      </c>
      <c r="Q23">
        <f>_xll.EQNXTDZ($A$1,$B23,Q$1,$B$1)</f>
        <v>28.7</v>
      </c>
      <c r="R23">
        <f>_xll.EQNXTDZ($A$1,$B23,R$1,$B$1)</f>
        <v>11.1</v>
      </c>
      <c r="S23">
        <f>_xll.EQNXTDZ($A$1,$B23,S$1,$B$1)</f>
        <v>23.1</v>
      </c>
      <c r="T23">
        <f>_xll.EQNXTDZ($A$1,$B23,T$1,$B$1)</f>
        <v>14.9</v>
      </c>
      <c r="U23">
        <f>_xll.EQNXTDZ($A$1,$B23,U$1,$B$1)</f>
        <v>17</v>
      </c>
      <c r="V23">
        <f>_xll.EQNXTDZ($A$1,$B23,V$1,$B$1)</f>
        <v>3.3</v>
      </c>
      <c r="W23">
        <f>_xll.EQNXTDZ($A$1,$B23,W$1,$B$1)</f>
        <v>26.2</v>
      </c>
      <c r="X23">
        <f>_xll.EQNXTDZ($A$1,$B23,X$1,$B$1)</f>
        <v>48.2</v>
      </c>
      <c r="Y23">
        <f>_xll.EQNXTDZ($A$1,$B23,Y$1,$B$1)</f>
        <v>43.5</v>
      </c>
      <c r="Z23">
        <f>_xll.EQNXTDZ($A$1,$B23,Z$1,$B$1)</f>
        <v>75.5</v>
      </c>
      <c r="AA23">
        <f>_xll.EQNXTDZ($A$1,$B23,AA$1,$B$1)</f>
        <v>98.2</v>
      </c>
      <c r="AB23">
        <f>_xll.EQNXTDZ($A$1,$B23,AB$1,$B$1)</f>
        <v>55</v>
      </c>
      <c r="AC23">
        <f>_xll.EQNXTDZ($A$1,$B23,AC$1,$B$1)</f>
        <v>35.9</v>
      </c>
      <c r="AD23">
        <f>_xll.EQNXTDZ($A$1,$B23,AD$1,$B$1)</f>
        <v>33.700000000000003</v>
      </c>
      <c r="AE23">
        <f>_xll.EQNXTDZ($A$1,$B23,AE$1,$B$1)</f>
        <v>56.5</v>
      </c>
      <c r="AF23">
        <f>_xll.EQNXTDZ($A$1,$B23,AF$1,$B$1)</f>
        <v>46.9</v>
      </c>
      <c r="AG23">
        <f>_xll.EQNXTDZ($A$1,$B23,AG$1,$B$1)</f>
        <v>44.3</v>
      </c>
      <c r="AH23">
        <f>_xll.EQNXTDZ($A$1,$B23,AH$1,$B$1)</f>
        <v>61.4</v>
      </c>
      <c r="AI23">
        <f>_xll.EQNXTDZ($A$1,$B23,AI$1,$B$1)</f>
        <v>13.7</v>
      </c>
      <c r="AJ23">
        <f>_xll.EQNXTDZ($A$1,$B23,AJ$1,$B$1)</f>
        <v>56.6</v>
      </c>
      <c r="AK23">
        <f>_xll.EQNXTDZ($A$1,$B23,AK$1,$B$1)</f>
        <v>48.8</v>
      </c>
      <c r="AL23">
        <f>_xll.EQNXTDZ($A$1,$B23,AL$1,$B$1)</f>
        <v>34.6</v>
      </c>
      <c r="AM23">
        <f>_xll.EQNXTDZ($A$1,$B23,AM$1,$B$1)</f>
        <v>44.2</v>
      </c>
      <c r="AN23">
        <f>_xll.EQNXTDZ($A$1,$B23,AN$1,$B$1)</f>
        <v>29.3</v>
      </c>
      <c r="AO23">
        <f>_xll.EQNXTDZ($A$1,$B23,AO$1,$B$1)</f>
        <v>37</v>
      </c>
      <c r="AP23">
        <f>_xll.EQNXTDZ($A$1,$B23,AP$1,$B$1)</f>
        <v>41.9</v>
      </c>
      <c r="AQ23">
        <f>_xll.EQNXTDZ($A$1,$B23,AQ$1,$B$1)</f>
        <v>40.799999999999997</v>
      </c>
      <c r="AR23">
        <f>_xll.EQNXTDZ($A$1,$B23,AR$1,$B$1)</f>
        <v>38.5</v>
      </c>
      <c r="AS23">
        <f>_xll.EQNXTDZ($A$1,$B23,AS$1,$B$1)</f>
        <v>73.5</v>
      </c>
      <c r="AT23">
        <f>_xll.EQNXTDZ($A$1,$B23,AT$1,$B$1)</f>
        <v>50.4</v>
      </c>
      <c r="AU23">
        <f>_xll.EQNXTDZ($A$1,$B23,AU$1,$B$1)</f>
        <v>47.7</v>
      </c>
      <c r="AV23">
        <f>_xll.EQNXTDZ($A$1,$B23,AV$1,$B$1)</f>
        <v>41.2</v>
      </c>
      <c r="AW23">
        <f>_xll.EQNXTDZ($A$1,$B23,AW$1,$B$1)</f>
        <v>62.4</v>
      </c>
      <c r="AX23">
        <f>_xll.EQNXTDZ($A$1,$B23,AX$1,$B$1)</f>
        <v>56</v>
      </c>
      <c r="AY23">
        <f>_xll.EQNXTDZ($A$1,$B23,AY$1,$B$1)</f>
        <v>62.2</v>
      </c>
      <c r="AZ23">
        <f>_xll.EQNXTDZ($A$1,$B23,AZ$1,$B$1)</f>
        <v>65</v>
      </c>
      <c r="BA23">
        <f>_xll.EQNXTDZ($A$1,$B23,BA$1,$B$1)</f>
        <v>33.5</v>
      </c>
      <c r="BB23">
        <f>_xll.EQNXTDZ($A$1,$B23,BB$1,$B$1)</f>
        <v>49.1</v>
      </c>
      <c r="BC23">
        <f>_xll.EQNXTDZ($A$1,$B23,BC$1,$B$1)</f>
        <v>67.7</v>
      </c>
      <c r="BD23">
        <f>_xll.EQNXTDZ($A$1,$B23,BD$1,$B$1)</f>
        <v>65.599999999999994</v>
      </c>
      <c r="BE23">
        <f>_xll.EQNXTDZ($A$1,$B23,BE$1,$B$1)</f>
        <v>33.299999999999997</v>
      </c>
      <c r="BF23">
        <f>_xll.EQNXTDZ($A$1,$B23,BF$1,$B$1)</f>
        <v>55.3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148.19999999999999</v>
      </c>
      <c r="Q24">
        <f>_xll.EQNXTDZ($A$1,$B24,Q$1,$B$1)</f>
        <v>182.4</v>
      </c>
      <c r="R24">
        <f>_xll.EQNXTDZ($A$1,$B24,R$1,$B$1)</f>
        <v>156.5</v>
      </c>
      <c r="S24">
        <f>_xll.EQNXTDZ($A$1,$B24,S$1,$B$1)</f>
        <v>172.1</v>
      </c>
      <c r="T24">
        <f>_xll.EQNXTDZ($A$1,$B24,T$1,$B$1)</f>
        <v>171.1</v>
      </c>
      <c r="U24">
        <f>_xll.EQNXTDZ($A$1,$B24,U$1,$B$1)</f>
        <v>162.69999999999999</v>
      </c>
      <c r="V24">
        <f>_xll.EQNXTDZ($A$1,$B24,V$1,$B$1)</f>
        <v>137.9</v>
      </c>
      <c r="W24">
        <f>_xll.EQNXTDZ($A$1,$B24,W$1,$B$1)</f>
        <v>151.9</v>
      </c>
      <c r="X24">
        <f>_xll.EQNXTDZ($A$1,$B24,X$1,$B$1)</f>
        <v>185.6</v>
      </c>
      <c r="Y24">
        <f>_xll.EQNXTDZ($A$1,$B24,Y$1,$B$1)</f>
        <v>192</v>
      </c>
      <c r="Z24">
        <f>_xll.EQNXTDZ($A$1,$B24,Z$1,$B$1)</f>
        <v>239.5</v>
      </c>
      <c r="AA24">
        <f>_xll.EQNXTDZ($A$1,$B24,AA$1,$B$1)</f>
        <v>294.3</v>
      </c>
      <c r="AB24">
        <f>_xll.EQNXTDZ($A$1,$B24,AB$1,$B$1)</f>
        <v>283.8</v>
      </c>
      <c r="AC24">
        <f>_xll.EQNXTDZ($A$1,$B24,AC$1,$B$1)</f>
        <v>277.60000000000002</v>
      </c>
      <c r="AD24">
        <f>_xll.EQNXTDZ($A$1,$B24,AD$1,$B$1)</f>
        <v>281.8</v>
      </c>
      <c r="AE24">
        <f>_xll.EQNXTDZ($A$1,$B24,AE$1,$B$1)</f>
        <v>329.2</v>
      </c>
      <c r="AF24">
        <f>_xll.EQNXTDZ($A$1,$B24,AF$1,$B$1)</f>
        <v>330.1</v>
      </c>
      <c r="AG24">
        <f>_xll.EQNXTDZ($A$1,$B24,AG$1,$B$1)</f>
        <v>330.6</v>
      </c>
      <c r="AH24">
        <f>_xll.EQNXTDZ($A$1,$B24,AH$1,$B$1)</f>
        <v>329.7</v>
      </c>
      <c r="AI24">
        <f>_xll.EQNXTDZ($A$1,$B24,AI$1,$B$1)</f>
        <v>219.6</v>
      </c>
      <c r="AJ24">
        <f>_xll.EQNXTDZ($A$1,$B24,AJ$1,$B$1)</f>
        <v>289.39999999999998</v>
      </c>
      <c r="AK24">
        <f>_xll.EQNXTDZ($A$1,$B24,AK$1,$B$1)</f>
        <v>324.39999999999998</v>
      </c>
      <c r="AL24">
        <f>_xll.EQNXTDZ($A$1,$B24,AL$1,$B$1)</f>
        <v>327.7</v>
      </c>
      <c r="AM24">
        <f>_xll.EQNXTDZ($A$1,$B24,AM$1,$B$1)</f>
        <v>361.9</v>
      </c>
      <c r="AN24">
        <f>_xll.EQNXTDZ($A$1,$B24,AN$1,$B$1)</f>
        <v>378.6</v>
      </c>
      <c r="AO24">
        <f>_xll.EQNXTDZ($A$1,$B24,AO$1,$B$1)</f>
        <v>404.4</v>
      </c>
      <c r="AP24">
        <f>_xll.EQNXTDZ($A$1,$B24,AP$1,$B$1)</f>
        <v>422.4</v>
      </c>
      <c r="AQ24">
        <f>_xll.EQNXTDZ($A$1,$B24,AQ$1,$B$1)</f>
        <v>448.5</v>
      </c>
      <c r="AR24">
        <f>_xll.EQNXTDZ($A$1,$B24,AR$1,$B$1)</f>
        <v>475.9</v>
      </c>
      <c r="AS24">
        <f>_xll.EQNXTDZ($A$1,$B24,AS$1,$B$1)</f>
        <v>509.1</v>
      </c>
      <c r="AT24">
        <f>_xll.EQNXTDZ($A$1,$B24,AT$1,$B$1)</f>
        <v>530.6</v>
      </c>
      <c r="AU24">
        <f>_xll.EQNXTDZ($A$1,$B24,AU$1,$B$1)</f>
        <v>500.5</v>
      </c>
      <c r="AV24">
        <f>_xll.EQNXTDZ($A$1,$B24,AV$1,$B$1)</f>
        <v>516.79999999999995</v>
      </c>
      <c r="AW24">
        <f>_xll.EQNXTDZ($A$1,$B24,AW$1,$B$1)</f>
        <v>550.1</v>
      </c>
      <c r="AX24">
        <f>_xll.EQNXTDZ($A$1,$B24,AX$1,$B$1)</f>
        <v>558.79999999999995</v>
      </c>
      <c r="AY24">
        <f>_xll.EQNXTDZ($A$1,$B24,AY$1,$B$1)</f>
        <v>518.4</v>
      </c>
      <c r="AZ24">
        <f>_xll.EQNXTDZ($A$1,$B24,AZ$1,$B$1)</f>
        <v>531</v>
      </c>
      <c r="BA24">
        <f>_xll.EQNXTDZ($A$1,$B24,BA$1,$B$1)</f>
        <v>528.20000000000005</v>
      </c>
      <c r="BB24">
        <f>_xll.EQNXTDZ($A$1,$B24,BB$1,$B$1)</f>
        <v>481.8</v>
      </c>
      <c r="BC24">
        <f>_xll.EQNXTDZ($A$1,$B24,BC$1,$B$1)</f>
        <v>530.1</v>
      </c>
      <c r="BD24">
        <f>_xll.EQNXTDZ($A$1,$B24,BD$1,$B$1)</f>
        <v>556.4</v>
      </c>
      <c r="BE24">
        <f>_xll.EQNXTDZ($A$1,$B24,BE$1,$B$1)</f>
        <v>547.1</v>
      </c>
      <c r="BF24">
        <f>_xll.EQNXTDZ($A$1,$B24,BF$1,$B$1)</f>
        <v>576.70000000000005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0.7</v>
      </c>
      <c r="Q25">
        <f>_xll.EQNXTDZ($A$1,$B25,Q$1,$B$1)</f>
        <v>0.7</v>
      </c>
      <c r="R25">
        <f>_xll.EQNXTDZ($A$1,$B25,R$1,$B$1)</f>
        <v>0.6</v>
      </c>
      <c r="S25">
        <f>_xll.EQNXTDZ($A$1,$B25,S$1,$B$1)</f>
        <v>0.5</v>
      </c>
      <c r="T25">
        <f>_xll.EQNXTDZ($A$1,$B25,T$1,$B$1)</f>
        <v>0.5</v>
      </c>
      <c r="U25">
        <f>_xll.EQNXTDZ($A$1,$B25,U$1,$B$1)</f>
        <v>0.5</v>
      </c>
      <c r="V25">
        <f>_xll.EQNXTDZ($A$1,$B25,V$1,$B$1)</f>
        <v>0.6</v>
      </c>
      <c r="W25">
        <f>_xll.EQNXTDZ($A$1,$B25,W$1,$B$1)</f>
        <v>0.2</v>
      </c>
      <c r="X25">
        <f>_xll.EQNXTDZ($A$1,$B25,X$1,$B$1)</f>
        <v>0.5</v>
      </c>
      <c r="Y25">
        <f>_xll.EQNXTDZ($A$1,$B25,Y$1,$B$1)</f>
        <v>0.9</v>
      </c>
      <c r="Z25">
        <f>_xll.EQNXTDZ($A$1,$B25,Z$1,$B$1)</f>
        <v>0.8</v>
      </c>
      <c r="AA25">
        <f>_xll.EQNXTDZ($A$1,$B25,AA$1,$B$1)</f>
        <v>0.4</v>
      </c>
      <c r="AB25">
        <f>_xll.EQNXTDZ($A$1,$B25,AB$1,$B$1)</f>
        <v>0.4</v>
      </c>
      <c r="AC25">
        <f>_xll.EQNXTDZ($A$1,$B25,AC$1,$B$1)</f>
        <v>0.6</v>
      </c>
      <c r="AD25">
        <f>_xll.EQNXTDZ($A$1,$B25,AD$1,$B$1)</f>
        <v>0.5</v>
      </c>
      <c r="AE25">
        <f>_xll.EQNXTDZ($A$1,$B25,AE$1,$B$1)</f>
        <v>9.1</v>
      </c>
      <c r="AF25">
        <f>_xll.EQNXTDZ($A$1,$B25,AF$1,$B$1)</f>
        <v>9.1</v>
      </c>
      <c r="AG25">
        <f>_xll.EQNXTDZ($A$1,$B25,AG$1,$B$1)</f>
        <v>8.9</v>
      </c>
      <c r="AH25">
        <f>_xll.EQNXTDZ($A$1,$B25,AH$1,$B$1)</f>
        <v>9.4</v>
      </c>
      <c r="AI25">
        <f>_xll.EQNXTDZ($A$1,$B25,AI$1,$B$1)</f>
        <v>10.7</v>
      </c>
      <c r="AJ25">
        <f>_xll.EQNXTDZ($A$1,$B25,AJ$1,$B$1)</f>
        <v>10.9</v>
      </c>
      <c r="AK25">
        <f>_xll.EQNXTDZ($A$1,$B25,AK$1,$B$1)</f>
        <v>11.4</v>
      </c>
      <c r="AL25">
        <f>_xll.EQNXTDZ($A$1,$B25,AL$1,$B$1)</f>
        <v>12.5</v>
      </c>
      <c r="AM25">
        <f>_xll.EQNXTDZ($A$1,$B25,AM$1,$B$1)</f>
        <v>10.8</v>
      </c>
      <c r="AN25">
        <f>_xll.EQNXTDZ($A$1,$B25,AN$1,$B$1)</f>
        <v>11.3</v>
      </c>
      <c r="AO25">
        <f>_xll.EQNXTDZ($A$1,$B25,AO$1,$B$1)</f>
        <v>11.1</v>
      </c>
      <c r="AP25">
        <f>_xll.EQNXTDZ($A$1,$B25,AP$1,$B$1)</f>
        <v>10.5</v>
      </c>
      <c r="AQ25">
        <f>_xll.EQNXTDZ($A$1,$B25,AQ$1,$B$1)</f>
        <v>10.9</v>
      </c>
      <c r="AR25">
        <f>_xll.EQNXTDZ($A$1,$B25,AR$1,$B$1)</f>
        <v>10.6</v>
      </c>
      <c r="AS25">
        <f>_xll.EQNXTDZ($A$1,$B25,AS$1,$B$1)</f>
        <v>11.5</v>
      </c>
      <c r="AT25">
        <f>_xll.EQNXTDZ($A$1,$B25,AT$1,$B$1)</f>
        <v>11.4</v>
      </c>
      <c r="AU25">
        <f>_xll.EQNXTDZ($A$1,$B25,AU$1,$B$1)</f>
        <v>12</v>
      </c>
      <c r="AV25">
        <f>_xll.EQNXTDZ($A$1,$B25,AV$1,$B$1)</f>
        <v>12.6</v>
      </c>
      <c r="AW25">
        <f>_xll.EQNXTDZ($A$1,$B25,AW$1,$B$1)</f>
        <v>13.1</v>
      </c>
      <c r="AX25">
        <f>_xll.EQNXTDZ($A$1,$B25,AX$1,$B$1)</f>
        <v>13.2</v>
      </c>
      <c r="AY25">
        <f>_xll.EQNXTDZ($A$1,$B25,AY$1,$B$1)</f>
        <v>13.1</v>
      </c>
      <c r="AZ25">
        <f>_xll.EQNXTDZ($A$1,$B25,AZ$1,$B$1)</f>
        <v>11.9</v>
      </c>
      <c r="BA25">
        <f>_xll.EQNXTDZ($A$1,$B25,BA$1,$B$1)</f>
        <v>15.5</v>
      </c>
      <c r="BB25">
        <f>_xll.EQNXTDZ($A$1,$B25,BB$1,$B$1)</f>
        <v>15.9</v>
      </c>
      <c r="BC25">
        <f>_xll.EQNXTDZ($A$1,$B25,BC$1,$B$1)</f>
        <v>16.5</v>
      </c>
      <c r="BD25">
        <f>_xll.EQNXTDZ($A$1,$B25,BD$1,$B$1)</f>
        <v>15.8</v>
      </c>
      <c r="BE25">
        <f>_xll.EQNXTDZ($A$1,$B25,BE$1,$B$1)</f>
        <v>14.9</v>
      </c>
      <c r="BF25">
        <f>_xll.EQNXTDZ($A$1,$B25,BF$1,$B$1)</f>
        <v>17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-35.4</v>
      </c>
      <c r="BF26">
        <f>_xll.EQNXTDZ($A$1,$B26,BF$1,$B$1)</f>
        <v>-37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147.5</v>
      </c>
      <c r="Q27">
        <f>_xll.EQNXTDZ($A$1,$B27,Q$1,$B$1)</f>
        <v>181.7</v>
      </c>
      <c r="R27">
        <f>_xll.EQNXTDZ($A$1,$B27,R$1,$B$1)</f>
        <v>155.9</v>
      </c>
      <c r="S27">
        <f>_xll.EQNXTDZ($A$1,$B27,S$1,$B$1)</f>
        <v>171.6</v>
      </c>
      <c r="T27">
        <f>_xll.EQNXTDZ($A$1,$B27,T$1,$B$1)</f>
        <v>170.6</v>
      </c>
      <c r="U27">
        <f>_xll.EQNXTDZ($A$1,$B27,U$1,$B$1)</f>
        <v>162.19999999999999</v>
      </c>
      <c r="V27">
        <f>_xll.EQNXTDZ($A$1,$B27,V$1,$B$1)</f>
        <v>137.30000000000001</v>
      </c>
      <c r="W27">
        <f>_xll.EQNXTDZ($A$1,$B27,W$1,$B$1)</f>
        <v>151.69999999999999</v>
      </c>
      <c r="X27">
        <f>_xll.EQNXTDZ($A$1,$B27,X$1,$B$1)</f>
        <v>185.1</v>
      </c>
      <c r="Y27">
        <f>_xll.EQNXTDZ($A$1,$B27,Y$1,$B$1)</f>
        <v>191.1</v>
      </c>
      <c r="Z27">
        <f>_xll.EQNXTDZ($A$1,$B27,Z$1,$B$1)</f>
        <v>238.7</v>
      </c>
      <c r="AA27">
        <f>_xll.EQNXTDZ($A$1,$B27,AA$1,$B$1)</f>
        <v>293.89999999999998</v>
      </c>
      <c r="AB27">
        <f>_xll.EQNXTDZ($A$1,$B27,AB$1,$B$1)</f>
        <v>283.39999999999998</v>
      </c>
      <c r="AC27">
        <f>_xll.EQNXTDZ($A$1,$B27,AC$1,$B$1)</f>
        <v>277</v>
      </c>
      <c r="AD27">
        <f>_xll.EQNXTDZ($A$1,$B27,AD$1,$B$1)</f>
        <v>281.3</v>
      </c>
      <c r="AE27">
        <f>_xll.EQNXTDZ($A$1,$B27,AE$1,$B$1)</f>
        <v>320.10000000000002</v>
      </c>
      <c r="AF27">
        <f>_xll.EQNXTDZ($A$1,$B27,AF$1,$B$1)</f>
        <v>321</v>
      </c>
      <c r="AG27">
        <f>_xll.EQNXTDZ($A$1,$B27,AG$1,$B$1)</f>
        <v>321.7</v>
      </c>
      <c r="AH27">
        <f>_xll.EQNXTDZ($A$1,$B27,AH$1,$B$1)</f>
        <v>320.3</v>
      </c>
      <c r="AI27">
        <f>_xll.EQNXTDZ($A$1,$B27,AI$1,$B$1)</f>
        <v>208.9</v>
      </c>
      <c r="AJ27">
        <f>_xll.EQNXTDZ($A$1,$B27,AJ$1,$B$1)</f>
        <v>278.5</v>
      </c>
      <c r="AK27">
        <f>_xll.EQNXTDZ($A$1,$B27,AK$1,$B$1)</f>
        <v>313</v>
      </c>
      <c r="AL27">
        <f>_xll.EQNXTDZ($A$1,$B27,AL$1,$B$1)</f>
        <v>315.2</v>
      </c>
      <c r="AM27">
        <f>_xll.EQNXTDZ($A$1,$B27,AM$1,$B$1)</f>
        <v>351.1</v>
      </c>
      <c r="AN27">
        <f>_xll.EQNXTDZ($A$1,$B27,AN$1,$B$1)</f>
        <v>367.3</v>
      </c>
      <c r="AO27">
        <f>_xll.EQNXTDZ($A$1,$B27,AO$1,$B$1)</f>
        <v>393.3</v>
      </c>
      <c r="AP27">
        <f>_xll.EQNXTDZ($A$1,$B27,AP$1,$B$1)</f>
        <v>411.9</v>
      </c>
      <c r="AQ27">
        <f>_xll.EQNXTDZ($A$1,$B27,AQ$1,$B$1)</f>
        <v>437.6</v>
      </c>
      <c r="AR27">
        <f>_xll.EQNXTDZ($A$1,$B27,AR$1,$B$1)</f>
        <v>465.3</v>
      </c>
      <c r="AS27">
        <f>_xll.EQNXTDZ($A$1,$B27,AS$1,$B$1)</f>
        <v>497.6</v>
      </c>
      <c r="AT27">
        <f>_xll.EQNXTDZ($A$1,$B27,AT$1,$B$1)</f>
        <v>519.20000000000005</v>
      </c>
      <c r="AU27">
        <f>_xll.EQNXTDZ($A$1,$B27,AU$1,$B$1)</f>
        <v>488.5</v>
      </c>
      <c r="AV27">
        <f>_xll.EQNXTDZ($A$1,$B27,AV$1,$B$1)</f>
        <v>504.2</v>
      </c>
      <c r="AW27">
        <f>_xll.EQNXTDZ($A$1,$B27,AW$1,$B$1)</f>
        <v>537</v>
      </c>
      <c r="AX27">
        <f>_xll.EQNXTDZ($A$1,$B27,AX$1,$B$1)</f>
        <v>545.6</v>
      </c>
      <c r="AY27">
        <f>_xll.EQNXTDZ($A$1,$B27,AY$1,$B$1)</f>
        <v>505.3</v>
      </c>
      <c r="AZ27">
        <f>_xll.EQNXTDZ($A$1,$B27,AZ$1,$B$1)</f>
        <v>519.1</v>
      </c>
      <c r="BA27">
        <f>_xll.EQNXTDZ($A$1,$B27,BA$1,$B$1)</f>
        <v>512.70000000000005</v>
      </c>
      <c r="BB27">
        <f>_xll.EQNXTDZ($A$1,$B27,BB$1,$B$1)</f>
        <v>465.9</v>
      </c>
      <c r="BC27">
        <f>_xll.EQNXTDZ($A$1,$B27,BC$1,$B$1)</f>
        <v>513.6</v>
      </c>
      <c r="BD27">
        <f>_xll.EQNXTDZ($A$1,$B27,BD$1,$B$1)</f>
        <v>540.6</v>
      </c>
      <c r="BE27">
        <f>_xll.EQNXTDZ($A$1,$B27,BE$1,$B$1)</f>
        <v>496.8</v>
      </c>
      <c r="BF27">
        <f>_xll.EQNXTDZ($A$1,$B27,BF$1,$B$1)</f>
        <v>522.70000000000005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14.4</v>
      </c>
      <c r="Q28">
        <f>_xll.EQNXTDZ($A$1,$B28,Q$1,$B$1)</f>
        <v>13.8</v>
      </c>
      <c r="R28">
        <f>_xll.EQNXTDZ($A$1,$B28,R$1,$B$1)</f>
        <v>17.899999999999999</v>
      </c>
      <c r="S28">
        <f>_xll.EQNXTDZ($A$1,$B28,S$1,$B$1)</f>
        <v>17.8</v>
      </c>
      <c r="T28">
        <f>_xll.EQNXTDZ($A$1,$B28,T$1,$B$1)</f>
        <v>15.1</v>
      </c>
      <c r="U28">
        <f>_xll.EQNXTDZ($A$1,$B28,U$1,$B$1)</f>
        <v>14.9</v>
      </c>
      <c r="V28">
        <f>_xll.EQNXTDZ($A$1,$B28,V$1,$B$1)</f>
        <v>14.7</v>
      </c>
      <c r="W28">
        <f>_xll.EQNXTDZ($A$1,$B28,W$1,$B$1)</f>
        <v>14.5</v>
      </c>
      <c r="X28">
        <f>_xll.EQNXTDZ($A$1,$B28,X$1,$B$1)</f>
        <v>14.6</v>
      </c>
      <c r="Y28">
        <f>_xll.EQNXTDZ($A$1,$B28,Y$1,$B$1)</f>
        <v>14.5</v>
      </c>
      <c r="Z28">
        <f>_xll.EQNXTDZ($A$1,$B28,Z$1,$B$1)</f>
        <v>45.2</v>
      </c>
      <c r="AA28">
        <f>_xll.EQNXTDZ($A$1,$B28,AA$1,$B$1)</f>
        <v>26</v>
      </c>
      <c r="AB28">
        <f>_xll.EQNXTDZ($A$1,$B28,AB$1,$B$1)</f>
        <v>27</v>
      </c>
      <c r="AC28">
        <f>_xll.EQNXTDZ($A$1,$B28,AC$1,$B$1)</f>
        <v>23.9</v>
      </c>
      <c r="AD28">
        <f>_xll.EQNXTDZ($A$1,$B28,AD$1,$B$1)</f>
        <v>27.3</v>
      </c>
      <c r="AE28">
        <f>_xll.EQNXTDZ($A$1,$B28,AE$1,$B$1)</f>
        <v>42.8</v>
      </c>
      <c r="AF28">
        <f>_xll.EQNXTDZ($A$1,$B28,AF$1,$B$1)</f>
        <v>44.4</v>
      </c>
      <c r="AG28">
        <f>_xll.EQNXTDZ($A$1,$B28,AG$1,$B$1)</f>
        <v>47.2</v>
      </c>
      <c r="AH28">
        <f>_xll.EQNXTDZ($A$1,$B28,AH$1,$B$1)</f>
        <v>48.5</v>
      </c>
      <c r="AI28">
        <f>_xll.EQNXTDZ($A$1,$B28,AI$1,$B$1)</f>
        <v>49.2</v>
      </c>
      <c r="AJ28">
        <f>_xll.EQNXTDZ($A$1,$B28,AJ$1,$B$1)</f>
        <v>52.7</v>
      </c>
      <c r="AK28">
        <f>_xll.EQNXTDZ($A$1,$B28,AK$1,$B$1)</f>
        <v>62.4</v>
      </c>
      <c r="AL28">
        <f>_xll.EQNXTDZ($A$1,$B28,AL$1,$B$1)</f>
        <v>54</v>
      </c>
      <c r="AM28">
        <f>_xll.EQNXTDZ($A$1,$B28,AM$1,$B$1)</f>
        <v>55.4</v>
      </c>
      <c r="AN28">
        <f>_xll.EQNXTDZ($A$1,$B28,AN$1,$B$1)</f>
        <v>52.9</v>
      </c>
      <c r="AO28">
        <f>_xll.EQNXTDZ($A$1,$B28,AO$1,$B$1)</f>
        <v>53</v>
      </c>
      <c r="AP28">
        <f>_xll.EQNXTDZ($A$1,$B28,AP$1,$B$1)</f>
        <v>53.1</v>
      </c>
      <c r="AQ28">
        <f>_xll.EQNXTDZ($A$1,$B28,AQ$1,$B$1)</f>
        <v>59</v>
      </c>
      <c r="AR28">
        <f>_xll.EQNXTDZ($A$1,$B28,AR$1,$B$1)</f>
        <v>59</v>
      </c>
      <c r="AS28">
        <f>_xll.EQNXTDZ($A$1,$B28,AS$1,$B$1)</f>
        <v>58.9</v>
      </c>
      <c r="AT28">
        <f>_xll.EQNXTDZ($A$1,$B28,AT$1,$B$1)</f>
        <v>56.8</v>
      </c>
      <c r="AU28">
        <f>_xll.EQNXTDZ($A$1,$B28,AU$1,$B$1)</f>
        <v>57.4</v>
      </c>
      <c r="AV28">
        <f>_xll.EQNXTDZ($A$1,$B28,AV$1,$B$1)</f>
        <v>68.099999999999994</v>
      </c>
      <c r="AW28">
        <f>_xll.EQNXTDZ($A$1,$B28,AW$1,$B$1)</f>
        <v>71.5</v>
      </c>
      <c r="AX28">
        <f>_xll.EQNXTDZ($A$1,$B28,AX$1,$B$1)</f>
        <v>74.599999999999994</v>
      </c>
      <c r="AY28">
        <f>_xll.EQNXTDZ($A$1,$B28,AY$1,$B$1)</f>
        <v>72.599999999999994</v>
      </c>
      <c r="AZ28">
        <f>_xll.EQNXTDZ($A$1,$B28,AZ$1,$B$1)</f>
        <v>78.3</v>
      </c>
      <c r="BA28">
        <f>_xll.EQNXTDZ($A$1,$B28,BA$1,$B$1)</f>
        <v>72.8</v>
      </c>
      <c r="BB28">
        <f>_xll.EQNXTDZ($A$1,$B28,BB$1,$B$1)</f>
        <v>80.900000000000006</v>
      </c>
      <c r="BC28">
        <f>_xll.EQNXTDZ($A$1,$B28,BC$1,$B$1)</f>
        <v>81.099999999999994</v>
      </c>
      <c r="BD28">
        <f>_xll.EQNXTDZ($A$1,$B28,BD$1,$B$1)</f>
        <v>92.6</v>
      </c>
      <c r="BE28">
        <f>_xll.EQNXTDZ($A$1,$B28,BE$1,$B$1)</f>
        <v>86.7</v>
      </c>
      <c r="BF28">
        <f>_xll.EQNXTDZ($A$1,$B28,BF$1,$B$1)</f>
        <v>86.5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39.6</v>
      </c>
      <c r="Q29">
        <f>_xll.EQNXTDZ($A$1,$B29,Q$1,$B$1)</f>
        <v>37.200000000000003</v>
      </c>
      <c r="R29">
        <f>_xll.EQNXTDZ($A$1,$B29,R$1,$B$1)</f>
        <v>28.9</v>
      </c>
      <c r="S29">
        <f>_xll.EQNXTDZ($A$1,$B29,S$1,$B$1)</f>
        <v>45.8</v>
      </c>
      <c r="T29">
        <f>_xll.EQNXTDZ($A$1,$B29,T$1,$B$1)</f>
        <v>43.6</v>
      </c>
      <c r="U29">
        <f>_xll.EQNXTDZ($A$1,$B29,U$1,$B$1)</f>
        <v>38.700000000000003</v>
      </c>
      <c r="V29">
        <f>_xll.EQNXTDZ($A$1,$B29,V$1,$B$1)</f>
        <v>26.1</v>
      </c>
      <c r="W29">
        <f>_xll.EQNXTDZ($A$1,$B29,W$1,$B$1)</f>
        <v>39.200000000000003</v>
      </c>
      <c r="X29">
        <f>_xll.EQNXTDZ($A$1,$B29,X$1,$B$1)</f>
        <v>47.5</v>
      </c>
      <c r="Y29">
        <f>_xll.EQNXTDZ($A$1,$B29,Y$1,$B$1)</f>
        <v>50.1</v>
      </c>
      <c r="Z29">
        <f>_xll.EQNXTDZ($A$1,$B29,Z$1,$B$1)</f>
        <v>34.4</v>
      </c>
      <c r="AA29">
        <f>_xll.EQNXTDZ($A$1,$B29,AA$1,$B$1)</f>
        <v>69.8</v>
      </c>
      <c r="AB29">
        <f>_xll.EQNXTDZ($A$1,$B29,AB$1,$B$1)</f>
        <v>64.599999999999994</v>
      </c>
      <c r="AC29">
        <f>_xll.EQNXTDZ($A$1,$B29,AC$1,$B$1)</f>
        <v>67</v>
      </c>
      <c r="AD29">
        <f>_xll.EQNXTDZ($A$1,$B29,AD$1,$B$1)</f>
        <v>61.6</v>
      </c>
      <c r="AE29">
        <f>_xll.EQNXTDZ($A$1,$B29,AE$1,$B$1)</f>
        <v>73.2</v>
      </c>
      <c r="AF29">
        <f>_xll.EQNXTDZ($A$1,$B29,AF$1,$B$1)</f>
        <v>70.400000000000006</v>
      </c>
      <c r="AG29">
        <f>_xll.EQNXTDZ($A$1,$B29,AG$1,$B$1)</f>
        <v>68.7</v>
      </c>
      <c r="AH29">
        <f>_xll.EQNXTDZ($A$1,$B29,AH$1,$B$1)</f>
        <v>65.5</v>
      </c>
      <c r="AI29">
        <f>_xll.EQNXTDZ($A$1,$B29,AI$1,$B$1)</f>
        <v>41.7</v>
      </c>
      <c r="AJ29">
        <f>_xll.EQNXTDZ($A$1,$B29,AJ$1,$B$1)</f>
        <v>59.5</v>
      </c>
      <c r="AK29">
        <f>_xll.EQNXTDZ($A$1,$B29,AK$1,$B$1)</f>
        <v>63.7</v>
      </c>
      <c r="AL29">
        <f>_xll.EQNXTDZ($A$1,$B29,AL$1,$B$1)</f>
        <v>65.900000000000006</v>
      </c>
      <c r="AM29">
        <f>_xll.EQNXTDZ($A$1,$B29,AM$1,$B$1)</f>
        <v>78.7</v>
      </c>
      <c r="AN29">
        <f>_xll.EQNXTDZ($A$1,$B29,AN$1,$B$1)</f>
        <v>83.6</v>
      </c>
      <c r="AO29">
        <f>_xll.EQNXTDZ($A$1,$B29,AO$1,$B$1)</f>
        <v>90.7</v>
      </c>
      <c r="AP29">
        <f>_xll.EQNXTDZ($A$1,$B29,AP$1,$B$1)</f>
        <v>95.6</v>
      </c>
      <c r="AQ29">
        <f>_xll.EQNXTDZ($A$1,$B29,AQ$1,$B$1)</f>
        <v>102.4</v>
      </c>
      <c r="AR29">
        <f>_xll.EQNXTDZ($A$1,$B29,AR$1,$B$1)</f>
        <v>105.7</v>
      </c>
      <c r="AS29">
        <f>_xll.EQNXTDZ($A$1,$B29,AS$1,$B$1)</f>
        <v>140.5</v>
      </c>
      <c r="AT29">
        <f>_xll.EQNXTDZ($A$1,$B29,AT$1,$B$1)</f>
        <v>121</v>
      </c>
      <c r="AU29">
        <f>_xll.EQNXTDZ($A$1,$B29,AU$1,$B$1)</f>
        <v>119</v>
      </c>
      <c r="AV29">
        <f>_xll.EQNXTDZ($A$1,$B29,AV$1,$B$1)</f>
        <v>120.2</v>
      </c>
      <c r="AW29">
        <f>_xll.EQNXTDZ($A$1,$B29,AW$1,$B$1)</f>
        <v>128.69999999999999</v>
      </c>
      <c r="AX29">
        <f>_xll.EQNXTDZ($A$1,$B29,AX$1,$B$1)</f>
        <v>129.6</v>
      </c>
      <c r="AY29">
        <f>_xll.EQNXTDZ($A$1,$B29,AY$1,$B$1)</f>
        <v>118.8</v>
      </c>
      <c r="AZ29">
        <f>_xll.EQNXTDZ($A$1,$B29,AZ$1,$B$1)</f>
        <v>120.8</v>
      </c>
      <c r="BA29">
        <f>_xll.EQNXTDZ($A$1,$B29,BA$1,$B$1)</f>
        <v>120.4</v>
      </c>
      <c r="BB29">
        <f>_xll.EQNXTDZ($A$1,$B29,BB$1,$B$1)</f>
        <v>105.5</v>
      </c>
      <c r="BC29">
        <f>_xll.EQNXTDZ($A$1,$B29,BC$1,$B$1)</f>
        <v>116.4</v>
      </c>
      <c r="BD29">
        <f>_xll.EQNXTDZ($A$1,$B29,BD$1,$B$1)</f>
        <v>118.8</v>
      </c>
      <c r="BE29">
        <f>_xll.EQNXTDZ($A$1,$B29,BE$1,$B$1)</f>
        <v>107</v>
      </c>
      <c r="BF29">
        <f>_xll.EQNXTDZ($A$1,$B29,BF$1,$B$1)</f>
        <v>116.2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93.5</v>
      </c>
      <c r="Q30">
        <f>_xll.EQNXTDZ($A$1,$B30,Q$1,$B$1)</f>
        <v>130.69999999999999</v>
      </c>
      <c r="R30">
        <f>_xll.EQNXTDZ($A$1,$B30,R$1,$B$1)</f>
        <v>109.1</v>
      </c>
      <c r="S30">
        <f>_xll.EQNXTDZ($A$1,$B30,S$1,$B$1)</f>
        <v>108</v>
      </c>
      <c r="T30">
        <f>_xll.EQNXTDZ($A$1,$B30,T$1,$B$1)</f>
        <v>111.9</v>
      </c>
      <c r="U30">
        <f>_xll.EQNXTDZ($A$1,$B30,U$1,$B$1)</f>
        <v>108.6</v>
      </c>
      <c r="V30">
        <f>_xll.EQNXTDZ($A$1,$B30,V$1,$B$1)</f>
        <v>96.5</v>
      </c>
      <c r="W30">
        <f>_xll.EQNXTDZ($A$1,$B30,W$1,$B$1)</f>
        <v>98</v>
      </c>
      <c r="X30">
        <f>_xll.EQNXTDZ($A$1,$B30,X$1,$B$1)</f>
        <v>123</v>
      </c>
      <c r="Y30">
        <f>_xll.EQNXTDZ($A$1,$B30,Y$1,$B$1)</f>
        <v>126.5</v>
      </c>
      <c r="Z30">
        <f>_xll.EQNXTDZ($A$1,$B30,Z$1,$B$1)</f>
        <v>159.1</v>
      </c>
      <c r="AA30">
        <f>_xll.EQNXTDZ($A$1,$B30,AA$1,$B$1)</f>
        <v>198.1</v>
      </c>
      <c r="AB30">
        <f>_xll.EQNXTDZ($A$1,$B30,AB$1,$B$1)</f>
        <v>191.8</v>
      </c>
      <c r="AC30">
        <f>_xll.EQNXTDZ($A$1,$B30,AC$1,$B$1)</f>
        <v>186.1</v>
      </c>
      <c r="AD30">
        <f>_xll.EQNXTDZ($A$1,$B30,AD$1,$B$1)</f>
        <v>192.4</v>
      </c>
      <c r="AE30">
        <f>_xll.EQNXTDZ($A$1,$B30,AE$1,$B$1)</f>
        <v>204.1</v>
      </c>
      <c r="AF30">
        <f>_xll.EQNXTDZ($A$1,$B30,AF$1,$B$1)</f>
        <v>206.2</v>
      </c>
      <c r="AG30">
        <f>_xll.EQNXTDZ($A$1,$B30,AG$1,$B$1)</f>
        <v>205.8</v>
      </c>
      <c r="AH30">
        <f>_xll.EQNXTDZ($A$1,$B30,AH$1,$B$1)</f>
        <v>206.3</v>
      </c>
      <c r="AI30">
        <f>_xll.EQNXTDZ($A$1,$B30,AI$1,$B$1)</f>
        <v>118</v>
      </c>
      <c r="AJ30">
        <f>_xll.EQNXTDZ($A$1,$B30,AJ$1,$B$1)</f>
        <v>166.3</v>
      </c>
      <c r="AK30">
        <f>_xll.EQNXTDZ($A$1,$B30,AK$1,$B$1)</f>
        <v>186.9</v>
      </c>
      <c r="AL30">
        <f>_xll.EQNXTDZ($A$1,$B30,AL$1,$B$1)</f>
        <v>195.3</v>
      </c>
      <c r="AM30">
        <f>_xll.EQNXTDZ($A$1,$B30,AM$1,$B$1)</f>
        <v>217</v>
      </c>
      <c r="AN30">
        <f>_xll.EQNXTDZ($A$1,$B30,AN$1,$B$1)</f>
        <v>230.8</v>
      </c>
      <c r="AO30">
        <f>_xll.EQNXTDZ($A$1,$B30,AO$1,$B$1)</f>
        <v>249.6</v>
      </c>
      <c r="AP30">
        <f>_xll.EQNXTDZ($A$1,$B30,AP$1,$B$1)</f>
        <v>263.2</v>
      </c>
      <c r="AQ30">
        <f>_xll.EQNXTDZ($A$1,$B30,AQ$1,$B$1)</f>
        <v>276.2</v>
      </c>
      <c r="AR30">
        <f>_xll.EQNXTDZ($A$1,$B30,AR$1,$B$1)</f>
        <v>300.60000000000002</v>
      </c>
      <c r="AS30">
        <f>_xll.EQNXTDZ($A$1,$B30,AS$1,$B$1)</f>
        <v>298.2</v>
      </c>
      <c r="AT30">
        <f>_xll.EQNXTDZ($A$1,$B30,AT$1,$B$1)</f>
        <v>341.4</v>
      </c>
      <c r="AU30">
        <f>_xll.EQNXTDZ($A$1,$B30,AU$1,$B$1)</f>
        <v>312.10000000000002</v>
      </c>
      <c r="AV30">
        <f>_xll.EQNXTDZ($A$1,$B30,AV$1,$B$1)</f>
        <v>315.89999999999998</v>
      </c>
      <c r="AW30">
        <f>_xll.EQNXTDZ($A$1,$B30,AW$1,$B$1)</f>
        <v>336.8</v>
      </c>
      <c r="AX30">
        <f>_xll.EQNXTDZ($A$1,$B30,AX$1,$B$1)</f>
        <v>341.4</v>
      </c>
      <c r="AY30">
        <f>_xll.EQNXTDZ($A$1,$B30,AY$1,$B$1)</f>
        <v>313.89999999999998</v>
      </c>
      <c r="AZ30">
        <f>_xll.EQNXTDZ($A$1,$B30,AZ$1,$B$1)</f>
        <v>320</v>
      </c>
      <c r="BA30">
        <f>_xll.EQNXTDZ($A$1,$B30,BA$1,$B$1)</f>
        <v>319.5</v>
      </c>
      <c r="BB30">
        <f>_xll.EQNXTDZ($A$1,$B30,BB$1,$B$1)</f>
        <v>279.5</v>
      </c>
      <c r="BC30">
        <f>_xll.EQNXTDZ($A$1,$B30,BC$1,$B$1)</f>
        <v>316.10000000000002</v>
      </c>
      <c r="BD30">
        <f>_xll.EQNXTDZ($A$1,$B30,BD$1,$B$1)</f>
        <v>329.2</v>
      </c>
      <c r="BE30">
        <f>_xll.EQNXTDZ($A$1,$B30,BE$1,$B$1)</f>
        <v>303.10000000000002</v>
      </c>
      <c r="BF30">
        <f>_xll.EQNXTDZ($A$1,$B30,BF$1,$B$1)</f>
        <v>320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0.1</v>
      </c>
      <c r="Q34">
        <f>_xll.EQNXTDZ($A$1,$B34,Q$1,$B$1)</f>
        <v>0.1</v>
      </c>
      <c r="R34">
        <f>_xll.EQNXTDZ($A$1,$B34,R$1,$B$1)</f>
        <v>-0.1</v>
      </c>
      <c r="S34">
        <f>_xll.EQNXTDZ($A$1,$B34,S$1,$B$1)</f>
        <v>0.3</v>
      </c>
      <c r="T34">
        <f>_xll.EQNXTDZ($A$1,$B34,T$1,$B$1)</f>
        <v>0</v>
      </c>
      <c r="U34">
        <f>_xll.EQNXTDZ($A$1,$B34,U$1,$B$1)</f>
        <v>0.1</v>
      </c>
      <c r="V34">
        <f>_xll.EQNXTDZ($A$1,$B34,V$1,$B$1)</f>
        <v>-0.5</v>
      </c>
      <c r="W34">
        <f>_xll.EQNXTDZ($A$1,$B34,W$1,$B$1)</f>
        <v>0.2</v>
      </c>
      <c r="X34">
        <f>_xll.EQNXTDZ($A$1,$B34,X$1,$B$1)</f>
        <v>-0.3</v>
      </c>
      <c r="Y34">
        <f>_xll.EQNXTDZ($A$1,$B34,Y$1,$B$1)</f>
        <v>-0.2</v>
      </c>
      <c r="Z34">
        <f>_xll.EQNXTDZ($A$1,$B34,Z$1,$B$1)</f>
        <v>-0.3</v>
      </c>
      <c r="AA34">
        <f>_xll.EQNXTDZ($A$1,$B34,AA$1,$B$1)</f>
        <v>-0.6</v>
      </c>
      <c r="AB34">
        <f>_xll.EQNXTDZ($A$1,$B34,AB$1,$B$1)</f>
        <v>-0.8</v>
      </c>
      <c r="AC34">
        <f>_xll.EQNXTDZ($A$1,$B34,AC$1,$B$1)</f>
        <v>-0.5</v>
      </c>
      <c r="AD34">
        <f>_xll.EQNXTDZ($A$1,$B34,AD$1,$B$1)</f>
        <v>-0.9</v>
      </c>
      <c r="AE34">
        <f>_xll.EQNXTDZ($A$1,$B34,AE$1,$B$1)</f>
        <v>-0.2</v>
      </c>
      <c r="AF34">
        <f>_xll.EQNXTDZ($A$1,$B34,AF$1,$B$1)</f>
        <v>-0.4</v>
      </c>
      <c r="AG34">
        <f>_xll.EQNXTDZ($A$1,$B34,AG$1,$B$1)</f>
        <v>-1.7</v>
      </c>
      <c r="AH34">
        <f>_xll.EQNXTDZ($A$1,$B34,AH$1,$B$1)</f>
        <v>-1.5</v>
      </c>
      <c r="AI34">
        <f>_xll.EQNXTDZ($A$1,$B34,AI$1,$B$1)</f>
        <v>-0.8</v>
      </c>
      <c r="AJ34">
        <f>_xll.EQNXTDZ($A$1,$B34,AJ$1,$B$1)</f>
        <v>-0.8</v>
      </c>
      <c r="AK34">
        <f>_xll.EQNXTDZ($A$1,$B34,AK$1,$B$1)</f>
        <v>-0.8</v>
      </c>
      <c r="AL34">
        <f>_xll.EQNXTDZ($A$1,$B34,AL$1,$B$1)</f>
        <v>-0.8</v>
      </c>
      <c r="AM34">
        <f>_xll.EQNXTDZ($A$1,$B34,AM$1,$B$1)</f>
        <v>-0.8</v>
      </c>
      <c r="AN34">
        <f>_xll.EQNXTDZ($A$1,$B34,AN$1,$B$1)</f>
        <v>-0.8</v>
      </c>
      <c r="AO34">
        <f>_xll.EQNXTDZ($A$1,$B34,AO$1,$B$1)</f>
        <v>-0.8</v>
      </c>
      <c r="AP34">
        <f>_xll.EQNXTDZ($A$1,$B34,AP$1,$B$1)</f>
        <v>-1.2</v>
      </c>
      <c r="AQ34">
        <f>_xll.EQNXTDZ($A$1,$B34,AQ$1,$B$1)</f>
        <v>-0.8</v>
      </c>
      <c r="AR34">
        <f>_xll.EQNXTDZ($A$1,$B34,AR$1,$B$1)</f>
        <v>-0.7</v>
      </c>
      <c r="AS34">
        <f>_xll.EQNXTDZ($A$1,$B34,AS$1,$B$1)</f>
        <v>-1.4</v>
      </c>
      <c r="AT34">
        <f>_xll.EQNXTDZ($A$1,$B34,AT$1,$B$1)</f>
        <v>-1.3</v>
      </c>
      <c r="AU34">
        <f>_xll.EQNXTDZ($A$1,$B34,AU$1,$B$1)</f>
        <v>-1</v>
      </c>
      <c r="AV34">
        <f>_xll.EQNXTDZ($A$1,$B34,AV$1,$B$1)</f>
        <v>-0.5</v>
      </c>
      <c r="AW34">
        <f>_xll.EQNXTDZ($A$1,$B34,AW$1,$B$1)</f>
        <v>-0.6</v>
      </c>
      <c r="AX34">
        <f>_xll.EQNXTDZ($A$1,$B34,AX$1,$B$1)</f>
        <v>-0.5</v>
      </c>
      <c r="AY34">
        <f>_xll.EQNXTDZ($A$1,$B34,AY$1,$B$1)</f>
        <v>-0.3</v>
      </c>
      <c r="AZ34">
        <f>_xll.EQNXTDZ($A$1,$B34,AZ$1,$B$1)</f>
        <v>-0.4</v>
      </c>
      <c r="BA34">
        <f>_xll.EQNXTDZ($A$1,$B34,BA$1,$B$1)</f>
        <v>2.9</v>
      </c>
      <c r="BB34">
        <f>_xll.EQNXTDZ($A$1,$B34,BB$1,$B$1)</f>
        <v>0.9</v>
      </c>
      <c r="BC34">
        <f>_xll.EQNXTDZ($A$1,$B34,BC$1,$B$1)</f>
        <v>-0.4</v>
      </c>
      <c r="BD34">
        <f>_xll.EQNXTDZ($A$1,$B34,BD$1,$B$1)</f>
        <v>-0.5</v>
      </c>
      <c r="BE34">
        <f>_xll.EQNXTDZ($A$1,$B34,BE$1,$B$1)</f>
        <v>-0.5</v>
      </c>
      <c r="BF34">
        <f>_xll.EQNXTDZ($A$1,$B34,BF$1,$B$1)</f>
        <v>-0.6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93.6</v>
      </c>
      <c r="Q38">
        <f>_xll.EQNXTDZ($A$1,$B38,Q$1,$B$1)</f>
        <v>130.80000000000001</v>
      </c>
      <c r="R38">
        <f>_xll.EQNXTDZ($A$1,$B38,R$1,$B$1)</f>
        <v>109</v>
      </c>
      <c r="S38">
        <f>_xll.EQNXTDZ($A$1,$B38,S$1,$B$1)</f>
        <v>108.3</v>
      </c>
      <c r="T38">
        <f>_xll.EQNXTDZ($A$1,$B38,T$1,$B$1)</f>
        <v>111.9</v>
      </c>
      <c r="U38">
        <f>_xll.EQNXTDZ($A$1,$B38,U$1,$B$1)</f>
        <v>108.7</v>
      </c>
      <c r="V38">
        <f>_xll.EQNXTDZ($A$1,$B38,V$1,$B$1)</f>
        <v>96</v>
      </c>
      <c r="W38">
        <f>_xll.EQNXTDZ($A$1,$B38,W$1,$B$1)</f>
        <v>98.2</v>
      </c>
      <c r="X38">
        <f>_xll.EQNXTDZ($A$1,$B38,X$1,$B$1)</f>
        <v>122.7</v>
      </c>
      <c r="Y38">
        <f>_xll.EQNXTDZ($A$1,$B38,Y$1,$B$1)</f>
        <v>126.3</v>
      </c>
      <c r="Z38">
        <f>_xll.EQNXTDZ($A$1,$B38,Z$1,$B$1)</f>
        <v>158.80000000000001</v>
      </c>
      <c r="AA38">
        <f>_xll.EQNXTDZ($A$1,$B38,AA$1,$B$1)</f>
        <v>197.5</v>
      </c>
      <c r="AB38">
        <f>_xll.EQNXTDZ($A$1,$B38,AB$1,$B$1)</f>
        <v>191</v>
      </c>
      <c r="AC38">
        <f>_xll.EQNXTDZ($A$1,$B38,AC$1,$B$1)</f>
        <v>185.6</v>
      </c>
      <c r="AD38">
        <f>_xll.EQNXTDZ($A$1,$B38,AD$1,$B$1)</f>
        <v>191.5</v>
      </c>
      <c r="AE38">
        <f>_xll.EQNXTDZ($A$1,$B38,AE$1,$B$1)</f>
        <v>203.9</v>
      </c>
      <c r="AF38">
        <f>_xll.EQNXTDZ($A$1,$B38,AF$1,$B$1)</f>
        <v>205.8</v>
      </c>
      <c r="AG38">
        <f>_xll.EQNXTDZ($A$1,$B38,AG$1,$B$1)</f>
        <v>204.1</v>
      </c>
      <c r="AH38">
        <f>_xll.EQNXTDZ($A$1,$B38,AH$1,$B$1)</f>
        <v>204.8</v>
      </c>
      <c r="AI38">
        <f>_xll.EQNXTDZ($A$1,$B38,AI$1,$B$1)</f>
        <v>117.2</v>
      </c>
      <c r="AJ38">
        <f>_xll.EQNXTDZ($A$1,$B38,AJ$1,$B$1)</f>
        <v>165.5</v>
      </c>
      <c r="AK38">
        <f>_xll.EQNXTDZ($A$1,$B38,AK$1,$B$1)</f>
        <v>186.1</v>
      </c>
      <c r="AL38">
        <f>_xll.EQNXTDZ($A$1,$B38,AL$1,$B$1)</f>
        <v>194.5</v>
      </c>
      <c r="AM38">
        <f>_xll.EQNXTDZ($A$1,$B38,AM$1,$B$1)</f>
        <v>216.2</v>
      </c>
      <c r="AN38">
        <f>_xll.EQNXTDZ($A$1,$B38,AN$1,$B$1)</f>
        <v>230</v>
      </c>
      <c r="AO38">
        <f>_xll.EQNXTDZ($A$1,$B38,AO$1,$B$1)</f>
        <v>248.8</v>
      </c>
      <c r="AP38">
        <f>_xll.EQNXTDZ($A$1,$B38,AP$1,$B$1)</f>
        <v>262</v>
      </c>
      <c r="AQ38">
        <f>_xll.EQNXTDZ($A$1,$B38,AQ$1,$B$1)</f>
        <v>275.39999999999998</v>
      </c>
      <c r="AR38">
        <f>_xll.EQNXTDZ($A$1,$B38,AR$1,$B$1)</f>
        <v>299.89999999999998</v>
      </c>
      <c r="AS38">
        <f>_xll.EQNXTDZ($A$1,$B38,AS$1,$B$1)</f>
        <v>296.8</v>
      </c>
      <c r="AT38">
        <f>_xll.EQNXTDZ($A$1,$B38,AT$1,$B$1)</f>
        <v>340.1</v>
      </c>
      <c r="AU38">
        <f>_xll.EQNXTDZ($A$1,$B38,AU$1,$B$1)</f>
        <v>311.10000000000002</v>
      </c>
      <c r="AV38">
        <f>_xll.EQNXTDZ($A$1,$B38,AV$1,$B$1)</f>
        <v>315.39999999999998</v>
      </c>
      <c r="AW38">
        <f>_xll.EQNXTDZ($A$1,$B38,AW$1,$B$1)</f>
        <v>336.2</v>
      </c>
      <c r="AX38">
        <f>_xll.EQNXTDZ($A$1,$B38,AX$1,$B$1)</f>
        <v>340.9</v>
      </c>
      <c r="AY38">
        <f>_xll.EQNXTDZ($A$1,$B38,AY$1,$B$1)</f>
        <v>313.60000000000002</v>
      </c>
      <c r="AZ38">
        <f>_xll.EQNXTDZ($A$1,$B38,AZ$1,$B$1)</f>
        <v>319.60000000000002</v>
      </c>
      <c r="BA38">
        <f>_xll.EQNXTDZ($A$1,$B38,BA$1,$B$1)</f>
        <v>322.39999999999998</v>
      </c>
      <c r="BB38">
        <f>_xll.EQNXTDZ($A$1,$B38,BB$1,$B$1)</f>
        <v>311.10000000000002</v>
      </c>
      <c r="BC38">
        <f>_xll.EQNXTDZ($A$1,$B38,BC$1,$B$1)</f>
        <v>315.7</v>
      </c>
      <c r="BD38">
        <f>_xll.EQNXTDZ($A$1,$B38,BD$1,$B$1)</f>
        <v>328.7</v>
      </c>
      <c r="BE38">
        <f>_xll.EQNXTDZ($A$1,$B38,BE$1,$B$1)</f>
        <v>302.60000000000002</v>
      </c>
      <c r="BF38">
        <f>_xll.EQNXTDZ($A$1,$B38,BF$1,$B$1)</f>
        <v>332.1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30.7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12.7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5.9</v>
      </c>
      <c r="Q40">
        <f>_xll.EQNXTDZ($A$1,$B40,Q$1,$B$1)</f>
        <v>-30.5</v>
      </c>
      <c r="R40">
        <f>_xll.EQNXTDZ($A$1,$B40,R$1,$B$1)</f>
        <v>2.6</v>
      </c>
      <c r="S40">
        <f>_xll.EQNXTDZ($A$1,$B40,S$1,$B$1)</f>
        <v>-37.4</v>
      </c>
      <c r="T40">
        <f>_xll.EQNXTDZ($A$1,$B40,T$1,$B$1)</f>
        <v>6.7</v>
      </c>
      <c r="U40">
        <f>_xll.EQNXTDZ($A$1,$B40,U$1,$B$1)</f>
        <v>-18.3</v>
      </c>
      <c r="V40">
        <f>_xll.EQNXTDZ($A$1,$B40,V$1,$B$1)</f>
        <v>76.599999999999994</v>
      </c>
      <c r="W40">
        <f>_xll.EQNXTDZ($A$1,$B40,W$1,$B$1)</f>
        <v>32.5</v>
      </c>
      <c r="X40">
        <f>_xll.EQNXTDZ($A$1,$B40,X$1,$B$1)</f>
        <v>-7.8</v>
      </c>
      <c r="Y40">
        <f>_xll.EQNXTDZ($A$1,$B40,Y$1,$B$1)</f>
        <v>39.700000000000003</v>
      </c>
      <c r="Z40">
        <f>_xll.EQNXTDZ($A$1,$B40,Z$1,$B$1)</f>
        <v>-42.2</v>
      </c>
      <c r="AA40">
        <f>_xll.EQNXTDZ($A$1,$B40,AA$1,$B$1)</f>
        <v>-84.6</v>
      </c>
      <c r="AB40">
        <f>_xll.EQNXTDZ($A$1,$B40,AB$1,$B$1)</f>
        <v>-105.4</v>
      </c>
      <c r="AC40">
        <f>_xll.EQNXTDZ($A$1,$B40,AC$1,$B$1)</f>
        <v>130.1</v>
      </c>
      <c r="AD40">
        <f>_xll.EQNXTDZ($A$1,$B40,AD$1,$B$1)</f>
        <v>64.400000000000006</v>
      </c>
      <c r="AE40">
        <f>_xll.EQNXTDZ($A$1,$B40,AE$1,$B$1)</f>
        <v>-1.9</v>
      </c>
      <c r="AF40">
        <f>_xll.EQNXTDZ($A$1,$B40,AF$1,$B$1)</f>
        <v>-56.9</v>
      </c>
      <c r="AG40">
        <f>_xll.EQNXTDZ($A$1,$B40,AG$1,$B$1)</f>
        <v>1.6</v>
      </c>
      <c r="AH40">
        <f>_xll.EQNXTDZ($A$1,$B40,AH$1,$B$1)</f>
        <v>-190.7</v>
      </c>
      <c r="AI40">
        <f>_xll.EQNXTDZ($A$1,$B40,AI$1,$B$1)</f>
        <v>63.2</v>
      </c>
      <c r="AJ40">
        <f>_xll.EQNXTDZ($A$1,$B40,AJ$1,$B$1)</f>
        <v>114.5</v>
      </c>
      <c r="AK40">
        <f>_xll.EQNXTDZ($A$1,$B40,AK$1,$B$1)</f>
        <v>47</v>
      </c>
      <c r="AL40">
        <f>_xll.EQNXTDZ($A$1,$B40,AL$1,$B$1)</f>
        <v>23.5</v>
      </c>
      <c r="AM40">
        <f>_xll.EQNXTDZ($A$1,$B40,AM$1,$B$1)</f>
        <v>9.5</v>
      </c>
      <c r="AN40">
        <f>_xll.EQNXTDZ($A$1,$B40,AN$1,$B$1)</f>
        <v>33.200000000000003</v>
      </c>
      <c r="AO40">
        <f>_xll.EQNXTDZ($A$1,$B40,AO$1,$B$1)</f>
        <v>45.9</v>
      </c>
      <c r="AP40">
        <f>_xll.EQNXTDZ($A$1,$B40,AP$1,$B$1)</f>
        <v>1.4</v>
      </c>
      <c r="AQ40">
        <f>_xll.EQNXTDZ($A$1,$B40,AQ$1,$B$1)</f>
        <v>-49.3</v>
      </c>
      <c r="AR40">
        <f>_xll.EQNXTDZ($A$1,$B40,AR$1,$B$1)</f>
        <v>-98.9</v>
      </c>
      <c r="AS40">
        <f>_xll.EQNXTDZ($A$1,$B40,AS$1,$B$1)</f>
        <v>-17.3</v>
      </c>
      <c r="AT40">
        <f>_xll.EQNXTDZ($A$1,$B40,AT$1,$B$1)</f>
        <v>19</v>
      </c>
      <c r="AU40">
        <f>_xll.EQNXTDZ($A$1,$B40,AU$1,$B$1)</f>
        <v>56.5</v>
      </c>
      <c r="AV40">
        <f>_xll.EQNXTDZ($A$1,$B40,AV$1,$B$1)</f>
        <v>-37.200000000000003</v>
      </c>
      <c r="AW40">
        <f>_xll.EQNXTDZ($A$1,$B40,AW$1,$B$1)</f>
        <v>-0.1</v>
      </c>
      <c r="AX40">
        <f>_xll.EQNXTDZ($A$1,$B40,AX$1,$B$1)</f>
        <v>22.7</v>
      </c>
      <c r="AY40">
        <f>_xll.EQNXTDZ($A$1,$B40,AY$1,$B$1)</f>
        <v>20.2</v>
      </c>
      <c r="AZ40">
        <f>_xll.EQNXTDZ($A$1,$B40,AZ$1,$B$1)</f>
        <v>-28.7</v>
      </c>
      <c r="BA40">
        <f>_xll.EQNXTDZ($A$1,$B40,BA$1,$B$1)</f>
        <v>-45.6</v>
      </c>
      <c r="BB40">
        <f>_xll.EQNXTDZ($A$1,$B40,BB$1,$B$1)</f>
        <v>32.1</v>
      </c>
      <c r="BC40">
        <f>_xll.EQNXTDZ($A$1,$B40,BC$1,$B$1)</f>
        <v>-38.799999999999997</v>
      </c>
      <c r="BD40">
        <f>_xll.EQNXTDZ($A$1,$B40,BD$1,$B$1)</f>
        <v>-102.4</v>
      </c>
      <c r="BE40">
        <f>_xll.EQNXTDZ($A$1,$B40,BE$1,$B$1)</f>
        <v>-5.6</v>
      </c>
      <c r="BF40">
        <f>_xll.EQNXTDZ($A$1,$B40,BF$1,$B$1)</f>
        <v>-162.6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99.5</v>
      </c>
      <c r="Q41">
        <f>_xll.EQNXTDZ($A$1,$B41,Q$1,$B$1)</f>
        <v>100.3</v>
      </c>
      <c r="R41">
        <f>_xll.EQNXTDZ($A$1,$B41,R$1,$B$1)</f>
        <v>111.6</v>
      </c>
      <c r="S41">
        <f>_xll.EQNXTDZ($A$1,$B41,S$1,$B$1)</f>
        <v>70.900000000000006</v>
      </c>
      <c r="T41">
        <f>_xll.EQNXTDZ($A$1,$B41,T$1,$B$1)</f>
        <v>118.6</v>
      </c>
      <c r="U41">
        <f>_xll.EQNXTDZ($A$1,$B41,U$1,$B$1)</f>
        <v>90.4</v>
      </c>
      <c r="V41">
        <f>_xll.EQNXTDZ($A$1,$B41,V$1,$B$1)</f>
        <v>172.6</v>
      </c>
      <c r="W41">
        <f>_xll.EQNXTDZ($A$1,$B41,W$1,$B$1)</f>
        <v>130.69999999999999</v>
      </c>
      <c r="X41">
        <f>_xll.EQNXTDZ($A$1,$B41,X$1,$B$1)</f>
        <v>114.9</v>
      </c>
      <c r="Y41">
        <f>_xll.EQNXTDZ($A$1,$B41,Y$1,$B$1)</f>
        <v>166</v>
      </c>
      <c r="Z41">
        <f>_xll.EQNXTDZ($A$1,$B41,Z$1,$B$1)</f>
        <v>116.5</v>
      </c>
      <c r="AA41">
        <f>_xll.EQNXTDZ($A$1,$B41,AA$1,$B$1)</f>
        <v>112.9</v>
      </c>
      <c r="AB41">
        <f>_xll.EQNXTDZ($A$1,$B41,AB$1,$B$1)</f>
        <v>85.6</v>
      </c>
      <c r="AC41">
        <f>_xll.EQNXTDZ($A$1,$B41,AC$1,$B$1)</f>
        <v>315.7</v>
      </c>
      <c r="AD41">
        <f>_xll.EQNXTDZ($A$1,$B41,AD$1,$B$1)</f>
        <v>255.9</v>
      </c>
      <c r="AE41">
        <f>_xll.EQNXTDZ($A$1,$B41,AE$1,$B$1)</f>
        <v>202</v>
      </c>
      <c r="AF41">
        <f>_xll.EQNXTDZ($A$1,$B41,AF$1,$B$1)</f>
        <v>148.9</v>
      </c>
      <c r="AG41">
        <f>_xll.EQNXTDZ($A$1,$B41,AG$1,$B$1)</f>
        <v>205.7</v>
      </c>
      <c r="AH41">
        <f>_xll.EQNXTDZ($A$1,$B41,AH$1,$B$1)</f>
        <v>14.1</v>
      </c>
      <c r="AI41">
        <f>_xll.EQNXTDZ($A$1,$B41,AI$1,$B$1)</f>
        <v>180.4</v>
      </c>
      <c r="AJ41">
        <f>_xll.EQNXTDZ($A$1,$B41,AJ$1,$B$1)</f>
        <v>280</v>
      </c>
      <c r="AK41">
        <f>_xll.EQNXTDZ($A$1,$B41,AK$1,$B$1)</f>
        <v>233.1</v>
      </c>
      <c r="AL41">
        <f>_xll.EQNXTDZ($A$1,$B41,AL$1,$B$1)</f>
        <v>218</v>
      </c>
      <c r="AM41">
        <f>_xll.EQNXTDZ($A$1,$B41,AM$1,$B$1)</f>
        <v>225.7</v>
      </c>
      <c r="AN41">
        <f>_xll.EQNXTDZ($A$1,$B41,AN$1,$B$1)</f>
        <v>263.2</v>
      </c>
      <c r="AO41">
        <f>_xll.EQNXTDZ($A$1,$B41,AO$1,$B$1)</f>
        <v>294.7</v>
      </c>
      <c r="AP41">
        <f>_xll.EQNXTDZ($A$1,$B41,AP$1,$B$1)</f>
        <v>263.39999999999998</v>
      </c>
      <c r="AQ41">
        <f>_xll.EQNXTDZ($A$1,$B41,AQ$1,$B$1)</f>
        <v>226.1</v>
      </c>
      <c r="AR41">
        <f>_xll.EQNXTDZ($A$1,$B41,AR$1,$B$1)</f>
        <v>201</v>
      </c>
      <c r="AS41">
        <f>_xll.EQNXTDZ($A$1,$B41,AS$1,$B$1)</f>
        <v>279.5</v>
      </c>
      <c r="AT41">
        <f>_xll.EQNXTDZ($A$1,$B41,AT$1,$B$1)</f>
        <v>359.2</v>
      </c>
      <c r="AU41">
        <f>_xll.EQNXTDZ($A$1,$B41,AU$1,$B$1)</f>
        <v>367.6</v>
      </c>
      <c r="AV41">
        <f>_xll.EQNXTDZ($A$1,$B41,AV$1,$B$1)</f>
        <v>278.2</v>
      </c>
      <c r="AW41">
        <f>_xll.EQNXTDZ($A$1,$B41,AW$1,$B$1)</f>
        <v>336.1</v>
      </c>
      <c r="AX41">
        <f>_xll.EQNXTDZ($A$1,$B41,AX$1,$B$1)</f>
        <v>363.5</v>
      </c>
      <c r="AY41">
        <f>_xll.EQNXTDZ($A$1,$B41,AY$1,$B$1)</f>
        <v>333.8</v>
      </c>
      <c r="AZ41">
        <f>_xll.EQNXTDZ($A$1,$B41,AZ$1,$B$1)</f>
        <v>290.89999999999998</v>
      </c>
      <c r="BA41">
        <f>_xll.EQNXTDZ($A$1,$B41,BA$1,$B$1)</f>
        <v>276.8</v>
      </c>
      <c r="BB41">
        <f>_xll.EQNXTDZ($A$1,$B41,BB$1,$B$1)</f>
        <v>343.2</v>
      </c>
      <c r="BC41">
        <f>_xll.EQNXTDZ($A$1,$B41,BC$1,$B$1)</f>
        <v>276.89999999999998</v>
      </c>
      <c r="BD41">
        <f>_xll.EQNXTDZ($A$1,$B41,BD$1,$B$1)</f>
        <v>226.3</v>
      </c>
      <c r="BE41">
        <f>_xll.EQNXTDZ($A$1,$B41,BE$1,$B$1)</f>
        <v>297</v>
      </c>
      <c r="BF41">
        <f>_xll.EQNXTDZ($A$1,$B41,BF$1,$B$1)</f>
        <v>169.5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93.6</v>
      </c>
      <c r="Q42">
        <f>_xll.EQNXTDZ($A$1,$B42,Q$1,$B$1)</f>
        <v>130.80000000000001</v>
      </c>
      <c r="R42">
        <f>_xll.EQNXTDZ($A$1,$B42,R$1,$B$1)</f>
        <v>109</v>
      </c>
      <c r="S42">
        <f>_xll.EQNXTDZ($A$1,$B42,S$1,$B$1)</f>
        <v>108.3</v>
      </c>
      <c r="T42">
        <f>_xll.EQNXTDZ($A$1,$B42,T$1,$B$1)</f>
        <v>111.9</v>
      </c>
      <c r="U42">
        <f>_xll.EQNXTDZ($A$1,$B42,U$1,$B$1)</f>
        <v>108.7</v>
      </c>
      <c r="V42">
        <f>_xll.EQNXTDZ($A$1,$B42,V$1,$B$1)</f>
        <v>96</v>
      </c>
      <c r="W42">
        <f>_xll.EQNXTDZ($A$1,$B42,W$1,$B$1)</f>
        <v>98.2</v>
      </c>
      <c r="X42">
        <f>_xll.EQNXTDZ($A$1,$B42,X$1,$B$1)</f>
        <v>122.7</v>
      </c>
      <c r="Y42">
        <f>_xll.EQNXTDZ($A$1,$B42,Y$1,$B$1)</f>
        <v>126.3</v>
      </c>
      <c r="Z42">
        <f>_xll.EQNXTDZ($A$1,$B42,Z$1,$B$1)</f>
        <v>158.80000000000001</v>
      </c>
      <c r="AA42">
        <f>_xll.EQNXTDZ($A$1,$B42,AA$1,$B$1)</f>
        <v>197.5</v>
      </c>
      <c r="AB42">
        <f>_xll.EQNXTDZ($A$1,$B42,AB$1,$B$1)</f>
        <v>191</v>
      </c>
      <c r="AC42">
        <f>_xll.EQNXTDZ($A$1,$B42,AC$1,$B$1)</f>
        <v>185.6</v>
      </c>
      <c r="AD42">
        <f>_xll.EQNXTDZ($A$1,$B42,AD$1,$B$1)</f>
        <v>191.5</v>
      </c>
      <c r="AE42">
        <f>_xll.EQNXTDZ($A$1,$B42,AE$1,$B$1)</f>
        <v>203.9</v>
      </c>
      <c r="AF42">
        <f>_xll.EQNXTDZ($A$1,$B42,AF$1,$B$1)</f>
        <v>205.8</v>
      </c>
      <c r="AG42">
        <f>_xll.EQNXTDZ($A$1,$B42,AG$1,$B$1)</f>
        <v>204.1</v>
      </c>
      <c r="AH42">
        <f>_xll.EQNXTDZ($A$1,$B42,AH$1,$B$1)</f>
        <v>204.8</v>
      </c>
      <c r="AI42">
        <f>_xll.EQNXTDZ($A$1,$B42,AI$1,$B$1)</f>
        <v>117.2</v>
      </c>
      <c r="AJ42">
        <f>_xll.EQNXTDZ($A$1,$B42,AJ$1,$B$1)</f>
        <v>165.5</v>
      </c>
      <c r="AK42">
        <f>_xll.EQNXTDZ($A$1,$B42,AK$1,$B$1)</f>
        <v>186.1</v>
      </c>
      <c r="AL42">
        <f>_xll.EQNXTDZ($A$1,$B42,AL$1,$B$1)</f>
        <v>194.5</v>
      </c>
      <c r="AM42">
        <f>_xll.EQNXTDZ($A$1,$B42,AM$1,$B$1)</f>
        <v>216.2</v>
      </c>
      <c r="AN42">
        <f>_xll.EQNXTDZ($A$1,$B42,AN$1,$B$1)</f>
        <v>230</v>
      </c>
      <c r="AO42">
        <f>_xll.EQNXTDZ($A$1,$B42,AO$1,$B$1)</f>
        <v>248.8</v>
      </c>
      <c r="AP42">
        <f>_xll.EQNXTDZ($A$1,$B42,AP$1,$B$1)</f>
        <v>262</v>
      </c>
      <c r="AQ42">
        <f>_xll.EQNXTDZ($A$1,$B42,AQ$1,$B$1)</f>
        <v>275.39999999999998</v>
      </c>
      <c r="AR42">
        <f>_xll.EQNXTDZ($A$1,$B42,AR$1,$B$1)</f>
        <v>299.89999999999998</v>
      </c>
      <c r="AS42">
        <f>_xll.EQNXTDZ($A$1,$B42,AS$1,$B$1)</f>
        <v>296.8</v>
      </c>
      <c r="AT42">
        <f>_xll.EQNXTDZ($A$1,$B42,AT$1,$B$1)</f>
        <v>340.1</v>
      </c>
      <c r="AU42">
        <f>_xll.EQNXTDZ($A$1,$B42,AU$1,$B$1)</f>
        <v>311.10000000000002</v>
      </c>
      <c r="AV42">
        <f>_xll.EQNXTDZ($A$1,$B42,AV$1,$B$1)</f>
        <v>315.39999999999998</v>
      </c>
      <c r="AW42">
        <f>_xll.EQNXTDZ($A$1,$B42,AW$1,$B$1)</f>
        <v>336.2</v>
      </c>
      <c r="AX42">
        <f>_xll.EQNXTDZ($A$1,$B42,AX$1,$B$1)</f>
        <v>340.9</v>
      </c>
      <c r="AY42">
        <f>_xll.EQNXTDZ($A$1,$B42,AY$1,$B$1)</f>
        <v>313.60000000000002</v>
      </c>
      <c r="AZ42">
        <f>_xll.EQNXTDZ($A$1,$B42,AZ$1,$B$1)</f>
        <v>319.60000000000002</v>
      </c>
      <c r="BA42">
        <f>_xll.EQNXTDZ($A$1,$B42,BA$1,$B$1)</f>
        <v>322.39999999999998</v>
      </c>
      <c r="BB42">
        <f>_xll.EQNXTDZ($A$1,$B42,BB$1,$B$1)</f>
        <v>311.10000000000002</v>
      </c>
      <c r="BC42">
        <f>_xll.EQNXTDZ($A$1,$B42,BC$1,$B$1)</f>
        <v>315.7</v>
      </c>
      <c r="BD42">
        <f>_xll.EQNXTDZ($A$1,$B42,BD$1,$B$1)</f>
        <v>328.7</v>
      </c>
      <c r="BE42">
        <f>_xll.EQNXTDZ($A$1,$B42,BE$1,$B$1)</f>
        <v>302.60000000000002</v>
      </c>
      <c r="BF42">
        <f>_xll.EQNXTDZ($A$1,$B42,BF$1,$B$1)</f>
        <v>332.1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300</v>
      </c>
      <c r="Q45">
        <f>_xll.EQNXTDZ($A$1,$B45,Q$1,$B$1)</f>
        <v>300</v>
      </c>
      <c r="R45">
        <f>_xll.EQNXTDZ($A$1,$B45,R$1,$B$1)</f>
        <v>300</v>
      </c>
      <c r="S45">
        <f>_xll.EQNXTDZ($A$1,$B45,S$1,$B$1)</f>
        <v>20.3</v>
      </c>
      <c r="T45">
        <f>_xll.EQNXTDZ($A$1,$B45,T$1,$B$1)</f>
        <v>20.3</v>
      </c>
      <c r="U45">
        <f>_xll.EQNXTDZ($A$1,$B45,U$1,$B$1)</f>
        <v>20.3</v>
      </c>
      <c r="V45">
        <f>_xll.EQNXTDZ($A$1,$B45,V$1,$B$1)</f>
        <v>20.3</v>
      </c>
      <c r="W45">
        <f>_xll.EQNXTDZ($A$1,$B45,W$1,$B$1)</f>
        <v>20.3</v>
      </c>
      <c r="X45">
        <f>_xll.EQNXTDZ($A$1,$B45,X$1,$B$1)</f>
        <v>20.399999999999999</v>
      </c>
      <c r="Y45">
        <f>_xll.EQNXTDZ($A$1,$B45,Y$1,$B$1)</f>
        <v>20.399999999999999</v>
      </c>
      <c r="Z45">
        <f>_xll.EQNXTDZ($A$1,$B45,Z$1,$B$1)</f>
        <v>20.5</v>
      </c>
      <c r="AA45">
        <f>_xll.EQNXTDZ($A$1,$B45,AA$1,$B$1)</f>
        <v>20.5</v>
      </c>
      <c r="AB45">
        <f>_xll.EQNXTDZ($A$1,$B45,AB$1,$B$1)</f>
        <v>20.7</v>
      </c>
      <c r="AC45">
        <f>_xll.EQNXTDZ($A$1,$B45,AC$1,$B$1)</f>
        <v>20.8</v>
      </c>
      <c r="AD45">
        <f>_xll.EQNXTDZ($A$1,$B45,AD$1,$B$1)</f>
        <v>20.8</v>
      </c>
      <c r="AE45">
        <f>_xll.EQNXTDZ($A$1,$B45,AE$1,$B$1)</f>
        <v>20.8</v>
      </c>
      <c r="AF45">
        <f>_xll.EQNXTDZ($A$1,$B45,AF$1,$B$1)</f>
        <v>20.8</v>
      </c>
      <c r="AG45">
        <f>_xll.EQNXTDZ($A$1,$B45,AG$1,$B$1)</f>
        <v>20.9</v>
      </c>
      <c r="AH45">
        <f>_xll.EQNXTDZ($A$1,$B45,AH$1,$B$1)</f>
        <v>20.9</v>
      </c>
      <c r="AI45">
        <f>_xll.EQNXTDZ($A$1,$B45,AI$1,$B$1)</f>
        <v>20.9</v>
      </c>
      <c r="AJ45">
        <f>_xll.EQNXTDZ($A$1,$B45,AJ$1,$B$1)</f>
        <v>21</v>
      </c>
      <c r="AK45">
        <f>_xll.EQNXTDZ($A$1,$B45,AK$1,$B$1)</f>
        <v>21</v>
      </c>
      <c r="AL45">
        <f>_xll.EQNXTDZ($A$1,$B45,AL$1,$B$1)</f>
        <v>21</v>
      </c>
      <c r="AM45">
        <f>_xll.EQNXTDZ($A$1,$B45,AM$1,$B$1)</f>
        <v>21</v>
      </c>
      <c r="AN45">
        <f>_xll.EQNXTDZ($A$1,$B45,AN$1,$B$1)</f>
        <v>21</v>
      </c>
      <c r="AO45">
        <f>_xll.EQNXTDZ($A$1,$B45,AO$1,$B$1)</f>
        <v>21.1</v>
      </c>
      <c r="AP45">
        <f>_xll.EQNXTDZ($A$1,$B45,AP$1,$B$1)</f>
        <v>21.1</v>
      </c>
      <c r="AQ45">
        <f>_xll.EQNXTDZ($A$1,$B45,AQ$1,$B$1)</f>
        <v>21.1</v>
      </c>
      <c r="AR45">
        <f>_xll.EQNXTDZ($A$1,$B45,AR$1,$B$1)</f>
        <v>21.1</v>
      </c>
      <c r="AS45">
        <f>_xll.EQNXTDZ($A$1,$B45,AS$1,$B$1)</f>
        <v>21.1</v>
      </c>
      <c r="AT45">
        <f>_xll.EQNXTDZ($A$1,$B45,AT$1,$B$1)</f>
        <v>21.1</v>
      </c>
      <c r="AU45">
        <f>_xll.EQNXTDZ($A$1,$B45,AU$1,$B$1)</f>
        <v>21.1</v>
      </c>
      <c r="AV45">
        <f>_xll.EQNXTDZ($A$1,$B45,AV$1,$B$1)</f>
        <v>21.1</v>
      </c>
      <c r="AW45">
        <f>_xll.EQNXTDZ($A$1,$B45,AW$1,$B$1)</f>
        <v>21.1</v>
      </c>
      <c r="AX45">
        <f>_xll.EQNXTDZ($A$1,$B45,AX$1,$B$1)</f>
        <v>21.2</v>
      </c>
      <c r="AY45">
        <f>_xll.EQNXTDZ($A$1,$B45,AY$1,$B$1)</f>
        <v>21.2</v>
      </c>
      <c r="AZ45">
        <f>_xll.EQNXTDZ($A$1,$B45,AZ$1,$B$1)</f>
        <v>21.2</v>
      </c>
      <c r="BA45">
        <f>_xll.EQNXTDZ($A$1,$B45,BA$1,$B$1)</f>
        <v>21.2</v>
      </c>
      <c r="BB45">
        <f>_xll.EQNXTDZ($A$1,$B45,BB$1,$B$1)</f>
        <v>21.2</v>
      </c>
      <c r="BC45">
        <f>_xll.EQNXTDZ($A$1,$B45,BC$1,$B$1)</f>
        <v>21.2</v>
      </c>
      <c r="BD45">
        <f>_xll.EQNXTDZ($A$1,$B45,BD$1,$B$1)</f>
        <v>21.2</v>
      </c>
      <c r="BE45">
        <f>_xll.EQNXTDZ($A$1,$B45,BE$1,$B$1)</f>
        <v>21.2</v>
      </c>
      <c r="BF45">
        <f>_xll.EQNXTDZ($A$1,$B45,BF$1,$B$1)</f>
        <v>21.2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40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843.4</v>
      </c>
      <c r="U48" s="55">
        <f>_xll.EQNXTDZ($A$1,$B48,U$5)</f>
        <v>786.95</v>
      </c>
      <c r="V48" s="55">
        <f>_xll.EQNXTDZ($A$1,$B48,V$5)</f>
        <v>782.6</v>
      </c>
      <c r="W48" s="55">
        <f>_xll.EQNXTDZ($A$1,$B48,W$5)</f>
        <v>719.4</v>
      </c>
      <c r="X48" s="55">
        <f>_xll.EQNXTDZ($A$1,$B48,X$5)</f>
        <v>782.8</v>
      </c>
      <c r="Y48" s="55">
        <f>_xll.EQNXTDZ($A$1,$B48,Y$5)</f>
        <v>1021.35</v>
      </c>
      <c r="Z48" s="55">
        <f>_xll.EQNXTDZ($A$1,$B48,Z$5)</f>
        <v>1239.5999999999999</v>
      </c>
      <c r="AA48" s="55">
        <f>_xll.EQNXTDZ($A$1,$B48,AA$5)</f>
        <v>1215.4000000000001</v>
      </c>
      <c r="AB48" s="55">
        <f>_xll.EQNXTDZ($A$1,$B48,AB$5)</f>
        <v>1722.65</v>
      </c>
      <c r="AC48" s="55">
        <f>_xll.EQNXTDZ($A$1,$B48,AC$5)</f>
        <v>1711.3</v>
      </c>
      <c r="AD48" s="55">
        <f>_xll.EQNXTDZ($A$1,$B48,AD$5)</f>
        <v>1571.1</v>
      </c>
      <c r="AE48" s="55">
        <f>_xll.EQNXTDZ($A$1,$B48,AE$5)</f>
        <v>1747.3</v>
      </c>
      <c r="AF48" s="55">
        <f>_xll.EQNXTDZ($A$1,$B48,AF$5)</f>
        <v>1522.9</v>
      </c>
      <c r="AG48" s="55">
        <f>_xll.EQNXTDZ($A$1,$B48,AG$5)</f>
        <v>1465.6</v>
      </c>
      <c r="AH48" s="55">
        <f>_xll.EQNXTDZ($A$1,$B48,AH$5)</f>
        <v>1162.4000000000001</v>
      </c>
      <c r="AI48" s="55">
        <f>_xll.EQNXTDZ($A$1,$B48,AI$5)</f>
        <v>1284.2</v>
      </c>
      <c r="AJ48" s="55">
        <f>_xll.EQNXTDZ($A$1,$B48,AJ$5)</f>
        <v>1615.9</v>
      </c>
      <c r="AK48" s="55">
        <f>_xll.EQNXTDZ($A$1,$B48,AK$5)</f>
        <v>2338.8000000000002</v>
      </c>
      <c r="AL48" s="55">
        <f>_xll.EQNXTDZ($A$1,$B48,AL$5)</f>
        <v>2654.8</v>
      </c>
      <c r="AM48" s="55">
        <f>_xll.EQNXTDZ($A$1,$B48,AM$5)</f>
        <v>2903.45</v>
      </c>
      <c r="AN48" s="55">
        <f>_xll.EQNXTDZ($A$1,$B48,AN$5)</f>
        <v>4696.2</v>
      </c>
      <c r="AO48" s="55">
        <f>_xll.EQNXTDZ($A$1,$B48,AO$5)</f>
        <v>5599.05</v>
      </c>
      <c r="AP48" s="55">
        <f>_xll.EQNXTDZ($A$1,$B48,AP$5)</f>
        <v>5102.05</v>
      </c>
      <c r="AQ48" s="55">
        <f>_xll.EQNXTDZ($A$1,$B48,AQ$5)</f>
        <v>3028.8</v>
      </c>
      <c r="AR48" s="55">
        <f>_xll.EQNXTDZ($A$1,$B48,AR$5)</f>
        <v>3602.2</v>
      </c>
      <c r="AS48" s="55">
        <f>_xll.EQNXTDZ($A$1,$B48,AS$5)</f>
        <v>3684.45</v>
      </c>
      <c r="AT48" s="55">
        <f>_xll.EQNXTDZ($A$1,$B48,AT$5)</f>
        <v>3376.5</v>
      </c>
      <c r="AU48" s="55">
        <f>_xll.EQNXTDZ($A$1,$B48,AU$5)</f>
        <v>3931.7</v>
      </c>
      <c r="AV48" s="55">
        <f>_xll.EQNXTDZ($A$1,$B48,AV$5)</f>
        <v>4574.8</v>
      </c>
      <c r="AW48" s="55">
        <f>_xll.EQNXTDZ($A$1,$B48,AW$5)</f>
        <v>5256.25</v>
      </c>
      <c r="AX48" s="55">
        <f>_xll.EQNXTDZ($A$1,$B48,AX$5)</f>
        <v>5480.25</v>
      </c>
      <c r="AY48" s="55">
        <f>_xll.EQNXTDZ($A$1,$B48,AY$5)</f>
        <v>4908.55</v>
      </c>
      <c r="AZ48" s="55">
        <f>_xll.EQNXTDZ($A$1,$B48,AZ$5)</f>
        <v>5345.05</v>
      </c>
      <c r="BA48" s="55">
        <f>_xll.EQNXTDZ($A$1,$B48,BA$5)</f>
        <v>4734.95</v>
      </c>
      <c r="BB48" s="55">
        <f>_xll.EQNXTDZ($A$1,$B48,BB$5)</f>
        <v>4500.8999999999996</v>
      </c>
      <c r="BC48" s="55">
        <f>_xll.EQNXTDZ($A$1,$B48,BC$5)</f>
        <v>4397.1000000000004</v>
      </c>
      <c r="BD48" s="55">
        <f>_xll.EQNXTDZ($A$1,$B48,BD$5)</f>
        <v>4114.3</v>
      </c>
      <c r="BE48" s="55">
        <f>_xll.EQNXTDZ($A$1,$B48,BE$5)</f>
        <v>4458.55</v>
      </c>
      <c r="BF48" s="55">
        <f>_xll.EQNXTDZ($A$1,$B48,BF$5)</f>
        <v>3120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100</v>
      </c>
      <c r="S49" s="55">
        <f>_xll.EQNXTDZ($A$1,$B49,S$5)</f>
        <v>0</v>
      </c>
      <c r="T49" s="55">
        <f>_xll.EQNXTDZ($A$1,$B49,T$5)</f>
        <v>89.77</v>
      </c>
      <c r="U49" s="55">
        <f>_xll.EQNXTDZ($A$1,$B49,U$5)</f>
        <v>89.77</v>
      </c>
      <c r="V49" s="55">
        <f>_xll.EQNXTDZ($A$1,$B49,V$5)</f>
        <v>89.77</v>
      </c>
      <c r="W49" s="55">
        <f>_xll.EQNXTDZ($A$1,$B49,W$5)</f>
        <v>89.77</v>
      </c>
      <c r="X49" s="55">
        <f>_xll.EQNXTDZ($A$1,$B49,X$5)</f>
        <v>89.51</v>
      </c>
      <c r="Y49" s="55">
        <f>_xll.EQNXTDZ($A$1,$B49,Y$5)</f>
        <v>89.28</v>
      </c>
      <c r="Z49" s="55">
        <f>_xll.EQNXTDZ($A$1,$B49,Z$5)</f>
        <v>88.81</v>
      </c>
      <c r="AA49" s="55">
        <f>_xll.EQNXTDZ($A$1,$B49,AA$5)</f>
        <v>87.1</v>
      </c>
      <c r="AB49" s="55">
        <f>_xll.EQNXTDZ($A$1,$B49,AB$5)</f>
        <v>80.66</v>
      </c>
      <c r="AC49" s="55">
        <f>_xll.EQNXTDZ($A$1,$B49,AC$5)</f>
        <v>80.41</v>
      </c>
      <c r="AD49" s="55">
        <f>_xll.EQNXTDZ($A$1,$B49,AD$5)</f>
        <v>78.88</v>
      </c>
      <c r="AE49" s="55">
        <f>_xll.EQNXTDZ($A$1,$B49,AE$5)</f>
        <v>74.97</v>
      </c>
      <c r="AF49" s="55">
        <f>_xll.EQNXTDZ($A$1,$B49,AF$5)</f>
        <v>74.97</v>
      </c>
      <c r="AG49" s="55">
        <f>_xll.EQNXTDZ($A$1,$B49,AG$5)</f>
        <v>74.739999999999995</v>
      </c>
      <c r="AH49" s="55">
        <f>_xll.EQNXTDZ($A$1,$B49,AH$5)</f>
        <v>74.62</v>
      </c>
      <c r="AI49" s="55">
        <f>_xll.EQNXTDZ($A$1,$B49,AI$5)</f>
        <v>74.599999999999994</v>
      </c>
      <c r="AJ49" s="55">
        <f>_xll.EQNXTDZ($A$1,$B49,AJ$5)</f>
        <v>74.36</v>
      </c>
      <c r="AK49" s="55">
        <f>_xll.EQNXTDZ($A$1,$B49,AK$5)</f>
        <v>74.27</v>
      </c>
      <c r="AL49" s="55">
        <f>_xll.EQNXTDZ($A$1,$B49,AL$5)</f>
        <v>74.239999999999995</v>
      </c>
      <c r="AM49" s="55">
        <f>_xll.EQNXTDZ($A$1,$B49,AM$5)</f>
        <v>74.23</v>
      </c>
      <c r="AN49" s="55">
        <f>_xll.EQNXTDZ($A$1,$B49,AN$5)</f>
        <v>74.150000000000006</v>
      </c>
      <c r="AO49" s="55">
        <f>_xll.EQNXTDZ($A$1,$B49,AO$5)</f>
        <v>73.930000000000007</v>
      </c>
      <c r="AP49" s="55">
        <f>_xll.EQNXTDZ($A$1,$B49,AP$5)</f>
        <v>73.900000000000006</v>
      </c>
      <c r="AQ49" s="55">
        <f>_xll.EQNXTDZ($A$1,$B49,AQ$5)</f>
        <v>73.88</v>
      </c>
      <c r="AR49" s="55">
        <f>_xll.EQNXTDZ($A$1,$B49,AR$5)</f>
        <v>73.87</v>
      </c>
      <c r="AS49" s="55">
        <f>_xll.EQNXTDZ($A$1,$B49,AS$5)</f>
        <v>73.849999999999994</v>
      </c>
      <c r="AT49" s="55">
        <f>_xll.EQNXTDZ($A$1,$B49,AT$5)</f>
        <v>73.849999999999994</v>
      </c>
      <c r="AU49" s="55">
        <f>_xll.EQNXTDZ($A$1,$B49,AU$5)</f>
        <v>73.8</v>
      </c>
      <c r="AV49" s="55">
        <f>_xll.EQNXTDZ($A$1,$B49,AV$5)</f>
        <v>73.77</v>
      </c>
      <c r="AW49" s="55">
        <f>_xll.EQNXTDZ($A$1,$B49,AW$5)</f>
        <v>73.75</v>
      </c>
      <c r="AX49" s="55">
        <f>_xll.EQNXTDZ($A$1,$B49,AX$5)</f>
        <v>73.739999999999995</v>
      </c>
      <c r="AY49" s="55">
        <f>_xll.EQNXTDZ($A$1,$B49,AY$5)</f>
        <v>73.69</v>
      </c>
      <c r="AZ49" s="55">
        <f>_xll.EQNXTDZ($A$1,$B49,AZ$5)</f>
        <v>73.69</v>
      </c>
      <c r="BA49" s="55">
        <f>_xll.EQNXTDZ($A$1,$B49,BA$5)</f>
        <v>73.66</v>
      </c>
      <c r="BB49" s="55">
        <f>_xll.EQNXTDZ($A$1,$B49,BB$5)</f>
        <v>73.66</v>
      </c>
      <c r="BC49" s="55">
        <f>_xll.EQNXTDZ($A$1,$B49,BC$5)</f>
        <v>73.59</v>
      </c>
      <c r="BD49" s="55">
        <f>_xll.EQNXTDZ($A$1,$B49,BD$5)</f>
        <v>73.58</v>
      </c>
      <c r="BE49" s="55">
        <f>_xll.EQNXTDZ($A$1,$B49,BE$5)</f>
        <v>73.58</v>
      </c>
      <c r="BF49" s="55">
        <f>_xll.EQNXTDZ($A$1,$B49,BF$5)</f>
        <v>73.569999999999993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300</v>
      </c>
      <c r="S56" s="55">
        <f>_xll.EQNXTDZ($A$1,$B56,S$5,$B$1)</f>
        <v>0</v>
      </c>
      <c r="T56" s="55">
        <f>_xll.EQNXTDZ($A$1,$B56,T$5,$B$1)</f>
        <v>20.3</v>
      </c>
      <c r="U56" s="55">
        <f>_xll.EQNXTDZ($A$1,$B56,U$5,$B$1)</f>
        <v>0</v>
      </c>
      <c r="V56" s="55">
        <f>_xll.EQNXTDZ($A$1,$B56,V$5,$B$1)</f>
        <v>20.3</v>
      </c>
      <c r="W56" s="55">
        <f>_xll.EQNXTDZ($A$1,$B56,W$5,$B$1)</f>
        <v>0</v>
      </c>
      <c r="X56" s="55">
        <f>_xll.EQNXTDZ($A$1,$B56,X$5,$B$1)</f>
        <v>20.399999999999999</v>
      </c>
      <c r="Y56" s="55">
        <f>_xll.EQNXTDZ($A$1,$B56,Y$5,$B$1)</f>
        <v>0</v>
      </c>
      <c r="Z56" s="55">
        <f>_xll.EQNXTDZ($A$1,$B56,Z$5,$B$1)</f>
        <v>20.5</v>
      </c>
      <c r="AA56" s="55">
        <f>_xll.EQNXTDZ($A$1,$B56,AA$5,$B$1)</f>
        <v>0</v>
      </c>
      <c r="AB56" s="55">
        <f>_xll.EQNXTDZ($A$1,$B56,AB$5,$B$1)</f>
        <v>20.7</v>
      </c>
      <c r="AC56" s="55">
        <f>_xll.EQNXTDZ($A$1,$B56,AC$5,$B$1)</f>
        <v>0</v>
      </c>
      <c r="AD56" s="55">
        <f>_xll.EQNXTDZ($A$1,$B56,AD$5,$B$1)</f>
        <v>20.8</v>
      </c>
      <c r="AE56" s="55">
        <f>_xll.EQNXTDZ($A$1,$B56,AE$5,$B$1)</f>
        <v>0</v>
      </c>
      <c r="AF56" s="55">
        <f>_xll.EQNXTDZ($A$1,$B56,AF$5,$B$1)</f>
        <v>20.8</v>
      </c>
      <c r="AG56" s="55">
        <f>_xll.EQNXTDZ($A$1,$B56,AG$5,$B$1)</f>
        <v>0</v>
      </c>
      <c r="AH56" s="55">
        <f>_xll.EQNXTDZ($A$1,$B56,AH$5,$B$1)</f>
        <v>20.9</v>
      </c>
      <c r="AI56" s="55">
        <f>_xll.EQNXTDZ($A$1,$B56,AI$5,$B$1)</f>
        <v>0</v>
      </c>
      <c r="AJ56" s="55">
        <f>_xll.EQNXTDZ($A$1,$B56,AJ$5,$B$1)</f>
        <v>21</v>
      </c>
      <c r="AK56" s="55">
        <f>_xll.EQNXTDZ($A$1,$B56,AK$5,$B$1)</f>
        <v>0</v>
      </c>
      <c r="AL56" s="55">
        <f>_xll.EQNXTDZ($A$1,$B56,AL$5,$B$1)</f>
        <v>21</v>
      </c>
      <c r="AM56" s="55">
        <f>_xll.EQNXTDZ($A$1,$B56,AM$5,$B$1)</f>
        <v>0</v>
      </c>
      <c r="AN56" s="55">
        <f>_xll.EQNXTDZ($A$1,$B56,AN$5,$B$1)</f>
        <v>21</v>
      </c>
      <c r="AO56" s="55">
        <f>_xll.EQNXTDZ($A$1,$B56,AO$5,$B$1)</f>
        <v>0</v>
      </c>
      <c r="AP56" s="55">
        <f>_xll.EQNXTDZ($A$1,$B56,AP$5,$B$1)</f>
        <v>21.1</v>
      </c>
      <c r="AQ56" s="55">
        <f>_xll.EQNXTDZ($A$1,$B56,AQ$5,$B$1)</f>
        <v>0</v>
      </c>
      <c r="AR56" s="55">
        <f>_xll.EQNXTDZ($A$1,$B56,AR$5,$B$1)</f>
        <v>21.1</v>
      </c>
      <c r="AS56" s="55">
        <f>_xll.EQNXTDZ($A$1,$B56,AS$5,$B$1)</f>
        <v>0</v>
      </c>
      <c r="AT56" s="55">
        <f>_xll.EQNXTDZ($A$1,$B56,AT$5,$B$1)</f>
        <v>21.1</v>
      </c>
      <c r="AU56" s="55">
        <f>_xll.EQNXTDZ($A$1,$B56,AU$5,$B$1)</f>
        <v>0</v>
      </c>
      <c r="AV56" s="55">
        <f>_xll.EQNXTDZ($A$1,$B56,AV$5,$B$1)</f>
        <v>21.1</v>
      </c>
      <c r="AW56" s="55">
        <f>_xll.EQNXTDZ($A$1,$B56,AW$5,$B$1)</f>
        <v>0</v>
      </c>
      <c r="AX56" s="55">
        <f>_xll.EQNXTDZ($A$1,$B56,AX$5,$B$1)</f>
        <v>21.2</v>
      </c>
      <c r="AY56" s="55">
        <f>_xll.EQNXTDZ($A$1,$B56,AY$5,$B$1)</f>
        <v>0</v>
      </c>
      <c r="AZ56" s="55">
        <f>_xll.EQNXTDZ($A$1,$B56,AZ$5,$B$1)</f>
        <v>21.2</v>
      </c>
      <c r="BA56" s="55">
        <f>_xll.EQNXTDZ($A$1,$B56,BA$5,$B$1)</f>
        <v>0</v>
      </c>
      <c r="BB56" s="55">
        <f>_xll.EQNXTDZ($A$1,$B56,BB$5,$B$1)</f>
        <v>21.2</v>
      </c>
      <c r="BC56" s="55">
        <f>_xll.EQNXTDZ($A$1,$B56,BC$5,$B$1)</f>
        <v>0</v>
      </c>
      <c r="BD56" s="55">
        <f>_xll.EQNXTDZ($A$1,$B56,BD$5,$B$1)</f>
        <v>21.2</v>
      </c>
      <c r="BE56" s="55">
        <f>_xll.EQNXTDZ($A$1,$B56,BE$5,$B$1)</f>
        <v>0</v>
      </c>
      <c r="BF56" s="55">
        <f>_xll.EQNXTDZ($A$1,$B56,BF$5,$B$1)</f>
        <v>21.2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766.1</v>
      </c>
      <c r="S58" s="55">
        <f>_xll.EQNXTDZ($A$1,$B58,S$5,$B$1)</f>
        <v>0</v>
      </c>
      <c r="T58" s="55">
        <f>_xll.EQNXTDZ($A$1,$B58,T$5,$B$1)</f>
        <v>1198.2</v>
      </c>
      <c r="U58" s="55">
        <f>_xll.EQNXTDZ($A$1,$B58,U$5,$B$1)</f>
        <v>0</v>
      </c>
      <c r="V58" s="55">
        <f>_xll.EQNXTDZ($A$1,$B58,V$5,$B$1)</f>
        <v>1465.3</v>
      </c>
      <c r="W58" s="55">
        <f>_xll.EQNXTDZ($A$1,$B58,W$5,$B$1)</f>
        <v>0</v>
      </c>
      <c r="X58" s="55">
        <f>_xll.EQNXTDZ($A$1,$B58,X$5,$B$1)</f>
        <v>1673.2</v>
      </c>
      <c r="Y58" s="55">
        <f>_xll.EQNXTDZ($A$1,$B58,Y$5,$B$1)</f>
        <v>0</v>
      </c>
      <c r="Z58" s="55">
        <f>_xll.EQNXTDZ($A$1,$B58,Z$5,$B$1)</f>
        <v>1915.9</v>
      </c>
      <c r="AA58" s="55">
        <f>_xll.EQNXTDZ($A$1,$B58,AA$5,$B$1)</f>
        <v>0</v>
      </c>
      <c r="AB58" s="55">
        <f>_xll.EQNXTDZ($A$1,$B58,AB$5,$B$1)</f>
        <v>1972.8</v>
      </c>
      <c r="AC58" s="55">
        <f>_xll.EQNXTDZ($A$1,$B58,AC$5,$B$1)</f>
        <v>0</v>
      </c>
      <c r="AD58" s="55">
        <f>_xll.EQNXTDZ($A$1,$B58,AD$5,$B$1)</f>
        <v>2458.3000000000002</v>
      </c>
      <c r="AE58" s="55">
        <f>_xll.EQNXTDZ($A$1,$B58,AE$5,$B$1)</f>
        <v>0</v>
      </c>
      <c r="AF58" s="55">
        <f>_xll.EQNXTDZ($A$1,$B58,AF$5,$B$1)</f>
        <v>2613.8000000000002</v>
      </c>
      <c r="AG58" s="55">
        <f>_xll.EQNXTDZ($A$1,$B58,AG$5,$B$1)</f>
        <v>0</v>
      </c>
      <c r="AH58" s="55">
        <f>_xll.EQNXTDZ($A$1,$B58,AH$5,$B$1)</f>
        <v>2747.7</v>
      </c>
      <c r="AI58" s="55">
        <f>_xll.EQNXTDZ($A$1,$B58,AI$5,$B$1)</f>
        <v>0</v>
      </c>
      <c r="AJ58" s="55">
        <f>_xll.EQNXTDZ($A$1,$B58,AJ$5,$B$1)</f>
        <v>3075.9</v>
      </c>
      <c r="AK58" s="55">
        <f>_xll.EQNXTDZ($A$1,$B58,AK$5,$B$1)</f>
        <v>0</v>
      </c>
      <c r="AL58" s="55">
        <f>_xll.EQNXTDZ($A$1,$B58,AL$5,$B$1)</f>
        <v>3452.1</v>
      </c>
      <c r="AM58" s="55">
        <f>_xll.EQNXTDZ($A$1,$B58,AM$5,$B$1)</f>
        <v>0</v>
      </c>
      <c r="AN58" s="55">
        <f>_xll.EQNXTDZ($A$1,$B58,AN$5,$B$1)</f>
        <v>3791.8</v>
      </c>
      <c r="AO58" s="55">
        <f>_xll.EQNXTDZ($A$1,$B58,AO$5,$B$1)</f>
        <v>0</v>
      </c>
      <c r="AP58" s="55">
        <f>_xll.EQNXTDZ($A$1,$B58,AP$5,$B$1)</f>
        <v>4141.3999999999996</v>
      </c>
      <c r="AQ58" s="55">
        <f>_xll.EQNXTDZ($A$1,$B58,AQ$5,$B$1)</f>
        <v>0</v>
      </c>
      <c r="AR58" s="55">
        <f>_xll.EQNXTDZ($A$1,$B58,AR$5,$B$1)</f>
        <v>4431.2</v>
      </c>
      <c r="AS58" s="55">
        <f>_xll.EQNXTDZ($A$1,$B58,AS$5,$B$1)</f>
        <v>0</v>
      </c>
      <c r="AT58" s="55">
        <f>_xll.EQNXTDZ($A$1,$B58,AT$5,$B$1)</f>
        <v>4413.8</v>
      </c>
      <c r="AU58" s="55">
        <f>_xll.EQNXTDZ($A$1,$B58,AU$5,$B$1)</f>
        <v>0</v>
      </c>
      <c r="AV58" s="55">
        <f>_xll.EQNXTDZ($A$1,$B58,AV$5,$B$1)</f>
        <v>4767.8999999999996</v>
      </c>
      <c r="AW58" s="55">
        <f>_xll.EQNXTDZ($A$1,$B58,AW$5,$B$1)</f>
        <v>0</v>
      </c>
      <c r="AX58" s="55">
        <f>_xll.EQNXTDZ($A$1,$B58,AX$5,$B$1)</f>
        <v>5305.9</v>
      </c>
      <c r="AY58" s="55">
        <f>_xll.EQNXTDZ($A$1,$B58,AY$5,$B$1)</f>
        <v>0</v>
      </c>
      <c r="AZ58" s="55">
        <f>_xll.EQNXTDZ($A$1,$B58,AZ$5,$B$1)</f>
        <v>5598.4</v>
      </c>
      <c r="BA58" s="55">
        <f>_xll.EQNXTDZ($A$1,$B58,BA$5,$B$1)</f>
        <v>0</v>
      </c>
      <c r="BB58" s="55">
        <f>_xll.EQNXTDZ($A$1,$B58,BB$5,$B$1)</f>
        <v>6058.8</v>
      </c>
      <c r="BC58" s="55">
        <f>_xll.EQNXTDZ($A$1,$B58,BC$5,$B$1)</f>
        <v>0</v>
      </c>
      <c r="BD58" s="55">
        <f>_xll.EQNXTDZ($A$1,$B58,BD$5,$B$1)</f>
        <v>6167.8</v>
      </c>
      <c r="BE58" s="55">
        <f>_xll.EQNXTDZ($A$1,$B58,BE$5,$B$1)</f>
        <v>0</v>
      </c>
      <c r="BF58" s="55">
        <f>_xll.EQNXTDZ($A$1,$B58,BF$5,$B$1)</f>
        <v>6451.5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1066.0999999999999</v>
      </c>
      <c r="S59" s="55">
        <f>_xll.EQNXTDZ($A$1,$B59,S$5,$B$1)</f>
        <v>0</v>
      </c>
      <c r="T59" s="55">
        <f>_xll.EQNXTDZ($A$1,$B59,T$5,$B$1)</f>
        <v>1218.5</v>
      </c>
      <c r="U59" s="55">
        <f>_xll.EQNXTDZ($A$1,$B59,U$5,$B$1)</f>
        <v>0</v>
      </c>
      <c r="V59" s="55">
        <f>_xll.EQNXTDZ($A$1,$B59,V$5,$B$1)</f>
        <v>1485.6</v>
      </c>
      <c r="W59" s="55">
        <f>_xll.EQNXTDZ($A$1,$B59,W$5,$B$1)</f>
        <v>0</v>
      </c>
      <c r="X59" s="55">
        <f>_xll.EQNXTDZ($A$1,$B59,X$5,$B$1)</f>
        <v>1693.6</v>
      </c>
      <c r="Y59" s="55">
        <f>_xll.EQNXTDZ($A$1,$B59,Y$5,$B$1)</f>
        <v>0</v>
      </c>
      <c r="Z59" s="55">
        <f>_xll.EQNXTDZ($A$1,$B59,Z$5,$B$1)</f>
        <v>1936.4</v>
      </c>
      <c r="AA59" s="55">
        <f>_xll.EQNXTDZ($A$1,$B59,AA$5,$B$1)</f>
        <v>0</v>
      </c>
      <c r="AB59" s="55">
        <f>_xll.EQNXTDZ($A$1,$B59,AB$5,$B$1)</f>
        <v>1993.5</v>
      </c>
      <c r="AC59" s="55">
        <f>_xll.EQNXTDZ($A$1,$B59,AC$5,$B$1)</f>
        <v>0</v>
      </c>
      <c r="AD59" s="55">
        <f>_xll.EQNXTDZ($A$1,$B59,AD$5,$B$1)</f>
        <v>2479.1</v>
      </c>
      <c r="AE59" s="55">
        <f>_xll.EQNXTDZ($A$1,$B59,AE$5,$B$1)</f>
        <v>0</v>
      </c>
      <c r="AF59" s="55">
        <f>_xll.EQNXTDZ($A$1,$B59,AF$5,$B$1)</f>
        <v>2634.6</v>
      </c>
      <c r="AG59" s="55">
        <f>_xll.EQNXTDZ($A$1,$B59,AG$5,$B$1)</f>
        <v>0</v>
      </c>
      <c r="AH59" s="55">
        <f>_xll.EQNXTDZ($A$1,$B59,AH$5,$B$1)</f>
        <v>2768.6</v>
      </c>
      <c r="AI59" s="55">
        <f>_xll.EQNXTDZ($A$1,$B59,AI$5,$B$1)</f>
        <v>0</v>
      </c>
      <c r="AJ59" s="55">
        <f>_xll.EQNXTDZ($A$1,$B59,AJ$5,$B$1)</f>
        <v>3096.9</v>
      </c>
      <c r="AK59" s="55">
        <f>_xll.EQNXTDZ($A$1,$B59,AK$5,$B$1)</f>
        <v>0</v>
      </c>
      <c r="AL59" s="55">
        <f>_xll.EQNXTDZ($A$1,$B59,AL$5,$B$1)</f>
        <v>3473.1</v>
      </c>
      <c r="AM59" s="55">
        <f>_xll.EQNXTDZ($A$1,$B59,AM$5,$B$1)</f>
        <v>0</v>
      </c>
      <c r="AN59" s="55">
        <f>_xll.EQNXTDZ($A$1,$B59,AN$5,$B$1)</f>
        <v>3812.8</v>
      </c>
      <c r="AO59" s="55">
        <f>_xll.EQNXTDZ($A$1,$B59,AO$5,$B$1)</f>
        <v>0</v>
      </c>
      <c r="AP59" s="55">
        <f>_xll.EQNXTDZ($A$1,$B59,AP$5,$B$1)</f>
        <v>4162.5</v>
      </c>
      <c r="AQ59" s="55">
        <f>_xll.EQNXTDZ($A$1,$B59,AQ$5,$B$1)</f>
        <v>0</v>
      </c>
      <c r="AR59" s="55">
        <f>_xll.EQNXTDZ($A$1,$B59,AR$5,$B$1)</f>
        <v>4452.3</v>
      </c>
      <c r="AS59" s="55">
        <f>_xll.EQNXTDZ($A$1,$B59,AS$5,$B$1)</f>
        <v>0</v>
      </c>
      <c r="AT59" s="55">
        <f>_xll.EQNXTDZ($A$1,$B59,AT$5,$B$1)</f>
        <v>4434.8999999999996</v>
      </c>
      <c r="AU59" s="55">
        <f>_xll.EQNXTDZ($A$1,$B59,AU$5,$B$1)</f>
        <v>0</v>
      </c>
      <c r="AV59" s="55">
        <f>_xll.EQNXTDZ($A$1,$B59,AV$5,$B$1)</f>
        <v>4789</v>
      </c>
      <c r="AW59" s="55">
        <f>_xll.EQNXTDZ($A$1,$B59,AW$5,$B$1)</f>
        <v>0</v>
      </c>
      <c r="AX59" s="55">
        <f>_xll.EQNXTDZ($A$1,$B59,AX$5,$B$1)</f>
        <v>5327.1</v>
      </c>
      <c r="AY59" s="55">
        <f>_xll.EQNXTDZ($A$1,$B59,AY$5,$B$1)</f>
        <v>0</v>
      </c>
      <c r="AZ59" s="55">
        <f>_xll.EQNXTDZ($A$1,$B59,AZ$5,$B$1)</f>
        <v>5619.6</v>
      </c>
      <c r="BA59" s="55">
        <f>_xll.EQNXTDZ($A$1,$B59,BA$5,$B$1)</f>
        <v>0</v>
      </c>
      <c r="BB59" s="55">
        <f>_xll.EQNXTDZ($A$1,$B59,BB$5,$B$1)</f>
        <v>6080</v>
      </c>
      <c r="BC59" s="55">
        <f>_xll.EQNXTDZ($A$1,$B59,BC$5,$B$1)</f>
        <v>0</v>
      </c>
      <c r="BD59" s="55">
        <f>_xll.EQNXTDZ($A$1,$B59,BD$5,$B$1)</f>
        <v>6189</v>
      </c>
      <c r="BE59" s="55">
        <f>_xll.EQNXTDZ($A$1,$B59,BE$5,$B$1)</f>
        <v>0</v>
      </c>
      <c r="BF59" s="55">
        <f>_xll.EQNXTDZ($A$1,$B59,BF$5,$B$1)</f>
        <v>6472.7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-0.5</v>
      </c>
      <c r="S60" s="55">
        <f>_xll.EQNXTDZ($A$1,$B60,S$5,$B$1)</f>
        <v>0</v>
      </c>
      <c r="T60" s="55">
        <f>_xll.EQNXTDZ($A$1,$B60,T$5,$B$1)</f>
        <v>-0.7</v>
      </c>
      <c r="U60" s="55">
        <f>_xll.EQNXTDZ($A$1,$B60,U$5,$B$1)</f>
        <v>0</v>
      </c>
      <c r="V60" s="55">
        <f>_xll.EQNXTDZ($A$1,$B60,V$5,$B$1)</f>
        <v>-0.4</v>
      </c>
      <c r="W60" s="55">
        <f>_xll.EQNXTDZ($A$1,$B60,W$5,$B$1)</f>
        <v>0</v>
      </c>
      <c r="X60" s="55">
        <f>_xll.EQNXTDZ($A$1,$B60,X$5,$B$1)</f>
        <v>-0.3</v>
      </c>
      <c r="Y60" s="55">
        <f>_xll.EQNXTDZ($A$1,$B60,Y$5,$B$1)</f>
        <v>0</v>
      </c>
      <c r="Z60" s="55">
        <f>_xll.EQNXTDZ($A$1,$B60,Z$5,$B$1)</f>
        <v>0.3</v>
      </c>
      <c r="AA60" s="55">
        <f>_xll.EQNXTDZ($A$1,$B60,AA$5,$B$1)</f>
        <v>0</v>
      </c>
      <c r="AB60" s="55">
        <f>_xll.EQNXTDZ($A$1,$B60,AB$5,$B$1)</f>
        <v>1.7</v>
      </c>
      <c r="AC60" s="55">
        <f>_xll.EQNXTDZ($A$1,$B60,AC$5,$B$1)</f>
        <v>0</v>
      </c>
      <c r="AD60" s="55">
        <f>_xll.EQNXTDZ($A$1,$B60,AD$5,$B$1)</f>
        <v>3.1</v>
      </c>
      <c r="AE60" s="55">
        <f>_xll.EQNXTDZ($A$1,$B60,AE$5,$B$1)</f>
        <v>0</v>
      </c>
      <c r="AF60" s="55">
        <f>_xll.EQNXTDZ($A$1,$B60,AF$5,$B$1)</f>
        <v>3.7</v>
      </c>
      <c r="AG60" s="55">
        <f>_xll.EQNXTDZ($A$1,$B60,AG$5,$B$1)</f>
        <v>0</v>
      </c>
      <c r="AH60" s="55">
        <f>_xll.EQNXTDZ($A$1,$B60,AH$5,$B$1)</f>
        <v>6.9</v>
      </c>
      <c r="AI60" s="55">
        <f>_xll.EQNXTDZ($A$1,$B60,AI$5,$B$1)</f>
        <v>0</v>
      </c>
      <c r="AJ60" s="55">
        <f>_xll.EQNXTDZ($A$1,$B60,AJ$5,$B$1)</f>
        <v>8.6</v>
      </c>
      <c r="AK60" s="55">
        <f>_xll.EQNXTDZ($A$1,$B60,AK$5,$B$1)</f>
        <v>0</v>
      </c>
      <c r="AL60" s="55">
        <f>_xll.EQNXTDZ($A$1,$B60,AL$5,$B$1)</f>
        <v>10.1</v>
      </c>
      <c r="AM60" s="55">
        <f>_xll.EQNXTDZ($A$1,$B60,AM$5,$B$1)</f>
        <v>0</v>
      </c>
      <c r="AN60" s="55">
        <f>_xll.EQNXTDZ($A$1,$B60,AN$5,$B$1)</f>
        <v>11.8</v>
      </c>
      <c r="AO60" s="55">
        <f>_xll.EQNXTDZ($A$1,$B60,AO$5,$B$1)</f>
        <v>0</v>
      </c>
      <c r="AP60" s="55">
        <f>_xll.EQNXTDZ($A$1,$B60,AP$5,$B$1)</f>
        <v>13.7</v>
      </c>
      <c r="AQ60" s="55">
        <f>_xll.EQNXTDZ($A$1,$B60,AQ$5,$B$1)</f>
        <v>0</v>
      </c>
      <c r="AR60" s="55">
        <f>_xll.EQNXTDZ($A$1,$B60,AR$5,$B$1)</f>
        <v>15.3</v>
      </c>
      <c r="AS60" s="55">
        <f>_xll.EQNXTDZ($A$1,$B60,AS$5,$B$1)</f>
        <v>0</v>
      </c>
      <c r="AT60" s="55">
        <f>_xll.EQNXTDZ($A$1,$B60,AT$5,$B$1)</f>
        <v>18</v>
      </c>
      <c r="AU60" s="55">
        <f>_xll.EQNXTDZ($A$1,$B60,AU$5,$B$1)</f>
        <v>0</v>
      </c>
      <c r="AV60" s="55">
        <f>_xll.EQNXTDZ($A$1,$B60,AV$5,$B$1)</f>
        <v>19.5</v>
      </c>
      <c r="AW60" s="55">
        <f>_xll.EQNXTDZ($A$1,$B60,AW$5,$B$1)</f>
        <v>0</v>
      </c>
      <c r="AX60" s="55">
        <f>_xll.EQNXTDZ($A$1,$B60,AX$5,$B$1)</f>
        <v>20.7</v>
      </c>
      <c r="AY60" s="55">
        <f>_xll.EQNXTDZ($A$1,$B60,AY$5,$B$1)</f>
        <v>0</v>
      </c>
      <c r="AZ60" s="55">
        <f>_xll.EQNXTDZ($A$1,$B60,AZ$5,$B$1)</f>
        <v>21.3</v>
      </c>
      <c r="BA60" s="55">
        <f>_xll.EQNXTDZ($A$1,$B60,BA$5,$B$1)</f>
        <v>0</v>
      </c>
      <c r="BB60" s="55">
        <f>_xll.EQNXTDZ($A$1,$B60,BB$5,$B$1)</f>
        <v>17.5</v>
      </c>
      <c r="BC60" s="55">
        <f>_xll.EQNXTDZ($A$1,$B60,BC$5,$B$1)</f>
        <v>0</v>
      </c>
      <c r="BD60" s="55">
        <f>_xll.EQNXTDZ($A$1,$B60,BD$5,$B$1)</f>
        <v>18.399999999999999</v>
      </c>
      <c r="BE60" s="55">
        <f>_xll.EQNXTDZ($A$1,$B60,BE$5,$B$1)</f>
        <v>0</v>
      </c>
      <c r="BF60" s="55">
        <f>_xll.EQNXTDZ($A$1,$B60,BF$5,$B$1)</f>
        <v>19.5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2.5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2.5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28</v>
      </c>
      <c r="Y64" s="55">
        <f>_xll.EQNXTDZ($A$1,$B64,Y$5,$B$1)</f>
        <v>0</v>
      </c>
      <c r="Z64" s="55">
        <f>_xll.EQNXTDZ($A$1,$B64,Z$5,$B$1)</f>
        <v>1.8</v>
      </c>
      <c r="AA64" s="55">
        <f>_xll.EQNXTDZ($A$1,$B64,AA$5,$B$1)</f>
        <v>0</v>
      </c>
      <c r="AB64" s="55">
        <f>_xll.EQNXTDZ($A$1,$B64,AB$5,$B$1)</f>
        <v>110.4</v>
      </c>
      <c r="AC64" s="55">
        <f>_xll.EQNXTDZ($A$1,$B64,AC$5,$B$1)</f>
        <v>0</v>
      </c>
      <c r="AD64" s="55">
        <f>_xll.EQNXTDZ($A$1,$B64,AD$5,$B$1)</f>
        <v>6</v>
      </c>
      <c r="AE64" s="55">
        <f>_xll.EQNXTDZ($A$1,$B64,AE$5,$B$1)</f>
        <v>0</v>
      </c>
      <c r="AF64" s="55">
        <f>_xll.EQNXTDZ($A$1,$B64,AF$5,$B$1)</f>
        <v>346.8</v>
      </c>
      <c r="AG64" s="55">
        <f>_xll.EQNXTDZ($A$1,$B64,AG$5,$B$1)</f>
        <v>0</v>
      </c>
      <c r="AH64" s="55">
        <f>_xll.EQNXTDZ($A$1,$B64,AH$5,$B$1)</f>
        <v>489</v>
      </c>
      <c r="AI64" s="55">
        <f>_xll.EQNXTDZ($A$1,$B64,AI$5,$B$1)</f>
        <v>0</v>
      </c>
      <c r="AJ64" s="55">
        <f>_xll.EQNXTDZ($A$1,$B64,AJ$5,$B$1)</f>
        <v>451.1</v>
      </c>
      <c r="AK64" s="55">
        <f>_xll.EQNXTDZ($A$1,$B64,AK$5,$B$1)</f>
        <v>0</v>
      </c>
      <c r="AL64" s="55">
        <f>_xll.EQNXTDZ($A$1,$B64,AL$5,$B$1)</f>
        <v>433.7</v>
      </c>
      <c r="AM64" s="55">
        <f>_xll.EQNXTDZ($A$1,$B64,AM$5,$B$1)</f>
        <v>0</v>
      </c>
      <c r="AN64" s="55">
        <f>_xll.EQNXTDZ($A$1,$B64,AN$5,$B$1)</f>
        <v>453.3</v>
      </c>
      <c r="AO64" s="55">
        <f>_xll.EQNXTDZ($A$1,$B64,AO$5,$B$1)</f>
        <v>0</v>
      </c>
      <c r="AP64" s="55">
        <f>_xll.EQNXTDZ($A$1,$B64,AP$5,$B$1)</f>
        <v>455</v>
      </c>
      <c r="AQ64" s="55">
        <f>_xll.EQNXTDZ($A$1,$B64,AQ$5,$B$1)</f>
        <v>0</v>
      </c>
      <c r="AR64" s="55">
        <f>_xll.EQNXTDZ($A$1,$B64,AR$5,$B$1)</f>
        <v>427.7</v>
      </c>
      <c r="AS64" s="55">
        <f>_xll.EQNXTDZ($A$1,$B64,AS$5,$B$1)</f>
        <v>0</v>
      </c>
      <c r="AT64" s="55">
        <f>_xll.EQNXTDZ($A$1,$B64,AT$5,$B$1)</f>
        <v>389.6</v>
      </c>
      <c r="AU64" s="55">
        <f>_xll.EQNXTDZ($A$1,$B64,AU$5,$B$1)</f>
        <v>0</v>
      </c>
      <c r="AV64" s="55">
        <f>_xll.EQNXTDZ($A$1,$B64,AV$5,$B$1)</f>
        <v>447.7</v>
      </c>
      <c r="AW64" s="55">
        <f>_xll.EQNXTDZ($A$1,$B64,AW$5,$B$1)</f>
        <v>0</v>
      </c>
      <c r="AX64" s="55">
        <f>_xll.EQNXTDZ($A$1,$B64,AX$5,$B$1)</f>
        <v>520.79999999999995</v>
      </c>
      <c r="AY64" s="55">
        <f>_xll.EQNXTDZ($A$1,$B64,AY$5,$B$1)</f>
        <v>0</v>
      </c>
      <c r="AZ64" s="55">
        <f>_xll.EQNXTDZ($A$1,$B64,AZ$5,$B$1)</f>
        <v>519.9</v>
      </c>
      <c r="BA64" s="55">
        <f>_xll.EQNXTDZ($A$1,$B64,BA$5,$B$1)</f>
        <v>0</v>
      </c>
      <c r="BB64" s="55">
        <f>_xll.EQNXTDZ($A$1,$B64,BB$5,$B$1)</f>
        <v>458.3</v>
      </c>
      <c r="BC64" s="55">
        <f>_xll.EQNXTDZ($A$1,$B64,BC$5,$B$1)</f>
        <v>0</v>
      </c>
      <c r="BD64" s="55">
        <f>_xll.EQNXTDZ($A$1,$B64,BD$5,$B$1)</f>
        <v>604.20000000000005</v>
      </c>
      <c r="BE64" s="55">
        <f>_xll.EQNXTDZ($A$1,$B64,BE$5,$B$1)</f>
        <v>0</v>
      </c>
      <c r="BF64" s="55">
        <f>_xll.EQNXTDZ($A$1,$B64,BF$5,$B$1)</f>
        <v>1403.4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5.6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5.3</v>
      </c>
      <c r="AU66" s="55">
        <f>_xll.EQNXTDZ($A$1,$B66,AU$5,$B$1)</f>
        <v>0</v>
      </c>
      <c r="AV66" s="55">
        <f>_xll.EQNXTDZ($A$1,$B66,AV$5,$B$1)</f>
        <v>6.2</v>
      </c>
      <c r="AW66" s="55">
        <f>_xll.EQNXTDZ($A$1,$B66,AW$5,$B$1)</f>
        <v>0</v>
      </c>
      <c r="AX66" s="55">
        <f>_xll.EQNXTDZ($A$1,$B66,AX$5,$B$1)</f>
        <v>8.3000000000000007</v>
      </c>
      <c r="AY66" s="55">
        <f>_xll.EQNXTDZ($A$1,$B66,AY$5,$B$1)</f>
        <v>0</v>
      </c>
      <c r="AZ66" s="55">
        <f>_xll.EQNXTDZ($A$1,$B66,AZ$5,$B$1)</f>
        <v>8.9</v>
      </c>
      <c r="BA66" s="55">
        <f>_xll.EQNXTDZ($A$1,$B66,BA$5,$B$1)</f>
        <v>0</v>
      </c>
      <c r="BB66" s="55">
        <f>_xll.EQNXTDZ($A$1,$B66,BB$5,$B$1)</f>
        <v>21.9</v>
      </c>
      <c r="BC66" s="55">
        <f>_xll.EQNXTDZ($A$1,$B66,BC$5,$B$1)</f>
        <v>0</v>
      </c>
      <c r="BD66" s="55">
        <f>_xll.EQNXTDZ($A$1,$B66,BD$5,$B$1)</f>
        <v>25.6</v>
      </c>
      <c r="BE66" s="55">
        <f>_xll.EQNXTDZ($A$1,$B66,BE$5,$B$1)</f>
        <v>0</v>
      </c>
      <c r="BF66" s="55">
        <f>_xll.EQNXTDZ($A$1,$B66,BF$5,$B$1)</f>
        <v>21.7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1065.5999999999999</v>
      </c>
      <c r="S67" s="55">
        <f>_xll.EQNXTDZ($A$1,$B67,S$5,$B$1)</f>
        <v>0</v>
      </c>
      <c r="T67" s="55">
        <f>_xll.EQNXTDZ($A$1,$B67,T$5,$B$1)</f>
        <v>1220.3</v>
      </c>
      <c r="U67" s="55">
        <f>_xll.EQNXTDZ($A$1,$B67,U$5,$B$1)</f>
        <v>0</v>
      </c>
      <c r="V67" s="55">
        <f>_xll.EQNXTDZ($A$1,$B67,V$5,$B$1)</f>
        <v>1485.2</v>
      </c>
      <c r="W67" s="55">
        <f>_xll.EQNXTDZ($A$1,$B67,W$5,$B$1)</f>
        <v>0</v>
      </c>
      <c r="X67" s="55">
        <f>_xll.EQNXTDZ($A$1,$B67,X$5,$B$1)</f>
        <v>1721.3</v>
      </c>
      <c r="Y67" s="55">
        <f>_xll.EQNXTDZ($A$1,$B67,Y$5,$B$1)</f>
        <v>0</v>
      </c>
      <c r="Z67" s="55">
        <f>_xll.EQNXTDZ($A$1,$B67,Z$5,$B$1)</f>
        <v>1938.5</v>
      </c>
      <c r="AA67" s="55">
        <f>_xll.EQNXTDZ($A$1,$B67,AA$5,$B$1)</f>
        <v>0</v>
      </c>
      <c r="AB67" s="55">
        <f>_xll.EQNXTDZ($A$1,$B67,AB$5,$B$1)</f>
        <v>2105.6</v>
      </c>
      <c r="AC67" s="55">
        <f>_xll.EQNXTDZ($A$1,$B67,AC$5,$B$1)</f>
        <v>0</v>
      </c>
      <c r="AD67" s="55">
        <f>_xll.EQNXTDZ($A$1,$B67,AD$5,$B$1)</f>
        <v>2488.1999999999998</v>
      </c>
      <c r="AE67" s="55">
        <f>_xll.EQNXTDZ($A$1,$B67,AE$5,$B$1)</f>
        <v>0</v>
      </c>
      <c r="AF67" s="55">
        <f>_xll.EQNXTDZ($A$1,$B67,AF$5,$B$1)</f>
        <v>2985.1</v>
      </c>
      <c r="AG67" s="55">
        <f>_xll.EQNXTDZ($A$1,$B67,AG$5,$B$1)</f>
        <v>0</v>
      </c>
      <c r="AH67" s="55">
        <f>_xll.EQNXTDZ($A$1,$B67,AH$5,$B$1)</f>
        <v>3264.5</v>
      </c>
      <c r="AI67" s="55">
        <f>_xll.EQNXTDZ($A$1,$B67,AI$5,$B$1)</f>
        <v>0</v>
      </c>
      <c r="AJ67" s="55">
        <f>_xll.EQNXTDZ($A$1,$B67,AJ$5,$B$1)</f>
        <v>3556.6</v>
      </c>
      <c r="AK67" s="55">
        <f>_xll.EQNXTDZ($A$1,$B67,AK$5,$B$1)</f>
        <v>0</v>
      </c>
      <c r="AL67" s="55">
        <f>_xll.EQNXTDZ($A$1,$B67,AL$5,$B$1)</f>
        <v>3916.9</v>
      </c>
      <c r="AM67" s="55">
        <f>_xll.EQNXTDZ($A$1,$B67,AM$5,$B$1)</f>
        <v>0</v>
      </c>
      <c r="AN67" s="55">
        <f>_xll.EQNXTDZ($A$1,$B67,AN$5,$B$1)</f>
        <v>4277.8999999999996</v>
      </c>
      <c r="AO67" s="55">
        <f>_xll.EQNXTDZ($A$1,$B67,AO$5,$B$1)</f>
        <v>0</v>
      </c>
      <c r="AP67" s="55">
        <f>_xll.EQNXTDZ($A$1,$B67,AP$5,$B$1)</f>
        <v>4636.8</v>
      </c>
      <c r="AQ67" s="55">
        <f>_xll.EQNXTDZ($A$1,$B67,AQ$5,$B$1)</f>
        <v>0</v>
      </c>
      <c r="AR67" s="55">
        <f>_xll.EQNXTDZ($A$1,$B67,AR$5,$B$1)</f>
        <v>4895.3</v>
      </c>
      <c r="AS67" s="55">
        <f>_xll.EQNXTDZ($A$1,$B67,AS$5,$B$1)</f>
        <v>0</v>
      </c>
      <c r="AT67" s="55">
        <f>_xll.EQNXTDZ($A$1,$B67,AT$5,$B$1)</f>
        <v>4847.8</v>
      </c>
      <c r="AU67" s="55">
        <f>_xll.EQNXTDZ($A$1,$B67,AU$5,$B$1)</f>
        <v>0</v>
      </c>
      <c r="AV67" s="55">
        <f>_xll.EQNXTDZ($A$1,$B67,AV$5,$B$1)</f>
        <v>5262.4</v>
      </c>
      <c r="AW67" s="55">
        <f>_xll.EQNXTDZ($A$1,$B67,AW$5,$B$1)</f>
        <v>0</v>
      </c>
      <c r="AX67" s="55">
        <f>_xll.EQNXTDZ($A$1,$B67,AX$5,$B$1)</f>
        <v>5876.9</v>
      </c>
      <c r="AY67" s="55">
        <f>_xll.EQNXTDZ($A$1,$B67,AY$5,$B$1)</f>
        <v>0</v>
      </c>
      <c r="AZ67" s="55">
        <f>_xll.EQNXTDZ($A$1,$B67,AZ$5,$B$1)</f>
        <v>6169.7</v>
      </c>
      <c r="BA67" s="55">
        <f>_xll.EQNXTDZ($A$1,$B67,BA$5,$B$1)</f>
        <v>0</v>
      </c>
      <c r="BB67" s="55">
        <f>_xll.EQNXTDZ($A$1,$B67,BB$5,$B$1)</f>
        <v>6577.7</v>
      </c>
      <c r="BC67" s="55">
        <f>_xll.EQNXTDZ($A$1,$B67,BC$5,$B$1)</f>
        <v>0</v>
      </c>
      <c r="BD67" s="55">
        <f>_xll.EQNXTDZ($A$1,$B67,BD$5,$B$1)</f>
        <v>6837.2</v>
      </c>
      <c r="BE67" s="55">
        <f>_xll.EQNXTDZ($A$1,$B67,BE$5,$B$1)</f>
        <v>0</v>
      </c>
      <c r="BF67" s="55">
        <f>_xll.EQNXTDZ($A$1,$B67,BF$5,$B$1)</f>
        <v>7917.3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198.8</v>
      </c>
      <c r="S68" s="55">
        <f>_xll.EQNXTDZ($A$1,$B68,S$5,$B$1)</f>
        <v>0</v>
      </c>
      <c r="T68" s="55">
        <f>_xll.EQNXTDZ($A$1,$B68,T$5,$B$1)</f>
        <v>197.7</v>
      </c>
      <c r="U68" s="55">
        <f>_xll.EQNXTDZ($A$1,$B68,U$5,$B$1)</f>
        <v>0</v>
      </c>
      <c r="V68" s="55">
        <f>_xll.EQNXTDZ($A$1,$B68,V$5,$B$1)</f>
        <v>192.3</v>
      </c>
      <c r="W68" s="55">
        <f>_xll.EQNXTDZ($A$1,$B68,W$5,$B$1)</f>
        <v>0</v>
      </c>
      <c r="X68" s="55">
        <f>_xll.EQNXTDZ($A$1,$B68,X$5,$B$1)</f>
        <v>187.4</v>
      </c>
      <c r="Y68" s="55">
        <f>_xll.EQNXTDZ($A$1,$B68,Y$5,$B$1)</f>
        <v>0</v>
      </c>
      <c r="Z68" s="55">
        <f>_xll.EQNXTDZ($A$1,$B68,Z$5,$B$1)</f>
        <v>217.3</v>
      </c>
      <c r="AA68" s="55">
        <f>_xll.EQNXTDZ($A$1,$B68,AA$5,$B$1)</f>
        <v>0</v>
      </c>
      <c r="AB68" s="55">
        <f>_xll.EQNXTDZ($A$1,$B68,AB$5,$B$1)</f>
        <v>201.6</v>
      </c>
      <c r="AC68" s="55">
        <f>_xll.EQNXTDZ($A$1,$B68,AC$5,$B$1)</f>
        <v>0</v>
      </c>
      <c r="AD68" s="55">
        <f>_xll.EQNXTDZ($A$1,$B68,AD$5,$B$1)</f>
        <v>243.5</v>
      </c>
      <c r="AE68" s="55">
        <f>_xll.EQNXTDZ($A$1,$B68,AE$5,$B$1)</f>
        <v>0</v>
      </c>
      <c r="AF68" s="55">
        <f>_xll.EQNXTDZ($A$1,$B68,AF$5,$B$1)</f>
        <v>621.1</v>
      </c>
      <c r="AG68" s="55">
        <f>_xll.EQNXTDZ($A$1,$B68,AG$5,$B$1)</f>
        <v>0</v>
      </c>
      <c r="AH68" s="55">
        <f>_xll.EQNXTDZ($A$1,$B68,AH$5,$B$1)</f>
        <v>278.5</v>
      </c>
      <c r="AI68" s="55">
        <f>_xll.EQNXTDZ($A$1,$B68,AI$5,$B$1)</f>
        <v>0</v>
      </c>
      <c r="AJ68" s="55">
        <f>_xll.EQNXTDZ($A$1,$B68,AJ$5,$B$1)</f>
        <v>259.8</v>
      </c>
      <c r="AK68" s="55">
        <f>_xll.EQNXTDZ($A$1,$B68,AK$5,$B$1)</f>
        <v>0</v>
      </c>
      <c r="AL68" s="55">
        <f>_xll.EQNXTDZ($A$1,$B68,AL$5,$B$1)</f>
        <v>280</v>
      </c>
      <c r="AM68" s="55">
        <f>_xll.EQNXTDZ($A$1,$B68,AM$5,$B$1)</f>
        <v>0</v>
      </c>
      <c r="AN68" s="55">
        <f>_xll.EQNXTDZ($A$1,$B68,AN$5,$B$1)</f>
        <v>278.60000000000002</v>
      </c>
      <c r="AO68" s="55">
        <f>_xll.EQNXTDZ($A$1,$B68,AO$5,$B$1)</f>
        <v>0</v>
      </c>
      <c r="AP68" s="55">
        <f>_xll.EQNXTDZ($A$1,$B68,AP$5,$B$1)</f>
        <v>287.3</v>
      </c>
      <c r="AQ68" s="55">
        <f>_xll.EQNXTDZ($A$1,$B68,AQ$5,$B$1)</f>
        <v>0</v>
      </c>
      <c r="AR68" s="55">
        <f>_xll.EQNXTDZ($A$1,$B68,AR$5,$B$1)</f>
        <v>327.39999999999998</v>
      </c>
      <c r="AS68" s="55">
        <f>_xll.EQNXTDZ($A$1,$B68,AS$5,$B$1)</f>
        <v>0</v>
      </c>
      <c r="AT68" s="55">
        <f>_xll.EQNXTDZ($A$1,$B68,AT$5,$B$1)</f>
        <v>324.3</v>
      </c>
      <c r="AU68" s="55">
        <f>_xll.EQNXTDZ($A$1,$B68,AU$5,$B$1)</f>
        <v>0</v>
      </c>
      <c r="AV68" s="55">
        <f>_xll.EQNXTDZ($A$1,$B68,AV$5,$B$1)</f>
        <v>315.3</v>
      </c>
      <c r="AW68" s="55">
        <f>_xll.EQNXTDZ($A$1,$B68,AW$5,$B$1)</f>
        <v>0</v>
      </c>
      <c r="AX68" s="55">
        <f>_xll.EQNXTDZ($A$1,$B68,AX$5,$B$1)</f>
        <v>414</v>
      </c>
      <c r="AY68" s="55">
        <f>_xll.EQNXTDZ($A$1,$B68,AY$5,$B$1)</f>
        <v>0</v>
      </c>
      <c r="AZ68" s="55">
        <f>_xll.EQNXTDZ($A$1,$B68,AZ$5,$B$1)</f>
        <v>398.3</v>
      </c>
      <c r="BA68" s="55">
        <f>_xll.EQNXTDZ($A$1,$B68,BA$5,$B$1)</f>
        <v>0</v>
      </c>
      <c r="BB68" s="55">
        <f>_xll.EQNXTDZ($A$1,$B68,BB$5,$B$1)</f>
        <v>592.20000000000005</v>
      </c>
      <c r="BC68" s="55">
        <f>_xll.EQNXTDZ($A$1,$B68,BC$5,$B$1)</f>
        <v>0</v>
      </c>
      <c r="BD68" s="55">
        <f>_xll.EQNXTDZ($A$1,$B68,BD$5,$B$1)</f>
        <v>578.20000000000005</v>
      </c>
      <c r="BE68" s="55">
        <f>_xll.EQNXTDZ($A$1,$B68,BE$5,$B$1)</f>
        <v>0</v>
      </c>
      <c r="BF68" s="55">
        <f>_xll.EQNXTDZ($A$1,$B68,BF$5,$B$1)</f>
        <v>546.29999999999995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198.8</v>
      </c>
      <c r="S71" s="55">
        <f>_xll.EQNXTDZ($A$1,$B71,S$5,$B$1)</f>
        <v>0</v>
      </c>
      <c r="T71" s="55">
        <f>_xll.EQNXTDZ($A$1,$B71,T$5,$B$1)</f>
        <v>197.7</v>
      </c>
      <c r="U71" s="55">
        <f>_xll.EQNXTDZ($A$1,$B71,U$5,$B$1)</f>
        <v>0</v>
      </c>
      <c r="V71" s="55">
        <f>_xll.EQNXTDZ($A$1,$B71,V$5,$B$1)</f>
        <v>192.3</v>
      </c>
      <c r="W71" s="55">
        <f>_xll.EQNXTDZ($A$1,$B71,W$5,$B$1)</f>
        <v>0</v>
      </c>
      <c r="X71" s="55">
        <f>_xll.EQNXTDZ($A$1,$B71,X$5,$B$1)</f>
        <v>187.4</v>
      </c>
      <c r="Y71" s="55">
        <f>_xll.EQNXTDZ($A$1,$B71,Y$5,$B$1)</f>
        <v>0</v>
      </c>
      <c r="Z71" s="55">
        <f>_xll.EQNXTDZ($A$1,$B71,Z$5,$B$1)</f>
        <v>217.3</v>
      </c>
      <c r="AA71" s="55">
        <f>_xll.EQNXTDZ($A$1,$B71,AA$5,$B$1)</f>
        <v>0</v>
      </c>
      <c r="AB71" s="55">
        <f>_xll.EQNXTDZ($A$1,$B71,AB$5,$B$1)</f>
        <v>201.6</v>
      </c>
      <c r="AC71" s="55">
        <f>_xll.EQNXTDZ($A$1,$B71,AC$5,$B$1)</f>
        <v>0</v>
      </c>
      <c r="AD71" s="55">
        <f>_xll.EQNXTDZ($A$1,$B71,AD$5,$B$1)</f>
        <v>243.5</v>
      </c>
      <c r="AE71" s="55">
        <f>_xll.EQNXTDZ($A$1,$B71,AE$5,$B$1)</f>
        <v>0</v>
      </c>
      <c r="AF71" s="55">
        <f>_xll.EQNXTDZ($A$1,$B71,AF$5,$B$1)</f>
        <v>621.1</v>
      </c>
      <c r="AG71" s="55">
        <f>_xll.EQNXTDZ($A$1,$B71,AG$5,$B$1)</f>
        <v>0</v>
      </c>
      <c r="AH71" s="55">
        <f>_xll.EQNXTDZ($A$1,$B71,AH$5,$B$1)</f>
        <v>278.5</v>
      </c>
      <c r="AI71" s="55">
        <f>_xll.EQNXTDZ($A$1,$B71,AI$5,$B$1)</f>
        <v>0</v>
      </c>
      <c r="AJ71" s="55">
        <f>_xll.EQNXTDZ($A$1,$B71,AJ$5,$B$1)</f>
        <v>259.8</v>
      </c>
      <c r="AK71" s="55">
        <f>_xll.EQNXTDZ($A$1,$B71,AK$5,$B$1)</f>
        <v>0</v>
      </c>
      <c r="AL71" s="55">
        <f>_xll.EQNXTDZ($A$1,$B71,AL$5,$B$1)</f>
        <v>280</v>
      </c>
      <c r="AM71" s="55">
        <f>_xll.EQNXTDZ($A$1,$B71,AM$5,$B$1)</f>
        <v>0</v>
      </c>
      <c r="AN71" s="55">
        <f>_xll.EQNXTDZ($A$1,$B71,AN$5,$B$1)</f>
        <v>278.60000000000002</v>
      </c>
      <c r="AO71" s="55">
        <f>_xll.EQNXTDZ($A$1,$B71,AO$5,$B$1)</f>
        <v>0</v>
      </c>
      <c r="AP71" s="55">
        <f>_xll.EQNXTDZ($A$1,$B71,AP$5,$B$1)</f>
        <v>287.3</v>
      </c>
      <c r="AQ71" s="55">
        <f>_xll.EQNXTDZ($A$1,$B71,AQ$5,$B$1)</f>
        <v>0</v>
      </c>
      <c r="AR71" s="55">
        <f>_xll.EQNXTDZ($A$1,$B71,AR$5,$B$1)</f>
        <v>327.39999999999998</v>
      </c>
      <c r="AS71" s="55">
        <f>_xll.EQNXTDZ($A$1,$B71,AS$5,$B$1)</f>
        <v>0</v>
      </c>
      <c r="AT71" s="55">
        <f>_xll.EQNXTDZ($A$1,$B71,AT$5,$B$1)</f>
        <v>324.3</v>
      </c>
      <c r="AU71" s="55">
        <f>_xll.EQNXTDZ($A$1,$B71,AU$5,$B$1)</f>
        <v>0</v>
      </c>
      <c r="AV71" s="55">
        <f>_xll.EQNXTDZ($A$1,$B71,AV$5,$B$1)</f>
        <v>315.3</v>
      </c>
      <c r="AW71" s="55">
        <f>_xll.EQNXTDZ($A$1,$B71,AW$5,$B$1)</f>
        <v>0</v>
      </c>
      <c r="AX71" s="55">
        <f>_xll.EQNXTDZ($A$1,$B71,AX$5,$B$1)</f>
        <v>414</v>
      </c>
      <c r="AY71" s="55">
        <f>_xll.EQNXTDZ($A$1,$B71,AY$5,$B$1)</f>
        <v>0</v>
      </c>
      <c r="AZ71" s="55">
        <f>_xll.EQNXTDZ($A$1,$B71,AZ$5,$B$1)</f>
        <v>398.3</v>
      </c>
      <c r="BA71" s="55">
        <f>_xll.EQNXTDZ($A$1,$B71,BA$5,$B$1)</f>
        <v>0</v>
      </c>
      <c r="BB71" s="55">
        <f>_xll.EQNXTDZ($A$1,$B71,BB$5,$B$1)</f>
        <v>592.20000000000005</v>
      </c>
      <c r="BC71" s="55">
        <f>_xll.EQNXTDZ($A$1,$B71,BC$5,$B$1)</f>
        <v>0</v>
      </c>
      <c r="BD71" s="55">
        <f>_xll.EQNXTDZ($A$1,$B71,BD$5,$B$1)</f>
        <v>578.20000000000005</v>
      </c>
      <c r="BE71" s="55">
        <f>_xll.EQNXTDZ($A$1,$B71,BE$5,$B$1)</f>
        <v>0</v>
      </c>
      <c r="BF71" s="55">
        <f>_xll.EQNXTDZ($A$1,$B71,BF$5,$B$1)</f>
        <v>546.29999999999995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422</v>
      </c>
      <c r="S72" s="55">
        <f>_xll.EQNXTDZ($A$1,$B72,S$5,$B$1)</f>
        <v>0</v>
      </c>
      <c r="T72" s="55">
        <f>_xll.EQNXTDZ($A$1,$B72,T$5,$B$1)</f>
        <v>422.2</v>
      </c>
      <c r="U72" s="55">
        <f>_xll.EQNXTDZ($A$1,$B72,U$5,$B$1)</f>
        <v>0</v>
      </c>
      <c r="V72" s="55">
        <f>_xll.EQNXTDZ($A$1,$B72,V$5,$B$1)</f>
        <v>421.5</v>
      </c>
      <c r="W72" s="55">
        <f>_xll.EQNXTDZ($A$1,$B72,W$5,$B$1)</f>
        <v>0</v>
      </c>
      <c r="X72" s="55">
        <f>_xll.EQNXTDZ($A$1,$B72,X$5,$B$1)</f>
        <v>531.79999999999995</v>
      </c>
      <c r="Y72" s="55">
        <f>_xll.EQNXTDZ($A$1,$B72,Y$5,$B$1)</f>
        <v>0</v>
      </c>
      <c r="Z72" s="55">
        <f>_xll.EQNXTDZ($A$1,$B72,Z$5,$B$1)</f>
        <v>492.1</v>
      </c>
      <c r="AA72" s="55">
        <f>_xll.EQNXTDZ($A$1,$B72,AA$5,$B$1)</f>
        <v>0</v>
      </c>
      <c r="AB72" s="55">
        <f>_xll.EQNXTDZ($A$1,$B72,AB$5,$B$1)</f>
        <v>502.7</v>
      </c>
      <c r="AC72" s="55">
        <f>_xll.EQNXTDZ($A$1,$B72,AC$5,$B$1)</f>
        <v>0</v>
      </c>
      <c r="AD72" s="55">
        <f>_xll.EQNXTDZ($A$1,$B72,AD$5,$B$1)</f>
        <v>536.5</v>
      </c>
      <c r="AE72" s="55">
        <f>_xll.EQNXTDZ($A$1,$B72,AE$5,$B$1)</f>
        <v>0</v>
      </c>
      <c r="AF72" s="55">
        <f>_xll.EQNXTDZ($A$1,$B72,AF$5,$B$1)</f>
        <v>539</v>
      </c>
      <c r="AG72" s="55">
        <f>_xll.EQNXTDZ($A$1,$B72,AG$5,$B$1)</f>
        <v>0</v>
      </c>
      <c r="AH72" s="55">
        <f>_xll.EQNXTDZ($A$1,$B72,AH$5,$B$1)</f>
        <v>546</v>
      </c>
      <c r="AI72" s="55">
        <f>_xll.EQNXTDZ($A$1,$B72,AI$5,$B$1)</f>
        <v>0</v>
      </c>
      <c r="AJ72" s="55">
        <f>_xll.EQNXTDZ($A$1,$B72,AJ$5,$B$1)</f>
        <v>543.20000000000005</v>
      </c>
      <c r="AK72" s="55">
        <f>_xll.EQNXTDZ($A$1,$B72,AK$5,$B$1)</f>
        <v>0</v>
      </c>
      <c r="AL72" s="55">
        <f>_xll.EQNXTDZ($A$1,$B72,AL$5,$B$1)</f>
        <v>582.70000000000005</v>
      </c>
      <c r="AM72" s="55">
        <f>_xll.EQNXTDZ($A$1,$B72,AM$5,$B$1)</f>
        <v>0</v>
      </c>
      <c r="AN72" s="55">
        <f>_xll.EQNXTDZ($A$1,$B72,AN$5,$B$1)</f>
        <v>585</v>
      </c>
      <c r="AO72" s="55">
        <f>_xll.EQNXTDZ($A$1,$B72,AO$5,$B$1)</f>
        <v>0</v>
      </c>
      <c r="AP72" s="55">
        <f>_xll.EQNXTDZ($A$1,$B72,AP$5,$B$1)</f>
        <v>588.1</v>
      </c>
      <c r="AQ72" s="55">
        <f>_xll.EQNXTDZ($A$1,$B72,AQ$5,$B$1)</f>
        <v>0</v>
      </c>
      <c r="AR72" s="55">
        <f>_xll.EQNXTDZ($A$1,$B72,AR$5,$B$1)</f>
        <v>599.29999999999995</v>
      </c>
      <c r="AS72" s="55">
        <f>_xll.EQNXTDZ($A$1,$B72,AS$5,$B$1)</f>
        <v>0</v>
      </c>
      <c r="AT72" s="55">
        <f>_xll.EQNXTDZ($A$1,$B72,AT$5,$B$1)</f>
        <v>601</v>
      </c>
      <c r="AU72" s="55">
        <f>_xll.EQNXTDZ($A$1,$B72,AU$5,$B$1)</f>
        <v>0</v>
      </c>
      <c r="AV72" s="55">
        <f>_xll.EQNXTDZ($A$1,$B72,AV$5,$B$1)</f>
        <v>602.70000000000005</v>
      </c>
      <c r="AW72" s="55">
        <f>_xll.EQNXTDZ($A$1,$B72,AW$5,$B$1)</f>
        <v>0</v>
      </c>
      <c r="AX72" s="55">
        <f>_xll.EQNXTDZ($A$1,$B72,AX$5,$B$1)</f>
        <v>603.5</v>
      </c>
      <c r="AY72" s="55">
        <f>_xll.EQNXTDZ($A$1,$B72,AY$5,$B$1)</f>
        <v>0</v>
      </c>
      <c r="AZ72" s="55">
        <f>_xll.EQNXTDZ($A$1,$B72,AZ$5,$B$1)</f>
        <v>604.29999999999995</v>
      </c>
      <c r="BA72" s="55">
        <f>_xll.EQNXTDZ($A$1,$B72,BA$5,$B$1)</f>
        <v>0</v>
      </c>
      <c r="BB72" s="55">
        <f>_xll.EQNXTDZ($A$1,$B72,BB$5,$B$1)</f>
        <v>1132.7</v>
      </c>
      <c r="BC72" s="55">
        <f>_xll.EQNXTDZ($A$1,$B72,BC$5,$B$1)</f>
        <v>0</v>
      </c>
      <c r="BD72" s="55">
        <f>_xll.EQNXTDZ($A$1,$B72,BD$5,$B$1)</f>
        <v>1155.9000000000001</v>
      </c>
      <c r="BE72" s="55">
        <f>_xll.EQNXTDZ($A$1,$B72,BE$5,$B$1)</f>
        <v>0</v>
      </c>
      <c r="BF72" s="55">
        <f>_xll.EQNXTDZ($A$1,$B72,BF$5,$B$1)</f>
        <v>1202.9000000000001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14.3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2.2999999999999998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0.1</v>
      </c>
      <c r="AA74" s="55">
        <f>_xll.EQNXTDZ($A$1,$B74,AA$5,$B$1)</f>
        <v>0</v>
      </c>
      <c r="AB74" s="55">
        <f>_xll.EQNXTDZ($A$1,$B74,AB$5,$B$1)</f>
        <v>0.4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1.8</v>
      </c>
      <c r="AG74" s="55">
        <f>_xll.EQNXTDZ($A$1,$B74,AG$5,$B$1)</f>
        <v>0</v>
      </c>
      <c r="AH74" s="55">
        <f>_xll.EQNXTDZ($A$1,$B74,AH$5,$B$1)</f>
        <v>8.6999999999999993</v>
      </c>
      <c r="AI74" s="55">
        <f>_xll.EQNXTDZ($A$1,$B74,AI$5,$B$1)</f>
        <v>0</v>
      </c>
      <c r="AJ74" s="55">
        <f>_xll.EQNXTDZ($A$1,$B74,AJ$5,$B$1)</f>
        <v>11.9</v>
      </c>
      <c r="AK74" s="55">
        <f>_xll.EQNXTDZ($A$1,$B74,AK$5,$B$1)</f>
        <v>0</v>
      </c>
      <c r="AL74" s="55">
        <f>_xll.EQNXTDZ($A$1,$B74,AL$5,$B$1)</f>
        <v>11.9</v>
      </c>
      <c r="AM74" s="55">
        <f>_xll.EQNXTDZ($A$1,$B74,AM$5,$B$1)</f>
        <v>0</v>
      </c>
      <c r="AN74" s="55">
        <f>_xll.EQNXTDZ($A$1,$B74,AN$5,$B$1)</f>
        <v>9.3000000000000007</v>
      </c>
      <c r="AO74" s="55">
        <f>_xll.EQNXTDZ($A$1,$B74,AO$5,$B$1)</f>
        <v>0</v>
      </c>
      <c r="AP74" s="55">
        <f>_xll.EQNXTDZ($A$1,$B74,AP$5,$B$1)</f>
        <v>9.9</v>
      </c>
      <c r="AQ74" s="55">
        <f>_xll.EQNXTDZ($A$1,$B74,AQ$5,$B$1)</f>
        <v>0</v>
      </c>
      <c r="AR74" s="55">
        <f>_xll.EQNXTDZ($A$1,$B74,AR$5,$B$1)</f>
        <v>6</v>
      </c>
      <c r="AS74" s="55">
        <f>_xll.EQNXTDZ($A$1,$B74,AS$5,$B$1)</f>
        <v>0</v>
      </c>
      <c r="AT74" s="55">
        <f>_xll.EQNXTDZ($A$1,$B74,AT$5,$B$1)</f>
        <v>6.5</v>
      </c>
      <c r="AU74" s="55">
        <f>_xll.EQNXTDZ($A$1,$B74,AU$5,$B$1)</f>
        <v>0</v>
      </c>
      <c r="AV74" s="55">
        <f>_xll.EQNXTDZ($A$1,$B74,AV$5,$B$1)</f>
        <v>120.9</v>
      </c>
      <c r="AW74" s="55">
        <f>_xll.EQNXTDZ($A$1,$B74,AW$5,$B$1)</f>
        <v>0</v>
      </c>
      <c r="AX74" s="55">
        <f>_xll.EQNXTDZ($A$1,$B74,AX$5,$B$1)</f>
        <v>13.1</v>
      </c>
      <c r="AY74" s="55">
        <f>_xll.EQNXTDZ($A$1,$B74,AY$5,$B$1)</f>
        <v>0</v>
      </c>
      <c r="AZ74" s="55">
        <f>_xll.EQNXTDZ($A$1,$B74,AZ$5,$B$1)</f>
        <v>6</v>
      </c>
      <c r="BA74" s="55">
        <f>_xll.EQNXTDZ($A$1,$B74,BA$5,$B$1)</f>
        <v>0</v>
      </c>
      <c r="BB74" s="55">
        <f>_xll.EQNXTDZ($A$1,$B74,BB$5,$B$1)</f>
        <v>28</v>
      </c>
      <c r="BC74" s="55">
        <f>_xll.EQNXTDZ($A$1,$B74,BC$5,$B$1)</f>
        <v>0</v>
      </c>
      <c r="BD74" s="55">
        <f>_xll.EQNXTDZ($A$1,$B74,BD$5,$B$1)</f>
        <v>8.1</v>
      </c>
      <c r="BE74" s="55">
        <f>_xll.EQNXTDZ($A$1,$B74,BE$5,$B$1)</f>
        <v>0</v>
      </c>
      <c r="BF74" s="55">
        <f>_xll.EQNXTDZ($A$1,$B74,BF$5,$B$1)</f>
        <v>11.7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31</v>
      </c>
      <c r="AI77" s="55">
        <f>_xll.EQNXTDZ($A$1,$B77,AI$5,$B$1)</f>
        <v>0</v>
      </c>
      <c r="AJ77" s="55">
        <f>_xll.EQNXTDZ($A$1,$B77,AJ$5,$B$1)</f>
        <v>32.200000000000003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86.1</v>
      </c>
      <c r="AQ77" s="55">
        <f>_xll.EQNXTDZ($A$1,$B77,AQ$5,$B$1)</f>
        <v>0</v>
      </c>
      <c r="AR77" s="55">
        <f>_xll.EQNXTDZ($A$1,$B77,AR$5,$B$1)</f>
        <v>131.4</v>
      </c>
      <c r="AS77" s="55">
        <f>_xll.EQNXTDZ($A$1,$B77,AS$5,$B$1)</f>
        <v>0</v>
      </c>
      <c r="AT77" s="55">
        <f>_xll.EQNXTDZ($A$1,$B77,AT$5,$B$1)</f>
        <v>175.2</v>
      </c>
      <c r="AU77" s="55">
        <f>_xll.EQNXTDZ($A$1,$B77,AU$5,$B$1)</f>
        <v>0</v>
      </c>
      <c r="AV77" s="55">
        <f>_xll.EQNXTDZ($A$1,$B77,AV$5,$B$1)</f>
        <v>159.69999999999999</v>
      </c>
      <c r="AW77" s="55">
        <f>_xll.EQNXTDZ($A$1,$B77,AW$5,$B$1)</f>
        <v>0</v>
      </c>
      <c r="AX77" s="55">
        <f>_xll.EQNXTDZ($A$1,$B77,AX$5,$B$1)</f>
        <v>199.1</v>
      </c>
      <c r="AY77" s="55">
        <f>_xll.EQNXTDZ($A$1,$B77,AY$5,$B$1)</f>
        <v>0</v>
      </c>
      <c r="AZ77" s="55">
        <f>_xll.EQNXTDZ($A$1,$B77,AZ$5,$B$1)</f>
        <v>182.5</v>
      </c>
      <c r="BA77" s="55">
        <f>_xll.EQNXTDZ($A$1,$B77,BA$5,$B$1)</f>
        <v>0</v>
      </c>
      <c r="BB77" s="55">
        <f>_xll.EQNXTDZ($A$1,$B77,BB$5,$B$1)</f>
        <v>349.3</v>
      </c>
      <c r="BC77" s="55">
        <f>_xll.EQNXTDZ($A$1,$B77,BC$5,$B$1)</f>
        <v>0</v>
      </c>
      <c r="BD77" s="55">
        <f>_xll.EQNXTDZ($A$1,$B77,BD$5,$B$1)</f>
        <v>540.70000000000005</v>
      </c>
      <c r="BE77" s="55">
        <f>_xll.EQNXTDZ($A$1,$B77,BE$5,$B$1)</f>
        <v>0</v>
      </c>
      <c r="BF77" s="55">
        <f>_xll.EQNXTDZ($A$1,$B77,BF$5,$B$1)</f>
        <v>467.9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22.7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31.1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36.200000000000003</v>
      </c>
      <c r="S79" s="55">
        <f>_xll.EQNXTDZ($A$1,$B79,S$5,$B$1)</f>
        <v>0</v>
      </c>
      <c r="T79" s="55">
        <f>_xll.EQNXTDZ($A$1,$B79,T$5,$B$1)</f>
        <v>10.7</v>
      </c>
      <c r="U79" s="55">
        <f>_xll.EQNXTDZ($A$1,$B79,U$5,$B$1)</f>
        <v>0</v>
      </c>
      <c r="V79" s="55">
        <f>_xll.EQNXTDZ($A$1,$B79,V$5,$B$1)</f>
        <v>143.4</v>
      </c>
      <c r="W79" s="55">
        <f>_xll.EQNXTDZ($A$1,$B79,W$5,$B$1)</f>
        <v>0</v>
      </c>
      <c r="X79" s="55">
        <f>_xll.EQNXTDZ($A$1,$B79,X$5,$B$1)</f>
        <v>137.4</v>
      </c>
      <c r="Y79" s="55">
        <f>_xll.EQNXTDZ($A$1,$B79,Y$5,$B$1)</f>
        <v>0</v>
      </c>
      <c r="Z79" s="55">
        <f>_xll.EQNXTDZ($A$1,$B79,Z$5,$B$1)</f>
        <v>107.7</v>
      </c>
      <c r="AA79" s="55">
        <f>_xll.EQNXTDZ($A$1,$B79,AA$5,$B$1)</f>
        <v>0</v>
      </c>
      <c r="AB79" s="55">
        <f>_xll.EQNXTDZ($A$1,$B79,AB$5,$B$1)</f>
        <v>48.1</v>
      </c>
      <c r="AC79" s="55">
        <f>_xll.EQNXTDZ($A$1,$B79,AC$5,$B$1)</f>
        <v>0</v>
      </c>
      <c r="AD79" s="55">
        <f>_xll.EQNXTDZ($A$1,$B79,AD$5,$B$1)</f>
        <v>199.7</v>
      </c>
      <c r="AE79" s="55">
        <f>_xll.EQNXTDZ($A$1,$B79,AE$5,$B$1)</f>
        <v>0</v>
      </c>
      <c r="AF79" s="55">
        <f>_xll.EQNXTDZ($A$1,$B79,AF$5,$B$1)</f>
        <v>153.69999999999999</v>
      </c>
      <c r="AG79" s="55">
        <f>_xll.EQNXTDZ($A$1,$B79,AG$5,$B$1)</f>
        <v>0</v>
      </c>
      <c r="AH79" s="55">
        <f>_xll.EQNXTDZ($A$1,$B79,AH$5,$B$1)</f>
        <v>497.8</v>
      </c>
      <c r="AI79" s="55">
        <f>_xll.EQNXTDZ($A$1,$B79,AI$5,$B$1)</f>
        <v>0</v>
      </c>
      <c r="AJ79" s="55">
        <f>_xll.EQNXTDZ($A$1,$B79,AJ$5,$B$1)</f>
        <v>636.79999999999995</v>
      </c>
      <c r="AK79" s="55">
        <f>_xll.EQNXTDZ($A$1,$B79,AK$5,$B$1)</f>
        <v>0</v>
      </c>
      <c r="AL79" s="55">
        <f>_xll.EQNXTDZ($A$1,$B79,AL$5,$B$1)</f>
        <v>689</v>
      </c>
      <c r="AM79" s="55">
        <f>_xll.EQNXTDZ($A$1,$B79,AM$5,$B$1)</f>
        <v>0</v>
      </c>
      <c r="AN79" s="55">
        <f>_xll.EQNXTDZ($A$1,$B79,AN$5,$B$1)</f>
        <v>774.6</v>
      </c>
      <c r="AO79" s="55">
        <f>_xll.EQNXTDZ($A$1,$B79,AO$5,$B$1)</f>
        <v>0</v>
      </c>
      <c r="AP79" s="55">
        <f>_xll.EQNXTDZ($A$1,$B79,AP$5,$B$1)</f>
        <v>780.7</v>
      </c>
      <c r="AQ79" s="55">
        <f>_xll.EQNXTDZ($A$1,$B79,AQ$5,$B$1)</f>
        <v>0</v>
      </c>
      <c r="AR79" s="55">
        <f>_xll.EQNXTDZ($A$1,$B79,AR$5,$B$1)</f>
        <v>636.70000000000005</v>
      </c>
      <c r="AS79" s="55">
        <f>_xll.EQNXTDZ($A$1,$B79,AS$5,$B$1)</f>
        <v>0</v>
      </c>
      <c r="AT79" s="55">
        <f>_xll.EQNXTDZ($A$1,$B79,AT$5,$B$1)</f>
        <v>699.9</v>
      </c>
      <c r="AU79" s="55">
        <f>_xll.EQNXTDZ($A$1,$B79,AU$5,$B$1)</f>
        <v>0</v>
      </c>
      <c r="AV79" s="55">
        <f>_xll.EQNXTDZ($A$1,$B79,AV$5,$B$1)</f>
        <v>807.7</v>
      </c>
      <c r="AW79" s="55">
        <f>_xll.EQNXTDZ($A$1,$B79,AW$5,$B$1)</f>
        <v>0</v>
      </c>
      <c r="AX79" s="55">
        <f>_xll.EQNXTDZ($A$1,$B79,AX$5,$B$1)</f>
        <v>1023.1</v>
      </c>
      <c r="AY79" s="55">
        <f>_xll.EQNXTDZ($A$1,$B79,AY$5,$B$1)</f>
        <v>0</v>
      </c>
      <c r="AZ79" s="55">
        <f>_xll.EQNXTDZ($A$1,$B79,AZ$5,$B$1)</f>
        <v>998.8</v>
      </c>
      <c r="BA79" s="55">
        <f>_xll.EQNXTDZ($A$1,$B79,BA$5,$B$1)</f>
        <v>0</v>
      </c>
      <c r="BB79" s="55">
        <f>_xll.EQNXTDZ($A$1,$B79,BB$5,$B$1)</f>
        <v>1060.8</v>
      </c>
      <c r="BC79" s="55">
        <f>_xll.EQNXTDZ($A$1,$B79,BC$5,$B$1)</f>
        <v>0</v>
      </c>
      <c r="BD79" s="55">
        <f>_xll.EQNXTDZ($A$1,$B79,BD$5,$B$1)</f>
        <v>827.6</v>
      </c>
      <c r="BE79" s="55">
        <f>_xll.EQNXTDZ($A$1,$B79,BE$5,$B$1)</f>
        <v>0</v>
      </c>
      <c r="BF79" s="55">
        <f>_xll.EQNXTDZ($A$1,$B79,BF$5,$B$1)</f>
        <v>1790.1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55.5</v>
      </c>
      <c r="S80" s="55">
        <f>_xll.EQNXTDZ($A$1,$B80,S$5,$B$1)</f>
        <v>0</v>
      </c>
      <c r="T80" s="55">
        <f>_xll.EQNXTDZ($A$1,$B80,T$5,$B$1)</f>
        <v>103.4</v>
      </c>
      <c r="U80" s="55">
        <f>_xll.EQNXTDZ($A$1,$B80,U$5,$B$1)</f>
        <v>0</v>
      </c>
      <c r="V80" s="55">
        <f>_xll.EQNXTDZ($A$1,$B80,V$5,$B$1)</f>
        <v>194.6</v>
      </c>
      <c r="W80" s="55">
        <f>_xll.EQNXTDZ($A$1,$B80,W$5,$B$1)</f>
        <v>0</v>
      </c>
      <c r="X80" s="55">
        <f>_xll.EQNXTDZ($A$1,$B80,X$5,$B$1)</f>
        <v>116.9</v>
      </c>
      <c r="Y80" s="55">
        <f>_xll.EQNXTDZ($A$1,$B80,Y$5,$B$1)</f>
        <v>0</v>
      </c>
      <c r="Z80" s="55">
        <f>_xll.EQNXTDZ($A$1,$B80,Z$5,$B$1)</f>
        <v>220.7</v>
      </c>
      <c r="AA80" s="55">
        <f>_xll.EQNXTDZ($A$1,$B80,AA$5,$B$1)</f>
        <v>0</v>
      </c>
      <c r="AB80" s="55">
        <f>_xll.EQNXTDZ($A$1,$B80,AB$5,$B$1)</f>
        <v>265.89999999999998</v>
      </c>
      <c r="AC80" s="55">
        <f>_xll.EQNXTDZ($A$1,$B80,AC$5,$B$1)</f>
        <v>0</v>
      </c>
      <c r="AD80" s="55">
        <f>_xll.EQNXTDZ($A$1,$B80,AD$5,$B$1)</f>
        <v>574.9</v>
      </c>
      <c r="AE80" s="55">
        <f>_xll.EQNXTDZ($A$1,$B80,AE$5,$B$1)</f>
        <v>0</v>
      </c>
      <c r="AF80" s="55">
        <f>_xll.EQNXTDZ($A$1,$B80,AF$5,$B$1)</f>
        <v>304.39999999999998</v>
      </c>
      <c r="AG80" s="55">
        <f>_xll.EQNXTDZ($A$1,$B80,AG$5,$B$1)</f>
        <v>0</v>
      </c>
      <c r="AH80" s="55">
        <f>_xll.EQNXTDZ($A$1,$B80,AH$5,$B$1)</f>
        <v>611</v>
      </c>
      <c r="AI80" s="55">
        <f>_xll.EQNXTDZ($A$1,$B80,AI$5,$B$1)</f>
        <v>0</v>
      </c>
      <c r="AJ80" s="55">
        <f>_xll.EQNXTDZ($A$1,$B80,AJ$5,$B$1)</f>
        <v>1023.7</v>
      </c>
      <c r="AK80" s="55">
        <f>_xll.EQNXTDZ($A$1,$B80,AK$5,$B$1)</f>
        <v>0</v>
      </c>
      <c r="AL80" s="55">
        <f>_xll.EQNXTDZ($A$1,$B80,AL$5,$B$1)</f>
        <v>1514.9</v>
      </c>
      <c r="AM80" s="55">
        <f>_xll.EQNXTDZ($A$1,$B80,AM$5,$B$1)</f>
        <v>0</v>
      </c>
      <c r="AN80" s="55">
        <f>_xll.EQNXTDZ($A$1,$B80,AN$5,$B$1)</f>
        <v>1187.2</v>
      </c>
      <c r="AO80" s="55">
        <f>_xll.EQNXTDZ($A$1,$B80,AO$5,$B$1)</f>
        <v>0</v>
      </c>
      <c r="AP80" s="55">
        <f>_xll.EQNXTDZ($A$1,$B80,AP$5,$B$1)</f>
        <v>1391.8</v>
      </c>
      <c r="AQ80" s="55">
        <f>_xll.EQNXTDZ($A$1,$B80,AQ$5,$B$1)</f>
        <v>0</v>
      </c>
      <c r="AR80" s="55">
        <f>_xll.EQNXTDZ($A$1,$B80,AR$5,$B$1)</f>
        <v>1663.3</v>
      </c>
      <c r="AS80" s="55">
        <f>_xll.EQNXTDZ($A$1,$B80,AS$5,$B$1)</f>
        <v>0</v>
      </c>
      <c r="AT80" s="55">
        <f>_xll.EQNXTDZ($A$1,$B80,AT$5,$B$1)</f>
        <v>2108.8000000000002</v>
      </c>
      <c r="AU80" s="55">
        <f>_xll.EQNXTDZ($A$1,$B80,AU$5,$B$1)</f>
        <v>0</v>
      </c>
      <c r="AV80" s="55">
        <f>_xll.EQNXTDZ($A$1,$B80,AV$5,$B$1)</f>
        <v>1160.7</v>
      </c>
      <c r="AW80" s="55">
        <f>_xll.EQNXTDZ($A$1,$B80,AW$5,$B$1)</f>
        <v>0</v>
      </c>
      <c r="AX80" s="55">
        <f>_xll.EQNXTDZ($A$1,$B80,AX$5,$B$1)</f>
        <v>1293.5999999999999</v>
      </c>
      <c r="AY80" s="55">
        <f>_xll.EQNXTDZ($A$1,$B80,AY$5,$B$1)</f>
        <v>0</v>
      </c>
      <c r="AZ80" s="55">
        <f>_xll.EQNXTDZ($A$1,$B80,AZ$5,$B$1)</f>
        <v>1546.8</v>
      </c>
      <c r="BA80" s="55">
        <f>_xll.EQNXTDZ($A$1,$B80,BA$5,$B$1)</f>
        <v>0</v>
      </c>
      <c r="BB80" s="55">
        <f>_xll.EQNXTDZ($A$1,$B80,BB$5,$B$1)</f>
        <v>960.3</v>
      </c>
      <c r="BC80" s="55">
        <f>_xll.EQNXTDZ($A$1,$B80,BC$5,$B$1)</f>
        <v>0</v>
      </c>
      <c r="BD80" s="55">
        <f>_xll.EQNXTDZ($A$1,$B80,BD$5,$B$1)</f>
        <v>843.9</v>
      </c>
      <c r="BE80" s="55">
        <f>_xll.EQNXTDZ($A$1,$B80,BE$5,$B$1)</f>
        <v>0</v>
      </c>
      <c r="BF80" s="55">
        <f>_xll.EQNXTDZ($A$1,$B80,BF$5,$B$1)</f>
        <v>1428.6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1.6</v>
      </c>
      <c r="AU81" s="55">
        <f>_xll.EQNXTDZ($A$1,$B81,AU$5,$B$1)</f>
        <v>0</v>
      </c>
      <c r="AV81" s="55">
        <f>_xll.EQNXTDZ($A$1,$B81,AV$5,$B$1)</f>
        <v>2.4</v>
      </c>
      <c r="AW81" s="55">
        <f>_xll.EQNXTDZ($A$1,$B81,AW$5,$B$1)</f>
        <v>0</v>
      </c>
      <c r="AX81" s="55">
        <f>_xll.EQNXTDZ($A$1,$B81,AX$5,$B$1)</f>
        <v>3.3</v>
      </c>
      <c r="AY81" s="55">
        <f>_xll.EQNXTDZ($A$1,$B81,AY$5,$B$1)</f>
        <v>0</v>
      </c>
      <c r="AZ81" s="55">
        <f>_xll.EQNXTDZ($A$1,$B81,AZ$5,$B$1)</f>
        <v>6.5</v>
      </c>
      <c r="BA81" s="55">
        <f>_xll.EQNXTDZ($A$1,$B81,BA$5,$B$1)</f>
        <v>0</v>
      </c>
      <c r="BB81" s="55">
        <f>_xll.EQNXTDZ($A$1,$B81,BB$5,$B$1)</f>
        <v>3.9</v>
      </c>
      <c r="BC81" s="55">
        <f>_xll.EQNXTDZ($A$1,$B81,BC$5,$B$1)</f>
        <v>0</v>
      </c>
      <c r="BD81" s="55">
        <f>_xll.EQNXTDZ($A$1,$B81,BD$5,$B$1)</f>
        <v>9.4</v>
      </c>
      <c r="BE81" s="55">
        <f>_xll.EQNXTDZ($A$1,$B81,BE$5,$B$1)</f>
        <v>0</v>
      </c>
      <c r="BF81" s="55">
        <f>_xll.EQNXTDZ($A$1,$B81,BF$5,$B$1)</f>
        <v>5.8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725.9</v>
      </c>
      <c r="S82" s="55">
        <f>_xll.EQNXTDZ($A$1,$B82,S$5,$B$1)</f>
        <v>0</v>
      </c>
      <c r="T82" s="55">
        <f>_xll.EQNXTDZ($A$1,$B82,T$5,$B$1)</f>
        <v>696</v>
      </c>
      <c r="U82" s="55">
        <f>_xll.EQNXTDZ($A$1,$B82,U$5,$B$1)</f>
        <v>0</v>
      </c>
      <c r="V82" s="55">
        <f>_xll.EQNXTDZ($A$1,$B82,V$5,$B$1)</f>
        <v>710.6</v>
      </c>
      <c r="W82" s="55">
        <f>_xll.EQNXTDZ($A$1,$B82,W$5,$B$1)</f>
        <v>0</v>
      </c>
      <c r="X82" s="55">
        <f>_xll.EQNXTDZ($A$1,$B82,X$5,$B$1)</f>
        <v>805.8</v>
      </c>
      <c r="Y82" s="55">
        <f>_xll.EQNXTDZ($A$1,$B82,Y$5,$B$1)</f>
        <v>0</v>
      </c>
      <c r="Z82" s="55">
        <f>_xll.EQNXTDZ($A$1,$B82,Z$5,$B$1)</f>
        <v>962.3</v>
      </c>
      <c r="AA82" s="55">
        <f>_xll.EQNXTDZ($A$1,$B82,AA$5,$B$1)</f>
        <v>0</v>
      </c>
      <c r="AB82" s="55">
        <f>_xll.EQNXTDZ($A$1,$B82,AB$5,$B$1)</f>
        <v>1125.5999999999999</v>
      </c>
      <c r="AC82" s="55">
        <f>_xll.EQNXTDZ($A$1,$B82,AC$5,$B$1)</f>
        <v>0</v>
      </c>
      <c r="AD82" s="55">
        <f>_xll.EQNXTDZ($A$1,$B82,AD$5,$B$1)</f>
        <v>1064.3</v>
      </c>
      <c r="AE82" s="55">
        <f>_xll.EQNXTDZ($A$1,$B82,AE$5,$B$1)</f>
        <v>0</v>
      </c>
      <c r="AF82" s="55">
        <f>_xll.EQNXTDZ($A$1,$B82,AF$5,$B$1)</f>
        <v>1135.5</v>
      </c>
      <c r="AG82" s="55">
        <f>_xll.EQNXTDZ($A$1,$B82,AG$5,$B$1)</f>
        <v>0</v>
      </c>
      <c r="AH82" s="55">
        <f>_xll.EQNXTDZ($A$1,$B82,AH$5,$B$1)</f>
        <v>1380.7</v>
      </c>
      <c r="AI82" s="55">
        <f>_xll.EQNXTDZ($A$1,$B82,AI$5,$B$1)</f>
        <v>0</v>
      </c>
      <c r="AJ82" s="55">
        <f>_xll.EQNXTDZ($A$1,$B82,AJ$5,$B$1)</f>
        <v>1186.3</v>
      </c>
      <c r="AK82" s="55">
        <f>_xll.EQNXTDZ($A$1,$B82,AK$5,$B$1)</f>
        <v>0</v>
      </c>
      <c r="AL82" s="55">
        <f>_xll.EQNXTDZ($A$1,$B82,AL$5,$B$1)</f>
        <v>1234.5999999999999</v>
      </c>
      <c r="AM82" s="55">
        <f>_xll.EQNXTDZ($A$1,$B82,AM$5,$B$1)</f>
        <v>0</v>
      </c>
      <c r="AN82" s="55">
        <f>_xll.EQNXTDZ($A$1,$B82,AN$5,$B$1)</f>
        <v>1489.5</v>
      </c>
      <c r="AO82" s="55">
        <f>_xll.EQNXTDZ($A$1,$B82,AO$5,$B$1)</f>
        <v>0</v>
      </c>
      <c r="AP82" s="55">
        <f>_xll.EQNXTDZ($A$1,$B82,AP$5,$B$1)</f>
        <v>1695.9</v>
      </c>
      <c r="AQ82" s="55">
        <f>_xll.EQNXTDZ($A$1,$B82,AQ$5,$B$1)</f>
        <v>0</v>
      </c>
      <c r="AR82" s="55">
        <f>_xll.EQNXTDZ($A$1,$B82,AR$5,$B$1)</f>
        <v>1656.4</v>
      </c>
      <c r="AS82" s="55">
        <f>_xll.EQNXTDZ($A$1,$B82,AS$5,$B$1)</f>
        <v>0</v>
      </c>
      <c r="AT82" s="55">
        <f>_xll.EQNXTDZ($A$1,$B82,AT$5,$B$1)</f>
        <v>2151.6999999999998</v>
      </c>
      <c r="AU82" s="55">
        <f>_xll.EQNXTDZ($A$1,$B82,AU$5,$B$1)</f>
        <v>0</v>
      </c>
      <c r="AV82" s="55">
        <f>_xll.EQNXTDZ($A$1,$B82,AV$5,$B$1)</f>
        <v>2728.5</v>
      </c>
      <c r="AW82" s="55">
        <f>_xll.EQNXTDZ($A$1,$B82,AW$5,$B$1)</f>
        <v>0</v>
      </c>
      <c r="AX82" s="55">
        <f>_xll.EQNXTDZ($A$1,$B82,AX$5,$B$1)</f>
        <v>2180.3000000000002</v>
      </c>
      <c r="AY82" s="55">
        <f>_xll.EQNXTDZ($A$1,$B82,AY$5,$B$1)</f>
        <v>0</v>
      </c>
      <c r="AZ82" s="55">
        <f>_xll.EQNXTDZ($A$1,$B82,AZ$5,$B$1)</f>
        <v>2308.9</v>
      </c>
      <c r="BA82" s="55">
        <f>_xll.EQNXTDZ($A$1,$B82,BA$5,$B$1)</f>
        <v>0</v>
      </c>
      <c r="BB82" s="55">
        <f>_xll.EQNXTDZ($A$1,$B82,BB$5,$B$1)</f>
        <v>2512.6</v>
      </c>
      <c r="BC82" s="55">
        <f>_xll.EQNXTDZ($A$1,$B82,BC$5,$B$1)</f>
        <v>0</v>
      </c>
      <c r="BD82" s="55">
        <f>_xll.EQNXTDZ($A$1,$B82,BD$5,$B$1)</f>
        <v>2645.7</v>
      </c>
      <c r="BE82" s="55">
        <f>_xll.EQNXTDZ($A$1,$B82,BE$5,$B$1)</f>
        <v>0</v>
      </c>
      <c r="BF82" s="55">
        <f>_xll.EQNXTDZ($A$1,$B82,BF$5,$B$1)</f>
        <v>2014.6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83.4</v>
      </c>
      <c r="S83" s="55">
        <f>_xll.EQNXTDZ($A$1,$B83,S$5,$B$1)</f>
        <v>0</v>
      </c>
      <c r="T83" s="55">
        <f>_xll.EQNXTDZ($A$1,$B83,T$5,$B$1)</f>
        <v>100.7</v>
      </c>
      <c r="U83" s="55">
        <f>_xll.EQNXTDZ($A$1,$B83,U$5,$B$1)</f>
        <v>0</v>
      </c>
      <c r="V83" s="55">
        <f>_xll.EQNXTDZ($A$1,$B83,V$5,$B$1)</f>
        <v>67.2</v>
      </c>
      <c r="W83" s="55">
        <f>_xll.EQNXTDZ($A$1,$B83,W$5,$B$1)</f>
        <v>0</v>
      </c>
      <c r="X83" s="55">
        <f>_xll.EQNXTDZ($A$1,$B83,X$5,$B$1)</f>
        <v>127.7</v>
      </c>
      <c r="Y83" s="55">
        <f>_xll.EQNXTDZ($A$1,$B83,Y$5,$B$1)</f>
        <v>0</v>
      </c>
      <c r="Z83" s="55">
        <f>_xll.EQNXTDZ($A$1,$B83,Z$5,$B$1)</f>
        <v>154.19999999999999</v>
      </c>
      <c r="AA83" s="55">
        <f>_xll.EQNXTDZ($A$1,$B83,AA$5,$B$1)</f>
        <v>0</v>
      </c>
      <c r="AB83" s="55">
        <f>_xll.EQNXTDZ($A$1,$B83,AB$5,$B$1)</f>
        <v>173.5</v>
      </c>
      <c r="AC83" s="55">
        <f>_xll.EQNXTDZ($A$1,$B83,AC$5,$B$1)</f>
        <v>0</v>
      </c>
      <c r="AD83" s="55">
        <f>_xll.EQNXTDZ($A$1,$B83,AD$5,$B$1)</f>
        <v>205.1</v>
      </c>
      <c r="AE83" s="55">
        <f>_xll.EQNXTDZ($A$1,$B83,AE$5,$B$1)</f>
        <v>0</v>
      </c>
      <c r="AF83" s="55">
        <f>_xll.EQNXTDZ($A$1,$B83,AF$5,$B$1)</f>
        <v>148.80000000000001</v>
      </c>
      <c r="AG83" s="55">
        <f>_xll.EQNXTDZ($A$1,$B83,AG$5,$B$1)</f>
        <v>0</v>
      </c>
      <c r="AH83" s="55">
        <f>_xll.EQNXTDZ($A$1,$B83,AH$5,$B$1)</f>
        <v>243.9</v>
      </c>
      <c r="AI83" s="55">
        <f>_xll.EQNXTDZ($A$1,$B83,AI$5,$B$1)</f>
        <v>0</v>
      </c>
      <c r="AJ83" s="55">
        <f>_xll.EQNXTDZ($A$1,$B83,AJ$5,$B$1)</f>
        <v>277.3</v>
      </c>
      <c r="AK83" s="55">
        <f>_xll.EQNXTDZ($A$1,$B83,AK$5,$B$1)</f>
        <v>0</v>
      </c>
      <c r="AL83" s="55">
        <f>_xll.EQNXTDZ($A$1,$B83,AL$5,$B$1)</f>
        <v>232.7</v>
      </c>
      <c r="AM83" s="55">
        <f>_xll.EQNXTDZ($A$1,$B83,AM$5,$B$1)</f>
        <v>0</v>
      </c>
      <c r="AN83" s="55">
        <f>_xll.EQNXTDZ($A$1,$B83,AN$5,$B$1)</f>
        <v>771.1</v>
      </c>
      <c r="AO83" s="55">
        <f>_xll.EQNXTDZ($A$1,$B83,AO$5,$B$1)</f>
        <v>0</v>
      </c>
      <c r="AP83" s="55">
        <f>_xll.EQNXTDZ($A$1,$B83,AP$5,$B$1)</f>
        <v>674.2</v>
      </c>
      <c r="AQ83" s="55">
        <f>_xll.EQNXTDZ($A$1,$B83,AQ$5,$B$1)</f>
        <v>0</v>
      </c>
      <c r="AR83" s="55">
        <f>_xll.EQNXTDZ($A$1,$B83,AR$5,$B$1)</f>
        <v>641.20000000000005</v>
      </c>
      <c r="AS83" s="55">
        <f>_xll.EQNXTDZ($A$1,$B83,AS$5,$B$1)</f>
        <v>0</v>
      </c>
      <c r="AT83" s="55">
        <f>_xll.EQNXTDZ($A$1,$B83,AT$5,$B$1)</f>
        <v>689.9</v>
      </c>
      <c r="AU83" s="55">
        <f>_xll.EQNXTDZ($A$1,$B83,AU$5,$B$1)</f>
        <v>0</v>
      </c>
      <c r="AV83" s="55">
        <f>_xll.EQNXTDZ($A$1,$B83,AV$5,$B$1)</f>
        <v>948.8</v>
      </c>
      <c r="AW83" s="55">
        <f>_xll.EQNXTDZ($A$1,$B83,AW$5,$B$1)</f>
        <v>0</v>
      </c>
      <c r="AX83" s="55">
        <f>_xll.EQNXTDZ($A$1,$B83,AX$5,$B$1)</f>
        <v>1390.5</v>
      </c>
      <c r="AY83" s="55">
        <f>_xll.EQNXTDZ($A$1,$B83,AY$5,$B$1)</f>
        <v>0</v>
      </c>
      <c r="AZ83" s="55">
        <f>_xll.EQNXTDZ($A$1,$B83,AZ$5,$B$1)</f>
        <v>1119.3</v>
      </c>
      <c r="BA83" s="55">
        <f>_xll.EQNXTDZ($A$1,$B83,BA$5,$B$1)</f>
        <v>0</v>
      </c>
      <c r="BB83" s="55">
        <f>_xll.EQNXTDZ($A$1,$B83,BB$5,$B$1)</f>
        <v>1565.8</v>
      </c>
      <c r="BC83" s="55">
        <f>_xll.EQNXTDZ($A$1,$B83,BC$5,$B$1)</f>
        <v>0</v>
      </c>
      <c r="BD83" s="55">
        <f>_xll.EQNXTDZ($A$1,$B83,BD$5,$B$1)</f>
        <v>1491.8</v>
      </c>
      <c r="BE83" s="55">
        <f>_xll.EQNXTDZ($A$1,$B83,BE$5,$B$1)</f>
        <v>0</v>
      </c>
      <c r="BF83" s="55">
        <f>_xll.EQNXTDZ($A$1,$B83,BF$5,$B$1)</f>
        <v>1650.5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300.10000000000002</v>
      </c>
      <c r="S84" s="55">
        <f>_xll.EQNXTDZ($A$1,$B84,S$5,$B$1)</f>
        <v>0</v>
      </c>
      <c r="T84" s="55">
        <f>_xll.EQNXTDZ($A$1,$B84,T$5,$B$1)</f>
        <v>334.6</v>
      </c>
      <c r="U84" s="55">
        <f>_xll.EQNXTDZ($A$1,$B84,U$5,$B$1)</f>
        <v>0</v>
      </c>
      <c r="V84" s="55">
        <f>_xll.EQNXTDZ($A$1,$B84,V$5,$B$1)</f>
        <v>467.4</v>
      </c>
      <c r="W84" s="55">
        <f>_xll.EQNXTDZ($A$1,$B84,W$5,$B$1)</f>
        <v>0</v>
      </c>
      <c r="X84" s="55">
        <f>_xll.EQNXTDZ($A$1,$B84,X$5,$B$1)</f>
        <v>489.6</v>
      </c>
      <c r="Y84" s="55">
        <f>_xll.EQNXTDZ($A$1,$B84,Y$5,$B$1)</f>
        <v>0</v>
      </c>
      <c r="Z84" s="55">
        <f>_xll.EQNXTDZ($A$1,$B84,Z$5,$B$1)</f>
        <v>523.4</v>
      </c>
      <c r="AA84" s="55">
        <f>_xll.EQNXTDZ($A$1,$B84,AA$5,$B$1)</f>
        <v>0</v>
      </c>
      <c r="AB84" s="55">
        <f>_xll.EQNXTDZ($A$1,$B84,AB$5,$B$1)</f>
        <v>523.9</v>
      </c>
      <c r="AC84" s="55">
        <f>_xll.EQNXTDZ($A$1,$B84,AC$5,$B$1)</f>
        <v>0</v>
      </c>
      <c r="AD84" s="55">
        <f>_xll.EQNXTDZ($A$1,$B84,AD$5,$B$1)</f>
        <v>527.70000000000005</v>
      </c>
      <c r="AE84" s="55">
        <f>_xll.EQNXTDZ($A$1,$B84,AE$5,$B$1)</f>
        <v>0</v>
      </c>
      <c r="AF84" s="55">
        <f>_xll.EQNXTDZ($A$1,$B84,AF$5,$B$1)</f>
        <v>713.4</v>
      </c>
      <c r="AG84" s="55">
        <f>_xll.EQNXTDZ($A$1,$B84,AG$5,$B$1)</f>
        <v>0</v>
      </c>
      <c r="AH84" s="55">
        <f>_xll.EQNXTDZ($A$1,$B84,AH$5,$B$1)</f>
        <v>674.5</v>
      </c>
      <c r="AI84" s="55">
        <f>_xll.EQNXTDZ($A$1,$B84,AI$5,$B$1)</f>
        <v>0</v>
      </c>
      <c r="AJ84" s="55">
        <f>_xll.EQNXTDZ($A$1,$B84,AJ$5,$B$1)</f>
        <v>549.1</v>
      </c>
      <c r="AK84" s="55">
        <f>_xll.EQNXTDZ($A$1,$B84,AK$5,$B$1)</f>
        <v>0</v>
      </c>
      <c r="AL84" s="55">
        <f>_xll.EQNXTDZ($A$1,$B84,AL$5,$B$1)</f>
        <v>520.4</v>
      </c>
      <c r="AM84" s="55">
        <f>_xll.EQNXTDZ($A$1,$B84,AM$5,$B$1)</f>
        <v>0</v>
      </c>
      <c r="AN84" s="55">
        <f>_xll.EQNXTDZ($A$1,$B84,AN$5,$B$1)</f>
        <v>510.1</v>
      </c>
      <c r="AO84" s="55">
        <f>_xll.EQNXTDZ($A$1,$B84,AO$5,$B$1)</f>
        <v>0</v>
      </c>
      <c r="AP84" s="55">
        <f>_xll.EQNXTDZ($A$1,$B84,AP$5,$B$1)</f>
        <v>563.20000000000005</v>
      </c>
      <c r="AQ84" s="55">
        <f>_xll.EQNXTDZ($A$1,$B84,AQ$5,$B$1)</f>
        <v>0</v>
      </c>
      <c r="AR84" s="55">
        <f>_xll.EQNXTDZ($A$1,$B84,AR$5,$B$1)</f>
        <v>653.6</v>
      </c>
      <c r="AS84" s="55">
        <f>_xll.EQNXTDZ($A$1,$B84,AS$5,$B$1)</f>
        <v>0</v>
      </c>
      <c r="AT84" s="55">
        <f>_xll.EQNXTDZ($A$1,$B84,AT$5,$B$1)</f>
        <v>1424.9</v>
      </c>
      <c r="AU84" s="55">
        <f>_xll.EQNXTDZ($A$1,$B84,AU$5,$B$1)</f>
        <v>0</v>
      </c>
      <c r="AV84" s="55">
        <f>_xll.EQNXTDZ($A$1,$B84,AV$5,$B$1)</f>
        <v>852.3</v>
      </c>
      <c r="AW84" s="55">
        <f>_xll.EQNXTDZ($A$1,$B84,AW$5,$B$1)</f>
        <v>0</v>
      </c>
      <c r="AX84" s="55">
        <f>_xll.EQNXTDZ($A$1,$B84,AX$5,$B$1)</f>
        <v>1362.6</v>
      </c>
      <c r="AY84" s="55">
        <f>_xll.EQNXTDZ($A$1,$B84,AY$5,$B$1)</f>
        <v>0</v>
      </c>
      <c r="AZ84" s="55">
        <f>_xll.EQNXTDZ($A$1,$B84,AZ$5,$B$1)</f>
        <v>1474.2</v>
      </c>
      <c r="BA84" s="55">
        <f>_xll.EQNXTDZ($A$1,$B84,BA$5,$B$1)</f>
        <v>0</v>
      </c>
      <c r="BB84" s="55">
        <f>_xll.EQNXTDZ($A$1,$B84,BB$5,$B$1)</f>
        <v>1421.5</v>
      </c>
      <c r="BC84" s="55">
        <f>_xll.EQNXTDZ($A$1,$B84,BC$5,$B$1)</f>
        <v>0</v>
      </c>
      <c r="BD84" s="55">
        <f>_xll.EQNXTDZ($A$1,$B84,BD$5,$B$1)</f>
        <v>1611.6</v>
      </c>
      <c r="BE84" s="55">
        <f>_xll.EQNXTDZ($A$1,$B84,BE$5,$B$1)</f>
        <v>0</v>
      </c>
      <c r="BF84" s="55">
        <f>_xll.EQNXTDZ($A$1,$B84,BF$5,$B$1)</f>
        <v>1279.8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4.5</v>
      </c>
      <c r="U85" s="55">
        <f>_xll.EQNXTDZ($A$1,$B85,U$5,$B$1)</f>
        <v>0</v>
      </c>
      <c r="V85" s="55">
        <f>_xll.EQNXTDZ($A$1,$B85,V$5,$B$1)</f>
        <v>0.1</v>
      </c>
      <c r="W85" s="55">
        <f>_xll.EQNXTDZ($A$1,$B85,W$5,$B$1)</f>
        <v>0</v>
      </c>
      <c r="X85" s="55">
        <f>_xll.EQNXTDZ($A$1,$B85,X$5,$B$1)</f>
        <v>0.1</v>
      </c>
      <c r="Y85" s="55">
        <f>_xll.EQNXTDZ($A$1,$B85,Y$5,$B$1)</f>
        <v>0</v>
      </c>
      <c r="Z85" s="55">
        <f>_xll.EQNXTDZ($A$1,$B85,Z$5,$B$1)</f>
        <v>0.1</v>
      </c>
      <c r="AA85" s="55">
        <f>_xll.EQNXTDZ($A$1,$B85,AA$5,$B$1)</f>
        <v>0</v>
      </c>
      <c r="AB85" s="55">
        <f>_xll.EQNXTDZ($A$1,$B85,AB$5,$B$1)</f>
        <v>0.1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262.8</v>
      </c>
      <c r="AG85" s="55">
        <f>_xll.EQNXTDZ($A$1,$B85,AG$5,$B$1)</f>
        <v>0</v>
      </c>
      <c r="AH85" s="55">
        <f>_xll.EQNXTDZ($A$1,$B85,AH$5,$B$1)</f>
        <v>0.1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1164.9000000000001</v>
      </c>
      <c r="S86" s="55">
        <f>_xll.EQNXTDZ($A$1,$B86,S$5,$B$1)</f>
        <v>0</v>
      </c>
      <c r="T86" s="55">
        <f>_xll.EQNXTDZ($A$1,$B86,T$5,$B$1)</f>
        <v>1239.2</v>
      </c>
      <c r="U86" s="55">
        <f>_xll.EQNXTDZ($A$1,$B86,U$5,$B$1)</f>
        <v>0</v>
      </c>
      <c r="V86" s="55">
        <f>_xll.EQNXTDZ($A$1,$B86,V$5,$B$1)</f>
        <v>1439.9</v>
      </c>
      <c r="W86" s="55">
        <f>_xll.EQNXTDZ($A$1,$B86,W$5,$B$1)</f>
        <v>0</v>
      </c>
      <c r="X86" s="55">
        <f>_xll.EQNXTDZ($A$1,$B86,X$5,$B$1)</f>
        <v>1540.1</v>
      </c>
      <c r="Y86" s="55">
        <f>_xll.EQNXTDZ($A$1,$B86,Y$5,$B$1)</f>
        <v>0</v>
      </c>
      <c r="Z86" s="55">
        <f>_xll.EQNXTDZ($A$1,$B86,Z$5,$B$1)</f>
        <v>1860.7</v>
      </c>
      <c r="AA86" s="55">
        <f>_xll.EQNXTDZ($A$1,$B86,AA$5,$B$1)</f>
        <v>0</v>
      </c>
      <c r="AB86" s="55">
        <f>_xll.EQNXTDZ($A$1,$B86,AB$5,$B$1)</f>
        <v>2089</v>
      </c>
      <c r="AC86" s="55">
        <f>_xll.EQNXTDZ($A$1,$B86,AC$5,$B$1)</f>
        <v>0</v>
      </c>
      <c r="AD86" s="55">
        <f>_xll.EQNXTDZ($A$1,$B86,AD$5,$B$1)</f>
        <v>2372</v>
      </c>
      <c r="AE86" s="55">
        <f>_xll.EQNXTDZ($A$1,$B86,AE$5,$B$1)</f>
        <v>0</v>
      </c>
      <c r="AF86" s="55">
        <f>_xll.EQNXTDZ($A$1,$B86,AF$5,$B$1)</f>
        <v>2564.9</v>
      </c>
      <c r="AG86" s="55">
        <f>_xll.EQNXTDZ($A$1,$B86,AG$5,$B$1)</f>
        <v>0</v>
      </c>
      <c r="AH86" s="55">
        <f>_xll.EQNXTDZ($A$1,$B86,AH$5,$B$1)</f>
        <v>2910.2</v>
      </c>
      <c r="AI86" s="55">
        <f>_xll.EQNXTDZ($A$1,$B86,AI$5,$B$1)</f>
        <v>0</v>
      </c>
      <c r="AJ86" s="55">
        <f>_xll.EQNXTDZ($A$1,$B86,AJ$5,$B$1)</f>
        <v>3036.4</v>
      </c>
      <c r="AK86" s="55">
        <f>_xll.EQNXTDZ($A$1,$B86,AK$5,$B$1)</f>
        <v>0</v>
      </c>
      <c r="AL86" s="55">
        <f>_xll.EQNXTDZ($A$1,$B86,AL$5,$B$1)</f>
        <v>3502.6</v>
      </c>
      <c r="AM86" s="55">
        <f>_xll.EQNXTDZ($A$1,$B86,AM$5,$B$1)</f>
        <v>0</v>
      </c>
      <c r="AN86" s="55">
        <f>_xll.EQNXTDZ($A$1,$B86,AN$5,$B$1)</f>
        <v>3957.9</v>
      </c>
      <c r="AO86" s="55">
        <f>_xll.EQNXTDZ($A$1,$B86,AO$5,$B$1)</f>
        <v>0</v>
      </c>
      <c r="AP86" s="55">
        <f>_xll.EQNXTDZ($A$1,$B86,AP$5,$B$1)</f>
        <v>4325.1000000000004</v>
      </c>
      <c r="AQ86" s="55">
        <f>_xll.EQNXTDZ($A$1,$B86,AQ$5,$B$1)</f>
        <v>0</v>
      </c>
      <c r="AR86" s="55">
        <f>_xll.EQNXTDZ($A$1,$B86,AR$5,$B$1)</f>
        <v>4614.5</v>
      </c>
      <c r="AS86" s="55">
        <f>_xll.EQNXTDZ($A$1,$B86,AS$5,$B$1)</f>
        <v>0</v>
      </c>
      <c r="AT86" s="55">
        <f>_xll.EQNXTDZ($A$1,$B86,AT$5,$B$1)</f>
        <v>6376.9</v>
      </c>
      <c r="AU86" s="55">
        <f>_xll.EQNXTDZ($A$1,$B86,AU$5,$B$1)</f>
        <v>0</v>
      </c>
      <c r="AV86" s="55">
        <f>_xll.EQNXTDZ($A$1,$B86,AV$5,$B$1)</f>
        <v>5692.7</v>
      </c>
      <c r="AW86" s="55">
        <f>_xll.EQNXTDZ($A$1,$B86,AW$5,$B$1)</f>
        <v>0</v>
      </c>
      <c r="AX86" s="55">
        <f>_xll.EQNXTDZ($A$1,$B86,AX$5,$B$1)</f>
        <v>6230.3</v>
      </c>
      <c r="AY86" s="55">
        <f>_xll.EQNXTDZ($A$1,$B86,AY$5,$B$1)</f>
        <v>0</v>
      </c>
      <c r="AZ86" s="55">
        <f>_xll.EQNXTDZ($A$1,$B86,AZ$5,$B$1)</f>
        <v>6455.7</v>
      </c>
      <c r="BA86" s="55">
        <f>_xll.EQNXTDZ($A$1,$B86,BA$5,$B$1)</f>
        <v>0</v>
      </c>
      <c r="BB86" s="55">
        <f>_xll.EQNXTDZ($A$1,$B86,BB$5,$B$1)</f>
        <v>6464.1</v>
      </c>
      <c r="BC86" s="55">
        <f>_xll.EQNXTDZ($A$1,$B86,BC$5,$B$1)</f>
        <v>0</v>
      </c>
      <c r="BD86" s="55">
        <f>_xll.EQNXTDZ($A$1,$B86,BD$5,$B$1)</f>
        <v>6602.4</v>
      </c>
      <c r="BE86" s="55">
        <f>_xll.EQNXTDZ($A$1,$B86,BE$5,$B$1)</f>
        <v>0</v>
      </c>
      <c r="BF86" s="55">
        <f>_xll.EQNXTDZ($A$1,$B86,BF$5,$B$1)</f>
        <v>6379.3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195.5</v>
      </c>
      <c r="S88" s="55">
        <f>_xll.EQNXTDZ($A$1,$B88,S$5,$B$1)</f>
        <v>0</v>
      </c>
      <c r="T88" s="55">
        <f>_xll.EQNXTDZ($A$1,$B88,T$5,$B$1)</f>
        <v>158</v>
      </c>
      <c r="U88" s="55">
        <f>_xll.EQNXTDZ($A$1,$B88,U$5,$B$1)</f>
        <v>0</v>
      </c>
      <c r="V88" s="55">
        <f>_xll.EQNXTDZ($A$1,$B88,V$5,$B$1)</f>
        <v>101.9</v>
      </c>
      <c r="W88" s="55">
        <f>_xll.EQNXTDZ($A$1,$B88,W$5,$B$1)</f>
        <v>0</v>
      </c>
      <c r="X88" s="55">
        <f>_xll.EQNXTDZ($A$1,$B88,X$5,$B$1)</f>
        <v>129.30000000000001</v>
      </c>
      <c r="Y88" s="55">
        <f>_xll.EQNXTDZ($A$1,$B88,Y$5,$B$1)</f>
        <v>0</v>
      </c>
      <c r="Z88" s="55">
        <f>_xll.EQNXTDZ($A$1,$B88,Z$5,$B$1)</f>
        <v>70.2</v>
      </c>
      <c r="AA88" s="55">
        <f>_xll.EQNXTDZ($A$1,$B88,AA$5,$B$1)</f>
        <v>0</v>
      </c>
      <c r="AB88" s="55">
        <f>_xll.EQNXTDZ($A$1,$B88,AB$5,$B$1)</f>
        <v>59.5</v>
      </c>
      <c r="AC88" s="55">
        <f>_xll.EQNXTDZ($A$1,$B88,AC$5,$B$1)</f>
        <v>0</v>
      </c>
      <c r="AD88" s="55">
        <f>_xll.EQNXTDZ($A$1,$B88,AD$5,$B$1)</f>
        <v>70.2</v>
      </c>
      <c r="AE88" s="55">
        <f>_xll.EQNXTDZ($A$1,$B88,AE$5,$B$1)</f>
        <v>0</v>
      </c>
      <c r="AF88" s="55">
        <f>_xll.EQNXTDZ($A$1,$B88,AF$5,$B$1)</f>
        <v>28.4</v>
      </c>
      <c r="AG88" s="55">
        <f>_xll.EQNXTDZ($A$1,$B88,AG$5,$B$1)</f>
        <v>0</v>
      </c>
      <c r="AH88" s="55">
        <f>_xll.EQNXTDZ($A$1,$B88,AH$5,$B$1)</f>
        <v>30.3</v>
      </c>
      <c r="AI88" s="55">
        <f>_xll.EQNXTDZ($A$1,$B88,AI$5,$B$1)</f>
        <v>0</v>
      </c>
      <c r="AJ88" s="55">
        <f>_xll.EQNXTDZ($A$1,$B88,AJ$5,$B$1)</f>
        <v>29.5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213.8</v>
      </c>
      <c r="S89" s="55">
        <f>_xll.EQNXTDZ($A$1,$B89,S$5,$B$1)</f>
        <v>0</v>
      </c>
      <c r="T89" s="55">
        <f>_xll.EQNXTDZ($A$1,$B89,T$5,$B$1)</f>
        <v>176.1</v>
      </c>
      <c r="U89" s="55">
        <f>_xll.EQNXTDZ($A$1,$B89,U$5,$B$1)</f>
        <v>0</v>
      </c>
      <c r="V89" s="55">
        <f>_xll.EQNXTDZ($A$1,$B89,V$5,$B$1)</f>
        <v>148.9</v>
      </c>
      <c r="W89" s="55">
        <f>_xll.EQNXTDZ($A$1,$B89,W$5,$B$1)</f>
        <v>0</v>
      </c>
      <c r="X89" s="55">
        <f>_xll.EQNXTDZ($A$1,$B89,X$5,$B$1)</f>
        <v>182.9</v>
      </c>
      <c r="Y89" s="55">
        <f>_xll.EQNXTDZ($A$1,$B89,Y$5,$B$1)</f>
        <v>0</v>
      </c>
      <c r="Z89" s="55">
        <f>_xll.EQNXTDZ($A$1,$B89,Z$5,$B$1)</f>
        <v>180.7</v>
      </c>
      <c r="AA89" s="55">
        <f>_xll.EQNXTDZ($A$1,$B89,AA$5,$B$1)</f>
        <v>0</v>
      </c>
      <c r="AB89" s="55">
        <f>_xll.EQNXTDZ($A$1,$B89,AB$5,$B$1)</f>
        <v>205.8</v>
      </c>
      <c r="AC89" s="55">
        <f>_xll.EQNXTDZ($A$1,$B89,AC$5,$B$1)</f>
        <v>0</v>
      </c>
      <c r="AD89" s="55">
        <f>_xll.EQNXTDZ($A$1,$B89,AD$5,$B$1)</f>
        <v>187.9</v>
      </c>
      <c r="AE89" s="55">
        <f>_xll.EQNXTDZ($A$1,$B89,AE$5,$B$1)</f>
        <v>0</v>
      </c>
      <c r="AF89" s="55">
        <f>_xll.EQNXTDZ($A$1,$B89,AF$5,$B$1)</f>
        <v>190.9</v>
      </c>
      <c r="AG89" s="55">
        <f>_xll.EQNXTDZ($A$1,$B89,AG$5,$B$1)</f>
        <v>0</v>
      </c>
      <c r="AH89" s="55">
        <f>_xll.EQNXTDZ($A$1,$B89,AH$5,$B$1)</f>
        <v>197.5</v>
      </c>
      <c r="AI89" s="55">
        <f>_xll.EQNXTDZ($A$1,$B89,AI$5,$B$1)</f>
        <v>0</v>
      </c>
      <c r="AJ89" s="55">
        <f>_xll.EQNXTDZ($A$1,$B89,AJ$5,$B$1)</f>
        <v>153.69999999999999</v>
      </c>
      <c r="AK89" s="55">
        <f>_xll.EQNXTDZ($A$1,$B89,AK$5,$B$1)</f>
        <v>0</v>
      </c>
      <c r="AL89" s="55">
        <f>_xll.EQNXTDZ($A$1,$B89,AL$5,$B$1)</f>
        <v>235.2</v>
      </c>
      <c r="AM89" s="55">
        <f>_xll.EQNXTDZ($A$1,$B89,AM$5,$B$1)</f>
        <v>0</v>
      </c>
      <c r="AN89" s="55">
        <f>_xll.EQNXTDZ($A$1,$B89,AN$5,$B$1)</f>
        <v>136.4</v>
      </c>
      <c r="AO89" s="55">
        <f>_xll.EQNXTDZ($A$1,$B89,AO$5,$B$1)</f>
        <v>0</v>
      </c>
      <c r="AP89" s="55">
        <f>_xll.EQNXTDZ($A$1,$B89,AP$5,$B$1)</f>
        <v>393.4</v>
      </c>
      <c r="AQ89" s="55">
        <f>_xll.EQNXTDZ($A$1,$B89,AQ$5,$B$1)</f>
        <v>0</v>
      </c>
      <c r="AR89" s="55">
        <f>_xll.EQNXTDZ($A$1,$B89,AR$5,$B$1)</f>
        <v>392.5</v>
      </c>
      <c r="AS89" s="55">
        <f>_xll.EQNXTDZ($A$1,$B89,AS$5,$B$1)</f>
        <v>0</v>
      </c>
      <c r="AT89" s="55">
        <f>_xll.EQNXTDZ($A$1,$B89,AT$5,$B$1)</f>
        <v>1236.9000000000001</v>
      </c>
      <c r="AU89" s="55">
        <f>_xll.EQNXTDZ($A$1,$B89,AU$5,$B$1)</f>
        <v>0</v>
      </c>
      <c r="AV89" s="55">
        <f>_xll.EQNXTDZ($A$1,$B89,AV$5,$B$1)</f>
        <v>1283.3</v>
      </c>
      <c r="AW89" s="55">
        <f>_xll.EQNXTDZ($A$1,$B89,AW$5,$B$1)</f>
        <v>0</v>
      </c>
      <c r="AX89" s="55">
        <f>_xll.EQNXTDZ($A$1,$B89,AX$5,$B$1)</f>
        <v>1411.7</v>
      </c>
      <c r="AY89" s="55">
        <f>_xll.EQNXTDZ($A$1,$B89,AY$5,$B$1)</f>
        <v>0</v>
      </c>
      <c r="AZ89" s="55">
        <f>_xll.EQNXTDZ($A$1,$B89,AZ$5,$B$1)</f>
        <v>1410.1</v>
      </c>
      <c r="BA89" s="55">
        <f>_xll.EQNXTDZ($A$1,$B89,BA$5,$B$1)</f>
        <v>0</v>
      </c>
      <c r="BB89" s="55">
        <f>_xll.EQNXTDZ($A$1,$B89,BB$5,$B$1)</f>
        <v>1622.3</v>
      </c>
      <c r="BC89" s="55">
        <f>_xll.EQNXTDZ($A$1,$B89,BC$5,$B$1)</f>
        <v>0</v>
      </c>
      <c r="BD89" s="55">
        <f>_xll.EQNXTDZ($A$1,$B89,BD$5,$B$1)</f>
        <v>1720.6</v>
      </c>
      <c r="BE89" s="55">
        <f>_xll.EQNXTDZ($A$1,$B89,BE$5,$B$1)</f>
        <v>0</v>
      </c>
      <c r="BF89" s="55">
        <f>_xll.EQNXTDZ($A$1,$B89,BF$5,$B$1)</f>
        <v>936.8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344.2</v>
      </c>
      <c r="S91" s="55">
        <f>_xll.EQNXTDZ($A$1,$B91,S$5,$B$1)</f>
        <v>0</v>
      </c>
      <c r="T91" s="55">
        <f>_xll.EQNXTDZ($A$1,$B91,T$5,$B$1)</f>
        <v>274.60000000000002</v>
      </c>
      <c r="U91" s="55">
        <f>_xll.EQNXTDZ($A$1,$B91,U$5,$B$1)</f>
        <v>0</v>
      </c>
      <c r="V91" s="55">
        <f>_xll.EQNXTDZ($A$1,$B91,V$5,$B$1)</f>
        <v>368.6</v>
      </c>
      <c r="W91" s="55">
        <f>_xll.EQNXTDZ($A$1,$B91,W$5,$B$1)</f>
        <v>0</v>
      </c>
      <c r="X91" s="55">
        <f>_xll.EQNXTDZ($A$1,$B91,X$5,$B$1)</f>
        <v>258.8</v>
      </c>
      <c r="Y91" s="55">
        <f>_xll.EQNXTDZ($A$1,$B91,Y$5,$B$1)</f>
        <v>0</v>
      </c>
      <c r="Z91" s="55">
        <f>_xll.EQNXTDZ($A$1,$B91,Z$5,$B$1)</f>
        <v>392.2</v>
      </c>
      <c r="AA91" s="55">
        <f>_xll.EQNXTDZ($A$1,$B91,AA$5,$B$1)</f>
        <v>0</v>
      </c>
      <c r="AB91" s="55">
        <f>_xll.EQNXTDZ($A$1,$B91,AB$5,$B$1)</f>
        <v>440.4</v>
      </c>
      <c r="AC91" s="55">
        <f>_xll.EQNXTDZ($A$1,$B91,AC$5,$B$1)</f>
        <v>0</v>
      </c>
      <c r="AD91" s="55">
        <f>_xll.EQNXTDZ($A$1,$B91,AD$5,$B$1)</f>
        <v>470.5</v>
      </c>
      <c r="AE91" s="55">
        <f>_xll.EQNXTDZ($A$1,$B91,AE$5,$B$1)</f>
        <v>0</v>
      </c>
      <c r="AF91" s="55">
        <f>_xll.EQNXTDZ($A$1,$B91,AF$5,$B$1)</f>
        <v>510.8</v>
      </c>
      <c r="AG91" s="55">
        <f>_xll.EQNXTDZ($A$1,$B91,AG$5,$B$1)</f>
        <v>0</v>
      </c>
      <c r="AH91" s="55">
        <f>_xll.EQNXTDZ($A$1,$B91,AH$5,$B$1)</f>
        <v>645.6</v>
      </c>
      <c r="AI91" s="55">
        <f>_xll.EQNXTDZ($A$1,$B91,AI$5,$B$1)</f>
        <v>0</v>
      </c>
      <c r="AJ91" s="55">
        <f>_xll.EQNXTDZ($A$1,$B91,AJ$5,$B$1)</f>
        <v>574</v>
      </c>
      <c r="AK91" s="55">
        <f>_xll.EQNXTDZ($A$1,$B91,AK$5,$B$1)</f>
        <v>0</v>
      </c>
      <c r="AL91" s="55">
        <f>_xll.EQNXTDZ($A$1,$B91,AL$5,$B$1)</f>
        <v>704.6</v>
      </c>
      <c r="AM91" s="55">
        <f>_xll.EQNXTDZ($A$1,$B91,AM$5,$B$1)</f>
        <v>0</v>
      </c>
      <c r="AN91" s="55">
        <f>_xll.EQNXTDZ($A$1,$B91,AN$5,$B$1)</f>
        <v>984.9</v>
      </c>
      <c r="AO91" s="55">
        <f>_xll.EQNXTDZ($A$1,$B91,AO$5,$B$1)</f>
        <v>0</v>
      </c>
      <c r="AP91" s="55">
        <f>_xll.EQNXTDZ($A$1,$B91,AP$5,$B$1)</f>
        <v>790.3</v>
      </c>
      <c r="AQ91" s="55">
        <f>_xll.EQNXTDZ($A$1,$B91,AQ$5,$B$1)</f>
        <v>0</v>
      </c>
      <c r="AR91" s="55">
        <f>_xll.EQNXTDZ($A$1,$B91,AR$5,$B$1)</f>
        <v>787.1</v>
      </c>
      <c r="AS91" s="55">
        <f>_xll.EQNXTDZ($A$1,$B91,AS$5,$B$1)</f>
        <v>0</v>
      </c>
      <c r="AT91" s="55">
        <f>_xll.EQNXTDZ($A$1,$B91,AT$5,$B$1)</f>
        <v>1937.1</v>
      </c>
      <c r="AU91" s="55">
        <f>_xll.EQNXTDZ($A$1,$B91,AU$5,$B$1)</f>
        <v>0</v>
      </c>
      <c r="AV91" s="55">
        <f>_xll.EQNXTDZ($A$1,$B91,AV$5,$B$1)</f>
        <v>962.6</v>
      </c>
      <c r="AW91" s="55">
        <f>_xll.EQNXTDZ($A$1,$B91,AW$5,$B$1)</f>
        <v>0</v>
      </c>
      <c r="AX91" s="55">
        <f>_xll.EQNXTDZ($A$1,$B91,AX$5,$B$1)</f>
        <v>971.4</v>
      </c>
      <c r="AY91" s="55">
        <f>_xll.EQNXTDZ($A$1,$B91,AY$5,$B$1)</f>
        <v>0</v>
      </c>
      <c r="AZ91" s="55">
        <f>_xll.EQNXTDZ($A$1,$B91,AZ$5,$B$1)</f>
        <v>830.3</v>
      </c>
      <c r="BA91" s="55">
        <f>_xll.EQNXTDZ($A$1,$B91,BA$5,$B$1)</f>
        <v>0</v>
      </c>
      <c r="BB91" s="55">
        <f>_xll.EQNXTDZ($A$1,$B91,BB$5,$B$1)</f>
        <v>1167.8</v>
      </c>
      <c r="BC91" s="55">
        <f>_xll.EQNXTDZ($A$1,$B91,BC$5,$B$1)</f>
        <v>0</v>
      </c>
      <c r="BD91" s="55">
        <f>_xll.EQNXTDZ($A$1,$B91,BD$5,$B$1)</f>
        <v>950.3</v>
      </c>
      <c r="BE91" s="55">
        <f>_xll.EQNXTDZ($A$1,$B91,BE$5,$B$1)</f>
        <v>0</v>
      </c>
      <c r="BF91" s="55">
        <f>_xll.EQNXTDZ($A$1,$B91,BF$5,$B$1)</f>
        <v>1389.6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123.2</v>
      </c>
      <c r="S92" s="55">
        <f>_xll.EQNXTDZ($A$1,$B92,S$5,$B$1)</f>
        <v>0</v>
      </c>
      <c r="T92" s="55">
        <f>_xll.EQNXTDZ($A$1,$B92,T$5,$B$1)</f>
        <v>120.6</v>
      </c>
      <c r="U92" s="55">
        <f>_xll.EQNXTDZ($A$1,$B92,U$5,$B$1)</f>
        <v>0</v>
      </c>
      <c r="V92" s="55">
        <f>_xll.EQNXTDZ($A$1,$B92,V$5,$B$1)</f>
        <v>127.1</v>
      </c>
      <c r="W92" s="55">
        <f>_xll.EQNXTDZ($A$1,$B92,W$5,$B$1)</f>
        <v>0</v>
      </c>
      <c r="X92" s="55">
        <f>_xll.EQNXTDZ($A$1,$B92,X$5,$B$1)</f>
        <v>136.5</v>
      </c>
      <c r="Y92" s="55">
        <f>_xll.EQNXTDZ($A$1,$B92,Y$5,$B$1)</f>
        <v>0</v>
      </c>
      <c r="Z92" s="55">
        <f>_xll.EQNXTDZ($A$1,$B92,Z$5,$B$1)</f>
        <v>120.6</v>
      </c>
      <c r="AA92" s="55">
        <f>_xll.EQNXTDZ($A$1,$B92,AA$5,$B$1)</f>
        <v>0</v>
      </c>
      <c r="AB92" s="55">
        <f>_xll.EQNXTDZ($A$1,$B92,AB$5,$B$1)</f>
        <v>137.6</v>
      </c>
      <c r="AC92" s="55">
        <f>_xll.EQNXTDZ($A$1,$B92,AC$5,$B$1)</f>
        <v>0</v>
      </c>
      <c r="AD92" s="55">
        <f>_xll.EQNXTDZ($A$1,$B92,AD$5,$B$1)</f>
        <v>134.1</v>
      </c>
      <c r="AE92" s="55">
        <f>_xll.EQNXTDZ($A$1,$B92,AE$5,$B$1)</f>
        <v>0</v>
      </c>
      <c r="AF92" s="55">
        <f>_xll.EQNXTDZ($A$1,$B92,AF$5,$B$1)</f>
        <v>159.1</v>
      </c>
      <c r="AG92" s="55">
        <f>_xll.EQNXTDZ($A$1,$B92,AG$5,$B$1)</f>
        <v>0</v>
      </c>
      <c r="AH92" s="55">
        <f>_xll.EQNXTDZ($A$1,$B92,AH$5,$B$1)</f>
        <v>165.4</v>
      </c>
      <c r="AI92" s="55">
        <f>_xll.EQNXTDZ($A$1,$B92,AI$5,$B$1)</f>
        <v>0</v>
      </c>
      <c r="AJ92" s="55">
        <f>_xll.EQNXTDZ($A$1,$B92,AJ$5,$B$1)</f>
        <v>173.7</v>
      </c>
      <c r="AK92" s="55">
        <f>_xll.EQNXTDZ($A$1,$B92,AK$5,$B$1)</f>
        <v>0</v>
      </c>
      <c r="AL92" s="55">
        <f>_xll.EQNXTDZ($A$1,$B92,AL$5,$B$1)</f>
        <v>158.4</v>
      </c>
      <c r="AM92" s="55">
        <f>_xll.EQNXTDZ($A$1,$B92,AM$5,$B$1)</f>
        <v>0</v>
      </c>
      <c r="AN92" s="55">
        <f>_xll.EQNXTDZ($A$1,$B92,AN$5,$B$1)</f>
        <v>149.19999999999999</v>
      </c>
      <c r="AO92" s="55">
        <f>_xll.EQNXTDZ($A$1,$B92,AO$5,$B$1)</f>
        <v>0</v>
      </c>
      <c r="AP92" s="55">
        <f>_xll.EQNXTDZ($A$1,$B92,AP$5,$B$1)</f>
        <v>189.6</v>
      </c>
      <c r="AQ92" s="55">
        <f>_xll.EQNXTDZ($A$1,$B92,AQ$5,$B$1)</f>
        <v>0</v>
      </c>
      <c r="AR92" s="55">
        <f>_xll.EQNXTDZ($A$1,$B92,AR$5,$B$1)</f>
        <v>237.8</v>
      </c>
      <c r="AS92" s="55">
        <f>_xll.EQNXTDZ($A$1,$B92,AS$5,$B$1)</f>
        <v>0</v>
      </c>
      <c r="AT92" s="55">
        <f>_xll.EQNXTDZ($A$1,$B92,AT$5,$B$1)</f>
        <v>136.1</v>
      </c>
      <c r="AU92" s="55">
        <f>_xll.EQNXTDZ($A$1,$B92,AU$5,$B$1)</f>
        <v>0</v>
      </c>
      <c r="AV92" s="55">
        <f>_xll.EQNXTDZ($A$1,$B92,AV$5,$B$1)</f>
        <v>155.30000000000001</v>
      </c>
      <c r="AW92" s="55">
        <f>_xll.EQNXTDZ($A$1,$B92,AW$5,$B$1)</f>
        <v>0</v>
      </c>
      <c r="AX92" s="55">
        <f>_xll.EQNXTDZ($A$1,$B92,AX$5,$B$1)</f>
        <v>154</v>
      </c>
      <c r="AY92" s="55">
        <f>_xll.EQNXTDZ($A$1,$B92,AY$5,$B$1)</f>
        <v>0</v>
      </c>
      <c r="AZ92" s="55">
        <f>_xll.EQNXTDZ($A$1,$B92,AZ$5,$B$1)</f>
        <v>165.2</v>
      </c>
      <c r="BA92" s="55">
        <f>_xll.EQNXTDZ($A$1,$B92,BA$5,$B$1)</f>
        <v>0</v>
      </c>
      <c r="BB92" s="55">
        <f>_xll.EQNXTDZ($A$1,$B92,BB$5,$B$1)</f>
        <v>199.9</v>
      </c>
      <c r="BC92" s="55">
        <f>_xll.EQNXTDZ($A$1,$B92,BC$5,$B$1)</f>
        <v>0</v>
      </c>
      <c r="BD92" s="55">
        <f>_xll.EQNXTDZ($A$1,$B92,BD$5,$B$1)</f>
        <v>196.1</v>
      </c>
      <c r="BE92" s="55">
        <f>_xll.EQNXTDZ($A$1,$B92,BE$5,$B$1)</f>
        <v>0</v>
      </c>
      <c r="BF92" s="55">
        <f>_xll.EQNXTDZ($A$1,$B92,BF$5,$B$1)</f>
        <v>245.1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876.7</v>
      </c>
      <c r="S93" s="55">
        <f>_xll.EQNXTDZ($A$1,$B93,S$5,$B$1)</f>
        <v>0</v>
      </c>
      <c r="T93" s="55">
        <f>_xll.EQNXTDZ($A$1,$B93,T$5,$B$1)</f>
        <v>729.3</v>
      </c>
      <c r="U93" s="55">
        <f>_xll.EQNXTDZ($A$1,$B93,U$5,$B$1)</f>
        <v>0</v>
      </c>
      <c r="V93" s="55">
        <f>_xll.EQNXTDZ($A$1,$B93,V$5,$B$1)</f>
        <v>746.5</v>
      </c>
      <c r="W93" s="55">
        <f>_xll.EQNXTDZ($A$1,$B93,W$5,$B$1)</f>
        <v>0</v>
      </c>
      <c r="X93" s="55">
        <f>_xll.EQNXTDZ($A$1,$B93,X$5,$B$1)</f>
        <v>707.5</v>
      </c>
      <c r="Y93" s="55">
        <f>_xll.EQNXTDZ($A$1,$B93,Y$5,$B$1)</f>
        <v>0</v>
      </c>
      <c r="Z93" s="55">
        <f>_xll.EQNXTDZ($A$1,$B93,Z$5,$B$1)</f>
        <v>763.7</v>
      </c>
      <c r="AA93" s="55">
        <f>_xll.EQNXTDZ($A$1,$B93,AA$5,$B$1)</f>
        <v>0</v>
      </c>
      <c r="AB93" s="55">
        <f>_xll.EQNXTDZ($A$1,$B93,AB$5,$B$1)</f>
        <v>843.3</v>
      </c>
      <c r="AC93" s="55">
        <f>_xll.EQNXTDZ($A$1,$B93,AC$5,$B$1)</f>
        <v>0</v>
      </c>
      <c r="AD93" s="55">
        <f>_xll.EQNXTDZ($A$1,$B93,AD$5,$B$1)</f>
        <v>862.7</v>
      </c>
      <c r="AE93" s="55">
        <f>_xll.EQNXTDZ($A$1,$B93,AE$5,$B$1)</f>
        <v>0</v>
      </c>
      <c r="AF93" s="55">
        <f>_xll.EQNXTDZ($A$1,$B93,AF$5,$B$1)</f>
        <v>889.2</v>
      </c>
      <c r="AG93" s="55">
        <f>_xll.EQNXTDZ($A$1,$B93,AG$5,$B$1)</f>
        <v>0</v>
      </c>
      <c r="AH93" s="55">
        <f>_xll.EQNXTDZ($A$1,$B93,AH$5,$B$1)</f>
        <v>1038.8</v>
      </c>
      <c r="AI93" s="55">
        <f>_xll.EQNXTDZ($A$1,$B93,AI$5,$B$1)</f>
        <v>0</v>
      </c>
      <c r="AJ93" s="55">
        <f>_xll.EQNXTDZ($A$1,$B93,AJ$5,$B$1)</f>
        <v>930.9</v>
      </c>
      <c r="AK93" s="55">
        <f>_xll.EQNXTDZ($A$1,$B93,AK$5,$B$1)</f>
        <v>0</v>
      </c>
      <c r="AL93" s="55">
        <f>_xll.EQNXTDZ($A$1,$B93,AL$5,$B$1)</f>
        <v>1098.2</v>
      </c>
      <c r="AM93" s="55">
        <f>_xll.EQNXTDZ($A$1,$B93,AM$5,$B$1)</f>
        <v>0</v>
      </c>
      <c r="AN93" s="55">
        <f>_xll.EQNXTDZ($A$1,$B93,AN$5,$B$1)</f>
        <v>1270.5</v>
      </c>
      <c r="AO93" s="55">
        <f>_xll.EQNXTDZ($A$1,$B93,AO$5,$B$1)</f>
        <v>0</v>
      </c>
      <c r="AP93" s="55">
        <f>_xll.EQNXTDZ($A$1,$B93,AP$5,$B$1)</f>
        <v>1373.3</v>
      </c>
      <c r="AQ93" s="55">
        <f>_xll.EQNXTDZ($A$1,$B93,AQ$5,$B$1)</f>
        <v>0</v>
      </c>
      <c r="AR93" s="55">
        <f>_xll.EQNXTDZ($A$1,$B93,AR$5,$B$1)</f>
        <v>1417.4</v>
      </c>
      <c r="AS93" s="55">
        <f>_xll.EQNXTDZ($A$1,$B93,AS$5,$B$1)</f>
        <v>0</v>
      </c>
      <c r="AT93" s="55">
        <f>_xll.EQNXTDZ($A$1,$B93,AT$5,$B$1)</f>
        <v>3310.1</v>
      </c>
      <c r="AU93" s="55">
        <f>_xll.EQNXTDZ($A$1,$B93,AU$5,$B$1)</f>
        <v>0</v>
      </c>
      <c r="AV93" s="55">
        <f>_xll.EQNXTDZ($A$1,$B93,AV$5,$B$1)</f>
        <v>2401.1999999999998</v>
      </c>
      <c r="AW93" s="55">
        <f>_xll.EQNXTDZ($A$1,$B93,AW$5,$B$1)</f>
        <v>0</v>
      </c>
      <c r="AX93" s="55">
        <f>_xll.EQNXTDZ($A$1,$B93,AX$5,$B$1)</f>
        <v>2537.1</v>
      </c>
      <c r="AY93" s="55">
        <f>_xll.EQNXTDZ($A$1,$B93,AY$5,$B$1)</f>
        <v>0</v>
      </c>
      <c r="AZ93" s="55">
        <f>_xll.EQNXTDZ($A$1,$B93,AZ$5,$B$1)</f>
        <v>2405.6</v>
      </c>
      <c r="BA93" s="55">
        <f>_xll.EQNXTDZ($A$1,$B93,BA$5,$B$1)</f>
        <v>0</v>
      </c>
      <c r="BB93" s="55">
        <f>_xll.EQNXTDZ($A$1,$B93,BB$5,$B$1)</f>
        <v>2990</v>
      </c>
      <c r="BC93" s="55">
        <f>_xll.EQNXTDZ($A$1,$B93,BC$5,$B$1)</f>
        <v>0</v>
      </c>
      <c r="BD93" s="55">
        <f>_xll.EQNXTDZ($A$1,$B93,BD$5,$B$1)</f>
        <v>2867</v>
      </c>
      <c r="BE93" s="55">
        <f>_xll.EQNXTDZ($A$1,$B93,BE$5,$B$1)</f>
        <v>0</v>
      </c>
      <c r="BF93" s="55">
        <f>_xll.EQNXTDZ($A$1,$B93,BF$5,$B$1)</f>
        <v>2571.5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288.2</v>
      </c>
      <c r="S94" s="55">
        <f>_xll.EQNXTDZ($A$1,$B94,S$5,$B$1)</f>
        <v>0</v>
      </c>
      <c r="T94" s="55">
        <f>_xll.EQNXTDZ($A$1,$B94,T$5,$B$1)</f>
        <v>509.9</v>
      </c>
      <c r="U94" s="55">
        <f>_xll.EQNXTDZ($A$1,$B94,U$5,$B$1)</f>
        <v>0</v>
      </c>
      <c r="V94" s="55">
        <f>_xll.EQNXTDZ($A$1,$B94,V$5,$B$1)</f>
        <v>693.4</v>
      </c>
      <c r="W94" s="55">
        <f>_xll.EQNXTDZ($A$1,$B94,W$5,$B$1)</f>
        <v>0</v>
      </c>
      <c r="X94" s="55">
        <f>_xll.EQNXTDZ($A$1,$B94,X$5,$B$1)</f>
        <v>832.6</v>
      </c>
      <c r="Y94" s="55">
        <f>_xll.EQNXTDZ($A$1,$B94,Y$5,$B$1)</f>
        <v>0</v>
      </c>
      <c r="Z94" s="55">
        <f>_xll.EQNXTDZ($A$1,$B94,Z$5,$B$1)</f>
        <v>1097</v>
      </c>
      <c r="AA94" s="55">
        <f>_xll.EQNXTDZ($A$1,$B94,AA$5,$B$1)</f>
        <v>0</v>
      </c>
      <c r="AB94" s="55">
        <f>_xll.EQNXTDZ($A$1,$B94,AB$5,$B$1)</f>
        <v>1245.7</v>
      </c>
      <c r="AC94" s="55">
        <f>_xll.EQNXTDZ($A$1,$B94,AC$5,$B$1)</f>
        <v>0</v>
      </c>
      <c r="AD94" s="55">
        <f>_xll.EQNXTDZ($A$1,$B94,AD$5,$B$1)</f>
        <v>1509.3</v>
      </c>
      <c r="AE94" s="55">
        <f>_xll.EQNXTDZ($A$1,$B94,AE$5,$B$1)</f>
        <v>0</v>
      </c>
      <c r="AF94" s="55">
        <f>_xll.EQNXTDZ($A$1,$B94,AF$5,$B$1)</f>
        <v>1675.7</v>
      </c>
      <c r="AG94" s="55">
        <f>_xll.EQNXTDZ($A$1,$B94,AG$5,$B$1)</f>
        <v>0</v>
      </c>
      <c r="AH94" s="55">
        <f>_xll.EQNXTDZ($A$1,$B94,AH$5,$B$1)</f>
        <v>1871.4</v>
      </c>
      <c r="AI94" s="55">
        <f>_xll.EQNXTDZ($A$1,$B94,AI$5,$B$1)</f>
        <v>0</v>
      </c>
      <c r="AJ94" s="55">
        <f>_xll.EQNXTDZ($A$1,$B94,AJ$5,$B$1)</f>
        <v>2105.5</v>
      </c>
      <c r="AK94" s="55">
        <f>_xll.EQNXTDZ($A$1,$B94,AK$5,$B$1)</f>
        <v>0</v>
      </c>
      <c r="AL94" s="55">
        <f>_xll.EQNXTDZ($A$1,$B94,AL$5,$B$1)</f>
        <v>2404.4</v>
      </c>
      <c r="AM94" s="55">
        <f>_xll.EQNXTDZ($A$1,$B94,AM$5,$B$1)</f>
        <v>0</v>
      </c>
      <c r="AN94" s="55">
        <f>_xll.EQNXTDZ($A$1,$B94,AN$5,$B$1)</f>
        <v>2687.4</v>
      </c>
      <c r="AO94" s="55">
        <f>_xll.EQNXTDZ($A$1,$B94,AO$5,$B$1)</f>
        <v>0</v>
      </c>
      <c r="AP94" s="55">
        <f>_xll.EQNXTDZ($A$1,$B94,AP$5,$B$1)</f>
        <v>2951.8</v>
      </c>
      <c r="AQ94" s="55">
        <f>_xll.EQNXTDZ($A$1,$B94,AQ$5,$B$1)</f>
        <v>0</v>
      </c>
      <c r="AR94" s="55">
        <f>_xll.EQNXTDZ($A$1,$B94,AR$5,$B$1)</f>
        <v>3197.1</v>
      </c>
      <c r="AS94" s="55">
        <f>_xll.EQNXTDZ($A$1,$B94,AS$5,$B$1)</f>
        <v>0</v>
      </c>
      <c r="AT94" s="55">
        <f>_xll.EQNXTDZ($A$1,$B94,AT$5,$B$1)</f>
        <v>3066.8</v>
      </c>
      <c r="AU94" s="55">
        <f>_xll.EQNXTDZ($A$1,$B94,AU$5,$B$1)</f>
        <v>0</v>
      </c>
      <c r="AV94" s="55">
        <f>_xll.EQNXTDZ($A$1,$B94,AV$5,$B$1)</f>
        <v>3291.5</v>
      </c>
      <c r="AW94" s="55">
        <f>_xll.EQNXTDZ($A$1,$B94,AW$5,$B$1)</f>
        <v>0</v>
      </c>
      <c r="AX94" s="55">
        <f>_xll.EQNXTDZ($A$1,$B94,AX$5,$B$1)</f>
        <v>3693.2</v>
      </c>
      <c r="AY94" s="55">
        <f>_xll.EQNXTDZ($A$1,$B94,AY$5,$B$1)</f>
        <v>0</v>
      </c>
      <c r="AZ94" s="55">
        <f>_xll.EQNXTDZ($A$1,$B94,AZ$5,$B$1)</f>
        <v>4050.1</v>
      </c>
      <c r="BA94" s="55">
        <f>_xll.EQNXTDZ($A$1,$B94,BA$5,$B$1)</f>
        <v>0</v>
      </c>
      <c r="BB94" s="55">
        <f>_xll.EQNXTDZ($A$1,$B94,BB$5,$B$1)</f>
        <v>3474.1</v>
      </c>
      <c r="BC94" s="55">
        <f>_xll.EQNXTDZ($A$1,$B94,BC$5,$B$1)</f>
        <v>0</v>
      </c>
      <c r="BD94" s="55">
        <f>_xll.EQNXTDZ($A$1,$B94,BD$5,$B$1)</f>
        <v>3735.4</v>
      </c>
      <c r="BE94" s="55">
        <f>_xll.EQNXTDZ($A$1,$B94,BE$5,$B$1)</f>
        <v>0</v>
      </c>
      <c r="BF94" s="55">
        <f>_xll.EQNXTDZ($A$1,$B94,BF$5,$B$1)</f>
        <v>3807.8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106.1</v>
      </c>
      <c r="S96" s="55">
        <f>_xll.EQNXTDZ($A$1,$B96,S$5,$B$1)</f>
        <v>0</v>
      </c>
      <c r="T96" s="55">
        <f>_xll.EQNXTDZ($A$1,$B96,T$5,$B$1)</f>
        <v>57.1</v>
      </c>
      <c r="U96" s="55">
        <f>_xll.EQNXTDZ($A$1,$B96,U$5,$B$1)</f>
        <v>0</v>
      </c>
      <c r="V96" s="55">
        <f>_xll.EQNXTDZ($A$1,$B96,V$5,$B$1)</f>
        <v>32.299999999999997</v>
      </c>
      <c r="W96" s="55">
        <f>_xll.EQNXTDZ($A$1,$B96,W$5,$B$1)</f>
        <v>0</v>
      </c>
      <c r="X96" s="55">
        <f>_xll.EQNXTDZ($A$1,$B96,X$5,$B$1)</f>
        <v>32.1</v>
      </c>
      <c r="Y96" s="55">
        <f>_xll.EQNXTDZ($A$1,$B96,Y$5,$B$1)</f>
        <v>0</v>
      </c>
      <c r="Z96" s="55">
        <f>_xll.EQNXTDZ($A$1,$B96,Z$5,$B$1)</f>
        <v>24.3</v>
      </c>
      <c r="AA96" s="55">
        <f>_xll.EQNXTDZ($A$1,$B96,AA$5,$B$1)</f>
        <v>0</v>
      </c>
      <c r="AB96" s="55">
        <f>_xll.EQNXTDZ($A$1,$B96,AB$5,$B$1)</f>
        <v>76</v>
      </c>
      <c r="AC96" s="55">
        <f>_xll.EQNXTDZ($A$1,$B96,AC$5,$B$1)</f>
        <v>0</v>
      </c>
      <c r="AD96" s="55">
        <f>_xll.EQNXTDZ($A$1,$B96,AD$5,$B$1)</f>
        <v>-0.8</v>
      </c>
      <c r="AE96" s="55">
        <f>_xll.EQNXTDZ($A$1,$B96,AE$5,$B$1)</f>
        <v>0</v>
      </c>
      <c r="AF96" s="55">
        <f>_xll.EQNXTDZ($A$1,$B96,AF$5,$B$1)</f>
        <v>-6.2</v>
      </c>
      <c r="AG96" s="55">
        <f>_xll.EQNXTDZ($A$1,$B96,AG$5,$B$1)</f>
        <v>0</v>
      </c>
      <c r="AH96" s="55">
        <f>_xll.EQNXTDZ($A$1,$B96,AH$5,$B$1)</f>
        <v>31.1</v>
      </c>
      <c r="AI96" s="55">
        <f>_xll.EQNXTDZ($A$1,$B96,AI$5,$B$1)</f>
        <v>0</v>
      </c>
      <c r="AJ96" s="55">
        <f>_xll.EQNXTDZ($A$1,$B96,AJ$5,$B$1)</f>
        <v>-32.799999999999997</v>
      </c>
      <c r="AK96" s="55">
        <f>_xll.EQNXTDZ($A$1,$B96,AK$5,$B$1)</f>
        <v>0</v>
      </c>
      <c r="AL96" s="55">
        <f>_xll.EQNXTDZ($A$1,$B96,AL$5,$B$1)</f>
        <v>-51.1</v>
      </c>
      <c r="AM96" s="55">
        <f>_xll.EQNXTDZ($A$1,$B96,AM$5,$B$1)</f>
        <v>0</v>
      </c>
      <c r="AN96" s="55">
        <f>_xll.EQNXTDZ($A$1,$B96,AN$5,$B$1)</f>
        <v>-57</v>
      </c>
      <c r="AO96" s="55">
        <f>_xll.EQNXTDZ($A$1,$B96,AO$5,$B$1)</f>
        <v>0</v>
      </c>
      <c r="AP96" s="55">
        <f>_xll.EQNXTDZ($A$1,$B96,AP$5,$B$1)</f>
        <v>-67.099999999999994</v>
      </c>
      <c r="AQ96" s="55">
        <f>_xll.EQNXTDZ($A$1,$B96,AQ$5,$B$1)</f>
        <v>0</v>
      </c>
      <c r="AR96" s="55">
        <f>_xll.EQNXTDZ($A$1,$B96,AR$5,$B$1)</f>
        <v>-2.6</v>
      </c>
      <c r="AS96" s="55">
        <f>_xll.EQNXTDZ($A$1,$B96,AS$5,$B$1)</f>
        <v>0</v>
      </c>
      <c r="AT96" s="55">
        <f>_xll.EQNXTDZ($A$1,$B96,AT$5,$B$1)</f>
        <v>-25.9</v>
      </c>
      <c r="AU96" s="55">
        <f>_xll.EQNXTDZ($A$1,$B96,AU$5,$B$1)</f>
        <v>0</v>
      </c>
      <c r="AV96" s="55">
        <f>_xll.EQNXTDZ($A$1,$B96,AV$5,$B$1)</f>
        <v>-35.4</v>
      </c>
      <c r="AW96" s="55">
        <f>_xll.EQNXTDZ($A$1,$B96,AW$5,$B$1)</f>
        <v>0</v>
      </c>
      <c r="AX96" s="55">
        <f>_xll.EQNXTDZ($A$1,$B96,AX$5,$B$1)</f>
        <v>-69.099999999999994</v>
      </c>
      <c r="AY96" s="55">
        <f>_xll.EQNXTDZ($A$1,$B96,AY$5,$B$1)</f>
        <v>0</v>
      </c>
      <c r="AZ96" s="55">
        <f>_xll.EQNXTDZ($A$1,$B96,AZ$5,$B$1)</f>
        <v>-70.3</v>
      </c>
      <c r="BA96" s="55">
        <f>_xll.EQNXTDZ($A$1,$B96,BA$5,$B$1)</f>
        <v>0</v>
      </c>
      <c r="BB96" s="55">
        <f>_xll.EQNXTDZ($A$1,$B96,BB$5,$B$1)</f>
        <v>-59.4</v>
      </c>
      <c r="BC96" s="55">
        <f>_xll.EQNXTDZ($A$1,$B96,BC$5,$B$1)</f>
        <v>0</v>
      </c>
      <c r="BD96" s="55">
        <f>_xll.EQNXTDZ($A$1,$B96,BD$5,$B$1)</f>
        <v>-8.6999999999999993</v>
      </c>
      <c r="BE96" s="55">
        <f>_xll.EQNXTDZ($A$1,$B96,BE$5,$B$1)</f>
        <v>0</v>
      </c>
      <c r="BF96" s="55">
        <f>_xll.EQNXTDZ($A$1,$B96,BF$5,$B$1)</f>
        <v>90.6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1065.5999999999999</v>
      </c>
      <c r="S97" s="55">
        <f>_xll.EQNXTDZ($A$1,$B97,S$5,$B$1)</f>
        <v>0</v>
      </c>
      <c r="T97" s="55">
        <f>_xll.EQNXTDZ($A$1,$B97,T$5,$B$1)</f>
        <v>1220.3</v>
      </c>
      <c r="U97" s="55">
        <f>_xll.EQNXTDZ($A$1,$B97,U$5,$B$1)</f>
        <v>0</v>
      </c>
      <c r="V97" s="55">
        <f>_xll.EQNXTDZ($A$1,$B97,V$5,$B$1)</f>
        <v>1485.2</v>
      </c>
      <c r="W97" s="55">
        <f>_xll.EQNXTDZ($A$1,$B97,W$5,$B$1)</f>
        <v>0</v>
      </c>
      <c r="X97" s="55">
        <f>_xll.EQNXTDZ($A$1,$B97,X$5,$B$1)</f>
        <v>1721.3</v>
      </c>
      <c r="Y97" s="55">
        <f>_xll.EQNXTDZ($A$1,$B97,Y$5,$B$1)</f>
        <v>0</v>
      </c>
      <c r="Z97" s="55">
        <f>_xll.EQNXTDZ($A$1,$B97,Z$5,$B$1)</f>
        <v>1938.5</v>
      </c>
      <c r="AA97" s="55">
        <f>_xll.EQNXTDZ($A$1,$B97,AA$5,$B$1)</f>
        <v>0</v>
      </c>
      <c r="AB97" s="55">
        <f>_xll.EQNXTDZ($A$1,$B97,AB$5,$B$1)</f>
        <v>2105.6</v>
      </c>
      <c r="AC97" s="55">
        <f>_xll.EQNXTDZ($A$1,$B97,AC$5,$B$1)</f>
        <v>0</v>
      </c>
      <c r="AD97" s="55">
        <f>_xll.EQNXTDZ($A$1,$B97,AD$5,$B$1)</f>
        <v>2488.1999999999998</v>
      </c>
      <c r="AE97" s="55">
        <f>_xll.EQNXTDZ($A$1,$B97,AE$5,$B$1)</f>
        <v>0</v>
      </c>
      <c r="AF97" s="55">
        <f>_xll.EQNXTDZ($A$1,$B97,AF$5,$B$1)</f>
        <v>2985.1</v>
      </c>
      <c r="AG97" s="55">
        <f>_xll.EQNXTDZ($A$1,$B97,AG$5,$B$1)</f>
        <v>0</v>
      </c>
      <c r="AH97" s="55">
        <f>_xll.EQNXTDZ($A$1,$B97,AH$5,$B$1)</f>
        <v>3264.5</v>
      </c>
      <c r="AI97" s="55">
        <f>_xll.EQNXTDZ($A$1,$B97,AI$5,$B$1)</f>
        <v>0</v>
      </c>
      <c r="AJ97" s="55">
        <f>_xll.EQNXTDZ($A$1,$B97,AJ$5,$B$1)</f>
        <v>3556.6</v>
      </c>
      <c r="AK97" s="55">
        <f>_xll.EQNXTDZ($A$1,$B97,AK$5,$B$1)</f>
        <v>0</v>
      </c>
      <c r="AL97" s="55">
        <f>_xll.EQNXTDZ($A$1,$B97,AL$5,$B$1)</f>
        <v>3916.9</v>
      </c>
      <c r="AM97" s="55">
        <f>_xll.EQNXTDZ($A$1,$B97,AM$5,$B$1)</f>
        <v>0</v>
      </c>
      <c r="AN97" s="55">
        <f>_xll.EQNXTDZ($A$1,$B97,AN$5,$B$1)</f>
        <v>4277.8999999999996</v>
      </c>
      <c r="AO97" s="55">
        <f>_xll.EQNXTDZ($A$1,$B97,AO$5,$B$1)</f>
        <v>0</v>
      </c>
      <c r="AP97" s="55">
        <f>_xll.EQNXTDZ($A$1,$B97,AP$5,$B$1)</f>
        <v>4636.8</v>
      </c>
      <c r="AQ97" s="55">
        <f>_xll.EQNXTDZ($A$1,$B97,AQ$5,$B$1)</f>
        <v>0</v>
      </c>
      <c r="AR97" s="55">
        <f>_xll.EQNXTDZ($A$1,$B97,AR$5,$B$1)</f>
        <v>4895.3</v>
      </c>
      <c r="AS97" s="55">
        <f>_xll.EQNXTDZ($A$1,$B97,AS$5,$B$1)</f>
        <v>0</v>
      </c>
      <c r="AT97" s="55">
        <f>_xll.EQNXTDZ($A$1,$B97,AT$5,$B$1)</f>
        <v>4847.8</v>
      </c>
      <c r="AU97" s="55">
        <f>_xll.EQNXTDZ($A$1,$B97,AU$5,$B$1)</f>
        <v>0</v>
      </c>
      <c r="AV97" s="55">
        <f>_xll.EQNXTDZ($A$1,$B97,AV$5,$B$1)</f>
        <v>5262.4</v>
      </c>
      <c r="AW97" s="55">
        <f>_xll.EQNXTDZ($A$1,$B97,AW$5,$B$1)</f>
        <v>0</v>
      </c>
      <c r="AX97" s="55">
        <f>_xll.EQNXTDZ($A$1,$B97,AX$5,$B$1)</f>
        <v>5876.9</v>
      </c>
      <c r="AY97" s="55">
        <f>_xll.EQNXTDZ($A$1,$B97,AY$5,$B$1)</f>
        <v>0</v>
      </c>
      <c r="AZ97" s="55">
        <f>_xll.EQNXTDZ($A$1,$B97,AZ$5,$B$1)</f>
        <v>6169.7</v>
      </c>
      <c r="BA97" s="55">
        <f>_xll.EQNXTDZ($A$1,$B97,BA$5,$B$1)</f>
        <v>0</v>
      </c>
      <c r="BB97" s="55">
        <f>_xll.EQNXTDZ($A$1,$B97,BB$5,$B$1)</f>
        <v>6577.7</v>
      </c>
      <c r="BC97" s="55">
        <f>_xll.EQNXTDZ($A$1,$B97,BC$5,$B$1)</f>
        <v>0</v>
      </c>
      <c r="BD97" s="55">
        <f>_xll.EQNXTDZ($A$1,$B97,BD$5,$B$1)</f>
        <v>6837.2</v>
      </c>
      <c r="BE97" s="55">
        <f>_xll.EQNXTDZ($A$1,$B97,BE$5,$B$1)</f>
        <v>0</v>
      </c>
      <c r="BF97" s="55">
        <f>_xll.EQNXTDZ($A$1,$B97,BF$5,$B$1)</f>
        <v>7917.3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268618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L&amp;T Technology Services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126.17</v>
      </c>
      <c r="Q6" s="100">
        <f>_xll.EQNXTDZ($A$1,$B6,Q$1,$B$1)</f>
        <v>2618.627</v>
      </c>
      <c r="R6" s="100">
        <f>_xll.EQNXTDZ($A$1,$B6,R$1,$B$1)</f>
        <v>3066.2</v>
      </c>
      <c r="S6" s="100">
        <f>_xll.EQNXTDZ($A$1,$B6,S$1,$B$1)</f>
        <v>3248.3</v>
      </c>
      <c r="T6" s="100">
        <f>_xll.EQNXTDZ($A$1,$B6,T$1,$B$1)</f>
        <v>3747.1</v>
      </c>
      <c r="U6" s="100">
        <f>_xll.EQNXTDZ($A$1,$B6,U$1,$B$1)</f>
        <v>5078.3</v>
      </c>
      <c r="V6" s="100">
        <f>_xll.EQNXTDZ($A$1,$B6,V$1,$B$1)</f>
        <v>5619.1</v>
      </c>
      <c r="W6" s="100">
        <f>_xll.EQNXTDZ($A$1,$B6,W$1,$B$1)</f>
        <v>5449.7</v>
      </c>
      <c r="X6" s="100">
        <f>_xll.EQNXTDZ($A$1,$B6,X$1,$B$1)</f>
        <v>6569.7</v>
      </c>
      <c r="Y6" s="100">
        <f>_xll.EQNXTDZ($A$1,$B6,Y$1,$B$1)</f>
        <v>8815.5</v>
      </c>
      <c r="Z6" s="100">
        <f>_xll.EQNXTDZ($A$1,$B6,Z$1,$B$1)</f>
        <v>9647.2999999999993</v>
      </c>
      <c r="AA6" s="100">
        <f>_xll.EQNXTDZ($A$1,$B6,AA$1,$B$1)</f>
        <v>9642.2000000000007</v>
      </c>
      <c r="AB6" s="100">
        <f>_xll.EQNXTDZ($A$1,$B6,AB$1,$B$1)</f>
        <v>10995.9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126.17</v>
      </c>
      <c r="Q10" s="100">
        <f>_xll.EQNXTDZ($A$1,$B10,Q$1,$B$1)</f>
        <v>2618.627</v>
      </c>
      <c r="R10" s="100">
        <f>_xll.EQNXTDZ($A$1,$B10,R$1,$B$1)</f>
        <v>3066.2</v>
      </c>
      <c r="S10" s="100">
        <f>_xll.EQNXTDZ($A$1,$B10,S$1,$B$1)</f>
        <v>3248.3</v>
      </c>
      <c r="T10" s="100">
        <f>_xll.EQNXTDZ($A$1,$B10,T$1,$B$1)</f>
        <v>3747.1</v>
      </c>
      <c r="U10" s="100">
        <f>_xll.EQNXTDZ($A$1,$B10,U$1,$B$1)</f>
        <v>5078.3</v>
      </c>
      <c r="V10" s="100">
        <f>_xll.EQNXTDZ($A$1,$B10,V$1,$B$1)</f>
        <v>5619.1</v>
      </c>
      <c r="W10" s="100">
        <f>_xll.EQNXTDZ($A$1,$B10,W$1,$B$1)</f>
        <v>5449.7</v>
      </c>
      <c r="X10" s="100">
        <f>_xll.EQNXTDZ($A$1,$B10,X$1,$B$1)</f>
        <v>6569.7</v>
      </c>
      <c r="Y10" s="100">
        <f>_xll.EQNXTDZ($A$1,$B10,Y$1,$B$1)</f>
        <v>8815.5</v>
      </c>
      <c r="Z10" s="100">
        <f>_xll.EQNXTDZ($A$1,$B10,Z$1,$B$1)</f>
        <v>9647.2999999999993</v>
      </c>
      <c r="AA10" s="100">
        <f>_xll.EQNXTDZ($A$1,$B10,AA$1,$B$1)</f>
        <v>9642.2000000000007</v>
      </c>
      <c r="AB10" s="100">
        <f>_xll.EQNXTDZ($A$1,$B10,AB$1,$B$1)</f>
        <v>10995.9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0.05</v>
      </c>
      <c r="Q13" s="100">
        <f>_xll.EQNXTDZ($A$1,$B13,Q$1,$B$1)</f>
        <v>12.378</v>
      </c>
      <c r="R13" s="100">
        <f>_xll.EQNXTDZ($A$1,$B13,R$1,$B$1)</f>
        <v>10.6</v>
      </c>
      <c r="S13" s="100">
        <f>_xll.EQNXTDZ($A$1,$B13,S$1,$B$1)</f>
        <v>11.6</v>
      </c>
      <c r="T13" s="100">
        <f>_xll.EQNXTDZ($A$1,$B13,T$1,$B$1)</f>
        <v>12.3</v>
      </c>
      <c r="U13" s="100">
        <f>_xll.EQNXTDZ($A$1,$B13,U$1,$B$1)</f>
        <v>14.7</v>
      </c>
      <c r="V13" s="100">
        <f>_xll.EQNXTDZ($A$1,$B13,V$1,$B$1)</f>
        <v>16.600000000000001</v>
      </c>
      <c r="W13" s="100">
        <f>_xll.EQNXTDZ($A$1,$B13,W$1,$B$1)</f>
        <v>18.2</v>
      </c>
      <c r="X13" s="100">
        <f>_xll.EQNXTDZ($A$1,$B13,X$1,$B$1)</f>
        <v>19</v>
      </c>
      <c r="Y13" s="100">
        <f>_xll.EQNXTDZ($A$1,$B13,Y$1,$B$1)</f>
        <v>30.7</v>
      </c>
      <c r="Z13" s="100">
        <f>_xll.EQNXTDZ($A$1,$B13,Z$1,$B$1)</f>
        <v>38</v>
      </c>
      <c r="AA13" s="100">
        <f>_xll.EQNXTDZ($A$1,$B13,AA$1,$B$1)</f>
        <v>29.5</v>
      </c>
      <c r="AB13" s="100">
        <f>_xll.EQNXTDZ($A$1,$B13,AB$1,$B$1)</f>
        <v>27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73.19</v>
      </c>
      <c r="Q14" s="100">
        <f>_xll.EQNXTDZ($A$1,$B14,Q$1,$B$1)</f>
        <v>1486.61</v>
      </c>
      <c r="R14" s="100">
        <f>_xll.EQNXTDZ($A$1,$B14,R$1,$B$1)</f>
        <v>1968.1</v>
      </c>
      <c r="S14" s="100">
        <f>_xll.EQNXTDZ($A$1,$B14,S$1,$B$1)</f>
        <v>2095.8000000000002</v>
      </c>
      <c r="T14" s="100">
        <f>_xll.EQNXTDZ($A$1,$B14,T$1,$B$1)</f>
        <v>2460</v>
      </c>
      <c r="U14" s="100">
        <f>_xll.EQNXTDZ($A$1,$B14,U$1,$B$1)</f>
        <v>3031.8</v>
      </c>
      <c r="V14" s="100">
        <f>_xll.EQNXTDZ($A$1,$B14,V$1,$B$1)</f>
        <v>3251.6</v>
      </c>
      <c r="W14" s="100">
        <f>_xll.EQNXTDZ($A$1,$B14,W$1,$B$1)</f>
        <v>3355</v>
      </c>
      <c r="X14" s="100">
        <f>_xll.EQNXTDZ($A$1,$B14,X$1,$B$1)</f>
        <v>3650.5</v>
      </c>
      <c r="Y14" s="100">
        <f>_xll.EQNXTDZ($A$1,$B14,Y$1,$B$1)</f>
        <v>4630.8</v>
      </c>
      <c r="Z14" s="100">
        <f>_xll.EQNXTDZ($A$1,$B14,Z$1,$B$1)</f>
        <v>4929.8</v>
      </c>
      <c r="AA14" s="100">
        <f>_xll.EQNXTDZ($A$1,$B14,AA$1,$B$1)</f>
        <v>5592.3</v>
      </c>
      <c r="AB14" s="100">
        <f>_xll.EQNXTDZ($A$1,$B14,AB$1,$B$1)</f>
        <v>6457.4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11.617000000000001</v>
      </c>
      <c r="Q15" s="100">
        <f>_xll.EQNXTDZ($A$1,$B15,Q$1,$B$1)</f>
        <v>373.32</v>
      </c>
      <c r="R15" s="100">
        <f>_xll.EQNXTDZ($A$1,$B15,R$1,$B$1)</f>
        <v>206</v>
      </c>
      <c r="S15" s="100">
        <f>_xll.EQNXTDZ($A$1,$B15,S$1,$B$1)</f>
        <v>187.8</v>
      </c>
      <c r="T15" s="100">
        <f>_xll.EQNXTDZ($A$1,$B15,T$1,$B$1)</f>
        <v>271.7</v>
      </c>
      <c r="U15" s="100">
        <f>_xll.EQNXTDZ($A$1,$B15,U$1,$B$1)</f>
        <v>338.4</v>
      </c>
      <c r="V15" s="100">
        <f>_xll.EQNXTDZ($A$1,$B15,V$1,$B$1)</f>
        <v>363.3</v>
      </c>
      <c r="W15" s="100">
        <f>_xll.EQNXTDZ($A$1,$B15,W$1,$B$1)</f>
        <v>346.3</v>
      </c>
      <c r="X15" s="100">
        <f>_xll.EQNXTDZ($A$1,$B15,X$1,$B$1)</f>
        <v>575</v>
      </c>
      <c r="Y15" s="100">
        <f>_xll.EQNXTDZ($A$1,$B15,Y$1,$B$1)</f>
        <v>1046</v>
      </c>
      <c r="Z15" s="100">
        <f>_xll.EQNXTDZ($A$1,$B15,Z$1,$B$1)</f>
        <v>841.1</v>
      </c>
      <c r="AA15" s="100">
        <f>_xll.EQNXTDZ($A$1,$B15,AA$1,$B$1)</f>
        <v>726.8</v>
      </c>
      <c r="AB15" s="100">
        <f>_xll.EQNXTDZ($A$1,$B15,AB$1,$B$1)</f>
        <v>882.8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5.93</v>
      </c>
      <c r="Q16" s="100">
        <f>_xll.EQNXTDZ($A$1,$B16,Q$1,$B$1)</f>
        <v>145.93600000000001</v>
      </c>
      <c r="R16" s="100">
        <f>_xll.EQNXTDZ($A$1,$B16,R$1,$B$1)</f>
        <v>161.1</v>
      </c>
      <c r="S16" s="100">
        <f>_xll.EQNXTDZ($A$1,$B16,S$1,$B$1)</f>
        <v>141.6</v>
      </c>
      <c r="T16" s="100">
        <f>_xll.EQNXTDZ($A$1,$B16,T$1,$B$1)</f>
        <v>174.4</v>
      </c>
      <c r="U16" s="100">
        <f>_xll.EQNXTDZ($A$1,$B16,U$1,$B$1)</f>
        <v>284.60000000000002</v>
      </c>
      <c r="V16" s="100">
        <f>_xll.EQNXTDZ($A$1,$B16,V$1,$B$1)</f>
        <v>344.9</v>
      </c>
      <c r="W16" s="100">
        <f>_xll.EQNXTDZ($A$1,$B16,W$1,$B$1)</f>
        <v>373</v>
      </c>
      <c r="X16" s="100">
        <f>_xll.EQNXTDZ($A$1,$B16,X$1,$B$1)</f>
        <v>457.8</v>
      </c>
      <c r="Y16" s="100">
        <f>_xll.EQNXTDZ($A$1,$B16,Y$1,$B$1)</f>
        <v>794.6</v>
      </c>
      <c r="Z16" s="100">
        <f>_xll.EQNXTDZ($A$1,$B16,Z$1,$B$1)</f>
        <v>1310.2</v>
      </c>
      <c r="AA16" s="100">
        <f>_xll.EQNXTDZ($A$1,$B16,AA$1,$B$1)</f>
        <v>869.5</v>
      </c>
      <c r="AB16" s="100">
        <f>_xll.EQNXTDZ($A$1,$B16,AB$1,$B$1)</f>
        <v>978.3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3.0000000000000001E-3</v>
      </c>
      <c r="P17" s="100">
        <f>_xll.EQNXTDZ($A$1,$B17,P$1,$B$1)</f>
        <v>15.429</v>
      </c>
      <c r="Q17" s="100">
        <f>_xll.EQNXTDZ($A$1,$B17,Q$1,$B$1)</f>
        <v>180.57900000000001</v>
      </c>
      <c r="R17" s="100">
        <f>_xll.EQNXTDZ($A$1,$B17,R$1,$B$1)</f>
        <v>167.3</v>
      </c>
      <c r="S17" s="100">
        <f>_xll.EQNXTDZ($A$1,$B17,S$1,$B$1)</f>
        <v>182</v>
      </c>
      <c r="T17" s="100">
        <f>_xll.EQNXTDZ($A$1,$B17,T$1,$B$1)</f>
        <v>208.2</v>
      </c>
      <c r="U17" s="100">
        <f>_xll.EQNXTDZ($A$1,$B17,U$1,$B$1)</f>
        <v>420.9</v>
      </c>
      <c r="V17" s="100">
        <f>_xll.EQNXTDZ($A$1,$B17,V$1,$B$1)</f>
        <v>431.3</v>
      </c>
      <c r="W17" s="100">
        <f>_xll.EQNXTDZ($A$1,$B17,W$1,$B$1)</f>
        <v>313.3</v>
      </c>
      <c r="X17" s="100">
        <f>_xll.EQNXTDZ($A$1,$B17,X$1,$B$1)</f>
        <v>379.4</v>
      </c>
      <c r="Y17" s="100">
        <f>_xll.EQNXTDZ($A$1,$B17,Y$1,$B$1)</f>
        <v>444.4</v>
      </c>
      <c r="Z17" s="100">
        <f>_xll.EQNXTDZ($A$1,$B17,Z$1,$B$1)</f>
        <v>477.7</v>
      </c>
      <c r="AA17" s="100">
        <f>_xll.EQNXTDZ($A$1,$B17,AA$1,$B$1)</f>
        <v>502.1</v>
      </c>
      <c r="AB17" s="100">
        <f>_xll.EQNXTDZ($A$1,$B17,AB$1,$B$1)</f>
        <v>522.79999999999995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0.245</v>
      </c>
      <c r="Q18" s="100">
        <f>_xll.EQNXTDZ($A$1,$B18,Q$1,$B$1)</f>
        <v>7.9080000000000004</v>
      </c>
      <c r="R18" s="100">
        <f>_xll.EQNXTDZ($A$1,$B18,R$1,$B$1)</f>
        <v>7.4</v>
      </c>
      <c r="S18" s="100">
        <f>_xll.EQNXTDZ($A$1,$B18,S$1,$B$1)</f>
        <v>11.4</v>
      </c>
      <c r="T18" s="100">
        <f>_xll.EQNXTDZ($A$1,$B18,T$1,$B$1)</f>
        <v>17</v>
      </c>
      <c r="U18" s="100">
        <f>_xll.EQNXTDZ($A$1,$B18,U$1,$B$1)</f>
        <v>22.3</v>
      </c>
      <c r="V18" s="100">
        <f>_xll.EQNXTDZ($A$1,$B18,V$1,$B$1)</f>
        <v>27</v>
      </c>
      <c r="W18" s="100">
        <f>_xll.EQNXTDZ($A$1,$B18,W$1,$B$1)</f>
        <v>15</v>
      </c>
      <c r="X18" s="100">
        <f>_xll.EQNXTDZ($A$1,$B18,X$1,$B$1)</f>
        <v>20.3</v>
      </c>
      <c r="Y18" s="100">
        <f>_xll.EQNXTDZ($A$1,$B18,Y$1,$B$1)</f>
        <v>28.2</v>
      </c>
      <c r="Z18" s="100">
        <f>_xll.EQNXTDZ($A$1,$B18,Z$1,$B$1)</f>
        <v>35.9</v>
      </c>
      <c r="AA18" s="100">
        <f>_xll.EQNXTDZ($A$1,$B18,AA$1,$B$1)</f>
        <v>43.2</v>
      </c>
      <c r="AB18" s="100">
        <f>_xll.EQNXTDZ($A$1,$B18,AB$1,$B$1)</f>
        <v>56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4.1289999999999996</v>
      </c>
      <c r="Q19" s="100">
        <f>_xll.EQNXTDZ($A$1,$B19,Q$1,$B$1)</f>
        <v>13.16</v>
      </c>
      <c r="R19" s="100">
        <f>_xll.EQNXTDZ($A$1,$B19,R$1,$B$1)</f>
        <v>26.3</v>
      </c>
      <c r="S19" s="100">
        <f>_xll.EQNXTDZ($A$1,$B19,S$1,$B$1)</f>
        <v>53.7</v>
      </c>
      <c r="T19" s="100">
        <f>_xll.EQNXTDZ($A$1,$B19,T$1,$B$1)</f>
        <v>40.6</v>
      </c>
      <c r="U19" s="100">
        <f>_xll.EQNXTDZ($A$1,$B19,U$1,$B$1)</f>
        <v>51</v>
      </c>
      <c r="V19" s="100">
        <f>_xll.EQNXTDZ($A$1,$B19,V$1,$B$1)</f>
        <v>76</v>
      </c>
      <c r="W19" s="100">
        <f>_xll.EQNXTDZ($A$1,$B19,W$1,$B$1)</f>
        <v>62.1</v>
      </c>
      <c r="X19" s="100">
        <f>_xll.EQNXTDZ($A$1,$B19,X$1,$B$1)</f>
        <v>85.6</v>
      </c>
      <c r="Y19" s="100">
        <f>_xll.EQNXTDZ($A$1,$B19,Y$1,$B$1)</f>
        <v>94.4</v>
      </c>
      <c r="Z19" s="100">
        <f>_xll.EQNXTDZ($A$1,$B19,Z$1,$B$1)</f>
        <v>107.1</v>
      </c>
      <c r="AA19" s="100">
        <f>_xll.EQNXTDZ($A$1,$B19,AA$1,$B$1)</f>
        <v>92.3</v>
      </c>
      <c r="AB19" s="100">
        <f>_xll.EQNXTDZ($A$1,$B19,AB$1,$B$1)</f>
        <v>161.5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3.0000000000000001E-3</v>
      </c>
      <c r="P21" s="100">
        <f>_xll.EQNXTDZ($A$1,$B21,P$1,$B$1)</f>
        <v>110.59</v>
      </c>
      <c r="Q21" s="100">
        <f>_xll.EQNXTDZ($A$1,$B21,Q$1,$B$1)</f>
        <v>2219.8910000000001</v>
      </c>
      <c r="R21" s="100">
        <f>_xll.EQNXTDZ($A$1,$B21,R$1,$B$1)</f>
        <v>2546.8000000000002</v>
      </c>
      <c r="S21" s="100">
        <f>_xll.EQNXTDZ($A$1,$B21,S$1,$B$1)</f>
        <v>2683.9</v>
      </c>
      <c r="T21" s="100">
        <f>_xll.EQNXTDZ($A$1,$B21,T$1,$B$1)</f>
        <v>3184.2</v>
      </c>
      <c r="U21" s="100">
        <f>_xll.EQNXTDZ($A$1,$B21,U$1,$B$1)</f>
        <v>4163.7</v>
      </c>
      <c r="V21" s="100">
        <f>_xll.EQNXTDZ($A$1,$B21,V$1,$B$1)</f>
        <v>4510.7</v>
      </c>
      <c r="W21" s="100">
        <f>_xll.EQNXTDZ($A$1,$B21,W$1,$B$1)</f>
        <v>4482.8999999999996</v>
      </c>
      <c r="X21" s="100">
        <f>_xll.EQNXTDZ($A$1,$B21,X$1,$B$1)</f>
        <v>5187.6000000000004</v>
      </c>
      <c r="Y21" s="100">
        <f>_xll.EQNXTDZ($A$1,$B21,Y$1,$B$1)</f>
        <v>7069.1</v>
      </c>
      <c r="Z21" s="100">
        <f>_xll.EQNXTDZ($A$1,$B21,Z$1,$B$1)</f>
        <v>7739.8</v>
      </c>
      <c r="AA21" s="100">
        <f>_xll.EQNXTDZ($A$1,$B21,AA$1,$B$1)</f>
        <v>7855.7</v>
      </c>
      <c r="AB21" s="100">
        <f>_xll.EQNXTDZ($A$1,$B21,AB$1,$B$1)</f>
        <v>9085.7999999999993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-3.0000000000000001E-3</v>
      </c>
      <c r="P22" s="100">
        <f>_xll.EQNXTDZ($A$1,$B22,P$1,$B$1)</f>
        <v>15.58</v>
      </c>
      <c r="Q22" s="100">
        <f>_xll.EQNXTDZ($A$1,$B22,Q$1,$B$1)</f>
        <v>398.73599999999999</v>
      </c>
      <c r="R22" s="100">
        <f>_xll.EQNXTDZ($A$1,$B22,R$1,$B$1)</f>
        <v>519.4</v>
      </c>
      <c r="S22" s="100">
        <f>_xll.EQNXTDZ($A$1,$B22,S$1,$B$1)</f>
        <v>564.4</v>
      </c>
      <c r="T22" s="100">
        <f>_xll.EQNXTDZ($A$1,$B22,T$1,$B$1)</f>
        <v>562.9</v>
      </c>
      <c r="U22" s="100">
        <f>_xll.EQNXTDZ($A$1,$B22,U$1,$B$1)</f>
        <v>914.6</v>
      </c>
      <c r="V22" s="100">
        <f>_xll.EQNXTDZ($A$1,$B22,V$1,$B$1)</f>
        <v>1108.4000000000001</v>
      </c>
      <c r="W22" s="100">
        <f>_xll.EQNXTDZ($A$1,$B22,W$1,$B$1)</f>
        <v>966.8</v>
      </c>
      <c r="X22" s="100">
        <f>_xll.EQNXTDZ($A$1,$B22,X$1,$B$1)</f>
        <v>1382.1</v>
      </c>
      <c r="Y22" s="100">
        <f>_xll.EQNXTDZ($A$1,$B22,Y$1,$B$1)</f>
        <v>1746.4</v>
      </c>
      <c r="Z22" s="100">
        <f>_xll.EQNXTDZ($A$1,$B22,Z$1,$B$1)</f>
        <v>1907.5</v>
      </c>
      <c r="AA22" s="100">
        <f>_xll.EQNXTDZ($A$1,$B22,AA$1,$B$1)</f>
        <v>1786.5</v>
      </c>
      <c r="AB22" s="100">
        <f>_xll.EQNXTDZ($A$1,$B22,AB$1,$B$1)</f>
        <v>1910.1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2.1000000000000001E-2</v>
      </c>
      <c r="Q23" s="100">
        <f>_xll.EQNXTDZ($A$1,$B23,Q$1,$B$1)</f>
        <v>25.26</v>
      </c>
      <c r="R23" s="100">
        <f>_xll.EQNXTDZ($A$1,$B23,R$1,$B$1)</f>
        <v>84.5</v>
      </c>
      <c r="S23" s="100">
        <f>_xll.EQNXTDZ($A$1,$B23,S$1,$B$1)</f>
        <v>79.400000000000006</v>
      </c>
      <c r="T23" s="100">
        <f>_xll.EQNXTDZ($A$1,$B23,T$1,$B$1)</f>
        <v>206.1</v>
      </c>
      <c r="U23" s="100">
        <f>_xll.EQNXTDZ($A$1,$B23,U$1,$B$1)</f>
        <v>222.9</v>
      </c>
      <c r="V23" s="100">
        <f>_xll.EQNXTDZ($A$1,$B23,V$1,$B$1)</f>
        <v>211.2</v>
      </c>
      <c r="W23" s="100">
        <f>_xll.EQNXTDZ($A$1,$B23,W$1,$B$1)</f>
        <v>194.3</v>
      </c>
      <c r="X23" s="100">
        <f>_xll.EQNXTDZ($A$1,$B23,X$1,$B$1)</f>
        <v>185.2</v>
      </c>
      <c r="Y23" s="100">
        <f>_xll.EQNXTDZ($A$1,$B23,Y$1,$B$1)</f>
        <v>217.8</v>
      </c>
      <c r="Z23" s="100">
        <f>_xll.EQNXTDZ($A$1,$B23,Z$1,$B$1)</f>
        <v>218.8</v>
      </c>
      <c r="AA23" s="100">
        <f>_xll.EQNXTDZ($A$1,$B23,AA$1,$B$1)</f>
        <v>212.5</v>
      </c>
      <c r="AB23" s="100">
        <f>_xll.EQNXTDZ($A$1,$B23,AB$1,$B$1)</f>
        <v>246.1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-3.0000000000000001E-3</v>
      </c>
      <c r="P24" s="100">
        <f>_xll.EQNXTDZ($A$1,$B24,P$1,$B$1)</f>
        <v>15.601000000000001</v>
      </c>
      <c r="Q24" s="100">
        <f>_xll.EQNXTDZ($A$1,$B24,Q$1,$B$1)</f>
        <v>423.99599999999998</v>
      </c>
      <c r="R24" s="100">
        <f>_xll.EQNXTDZ($A$1,$B24,R$1,$B$1)</f>
        <v>603.9</v>
      </c>
      <c r="S24" s="100">
        <f>_xll.EQNXTDZ($A$1,$B24,S$1,$B$1)</f>
        <v>643.79999999999995</v>
      </c>
      <c r="T24" s="100">
        <f>_xll.EQNXTDZ($A$1,$B24,T$1,$B$1)</f>
        <v>769</v>
      </c>
      <c r="U24" s="100">
        <f>_xll.EQNXTDZ($A$1,$B24,U$1,$B$1)</f>
        <v>1137.5</v>
      </c>
      <c r="V24" s="100">
        <f>_xll.EQNXTDZ($A$1,$B24,V$1,$B$1)</f>
        <v>1319.6</v>
      </c>
      <c r="W24" s="100">
        <f>_xll.EQNXTDZ($A$1,$B24,W$1,$B$1)</f>
        <v>1161.0999999999999</v>
      </c>
      <c r="X24" s="100">
        <f>_xll.EQNXTDZ($A$1,$B24,X$1,$B$1)</f>
        <v>1567.3</v>
      </c>
      <c r="Y24" s="100">
        <f>_xll.EQNXTDZ($A$1,$B24,Y$1,$B$1)</f>
        <v>1964.2</v>
      </c>
      <c r="Z24" s="100">
        <f>_xll.EQNXTDZ($A$1,$B24,Z$1,$B$1)</f>
        <v>2126.3000000000002</v>
      </c>
      <c r="AA24" s="100">
        <f>_xll.EQNXTDZ($A$1,$B24,AA$1,$B$1)</f>
        <v>1999</v>
      </c>
      <c r="AB24" s="100">
        <f>_xll.EQNXTDZ($A$1,$B24,AB$1,$B$1)</f>
        <v>2156.1999999999998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2.9249999999999998</v>
      </c>
      <c r="Q25" s="100">
        <f>_xll.EQNXTDZ($A$1,$B25,Q$1,$B$1)</f>
        <v>3.3839999999999999</v>
      </c>
      <c r="R25" s="100">
        <f>_xll.EQNXTDZ($A$1,$B25,R$1,$B$1)</f>
        <v>2.5</v>
      </c>
      <c r="S25" s="100">
        <f>_xll.EQNXTDZ($A$1,$B25,S$1,$B$1)</f>
        <v>2.1</v>
      </c>
      <c r="T25" s="100">
        <f>_xll.EQNXTDZ($A$1,$B25,T$1,$B$1)</f>
        <v>2.4</v>
      </c>
      <c r="U25" s="100">
        <f>_xll.EQNXTDZ($A$1,$B25,U$1,$B$1)</f>
        <v>1.9</v>
      </c>
      <c r="V25" s="100">
        <f>_xll.EQNXTDZ($A$1,$B25,V$1,$B$1)</f>
        <v>36.5</v>
      </c>
      <c r="W25" s="100">
        <f>_xll.EQNXTDZ($A$1,$B25,W$1,$B$1)</f>
        <v>45.5</v>
      </c>
      <c r="X25" s="100">
        <f>_xll.EQNXTDZ($A$1,$B25,X$1,$B$1)</f>
        <v>43.7</v>
      </c>
      <c r="Y25" s="100">
        <f>_xll.EQNXTDZ($A$1,$B25,Y$1,$B$1)</f>
        <v>44.4</v>
      </c>
      <c r="Z25" s="100">
        <f>_xll.EQNXTDZ($A$1,$B25,Z$1,$B$1)</f>
        <v>50.9</v>
      </c>
      <c r="AA25" s="100">
        <f>_xll.EQNXTDZ($A$1,$B25,AA$1,$B$1)</f>
        <v>56.5</v>
      </c>
      <c r="AB25" s="100">
        <f>_xll.EQNXTDZ($A$1,$B25,AB$1,$B$1)</f>
        <v>64.099999999999994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-3.0000000000000001E-3</v>
      </c>
      <c r="P26" s="100">
        <f>_xll.EQNXTDZ($A$1,$B26,P$1,$B$1)</f>
        <v>12.676</v>
      </c>
      <c r="Q26" s="100">
        <f>_xll.EQNXTDZ($A$1,$B26,Q$1,$B$1)</f>
        <v>420.61200000000002</v>
      </c>
      <c r="R26" s="100">
        <f>_xll.EQNXTDZ($A$1,$B26,R$1,$B$1)</f>
        <v>601.4</v>
      </c>
      <c r="S26" s="100">
        <f>_xll.EQNXTDZ($A$1,$B26,S$1,$B$1)</f>
        <v>641.70000000000005</v>
      </c>
      <c r="T26" s="100">
        <f>_xll.EQNXTDZ($A$1,$B26,T$1,$B$1)</f>
        <v>766.6</v>
      </c>
      <c r="U26" s="100">
        <f>_xll.EQNXTDZ($A$1,$B26,U$1,$B$1)</f>
        <v>1135.5999999999999</v>
      </c>
      <c r="V26" s="100">
        <f>_xll.EQNXTDZ($A$1,$B26,V$1,$B$1)</f>
        <v>1283.0999999999999</v>
      </c>
      <c r="W26" s="100">
        <f>_xll.EQNXTDZ($A$1,$B26,W$1,$B$1)</f>
        <v>1115.5999999999999</v>
      </c>
      <c r="X26" s="100">
        <f>_xll.EQNXTDZ($A$1,$B26,X$1,$B$1)</f>
        <v>1523.6</v>
      </c>
      <c r="Y26" s="100">
        <f>_xll.EQNXTDZ($A$1,$B26,Y$1,$B$1)</f>
        <v>1919.8</v>
      </c>
      <c r="Z26" s="100">
        <f>_xll.EQNXTDZ($A$1,$B26,Z$1,$B$1)</f>
        <v>2075.4</v>
      </c>
      <c r="AA26" s="100">
        <f>_xll.EQNXTDZ($A$1,$B26,AA$1,$B$1)</f>
        <v>1942.5</v>
      </c>
      <c r="AB26" s="100">
        <f>_xll.EQNXTDZ($A$1,$B26,AB$1,$B$1)</f>
        <v>2092.1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1.1240000000000001</v>
      </c>
      <c r="Q27" s="100">
        <f>_xll.EQNXTDZ($A$1,$B27,Q$1,$B$1)</f>
        <v>48.463000000000001</v>
      </c>
      <c r="R27" s="100">
        <f>_xll.EQNXTDZ($A$1,$B27,R$1,$B$1)</f>
        <v>58.9</v>
      </c>
      <c r="S27" s="100">
        <f>_xll.EQNXTDZ($A$1,$B27,S$1,$B$1)</f>
        <v>62.5</v>
      </c>
      <c r="T27" s="100">
        <f>_xll.EQNXTDZ($A$1,$B27,T$1,$B$1)</f>
        <v>88.8</v>
      </c>
      <c r="U27" s="100">
        <f>_xll.EQNXTDZ($A$1,$B27,U$1,$B$1)</f>
        <v>104.2</v>
      </c>
      <c r="V27" s="100">
        <f>_xll.EQNXTDZ($A$1,$B27,V$1,$B$1)</f>
        <v>182.9</v>
      </c>
      <c r="W27" s="100">
        <f>_xll.EQNXTDZ($A$1,$B27,W$1,$B$1)</f>
        <v>218.3</v>
      </c>
      <c r="X27" s="100">
        <f>_xll.EQNXTDZ($A$1,$B27,X$1,$B$1)</f>
        <v>214.4</v>
      </c>
      <c r="Y27" s="100">
        <f>_xll.EQNXTDZ($A$1,$B27,Y$1,$B$1)</f>
        <v>233.8</v>
      </c>
      <c r="Z27" s="100">
        <f>_xll.EQNXTDZ($A$1,$B27,Z$1,$B$1)</f>
        <v>271.60000000000002</v>
      </c>
      <c r="AA27" s="100">
        <f>_xll.EQNXTDZ($A$1,$B27,AA$1,$B$1)</f>
        <v>303.10000000000002</v>
      </c>
      <c r="AB27" s="100">
        <f>_xll.EQNXTDZ($A$1,$B27,AB$1,$B$1)</f>
        <v>345.2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-72.400000000000006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5.3380000000000001</v>
      </c>
      <c r="Q30" s="100">
        <f>_xll.EQNXTDZ($A$1,$B30,Q$1,$B$1)</f>
        <v>61.04</v>
      </c>
      <c r="R30" s="100">
        <f>_xll.EQNXTDZ($A$1,$B30,R$1,$B$1)</f>
        <v>123.9</v>
      </c>
      <c r="S30" s="100">
        <f>_xll.EQNXTDZ($A$1,$B30,S$1,$B$1)</f>
        <v>154.19999999999999</v>
      </c>
      <c r="T30" s="100">
        <f>_xll.EQNXTDZ($A$1,$B30,T$1,$B$1)</f>
        <v>171.2</v>
      </c>
      <c r="U30" s="100">
        <f>_xll.EQNXTDZ($A$1,$B30,U$1,$B$1)</f>
        <v>263</v>
      </c>
      <c r="V30" s="100">
        <f>_xll.EQNXTDZ($A$1,$B30,V$1,$B$1)</f>
        <v>277.8</v>
      </c>
      <c r="W30" s="100">
        <f>_xll.EQNXTDZ($A$1,$B30,W$1,$B$1)</f>
        <v>230.8</v>
      </c>
      <c r="X30" s="100">
        <f>_xll.EQNXTDZ($A$1,$B30,X$1,$B$1)</f>
        <v>348.6</v>
      </c>
      <c r="Y30" s="100">
        <f>_xll.EQNXTDZ($A$1,$B30,Y$1,$B$1)</f>
        <v>469.6</v>
      </c>
      <c r="Z30" s="100">
        <f>_xll.EQNXTDZ($A$1,$B30,Z$1,$B$1)</f>
        <v>497.5</v>
      </c>
      <c r="AA30" s="100">
        <f>_xll.EQNXTDZ($A$1,$B30,AA$1,$B$1)</f>
        <v>449.5</v>
      </c>
      <c r="AB30" s="100">
        <f>_xll.EQNXTDZ($A$1,$B30,AB$1,$B$1)</f>
        <v>444.5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-0.21199999999999999</v>
      </c>
      <c r="R32" s="100">
        <f>_xll.EQNXTDZ($A$1,$B32,R$1,$B$1)</f>
        <v>0.5</v>
      </c>
      <c r="S32" s="100">
        <f>_xll.EQNXTDZ($A$1,$B32,S$1,$B$1)</f>
        <v>-0.1</v>
      </c>
      <c r="T32" s="100">
        <f>_xll.EQNXTDZ($A$1,$B32,T$1,$B$1)</f>
        <v>-0.6</v>
      </c>
      <c r="U32" s="100">
        <f>_xll.EQNXTDZ($A$1,$B32,U$1,$B$1)</f>
        <v>-2.8</v>
      </c>
      <c r="V32" s="100">
        <f>_xll.EQNXTDZ($A$1,$B32,V$1,$B$1)</f>
        <v>-3.8</v>
      </c>
      <c r="W32" s="100">
        <f>_xll.EQNXTDZ($A$1,$B32,W$1,$B$1)</f>
        <v>-3.2</v>
      </c>
      <c r="X32" s="100">
        <f>_xll.EQNXTDZ($A$1,$B32,X$1,$B$1)</f>
        <v>-3.6</v>
      </c>
      <c r="Y32" s="100">
        <f>_xll.EQNXTDZ($A$1,$B32,Y$1,$B$1)</f>
        <v>-4.3</v>
      </c>
      <c r="Z32" s="100">
        <f>_xll.EQNXTDZ($A$1,$B32,Z$1,$B$1)</f>
        <v>-2.6</v>
      </c>
      <c r="AA32" s="100">
        <f>_xll.EQNXTDZ($A$1,$B32,AA$1,$B$1)</f>
        <v>3.2</v>
      </c>
      <c r="AB32" s="100">
        <f>_xll.EQNXTDZ($A$1,$B32,AB$1,$B$1)</f>
        <v>-1.9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-3.0000000000000001E-3</v>
      </c>
      <c r="P35" s="100">
        <f>_xll.EQNXTDZ($A$1,$B35,P$1,$B$1)</f>
        <v>6.2140000000000004</v>
      </c>
      <c r="Q35" s="100">
        <f>_xll.EQNXTDZ($A$1,$B35,Q$1,$B$1)</f>
        <v>310.89699999999999</v>
      </c>
      <c r="R35" s="100">
        <f>_xll.EQNXTDZ($A$1,$B35,R$1,$B$1)</f>
        <v>419.1</v>
      </c>
      <c r="S35" s="100">
        <f>_xll.EQNXTDZ($A$1,$B35,S$1,$B$1)</f>
        <v>424.9</v>
      </c>
      <c r="T35" s="100">
        <f>_xll.EQNXTDZ($A$1,$B35,T$1,$B$1)</f>
        <v>506</v>
      </c>
      <c r="U35" s="100">
        <f>_xll.EQNXTDZ($A$1,$B35,U$1,$B$1)</f>
        <v>765.6</v>
      </c>
      <c r="V35" s="100">
        <f>_xll.EQNXTDZ($A$1,$B35,V$1,$B$1)</f>
        <v>818.6</v>
      </c>
      <c r="W35" s="100">
        <f>_xll.EQNXTDZ($A$1,$B35,W$1,$B$1)</f>
        <v>663.3</v>
      </c>
      <c r="X35" s="100">
        <f>_xll.EQNXTDZ($A$1,$B35,X$1,$B$1)</f>
        <v>957</v>
      </c>
      <c r="Y35" s="100">
        <f>_xll.EQNXTDZ($A$1,$B35,Y$1,$B$1)</f>
        <v>1212.0999999999999</v>
      </c>
      <c r="Z35" s="100">
        <f>_xll.EQNXTDZ($A$1,$B35,Z$1,$B$1)</f>
        <v>1303.7</v>
      </c>
      <c r="AA35" s="100">
        <f>_xll.EQNXTDZ($A$1,$B35,AA$1,$B$1)</f>
        <v>1266.7</v>
      </c>
      <c r="AB35" s="100">
        <f>_xll.EQNXTDZ($A$1,$B35,AB$1,$B$1)</f>
        <v>1279.2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73.599999999999994</v>
      </c>
      <c r="AB36" s="100">
        <f>_xll.EQNXTDZ($A$1,$B36,AB$1,$B$1)</f>
        <v>51.1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0.05</v>
      </c>
      <c r="P41" s="55">
        <f>_xll.EQNXTDZ($A$1,$B41,P$1,$B$1)</f>
        <v>502.5</v>
      </c>
      <c r="Q41" s="55">
        <f>_xll.EQNXTDZ($A$1,$B41,Q$1,$B$1)</f>
        <v>1050</v>
      </c>
      <c r="R41" s="55">
        <f>_xll.EQNXTDZ($A$1,$B41,R$1,$B$1)</f>
        <v>1050</v>
      </c>
      <c r="S41" s="55">
        <f>_xll.EQNXTDZ($A$1,$B41,S$1,$B$1)</f>
        <v>20.3</v>
      </c>
      <c r="T41" s="55">
        <f>_xll.EQNXTDZ($A$1,$B41,T$1,$B$1)</f>
        <v>20.5</v>
      </c>
      <c r="U41" s="55">
        <f>_xll.EQNXTDZ($A$1,$B41,U$1,$B$1)</f>
        <v>20.8</v>
      </c>
      <c r="V41" s="55">
        <f>_xll.EQNXTDZ($A$1,$B41,V$1,$B$1)</f>
        <v>20.9</v>
      </c>
      <c r="W41" s="55">
        <f>_xll.EQNXTDZ($A$1,$B41,W$1,$B$1)</f>
        <v>21</v>
      </c>
      <c r="X41" s="55">
        <f>_xll.EQNXTDZ($A$1,$B41,X$1,$B$1)</f>
        <v>21.1</v>
      </c>
      <c r="Y41" s="55">
        <f>_xll.EQNXTDZ($A$1,$B41,Y$1,$B$1)</f>
        <v>21.1</v>
      </c>
      <c r="Z41" s="55">
        <f>_xll.EQNXTDZ($A$1,$B41,Z$1,$B$1)</f>
        <v>21.2</v>
      </c>
      <c r="AA41" s="55">
        <f>_xll.EQNXTDZ($A$1,$B41,AA$1,$B$1)</f>
        <v>21.2</v>
      </c>
      <c r="AB41" s="55">
        <f>_xll.EQNXTDZ($A$1,$B41,AB$1,$B$1)</f>
        <v>21.2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0.22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31</v>
      </c>
      <c r="T42" s="55">
        <f>_xll.EQNXTDZ($A$1,$B42,T$1,$B$1)</f>
        <v>53.8</v>
      </c>
      <c r="U42" s="55">
        <f>_xll.EQNXTDZ($A$1,$B42,U$1,$B$1)</f>
        <v>34.4</v>
      </c>
      <c r="V42" s="55">
        <f>_xll.EQNXTDZ($A$1,$B42,V$1,$B$1)</f>
        <v>35.4</v>
      </c>
      <c r="W42" s="55">
        <f>_xll.EQNXTDZ($A$1,$B42,W$1,$B$1)</f>
        <v>29.7</v>
      </c>
      <c r="X42" s="55">
        <f>_xll.EQNXTDZ($A$1,$B42,X$1,$B$1)</f>
        <v>18.7</v>
      </c>
      <c r="Y42" s="55">
        <f>_xll.EQNXTDZ($A$1,$B42,Y$1,$B$1)</f>
        <v>93.8</v>
      </c>
      <c r="Z42" s="55">
        <f>_xll.EQNXTDZ($A$1,$B42,Z$1,$B$1)</f>
        <v>96.1</v>
      </c>
      <c r="AA42" s="55">
        <f>_xll.EQNXTDZ($A$1,$B42,AA$1,$B$1)</f>
        <v>91.7</v>
      </c>
      <c r="AB42" s="55">
        <f>_xll.EQNXTDZ($A$1,$B42,AB$1,$B$1)</f>
        <v>61.1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-3.0000000000000001E-3</v>
      </c>
      <c r="P43" s="55">
        <f>_xll.EQNXTDZ($A$1,$B43,P$1,$B$1)</f>
        <v>-17.815999999999999</v>
      </c>
      <c r="Q43" s="55">
        <f>_xll.EQNXTDZ($A$1,$B43,Q$1,$B$1)</f>
        <v>2.113</v>
      </c>
      <c r="R43" s="55">
        <f>_xll.EQNXTDZ($A$1,$B43,R$1,$B$1)</f>
        <v>16.100000000000001</v>
      </c>
      <c r="S43" s="55">
        <f>_xll.EQNXTDZ($A$1,$B43,S$1,$B$1)</f>
        <v>1434.3</v>
      </c>
      <c r="T43" s="55">
        <f>_xll.EQNXTDZ($A$1,$B43,T$1,$B$1)</f>
        <v>1862.1</v>
      </c>
      <c r="U43" s="55">
        <f>_xll.EQNXTDZ($A$1,$B43,U$1,$B$1)</f>
        <v>2423.9</v>
      </c>
      <c r="V43" s="55">
        <f>_xll.EQNXTDZ($A$1,$B43,V$1,$B$1)</f>
        <v>2712.3</v>
      </c>
      <c r="W43" s="55">
        <f>_xll.EQNXTDZ($A$1,$B43,W$1,$B$1)</f>
        <v>3422.4</v>
      </c>
      <c r="X43" s="55">
        <f>_xll.EQNXTDZ($A$1,$B43,X$1,$B$1)</f>
        <v>4122.7</v>
      </c>
      <c r="Y43" s="55">
        <f>_xll.EQNXTDZ($A$1,$B43,Y$1,$B$1)</f>
        <v>4320</v>
      </c>
      <c r="Z43" s="55">
        <f>_xll.EQNXTDZ($A$1,$B43,Z$1,$B$1)</f>
        <v>5209.8</v>
      </c>
      <c r="AA43" s="55">
        <f>_xll.EQNXTDZ($A$1,$B43,AA$1,$B$1)</f>
        <v>5967.1</v>
      </c>
      <c r="AB43" s="55">
        <f>_xll.EQNXTDZ($A$1,$B43,AB$1,$B$1)</f>
        <v>6390.4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4.7E-2</v>
      </c>
      <c r="P44" s="55">
        <f>_xll.EQNXTDZ($A$1,$B44,P$1,$B$1)</f>
        <v>484.904</v>
      </c>
      <c r="Q44" s="55">
        <f>_xll.EQNXTDZ($A$1,$B44,Q$1,$B$1)</f>
        <v>1052.1130000000001</v>
      </c>
      <c r="R44" s="55">
        <f>_xll.EQNXTDZ($A$1,$B44,R$1,$B$1)</f>
        <v>1066.0999999999999</v>
      </c>
      <c r="S44" s="55">
        <f>_xll.EQNXTDZ($A$1,$B44,S$1,$B$1)</f>
        <v>1485.6</v>
      </c>
      <c r="T44" s="55">
        <f>_xll.EQNXTDZ($A$1,$B44,T$1,$B$1)</f>
        <v>1936.4</v>
      </c>
      <c r="U44" s="55">
        <f>_xll.EQNXTDZ($A$1,$B44,U$1,$B$1)</f>
        <v>2479.1</v>
      </c>
      <c r="V44" s="55">
        <f>_xll.EQNXTDZ($A$1,$B44,V$1,$B$1)</f>
        <v>2768.6</v>
      </c>
      <c r="W44" s="55">
        <f>_xll.EQNXTDZ($A$1,$B44,W$1,$B$1)</f>
        <v>3473.1</v>
      </c>
      <c r="X44" s="55">
        <f>_xll.EQNXTDZ($A$1,$B44,X$1,$B$1)</f>
        <v>4162.5</v>
      </c>
      <c r="Y44" s="55">
        <f>_xll.EQNXTDZ($A$1,$B44,Y$1,$B$1)</f>
        <v>4434.8999999999996</v>
      </c>
      <c r="Z44" s="55">
        <f>_xll.EQNXTDZ($A$1,$B44,Z$1,$B$1)</f>
        <v>5327.1</v>
      </c>
      <c r="AA44" s="55">
        <f>_xll.EQNXTDZ($A$1,$B44,AA$1,$B$1)</f>
        <v>6080</v>
      </c>
      <c r="AB44" s="55">
        <f>_xll.EQNXTDZ($A$1,$B44,AB$1,$B$1)</f>
        <v>6472.7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-0.5</v>
      </c>
      <c r="S45" s="55">
        <f>_xll.EQNXTDZ($A$1,$B45,S$1,$B$1)</f>
        <v>-0.4</v>
      </c>
      <c r="T45" s="55">
        <f>_xll.EQNXTDZ($A$1,$B45,T$1,$B$1)</f>
        <v>0.3</v>
      </c>
      <c r="U45" s="55">
        <f>_xll.EQNXTDZ($A$1,$B45,U$1,$B$1)</f>
        <v>3.1</v>
      </c>
      <c r="V45" s="55">
        <f>_xll.EQNXTDZ($A$1,$B45,V$1,$B$1)</f>
        <v>6.9</v>
      </c>
      <c r="W45" s="55">
        <f>_xll.EQNXTDZ($A$1,$B45,W$1,$B$1)</f>
        <v>10.1</v>
      </c>
      <c r="X45" s="55">
        <f>_xll.EQNXTDZ($A$1,$B45,X$1,$B$1)</f>
        <v>13.7</v>
      </c>
      <c r="Y45" s="55">
        <f>_xll.EQNXTDZ($A$1,$B45,Y$1,$B$1)</f>
        <v>18</v>
      </c>
      <c r="Z45" s="55">
        <f>_xll.EQNXTDZ($A$1,$B45,Z$1,$B$1)</f>
        <v>20.7</v>
      </c>
      <c r="AA45" s="55">
        <f>_xll.EQNXTDZ($A$1,$B45,AA$1,$B$1)</f>
        <v>17.5</v>
      </c>
      <c r="AB45" s="55">
        <f>_xll.EQNXTDZ($A$1,$B45,AB$1,$B$1)</f>
        <v>19.5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5.6000000000000001E-2</v>
      </c>
      <c r="Q49" s="55">
        <f>_xll.EQNXTDZ($A$1,$B49,Q$1,$B$1)</f>
        <v>-36.729999999999997</v>
      </c>
      <c r="R49" s="55">
        <f>_xll.EQNXTDZ($A$1,$B49,R$1,$B$1)</f>
        <v>-106.1</v>
      </c>
      <c r="S49" s="55">
        <f>_xll.EQNXTDZ($A$1,$B49,S$1,$B$1)</f>
        <v>-32.299999999999997</v>
      </c>
      <c r="T49" s="55">
        <f>_xll.EQNXTDZ($A$1,$B49,T$1,$B$1)</f>
        <v>-24.3</v>
      </c>
      <c r="U49" s="55">
        <f>_xll.EQNXTDZ($A$1,$B49,U$1,$B$1)</f>
        <v>0.8</v>
      </c>
      <c r="V49" s="55">
        <f>_xll.EQNXTDZ($A$1,$B49,V$1,$B$1)</f>
        <v>-31.1</v>
      </c>
      <c r="W49" s="55">
        <f>_xll.EQNXTDZ($A$1,$B49,W$1,$B$1)</f>
        <v>51.1</v>
      </c>
      <c r="X49" s="55">
        <f>_xll.EQNXTDZ($A$1,$B49,X$1,$B$1)</f>
        <v>67.099999999999994</v>
      </c>
      <c r="Y49" s="55">
        <f>_xll.EQNXTDZ($A$1,$B49,Y$1,$B$1)</f>
        <v>25.9</v>
      </c>
      <c r="Z49" s="55">
        <f>_xll.EQNXTDZ($A$1,$B49,Z$1,$B$1)</f>
        <v>69.099999999999994</v>
      </c>
      <c r="AA49" s="55">
        <f>_xll.EQNXTDZ($A$1,$B49,AA$1,$B$1)</f>
        <v>59.4</v>
      </c>
      <c r="AB49" s="55">
        <f>_xll.EQNXTDZ($A$1,$B49,AB$1,$B$1)</f>
        <v>-90.6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1.103</v>
      </c>
      <c r="Q50" s="55">
        <f>_xll.EQNXTDZ($A$1,$B50,Q$1,$B$1)</f>
        <v>4.9669999999999996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1.8</v>
      </c>
      <c r="U50" s="55">
        <f>_xll.EQNXTDZ($A$1,$B50,U$1,$B$1)</f>
        <v>6</v>
      </c>
      <c r="V50" s="55">
        <f>_xll.EQNXTDZ($A$1,$B50,V$1,$B$1)</f>
        <v>489</v>
      </c>
      <c r="W50" s="55">
        <f>_xll.EQNXTDZ($A$1,$B50,W$1,$B$1)</f>
        <v>433.7</v>
      </c>
      <c r="X50" s="55">
        <f>_xll.EQNXTDZ($A$1,$B50,X$1,$B$1)</f>
        <v>455</v>
      </c>
      <c r="Y50" s="55">
        <f>_xll.EQNXTDZ($A$1,$B50,Y$1,$B$1)</f>
        <v>389.6</v>
      </c>
      <c r="Z50" s="55">
        <f>_xll.EQNXTDZ($A$1,$B50,Z$1,$B$1)</f>
        <v>520.79999999999995</v>
      </c>
      <c r="AA50" s="55">
        <f>_xll.EQNXTDZ($A$1,$B50,AA$1,$B$1)</f>
        <v>458.3</v>
      </c>
      <c r="AB50" s="55">
        <f>_xll.EQNXTDZ($A$1,$B50,AB$1,$B$1)</f>
        <v>739.3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0.92700000000000005</v>
      </c>
      <c r="Q52" s="55">
        <f>_xll.EQNXTDZ($A$1,$B52,Q$1,$B$1)</f>
        <v>1.9590000000000001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</v>
      </c>
      <c r="X52" s="55">
        <f>_xll.EQNXTDZ($A$1,$B52,X$1,$B$1)</f>
        <v>5.6</v>
      </c>
      <c r="Y52" s="55">
        <f>_xll.EQNXTDZ($A$1,$B52,Y$1,$B$1)</f>
        <v>5.3</v>
      </c>
      <c r="Z52" s="55">
        <f>_xll.EQNXTDZ($A$1,$B52,Z$1,$B$1)</f>
        <v>8.3000000000000007</v>
      </c>
      <c r="AA52" s="55">
        <f>_xll.EQNXTDZ($A$1,$B52,AA$1,$B$1)</f>
        <v>21.9</v>
      </c>
      <c r="AB52" s="55">
        <f>_xll.EQNXTDZ($A$1,$B52,AB$1,$B$1)</f>
        <v>21.7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2.0859999999999999</v>
      </c>
      <c r="Q53" s="55">
        <f>_xll.EQNXTDZ($A$1,$B53,Q$1,$B$1)</f>
        <v>-29.803999999999998</v>
      </c>
      <c r="R53" s="55">
        <f>_xll.EQNXTDZ($A$1,$B53,R$1,$B$1)</f>
        <v>-106.1</v>
      </c>
      <c r="S53" s="55">
        <f>_xll.EQNXTDZ($A$1,$B53,S$1,$B$1)</f>
        <v>-32.299999999999997</v>
      </c>
      <c r="T53" s="55">
        <f>_xll.EQNXTDZ($A$1,$B53,T$1,$B$1)</f>
        <v>-22.5</v>
      </c>
      <c r="U53" s="55">
        <f>_xll.EQNXTDZ($A$1,$B53,U$1,$B$1)</f>
        <v>6.8</v>
      </c>
      <c r="V53" s="55">
        <f>_xll.EQNXTDZ($A$1,$B53,V$1,$B$1)</f>
        <v>457.9</v>
      </c>
      <c r="W53" s="55">
        <f>_xll.EQNXTDZ($A$1,$B53,W$1,$B$1)</f>
        <v>484.8</v>
      </c>
      <c r="X53" s="55">
        <f>_xll.EQNXTDZ($A$1,$B53,X$1,$B$1)</f>
        <v>527.70000000000005</v>
      </c>
      <c r="Y53" s="55">
        <f>_xll.EQNXTDZ($A$1,$B53,Y$1,$B$1)</f>
        <v>420.8</v>
      </c>
      <c r="Z53" s="55">
        <f>_xll.EQNXTDZ($A$1,$B53,Z$1,$B$1)</f>
        <v>598.20000000000005</v>
      </c>
      <c r="AA53" s="55">
        <f>_xll.EQNXTDZ($A$1,$B53,AA$1,$B$1)</f>
        <v>539.6</v>
      </c>
      <c r="AB53" s="55">
        <f>_xll.EQNXTDZ($A$1,$B53,AB$1,$B$1)</f>
        <v>670.4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3.0000000000000001E-3</v>
      </c>
      <c r="P54" s="55">
        <f>_xll.EQNXTDZ($A$1,$B54,P$1,$B$1)</f>
        <v>50.289000000000001</v>
      </c>
      <c r="Q54" s="55">
        <f>_xll.EQNXTDZ($A$1,$B54,Q$1,$B$1)</f>
        <v>168.928</v>
      </c>
      <c r="R54" s="55">
        <f>_xll.EQNXTDZ($A$1,$B54,R$1,$B$1)</f>
        <v>213.8</v>
      </c>
      <c r="S54" s="55">
        <f>_xll.EQNXTDZ($A$1,$B54,S$1,$B$1)</f>
        <v>148.9</v>
      </c>
      <c r="T54" s="55">
        <f>_xll.EQNXTDZ($A$1,$B54,T$1,$B$1)</f>
        <v>180.7</v>
      </c>
      <c r="U54" s="55">
        <f>_xll.EQNXTDZ($A$1,$B54,U$1,$B$1)</f>
        <v>187.9</v>
      </c>
      <c r="V54" s="55">
        <f>_xll.EQNXTDZ($A$1,$B54,V$1,$B$1)</f>
        <v>197.5</v>
      </c>
      <c r="W54" s="55">
        <f>_xll.EQNXTDZ($A$1,$B54,W$1,$B$1)</f>
        <v>235.2</v>
      </c>
      <c r="X54" s="55">
        <f>_xll.EQNXTDZ($A$1,$B54,X$1,$B$1)</f>
        <v>393.4</v>
      </c>
      <c r="Y54" s="55">
        <f>_xll.EQNXTDZ($A$1,$B54,Y$1,$B$1)</f>
        <v>1236.9000000000001</v>
      </c>
      <c r="Z54" s="55">
        <f>_xll.EQNXTDZ($A$1,$B54,Z$1,$B$1)</f>
        <v>1411.7</v>
      </c>
      <c r="AA54" s="55">
        <f>_xll.EQNXTDZ($A$1,$B54,AA$1,$B$1)</f>
        <v>1622.3</v>
      </c>
      <c r="AB54" s="55">
        <f>_xll.EQNXTDZ($A$1,$B54,AB$1,$B$1)</f>
        <v>936.8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18.661000000000001</v>
      </c>
      <c r="Q55" s="55">
        <f>_xll.EQNXTDZ($A$1,$B55,Q$1,$B$1)</f>
        <v>72.430999999999997</v>
      </c>
      <c r="R55" s="55">
        <f>_xll.EQNXTDZ($A$1,$B55,R$1,$B$1)</f>
        <v>341.1</v>
      </c>
      <c r="S55" s="55">
        <f>_xll.EQNXTDZ($A$1,$B55,S$1,$B$1)</f>
        <v>368.6</v>
      </c>
      <c r="T55" s="55">
        <f>_xll.EQNXTDZ($A$1,$B55,T$1,$B$1)</f>
        <v>374.9</v>
      </c>
      <c r="U55" s="55">
        <f>_xll.EQNXTDZ($A$1,$B55,U$1,$B$1)</f>
        <v>464.9</v>
      </c>
      <c r="V55" s="55">
        <f>_xll.EQNXTDZ($A$1,$B55,V$1,$B$1)</f>
        <v>612.79999999999995</v>
      </c>
      <c r="W55" s="55">
        <f>_xll.EQNXTDZ($A$1,$B55,W$1,$B$1)</f>
        <v>657.5</v>
      </c>
      <c r="X55" s="55">
        <f>_xll.EQNXTDZ($A$1,$B55,X$1,$B$1)</f>
        <v>706.2</v>
      </c>
      <c r="Y55" s="55">
        <f>_xll.EQNXTDZ($A$1,$B55,Y$1,$B$1)</f>
        <v>1820.6</v>
      </c>
      <c r="Z55" s="55">
        <f>_xll.EQNXTDZ($A$1,$B55,Z$1,$B$1)</f>
        <v>909.7</v>
      </c>
      <c r="AA55" s="55">
        <f>_xll.EQNXTDZ($A$1,$B55,AA$1,$B$1)</f>
        <v>1075.4000000000001</v>
      </c>
      <c r="AB55" s="55">
        <f>_xll.EQNXTDZ($A$1,$B55,AB$1,$B$1)</f>
        <v>1281.5999999999999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48.686999999999998</v>
      </c>
      <c r="Q56" s="55">
        <f>_xll.EQNXTDZ($A$1,$B56,Q$1,$B$1)</f>
        <v>218.76900000000001</v>
      </c>
      <c r="R56" s="55">
        <f>_xll.EQNXTDZ($A$1,$B56,R$1,$B$1)</f>
        <v>195.5</v>
      </c>
      <c r="S56" s="55">
        <f>_xll.EQNXTDZ($A$1,$B56,S$1,$B$1)</f>
        <v>101.9</v>
      </c>
      <c r="T56" s="55">
        <f>_xll.EQNXTDZ($A$1,$B56,T$1,$B$1)</f>
        <v>70.2</v>
      </c>
      <c r="U56" s="55">
        <f>_xll.EQNXTDZ($A$1,$B56,U$1,$B$1)</f>
        <v>70.2</v>
      </c>
      <c r="V56" s="55">
        <f>_xll.EQNXTDZ($A$1,$B56,V$1,$B$1)</f>
        <v>30.3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32.264000000000003</v>
      </c>
      <c r="Q57" s="55">
        <f>_xll.EQNXTDZ($A$1,$B57,Q$1,$B$1)</f>
        <v>295.16800000000001</v>
      </c>
      <c r="R57" s="55">
        <f>_xll.EQNXTDZ($A$1,$B57,R$1,$B$1)</f>
        <v>259.39999999999998</v>
      </c>
      <c r="S57" s="55">
        <f>_xll.EQNXTDZ($A$1,$B57,S$1,$B$1)</f>
        <v>127.1</v>
      </c>
      <c r="T57" s="55">
        <f>_xll.EQNXTDZ($A$1,$B57,T$1,$B$1)</f>
        <v>137.9</v>
      </c>
      <c r="U57" s="55">
        <f>_xll.EQNXTDZ($A$1,$B57,U$1,$B$1)</f>
        <v>139.69999999999999</v>
      </c>
      <c r="V57" s="55">
        <f>_xll.EQNXTDZ($A$1,$B57,V$1,$B$1)</f>
        <v>198.2</v>
      </c>
      <c r="W57" s="55">
        <f>_xll.EQNXTDZ($A$1,$B57,W$1,$B$1)</f>
        <v>205.5</v>
      </c>
      <c r="X57" s="55">
        <f>_xll.EQNXTDZ($A$1,$B57,X$1,$B$1)</f>
        <v>273.7</v>
      </c>
      <c r="Y57" s="55">
        <f>_xll.EQNXTDZ($A$1,$B57,Y$1,$B$1)</f>
        <v>252.6</v>
      </c>
      <c r="Z57" s="55">
        <f>_xll.EQNXTDZ($A$1,$B57,Z$1,$B$1)</f>
        <v>215.7</v>
      </c>
      <c r="AA57" s="55">
        <f>_xll.EQNXTDZ($A$1,$B57,AA$1,$B$1)</f>
        <v>292.3</v>
      </c>
      <c r="AB57" s="55">
        <f>_xll.EQNXTDZ($A$1,$B57,AB$1,$B$1)</f>
        <v>353.1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664.1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3.0000000000000001E-3</v>
      </c>
      <c r="P59" s="55">
        <f>_xll.EQNXTDZ($A$1,$B59,P$1,$B$1)</f>
        <v>149.90100000000001</v>
      </c>
      <c r="Q59" s="55">
        <f>_xll.EQNXTDZ($A$1,$B59,Q$1,$B$1)</f>
        <v>755.29600000000005</v>
      </c>
      <c r="R59" s="55">
        <f>_xll.EQNXTDZ($A$1,$B59,R$1,$B$1)</f>
        <v>1009.8</v>
      </c>
      <c r="S59" s="55">
        <f>_xll.EQNXTDZ($A$1,$B59,S$1,$B$1)</f>
        <v>746.5</v>
      </c>
      <c r="T59" s="55">
        <f>_xll.EQNXTDZ($A$1,$B59,T$1,$B$1)</f>
        <v>763.7</v>
      </c>
      <c r="U59" s="55">
        <f>_xll.EQNXTDZ($A$1,$B59,U$1,$B$1)</f>
        <v>862.7</v>
      </c>
      <c r="V59" s="55">
        <f>_xll.EQNXTDZ($A$1,$B59,V$1,$B$1)</f>
        <v>1038.8</v>
      </c>
      <c r="W59" s="55">
        <f>_xll.EQNXTDZ($A$1,$B59,W$1,$B$1)</f>
        <v>1098.2</v>
      </c>
      <c r="X59" s="55">
        <f>_xll.EQNXTDZ($A$1,$B59,X$1,$B$1)</f>
        <v>1373.3</v>
      </c>
      <c r="Y59" s="55">
        <f>_xll.EQNXTDZ($A$1,$B59,Y$1,$B$1)</f>
        <v>3310.1</v>
      </c>
      <c r="Z59" s="55">
        <f>_xll.EQNXTDZ($A$1,$B59,Z$1,$B$1)</f>
        <v>2537.1</v>
      </c>
      <c r="AA59" s="55">
        <f>_xll.EQNXTDZ($A$1,$B59,AA$1,$B$1)</f>
        <v>2990</v>
      </c>
      <c r="AB59" s="55">
        <f>_xll.EQNXTDZ($A$1,$B59,AB$1,$B$1)</f>
        <v>2571.5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0.05</v>
      </c>
      <c r="P60" s="55">
        <f>_xll.EQNXTDZ($A$1,$B60,P$1,$B$1)</f>
        <v>636.89099999999996</v>
      </c>
      <c r="Q60" s="55">
        <f>_xll.EQNXTDZ($A$1,$B60,Q$1,$B$1)</f>
        <v>1777.605</v>
      </c>
      <c r="R60" s="55">
        <f>_xll.EQNXTDZ($A$1,$B60,R$1,$B$1)</f>
        <v>1969.3</v>
      </c>
      <c r="S60" s="55">
        <f>_xll.EQNXTDZ($A$1,$B60,S$1,$B$1)</f>
        <v>2199.4</v>
      </c>
      <c r="T60" s="55">
        <f>_xll.EQNXTDZ($A$1,$B60,T$1,$B$1)</f>
        <v>2677.9</v>
      </c>
      <c r="U60" s="55">
        <f>_xll.EQNXTDZ($A$1,$B60,U$1,$B$1)</f>
        <v>3351.7</v>
      </c>
      <c r="V60" s="55">
        <f>_xll.EQNXTDZ($A$1,$B60,V$1,$B$1)</f>
        <v>4272.2</v>
      </c>
      <c r="W60" s="55">
        <f>_xll.EQNXTDZ($A$1,$B60,W$1,$B$1)</f>
        <v>5066.2</v>
      </c>
      <c r="X60" s="55">
        <f>_xll.EQNXTDZ($A$1,$B60,X$1,$B$1)</f>
        <v>6077.2</v>
      </c>
      <c r="Y60" s="55">
        <f>_xll.EQNXTDZ($A$1,$B60,Y$1,$B$1)</f>
        <v>8183.8</v>
      </c>
      <c r="Z60" s="55">
        <f>_xll.EQNXTDZ($A$1,$B60,Z$1,$B$1)</f>
        <v>8483.1</v>
      </c>
      <c r="AA60" s="55">
        <f>_xll.EQNXTDZ($A$1,$B60,AA$1,$B$1)</f>
        <v>9627.1</v>
      </c>
      <c r="AB60" s="55">
        <f>_xll.EQNXTDZ($A$1,$B60,AB$1,$B$1)</f>
        <v>10398.200000000001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433.62799999999999</v>
      </c>
      <c r="Q62" s="55">
        <f>_xll.EQNXTDZ($A$1,$B62,Q$1,$B$1)</f>
        <v>569.17999999999995</v>
      </c>
      <c r="R62" s="55">
        <f>_xll.EQNXTDZ($A$1,$B62,R$1,$B$1)</f>
        <v>712.2</v>
      </c>
      <c r="S62" s="55">
        <f>_xll.EQNXTDZ($A$1,$B62,S$1,$B$1)</f>
        <v>762.2</v>
      </c>
      <c r="T62" s="55">
        <f>_xll.EQNXTDZ($A$1,$B62,T$1,$B$1)</f>
        <v>932.5</v>
      </c>
      <c r="U62" s="55">
        <f>_xll.EQNXTDZ($A$1,$B62,U$1,$B$1)</f>
        <v>1104.2</v>
      </c>
      <c r="V62" s="55">
        <f>_xll.EQNXTDZ($A$1,$B62,V$1,$B$1)</f>
        <v>1682.7</v>
      </c>
      <c r="W62" s="55">
        <f>_xll.EQNXTDZ($A$1,$B62,W$1,$B$1)</f>
        <v>1966.7</v>
      </c>
      <c r="X62" s="55">
        <f>_xll.EQNXTDZ($A$1,$B62,X$1,$B$1)</f>
        <v>2129.6999999999998</v>
      </c>
      <c r="Y62" s="55">
        <f>_xll.EQNXTDZ($A$1,$B62,Y$1,$B$1)</f>
        <v>2316.8000000000002</v>
      </c>
      <c r="Z62" s="55">
        <f>_xll.EQNXTDZ($A$1,$B62,Z$1,$B$1)</f>
        <v>2687.7</v>
      </c>
      <c r="AA62" s="55">
        <f>_xll.EQNXTDZ($A$1,$B62,AA$1,$B$1)</f>
        <v>3511.5</v>
      </c>
      <c r="AB62" s="55">
        <f>_xll.EQNXTDZ($A$1,$B62,AB$1,$B$1)</f>
        <v>3544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28.94</v>
      </c>
      <c r="Q63" s="55">
        <f>_xll.EQNXTDZ($A$1,$B63,Q$1,$B$1)</f>
        <v>0</v>
      </c>
      <c r="R63" s="55">
        <f>_xll.EQNXTDZ($A$1,$B63,R$1,$B$1)</f>
        <v>91.4</v>
      </c>
      <c r="S63" s="55">
        <f>_xll.EQNXTDZ($A$1,$B63,S$1,$B$1)</f>
        <v>148.4</v>
      </c>
      <c r="T63" s="55">
        <f>_xll.EQNXTDZ($A$1,$B63,T$1,$B$1)</f>
        <v>223.1</v>
      </c>
      <c r="U63" s="55">
        <f>_xll.EQNXTDZ($A$1,$B63,U$1,$B$1)</f>
        <v>324.2</v>
      </c>
      <c r="V63" s="55">
        <f>_xll.EQNXTDZ($A$1,$B63,V$1,$B$1)</f>
        <v>509.2</v>
      </c>
      <c r="W63" s="55">
        <f>_xll.EQNXTDZ($A$1,$B63,W$1,$B$1)</f>
        <v>684.3</v>
      </c>
      <c r="X63" s="55">
        <f>_xll.EQNXTDZ($A$1,$B63,X$1,$B$1)</f>
        <v>847</v>
      </c>
      <c r="Y63" s="55">
        <f>_xll.EQNXTDZ($A$1,$B63,Y$1,$B$1)</f>
        <v>1013.8</v>
      </c>
      <c r="Z63" s="55">
        <f>_xll.EQNXTDZ($A$1,$B63,Z$1,$B$1)</f>
        <v>1075.0999999999999</v>
      </c>
      <c r="AA63" s="55">
        <f>_xll.EQNXTDZ($A$1,$B63,AA$1,$B$1)</f>
        <v>1266.5999999999999</v>
      </c>
      <c r="AB63" s="55">
        <f>_xll.EQNXTDZ($A$1,$B63,AB$1,$B$1)</f>
        <v>1293.7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404.68799999999999</v>
      </c>
      <c r="Q65" s="55">
        <f>_xll.EQNXTDZ($A$1,$B65,Q$1,$B$1)</f>
        <v>569.17999999999995</v>
      </c>
      <c r="R65" s="55">
        <f>_xll.EQNXTDZ($A$1,$B65,R$1,$B$1)</f>
        <v>620.79999999999995</v>
      </c>
      <c r="S65" s="55">
        <f>_xll.EQNXTDZ($A$1,$B65,S$1,$B$1)</f>
        <v>613.79999999999995</v>
      </c>
      <c r="T65" s="55">
        <f>_xll.EQNXTDZ($A$1,$B65,T$1,$B$1)</f>
        <v>709.4</v>
      </c>
      <c r="U65" s="55">
        <f>_xll.EQNXTDZ($A$1,$B65,U$1,$B$1)</f>
        <v>780</v>
      </c>
      <c r="V65" s="55">
        <f>_xll.EQNXTDZ($A$1,$B65,V$1,$B$1)</f>
        <v>1173.5</v>
      </c>
      <c r="W65" s="55">
        <f>_xll.EQNXTDZ($A$1,$B65,W$1,$B$1)</f>
        <v>1282.4000000000001</v>
      </c>
      <c r="X65" s="55">
        <f>_xll.EQNXTDZ($A$1,$B65,X$1,$B$1)</f>
        <v>1282.7</v>
      </c>
      <c r="Y65" s="55">
        <f>_xll.EQNXTDZ($A$1,$B65,Y$1,$B$1)</f>
        <v>1303</v>
      </c>
      <c r="Z65" s="55">
        <f>_xll.EQNXTDZ($A$1,$B65,Z$1,$B$1)</f>
        <v>1612.6</v>
      </c>
      <c r="AA65" s="55">
        <f>_xll.EQNXTDZ($A$1,$B65,AA$1,$B$1)</f>
        <v>2244.9</v>
      </c>
      <c r="AB65" s="55">
        <f>_xll.EQNXTDZ($A$1,$B65,AB$1,$B$1)</f>
        <v>2250.3000000000002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0.42</v>
      </c>
      <c r="R67" s="55">
        <f>_xll.EQNXTDZ($A$1,$B67,R$1,$B$1)</f>
        <v>14.3</v>
      </c>
      <c r="S67" s="55">
        <f>_xll.EQNXTDZ($A$1,$B67,S$1,$B$1)</f>
        <v>2.2999999999999998</v>
      </c>
      <c r="T67" s="55">
        <f>_xll.EQNXTDZ($A$1,$B67,T$1,$B$1)</f>
        <v>0.1</v>
      </c>
      <c r="U67" s="55">
        <f>_xll.EQNXTDZ($A$1,$B67,U$1,$B$1)</f>
        <v>0</v>
      </c>
      <c r="V67" s="55">
        <f>_xll.EQNXTDZ($A$1,$B67,V$1,$B$1)</f>
        <v>8.6999999999999993</v>
      </c>
      <c r="W67" s="55">
        <f>_xll.EQNXTDZ($A$1,$B67,W$1,$B$1)</f>
        <v>11.9</v>
      </c>
      <c r="X67" s="55">
        <f>_xll.EQNXTDZ($A$1,$B67,X$1,$B$1)</f>
        <v>9.9</v>
      </c>
      <c r="Y67" s="55">
        <f>_xll.EQNXTDZ($A$1,$B67,Y$1,$B$1)</f>
        <v>6.5</v>
      </c>
      <c r="Z67" s="55">
        <f>_xll.EQNXTDZ($A$1,$B67,Z$1,$B$1)</f>
        <v>13.1</v>
      </c>
      <c r="AA67" s="55">
        <f>_xll.EQNXTDZ($A$1,$B67,AA$1,$B$1)</f>
        <v>28</v>
      </c>
      <c r="AB67" s="55">
        <f>_xll.EQNXTDZ($A$1,$B67,AB$1,$B$1)</f>
        <v>11.7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31</v>
      </c>
      <c r="W71" s="55">
        <f>_xll.EQNXTDZ($A$1,$B71,W$1,$B$1)</f>
        <v>0</v>
      </c>
      <c r="X71" s="55">
        <f>_xll.EQNXTDZ($A$1,$B71,X$1,$B$1)</f>
        <v>86.1</v>
      </c>
      <c r="Y71" s="55">
        <f>_xll.EQNXTDZ($A$1,$B71,Y$1,$B$1)</f>
        <v>175.2</v>
      </c>
      <c r="Z71" s="55">
        <f>_xll.EQNXTDZ($A$1,$B71,Z$1,$B$1)</f>
        <v>199.1</v>
      </c>
      <c r="AA71" s="55">
        <f>_xll.EQNXTDZ($A$1,$B71,AA$1,$B$1)</f>
        <v>349.3</v>
      </c>
      <c r="AB71" s="55">
        <f>_xll.EQNXTDZ($A$1,$B71,AB$1,$B$1)</f>
        <v>467.9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15.529</v>
      </c>
      <c r="Q72" s="55">
        <f>_xll.EQNXTDZ($A$1,$B72,Q$1,$B$1)</f>
        <v>72.016999999999996</v>
      </c>
      <c r="R72" s="55">
        <f>_xll.EQNXTDZ($A$1,$B72,R$1,$B$1)</f>
        <v>21.9</v>
      </c>
      <c r="S72" s="55">
        <f>_xll.EQNXTDZ($A$1,$B72,S$1,$B$1)</f>
        <v>50.6</v>
      </c>
      <c r="T72" s="55">
        <f>_xll.EQNXTDZ($A$1,$B72,T$1,$B$1)</f>
        <v>59.4</v>
      </c>
      <c r="U72" s="55">
        <f>_xll.EQNXTDZ($A$1,$B72,U$1,$B$1)</f>
        <v>91.3</v>
      </c>
      <c r="V72" s="55">
        <f>_xll.EQNXTDZ($A$1,$B72,V$1,$B$1)</f>
        <v>109.1</v>
      </c>
      <c r="W72" s="55">
        <f>_xll.EQNXTDZ($A$1,$B72,W$1,$B$1)</f>
        <v>149.6</v>
      </c>
      <c r="X72" s="55">
        <f>_xll.EQNXTDZ($A$1,$B72,X$1,$B$1)</f>
        <v>190.1</v>
      </c>
      <c r="Y72" s="55">
        <f>_xll.EQNXTDZ($A$1,$B72,Y$1,$B$1)</f>
        <v>235.9</v>
      </c>
      <c r="Z72" s="55">
        <f>_xll.EQNXTDZ($A$1,$B72,Z$1,$B$1)</f>
        <v>255.1</v>
      </c>
      <c r="AA72" s="55">
        <f>_xll.EQNXTDZ($A$1,$B72,AA$1,$B$1)</f>
        <v>314.10000000000002</v>
      </c>
      <c r="AB72" s="55">
        <f>_xll.EQNXTDZ($A$1,$B72,AB$1,$B$1)</f>
        <v>262.60000000000002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14.3</v>
      </c>
      <c r="S73" s="55">
        <f>_xll.EQNXTDZ($A$1,$B73,S$1,$B$1)</f>
        <v>92.8</v>
      </c>
      <c r="T73" s="55">
        <f>_xll.EQNXTDZ($A$1,$B73,T$1,$B$1)</f>
        <v>48.3</v>
      </c>
      <c r="U73" s="55">
        <f>_xll.EQNXTDZ($A$1,$B73,U$1,$B$1)</f>
        <v>108.4</v>
      </c>
      <c r="V73" s="55">
        <f>_xll.EQNXTDZ($A$1,$B73,V$1,$B$1)</f>
        <v>39.700000000000003</v>
      </c>
      <c r="W73" s="55">
        <f>_xll.EQNXTDZ($A$1,$B73,W$1,$B$1)</f>
        <v>119.7</v>
      </c>
      <c r="X73" s="55">
        <f>_xll.EQNXTDZ($A$1,$B73,X$1,$B$1)</f>
        <v>183.3</v>
      </c>
      <c r="Y73" s="55">
        <f>_xll.EQNXTDZ($A$1,$B73,Y$1,$B$1)</f>
        <v>86.3</v>
      </c>
      <c r="Z73" s="55">
        <f>_xll.EQNXTDZ($A$1,$B73,Z$1,$B$1)</f>
        <v>172.9</v>
      </c>
      <c r="AA73" s="55">
        <f>_xll.EQNXTDZ($A$1,$B73,AA$1,$B$1)</f>
        <v>226.7</v>
      </c>
      <c r="AB73" s="55">
        <f>_xll.EQNXTDZ($A$1,$B73,AB$1,$B$1)</f>
        <v>39.299999999999997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420.21699999999998</v>
      </c>
      <c r="Q74" s="55">
        <f>_xll.EQNXTDZ($A$1,$B74,Q$1,$B$1)</f>
        <v>641.61699999999996</v>
      </c>
      <c r="R74" s="55">
        <f>_xll.EQNXTDZ($A$1,$B74,R$1,$B$1)</f>
        <v>671.3</v>
      </c>
      <c r="S74" s="55">
        <f>_xll.EQNXTDZ($A$1,$B74,S$1,$B$1)</f>
        <v>759.5</v>
      </c>
      <c r="T74" s="55">
        <f>_xll.EQNXTDZ($A$1,$B74,T$1,$B$1)</f>
        <v>817.2</v>
      </c>
      <c r="U74" s="55">
        <f>_xll.EQNXTDZ($A$1,$B74,U$1,$B$1)</f>
        <v>979.7</v>
      </c>
      <c r="V74" s="55">
        <f>_xll.EQNXTDZ($A$1,$B74,V$1,$B$1)</f>
        <v>1362</v>
      </c>
      <c r="W74" s="55">
        <f>_xll.EQNXTDZ($A$1,$B74,W$1,$B$1)</f>
        <v>1563.6</v>
      </c>
      <c r="X74" s="55">
        <f>_xll.EQNXTDZ($A$1,$B74,X$1,$B$1)</f>
        <v>1752.1</v>
      </c>
      <c r="Y74" s="55">
        <f>_xll.EQNXTDZ($A$1,$B74,Y$1,$B$1)</f>
        <v>1806.9</v>
      </c>
      <c r="Z74" s="55">
        <f>_xll.EQNXTDZ($A$1,$B74,Z$1,$B$1)</f>
        <v>2252.8000000000002</v>
      </c>
      <c r="AA74" s="55">
        <f>_xll.EQNXTDZ($A$1,$B74,AA$1,$B$1)</f>
        <v>3163</v>
      </c>
      <c r="AB74" s="55">
        <f>_xll.EQNXTDZ($A$1,$B74,AB$1,$B$1)</f>
        <v>3031.8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55.5</v>
      </c>
      <c r="S75" s="55">
        <f>_xll.EQNXTDZ($A$1,$B75,S$1,$B$1)</f>
        <v>194.6</v>
      </c>
      <c r="T75" s="55">
        <f>_xll.EQNXTDZ($A$1,$B75,T$1,$B$1)</f>
        <v>220.7</v>
      </c>
      <c r="U75" s="55">
        <f>_xll.EQNXTDZ($A$1,$B75,U$1,$B$1)</f>
        <v>574.9</v>
      </c>
      <c r="V75" s="55">
        <f>_xll.EQNXTDZ($A$1,$B75,V$1,$B$1)</f>
        <v>611</v>
      </c>
      <c r="W75" s="55">
        <f>_xll.EQNXTDZ($A$1,$B75,W$1,$B$1)</f>
        <v>1514.9</v>
      </c>
      <c r="X75" s="55">
        <f>_xll.EQNXTDZ($A$1,$B75,X$1,$B$1)</f>
        <v>1391.8</v>
      </c>
      <c r="Y75" s="55">
        <f>_xll.EQNXTDZ($A$1,$B75,Y$1,$B$1)</f>
        <v>2108.8000000000002</v>
      </c>
      <c r="Z75" s="55">
        <f>_xll.EQNXTDZ($A$1,$B75,Z$1,$B$1)</f>
        <v>1293.5999999999999</v>
      </c>
      <c r="AA75" s="55">
        <f>_xll.EQNXTDZ($A$1,$B75,AA$1,$B$1)</f>
        <v>960.3</v>
      </c>
      <c r="AB75" s="55">
        <f>_xll.EQNXTDZ($A$1,$B75,AB$1,$B$1)</f>
        <v>1428.6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1.6</v>
      </c>
      <c r="Z76" s="55">
        <f>_xll.EQNXTDZ($A$1,$B76,Z$1,$B$1)</f>
        <v>3.3</v>
      </c>
      <c r="AA76" s="55">
        <f>_xll.EQNXTDZ($A$1,$B76,AA$1,$B$1)</f>
        <v>3.9</v>
      </c>
      <c r="AB76" s="55">
        <f>_xll.EQNXTDZ($A$1,$B76,AB$1,$B$1)</f>
        <v>5.8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149.99</v>
      </c>
      <c r="Q77" s="55">
        <f>_xll.EQNXTDZ($A$1,$B77,Q$1,$B$1)</f>
        <v>685.30899999999997</v>
      </c>
      <c r="R77" s="55">
        <f>_xll.EQNXTDZ($A$1,$B77,R$1,$B$1)</f>
        <v>725.9</v>
      </c>
      <c r="S77" s="55">
        <f>_xll.EQNXTDZ($A$1,$B77,S$1,$B$1)</f>
        <v>710.6</v>
      </c>
      <c r="T77" s="55">
        <f>_xll.EQNXTDZ($A$1,$B77,T$1,$B$1)</f>
        <v>962.3</v>
      </c>
      <c r="U77" s="55">
        <f>_xll.EQNXTDZ($A$1,$B77,U$1,$B$1)</f>
        <v>1064.3</v>
      </c>
      <c r="V77" s="55">
        <f>_xll.EQNXTDZ($A$1,$B77,V$1,$B$1)</f>
        <v>1380.7</v>
      </c>
      <c r="W77" s="55">
        <f>_xll.EQNXTDZ($A$1,$B77,W$1,$B$1)</f>
        <v>1234.5999999999999</v>
      </c>
      <c r="X77" s="55">
        <f>_xll.EQNXTDZ($A$1,$B77,X$1,$B$1)</f>
        <v>1695.9</v>
      </c>
      <c r="Y77" s="55">
        <f>_xll.EQNXTDZ($A$1,$B77,Y$1,$B$1)</f>
        <v>2151.6999999999998</v>
      </c>
      <c r="Z77" s="55">
        <f>_xll.EQNXTDZ($A$1,$B77,Z$1,$B$1)</f>
        <v>2180.3000000000002</v>
      </c>
      <c r="AA77" s="55">
        <f>_xll.EQNXTDZ($A$1,$B77,AA$1,$B$1)</f>
        <v>2512.6</v>
      </c>
      <c r="AB77" s="55">
        <f>_xll.EQNXTDZ($A$1,$B77,AB$1,$B$1)</f>
        <v>2014.6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0.05</v>
      </c>
      <c r="P78" s="55">
        <f>_xll.EQNXTDZ($A$1,$B78,P$1,$B$1)</f>
        <v>29.497</v>
      </c>
      <c r="Q78" s="55">
        <f>_xll.EQNXTDZ($A$1,$B78,Q$1,$B$1)</f>
        <v>115.34099999999999</v>
      </c>
      <c r="R78" s="55">
        <f>_xll.EQNXTDZ($A$1,$B78,R$1,$B$1)</f>
        <v>83.4</v>
      </c>
      <c r="S78" s="55">
        <f>_xll.EQNXTDZ($A$1,$B78,S$1,$B$1)</f>
        <v>67.2</v>
      </c>
      <c r="T78" s="55">
        <f>_xll.EQNXTDZ($A$1,$B78,T$1,$B$1)</f>
        <v>154.19999999999999</v>
      </c>
      <c r="U78" s="55">
        <f>_xll.EQNXTDZ($A$1,$B78,U$1,$B$1)</f>
        <v>205.1</v>
      </c>
      <c r="V78" s="55">
        <f>_xll.EQNXTDZ($A$1,$B78,V$1,$B$1)</f>
        <v>243.9</v>
      </c>
      <c r="W78" s="55">
        <f>_xll.EQNXTDZ($A$1,$B78,W$1,$B$1)</f>
        <v>232.7</v>
      </c>
      <c r="X78" s="55">
        <f>_xll.EQNXTDZ($A$1,$B78,X$1,$B$1)</f>
        <v>674.2</v>
      </c>
      <c r="Y78" s="55">
        <f>_xll.EQNXTDZ($A$1,$B78,Y$1,$B$1)</f>
        <v>689.9</v>
      </c>
      <c r="Z78" s="55">
        <f>_xll.EQNXTDZ($A$1,$B78,Z$1,$B$1)</f>
        <v>1390.5</v>
      </c>
      <c r="AA78" s="55">
        <f>_xll.EQNXTDZ($A$1,$B78,AA$1,$B$1)</f>
        <v>1565.8</v>
      </c>
      <c r="AB78" s="55">
        <f>_xll.EQNXTDZ($A$1,$B78,AB$1,$B$1)</f>
        <v>1650.5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175.31100000000001</v>
      </c>
      <c r="R79" s="55">
        <f>_xll.EQNXTDZ($A$1,$B79,R$1,$B$1)</f>
        <v>82.5</v>
      </c>
      <c r="S79" s="55">
        <f>_xll.EQNXTDZ($A$1,$B79,S$1,$B$1)</f>
        <v>153.19999999999999</v>
      </c>
      <c r="T79" s="55">
        <f>_xll.EQNXTDZ($A$1,$B79,T$1,$B$1)</f>
        <v>210.4</v>
      </c>
      <c r="U79" s="55">
        <f>_xll.EQNXTDZ($A$1,$B79,U$1,$B$1)</f>
        <v>174.3</v>
      </c>
      <c r="V79" s="55">
        <f>_xll.EQNXTDZ($A$1,$B79,V$1,$B$1)</f>
        <v>198.8</v>
      </c>
      <c r="W79" s="55">
        <f>_xll.EQNXTDZ($A$1,$B79,W$1,$B$1)</f>
        <v>215.1</v>
      </c>
      <c r="X79" s="55">
        <f>_xll.EQNXTDZ($A$1,$B79,X$1,$B$1)</f>
        <v>201</v>
      </c>
      <c r="Y79" s="55">
        <f>_xll.EQNXTDZ($A$1,$B79,Y$1,$B$1)</f>
        <v>144.4</v>
      </c>
      <c r="Z79" s="55">
        <f>_xll.EQNXTDZ($A$1,$B79,Z$1,$B$1)</f>
        <v>186.8</v>
      </c>
      <c r="AA79" s="55">
        <f>_xll.EQNXTDZ($A$1,$B79,AA$1,$B$1)</f>
        <v>214.7</v>
      </c>
      <c r="AB79" s="55">
        <f>_xll.EQNXTDZ($A$1,$B79,AB$1,$B$1)</f>
        <v>201.4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37.186999999999998</v>
      </c>
      <c r="Q80" s="55">
        <f>_xll.EQNXTDZ($A$1,$B80,Q$1,$B$1)</f>
        <v>160.02699999999999</v>
      </c>
      <c r="R80" s="55">
        <f>_xll.EQNXTDZ($A$1,$B80,R$1,$B$1)</f>
        <v>350.7</v>
      </c>
      <c r="S80" s="55">
        <f>_xll.EQNXTDZ($A$1,$B80,S$1,$B$1)</f>
        <v>314.3</v>
      </c>
      <c r="T80" s="55">
        <f>_xll.EQNXTDZ($A$1,$B80,T$1,$B$1)</f>
        <v>313.10000000000002</v>
      </c>
      <c r="U80" s="55">
        <f>_xll.EQNXTDZ($A$1,$B80,U$1,$B$1)</f>
        <v>353.4</v>
      </c>
      <c r="V80" s="55">
        <f>_xll.EQNXTDZ($A$1,$B80,V$1,$B$1)</f>
        <v>475.8</v>
      </c>
      <c r="W80" s="55">
        <f>_xll.EQNXTDZ($A$1,$B80,W$1,$B$1)</f>
        <v>305.3</v>
      </c>
      <c r="X80" s="55">
        <f>_xll.EQNXTDZ($A$1,$B80,X$1,$B$1)</f>
        <v>362.2</v>
      </c>
      <c r="Y80" s="55">
        <f>_xll.EQNXTDZ($A$1,$B80,Y$1,$B$1)</f>
        <v>1280.5</v>
      </c>
      <c r="Z80" s="55">
        <f>_xll.EQNXTDZ($A$1,$B80,Z$1,$B$1)</f>
        <v>1175.8</v>
      </c>
      <c r="AA80" s="55">
        <f>_xll.EQNXTDZ($A$1,$B80,AA$1,$B$1)</f>
        <v>1206.8</v>
      </c>
      <c r="AB80" s="55">
        <f>_xll.EQNXTDZ($A$1,$B80,AB$1,$B$1)</f>
        <v>1078.4000000000001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987.1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0.05</v>
      </c>
      <c r="P82" s="55">
        <f>_xll.EQNXTDZ($A$1,$B82,P$1,$B$1)</f>
        <v>216.67400000000001</v>
      </c>
      <c r="Q82" s="55">
        <f>_xll.EQNXTDZ($A$1,$B82,Q$1,$B$1)</f>
        <v>1135.9880000000001</v>
      </c>
      <c r="R82" s="55">
        <f>_xll.EQNXTDZ($A$1,$B82,R$1,$B$1)</f>
        <v>1298</v>
      </c>
      <c r="S82" s="55">
        <f>_xll.EQNXTDZ($A$1,$B82,S$1,$B$1)</f>
        <v>1439.9</v>
      </c>
      <c r="T82" s="55">
        <f>_xll.EQNXTDZ($A$1,$B82,T$1,$B$1)</f>
        <v>1860.7</v>
      </c>
      <c r="U82" s="55">
        <f>_xll.EQNXTDZ($A$1,$B82,U$1,$B$1)</f>
        <v>2372</v>
      </c>
      <c r="V82" s="55">
        <f>_xll.EQNXTDZ($A$1,$B82,V$1,$B$1)</f>
        <v>2910.2</v>
      </c>
      <c r="W82" s="55">
        <f>_xll.EQNXTDZ($A$1,$B82,W$1,$B$1)</f>
        <v>3502.6</v>
      </c>
      <c r="X82" s="55">
        <f>_xll.EQNXTDZ($A$1,$B82,X$1,$B$1)</f>
        <v>4325.1000000000004</v>
      </c>
      <c r="Y82" s="55">
        <f>_xll.EQNXTDZ($A$1,$B82,Y$1,$B$1)</f>
        <v>6376.9</v>
      </c>
      <c r="Z82" s="55">
        <f>_xll.EQNXTDZ($A$1,$B82,Z$1,$B$1)</f>
        <v>6230.3</v>
      </c>
      <c r="AA82" s="55">
        <f>_xll.EQNXTDZ($A$1,$B82,AA$1,$B$1)</f>
        <v>6464.1</v>
      </c>
      <c r="AB82" s="55">
        <f>_xll.EQNXTDZ($A$1,$B82,AB$1,$B$1)</f>
        <v>6379.3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0.05</v>
      </c>
      <c r="P84" s="55">
        <f>_xll.EQNXTDZ($A$1,$B84,P$1,$B$1)</f>
        <v>636.89099999999996</v>
      </c>
      <c r="Q84" s="55">
        <f>_xll.EQNXTDZ($A$1,$B84,Q$1,$B$1)</f>
        <v>1777.605</v>
      </c>
      <c r="R84" s="55">
        <f>_xll.EQNXTDZ($A$1,$B84,R$1,$B$1)</f>
        <v>1969.3</v>
      </c>
      <c r="S84" s="55">
        <f>_xll.EQNXTDZ($A$1,$B84,S$1,$B$1)</f>
        <v>2199.4</v>
      </c>
      <c r="T84" s="55">
        <f>_xll.EQNXTDZ($A$1,$B84,T$1,$B$1)</f>
        <v>2677.9</v>
      </c>
      <c r="U84" s="55">
        <f>_xll.EQNXTDZ($A$1,$B84,U$1,$B$1)</f>
        <v>3351.7</v>
      </c>
      <c r="V84" s="55">
        <f>_xll.EQNXTDZ($A$1,$B84,V$1,$B$1)</f>
        <v>4272.2</v>
      </c>
      <c r="W84" s="55">
        <f>_xll.EQNXTDZ($A$1,$B84,W$1,$B$1)</f>
        <v>5066.2</v>
      </c>
      <c r="X84" s="55">
        <f>_xll.EQNXTDZ($A$1,$B84,X$1,$B$1)</f>
        <v>6077.2</v>
      </c>
      <c r="Y84" s="55">
        <f>_xll.EQNXTDZ($A$1,$B84,Y$1,$B$1)</f>
        <v>8183.8</v>
      </c>
      <c r="Z84" s="55">
        <f>_xll.EQNXTDZ($A$1,$B84,Z$1,$B$1)</f>
        <v>8483.1</v>
      </c>
      <c r="AA84" s="55">
        <f>_xll.EQNXTDZ($A$1,$B84,AA$1,$B$1)</f>
        <v>9627.1</v>
      </c>
      <c r="AB84" s="55">
        <f>_xll.EQNXTDZ($A$1,$B84,AB$1,$B$1)</f>
        <v>10398.200000000001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109.3</v>
      </c>
      <c r="S85" s="55">
        <f>_xll.EQNXTDZ($A$1,$B85,S$1,$B$1)</f>
        <v>107</v>
      </c>
      <c r="T85" s="55">
        <f>_xll.EQNXTDZ($A$1,$B85,T$1,$B$1)</f>
        <v>112.8</v>
      </c>
      <c r="U85" s="55">
        <f>_xll.EQNXTDZ($A$1,$B85,U$1,$B$1)</f>
        <v>119.6</v>
      </c>
      <c r="V85" s="55">
        <f>_xll.EQNXTDZ($A$1,$B85,V$1,$B$1)</f>
        <v>130.9</v>
      </c>
      <c r="W85" s="55">
        <f>_xll.EQNXTDZ($A$1,$B85,W$1,$B$1)</f>
        <v>120.6</v>
      </c>
      <c r="X85" s="55">
        <f>_xll.EQNXTDZ($A$1,$B85,X$1,$B$1)</f>
        <v>125.1</v>
      </c>
      <c r="Y85" s="55">
        <f>_xll.EQNXTDZ($A$1,$B85,Y$1,$B$1)</f>
        <v>135.6</v>
      </c>
      <c r="Z85" s="55">
        <f>_xll.EQNXTDZ($A$1,$B85,Z$1,$B$1)</f>
        <v>137.6</v>
      </c>
      <c r="AA85" s="55">
        <f>_xll.EQNXTDZ($A$1,$B85,AA$1,$B$1)</f>
        <v>588.4</v>
      </c>
      <c r="AB85" s="55">
        <f>_xll.EQNXTDZ($A$1,$B85,AB$1,$B$1)</f>
        <v>650.79999999999995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379.697</v>
      </c>
      <c r="Q86" s="55">
        <f>_xll.EQNXTDZ($A$1,$B86,Q$1,$B$1)</f>
        <v>7.6029999999999998</v>
      </c>
      <c r="R86" s="55">
        <f>_xll.EQNXTDZ($A$1,$B86,R$1,$B$1)</f>
        <v>422</v>
      </c>
      <c r="S86" s="55">
        <f>_xll.EQNXTDZ($A$1,$B86,S$1,$B$1)</f>
        <v>442.2</v>
      </c>
      <c r="T86" s="55">
        <f>_xll.EQNXTDZ($A$1,$B86,T$1,$B$1)</f>
        <v>543.29999999999995</v>
      </c>
      <c r="U86" s="55">
        <f>_xll.EQNXTDZ($A$1,$B86,U$1,$B$1)</f>
        <v>599.29999999999995</v>
      </c>
      <c r="V86" s="55">
        <f>_xll.EQNXTDZ($A$1,$B86,V$1,$B$1)</f>
        <v>587.1</v>
      </c>
      <c r="W86" s="55">
        <f>_xll.EQNXTDZ($A$1,$B86,W$1,$B$1)</f>
        <v>637.29999999999995</v>
      </c>
      <c r="X86" s="55">
        <f>_xll.EQNXTDZ($A$1,$B86,X$1,$B$1)</f>
        <v>621.29999999999995</v>
      </c>
      <c r="Y86" s="55">
        <f>_xll.EQNXTDZ($A$1,$B86,Y$1,$B$1)</f>
        <v>619.5</v>
      </c>
      <c r="Z86" s="55">
        <f>_xll.EQNXTDZ($A$1,$B86,Z$1,$B$1)</f>
        <v>609.70000000000005</v>
      </c>
      <c r="AA86" s="55">
        <f>_xll.EQNXTDZ($A$1,$B86,AA$1,$B$1)</f>
        <v>1320.3</v>
      </c>
      <c r="AB86" s="55">
        <f>_xll.EQNXTDZ($A$1,$B86,AB$1,$B$1)</f>
        <v>1349.7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379.697</v>
      </c>
      <c r="Q91" s="55">
        <f>_xll.EQNXTDZ($A$1,$B91,Q$1,$B$1)</f>
        <v>7.6029999999999998</v>
      </c>
      <c r="R91" s="55">
        <f>_xll.EQNXTDZ($A$1,$B91,R$1,$B$1)</f>
        <v>422</v>
      </c>
      <c r="S91" s="55">
        <f>_xll.EQNXTDZ($A$1,$B91,S$1,$B$1)</f>
        <v>453.1</v>
      </c>
      <c r="T91" s="55">
        <f>_xll.EQNXTDZ($A$1,$B91,T$1,$B$1)</f>
        <v>577.20000000000005</v>
      </c>
      <c r="U91" s="55">
        <f>_xll.EQNXTDZ($A$1,$B91,U$1,$B$1)</f>
        <v>662.3</v>
      </c>
      <c r="V91" s="55">
        <f>_xll.EQNXTDZ($A$1,$B91,V$1,$B$1)</f>
        <v>680.3</v>
      </c>
      <c r="W91" s="55">
        <f>_xll.EQNXTDZ($A$1,$B91,W$1,$B$1)</f>
        <v>765.4</v>
      </c>
      <c r="X91" s="55">
        <f>_xll.EQNXTDZ($A$1,$B91,X$1,$B$1)</f>
        <v>776.1</v>
      </c>
      <c r="Y91" s="55">
        <f>_xll.EQNXTDZ($A$1,$B91,Y$1,$B$1)</f>
        <v>801.8</v>
      </c>
      <c r="Z91" s="55">
        <f>_xll.EQNXTDZ($A$1,$B91,Z$1,$B$1)</f>
        <v>806.7</v>
      </c>
      <c r="AA91" s="55">
        <f>_xll.EQNXTDZ($A$1,$B91,AA$1,$B$1)</f>
        <v>1539.8</v>
      </c>
      <c r="AB91" s="55">
        <f>_xll.EQNXTDZ($A$1,$B91,AB$1,$B$1)</f>
        <v>1650.2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10.9</v>
      </c>
      <c r="T92" s="55">
        <f>_xll.EQNXTDZ($A$1,$B92,T$1,$B$1)</f>
        <v>33.9</v>
      </c>
      <c r="U92" s="55">
        <f>_xll.EQNXTDZ($A$1,$B92,U$1,$B$1)</f>
        <v>63</v>
      </c>
      <c r="V92" s="55">
        <f>_xll.EQNXTDZ($A$1,$B92,V$1,$B$1)</f>
        <v>93.2</v>
      </c>
      <c r="W92" s="55">
        <f>_xll.EQNXTDZ($A$1,$B92,W$1,$B$1)</f>
        <v>128.1</v>
      </c>
      <c r="X92" s="55">
        <f>_xll.EQNXTDZ($A$1,$B92,X$1,$B$1)</f>
        <v>154.80000000000001</v>
      </c>
      <c r="Y92" s="55">
        <f>_xll.EQNXTDZ($A$1,$B92,Y$1,$B$1)</f>
        <v>182.3</v>
      </c>
      <c r="Z92" s="55">
        <f>_xll.EQNXTDZ($A$1,$B92,Z$1,$B$1)</f>
        <v>197</v>
      </c>
      <c r="AA92" s="55">
        <f>_xll.EQNXTDZ($A$1,$B92,AA$1,$B$1)</f>
        <v>219.5</v>
      </c>
      <c r="AB92" s="55">
        <f>_xll.EQNXTDZ($A$1,$B92,AB$1,$B$1)</f>
        <v>300.5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0</v>
      </c>
      <c r="V93" s="55">
        <f>_xll.EQNXTDZ($A$1,$B93,V$1,$B$1)</f>
        <v>0</v>
      </c>
      <c r="W93" s="55">
        <f>_xll.EQNXTDZ($A$1,$B93,W$1,$B$1)</f>
        <v>0</v>
      </c>
      <c r="X93" s="55">
        <f>_xll.EQNXTDZ($A$1,$B93,X$1,$B$1)</f>
        <v>0</v>
      </c>
      <c r="Y93" s="55">
        <f>_xll.EQNXTDZ($A$1,$B93,Y$1,$B$1)</f>
        <v>0</v>
      </c>
      <c r="Z93" s="55">
        <f>_xll.EQNXTDZ($A$1,$B93,Z$1,$B$1)</f>
        <v>0</v>
      </c>
      <c r="AA93" s="55">
        <f>_xll.EQNXTDZ($A$1,$B93,AA$1,$B$1)</f>
        <v>19.8</v>
      </c>
      <c r="AB93" s="55">
        <f>_xll.EQNXTDZ($A$1,$B93,AB$1,$B$1)</f>
        <v>19.8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109.3</v>
      </c>
      <c r="S95" s="55">
        <f>_xll.EQNXTDZ($A$1,$B95,S$1,$B$1)</f>
        <v>107</v>
      </c>
      <c r="T95" s="55">
        <f>_xll.EQNXTDZ($A$1,$B95,T$1,$B$1)</f>
        <v>112.8</v>
      </c>
      <c r="U95" s="55">
        <f>_xll.EQNXTDZ($A$1,$B95,U$1,$B$1)</f>
        <v>119.6</v>
      </c>
      <c r="V95" s="55">
        <f>_xll.EQNXTDZ($A$1,$B95,V$1,$B$1)</f>
        <v>130.9</v>
      </c>
      <c r="W95" s="55">
        <f>_xll.EQNXTDZ($A$1,$B95,W$1,$B$1)</f>
        <v>120.6</v>
      </c>
      <c r="X95" s="55">
        <f>_xll.EQNXTDZ($A$1,$B95,X$1,$B$1)</f>
        <v>125.1</v>
      </c>
      <c r="Y95" s="55">
        <f>_xll.EQNXTDZ($A$1,$B95,Y$1,$B$1)</f>
        <v>135.6</v>
      </c>
      <c r="Z95" s="55">
        <f>_xll.EQNXTDZ($A$1,$B95,Z$1,$B$1)</f>
        <v>137.6</v>
      </c>
      <c r="AA95" s="55">
        <f>_xll.EQNXTDZ($A$1,$B95,AA$1,$B$1)</f>
        <v>568.6</v>
      </c>
      <c r="AB95" s="55">
        <f>_xll.EQNXTDZ($A$1,$B95,AB$1,$B$1)</f>
        <v>631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0.05</v>
      </c>
      <c r="P104" s="55">
        <f>_xll.EQNXTDZ($A$1,$B104,P$1,$B$1)</f>
        <v>102.5</v>
      </c>
      <c r="Q104" s="55">
        <f>_xll.EQNXTDZ($A$1,$B104,Q$1,$B$1)</f>
        <v>300</v>
      </c>
      <c r="R104" s="55">
        <f>_xll.EQNXTDZ($A$1,$B104,R$1,$B$1)</f>
        <v>300</v>
      </c>
      <c r="S104" s="55">
        <f>_xll.EQNXTDZ($A$1,$B104,S$1,$B$1)</f>
        <v>20.3</v>
      </c>
      <c r="T104" s="55">
        <f>_xll.EQNXTDZ($A$1,$B104,T$1,$B$1)</f>
        <v>20.5</v>
      </c>
      <c r="U104" s="55">
        <f>_xll.EQNXTDZ($A$1,$B104,U$1,$B$1)</f>
        <v>20.8</v>
      </c>
      <c r="V104" s="55">
        <f>_xll.EQNXTDZ($A$1,$B104,V$1,$B$1)</f>
        <v>20.9</v>
      </c>
      <c r="W104" s="55">
        <f>_xll.EQNXTDZ($A$1,$B104,W$1,$B$1)</f>
        <v>21</v>
      </c>
      <c r="X104" s="55">
        <f>_xll.EQNXTDZ($A$1,$B104,X$1,$B$1)</f>
        <v>21.1</v>
      </c>
      <c r="Y104" s="55">
        <f>_xll.EQNXTDZ($A$1,$B104,Y$1,$B$1)</f>
        <v>21.1</v>
      </c>
      <c r="Z104" s="55">
        <f>_xll.EQNXTDZ($A$1,$B104,Z$1,$B$1)</f>
        <v>21.2</v>
      </c>
      <c r="AA104" s="55">
        <f>_xll.EQNXTDZ($A$1,$B104,AA$1,$B$1)</f>
        <v>21.2</v>
      </c>
      <c r="AB104" s="55">
        <f>_xll.EQNXTDZ($A$1,$B104,AB$1,$B$1)</f>
        <v>21.2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40</v>
      </c>
      <c r="S105" s="55">
        <f>_xll.EQNXTDZ($A$1,$B105,S$1,$B$1)</f>
        <v>2</v>
      </c>
      <c r="T105" s="55">
        <f>_xll.EQNXTDZ($A$1,$B105,T$1,$B$1)</f>
        <v>2</v>
      </c>
      <c r="U105" s="55">
        <f>_xll.EQNXTDZ($A$1,$B105,U$1,$B$1)</f>
        <v>2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782.6</v>
      </c>
      <c r="T106" s="55">
        <f>_xll.EQNXTDZ($A$1,$B106,T$1,$B$1)</f>
        <v>1239.5999999999999</v>
      </c>
      <c r="U106" s="55">
        <f>_xll.EQNXTDZ($A$1,$B106,U$1,$B$1)</f>
        <v>1571.1</v>
      </c>
      <c r="V106" s="55">
        <f>_xll.EQNXTDZ($A$1,$B106,V$1,$B$1)</f>
        <v>1162.4000000000001</v>
      </c>
      <c r="W106" s="55">
        <f>_xll.EQNXTDZ($A$1,$B106,W$1,$B$1)</f>
        <v>2654.8</v>
      </c>
      <c r="X106" s="55">
        <f>_xll.EQNXTDZ($A$1,$B106,X$1,$B$1)</f>
        <v>5102.05</v>
      </c>
      <c r="Y106" s="55">
        <f>_xll.EQNXTDZ($A$1,$B106,Y$1,$B$1)</f>
        <v>3376.5</v>
      </c>
      <c r="Z106" s="55">
        <f>_xll.EQNXTDZ($A$1,$B106,Z$1,$B$1)</f>
        <v>5480.25</v>
      </c>
      <c r="AA106" s="55">
        <f>_xll.EQNXTDZ($A$1,$B106,AA$1,$B$1)</f>
        <v>4500.8999999999996</v>
      </c>
      <c r="AB106" s="55">
        <f>_xll.EQNXTDZ($A$1,$B106,AB$1,$B$1)</f>
        <v>3120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931</v>
      </c>
      <c r="T107" s="55">
        <f>_xll.EQNXTDZ($A$1,$B107,T$1,$B$1)</f>
        <v>1547</v>
      </c>
      <c r="U107" s="55">
        <f>_xll.EQNXTDZ($A$1,$B107,U$1,$B$1)</f>
        <v>1852.5</v>
      </c>
      <c r="V107" s="55">
        <f>_xll.EQNXTDZ($A$1,$B107,V$1,$B$1)</f>
        <v>1817.75</v>
      </c>
      <c r="W107" s="55">
        <f>_xll.EQNXTDZ($A$1,$B107,W$1,$B$1)</f>
        <v>2858.35</v>
      </c>
      <c r="X107" s="55">
        <f>_xll.EQNXTDZ($A$1,$B107,X$1,$B$1)</f>
        <v>5958.1</v>
      </c>
      <c r="Y107" s="55">
        <f>_xll.EQNXTDZ($A$1,$B107,Y$1,$B$1)</f>
        <v>5294.7</v>
      </c>
      <c r="Z107" s="55">
        <f>_xll.EQNXTDZ($A$1,$B107,Z$1,$B$1)</f>
        <v>5675</v>
      </c>
      <c r="AA107" s="55">
        <f>_xll.EQNXTDZ($A$1,$B107,AA$1,$B$1)</f>
        <v>5990</v>
      </c>
      <c r="AB107" s="55">
        <f>_xll.EQNXTDZ($A$1,$B107,AB$1,$B$1)</f>
        <v>4746.95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735</v>
      </c>
      <c r="T108" s="55">
        <f>_xll.EQNXTDZ($A$1,$B108,T$1,$B$1)</f>
        <v>671</v>
      </c>
      <c r="U108" s="55">
        <f>_xll.EQNXTDZ($A$1,$B108,U$1,$B$1)</f>
        <v>1150</v>
      </c>
      <c r="V108" s="55">
        <f>_xll.EQNXTDZ($A$1,$B108,V$1,$B$1)</f>
        <v>995</v>
      </c>
      <c r="W108" s="55">
        <f>_xll.EQNXTDZ($A$1,$B108,W$1,$B$1)</f>
        <v>1066.45</v>
      </c>
      <c r="X108" s="55">
        <f>_xll.EQNXTDZ($A$1,$B108,X$1,$B$1)</f>
        <v>2476.4</v>
      </c>
      <c r="Y108" s="55">
        <f>_xll.EQNXTDZ($A$1,$B108,Y$1,$B$1)</f>
        <v>2923.35</v>
      </c>
      <c r="Z108" s="55">
        <f>_xll.EQNXTDZ($A$1,$B108,Z$1,$B$1)</f>
        <v>3308.25</v>
      </c>
      <c r="AA108" s="55">
        <f>_xll.EQNXTDZ($A$1,$B108,AA$1,$B$1)</f>
        <v>4228</v>
      </c>
      <c r="AB108" s="55">
        <f>_xll.EQNXTDZ($A$1,$B108,AB$1,$B$1)</f>
        <v>3046.85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7943.39</v>
      </c>
      <c r="T109" s="55">
        <f>_xll.EQNXTDZ($A$1,$B109,T$1,$B$1)</f>
        <v>12705.9</v>
      </c>
      <c r="U109" s="55">
        <f>_xll.EQNXTDZ($A$1,$B109,U$1,$B$1)</f>
        <v>16339.44</v>
      </c>
      <c r="V109" s="55">
        <f>_xll.EQNXTDZ($A$1,$B109,V$1,$B$1)</f>
        <v>12147.08</v>
      </c>
      <c r="W109" s="55">
        <f>_xll.EQNXTDZ($A$1,$B109,W$1,$B$1)</f>
        <v>27875.4</v>
      </c>
      <c r="X109" s="55">
        <f>_xll.EQNXTDZ($A$1,$B109,X$1,$B$1)</f>
        <v>53826.627500000002</v>
      </c>
      <c r="Y109" s="55">
        <f>_xll.EQNXTDZ($A$1,$B109,Y$1,$B$1)</f>
        <v>35622.074999999997</v>
      </c>
      <c r="Z109" s="55">
        <f>_xll.EQNXTDZ($A$1,$B109,Z$1,$B$1)</f>
        <v>58090.65</v>
      </c>
      <c r="AA109" s="55">
        <f>_xll.EQNXTDZ($A$1,$B109,AA$1,$B$1)</f>
        <v>47709.54</v>
      </c>
      <c r="AB109" s="55">
        <f>_xll.EQNXTDZ($A$1,$B109,AB$1,$B$1)</f>
        <v>33072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20.908000000000001</v>
      </c>
      <c r="R110" s="55">
        <f>_xll.EQNXTDZ($A$1,$B110,R$1,$B$1)</f>
        <v>30.28</v>
      </c>
      <c r="S110" s="55">
        <f>_xll.EQNXTDZ($A$1,$B110,S$1,$B$1)</f>
        <v>7</v>
      </c>
      <c r="T110" s="55">
        <f>_xll.EQNXTDZ($A$1,$B110,T$1,$B$1)</f>
        <v>16</v>
      </c>
      <c r="U110" s="55">
        <f>_xll.EQNXTDZ($A$1,$B110,U$1,$B$1)</f>
        <v>21</v>
      </c>
      <c r="V110" s="55">
        <f>_xll.EQNXTDZ($A$1,$B110,V$1,$B$1)</f>
        <v>21</v>
      </c>
      <c r="W110" s="55">
        <f>_xll.EQNXTDZ($A$1,$B110,W$1,$B$1)</f>
        <v>22</v>
      </c>
      <c r="X110" s="55">
        <f>_xll.EQNXTDZ($A$1,$B110,X$1,$B$1)</f>
        <v>35</v>
      </c>
      <c r="Y110" s="55">
        <f>_xll.EQNXTDZ($A$1,$B110,Y$1,$B$1)</f>
        <v>45</v>
      </c>
      <c r="Z110" s="55">
        <f>_xll.EQNXTDZ($A$1,$B110,Z$1,$B$1)</f>
        <v>50</v>
      </c>
      <c r="AA110" s="55">
        <f>_xll.EQNXTDZ($A$1,$B110,AA$1,$B$1)</f>
        <v>55</v>
      </c>
      <c r="AB110" s="55">
        <f>_xll.EQNXTDZ($A$1,$B110,AB$1,$B$1)</f>
        <v>58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100</v>
      </c>
      <c r="R112" s="56">
        <f>_xll.EQNXTDZ($A$1,$B112,R$5)</f>
        <v>100</v>
      </c>
      <c r="S112" s="56">
        <f>_xll.EQNXTDZ($A$1,$B112,S$5)</f>
        <v>89.77</v>
      </c>
      <c r="T112" s="56">
        <f>_xll.EQNXTDZ($A$1,$B112,T$5)</f>
        <v>88.81</v>
      </c>
      <c r="U112" s="56">
        <f>_xll.EQNXTDZ($A$1,$B112,U$5)</f>
        <v>78.88</v>
      </c>
      <c r="V112" s="56">
        <f>_xll.EQNXTDZ($A$1,$B112,V$5)</f>
        <v>74.62</v>
      </c>
      <c r="W112" s="56">
        <f>_xll.EQNXTDZ($A$1,$B112,W$5)</f>
        <v>74.239999999999995</v>
      </c>
      <c r="X112" s="56">
        <f>_xll.EQNXTDZ($A$1,$B112,X$5)</f>
        <v>73.900000000000006</v>
      </c>
      <c r="Y112" s="56">
        <f>_xll.EQNXTDZ($A$1,$B112,Y$5)</f>
        <v>73.849999999999994</v>
      </c>
      <c r="Z112" s="56">
        <f>_xll.EQNXTDZ($A$1,$B112,Z$5)</f>
        <v>73.739999999999995</v>
      </c>
      <c r="AA112" s="56">
        <f>_xll.EQNXTDZ($A$1,$B112,AA$5)</f>
        <v>73.66</v>
      </c>
      <c r="AB112" s="56">
        <f>_xll.EQNXTDZ($A$1,$B112,AB$5)</f>
        <v>73.569999999999993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268618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920</v>
      </c>
      <c r="BC6" cm="1">
        <f t="array" ref="BC6">_xll.EQNXTDZ($A$1,$B6,BC$1)</f>
        <v>847.5</v>
      </c>
      <c r="BD6" cm="1">
        <f t="array" ref="BD6">_xll.EQNXTDZ($A$1,$B6,BD$1)</f>
        <v>830.05</v>
      </c>
      <c r="BE6" cm="1">
        <f t="array" ref="BE6">_xll.EQNXTDZ($A$1,$B6,BE$1)</f>
        <v>860</v>
      </c>
      <c r="BF6" cm="1">
        <f t="array" ref="BF6">_xll.EQNXTDZ($A$1,$B6,BF$1)</f>
        <v>799</v>
      </c>
      <c r="BG6" cm="1">
        <f t="array" ref="BG6">_xll.EQNXTDZ($A$1,$B6,BG$1)</f>
        <v>830.05</v>
      </c>
      <c r="BH6" cm="1">
        <f t="array" ref="BH6">_xll.EQNXTDZ($A$1,$B6,BH$1)</f>
        <v>773.75</v>
      </c>
      <c r="BI6" cm="1">
        <f t="array" ref="BI6">_xll.EQNXTDZ($A$1,$B6,BI$1)</f>
        <v>779.95</v>
      </c>
      <c r="BJ6" cm="1">
        <f t="array" ref="BJ6">_xll.EQNXTDZ($A$1,$B6,BJ$1)</f>
        <v>769</v>
      </c>
      <c r="BK6" cm="1">
        <f t="array" ref="BK6">_xll.EQNXTDZ($A$1,$B6,BK$1)</f>
        <v>735</v>
      </c>
      <c r="BL6" cm="1">
        <f t="array" ref="BL6">_xll.EQNXTDZ($A$1,$B6,BL$1)</f>
        <v>718</v>
      </c>
      <c r="BM6" cm="1">
        <f t="array" ref="BM6">_xll.EQNXTDZ($A$1,$B6,BM$1)</f>
        <v>764.95</v>
      </c>
      <c r="BN6" cm="1">
        <f t="array" ref="BN6">_xll.EQNXTDZ($A$1,$B6,BN$1)</f>
        <v>773.8</v>
      </c>
      <c r="BO6" cm="1">
        <f t="array" ref="BO6">_xll.EQNXTDZ($A$1,$B6,BO$1)</f>
        <v>789.95</v>
      </c>
      <c r="BP6" cm="1">
        <f t="array" ref="BP6">_xll.EQNXTDZ($A$1,$B6,BP$1)</f>
        <v>829</v>
      </c>
      <c r="BQ6" cm="1">
        <f t="array" ref="BQ6">_xll.EQNXTDZ($A$1,$B6,BQ$1)</f>
        <v>1025</v>
      </c>
      <c r="BR6" cm="1">
        <f t="array" ref="BR6">_xll.EQNXTDZ($A$1,$B6,BR$1)</f>
        <v>1016</v>
      </c>
      <c r="BS6" cm="1">
        <f t="array" ref="BS6">_xll.EQNXTDZ($A$1,$B6,BS$1)</f>
        <v>1229</v>
      </c>
      <c r="BT6" cm="1">
        <f t="array" ref="BT6">_xll.EQNXTDZ($A$1,$B6,BT$1)</f>
        <v>1398</v>
      </c>
      <c r="BU6" cm="1">
        <f t="array" ref="BU6">_xll.EQNXTDZ($A$1,$B6,BU$1)</f>
        <v>1238</v>
      </c>
      <c r="BV6" cm="1">
        <f t="array" ref="BV6">_xll.EQNXTDZ($A$1,$B6,BV$1)</f>
        <v>1338.9</v>
      </c>
      <c r="BW6" cm="1">
        <f t="array" ref="BW6">_xll.EQNXTDZ($A$1,$B6,BW$1)</f>
        <v>1337</v>
      </c>
      <c r="BX6" cm="1">
        <f t="array" ref="BX6">_xll.EQNXTDZ($A$1,$B6,BX$1)</f>
        <v>1224.9000000000001</v>
      </c>
      <c r="BY6" cm="1">
        <f t="array" ref="BY6">_xll.EQNXTDZ($A$1,$B6,BY$1)</f>
        <v>1470.25</v>
      </c>
      <c r="BZ6" cm="1">
        <f t="array" ref="BZ6">_xll.EQNXTDZ($A$1,$B6,BZ$1)</f>
        <v>1774</v>
      </c>
      <c r="CA6" cm="1">
        <f t="array" ref="CA6">_xll.EQNXTDZ($A$1,$B6,CA$1)</f>
        <v>1690</v>
      </c>
      <c r="CB6" cm="1">
        <f t="array" ref="CB6">_xll.EQNXTDZ($A$1,$B6,CB$1)</f>
        <v>1719</v>
      </c>
      <c r="CC6" cm="1">
        <f t="array" ref="CC6">_xll.EQNXTDZ($A$1,$B6,CC$1)</f>
        <v>1564.7</v>
      </c>
      <c r="CD6" cm="1">
        <f t="array" ref="CD6">_xll.EQNXTDZ($A$1,$B6,CD$1)</f>
        <v>1716.9</v>
      </c>
      <c r="CE6" cm="1">
        <f t="array" ref="CE6">_xll.EQNXTDZ($A$1,$B6,CE$1)</f>
        <v>1582</v>
      </c>
      <c r="CF6" cm="1">
        <f t="array" ref="CF6">_xll.EQNXTDZ($A$1,$B6,CF$1)</f>
        <v>1526.3</v>
      </c>
      <c r="CG6" cm="1">
        <f t="array" ref="CG6">_xll.EQNXTDZ($A$1,$B6,CG$1)</f>
        <v>1581</v>
      </c>
      <c r="CH6" cm="1">
        <f t="array" ref="CH6">_xll.EQNXTDZ($A$1,$B6,CH$1)</f>
        <v>1738</v>
      </c>
      <c r="CI6" cm="1">
        <f t="array" ref="CI6">_xll.EQNXTDZ($A$1,$B6,CI$1)</f>
        <v>1754</v>
      </c>
      <c r="CJ6" cm="1">
        <f t="array" ref="CJ6">_xll.EQNXTDZ($A$1,$B6,CJ$1)</f>
        <v>1758</v>
      </c>
      <c r="CK6" cm="1">
        <f t="array" ref="CK6">_xll.EQNXTDZ($A$1,$B6,CK$1)</f>
        <v>1441.05</v>
      </c>
      <c r="CL6" cm="1">
        <f t="array" ref="CL6">_xll.EQNXTDZ($A$1,$B6,CL$1)</f>
        <v>1619.9</v>
      </c>
      <c r="CM6" cm="1">
        <f t="array" ref="CM6">_xll.EQNXTDZ($A$1,$B6,CM$1)</f>
        <v>1527</v>
      </c>
      <c r="CN6" cm="1">
        <f t="array" ref="CN6">_xll.EQNXTDZ($A$1,$B6,CN$1)</f>
        <v>1502.9</v>
      </c>
      <c r="CO6" cm="1">
        <f t="array" ref="CO6">_xll.EQNXTDZ($A$1,$B6,CO$1)</f>
        <v>1510</v>
      </c>
      <c r="CP6" cm="1">
        <f t="array" ref="CP6">_xll.EQNXTDZ($A$1,$B6,CP$1)</f>
        <v>1475</v>
      </c>
      <c r="CQ6" cm="1">
        <f t="array" ref="CQ6">_xll.EQNXTDZ($A$1,$B6,CQ$1)</f>
        <v>1678</v>
      </c>
      <c r="CR6" cm="1">
        <f t="array" ref="CR6">_xll.EQNXTDZ($A$1,$B6,CR$1)</f>
        <v>1644.35</v>
      </c>
      <c r="CS6" cm="1">
        <f t="array" ref="CS6">_xll.EQNXTDZ($A$1,$B6,CS$1)</f>
        <v>1170.25</v>
      </c>
      <c r="CT6" cm="1">
        <f t="array" ref="CT6">_xll.EQNXTDZ($A$1,$B6,CT$1)</f>
        <v>1200</v>
      </c>
      <c r="CU6" cm="1">
        <f t="array" ref="CU6">_xll.EQNXTDZ($A$1,$B6,CU$1)</f>
        <v>1182.05</v>
      </c>
      <c r="CV6" cm="1">
        <f t="array" ref="CV6">_xll.EQNXTDZ($A$1,$B6,CV$1)</f>
        <v>1288</v>
      </c>
      <c r="CW6" cm="1">
        <f t="array" ref="CW6">_xll.EQNXTDZ($A$1,$B6,CW$1)</f>
        <v>1500</v>
      </c>
      <c r="CX6" cm="1">
        <f t="array" ref="CX6">_xll.EQNXTDZ($A$1,$B6,CX$1)</f>
        <v>1585</v>
      </c>
      <c r="CY6" cm="1">
        <f t="array" ref="CY6">_xll.EQNXTDZ($A$1,$B6,CY$1)</f>
        <v>1620</v>
      </c>
      <c r="CZ6" cm="1">
        <f t="array" ref="CZ6">_xll.EQNXTDZ($A$1,$B6,CZ$1)</f>
        <v>1679.25</v>
      </c>
      <c r="DA6" cm="1">
        <f t="array" ref="DA6">_xll.EQNXTDZ($A$1,$B6,DA$1)</f>
        <v>1726</v>
      </c>
      <c r="DB6" cm="1">
        <f t="array" ref="DB6">_xll.EQNXTDZ($A$1,$B6,DB$1)</f>
        <v>2340.6</v>
      </c>
      <c r="DC6" cm="1">
        <f t="array" ref="DC6">_xll.EQNXTDZ($A$1,$B6,DC$1)</f>
        <v>2455</v>
      </c>
      <c r="DD6" cm="1">
        <f t="array" ref="DD6">_xll.EQNXTDZ($A$1,$B6,DD$1)</f>
        <v>2589.5</v>
      </c>
      <c r="DE6" cm="1">
        <f t="array" ref="DE6">_xll.EQNXTDZ($A$1,$B6,DE$1)</f>
        <v>2679.95</v>
      </c>
      <c r="DF6" cm="1">
        <f t="array" ref="DF6">_xll.EQNXTDZ($A$1,$B6,DF$1)</f>
        <v>2730</v>
      </c>
      <c r="DG6" cm="1">
        <f t="array" ref="DG6">_xll.EQNXTDZ($A$1,$B6,DG$1)</f>
        <v>2712</v>
      </c>
      <c r="DH6" cm="1">
        <f t="array" ref="DH6">_xll.EQNXTDZ($A$1,$B6,DH$1)</f>
        <v>2909</v>
      </c>
      <c r="DI6" cm="1">
        <f t="array" ref="DI6">_xll.EQNXTDZ($A$1,$B6,DI$1)</f>
        <v>3744</v>
      </c>
      <c r="DJ6" cm="1">
        <f t="array" ref="DJ6">_xll.EQNXTDZ($A$1,$B6,DJ$1)</f>
        <v>3942</v>
      </c>
      <c r="DK6" cm="1">
        <f t="array" ref="DK6">_xll.EQNXTDZ($A$1,$B6,DK$1)</f>
        <v>4684</v>
      </c>
      <c r="DL6" cm="1">
        <f t="array" ref="DL6">_xll.EQNXTDZ($A$1,$B6,DL$1)</f>
        <v>4730</v>
      </c>
      <c r="DM6" cm="1">
        <f t="array" ref="DM6">_xll.EQNXTDZ($A$1,$B6,DM$1)</f>
        <v>5330</v>
      </c>
      <c r="DN6" cm="1">
        <f t="array" ref="DN6">_xll.EQNXTDZ($A$1,$B6,DN$1)</f>
        <v>5601</v>
      </c>
      <c r="DO6" cm="1">
        <f t="array" ref="DO6">_xll.EQNXTDZ($A$1,$B6,DO$1)</f>
        <v>4759</v>
      </c>
      <c r="DP6" cm="1">
        <f t="array" ref="DP6">_xll.EQNXTDZ($A$1,$B6,DP$1)</f>
        <v>4435.3</v>
      </c>
      <c r="DQ6" cm="1">
        <f t="array" ref="DQ6">_xll.EQNXTDZ($A$1,$B6,DQ$1)</f>
        <v>5104.8</v>
      </c>
      <c r="DR6" cm="1">
        <f t="array" ref="DR6">_xll.EQNXTDZ($A$1,$B6,DR$1)</f>
        <v>4030</v>
      </c>
      <c r="DS6" cm="1">
        <f t="array" ref="DS6">_xll.EQNXTDZ($A$1,$B6,DS$1)</f>
        <v>3535</v>
      </c>
      <c r="DT6" cm="1">
        <f t="array" ref="DT6">_xll.EQNXTDZ($A$1,$B6,DT$1)</f>
        <v>2995</v>
      </c>
      <c r="DU6" cm="1">
        <f t="array" ref="DU6">_xll.EQNXTDZ($A$1,$B6,DU$1)</f>
        <v>3549.9</v>
      </c>
      <c r="DV6" cm="1">
        <f t="array" ref="DV6">_xll.EQNXTDZ($A$1,$B6,DV$1)</f>
        <v>3650</v>
      </c>
      <c r="DW6" cm="1">
        <f t="array" ref="DW6">_xll.EQNXTDZ($A$1,$B6,DW$1)</f>
        <v>3590</v>
      </c>
      <c r="DX6" cm="1">
        <f t="array" ref="DX6">_xll.EQNXTDZ($A$1,$B6,DX$1)</f>
        <v>3550</v>
      </c>
      <c r="DY6" cm="1">
        <f t="array" ref="DY6">_xll.EQNXTDZ($A$1,$B6,DY$1)</f>
        <v>3867.95</v>
      </c>
      <c r="DZ6" cm="1">
        <f t="array" ref="DZ6">_xll.EQNXTDZ($A$1,$B6,DZ$1)</f>
        <v>3689.7</v>
      </c>
      <c r="EA6" cm="1">
        <f t="array" ref="EA6">_xll.EQNXTDZ($A$1,$B6,EA$1)</f>
        <v>3357</v>
      </c>
      <c r="EB6" cm="1">
        <f t="array" ref="EB6">_xll.EQNXTDZ($A$1,$B6,EB$1)</f>
        <v>3703.2</v>
      </c>
      <c r="EC6" cm="1">
        <f t="array" ref="EC6">_xll.EQNXTDZ($A$1,$B6,EC$1)</f>
        <v>3400</v>
      </c>
      <c r="ED6" cm="1">
        <f t="array" ref="ED6">_xll.EQNXTDZ($A$1,$B6,ED$1)</f>
        <v>3780</v>
      </c>
      <c r="EE6" cm="1">
        <f t="array" ref="EE6">_xll.EQNXTDZ($A$1,$B6,EE$1)</f>
        <v>3916.95</v>
      </c>
      <c r="EF6" cm="1">
        <f t="array" ref="EF6">_xll.EQNXTDZ($A$1,$B6,EF$1)</f>
        <v>3960</v>
      </c>
      <c r="EG6" cm="1">
        <f t="array" ref="EG6">_xll.EQNXTDZ($A$1,$B6,EG$1)</f>
        <v>4064</v>
      </c>
      <c r="EH6" cm="1">
        <f t="array" ref="EH6">_xll.EQNXTDZ($A$1,$B6,EH$1)</f>
        <v>4420.1000000000004</v>
      </c>
      <c r="EI6" cm="1">
        <f t="array" ref="EI6">_xll.EQNXTDZ($A$1,$B6,EI$1)</f>
        <v>4550</v>
      </c>
      <c r="EJ6" cm="1">
        <f t="array" ref="EJ6">_xll.EQNXTDZ($A$1,$B6,EJ$1)</f>
        <v>4187</v>
      </c>
      <c r="EK6" cm="1">
        <f t="array" ref="EK6">_xll.EQNXTDZ($A$1,$B6,EK$1)</f>
        <v>4799.95</v>
      </c>
      <c r="EL6" cm="1">
        <f t="array" ref="EL6">_xll.EQNXTDZ($A$1,$B6,EL$1)</f>
        <v>5255</v>
      </c>
      <c r="EM6" cm="1">
        <f t="array" ref="EM6">_xll.EQNXTDZ($A$1,$B6,EM$1)</f>
        <v>5580</v>
      </c>
      <c r="EN6" cm="1">
        <f t="array" ref="EN6">_xll.EQNXTDZ($A$1,$B6,EN$1)</f>
        <v>5342</v>
      </c>
      <c r="EO6" cm="1">
        <f t="array" ref="EO6">_xll.EQNXTDZ($A$1,$B6,EO$1)</f>
        <v>5490</v>
      </c>
      <c r="EP6" cm="1">
        <f t="array" ref="EP6">_xll.EQNXTDZ($A$1,$B6,EP$1)</f>
        <v>4650.95</v>
      </c>
      <c r="EQ6" cm="1">
        <f t="array" ref="EQ6">_xll.EQNXTDZ($A$1,$B6,EQ$1)</f>
        <v>4589</v>
      </c>
      <c r="ER6" cm="1">
        <f t="array" ref="ER6">_xll.EQNXTDZ($A$1,$B6,ER$1)</f>
        <v>4917.05</v>
      </c>
      <c r="ES6" cm="1">
        <f t="array" ref="ES6">_xll.EQNXTDZ($A$1,$B6,ES$1)</f>
        <v>5260.65</v>
      </c>
      <c r="ET6" cm="1">
        <f t="array" ref="ET6">_xll.EQNXTDZ($A$1,$B6,ET$1)</f>
        <v>5740</v>
      </c>
      <c r="EU6" cm="1">
        <f t="array" ref="EU6">_xll.EQNXTDZ($A$1,$B6,EU$1)</f>
        <v>5345</v>
      </c>
      <c r="EV6" cm="1">
        <f t="array" ref="EV6">_xll.EQNXTDZ($A$1,$B6,EV$1)</f>
        <v>4951.2</v>
      </c>
      <c r="EW6" cm="1">
        <f t="array" ref="EW6">_xll.EQNXTDZ($A$1,$B6,EW$1)</f>
        <v>5280</v>
      </c>
      <c r="EX6" cm="1">
        <f t="array" ref="EX6">_xll.EQNXTDZ($A$1,$B6,EX$1)</f>
        <v>4737.3999999999996</v>
      </c>
      <c r="EY6" cm="1">
        <f t="array" ref="EY6">_xll.EQNXTDZ($A$1,$B6,EY$1)</f>
        <v>5420.5</v>
      </c>
      <c r="EZ6" cm="1">
        <f t="array" ref="EZ6">_xll.EQNXTDZ($A$1,$B6,EZ$1)</f>
        <v>4530.1000000000004</v>
      </c>
      <c r="FA6" cm="1">
        <f t="array" ref="FA6">_xll.EQNXTDZ($A$1,$B6,FA$1)</f>
        <v>4487.75</v>
      </c>
      <c r="FB6" cm="1">
        <f t="array" ref="FB6">_xll.EQNXTDZ($A$1,$B6,FB$1)</f>
        <v>4284</v>
      </c>
      <c r="FC6" cm="1">
        <f t="array" ref="FC6">_xll.EQNXTDZ($A$1,$B6,FC$1)</f>
        <v>4385</v>
      </c>
      <c r="FD6" cm="1">
        <f t="array" ref="FD6">_xll.EQNXTDZ($A$1,$B6,FD$1)</f>
        <v>4402.1000000000004</v>
      </c>
      <c r="FE6" cm="1">
        <f t="array" ref="FE6">_xll.EQNXTDZ($A$1,$B6,FE$1)</f>
        <v>4304.2</v>
      </c>
      <c r="FF6" cm="1">
        <f t="array" ref="FF6">_xll.EQNXTDZ($A$1,$B6,FF$1)</f>
        <v>4216.5</v>
      </c>
      <c r="FG6" cm="1">
        <f t="array" ref="FG6">_xll.EQNXTDZ($A$1,$B6,FG$1)</f>
        <v>4150</v>
      </c>
      <c r="FH6" cm="1">
        <f t="array" ref="FH6">_xll.EQNXTDZ($A$1,$B6,FH$1)</f>
        <v>4120.1000000000004</v>
      </c>
      <c r="FI6" cm="1">
        <f t="array" ref="FI6">_xll.EQNXTDZ($A$1,$B6,FI$1)</f>
        <v>4490</v>
      </c>
      <c r="FJ6" cm="1">
        <f t="array" ref="FJ6">_xll.EQNXTDZ($A$1,$B6,FJ$1)</f>
        <v>4463</v>
      </c>
      <c r="FK6" cm="1">
        <f t="array" ref="FK6">_xll.EQNXTDZ($A$1,$B6,FK$1)</f>
        <v>3750</v>
      </c>
      <c r="FL6" cm="1">
        <f t="array" ref="FL6">_xll.EQNXTDZ($A$1,$B6,FL$1)</f>
        <v>3387.9</v>
      </c>
      <c r="FM6" cm="1">
        <f t="array" ref="FM6">_xll.EQNXTDZ($A$1,$B6,FM$1)</f>
        <v>3194.7</v>
      </c>
      <c r="FN6" cm="1">
        <f t="array" ref="FN6">_xll.EQNXTDZ($A$1,$B6,FN$1)</f>
        <v>3626.3</v>
      </c>
      <c r="FO6" cm="1">
        <f t="array" ref="FO6">_xll.EQNXTDZ($A$1,$B6,FO$1)</f>
        <v>3469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931.45</v>
      </c>
      <c r="BC7" s="116" cm="1">
        <f t="array" ref="BC7">_xll.EQNXTDZ($A$1,$B7,BC$1)</f>
        <v>864.95</v>
      </c>
      <c r="BD7" s="116" cm="1">
        <f t="array" ref="BD7">_xll.EQNXTDZ($A$1,$B7,BD$1)</f>
        <v>867</v>
      </c>
      <c r="BE7" s="116" cm="1">
        <f t="array" ref="BE7">_xll.EQNXTDZ($A$1,$B7,BE$1)</f>
        <v>861.95</v>
      </c>
      <c r="BF7" s="116" cm="1">
        <f t="array" ref="BF7">_xll.EQNXTDZ($A$1,$B7,BF$1)</f>
        <v>872.5</v>
      </c>
      <c r="BG7" s="116" cm="1">
        <f t="array" ref="BG7">_xll.EQNXTDZ($A$1,$B7,BG$1)</f>
        <v>845.85</v>
      </c>
      <c r="BH7" s="116" cm="1">
        <f t="array" ref="BH7">_xll.EQNXTDZ($A$1,$B7,BH$1)</f>
        <v>788.6</v>
      </c>
      <c r="BI7" s="116" cm="1">
        <f t="array" ref="BI7">_xll.EQNXTDZ($A$1,$B7,BI$1)</f>
        <v>804</v>
      </c>
      <c r="BJ7" s="116" cm="1">
        <f t="array" ref="BJ7">_xll.EQNXTDZ($A$1,$B7,BJ$1)</f>
        <v>795.7</v>
      </c>
      <c r="BK7" s="116" cm="1">
        <f t="array" ref="BK7">_xll.EQNXTDZ($A$1,$B7,BK$1)</f>
        <v>777</v>
      </c>
      <c r="BL7" s="116" cm="1">
        <f t="array" ref="BL7">_xll.EQNXTDZ($A$1,$B7,BL$1)</f>
        <v>781.2</v>
      </c>
      <c r="BM7" s="116" cm="1">
        <f t="array" ref="BM7">_xll.EQNXTDZ($A$1,$B7,BM$1)</f>
        <v>773.9</v>
      </c>
      <c r="BN7" s="116" cm="1">
        <f t="array" ref="BN7">_xll.EQNXTDZ($A$1,$B7,BN$1)</f>
        <v>805</v>
      </c>
      <c r="BO7" s="116" cm="1">
        <f t="array" ref="BO7">_xll.EQNXTDZ($A$1,$B7,BO$1)</f>
        <v>847</v>
      </c>
      <c r="BP7" s="116" cm="1">
        <f t="array" ref="BP7">_xll.EQNXTDZ($A$1,$B7,BP$1)</f>
        <v>1036.2</v>
      </c>
      <c r="BQ7" s="116" cm="1">
        <f t="array" ref="BQ7">_xll.EQNXTDZ($A$1,$B7,BQ$1)</f>
        <v>1128</v>
      </c>
      <c r="BR7" s="116" cm="1">
        <f t="array" ref="BR7">_xll.EQNXTDZ($A$1,$B7,BR$1)</f>
        <v>1425.8</v>
      </c>
      <c r="BS7" s="116" cm="1">
        <f t="array" ref="BS7">_xll.EQNXTDZ($A$1,$B7,BS$1)</f>
        <v>1545</v>
      </c>
      <c r="BT7" s="116" cm="1">
        <f t="array" ref="BT7">_xll.EQNXTDZ($A$1,$B7,BT$1)</f>
        <v>1435</v>
      </c>
      <c r="BU7" s="116" cm="1">
        <f t="array" ref="BU7">_xll.EQNXTDZ($A$1,$B7,BU$1)</f>
        <v>1375</v>
      </c>
      <c r="BV7" s="116" cm="1">
        <f t="array" ref="BV7">_xll.EQNXTDZ($A$1,$B7,BV$1)</f>
        <v>1375</v>
      </c>
      <c r="BW7" s="116" cm="1">
        <f t="array" ref="BW7">_xll.EQNXTDZ($A$1,$B7,BW$1)</f>
        <v>1362.1</v>
      </c>
      <c r="BX7" s="116" cm="1">
        <f t="array" ref="BX7">_xll.EQNXTDZ($A$1,$B7,BX$1)</f>
        <v>1559</v>
      </c>
      <c r="BY7" s="116" cm="1">
        <f t="array" ref="BY7">_xll.EQNXTDZ($A$1,$B7,BY$1)</f>
        <v>1775</v>
      </c>
      <c r="BZ7" s="116" cm="1">
        <f t="array" ref="BZ7">_xll.EQNXTDZ($A$1,$B7,BZ$1)</f>
        <v>1855</v>
      </c>
      <c r="CA7" s="116" cm="1">
        <f t="array" ref="CA7">_xll.EQNXTDZ($A$1,$B7,CA$1)</f>
        <v>1775</v>
      </c>
      <c r="CB7" s="116" cm="1">
        <f t="array" ref="CB7">_xll.EQNXTDZ($A$1,$B7,CB$1)</f>
        <v>1769</v>
      </c>
      <c r="CC7" s="116" cm="1">
        <f t="array" ref="CC7">_xll.EQNXTDZ($A$1,$B7,CC$1)</f>
        <v>1739.95</v>
      </c>
      <c r="CD7" s="116" cm="1">
        <f t="array" ref="CD7">_xll.EQNXTDZ($A$1,$B7,CD$1)</f>
        <v>1757.65</v>
      </c>
      <c r="CE7" s="116" cm="1">
        <f t="array" ref="CE7">_xll.EQNXTDZ($A$1,$B7,CE$1)</f>
        <v>1615</v>
      </c>
      <c r="CF7" s="116" cm="1">
        <f t="array" ref="CF7">_xll.EQNXTDZ($A$1,$B7,CF$1)</f>
        <v>1599</v>
      </c>
      <c r="CG7" s="116" cm="1">
        <f t="array" ref="CG7">_xll.EQNXTDZ($A$1,$B7,CG$1)</f>
        <v>1774.95</v>
      </c>
      <c r="CH7" s="116" cm="1">
        <f t="array" ref="CH7">_xll.EQNXTDZ($A$1,$B7,CH$1)</f>
        <v>1820</v>
      </c>
      <c r="CI7" s="116" cm="1">
        <f t="array" ref="CI7">_xll.EQNXTDZ($A$1,$B7,CI$1)</f>
        <v>1794</v>
      </c>
      <c r="CJ7" s="116" cm="1">
        <f t="array" ref="CJ7">_xll.EQNXTDZ($A$1,$B7,CJ$1)</f>
        <v>1767.8</v>
      </c>
      <c r="CK7" s="116" cm="1">
        <f t="array" ref="CK7">_xll.EQNXTDZ($A$1,$B7,CK$1)</f>
        <v>1654</v>
      </c>
      <c r="CL7" s="116" cm="1">
        <f t="array" ref="CL7">_xll.EQNXTDZ($A$1,$B7,CL$1)</f>
        <v>1652.9</v>
      </c>
      <c r="CM7" s="116" cm="1">
        <f t="array" ref="CM7">_xll.EQNXTDZ($A$1,$B7,CM$1)</f>
        <v>1658</v>
      </c>
      <c r="CN7" s="116" cm="1">
        <f t="array" ref="CN7">_xll.EQNXTDZ($A$1,$B7,CN$1)</f>
        <v>1515</v>
      </c>
      <c r="CO7" s="116" cm="1">
        <f t="array" ref="CO7">_xll.EQNXTDZ($A$1,$B7,CO$1)</f>
        <v>1529.9</v>
      </c>
      <c r="CP7" s="116" cm="1">
        <f t="array" ref="CP7">_xll.EQNXTDZ($A$1,$B7,CP$1)</f>
        <v>1780</v>
      </c>
      <c r="CQ7" s="116" cm="1">
        <f t="array" ref="CQ7">_xll.EQNXTDZ($A$1,$B7,CQ$1)</f>
        <v>1778</v>
      </c>
      <c r="CR7" s="116" cm="1">
        <f t="array" ref="CR7">_xll.EQNXTDZ($A$1,$B7,CR$1)</f>
        <v>1708.95</v>
      </c>
      <c r="CS7" s="116" cm="1">
        <f t="array" ref="CS7">_xll.EQNXTDZ($A$1,$B7,CS$1)</f>
        <v>1295</v>
      </c>
      <c r="CT7" s="116" cm="1">
        <f t="array" ref="CT7">_xll.EQNXTDZ($A$1,$B7,CT$1)</f>
        <v>1215.6500000000001</v>
      </c>
      <c r="CU7" s="116" cm="1">
        <f t="array" ref="CU7">_xll.EQNXTDZ($A$1,$B7,CU$1)</f>
        <v>1391.1</v>
      </c>
      <c r="CV7" s="116" cm="1">
        <f t="array" ref="CV7">_xll.EQNXTDZ($A$1,$B7,CV$1)</f>
        <v>1530</v>
      </c>
      <c r="CW7" s="116" cm="1">
        <f t="array" ref="CW7">_xll.EQNXTDZ($A$1,$B7,CW$1)</f>
        <v>1653</v>
      </c>
      <c r="CX7" s="116" cm="1">
        <f t="array" ref="CX7">_xll.EQNXTDZ($A$1,$B7,CX$1)</f>
        <v>1697.85</v>
      </c>
      <c r="CY7" s="116" cm="1">
        <f t="array" ref="CY7">_xll.EQNXTDZ($A$1,$B7,CY$1)</f>
        <v>1879.4</v>
      </c>
      <c r="CZ7" s="116" cm="1">
        <f t="array" ref="CZ7">_xll.EQNXTDZ($A$1,$B7,CZ$1)</f>
        <v>1749.8</v>
      </c>
      <c r="DA7" s="116" cm="1">
        <f t="array" ref="DA7">_xll.EQNXTDZ($A$1,$B7,DA$1)</f>
        <v>2434</v>
      </c>
      <c r="DB7" s="116" cm="1">
        <f t="array" ref="DB7">_xll.EQNXTDZ($A$1,$B7,DB$1)</f>
        <v>2748.95</v>
      </c>
      <c r="DC7" s="116" cm="1">
        <f t="array" ref="DC7">_xll.EQNXTDZ($A$1,$B7,DC$1)</f>
        <v>2760</v>
      </c>
      <c r="DD7" s="116" cm="1">
        <f t="array" ref="DD7">_xll.EQNXTDZ($A$1,$B7,DD$1)</f>
        <v>2858.15</v>
      </c>
      <c r="DE7" s="116" cm="1">
        <f t="array" ref="DE7">_xll.EQNXTDZ($A$1,$B7,DE$1)</f>
        <v>3062.15</v>
      </c>
      <c r="DF7" s="116" cm="1">
        <f t="array" ref="DF7">_xll.EQNXTDZ($A$1,$B7,DF$1)</f>
        <v>2820</v>
      </c>
      <c r="DG7" s="116" cm="1">
        <f t="array" ref="DG7">_xll.EQNXTDZ($A$1,$B7,DG$1)</f>
        <v>2978</v>
      </c>
      <c r="DH7" s="116" cm="1">
        <f t="array" ref="DH7">_xll.EQNXTDZ($A$1,$B7,DH$1)</f>
        <v>3818</v>
      </c>
      <c r="DI7" s="116" cm="1">
        <f t="array" ref="DI7">_xll.EQNXTDZ($A$1,$B7,DI$1)</f>
        <v>4025</v>
      </c>
      <c r="DJ7" s="116" cm="1">
        <f t="array" ref="DJ7">_xll.EQNXTDZ($A$1,$B7,DJ$1)</f>
        <v>5000</v>
      </c>
      <c r="DK7" s="116" cm="1">
        <f t="array" ref="DK7">_xll.EQNXTDZ($A$1,$B7,DK$1)</f>
        <v>5548.7</v>
      </c>
      <c r="DL7" s="116" cm="1">
        <f t="array" ref="DL7">_xll.EQNXTDZ($A$1,$B7,DL$1)</f>
        <v>5820.8</v>
      </c>
      <c r="DM7" s="116" cm="1">
        <f t="array" ref="DM7">_xll.EQNXTDZ($A$1,$B7,DM$1)</f>
        <v>5659.9</v>
      </c>
      <c r="DN7" s="116" cm="1">
        <f t="array" ref="DN7">_xll.EQNXTDZ($A$1,$B7,DN$1)</f>
        <v>5955.5</v>
      </c>
      <c r="DO7" s="116" cm="1">
        <f t="array" ref="DO7">_xll.EQNXTDZ($A$1,$B7,DO$1)</f>
        <v>4827</v>
      </c>
      <c r="DP7" s="116" cm="1">
        <f t="array" ref="DP7">_xll.EQNXTDZ($A$1,$B7,DP$1)</f>
        <v>5149</v>
      </c>
      <c r="DQ7" s="116" cm="1">
        <f t="array" ref="DQ7">_xll.EQNXTDZ($A$1,$B7,DQ$1)</f>
        <v>5295</v>
      </c>
      <c r="DR7" s="116" cm="1">
        <f t="array" ref="DR7">_xll.EQNXTDZ($A$1,$B7,DR$1)</f>
        <v>4047.4</v>
      </c>
      <c r="DS7" s="116" cm="1">
        <f t="array" ref="DS7">_xll.EQNXTDZ($A$1,$B7,DS$1)</f>
        <v>3736.9</v>
      </c>
      <c r="DT7" s="116" cm="1">
        <f t="array" ref="DT7">_xll.EQNXTDZ($A$1,$B7,DT$1)</f>
        <v>3584.6</v>
      </c>
      <c r="DU7" s="116" cm="1">
        <f t="array" ref="DU7">_xll.EQNXTDZ($A$1,$B7,DU$1)</f>
        <v>3942</v>
      </c>
      <c r="DV7" s="116" cm="1">
        <f t="array" ref="DV7">_xll.EQNXTDZ($A$1,$B7,DV$1)</f>
        <v>3879</v>
      </c>
      <c r="DW7" s="116" cm="1">
        <f t="array" ref="DW7">_xll.EQNXTDZ($A$1,$B7,DW$1)</f>
        <v>3689.5</v>
      </c>
      <c r="DX7" s="116" cm="1">
        <f t="array" ref="DX7">_xll.EQNXTDZ($A$1,$B7,DX$1)</f>
        <v>3934</v>
      </c>
      <c r="DY7" s="116" cm="1">
        <f t="array" ref="DY7">_xll.EQNXTDZ($A$1,$B7,DY$1)</f>
        <v>4318.7</v>
      </c>
      <c r="DZ7" s="116" cm="1">
        <f t="array" ref="DZ7">_xll.EQNXTDZ($A$1,$B7,DZ$1)</f>
        <v>3784</v>
      </c>
      <c r="EA7" s="116" cm="1">
        <f t="array" ref="EA7">_xll.EQNXTDZ($A$1,$B7,EA$1)</f>
        <v>3808.95</v>
      </c>
      <c r="EB7" s="116" cm="1">
        <f t="array" ref="EB7">_xll.EQNXTDZ($A$1,$B7,EB$1)</f>
        <v>3840</v>
      </c>
      <c r="EC7" s="116" cm="1">
        <f t="array" ref="EC7">_xll.EQNXTDZ($A$1,$B7,EC$1)</f>
        <v>3873.5</v>
      </c>
      <c r="ED7" s="116" cm="1">
        <f t="array" ref="ED7">_xll.EQNXTDZ($A$1,$B7,ED$1)</f>
        <v>3996.9</v>
      </c>
      <c r="EE7" s="116" cm="1">
        <f t="array" ref="EE7">_xll.EQNXTDZ($A$1,$B7,EE$1)</f>
        <v>4033.25</v>
      </c>
      <c r="EF7" s="116" cm="1">
        <f t="array" ref="EF7">_xll.EQNXTDZ($A$1,$B7,EF$1)</f>
        <v>4209.8999999999996</v>
      </c>
      <c r="EG7" s="116" cm="1">
        <f t="array" ref="EG7">_xll.EQNXTDZ($A$1,$B7,EG$1)</f>
        <v>4466.95</v>
      </c>
      <c r="EH7" s="116" cm="1">
        <f t="array" ref="EH7">_xll.EQNXTDZ($A$1,$B7,EH$1)</f>
        <v>4807.1499999999996</v>
      </c>
      <c r="EI7" s="116" cm="1">
        <f t="array" ref="EI7">_xll.EQNXTDZ($A$1,$B7,EI$1)</f>
        <v>4858.6000000000004</v>
      </c>
      <c r="EJ7" s="116" cm="1">
        <f t="array" ref="EJ7">_xll.EQNXTDZ($A$1,$B7,EJ$1)</f>
        <v>4804.6000000000004</v>
      </c>
      <c r="EK7" s="116" cm="1">
        <f t="array" ref="EK7">_xll.EQNXTDZ($A$1,$B7,EK$1)</f>
        <v>5367</v>
      </c>
      <c r="EL7" s="116" cm="1">
        <f t="array" ref="EL7">_xll.EQNXTDZ($A$1,$B7,EL$1)</f>
        <v>5632.4</v>
      </c>
      <c r="EM7" s="116" cm="1">
        <f t="array" ref="EM7">_xll.EQNXTDZ($A$1,$B7,EM$1)</f>
        <v>5678.9</v>
      </c>
      <c r="EN7" s="116" cm="1">
        <f t="array" ref="EN7">_xll.EQNXTDZ($A$1,$B7,EN$1)</f>
        <v>5555</v>
      </c>
      <c r="EO7" s="116" cm="1">
        <f t="array" ref="EO7">_xll.EQNXTDZ($A$1,$B7,EO$1)</f>
        <v>5873.35</v>
      </c>
      <c r="EP7" s="116" cm="1">
        <f t="array" ref="EP7">_xll.EQNXTDZ($A$1,$B7,EP$1)</f>
        <v>4699</v>
      </c>
      <c r="EQ7" s="116" cm="1">
        <f t="array" ref="EQ7">_xll.EQNXTDZ($A$1,$B7,EQ$1)</f>
        <v>5020</v>
      </c>
      <c r="ER7" s="116" cm="1">
        <f t="array" ref="ER7">_xll.EQNXTDZ($A$1,$B7,ER$1)</f>
        <v>5259.45</v>
      </c>
      <c r="ES7" s="116" cm="1">
        <f t="array" ref="ES7">_xll.EQNXTDZ($A$1,$B7,ES$1)</f>
        <v>6000</v>
      </c>
      <c r="ET7" s="116" cm="1">
        <f t="array" ref="ET7">_xll.EQNXTDZ($A$1,$B7,ET$1)</f>
        <v>5837</v>
      </c>
      <c r="EU7" s="116" cm="1">
        <f t="array" ref="EU7">_xll.EQNXTDZ($A$1,$B7,EU$1)</f>
        <v>5424</v>
      </c>
      <c r="EV7" s="116" cm="1">
        <f t="array" ref="EV7">_xll.EQNXTDZ($A$1,$B7,EV$1)</f>
        <v>5548</v>
      </c>
      <c r="EW7" s="116" cm="1">
        <f t="array" ref="EW7">_xll.EQNXTDZ($A$1,$B7,EW$1)</f>
        <v>5439</v>
      </c>
      <c r="EX7" s="116" cm="1">
        <f t="array" ref="EX7">_xll.EQNXTDZ($A$1,$B7,EX$1)</f>
        <v>5509</v>
      </c>
      <c r="EY7" s="116" cm="1">
        <f t="array" ref="EY7">_xll.EQNXTDZ($A$1,$B7,EY$1)</f>
        <v>5645</v>
      </c>
      <c r="EZ7" s="116" cm="1">
        <f t="array" ref="EZ7">_xll.EQNXTDZ($A$1,$B7,EZ$1)</f>
        <v>4879.75</v>
      </c>
      <c r="FA7" s="116" cm="1">
        <f t="array" ref="FA7">_xll.EQNXTDZ($A$1,$B7,FA$1)</f>
        <v>4659.5</v>
      </c>
      <c r="FB7" s="116" cm="1">
        <f t="array" ref="FB7">_xll.EQNXTDZ($A$1,$B7,FB$1)</f>
        <v>4600.6000000000004</v>
      </c>
      <c r="FC7" s="116" cm="1">
        <f t="array" ref="FC7">_xll.EQNXTDZ($A$1,$B7,FC$1)</f>
        <v>4609</v>
      </c>
      <c r="FD7" s="116" cm="1">
        <f t="array" ref="FD7">_xll.EQNXTDZ($A$1,$B7,FD$1)</f>
        <v>4500</v>
      </c>
      <c r="FE7" s="116" cm="1">
        <f t="array" ref="FE7">_xll.EQNXTDZ($A$1,$B7,FE$1)</f>
        <v>4421</v>
      </c>
      <c r="FF7" s="116" cm="1">
        <f t="array" ref="FF7">_xll.EQNXTDZ($A$1,$B7,FF$1)</f>
        <v>4497</v>
      </c>
      <c r="FG7" s="116" cm="1">
        <f t="array" ref="FG7">_xll.EQNXTDZ($A$1,$B7,FG$1)</f>
        <v>4331.5</v>
      </c>
      <c r="FH7" s="116" cm="1">
        <f t="array" ref="FH7">_xll.EQNXTDZ($A$1,$B7,FH$1)</f>
        <v>4460</v>
      </c>
      <c r="FI7" s="116" cm="1">
        <f t="array" ref="FI7">_xll.EQNXTDZ($A$1,$B7,FI$1)</f>
        <v>4726</v>
      </c>
      <c r="FJ7" s="116" cm="1">
        <f t="array" ref="FJ7">_xll.EQNXTDZ($A$1,$B7,FJ$1)</f>
        <v>4515</v>
      </c>
      <c r="FK7" s="116" cm="1">
        <f t="array" ref="FK7">_xll.EQNXTDZ($A$1,$B7,FK$1)</f>
        <v>3930</v>
      </c>
      <c r="FL7" s="116" cm="1">
        <f t="array" ref="FL7">_xll.EQNXTDZ($A$1,$B7,FL$1)</f>
        <v>3584</v>
      </c>
      <c r="FM7" s="116" cm="1">
        <f t="array" ref="FM7">_xll.EQNXTDZ($A$1,$B7,FM$1)</f>
        <v>3665.5</v>
      </c>
      <c r="FN7" s="116" cm="1">
        <f t="array" ref="FN7">_xll.EQNXTDZ($A$1,$B7,FN$1)</f>
        <v>3847.9</v>
      </c>
      <c r="FO7" s="116" cm="1">
        <f t="array" ref="FO7">_xll.EQNXTDZ($A$1,$B7,FO$1)</f>
        <v>3549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931.45</v>
      </c>
      <c r="IG7" s="116">
        <f>+MAX(BC7:BE7)</f>
        <v>867</v>
      </c>
      <c r="IH7" s="116">
        <f>+MAX(BF7:BH7)</f>
        <v>872.5</v>
      </c>
      <c r="II7" s="116">
        <f>+MAX(BI7:BK7)</f>
        <v>804</v>
      </c>
      <c r="IJ7" s="116">
        <f>+MAX(BL7:BN7)</f>
        <v>805</v>
      </c>
      <c r="IK7" s="116">
        <f>+MAX(BO7:BQ7)</f>
        <v>1128</v>
      </c>
      <c r="IL7" s="116">
        <f>+MAX(BR7:BT7)</f>
        <v>1545</v>
      </c>
      <c r="IM7" s="116">
        <f>+MAX(BU7:BW7)</f>
        <v>1375</v>
      </c>
      <c r="IN7" s="116">
        <f>+MAX(BX7:BZ7)</f>
        <v>1855</v>
      </c>
      <c r="IO7" s="116">
        <f>+MAX(CA7:CC7)</f>
        <v>1775</v>
      </c>
      <c r="IP7" s="116">
        <f>+MAX(CD7:CF7)</f>
        <v>1757.65</v>
      </c>
      <c r="IQ7" s="116">
        <f>+MAX(CG7:CI7)</f>
        <v>1820</v>
      </c>
      <c r="IR7" s="116">
        <f>+MAX(CJ7:CL7)</f>
        <v>1767.8</v>
      </c>
      <c r="IS7" s="116">
        <f>+MAX(CM7:CO7)</f>
        <v>1658</v>
      </c>
      <c r="IT7" s="116">
        <f>+MAX(CP7:CR7)</f>
        <v>1780</v>
      </c>
      <c r="IU7" s="116">
        <f>+MAX(CS7:CU7)</f>
        <v>1391.1</v>
      </c>
      <c r="IV7" s="116">
        <f>+MAX(CV7:CX7)</f>
        <v>1697.85</v>
      </c>
      <c r="IW7" s="116">
        <f>+MAX(CY7:DA7)</f>
        <v>2434</v>
      </c>
      <c r="IX7" s="116">
        <f>+MAX(DB7:DD7)</f>
        <v>2858.15</v>
      </c>
      <c r="IY7" s="116">
        <f>+MAX(DE7:DG7)</f>
        <v>3062.15</v>
      </c>
      <c r="IZ7" s="116">
        <f>+MAX(DH7:DJ7)</f>
        <v>5000</v>
      </c>
      <c r="JA7" s="116">
        <f>+MAX(DK7:DM7)</f>
        <v>5820.8</v>
      </c>
      <c r="JB7" s="116">
        <f>+MAX(DN7:DP7)</f>
        <v>5955.5</v>
      </c>
      <c r="JC7" s="116">
        <f>+MAX(DQ7:DS7)</f>
        <v>5295</v>
      </c>
      <c r="JD7" s="116">
        <f>+MAX(DT7:DV7)</f>
        <v>3942</v>
      </c>
      <c r="JE7" s="116">
        <f>+MAX(DW7:DY7)</f>
        <v>4318.7</v>
      </c>
      <c r="JF7" s="116">
        <f>+MAX(DZ7:EB7)</f>
        <v>3840</v>
      </c>
      <c r="JG7" s="116">
        <f>+MAX(EC7:EE7)</f>
        <v>4033.25</v>
      </c>
      <c r="JH7" s="116">
        <f>+MAX(EF7:EH7)</f>
        <v>4807.1499999999996</v>
      </c>
      <c r="JI7" s="116">
        <f>+MAX(EI7:EK7)</f>
        <v>5367</v>
      </c>
      <c r="JJ7" s="116">
        <f>+MAX(EL7:EN7)</f>
        <v>5678.9</v>
      </c>
      <c r="JK7" s="116">
        <f>MAX(EO7:EQ7)</f>
        <v>5873.35</v>
      </c>
      <c r="JL7" s="116">
        <f>MAX(ER7:ET7)</f>
        <v>6000</v>
      </c>
      <c r="JM7" s="116">
        <f>MAX(EU7:EW7)</f>
        <v>5548</v>
      </c>
      <c r="JN7" s="116">
        <f>MAX(EX7:EZ7)</f>
        <v>5645</v>
      </c>
      <c r="JO7" s="116">
        <f>MAX(FA7:FC7)</f>
        <v>4659.5</v>
      </c>
      <c r="JP7" s="116">
        <f>MAX(FD7:FF7)</f>
        <v>4500</v>
      </c>
      <c r="JQ7" s="116">
        <f>MAX(FG7:FI7)</f>
        <v>4726</v>
      </c>
      <c r="JR7" s="116">
        <f>MAX(FJ7:FL7)</f>
        <v>4515</v>
      </c>
      <c r="JS7" s="116">
        <f>MAX(FM7:FO7)</f>
        <v>3847.9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833.55</v>
      </c>
      <c r="BC8" s="116" cm="1">
        <f t="array" ref="BC8">_xll.EQNXTDZ($A$1,$B8,BC$1)</f>
        <v>823</v>
      </c>
      <c r="BD8" s="116" cm="1">
        <f t="array" ref="BD8">_xll.EQNXTDZ($A$1,$B8,BD$1)</f>
        <v>750</v>
      </c>
      <c r="BE8" s="116" cm="1">
        <f t="array" ref="BE8">_xll.EQNXTDZ($A$1,$B8,BE$1)</f>
        <v>773</v>
      </c>
      <c r="BF8" s="116" cm="1">
        <f t="array" ref="BF8">_xll.EQNXTDZ($A$1,$B8,BF$1)</f>
        <v>780.1</v>
      </c>
      <c r="BG8" s="116" cm="1">
        <f t="array" ref="BG8">_xll.EQNXTDZ($A$1,$B8,BG$1)</f>
        <v>770.2</v>
      </c>
      <c r="BH8" s="116" cm="1">
        <f t="array" ref="BH8">_xll.EQNXTDZ($A$1,$B8,BH$1)</f>
        <v>759</v>
      </c>
      <c r="BI8" s="116" cm="1">
        <f t="array" ref="BI8">_xll.EQNXTDZ($A$1,$B8,BI$1)</f>
        <v>729</v>
      </c>
      <c r="BJ8" s="116" cm="1">
        <f t="array" ref="BJ8">_xll.EQNXTDZ($A$1,$B8,BJ$1)</f>
        <v>731.05</v>
      </c>
      <c r="BK8" s="116" cm="1">
        <f t="array" ref="BK8">_xll.EQNXTDZ($A$1,$B8,BK$1)</f>
        <v>712.25</v>
      </c>
      <c r="BL8" s="116" cm="1">
        <f t="array" ref="BL8">_xll.EQNXTDZ($A$1,$B8,BL$1)</f>
        <v>716.05</v>
      </c>
      <c r="BM8" s="116" cm="1">
        <f t="array" ref="BM8">_xll.EQNXTDZ($A$1,$B8,BM$1)</f>
        <v>725.05</v>
      </c>
      <c r="BN8" s="116" cm="1">
        <f t="array" ref="BN8">_xll.EQNXTDZ($A$1,$B8,BN$1)</f>
        <v>766</v>
      </c>
      <c r="BO8" s="116" cm="1">
        <f t="array" ref="BO8">_xll.EQNXTDZ($A$1,$B8,BO$1)</f>
        <v>765.55</v>
      </c>
      <c r="BP8" s="116" cm="1">
        <f t="array" ref="BP8">_xll.EQNXTDZ($A$1,$B8,BP$1)</f>
        <v>812.2</v>
      </c>
      <c r="BQ8" s="116" cm="1">
        <f t="array" ref="BQ8">_xll.EQNXTDZ($A$1,$B8,BQ$1)</f>
        <v>965</v>
      </c>
      <c r="BR8" s="116" cm="1">
        <f t="array" ref="BR8">_xll.EQNXTDZ($A$1,$B8,BR$1)</f>
        <v>976</v>
      </c>
      <c r="BS8" s="116" cm="1">
        <f t="array" ref="BS8">_xll.EQNXTDZ($A$1,$B8,BS$1)</f>
        <v>1203.25</v>
      </c>
      <c r="BT8" s="116" cm="1">
        <f t="array" ref="BT8">_xll.EQNXTDZ($A$1,$B8,BT$1)</f>
        <v>1151.7</v>
      </c>
      <c r="BU8" s="116" cm="1">
        <f t="array" ref="BU8">_xll.EQNXTDZ($A$1,$B8,BU$1)</f>
        <v>1145.5</v>
      </c>
      <c r="BV8" s="116" cm="1">
        <f t="array" ref="BV8">_xll.EQNXTDZ($A$1,$B8,BV$1)</f>
        <v>1203.0999999999999</v>
      </c>
      <c r="BW8" s="116" cm="1">
        <f t="array" ref="BW8">_xll.EQNXTDZ($A$1,$B8,BW$1)</f>
        <v>1156</v>
      </c>
      <c r="BX8" s="116" cm="1">
        <f t="array" ref="BX8">_xll.EQNXTDZ($A$1,$B8,BX$1)</f>
        <v>1191.95</v>
      </c>
      <c r="BY8" s="116" cm="1">
        <f t="array" ref="BY8">_xll.EQNXTDZ($A$1,$B8,BY$1)</f>
        <v>1405</v>
      </c>
      <c r="BZ8" s="116" cm="1">
        <f t="array" ref="BZ8">_xll.EQNXTDZ($A$1,$B8,BZ$1)</f>
        <v>1450</v>
      </c>
      <c r="CA8" s="116" cm="1">
        <f t="array" ref="CA8">_xll.EQNXTDZ($A$1,$B8,CA$1)</f>
        <v>1366.45</v>
      </c>
      <c r="CB8" s="116" cm="1">
        <f t="array" ref="CB8">_xll.EQNXTDZ($A$1,$B8,CB$1)</f>
        <v>1471</v>
      </c>
      <c r="CC8" s="116" cm="1">
        <f t="array" ref="CC8">_xll.EQNXTDZ($A$1,$B8,CC$1)</f>
        <v>1501</v>
      </c>
      <c r="CD8" s="116" cm="1">
        <f t="array" ref="CD8">_xll.EQNXTDZ($A$1,$B8,CD$1)</f>
        <v>1575</v>
      </c>
      <c r="CE8" s="116" cm="1">
        <f t="array" ref="CE8">_xll.EQNXTDZ($A$1,$B8,CE$1)</f>
        <v>1404.9</v>
      </c>
      <c r="CF8" s="116" cm="1">
        <f t="array" ref="CF8">_xll.EQNXTDZ($A$1,$B8,CF$1)</f>
        <v>1429</v>
      </c>
      <c r="CG8" s="116" cm="1">
        <f t="array" ref="CG8">_xll.EQNXTDZ($A$1,$B8,CG$1)</f>
        <v>1561</v>
      </c>
      <c r="CH8" s="116" cm="1">
        <f t="array" ref="CH8">_xll.EQNXTDZ($A$1,$B8,CH$1)</f>
        <v>1665</v>
      </c>
      <c r="CI8" s="116" cm="1">
        <f t="array" ref="CI8">_xll.EQNXTDZ($A$1,$B8,CI$1)</f>
        <v>1655.75</v>
      </c>
      <c r="CJ8" s="116" cm="1">
        <f t="array" ref="CJ8">_xll.EQNXTDZ($A$1,$B8,CJ$1)</f>
        <v>1414</v>
      </c>
      <c r="CK8" s="116" cm="1">
        <f t="array" ref="CK8">_xll.EQNXTDZ($A$1,$B8,CK$1)</f>
        <v>1441.05</v>
      </c>
      <c r="CL8" s="116" cm="1">
        <f t="array" ref="CL8">_xll.EQNXTDZ($A$1,$B8,CL$1)</f>
        <v>1513</v>
      </c>
      <c r="CM8" s="116" cm="1">
        <f t="array" ref="CM8">_xll.EQNXTDZ($A$1,$B8,CM$1)</f>
        <v>1321</v>
      </c>
      <c r="CN8" s="116" cm="1">
        <f t="array" ref="CN8">_xll.EQNXTDZ($A$1,$B8,CN$1)</f>
        <v>1395</v>
      </c>
      <c r="CO8" s="116" cm="1">
        <f t="array" ref="CO8">_xll.EQNXTDZ($A$1,$B8,CO$1)</f>
        <v>1450</v>
      </c>
      <c r="CP8" s="116" cm="1">
        <f t="array" ref="CP8">_xll.EQNXTDZ($A$1,$B8,CP$1)</f>
        <v>1470</v>
      </c>
      <c r="CQ8" s="116" cm="1">
        <f t="array" ref="CQ8">_xll.EQNXTDZ($A$1,$B8,CQ$1)</f>
        <v>1576.3</v>
      </c>
      <c r="CR8" s="116" cm="1">
        <f t="array" ref="CR8">_xll.EQNXTDZ($A$1,$B8,CR$1)</f>
        <v>995</v>
      </c>
      <c r="CS8" s="116" cm="1">
        <f t="array" ref="CS8">_xll.EQNXTDZ($A$1,$B8,CS$1)</f>
        <v>1085</v>
      </c>
      <c r="CT8" s="116" cm="1">
        <f t="array" ref="CT8">_xll.EQNXTDZ($A$1,$B8,CT$1)</f>
        <v>1065.5</v>
      </c>
      <c r="CU8" s="116" cm="1">
        <f t="array" ref="CU8">_xll.EQNXTDZ($A$1,$B8,CU$1)</f>
        <v>1166</v>
      </c>
      <c r="CV8" s="116" cm="1">
        <f t="array" ref="CV8">_xll.EQNXTDZ($A$1,$B8,CV$1)</f>
        <v>1265</v>
      </c>
      <c r="CW8" s="116" cm="1">
        <f t="array" ref="CW8">_xll.EQNXTDZ($A$1,$B8,CW$1)</f>
        <v>1500</v>
      </c>
      <c r="CX8" s="116" cm="1">
        <f t="array" ref="CX8">_xll.EQNXTDZ($A$1,$B8,CX$1)</f>
        <v>1464.1</v>
      </c>
      <c r="CY8" s="116" cm="1">
        <f t="array" ref="CY8">_xll.EQNXTDZ($A$1,$B8,CY$1)</f>
        <v>1565</v>
      </c>
      <c r="CZ8" s="116" cm="1">
        <f t="array" ref="CZ8">_xll.EQNXTDZ($A$1,$B8,CZ$1)</f>
        <v>1605</v>
      </c>
      <c r="DA8" s="116" cm="1">
        <f t="array" ref="DA8">_xll.EQNXTDZ($A$1,$B8,DA$1)</f>
        <v>1718.35</v>
      </c>
      <c r="DB8" s="116" cm="1">
        <f t="array" ref="DB8">_xll.EQNXTDZ($A$1,$B8,DB$1)</f>
        <v>2301</v>
      </c>
      <c r="DC8" s="116" cm="1">
        <f t="array" ref="DC8">_xll.EQNXTDZ($A$1,$B8,DC$1)</f>
        <v>2410</v>
      </c>
      <c r="DD8" s="116" cm="1">
        <f t="array" ref="DD8">_xll.EQNXTDZ($A$1,$B8,DD$1)</f>
        <v>2475</v>
      </c>
      <c r="DE8" s="116" cm="1">
        <f t="array" ref="DE8">_xll.EQNXTDZ($A$1,$B8,DE$1)</f>
        <v>2543.0500000000002</v>
      </c>
      <c r="DF8" s="116" cm="1">
        <f t="array" ref="DF8">_xll.EQNXTDZ($A$1,$B8,DF$1)</f>
        <v>2476.0500000000002</v>
      </c>
      <c r="DG8" s="116" cm="1">
        <f t="array" ref="DG8">_xll.EQNXTDZ($A$1,$B8,DG$1)</f>
        <v>2649.35</v>
      </c>
      <c r="DH8" s="116" cm="1">
        <f t="array" ref="DH8">_xll.EQNXTDZ($A$1,$B8,DH$1)</f>
        <v>2801</v>
      </c>
      <c r="DI8" s="116" cm="1">
        <f t="array" ref="DI8">_xll.EQNXTDZ($A$1,$B8,DI$1)</f>
        <v>3507.2</v>
      </c>
      <c r="DJ8" s="116" cm="1">
        <f t="array" ref="DJ8">_xll.EQNXTDZ($A$1,$B8,DJ$1)</f>
        <v>3859.3</v>
      </c>
      <c r="DK8" s="116" cm="1">
        <f t="array" ref="DK8">_xll.EQNXTDZ($A$1,$B8,DK$1)</f>
        <v>4335</v>
      </c>
      <c r="DL8" s="116" cm="1">
        <f t="array" ref="DL8">_xll.EQNXTDZ($A$1,$B8,DL$1)</f>
        <v>4726.05</v>
      </c>
      <c r="DM8" s="116" cm="1">
        <f t="array" ref="DM8">_xll.EQNXTDZ($A$1,$B8,DM$1)</f>
        <v>4986.05</v>
      </c>
      <c r="DN8" s="116" cm="1">
        <f t="array" ref="DN8">_xll.EQNXTDZ($A$1,$B8,DN$1)</f>
        <v>4313.1499999999996</v>
      </c>
      <c r="DO8" s="116" cm="1">
        <f t="array" ref="DO8">_xll.EQNXTDZ($A$1,$B8,DO$1)</f>
        <v>4210.3500000000004</v>
      </c>
      <c r="DP8" s="116" cm="1">
        <f t="array" ref="DP8">_xll.EQNXTDZ($A$1,$B8,DP$1)</f>
        <v>4434.8</v>
      </c>
      <c r="DQ8" s="116" cm="1">
        <f t="array" ref="DQ8">_xll.EQNXTDZ($A$1,$B8,DQ$1)</f>
        <v>3958</v>
      </c>
      <c r="DR8" s="116" cm="1">
        <f t="array" ref="DR8">_xll.EQNXTDZ($A$1,$B8,DR$1)</f>
        <v>3250.9</v>
      </c>
      <c r="DS8" s="116" cm="1">
        <f t="array" ref="DS8">_xll.EQNXTDZ($A$1,$B8,DS$1)</f>
        <v>3006.05</v>
      </c>
      <c r="DT8" s="116" cm="1">
        <f t="array" ref="DT8">_xll.EQNXTDZ($A$1,$B8,DT$1)</f>
        <v>2924.2</v>
      </c>
      <c r="DU8" s="116" cm="1">
        <f t="array" ref="DU8">_xll.EQNXTDZ($A$1,$B8,DU$1)</f>
        <v>3450</v>
      </c>
      <c r="DV8" s="116" cm="1">
        <f t="array" ref="DV8">_xll.EQNXTDZ($A$1,$B8,DV$1)</f>
        <v>3323</v>
      </c>
      <c r="DW8" s="116" cm="1">
        <f t="array" ref="DW8">_xll.EQNXTDZ($A$1,$B8,DW$1)</f>
        <v>3426.1</v>
      </c>
      <c r="DX8" s="116" cm="1">
        <f t="array" ref="DX8">_xll.EQNXTDZ($A$1,$B8,DX$1)</f>
        <v>3530.25</v>
      </c>
      <c r="DY8" s="116" cm="1">
        <f t="array" ref="DY8">_xll.EQNXTDZ($A$1,$B8,DY$1)</f>
        <v>3631.05</v>
      </c>
      <c r="DZ8" s="116" cm="1">
        <f t="array" ref="DZ8">_xll.EQNXTDZ($A$1,$B8,DZ$1)</f>
        <v>3215.85</v>
      </c>
      <c r="EA8" s="116" cm="1">
        <f t="array" ref="EA8">_xll.EQNXTDZ($A$1,$B8,EA$1)</f>
        <v>3272.5</v>
      </c>
      <c r="EB8" s="116" cm="1">
        <f t="array" ref="EB8">_xll.EQNXTDZ($A$1,$B8,EB$1)</f>
        <v>3297.05</v>
      </c>
      <c r="EC8" s="116" cm="1">
        <f t="array" ref="EC8">_xll.EQNXTDZ($A$1,$B8,EC$1)</f>
        <v>3310</v>
      </c>
      <c r="ED8" s="116" cm="1">
        <f t="array" ref="ED8">_xll.EQNXTDZ($A$1,$B8,ED$1)</f>
        <v>3670</v>
      </c>
      <c r="EE8" s="116" cm="1">
        <f t="array" ref="EE8">_xll.EQNXTDZ($A$1,$B8,EE$1)</f>
        <v>3755.25</v>
      </c>
      <c r="EF8" s="116" cm="1">
        <f t="array" ref="EF8">_xll.EQNXTDZ($A$1,$B8,EF$1)</f>
        <v>3821.7</v>
      </c>
      <c r="EG8" s="116" cm="1">
        <f t="array" ref="EG8">_xll.EQNXTDZ($A$1,$B8,EG$1)</f>
        <v>4037.95</v>
      </c>
      <c r="EH8" s="116" cm="1">
        <f t="array" ref="EH8">_xll.EQNXTDZ($A$1,$B8,EH$1)</f>
        <v>4411.3999999999996</v>
      </c>
      <c r="EI8" s="116" cm="1">
        <f t="array" ref="EI8">_xll.EQNXTDZ($A$1,$B8,EI$1)</f>
        <v>4111</v>
      </c>
      <c r="EJ8" s="116" cm="1">
        <f t="array" ref="EJ8">_xll.EQNXTDZ($A$1,$B8,EJ$1)</f>
        <v>4155.1499999999996</v>
      </c>
      <c r="EK8" s="116" cm="1">
        <f t="array" ref="EK8">_xll.EQNXTDZ($A$1,$B8,EK$1)</f>
        <v>4620.55</v>
      </c>
      <c r="EL8" s="116" cm="1">
        <f t="array" ref="EL8">_xll.EQNXTDZ($A$1,$B8,EL$1)</f>
        <v>5061</v>
      </c>
      <c r="EM8" s="116" cm="1">
        <f t="array" ref="EM8">_xll.EQNXTDZ($A$1,$B8,EM$1)</f>
        <v>5235.1000000000004</v>
      </c>
      <c r="EN8" s="116" cm="1">
        <f t="array" ref="EN8">_xll.EQNXTDZ($A$1,$B8,EN$1)</f>
        <v>5100</v>
      </c>
      <c r="EO8" s="116" cm="1">
        <f t="array" ref="EO8">_xll.EQNXTDZ($A$1,$B8,EO$1)</f>
        <v>4625</v>
      </c>
      <c r="EP8" s="116" cm="1">
        <f t="array" ref="EP8">_xll.EQNXTDZ($A$1,$B8,EP$1)</f>
        <v>4320.2</v>
      </c>
      <c r="EQ8" s="116" cm="1">
        <f t="array" ref="EQ8">_xll.EQNXTDZ($A$1,$B8,EQ$1)</f>
        <v>4200</v>
      </c>
      <c r="ER8" s="116" cm="1">
        <f t="array" ref="ER8">_xll.EQNXTDZ($A$1,$B8,ER$1)</f>
        <v>4728.05</v>
      </c>
      <c r="ES8" s="116" cm="1">
        <f t="array" ref="ES8">_xll.EQNXTDZ($A$1,$B8,ES$1)</f>
        <v>4763</v>
      </c>
      <c r="ET8" s="116" cm="1">
        <f t="array" ref="ET8">_xll.EQNXTDZ($A$1,$B8,ET$1)</f>
        <v>5285.85</v>
      </c>
      <c r="EU8" s="116" cm="1">
        <f t="array" ref="EU8">_xll.EQNXTDZ($A$1,$B8,EU$1)</f>
        <v>4909.3</v>
      </c>
      <c r="EV8" s="116" cm="1">
        <f t="array" ref="EV8">_xll.EQNXTDZ($A$1,$B8,EV$1)</f>
        <v>4871</v>
      </c>
      <c r="EW8" s="116" cm="1">
        <f t="array" ref="EW8">_xll.EQNXTDZ($A$1,$B8,EW$1)</f>
        <v>4652.05</v>
      </c>
      <c r="EX8" s="116" cm="1">
        <f t="array" ref="EX8">_xll.EQNXTDZ($A$1,$B8,EX$1)</f>
        <v>4660.8</v>
      </c>
      <c r="EY8" s="116" cm="1">
        <f t="array" ref="EY8">_xll.EQNXTDZ($A$1,$B8,EY$1)</f>
        <v>4475.6499999999996</v>
      </c>
      <c r="EZ8" s="116" cm="1">
        <f t="array" ref="EZ8">_xll.EQNXTDZ($A$1,$B8,EZ$1)</f>
        <v>4317.55</v>
      </c>
      <c r="FA8" s="116" cm="1">
        <f t="array" ref="FA8">_xll.EQNXTDZ($A$1,$B8,FA$1)</f>
        <v>3966</v>
      </c>
      <c r="FB8" s="116" cm="1">
        <f t="array" ref="FB8">_xll.EQNXTDZ($A$1,$B8,FB$1)</f>
        <v>4000</v>
      </c>
      <c r="FC8" s="116" cm="1">
        <f t="array" ref="FC8">_xll.EQNXTDZ($A$1,$B8,FC$1)</f>
        <v>4250</v>
      </c>
      <c r="FD8" s="116" cm="1">
        <f t="array" ref="FD8">_xll.EQNXTDZ($A$1,$B8,FD$1)</f>
        <v>4171.8</v>
      </c>
      <c r="FE8" s="116" cm="1">
        <f t="array" ref="FE8">_xll.EQNXTDZ($A$1,$B8,FE$1)</f>
        <v>4125</v>
      </c>
      <c r="FF8" s="116" cm="1">
        <f t="array" ref="FF8">_xll.EQNXTDZ($A$1,$B8,FF$1)</f>
        <v>3951.3</v>
      </c>
      <c r="FG8" s="116" cm="1">
        <f t="array" ref="FG8">_xll.EQNXTDZ($A$1,$B8,FG$1)</f>
        <v>4065.2</v>
      </c>
      <c r="FH8" s="116" cm="1">
        <f t="array" ref="FH8">_xll.EQNXTDZ($A$1,$B8,FH$1)</f>
        <v>4022.1</v>
      </c>
      <c r="FI8" s="116" cm="1">
        <f t="array" ref="FI8">_xll.EQNXTDZ($A$1,$B8,FI$1)</f>
        <v>4384.8999999999996</v>
      </c>
      <c r="FJ8" s="116" cm="1">
        <f t="array" ref="FJ8">_xll.EQNXTDZ($A$1,$B8,FJ$1)</f>
        <v>3712.1</v>
      </c>
      <c r="FK8" s="116" cm="1">
        <f t="array" ref="FK8">_xll.EQNXTDZ($A$1,$B8,FK$1)</f>
        <v>3140</v>
      </c>
      <c r="FL8" s="116" cm="1">
        <f t="array" ref="FL8">_xll.EQNXTDZ($A$1,$B8,FL$1)</f>
        <v>3010</v>
      </c>
      <c r="FM8" s="116" cm="1">
        <f t="array" ref="FM8">_xll.EQNXTDZ($A$1,$B8,FM$1)</f>
        <v>3170</v>
      </c>
      <c r="FN8" s="116" cm="1">
        <f t="array" ref="FN8">_xll.EQNXTDZ($A$1,$B8,FN$1)</f>
        <v>3390.7</v>
      </c>
      <c r="FO8" s="116" cm="1">
        <f t="array" ref="FO8">_xll.EQNXTDZ($A$1,$B8,FO$1)</f>
        <v>3152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750</v>
      </c>
      <c r="IH8" s="116">
        <f>+MIN(BF8:BH8)</f>
        <v>759</v>
      </c>
      <c r="II8" s="116">
        <f>+MIN(BI8:BK8)</f>
        <v>712.25</v>
      </c>
      <c r="IJ8" s="116">
        <f>+MIN(BL8:BN8)</f>
        <v>716.05</v>
      </c>
      <c r="IK8" s="116">
        <f>+MIN(BO8:BQ8)</f>
        <v>765.55</v>
      </c>
      <c r="IL8" s="116">
        <f>+MIN(BR8:BT8)</f>
        <v>976</v>
      </c>
      <c r="IM8" s="116">
        <f>+MIN(BU8:BW8)</f>
        <v>1145.5</v>
      </c>
      <c r="IN8" s="116">
        <f>+MIN(BX8:BZ8)</f>
        <v>1191.95</v>
      </c>
      <c r="IO8" s="116">
        <f>+MIN(CA8:CC8)</f>
        <v>1366.45</v>
      </c>
      <c r="IP8" s="116">
        <f>+MIN(CD8:CF8)</f>
        <v>1404.9</v>
      </c>
      <c r="IQ8" s="116">
        <f>+MIN(CG8:CI8)</f>
        <v>1561</v>
      </c>
      <c r="IR8" s="116">
        <f>+MIN(CJ8:CL8)</f>
        <v>1414</v>
      </c>
      <c r="IS8" s="116">
        <f>+MIN(CM8:CO8)</f>
        <v>1321</v>
      </c>
      <c r="IT8" s="116">
        <f>+MIN(CP8:CR8)</f>
        <v>995</v>
      </c>
      <c r="IU8" s="116">
        <f>+MIN(CS8:CU8)</f>
        <v>1065.5</v>
      </c>
      <c r="IV8" s="116">
        <f>+MIN(CV8:CX8)</f>
        <v>1265</v>
      </c>
      <c r="IW8" s="116">
        <f>+MIN(CY8:DA8)</f>
        <v>1565</v>
      </c>
      <c r="IX8" s="116">
        <f>+MIN(DB8:DD8)</f>
        <v>2301</v>
      </c>
      <c r="IY8" s="116">
        <f>+MIN(DE8:DG8)</f>
        <v>2476.0500000000002</v>
      </c>
      <c r="IZ8" s="116">
        <f>+MIN(DH8:DJ8)</f>
        <v>2801</v>
      </c>
      <c r="JA8" s="116">
        <f>+MIN(DK8:DM8)</f>
        <v>4335</v>
      </c>
      <c r="JB8" s="116">
        <f>+MIN(DN8:DP8)</f>
        <v>4210.3500000000004</v>
      </c>
      <c r="JC8" s="116">
        <f>+MIN(DQ8:DS8)</f>
        <v>3006.05</v>
      </c>
      <c r="JD8" s="116">
        <f>+MIN(DT8:DV8)</f>
        <v>2924.2</v>
      </c>
      <c r="JE8" s="116">
        <f>+MIN(DW8:DY8)</f>
        <v>3426.1</v>
      </c>
      <c r="JF8" s="116">
        <f>+MIN(DZ8:EB8)</f>
        <v>3215.85</v>
      </c>
      <c r="JG8" s="116">
        <f>+MIN(EC8:EE8)</f>
        <v>3310</v>
      </c>
      <c r="JH8" s="116">
        <f>+MIN(EF8:EH8)</f>
        <v>3821.7</v>
      </c>
      <c r="JI8" s="116">
        <f>+MIN(EI8:EK8)</f>
        <v>4111</v>
      </c>
      <c r="JJ8" s="116">
        <f>+MIN(EL8:EN8)</f>
        <v>5061</v>
      </c>
      <c r="JK8" s="116">
        <f>MIN(EO8:EQ8)</f>
        <v>4200</v>
      </c>
      <c r="JL8" s="116">
        <f>MIN(ER8:ET8)</f>
        <v>4728.05</v>
      </c>
      <c r="JM8" s="116">
        <f>MIN(EU8:EW8)</f>
        <v>4652.05</v>
      </c>
      <c r="JN8" s="116">
        <f>MIN(EX8:EZ8)</f>
        <v>4317.55</v>
      </c>
      <c r="JO8" s="116">
        <f>MIN(FA8:FC8)</f>
        <v>3966</v>
      </c>
      <c r="JP8" s="116">
        <f>MIN(FD8:FF8)</f>
        <v>3951.3</v>
      </c>
      <c r="JQ8" s="116">
        <f>MIN(FG8:FI8)</f>
        <v>4022.1</v>
      </c>
      <c r="JR8" s="116">
        <f>MIN(FJ8:FL8)</f>
        <v>3010</v>
      </c>
      <c r="JS8" s="116">
        <f>MIN(FM8:FO8)</f>
        <v>3152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847.15</v>
      </c>
      <c r="BC9" s="116" cm="1">
        <f t="array" ref="BC9">_xll.EQNXTDZ($A$1,$B9,BC$1)</f>
        <v>834.3</v>
      </c>
      <c r="BD9" s="116" cm="1">
        <f t="array" ref="BD9">_xll.EQNXTDZ($A$1,$B9,BD$1)</f>
        <v>860.6</v>
      </c>
      <c r="BE9" s="116" cm="1">
        <f t="array" ref="BE9">_xll.EQNXTDZ($A$1,$B9,BE$1)</f>
        <v>787.9</v>
      </c>
      <c r="BF9" s="116" cm="1">
        <f t="array" ref="BF9">_xll.EQNXTDZ($A$1,$B9,BF$1)</f>
        <v>837.7</v>
      </c>
      <c r="BG9" s="116" cm="1">
        <f t="array" ref="BG9">_xll.EQNXTDZ($A$1,$B9,BG$1)</f>
        <v>773.5</v>
      </c>
      <c r="BH9" s="116" cm="1">
        <f t="array" ref="BH9">_xll.EQNXTDZ($A$1,$B9,BH$1)</f>
        <v>778.6</v>
      </c>
      <c r="BI9" s="116" cm="1">
        <f t="array" ref="BI9">_xll.EQNXTDZ($A$1,$B9,BI$1)</f>
        <v>768.25</v>
      </c>
      <c r="BJ9" s="116" cm="1">
        <f t="array" ref="BJ9">_xll.EQNXTDZ($A$1,$B9,BJ$1)</f>
        <v>736.1</v>
      </c>
      <c r="BK9" s="116" cm="1">
        <f t="array" ref="BK9">_xll.EQNXTDZ($A$1,$B9,BK$1)</f>
        <v>717.05</v>
      </c>
      <c r="BL9" s="116" cm="1">
        <f t="array" ref="BL9">_xll.EQNXTDZ($A$1,$B9,BL$1)</f>
        <v>761.15</v>
      </c>
      <c r="BM9" s="116" cm="1">
        <f t="array" ref="BM9">_xll.EQNXTDZ($A$1,$B9,BM$1)</f>
        <v>768.95</v>
      </c>
      <c r="BN9" s="116" cm="1">
        <f t="array" ref="BN9">_xll.EQNXTDZ($A$1,$B9,BN$1)</f>
        <v>781.95</v>
      </c>
      <c r="BO9" s="116" cm="1">
        <f t="array" ref="BO9">_xll.EQNXTDZ($A$1,$B9,BO$1)</f>
        <v>833</v>
      </c>
      <c r="BP9" s="116" cm="1">
        <f t="array" ref="BP9">_xll.EQNXTDZ($A$1,$B9,BP$1)</f>
        <v>1022.35</v>
      </c>
      <c r="BQ9" s="116" cm="1">
        <f t="array" ref="BQ9">_xll.EQNXTDZ($A$1,$B9,BQ$1)</f>
        <v>1028.25</v>
      </c>
      <c r="BR9" s="116" cm="1">
        <f t="array" ref="BR9">_xll.EQNXTDZ($A$1,$B9,BR$1)</f>
        <v>1209.4000000000001</v>
      </c>
      <c r="BS9" s="116" cm="1">
        <f t="array" ref="BS9">_xll.EQNXTDZ($A$1,$B9,BS$1)</f>
        <v>1393.7</v>
      </c>
      <c r="BT9" s="116" cm="1">
        <f t="array" ref="BT9">_xll.EQNXTDZ($A$1,$B9,BT$1)</f>
        <v>1235.5999999999999</v>
      </c>
      <c r="BU9" s="116" cm="1">
        <f t="array" ref="BU9">_xll.EQNXTDZ($A$1,$B9,BU$1)</f>
        <v>1329.6</v>
      </c>
      <c r="BV9" s="116" cm="1">
        <f t="array" ref="BV9">_xll.EQNXTDZ($A$1,$B9,BV$1)</f>
        <v>1326</v>
      </c>
      <c r="BW9" s="116" cm="1">
        <f t="array" ref="BW9">_xll.EQNXTDZ($A$1,$B9,BW$1)</f>
        <v>1218.0999999999999</v>
      </c>
      <c r="BX9" s="116" cm="1">
        <f t="array" ref="BX9">_xll.EQNXTDZ($A$1,$B9,BX$1)</f>
        <v>1466.75</v>
      </c>
      <c r="BY9" s="116" cm="1">
        <f t="array" ref="BY9">_xll.EQNXTDZ($A$1,$B9,BY$1)</f>
        <v>1761.65</v>
      </c>
      <c r="BZ9" s="116" cm="1">
        <f t="array" ref="BZ9">_xll.EQNXTDZ($A$1,$B9,BZ$1)</f>
        <v>1736.25</v>
      </c>
      <c r="CA9" s="116" cm="1">
        <f t="array" ref="CA9">_xll.EQNXTDZ($A$1,$B9,CA$1)</f>
        <v>1700.8</v>
      </c>
      <c r="CB9" s="116" cm="1">
        <f t="array" ref="CB9">_xll.EQNXTDZ($A$1,$B9,CB$1)</f>
        <v>1549.1</v>
      </c>
      <c r="CC9" s="116" cm="1">
        <f t="array" ref="CC9">_xll.EQNXTDZ($A$1,$B9,CC$1)</f>
        <v>1708.35</v>
      </c>
      <c r="CD9" s="116" cm="1">
        <f t="array" ref="CD9">_xll.EQNXTDZ($A$1,$B9,CD$1)</f>
        <v>1585.25</v>
      </c>
      <c r="CE9" s="116" cm="1">
        <f t="array" ref="CE9">_xll.EQNXTDZ($A$1,$B9,CE$1)</f>
        <v>1535.75</v>
      </c>
      <c r="CF9" s="116" cm="1">
        <f t="array" ref="CF9">_xll.EQNXTDZ($A$1,$B9,CF$1)</f>
        <v>1572.25</v>
      </c>
      <c r="CG9" s="116" cm="1">
        <f t="array" ref="CG9">_xll.EQNXTDZ($A$1,$B9,CG$1)</f>
        <v>1737.3</v>
      </c>
      <c r="CH9" s="116" cm="1">
        <f t="array" ref="CH9">_xll.EQNXTDZ($A$1,$B9,CH$1)</f>
        <v>1758.8</v>
      </c>
      <c r="CI9" s="116" cm="1">
        <f t="array" ref="CI9">_xll.EQNXTDZ($A$1,$B9,CI$1)</f>
        <v>1745.65</v>
      </c>
      <c r="CJ9" s="116" cm="1">
        <f t="array" ref="CJ9">_xll.EQNXTDZ($A$1,$B9,CJ$1)</f>
        <v>1441.05</v>
      </c>
      <c r="CK9" s="116" cm="1">
        <f t="array" ref="CK9">_xll.EQNXTDZ($A$1,$B9,CK$1)</f>
        <v>1621.2</v>
      </c>
      <c r="CL9" s="116" cm="1">
        <f t="array" ref="CL9">_xll.EQNXTDZ($A$1,$B9,CL$1)</f>
        <v>1522.9</v>
      </c>
      <c r="CM9" s="116" cm="1">
        <f t="array" ref="CM9">_xll.EQNXTDZ($A$1,$B9,CM$1)</f>
        <v>1503.65</v>
      </c>
      <c r="CN9" s="116" cm="1">
        <f t="array" ref="CN9">_xll.EQNXTDZ($A$1,$B9,CN$1)</f>
        <v>1490.75</v>
      </c>
      <c r="CO9" s="116" cm="1">
        <f t="array" ref="CO9">_xll.EQNXTDZ($A$1,$B9,CO$1)</f>
        <v>1468.45</v>
      </c>
      <c r="CP9" s="116" cm="1">
        <f t="array" ref="CP9">_xll.EQNXTDZ($A$1,$B9,CP$1)</f>
        <v>1679.25</v>
      </c>
      <c r="CQ9" s="116" cm="1">
        <f t="array" ref="CQ9">_xll.EQNXTDZ($A$1,$B9,CQ$1)</f>
        <v>1620.85</v>
      </c>
      <c r="CR9" s="116" cm="1">
        <f t="array" ref="CR9">_xll.EQNXTDZ($A$1,$B9,CR$1)</f>
        <v>1161.25</v>
      </c>
      <c r="CS9" s="116" cm="1">
        <f t="array" ref="CS9">_xll.EQNXTDZ($A$1,$B9,CS$1)</f>
        <v>1235.25</v>
      </c>
      <c r="CT9" s="116" cm="1">
        <f t="array" ref="CT9">_xll.EQNXTDZ($A$1,$B9,CT$1)</f>
        <v>1171.3</v>
      </c>
      <c r="CU9" s="116" cm="1">
        <f t="array" ref="CU9">_xll.EQNXTDZ($A$1,$B9,CU$1)</f>
        <v>1283.05</v>
      </c>
      <c r="CV9" s="116" cm="1">
        <f t="array" ref="CV9">_xll.EQNXTDZ($A$1,$B9,CV$1)</f>
        <v>1511.35</v>
      </c>
      <c r="CW9" s="116" cm="1">
        <f t="array" ref="CW9">_xll.EQNXTDZ($A$1,$B9,CW$1)</f>
        <v>1565.15</v>
      </c>
      <c r="CX9" s="116" cm="1">
        <f t="array" ref="CX9">_xll.EQNXTDZ($A$1,$B9,CX$1)</f>
        <v>1618.05</v>
      </c>
      <c r="CY9" s="116" cm="1">
        <f t="array" ref="CY9">_xll.EQNXTDZ($A$1,$B9,CY$1)</f>
        <v>1667.35</v>
      </c>
      <c r="CZ9" s="116" cm="1">
        <f t="array" ref="CZ9">_xll.EQNXTDZ($A$1,$B9,CZ$1)</f>
        <v>1723.2</v>
      </c>
      <c r="DA9" s="116" cm="1">
        <f t="array" ref="DA9">_xll.EQNXTDZ($A$1,$B9,DA$1)</f>
        <v>2339.6</v>
      </c>
      <c r="DB9" s="116" cm="1">
        <f t="array" ref="DB9">_xll.EQNXTDZ($A$1,$B9,DB$1)</f>
        <v>2433.9</v>
      </c>
      <c r="DC9" s="116" cm="1">
        <f t="array" ref="DC9">_xll.EQNXTDZ($A$1,$B9,DC$1)</f>
        <v>2567.6999999999998</v>
      </c>
      <c r="DD9" s="116" cm="1">
        <f t="array" ref="DD9">_xll.EQNXTDZ($A$1,$B9,DD$1)</f>
        <v>2653.9</v>
      </c>
      <c r="DE9" s="116" cm="1">
        <f t="array" ref="DE9">_xll.EQNXTDZ($A$1,$B9,DE$1)</f>
        <v>2728.9</v>
      </c>
      <c r="DF9" s="116" cm="1">
        <f t="array" ref="DF9">_xll.EQNXTDZ($A$1,$B9,DF$1)</f>
        <v>2710.85</v>
      </c>
      <c r="DG9" s="116" cm="1">
        <f t="array" ref="DG9">_xll.EQNXTDZ($A$1,$B9,DG$1)</f>
        <v>2903.1</v>
      </c>
      <c r="DH9" s="116" cm="1">
        <f t="array" ref="DH9">_xll.EQNXTDZ($A$1,$B9,DH$1)</f>
        <v>3706.2</v>
      </c>
      <c r="DI9" s="116" cm="1">
        <f t="array" ref="DI9">_xll.EQNXTDZ($A$1,$B9,DI$1)</f>
        <v>3919.55</v>
      </c>
      <c r="DJ9" s="116" cm="1">
        <f t="array" ref="DJ9">_xll.EQNXTDZ($A$1,$B9,DJ$1)</f>
        <v>4697.55</v>
      </c>
      <c r="DK9" s="116" cm="1">
        <f t="array" ref="DK9">_xll.EQNXTDZ($A$1,$B9,DK$1)</f>
        <v>4725</v>
      </c>
      <c r="DL9" s="116" cm="1">
        <f t="array" ref="DL9">_xll.EQNXTDZ($A$1,$B9,DL$1)</f>
        <v>5279.4</v>
      </c>
      <c r="DM9" s="116" cm="1">
        <f t="array" ref="DM9">_xll.EQNXTDZ($A$1,$B9,DM$1)</f>
        <v>5598.95</v>
      </c>
      <c r="DN9" s="116" cm="1">
        <f t="array" ref="DN9">_xll.EQNXTDZ($A$1,$B9,DN$1)</f>
        <v>4693.1000000000004</v>
      </c>
      <c r="DO9" s="116" cm="1">
        <f t="array" ref="DO9">_xll.EQNXTDZ($A$1,$B9,DO$1)</f>
        <v>4532.05</v>
      </c>
      <c r="DP9" s="116" cm="1">
        <f t="array" ref="DP9">_xll.EQNXTDZ($A$1,$B9,DP$1)</f>
        <v>5105.3</v>
      </c>
      <c r="DQ9" s="116" cm="1">
        <f t="array" ref="DQ9">_xll.EQNXTDZ($A$1,$B9,DQ$1)</f>
        <v>4091.65</v>
      </c>
      <c r="DR9" s="116" cm="1">
        <f t="array" ref="DR9">_xll.EQNXTDZ($A$1,$B9,DR$1)</f>
        <v>3502.35</v>
      </c>
      <c r="DS9" s="116" cm="1">
        <f t="array" ref="DS9">_xll.EQNXTDZ($A$1,$B9,DS$1)</f>
        <v>3030.8</v>
      </c>
      <c r="DT9" s="116" cm="1">
        <f t="array" ref="DT9">_xll.EQNXTDZ($A$1,$B9,DT$1)</f>
        <v>3511.05</v>
      </c>
      <c r="DU9" s="116" cm="1">
        <f t="array" ref="DU9">_xll.EQNXTDZ($A$1,$B9,DU$1)</f>
        <v>3714</v>
      </c>
      <c r="DV9" s="116" cm="1">
        <f t="array" ref="DV9">_xll.EQNXTDZ($A$1,$B9,DV$1)</f>
        <v>3591.6</v>
      </c>
      <c r="DW9" s="116" cm="1">
        <f t="array" ref="DW9">_xll.EQNXTDZ($A$1,$B9,DW$1)</f>
        <v>3538.9</v>
      </c>
      <c r="DX9" s="116" cm="1">
        <f t="array" ref="DX9">_xll.EQNXTDZ($A$1,$B9,DX$1)</f>
        <v>3814.85</v>
      </c>
      <c r="DY9" s="116" cm="1">
        <f t="array" ref="DY9">_xll.EQNXTDZ($A$1,$B9,DY$1)</f>
        <v>3683.55</v>
      </c>
      <c r="DZ9" s="116" cm="1">
        <f t="array" ref="DZ9">_xll.EQNXTDZ($A$1,$B9,DZ$1)</f>
        <v>3335.9</v>
      </c>
      <c r="EA9" s="116" cm="1">
        <f t="array" ref="EA9">_xll.EQNXTDZ($A$1,$B9,EA$1)</f>
        <v>3684.75</v>
      </c>
      <c r="EB9" s="116" cm="1">
        <f t="array" ref="EB9">_xll.EQNXTDZ($A$1,$B9,EB$1)</f>
        <v>3378.55</v>
      </c>
      <c r="EC9" s="116" cm="1">
        <f t="array" ref="EC9">_xll.EQNXTDZ($A$1,$B9,EC$1)</f>
        <v>3775.25</v>
      </c>
      <c r="ED9" s="116" cm="1">
        <f t="array" ref="ED9">_xll.EQNXTDZ($A$1,$B9,ED$1)</f>
        <v>3903</v>
      </c>
      <c r="EE9" s="116" cm="1">
        <f t="array" ref="EE9">_xll.EQNXTDZ($A$1,$B9,EE$1)</f>
        <v>3936.1</v>
      </c>
      <c r="EF9" s="116" cm="1">
        <f t="array" ref="EF9">_xll.EQNXTDZ($A$1,$B9,EF$1)</f>
        <v>4036.25</v>
      </c>
      <c r="EG9" s="116" cm="1">
        <f t="array" ref="EG9">_xll.EQNXTDZ($A$1,$B9,EG$1)</f>
        <v>4404.25</v>
      </c>
      <c r="EH9" s="116" cm="1">
        <f t="array" ref="EH9">_xll.EQNXTDZ($A$1,$B9,EH$1)</f>
        <v>4575.95</v>
      </c>
      <c r="EI9" s="116" cm="1">
        <f t="array" ref="EI9">_xll.EQNXTDZ($A$1,$B9,EI$1)</f>
        <v>4186.7</v>
      </c>
      <c r="EJ9" s="116" cm="1">
        <f t="array" ref="EJ9">_xll.EQNXTDZ($A$1,$B9,EJ$1)</f>
        <v>4768.95</v>
      </c>
      <c r="EK9" s="116" cm="1">
        <f t="array" ref="EK9">_xll.EQNXTDZ($A$1,$B9,EK$1)</f>
        <v>5254.95</v>
      </c>
      <c r="EL9" s="116" cm="1">
        <f t="array" ref="EL9">_xll.EQNXTDZ($A$1,$B9,EL$1)</f>
        <v>5583.95</v>
      </c>
      <c r="EM9" s="116" cm="1">
        <f t="array" ref="EM9">_xll.EQNXTDZ($A$1,$B9,EM$1)</f>
        <v>5302.55</v>
      </c>
      <c r="EN9" s="116" cm="1">
        <f t="array" ref="EN9">_xll.EQNXTDZ($A$1,$B9,EN$1)</f>
        <v>5482.65</v>
      </c>
      <c r="EO9" s="116" cm="1">
        <f t="array" ref="EO9">_xll.EQNXTDZ($A$1,$B9,EO$1)</f>
        <v>4640.1499999999996</v>
      </c>
      <c r="EP9" s="116" cm="1">
        <f t="array" ref="EP9">_xll.EQNXTDZ($A$1,$B9,EP$1)</f>
        <v>4490.8</v>
      </c>
      <c r="EQ9" s="116" cm="1">
        <f t="array" ref="EQ9">_xll.EQNXTDZ($A$1,$B9,EQ$1)</f>
        <v>4909.05</v>
      </c>
      <c r="ER9" s="116" cm="1">
        <f t="array" ref="ER9">_xll.EQNXTDZ($A$1,$B9,ER$1)</f>
        <v>5215.95</v>
      </c>
      <c r="ES9" s="116" cm="1">
        <f t="array" ref="ES9">_xll.EQNXTDZ($A$1,$B9,ES$1)</f>
        <v>5716.1</v>
      </c>
      <c r="ET9" s="116" cm="1">
        <f t="array" ref="ET9">_xll.EQNXTDZ($A$1,$B9,ET$1)</f>
        <v>5344.25</v>
      </c>
      <c r="EU9" s="116" cm="1">
        <f t="array" ref="EU9">_xll.EQNXTDZ($A$1,$B9,EU$1)</f>
        <v>4945.8500000000004</v>
      </c>
      <c r="EV9" s="116" cm="1">
        <f t="array" ref="EV9">_xll.EQNXTDZ($A$1,$B9,EV$1)</f>
        <v>5285.2</v>
      </c>
      <c r="EW9" s="116" cm="1">
        <f t="array" ref="EW9">_xll.EQNXTDZ($A$1,$B9,EW$1)</f>
        <v>4737.3999999999996</v>
      </c>
      <c r="EX9" s="116" cm="1">
        <f t="array" ref="EX9">_xll.EQNXTDZ($A$1,$B9,EX$1)</f>
        <v>5449.35</v>
      </c>
      <c r="EY9" s="116" cm="1">
        <f t="array" ref="EY9">_xll.EQNXTDZ($A$1,$B9,EY$1)</f>
        <v>4533.2</v>
      </c>
      <c r="EZ9" s="116" cm="1">
        <f t="array" ref="EZ9">_xll.EQNXTDZ($A$1,$B9,EZ$1)</f>
        <v>4501.7</v>
      </c>
      <c r="FA9" s="116" cm="1">
        <f t="array" ref="FA9">_xll.EQNXTDZ($A$1,$B9,FA$1)</f>
        <v>4257.1000000000004</v>
      </c>
      <c r="FB9" s="116" cm="1">
        <f t="array" ref="FB9">_xll.EQNXTDZ($A$1,$B9,FB$1)</f>
        <v>4367.6000000000004</v>
      </c>
      <c r="FC9" s="116" cm="1">
        <f t="array" ref="FC9">_xll.EQNXTDZ($A$1,$B9,FC$1)</f>
        <v>4402.1000000000004</v>
      </c>
      <c r="FD9" s="116" cm="1">
        <f t="array" ref="FD9">_xll.EQNXTDZ($A$1,$B9,FD$1)</f>
        <v>4308.2</v>
      </c>
      <c r="FE9" s="116" cm="1">
        <f t="array" ref="FE9">_xll.EQNXTDZ($A$1,$B9,FE$1)</f>
        <v>4223.5</v>
      </c>
      <c r="FF9" s="116" cm="1">
        <f t="array" ref="FF9">_xll.EQNXTDZ($A$1,$B9,FF$1)</f>
        <v>4113.8999999999996</v>
      </c>
      <c r="FG9" s="116" cm="1">
        <f t="array" ref="FG9">_xll.EQNXTDZ($A$1,$B9,FG$1)</f>
        <v>4118.8</v>
      </c>
      <c r="FH9" s="116" cm="1">
        <f t="array" ref="FH9">_xll.EQNXTDZ($A$1,$B9,FH$1)</f>
        <v>4440.3999999999996</v>
      </c>
      <c r="FI9" s="116" cm="1">
        <f t="array" ref="FI9">_xll.EQNXTDZ($A$1,$B9,FI$1)</f>
        <v>4462.2</v>
      </c>
      <c r="FJ9" s="116" cm="1">
        <f t="array" ref="FJ9">_xll.EQNXTDZ($A$1,$B9,FJ$1)</f>
        <v>3722.8</v>
      </c>
      <c r="FK9" s="116" cm="1">
        <f t="array" ref="FK9">_xll.EQNXTDZ($A$1,$B9,FK$1)</f>
        <v>3512.4</v>
      </c>
      <c r="FL9" s="116" cm="1">
        <f t="array" ref="FL9">_xll.EQNXTDZ($A$1,$B9,FL$1)</f>
        <v>3121.7</v>
      </c>
      <c r="FM9" s="116" cm="1">
        <f t="array" ref="FM9">_xll.EQNXTDZ($A$1,$B9,FM$1)</f>
        <v>3626.3</v>
      </c>
      <c r="FN9" s="116" cm="1">
        <f t="array" ref="FN9">_xll.EQNXTDZ($A$1,$B9,FN$1)</f>
        <v>3432.4</v>
      </c>
      <c r="FO9" s="116" cm="1">
        <f t="array" ref="FO9">_xll.EQNXTDZ($A$1,$B9,FO$1)</f>
        <v>3462.9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847.15</v>
      </c>
      <c r="IG9" s="116">
        <f>+BE9</f>
        <v>787.9</v>
      </c>
      <c r="IH9" s="116">
        <f>+BH9</f>
        <v>778.6</v>
      </c>
      <c r="II9" s="116">
        <f>+BK9</f>
        <v>717.05</v>
      </c>
      <c r="IJ9" s="116">
        <f>+BN9</f>
        <v>781.95</v>
      </c>
      <c r="IK9" s="116">
        <f>+BQ9</f>
        <v>1028.25</v>
      </c>
      <c r="IL9" s="116">
        <f>+BT9</f>
        <v>1235.5999999999999</v>
      </c>
      <c r="IM9" s="116">
        <f>+BW9</f>
        <v>1218.0999999999999</v>
      </c>
      <c r="IN9" s="116">
        <f>+BZ9</f>
        <v>1736.25</v>
      </c>
      <c r="IO9" s="116">
        <f>+CC9</f>
        <v>1708.35</v>
      </c>
      <c r="IP9" s="116">
        <f>+CF9</f>
        <v>1572.25</v>
      </c>
      <c r="IQ9" s="116">
        <f>+CI9</f>
        <v>1745.65</v>
      </c>
      <c r="IR9" s="116">
        <f>+CL9</f>
        <v>1522.9</v>
      </c>
      <c r="IS9" s="116">
        <f>+CO9</f>
        <v>1468.45</v>
      </c>
      <c r="IT9" s="116">
        <f>+CR9</f>
        <v>1161.25</v>
      </c>
      <c r="IU9" s="116">
        <f>+CU9</f>
        <v>1283.05</v>
      </c>
      <c r="IV9" s="116">
        <f>+CX9</f>
        <v>1618.05</v>
      </c>
      <c r="IW9" s="116">
        <f>+DA9</f>
        <v>2339.6</v>
      </c>
      <c r="IX9" s="116">
        <f>+DD9</f>
        <v>2653.9</v>
      </c>
      <c r="IY9" s="116">
        <f>+DG9</f>
        <v>2903.1</v>
      </c>
      <c r="IZ9" s="116">
        <f>+DJ9</f>
        <v>4697.55</v>
      </c>
      <c r="JA9" s="116">
        <f>+DM9</f>
        <v>5598.95</v>
      </c>
      <c r="JB9" s="116">
        <f>+DP9</f>
        <v>5105.3</v>
      </c>
      <c r="JC9" s="116">
        <f>+DS9</f>
        <v>3030.8</v>
      </c>
      <c r="JD9" s="116">
        <f>+DV9</f>
        <v>3591.6</v>
      </c>
      <c r="JE9" s="116">
        <f>+DY9</f>
        <v>3683.55</v>
      </c>
      <c r="JF9" s="116">
        <f>+EB9</f>
        <v>3378.55</v>
      </c>
      <c r="JG9" s="116">
        <f>+EE9</f>
        <v>3936.1</v>
      </c>
      <c r="JH9" s="116">
        <f>+EH9</f>
        <v>4575.95</v>
      </c>
      <c r="JI9" s="116">
        <f>+EK9</f>
        <v>5254.95</v>
      </c>
      <c r="JJ9" s="116">
        <f>+EN9</f>
        <v>5482.65</v>
      </c>
      <c r="JK9" s="116">
        <f>EQ9</f>
        <v>4909.05</v>
      </c>
      <c r="JL9" s="116">
        <f>ET9</f>
        <v>5344.25</v>
      </c>
      <c r="JM9" s="116">
        <f>EW9</f>
        <v>4737.3999999999996</v>
      </c>
      <c r="JN9" s="116">
        <f>EZ9</f>
        <v>4501.7</v>
      </c>
      <c r="JO9" s="116">
        <f>FC9</f>
        <v>4402.1000000000004</v>
      </c>
      <c r="JP9" s="116">
        <f>FF9</f>
        <v>4113.8999999999996</v>
      </c>
      <c r="JQ9" s="116">
        <f>FI9</f>
        <v>4462.2</v>
      </c>
      <c r="JR9" s="116">
        <f>FL9</f>
        <v>3121.7</v>
      </c>
      <c r="JS9" s="116">
        <f>FO9</f>
        <v>3462.9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900</v>
      </c>
      <c r="BC13" cm="1">
        <f t="array" ref="BC13">_xll.EQNXTDZ($A$1,$B13,BC$1)</f>
        <v>847</v>
      </c>
      <c r="BD13" cm="1">
        <f t="array" ref="BD13">_xll.EQNXTDZ($A$1,$B13,BD$1)</f>
        <v>831.1</v>
      </c>
      <c r="BE13" cm="1">
        <f t="array" ref="BE13">_xll.EQNXTDZ($A$1,$B13,BE$1)</f>
        <v>855.2</v>
      </c>
      <c r="BF13" cm="1">
        <f t="array" ref="BF13">_xll.EQNXTDZ($A$1,$B13,BF$1)</f>
        <v>789.35</v>
      </c>
      <c r="BG13" cm="1">
        <f t="array" ref="BG13">_xll.EQNXTDZ($A$1,$B13,BG$1)</f>
        <v>835</v>
      </c>
      <c r="BH13" cm="1">
        <f t="array" ref="BH13">_xll.EQNXTDZ($A$1,$B13,BH$1)</f>
        <v>777.65</v>
      </c>
      <c r="BI13" cm="1">
        <f t="array" ref="BI13">_xll.EQNXTDZ($A$1,$B13,BI$1)</f>
        <v>779.15</v>
      </c>
      <c r="BJ13" cm="1">
        <f t="array" ref="BJ13">_xll.EQNXTDZ($A$1,$B13,BJ$1)</f>
        <v>763</v>
      </c>
      <c r="BK13" cm="1">
        <f t="array" ref="BK13">_xll.EQNXTDZ($A$1,$B13,BK$1)</f>
        <v>732.65</v>
      </c>
      <c r="BL13" cm="1">
        <f t="array" ref="BL13">_xll.EQNXTDZ($A$1,$B13,BL$1)</f>
        <v>713.15</v>
      </c>
      <c r="BM13" cm="1">
        <f t="array" ref="BM13">_xll.EQNXTDZ($A$1,$B13,BM$1)</f>
        <v>763.85</v>
      </c>
      <c r="BN13" cm="1">
        <f t="array" ref="BN13">_xll.EQNXTDZ($A$1,$B13,BN$1)</f>
        <v>771</v>
      </c>
      <c r="BO13" cm="1">
        <f t="array" ref="BO13">_xll.EQNXTDZ($A$1,$B13,BO$1)</f>
        <v>784.95</v>
      </c>
      <c r="BP13" cm="1">
        <f t="array" ref="BP13">_xll.EQNXTDZ($A$1,$B13,BP$1)</f>
        <v>832.2</v>
      </c>
      <c r="BQ13" cm="1">
        <f t="array" ref="BQ13">_xll.EQNXTDZ($A$1,$B13,BQ$1)</f>
        <v>1025</v>
      </c>
      <c r="BR13" cm="1">
        <f t="array" ref="BR13">_xll.EQNXTDZ($A$1,$B13,BR$1)</f>
        <v>1039.2</v>
      </c>
      <c r="BS13" cm="1">
        <f t="array" ref="BS13">_xll.EQNXTDZ($A$1,$B13,BS$1)</f>
        <v>1210</v>
      </c>
      <c r="BT13" cm="1">
        <f t="array" ref="BT13">_xll.EQNXTDZ($A$1,$B13,BT$1)</f>
        <v>1374</v>
      </c>
      <c r="BU13" cm="1">
        <f t="array" ref="BU13">_xll.EQNXTDZ($A$1,$B13,BU$1)</f>
        <v>1227</v>
      </c>
      <c r="BV13" cm="1">
        <f t="array" ref="BV13">_xll.EQNXTDZ($A$1,$B13,BV$1)</f>
        <v>1316</v>
      </c>
      <c r="BW13" cm="1">
        <f t="array" ref="BW13">_xll.EQNXTDZ($A$1,$B13,BW$1)</f>
        <v>1313.25</v>
      </c>
      <c r="BX13" cm="1">
        <f t="array" ref="BX13">_xll.EQNXTDZ($A$1,$B13,BX$1)</f>
        <v>1229.8499999999999</v>
      </c>
      <c r="BY13" cm="1">
        <f t="array" ref="BY13">_xll.EQNXTDZ($A$1,$B13,BY$1)</f>
        <v>1478</v>
      </c>
      <c r="BZ13" cm="1">
        <f t="array" ref="BZ13">_xll.EQNXTDZ($A$1,$B13,BZ$1)</f>
        <v>1767</v>
      </c>
      <c r="CA13" cm="1">
        <f t="array" ref="CA13">_xll.EQNXTDZ($A$1,$B13,CA$1)</f>
        <v>1725</v>
      </c>
      <c r="CB13" cm="1">
        <f t="array" ref="CB13">_xll.EQNXTDZ($A$1,$B13,CB$1)</f>
        <v>1710</v>
      </c>
      <c r="CC13" cm="1">
        <f t="array" ref="CC13">_xll.EQNXTDZ($A$1,$B13,CC$1)</f>
        <v>1560</v>
      </c>
      <c r="CD13" cm="1">
        <f t="array" ref="CD13">_xll.EQNXTDZ($A$1,$B13,CD$1)</f>
        <v>1720</v>
      </c>
      <c r="CE13" cm="1">
        <f t="array" ref="CE13">_xll.EQNXTDZ($A$1,$B13,CE$1)</f>
        <v>1580.05</v>
      </c>
      <c r="CF13" cm="1">
        <f t="array" ref="CF13">_xll.EQNXTDZ($A$1,$B13,CF$1)</f>
        <v>1544</v>
      </c>
      <c r="CG13" cm="1">
        <f t="array" ref="CG13">_xll.EQNXTDZ($A$1,$B13,CG$1)</f>
        <v>1590</v>
      </c>
      <c r="CH13" cm="1">
        <f t="array" ref="CH13">_xll.EQNXTDZ($A$1,$B13,CH$1)</f>
        <v>1749.75</v>
      </c>
      <c r="CI13" cm="1">
        <f t="array" ref="CI13">_xll.EQNXTDZ($A$1,$B13,CI$1)</f>
        <v>1761.8</v>
      </c>
      <c r="CJ13" cm="1">
        <f t="array" ref="CJ13">_xll.EQNXTDZ($A$1,$B13,CJ$1)</f>
        <v>1747</v>
      </c>
      <c r="CK13" cm="1">
        <f t="array" ref="CK13">_xll.EQNXTDZ($A$1,$B13,CK$1)</f>
        <v>1447.05</v>
      </c>
      <c r="CL13" cm="1">
        <f t="array" ref="CL13">_xll.EQNXTDZ($A$1,$B13,CL$1)</f>
        <v>1610.05</v>
      </c>
      <c r="CM13" cm="1">
        <f t="array" ref="CM13">_xll.EQNXTDZ($A$1,$B13,CM$1)</f>
        <v>1527</v>
      </c>
      <c r="CN13" cm="1">
        <f t="array" ref="CN13">_xll.EQNXTDZ($A$1,$B13,CN$1)</f>
        <v>1504.25</v>
      </c>
      <c r="CO13" cm="1">
        <f t="array" ref="CO13">_xll.EQNXTDZ($A$1,$B13,CO$1)</f>
        <v>1514</v>
      </c>
      <c r="CP13" cm="1">
        <f t="array" ref="CP13">_xll.EQNXTDZ($A$1,$B13,CP$1)</f>
        <v>1476.4</v>
      </c>
      <c r="CQ13" cm="1">
        <f t="array" ref="CQ13">_xll.EQNXTDZ($A$1,$B13,CQ$1)</f>
        <v>1670.75</v>
      </c>
      <c r="CR13" cm="1">
        <f t="array" ref="CR13">_xll.EQNXTDZ($A$1,$B13,CR$1)</f>
        <v>1651.95</v>
      </c>
      <c r="CS13" cm="1">
        <f t="array" ref="CS13">_xll.EQNXTDZ($A$1,$B13,CS$1)</f>
        <v>1160.1500000000001</v>
      </c>
      <c r="CT13" cm="1">
        <f t="array" ref="CT13">_xll.EQNXTDZ($A$1,$B13,CT$1)</f>
        <v>1225</v>
      </c>
      <c r="CU13" cm="1">
        <f t="array" ref="CU13">_xll.EQNXTDZ($A$1,$B13,CU$1)</f>
        <v>1190</v>
      </c>
      <c r="CV13" cm="1">
        <f t="array" ref="CV13">_xll.EQNXTDZ($A$1,$B13,CV$1)</f>
        <v>1283.55</v>
      </c>
      <c r="CW13" cm="1">
        <f t="array" ref="CW13">_xll.EQNXTDZ($A$1,$B13,CW$1)</f>
        <v>1516</v>
      </c>
      <c r="CX13" cm="1">
        <f t="array" ref="CX13">_xll.EQNXTDZ($A$1,$B13,CX$1)</f>
        <v>1575.7</v>
      </c>
      <c r="CY13" cm="1">
        <f t="array" ref="CY13">_xll.EQNXTDZ($A$1,$B13,CY$1)</f>
        <v>1648</v>
      </c>
      <c r="CZ13" cm="1">
        <f t="array" ref="CZ13">_xll.EQNXTDZ($A$1,$B13,CZ$1)</f>
        <v>1697.95</v>
      </c>
      <c r="DA13" cm="1">
        <f t="array" ref="DA13">_xll.EQNXTDZ($A$1,$B13,DA$1)</f>
        <v>1739.95</v>
      </c>
      <c r="DB13" cm="1">
        <f t="array" ref="DB13">_xll.EQNXTDZ($A$1,$B13,DB$1)</f>
        <v>2350</v>
      </c>
      <c r="DC13" cm="1">
        <f t="array" ref="DC13">_xll.EQNXTDZ($A$1,$B13,DC$1)</f>
        <v>2469</v>
      </c>
      <c r="DD13" cm="1">
        <f t="array" ref="DD13">_xll.EQNXTDZ($A$1,$B13,DD$1)</f>
        <v>2605</v>
      </c>
      <c r="DE13" cm="1">
        <f t="array" ref="DE13">_xll.EQNXTDZ($A$1,$B13,DE$1)</f>
        <v>2660.05</v>
      </c>
      <c r="DF13" cm="1">
        <f t="array" ref="DF13">_xll.EQNXTDZ($A$1,$B13,DF$1)</f>
        <v>2749</v>
      </c>
      <c r="DG13" cm="1">
        <f t="array" ref="DG13">_xll.EQNXTDZ($A$1,$B13,DG$1)</f>
        <v>2700.1</v>
      </c>
      <c r="DH13" cm="1">
        <f t="array" ref="DH13">_xll.EQNXTDZ($A$1,$B13,DH$1)</f>
        <v>2889.55</v>
      </c>
      <c r="DI13" cm="1">
        <f t="array" ref="DI13">_xll.EQNXTDZ($A$1,$B13,DI$1)</f>
        <v>3744</v>
      </c>
      <c r="DJ13" cm="1">
        <f t="array" ref="DJ13">_xll.EQNXTDZ($A$1,$B13,DJ$1)</f>
        <v>3935</v>
      </c>
      <c r="DK13" cm="1">
        <f t="array" ref="DK13">_xll.EQNXTDZ($A$1,$B13,DK$1)</f>
        <v>4699</v>
      </c>
      <c r="DL13" cm="1">
        <f t="array" ref="DL13">_xll.EQNXTDZ($A$1,$B13,DL$1)</f>
        <v>4725</v>
      </c>
      <c r="DM13" cm="1">
        <f t="array" ref="DM13">_xll.EQNXTDZ($A$1,$B13,DM$1)</f>
        <v>5320</v>
      </c>
      <c r="DN13" cm="1">
        <f t="array" ref="DN13">_xll.EQNXTDZ($A$1,$B13,DN$1)</f>
        <v>5600</v>
      </c>
      <c r="DO13" cm="1">
        <f t="array" ref="DO13">_xll.EQNXTDZ($A$1,$B13,DO$1)</f>
        <v>4772.5</v>
      </c>
      <c r="DP13" cm="1">
        <f t="array" ref="DP13">_xll.EQNXTDZ($A$1,$B13,DP$1)</f>
        <v>4511</v>
      </c>
      <c r="DQ13" cm="1">
        <f t="array" ref="DQ13">_xll.EQNXTDZ($A$1,$B13,DQ$1)</f>
        <v>5090.75</v>
      </c>
      <c r="DR13" cm="1">
        <f t="array" ref="DR13">_xll.EQNXTDZ($A$1,$B13,DR$1)</f>
        <v>3991.65</v>
      </c>
      <c r="DS13" cm="1">
        <f t="array" ref="DS13">_xll.EQNXTDZ($A$1,$B13,DS$1)</f>
        <v>3555</v>
      </c>
      <c r="DT13" cm="1">
        <f t="array" ref="DT13">_xll.EQNXTDZ($A$1,$B13,DT$1)</f>
        <v>3030.8</v>
      </c>
      <c r="DU13" cm="1">
        <f t="array" ref="DU13">_xll.EQNXTDZ($A$1,$B13,DU$1)</f>
        <v>3540</v>
      </c>
      <c r="DV13" cm="1">
        <f t="array" ref="DV13">_xll.EQNXTDZ($A$1,$B13,DV$1)</f>
        <v>3645</v>
      </c>
      <c r="DW13" cm="1">
        <f t="array" ref="DW13">_xll.EQNXTDZ($A$1,$B13,DW$1)</f>
        <v>3537.25</v>
      </c>
      <c r="DX13" cm="1">
        <f t="array" ref="DX13">_xll.EQNXTDZ($A$1,$B13,DX$1)</f>
        <v>3540</v>
      </c>
      <c r="DY13" cm="1">
        <f t="array" ref="DY13">_xll.EQNXTDZ($A$1,$B13,DY$1)</f>
        <v>3850</v>
      </c>
      <c r="DZ13" cm="1">
        <f t="array" ref="DZ13">_xll.EQNXTDZ($A$1,$B13,DZ$1)</f>
        <v>3689.1</v>
      </c>
      <c r="EA13" cm="1">
        <f t="array" ref="EA13">_xll.EQNXTDZ($A$1,$B13,EA$1)</f>
        <v>3337.05</v>
      </c>
      <c r="EB13" cm="1">
        <f t="array" ref="EB13">_xll.EQNXTDZ($A$1,$B13,EB$1)</f>
        <v>3680.05</v>
      </c>
      <c r="EC13" cm="1">
        <f t="array" ref="EC13">_xll.EQNXTDZ($A$1,$B13,EC$1)</f>
        <v>3401</v>
      </c>
      <c r="ED13" cm="1">
        <f t="array" ref="ED13">_xll.EQNXTDZ($A$1,$B13,ED$1)</f>
        <v>3774.9</v>
      </c>
      <c r="EE13" cm="1">
        <f t="array" ref="EE13">_xll.EQNXTDZ($A$1,$B13,EE$1)</f>
        <v>3901.45</v>
      </c>
      <c r="EF13" cm="1">
        <f t="array" ref="EF13">_xll.EQNXTDZ($A$1,$B13,EF$1)</f>
        <v>3980</v>
      </c>
      <c r="EG13" cm="1">
        <f t="array" ref="EG13">_xll.EQNXTDZ($A$1,$B13,EG$1)</f>
        <v>4040.05</v>
      </c>
      <c r="EH13" cm="1">
        <f t="array" ref="EH13">_xll.EQNXTDZ($A$1,$B13,EH$1)</f>
        <v>4430</v>
      </c>
      <c r="EI13" cm="1">
        <f t="array" ref="EI13">_xll.EQNXTDZ($A$1,$B13,EI$1)</f>
        <v>4569.95</v>
      </c>
      <c r="EJ13" cm="1">
        <f t="array" ref="EJ13">_xll.EQNXTDZ($A$1,$B13,EJ$1)</f>
        <v>4192.7</v>
      </c>
      <c r="EK13" cm="1">
        <f t="array" ref="EK13">_xll.EQNXTDZ($A$1,$B13,EK$1)</f>
        <v>4775.05</v>
      </c>
      <c r="EL13" cm="1">
        <f t="array" ref="EL13">_xll.EQNXTDZ($A$1,$B13,EL$1)</f>
        <v>5256.25</v>
      </c>
      <c r="EM13" cm="1">
        <f t="array" ref="EM13">_xll.EQNXTDZ($A$1,$B13,EM$1)</f>
        <v>5582.7</v>
      </c>
      <c r="EN13" cm="1">
        <f t="array" ref="EN13">_xll.EQNXTDZ($A$1,$B13,EN$1)</f>
        <v>5390.95</v>
      </c>
      <c r="EO13" cm="1">
        <f t="array" ref="EO13">_xll.EQNXTDZ($A$1,$B13,EO$1)</f>
        <v>5547.45</v>
      </c>
      <c r="EP13" cm="1">
        <f t="array" ref="EP13">_xll.EQNXTDZ($A$1,$B13,EP$1)</f>
        <v>4646.25</v>
      </c>
      <c r="EQ13" cm="1">
        <f t="array" ref="EQ13">_xll.EQNXTDZ($A$1,$B13,EQ$1)</f>
        <v>4629.8999999999996</v>
      </c>
      <c r="ER13" cm="1">
        <f t="array" ref="ER13">_xll.EQNXTDZ($A$1,$B13,ER$1)</f>
        <v>4948.6499999999996</v>
      </c>
      <c r="ES13" cm="1">
        <f t="array" ref="ES13">_xll.EQNXTDZ($A$1,$B13,ES$1)</f>
        <v>5284.4</v>
      </c>
      <c r="ET13" cm="1">
        <f t="array" ref="ET13">_xll.EQNXTDZ($A$1,$B13,ET$1)</f>
        <v>5756.9</v>
      </c>
      <c r="EU13" cm="1">
        <f t="array" ref="EU13">_xll.EQNXTDZ($A$1,$B13,EU$1)</f>
        <v>5328.95</v>
      </c>
      <c r="EV13" cm="1">
        <f t="array" ref="EV13">_xll.EQNXTDZ($A$1,$B13,EV$1)</f>
        <v>4948.2</v>
      </c>
      <c r="EW13" cm="1">
        <f t="array" ref="EW13">_xll.EQNXTDZ($A$1,$B13,EW$1)</f>
        <v>5287.95</v>
      </c>
      <c r="EX13" cm="1">
        <f t="array" ref="EX13">_xll.EQNXTDZ($A$1,$B13,EX$1)</f>
        <v>4799.95</v>
      </c>
      <c r="EY13" cm="1">
        <f t="array" ref="EY13">_xll.EQNXTDZ($A$1,$B13,EY$1)</f>
        <v>5415</v>
      </c>
      <c r="EZ13" cm="1">
        <f t="array" ref="EZ13">_xll.EQNXTDZ($A$1,$B13,EZ$1)</f>
        <v>4500.1499999999996</v>
      </c>
      <c r="FA13" cm="1">
        <f t="array" ref="FA13">_xll.EQNXTDZ($A$1,$B13,FA$1)</f>
        <v>4512.3</v>
      </c>
      <c r="FB13" cm="1">
        <f t="array" ref="FB13">_xll.EQNXTDZ($A$1,$B13,FB$1)</f>
        <v>4260.3500000000004</v>
      </c>
      <c r="FC13" cm="1">
        <f t="array" ref="FC13">_xll.EQNXTDZ($A$1,$B13,FC$1)</f>
        <v>4380</v>
      </c>
      <c r="FD13" cm="1">
        <f t="array" ref="FD13">_xll.EQNXTDZ($A$1,$B13,FD$1)</f>
        <v>4449.3</v>
      </c>
      <c r="FE13" cm="1">
        <f t="array" ref="FE13">_xll.EQNXTDZ($A$1,$B13,FE$1)</f>
        <v>4308</v>
      </c>
      <c r="FF13" cm="1">
        <f t="array" ref="FF13">_xll.EQNXTDZ($A$1,$B13,FF$1)</f>
        <v>4223</v>
      </c>
      <c r="FG13" cm="1">
        <f t="array" ref="FG13">_xll.EQNXTDZ($A$1,$B13,FG$1)</f>
        <v>4145</v>
      </c>
      <c r="FH13" cm="1">
        <f t="array" ref="FH13">_xll.EQNXTDZ($A$1,$B13,FH$1)</f>
        <v>4097.2</v>
      </c>
      <c r="FI13" cm="1">
        <f t="array" ref="FI13">_xll.EQNXTDZ($A$1,$B13,FI$1)</f>
        <v>4497.95</v>
      </c>
      <c r="FJ13" cm="1">
        <f t="array" ref="FJ13">_xll.EQNXTDZ($A$1,$B13,FJ$1)</f>
        <v>4458.6000000000004</v>
      </c>
      <c r="FK13" cm="1">
        <f t="array" ref="FK13">_xll.EQNXTDZ($A$1,$B13,FK$1)</f>
        <v>3725.45</v>
      </c>
      <c r="FL13" cm="1">
        <f t="array" ref="FL13">_xll.EQNXTDZ($A$1,$B13,FL$1)</f>
        <v>3325.75</v>
      </c>
      <c r="FM13" cm="1">
        <f t="array" ref="FM13">_xll.EQNXTDZ($A$1,$B13,FM$1)</f>
        <v>3247.1</v>
      </c>
      <c r="FN13" cm="1">
        <f t="array" ref="FN13">_xll.EQNXTDZ($A$1,$B13,FN$1)</f>
        <v>3648.15</v>
      </c>
      <c r="FO13" cm="1">
        <f t="array" ref="FO13">_xll.EQNXTDZ($A$1,$B13,FO$1)</f>
        <v>3489.05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931</v>
      </c>
      <c r="BC14" s="116" cm="1">
        <f t="array" ref="BC14">_xll.EQNXTDZ($A$1,$B14,BC$1)</f>
        <v>864.95</v>
      </c>
      <c r="BD14" s="116" cm="1">
        <f t="array" ref="BD14">_xll.EQNXTDZ($A$1,$B14,BD$1)</f>
        <v>863.2</v>
      </c>
      <c r="BE14" s="116" cm="1">
        <f t="array" ref="BE14">_xll.EQNXTDZ($A$1,$B14,BE$1)</f>
        <v>860</v>
      </c>
      <c r="BF14" s="116" cm="1">
        <f t="array" ref="BF14">_xll.EQNXTDZ($A$1,$B14,BF$1)</f>
        <v>855</v>
      </c>
      <c r="BG14" s="116" cm="1">
        <f t="array" ref="BG14">_xll.EQNXTDZ($A$1,$B14,BG$1)</f>
        <v>838.1</v>
      </c>
      <c r="BH14" s="116" cm="1">
        <f t="array" ref="BH14">_xll.EQNXTDZ($A$1,$B14,BH$1)</f>
        <v>789</v>
      </c>
      <c r="BI14" s="116" cm="1">
        <f t="array" ref="BI14">_xll.EQNXTDZ($A$1,$B14,BI$1)</f>
        <v>799.95</v>
      </c>
      <c r="BJ14" s="116" cm="1">
        <f t="array" ref="BJ14">_xll.EQNXTDZ($A$1,$B14,BJ$1)</f>
        <v>794.25</v>
      </c>
      <c r="BK14" s="116" cm="1">
        <f t="array" ref="BK14">_xll.EQNXTDZ($A$1,$B14,BK$1)</f>
        <v>774</v>
      </c>
      <c r="BL14" s="116" cm="1">
        <f t="array" ref="BL14">_xll.EQNXTDZ($A$1,$B14,BL$1)</f>
        <v>782.55</v>
      </c>
      <c r="BM14" s="116" cm="1">
        <f t="array" ref="BM14">_xll.EQNXTDZ($A$1,$B14,BM$1)</f>
        <v>771.9</v>
      </c>
      <c r="BN14" s="116" cm="1">
        <f t="array" ref="BN14">_xll.EQNXTDZ($A$1,$B14,BN$1)</f>
        <v>802</v>
      </c>
      <c r="BO14" s="116" cm="1">
        <f t="array" ref="BO14">_xll.EQNXTDZ($A$1,$B14,BO$1)</f>
        <v>843.9</v>
      </c>
      <c r="BP14" s="116" cm="1">
        <f t="array" ref="BP14">_xll.EQNXTDZ($A$1,$B14,BP$1)</f>
        <v>1028</v>
      </c>
      <c r="BQ14" s="116" cm="1">
        <f t="array" ref="BQ14">_xll.EQNXTDZ($A$1,$B14,BQ$1)</f>
        <v>1124.4000000000001</v>
      </c>
      <c r="BR14" s="116" cm="1">
        <f t="array" ref="BR14">_xll.EQNXTDZ($A$1,$B14,BR$1)</f>
        <v>1422</v>
      </c>
      <c r="BS14" s="116" cm="1">
        <f t="array" ref="BS14">_xll.EQNXTDZ($A$1,$B14,BS$1)</f>
        <v>1547</v>
      </c>
      <c r="BT14" s="116" cm="1">
        <f t="array" ref="BT14">_xll.EQNXTDZ($A$1,$B14,BT$1)</f>
        <v>1437.95</v>
      </c>
      <c r="BU14" s="116" cm="1">
        <f t="array" ref="BU14">_xll.EQNXTDZ($A$1,$B14,BU$1)</f>
        <v>1380</v>
      </c>
      <c r="BV14" s="116" cm="1">
        <f t="array" ref="BV14">_xll.EQNXTDZ($A$1,$B14,BV$1)</f>
        <v>1374.9</v>
      </c>
      <c r="BW14" s="116" cm="1">
        <f t="array" ref="BW14">_xll.EQNXTDZ($A$1,$B14,BW$1)</f>
        <v>1358</v>
      </c>
      <c r="BX14" s="116" cm="1">
        <f t="array" ref="BX14">_xll.EQNXTDZ($A$1,$B14,BX$1)</f>
        <v>1560</v>
      </c>
      <c r="BY14" s="116" cm="1">
        <f t="array" ref="BY14">_xll.EQNXTDZ($A$1,$B14,BY$1)</f>
        <v>1775</v>
      </c>
      <c r="BZ14" s="116" cm="1">
        <f t="array" ref="BZ14">_xll.EQNXTDZ($A$1,$B14,BZ$1)</f>
        <v>1852.5</v>
      </c>
      <c r="CA14" s="116" cm="1">
        <f t="array" ref="CA14">_xll.EQNXTDZ($A$1,$B14,CA$1)</f>
        <v>1773</v>
      </c>
      <c r="CB14" s="116" cm="1">
        <f t="array" ref="CB14">_xll.EQNXTDZ($A$1,$B14,CB$1)</f>
        <v>1769</v>
      </c>
      <c r="CC14" s="116" cm="1">
        <f t="array" ref="CC14">_xll.EQNXTDZ($A$1,$B14,CC$1)</f>
        <v>1737.4</v>
      </c>
      <c r="CD14" s="116" cm="1">
        <f t="array" ref="CD14">_xll.EQNXTDZ($A$1,$B14,CD$1)</f>
        <v>1746.95</v>
      </c>
      <c r="CE14" s="116" cm="1">
        <f t="array" ref="CE14">_xll.EQNXTDZ($A$1,$B14,CE$1)</f>
        <v>1621.9</v>
      </c>
      <c r="CF14" s="116" cm="1">
        <f t="array" ref="CF14">_xll.EQNXTDZ($A$1,$B14,CF$1)</f>
        <v>1592.85</v>
      </c>
      <c r="CG14" s="116" cm="1">
        <f t="array" ref="CG14">_xll.EQNXTDZ($A$1,$B14,CG$1)</f>
        <v>1774.7</v>
      </c>
      <c r="CH14" s="116" cm="1">
        <f t="array" ref="CH14">_xll.EQNXTDZ($A$1,$B14,CH$1)</f>
        <v>1817.75</v>
      </c>
      <c r="CI14" s="116" cm="1">
        <f t="array" ref="CI14">_xll.EQNXTDZ($A$1,$B14,CI$1)</f>
        <v>1792.7</v>
      </c>
      <c r="CJ14" s="116" cm="1">
        <f t="array" ref="CJ14">_xll.EQNXTDZ($A$1,$B14,CJ$1)</f>
        <v>1768</v>
      </c>
      <c r="CK14" s="116" cm="1">
        <f t="array" ref="CK14">_xll.EQNXTDZ($A$1,$B14,CK$1)</f>
        <v>1653</v>
      </c>
      <c r="CL14" s="116" cm="1">
        <f t="array" ref="CL14">_xll.EQNXTDZ($A$1,$B14,CL$1)</f>
        <v>1651.1</v>
      </c>
      <c r="CM14" s="116" cm="1">
        <f t="array" ref="CM14">_xll.EQNXTDZ($A$1,$B14,CM$1)</f>
        <v>1657</v>
      </c>
      <c r="CN14" s="116" cm="1">
        <f t="array" ref="CN14">_xll.EQNXTDZ($A$1,$B14,CN$1)</f>
        <v>1514</v>
      </c>
      <c r="CO14" s="116" cm="1">
        <f t="array" ref="CO14">_xll.EQNXTDZ($A$1,$B14,CO$1)</f>
        <v>1529</v>
      </c>
      <c r="CP14" s="116" cm="1">
        <f t="array" ref="CP14">_xll.EQNXTDZ($A$1,$B14,CP$1)</f>
        <v>1780</v>
      </c>
      <c r="CQ14" s="116" cm="1">
        <f t="array" ref="CQ14">_xll.EQNXTDZ($A$1,$B14,CQ$1)</f>
        <v>1775</v>
      </c>
      <c r="CR14" s="116" cm="1">
        <f t="array" ref="CR14">_xll.EQNXTDZ($A$1,$B14,CR$1)</f>
        <v>1708</v>
      </c>
      <c r="CS14" s="116" cm="1">
        <f t="array" ref="CS14">_xll.EQNXTDZ($A$1,$B14,CS$1)</f>
        <v>1300</v>
      </c>
      <c r="CT14" s="116" cm="1">
        <f t="array" ref="CT14">_xll.EQNXTDZ($A$1,$B14,CT$1)</f>
        <v>1238</v>
      </c>
      <c r="CU14" s="116" cm="1">
        <f t="array" ref="CU14">_xll.EQNXTDZ($A$1,$B14,CU$1)</f>
        <v>1415.3</v>
      </c>
      <c r="CV14" s="116" cm="1">
        <f t="array" ref="CV14">_xll.EQNXTDZ($A$1,$B14,CV$1)</f>
        <v>1528</v>
      </c>
      <c r="CW14" s="116" cm="1">
        <f t="array" ref="CW14">_xll.EQNXTDZ($A$1,$B14,CW$1)</f>
        <v>1652.5</v>
      </c>
      <c r="CX14" s="116" cm="1">
        <f t="array" ref="CX14">_xll.EQNXTDZ($A$1,$B14,CX$1)</f>
        <v>1697.5</v>
      </c>
      <c r="CY14" s="116" cm="1">
        <f t="array" ref="CY14">_xll.EQNXTDZ($A$1,$B14,CY$1)</f>
        <v>1879</v>
      </c>
      <c r="CZ14" s="116" cm="1">
        <f t="array" ref="CZ14">_xll.EQNXTDZ($A$1,$B14,CZ$1)</f>
        <v>1747.8</v>
      </c>
      <c r="DA14" s="116" cm="1">
        <f t="array" ref="DA14">_xll.EQNXTDZ($A$1,$B14,DA$1)</f>
        <v>2435.1999999999998</v>
      </c>
      <c r="DB14" s="116" cm="1">
        <f t="array" ref="DB14">_xll.EQNXTDZ($A$1,$B14,DB$1)</f>
        <v>2780</v>
      </c>
      <c r="DC14" s="116" cm="1">
        <f t="array" ref="DC14">_xll.EQNXTDZ($A$1,$B14,DC$1)</f>
        <v>2760</v>
      </c>
      <c r="DD14" s="116" cm="1">
        <f t="array" ref="DD14">_xll.EQNXTDZ($A$1,$B14,DD$1)</f>
        <v>2858.35</v>
      </c>
      <c r="DE14" s="116" cm="1">
        <f t="array" ref="DE14">_xll.EQNXTDZ($A$1,$B14,DE$1)</f>
        <v>3062.45</v>
      </c>
      <c r="DF14" s="116" cm="1">
        <f t="array" ref="DF14">_xll.EQNXTDZ($A$1,$B14,DF$1)</f>
        <v>2817.6</v>
      </c>
      <c r="DG14" s="116" cm="1">
        <f t="array" ref="DG14">_xll.EQNXTDZ($A$1,$B14,DG$1)</f>
        <v>2977.35</v>
      </c>
      <c r="DH14" s="116" cm="1">
        <f t="array" ref="DH14">_xll.EQNXTDZ($A$1,$B14,DH$1)</f>
        <v>3818.2</v>
      </c>
      <c r="DI14" s="116" cm="1">
        <f t="array" ref="DI14">_xll.EQNXTDZ($A$1,$B14,DI$1)</f>
        <v>4024</v>
      </c>
      <c r="DJ14" s="116" cm="1">
        <f t="array" ref="DJ14">_xll.EQNXTDZ($A$1,$B14,DJ$1)</f>
        <v>5000</v>
      </c>
      <c r="DK14" s="116" cm="1">
        <f t="array" ref="DK14">_xll.EQNXTDZ($A$1,$B14,DK$1)</f>
        <v>5469.2</v>
      </c>
      <c r="DL14" s="116" cm="1">
        <f t="array" ref="DL14">_xll.EQNXTDZ($A$1,$B14,DL$1)</f>
        <v>5819.2</v>
      </c>
      <c r="DM14" s="116" cm="1">
        <f t="array" ref="DM14">_xll.EQNXTDZ($A$1,$B14,DM$1)</f>
        <v>5656.9</v>
      </c>
      <c r="DN14" s="116" cm="1">
        <f t="array" ref="DN14">_xll.EQNXTDZ($A$1,$B14,DN$1)</f>
        <v>5958.1</v>
      </c>
      <c r="DO14" s="116" cm="1">
        <f t="array" ref="DO14">_xll.EQNXTDZ($A$1,$B14,DO$1)</f>
        <v>4825.25</v>
      </c>
      <c r="DP14" s="116" cm="1">
        <f t="array" ref="DP14">_xll.EQNXTDZ($A$1,$B14,DP$1)</f>
        <v>5150</v>
      </c>
      <c r="DQ14" s="116" cm="1">
        <f t="array" ref="DQ14">_xll.EQNXTDZ($A$1,$B14,DQ$1)</f>
        <v>5294.7</v>
      </c>
      <c r="DR14" s="116" cm="1">
        <f t="array" ref="DR14">_xll.EQNXTDZ($A$1,$B14,DR$1)</f>
        <v>4049.2</v>
      </c>
      <c r="DS14" s="116" cm="1">
        <f t="array" ref="DS14">_xll.EQNXTDZ($A$1,$B14,DS$1)</f>
        <v>3735.45</v>
      </c>
      <c r="DT14" s="116" cm="1">
        <f t="array" ref="DT14">_xll.EQNXTDZ($A$1,$B14,DT$1)</f>
        <v>3582</v>
      </c>
      <c r="DU14" s="116" cm="1">
        <f t="array" ref="DU14">_xll.EQNXTDZ($A$1,$B14,DU$1)</f>
        <v>3942</v>
      </c>
      <c r="DV14" s="116" cm="1">
        <f t="array" ref="DV14">_xll.EQNXTDZ($A$1,$B14,DV$1)</f>
        <v>3878</v>
      </c>
      <c r="DW14" s="116" cm="1">
        <f t="array" ref="DW14">_xll.EQNXTDZ($A$1,$B14,DW$1)</f>
        <v>3687.35</v>
      </c>
      <c r="DX14" s="116" cm="1">
        <f t="array" ref="DX14">_xll.EQNXTDZ($A$1,$B14,DX$1)</f>
        <v>3934.35</v>
      </c>
      <c r="DY14" s="116" cm="1">
        <f t="array" ref="DY14">_xll.EQNXTDZ($A$1,$B14,DY$1)</f>
        <v>4316.75</v>
      </c>
      <c r="DZ14" s="116" cm="1">
        <f t="array" ref="DZ14">_xll.EQNXTDZ($A$1,$B14,DZ$1)</f>
        <v>3784.3</v>
      </c>
      <c r="EA14" s="116" cm="1">
        <f t="array" ref="EA14">_xll.EQNXTDZ($A$1,$B14,EA$1)</f>
        <v>3808.6</v>
      </c>
      <c r="EB14" s="116" cm="1">
        <f t="array" ref="EB14">_xll.EQNXTDZ($A$1,$B14,EB$1)</f>
        <v>3840</v>
      </c>
      <c r="EC14" s="116" cm="1">
        <f t="array" ref="EC14">_xll.EQNXTDZ($A$1,$B14,EC$1)</f>
        <v>3872.9</v>
      </c>
      <c r="ED14" s="116" cm="1">
        <f t="array" ref="ED14">_xll.EQNXTDZ($A$1,$B14,ED$1)</f>
        <v>3969.55</v>
      </c>
      <c r="EE14" s="116" cm="1">
        <f t="array" ref="EE14">_xll.EQNXTDZ($A$1,$B14,EE$1)</f>
        <v>4031.95</v>
      </c>
      <c r="EF14" s="116" cm="1">
        <f t="array" ref="EF14">_xll.EQNXTDZ($A$1,$B14,EF$1)</f>
        <v>4209.95</v>
      </c>
      <c r="EG14" s="116" cm="1">
        <f t="array" ref="EG14">_xll.EQNXTDZ($A$1,$B14,EG$1)</f>
        <v>4465</v>
      </c>
      <c r="EH14" s="116" cm="1">
        <f t="array" ref="EH14">_xll.EQNXTDZ($A$1,$B14,EH$1)</f>
        <v>4797.95</v>
      </c>
      <c r="EI14" s="116" cm="1">
        <f t="array" ref="EI14">_xll.EQNXTDZ($A$1,$B14,EI$1)</f>
        <v>4859.75</v>
      </c>
      <c r="EJ14" s="116" cm="1">
        <f t="array" ref="EJ14">_xll.EQNXTDZ($A$1,$B14,EJ$1)</f>
        <v>4803</v>
      </c>
      <c r="EK14" s="116" cm="1">
        <f t="array" ref="EK14">_xll.EQNXTDZ($A$1,$B14,EK$1)</f>
        <v>5365</v>
      </c>
      <c r="EL14" s="116" cm="1">
        <f t="array" ref="EL14">_xll.EQNXTDZ($A$1,$B14,EL$1)</f>
        <v>5630</v>
      </c>
      <c r="EM14" s="116" cm="1">
        <f t="array" ref="EM14">_xll.EQNXTDZ($A$1,$B14,EM$1)</f>
        <v>5675</v>
      </c>
      <c r="EN14" s="116" cm="1">
        <f t="array" ref="EN14">_xll.EQNXTDZ($A$1,$B14,EN$1)</f>
        <v>5552</v>
      </c>
      <c r="EO14" s="116" cm="1">
        <f t="array" ref="EO14">_xll.EQNXTDZ($A$1,$B14,EO$1)</f>
        <v>5884.95</v>
      </c>
      <c r="EP14" s="116" cm="1">
        <f t="array" ref="EP14">_xll.EQNXTDZ($A$1,$B14,EP$1)</f>
        <v>4697.6000000000004</v>
      </c>
      <c r="EQ14" s="116" cm="1">
        <f t="array" ref="EQ14">_xll.EQNXTDZ($A$1,$B14,EQ$1)</f>
        <v>5023.1499999999996</v>
      </c>
      <c r="ER14" s="116" cm="1">
        <f t="array" ref="ER14">_xll.EQNXTDZ($A$1,$B14,ER$1)</f>
        <v>5255</v>
      </c>
      <c r="ES14" s="116" cm="1">
        <f t="array" ref="ES14">_xll.EQNXTDZ($A$1,$B14,ES$1)</f>
        <v>5990</v>
      </c>
      <c r="ET14" s="116" cm="1">
        <f t="array" ref="ET14">_xll.EQNXTDZ($A$1,$B14,ET$1)</f>
        <v>5832</v>
      </c>
      <c r="EU14" s="116" cm="1">
        <f t="array" ref="EU14">_xll.EQNXTDZ($A$1,$B14,EU$1)</f>
        <v>5420</v>
      </c>
      <c r="EV14" s="116" cm="1">
        <f t="array" ref="EV14">_xll.EQNXTDZ($A$1,$B14,EV$1)</f>
        <v>5549.1</v>
      </c>
      <c r="EW14" s="116" cm="1">
        <f t="array" ref="EW14">_xll.EQNXTDZ($A$1,$B14,EW$1)</f>
        <v>5436.25</v>
      </c>
      <c r="EX14" s="116" cm="1">
        <f t="array" ref="EX14">_xll.EQNXTDZ($A$1,$B14,EX$1)</f>
        <v>5502.5</v>
      </c>
      <c r="EY14" s="116" cm="1">
        <f t="array" ref="EY14">_xll.EQNXTDZ($A$1,$B14,EY$1)</f>
        <v>5647.35</v>
      </c>
      <c r="EZ14" s="116" cm="1">
        <f t="array" ref="EZ14">_xll.EQNXTDZ($A$1,$B14,EZ$1)</f>
        <v>4879.8</v>
      </c>
      <c r="FA14" s="116" cm="1">
        <f t="array" ref="FA14">_xll.EQNXTDZ($A$1,$B14,FA$1)</f>
        <v>4660.6499999999996</v>
      </c>
      <c r="FB14" s="116" cm="1">
        <f t="array" ref="FB14">_xll.EQNXTDZ($A$1,$B14,FB$1)</f>
        <v>4605</v>
      </c>
      <c r="FC14" s="116" cm="1">
        <f t="array" ref="FC14">_xll.EQNXTDZ($A$1,$B14,FC$1)</f>
        <v>4643.3999999999996</v>
      </c>
      <c r="FD14" s="116" cm="1">
        <f t="array" ref="FD14">_xll.EQNXTDZ($A$1,$B14,FD$1)</f>
        <v>4500</v>
      </c>
      <c r="FE14" s="116" cm="1">
        <f t="array" ref="FE14">_xll.EQNXTDZ($A$1,$B14,FE$1)</f>
        <v>4419</v>
      </c>
      <c r="FF14" s="116" cm="1">
        <f t="array" ref="FF14">_xll.EQNXTDZ($A$1,$B14,FF$1)</f>
        <v>4499</v>
      </c>
      <c r="FG14" s="116" cm="1">
        <f t="array" ref="FG14">_xll.EQNXTDZ($A$1,$B14,FG$1)</f>
        <v>4329.8999999999996</v>
      </c>
      <c r="FH14" s="116" cm="1">
        <f t="array" ref="FH14">_xll.EQNXTDZ($A$1,$B14,FH$1)</f>
        <v>4460</v>
      </c>
      <c r="FI14" s="116" cm="1">
        <f t="array" ref="FI14">_xll.EQNXTDZ($A$1,$B14,FI$1)</f>
        <v>4746.95</v>
      </c>
      <c r="FJ14" s="116" cm="1">
        <f t="array" ref="FJ14">_xll.EQNXTDZ($A$1,$B14,FJ$1)</f>
        <v>4504.8500000000004</v>
      </c>
      <c r="FK14" s="116" cm="1">
        <f t="array" ref="FK14">_xll.EQNXTDZ($A$1,$B14,FK$1)</f>
        <v>3948.35</v>
      </c>
      <c r="FL14" s="116" cm="1">
        <f t="array" ref="FL14">_xll.EQNXTDZ($A$1,$B14,FL$1)</f>
        <v>3573.9</v>
      </c>
      <c r="FM14" s="116" cm="1">
        <f t="array" ref="FM14">_xll.EQNXTDZ($A$1,$B14,FM$1)</f>
        <v>3664.15</v>
      </c>
      <c r="FN14" s="116" cm="1">
        <f t="array" ref="FN14">_xll.EQNXTDZ($A$1,$B14,FN$1)</f>
        <v>3844</v>
      </c>
      <c r="FO14" s="116" cm="1">
        <f t="array" ref="FO14">_xll.EQNXTDZ($A$1,$B14,FO$1)</f>
        <v>3550.9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931</v>
      </c>
      <c r="IG14" s="116">
        <f>+MAX(BC14:BE14)</f>
        <v>864.95</v>
      </c>
      <c r="IH14" s="116">
        <f>+MAX(BF14:BH14)</f>
        <v>855</v>
      </c>
      <c r="II14" s="116">
        <f>+MAX(BI14:BK14)</f>
        <v>799.95</v>
      </c>
      <c r="IJ14" s="116">
        <f>+MAX(BL14:BN14)</f>
        <v>802</v>
      </c>
      <c r="IK14" s="116">
        <f>+MAX(BO14:BQ14)</f>
        <v>1124.4000000000001</v>
      </c>
      <c r="IL14" s="116">
        <f>+MAX(BR14:BT14)</f>
        <v>1547</v>
      </c>
      <c r="IM14" s="116">
        <f>+MAX(BU14:BW14)</f>
        <v>1380</v>
      </c>
      <c r="IN14" s="116">
        <f>+MAX(BX14:BZ14)</f>
        <v>1852.5</v>
      </c>
      <c r="IO14" s="116">
        <f>+MAX(CA14:CC14)</f>
        <v>1773</v>
      </c>
      <c r="IP14" s="116">
        <f>+MAX(CD14:CF14)</f>
        <v>1746.95</v>
      </c>
      <c r="IQ14" s="116">
        <f>+MAX(CG14:CI14)</f>
        <v>1817.75</v>
      </c>
      <c r="IR14" s="116">
        <f>+MAX(CJ14:CL14)</f>
        <v>1768</v>
      </c>
      <c r="IS14" s="116">
        <f>+MAX(CM14:CO14)</f>
        <v>1657</v>
      </c>
      <c r="IT14" s="116">
        <f>+MAX(CP14:CR14)</f>
        <v>1780</v>
      </c>
      <c r="IU14" s="116">
        <f>+MAX(CS14:CU14)</f>
        <v>1415.3</v>
      </c>
      <c r="IV14" s="116">
        <f>+MAX(CV14:CX14)</f>
        <v>1697.5</v>
      </c>
      <c r="IW14" s="116">
        <f>+MAX(CY14:DA14)</f>
        <v>2435.1999999999998</v>
      </c>
      <c r="IX14" s="116">
        <f>+MAX(DB14:DD14)</f>
        <v>2858.35</v>
      </c>
      <c r="IY14" s="116">
        <f>+MAX(DE14:DG14)</f>
        <v>3062.45</v>
      </c>
      <c r="IZ14" s="116">
        <f>+MAX(DH14:DJ14)</f>
        <v>5000</v>
      </c>
      <c r="JA14" s="116">
        <f>+MAX(DK14:DM14)</f>
        <v>5819.2</v>
      </c>
      <c r="JB14" s="116">
        <f>+MAX(DN14:DP14)</f>
        <v>5958.1</v>
      </c>
      <c r="JC14" s="116">
        <f>+MAX(DQ14:DS14)</f>
        <v>5294.7</v>
      </c>
      <c r="JD14" s="116">
        <f>+MAX(DT14:DV14)</f>
        <v>3942</v>
      </c>
      <c r="JE14" s="116">
        <f>+MAX(DW14:DY14)</f>
        <v>4316.75</v>
      </c>
      <c r="JF14" s="116">
        <f>+MAX(DZ14:EB14)</f>
        <v>3840</v>
      </c>
      <c r="JG14" s="116">
        <f>+MAX(EC14:EE14)</f>
        <v>4031.95</v>
      </c>
      <c r="JH14" s="116">
        <f>+MAX(EF14:EH14)</f>
        <v>4797.95</v>
      </c>
      <c r="JI14" s="116">
        <f>+MAX(EI14:EK14)</f>
        <v>5365</v>
      </c>
      <c r="JJ14" s="116">
        <f>+MAX(EL14:EN14)</f>
        <v>5675</v>
      </c>
      <c r="JK14" s="116">
        <f>MAX(EO14:EQ14)</f>
        <v>5884.95</v>
      </c>
      <c r="JL14" s="116">
        <f>MAX(ER14:ET14)</f>
        <v>5990</v>
      </c>
      <c r="JM14" s="116">
        <f>MAX(EU14:EW14)</f>
        <v>5549.1</v>
      </c>
      <c r="JN14" s="116">
        <f>MAX(EX14:EZ14)</f>
        <v>5647.35</v>
      </c>
      <c r="JO14" s="116">
        <f>MAX(FA14:FC14)</f>
        <v>4660.6499999999996</v>
      </c>
      <c r="JP14" s="116">
        <f>MAX(FD14:FF14)</f>
        <v>4500</v>
      </c>
      <c r="JQ14" s="116">
        <f>MAX(FG14:FI14)</f>
        <v>4746.95</v>
      </c>
      <c r="JR14" s="116">
        <f>MAX(FJ14:FL14)</f>
        <v>4504.8500000000004</v>
      </c>
      <c r="JS14" s="116">
        <f>MAX(FM14:FO14)</f>
        <v>3844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833</v>
      </c>
      <c r="BC15" s="116" cm="1">
        <f t="array" ref="BC15">_xll.EQNXTDZ($A$1,$B15,BC$1)</f>
        <v>822.5</v>
      </c>
      <c r="BD15" s="116" cm="1">
        <f t="array" ref="BD15">_xll.EQNXTDZ($A$1,$B15,BD$1)</f>
        <v>735</v>
      </c>
      <c r="BE15" s="116" cm="1">
        <f t="array" ref="BE15">_xll.EQNXTDZ($A$1,$B15,BE$1)</f>
        <v>773</v>
      </c>
      <c r="BF15" s="116" cm="1">
        <f t="array" ref="BF15">_xll.EQNXTDZ($A$1,$B15,BF$1)</f>
        <v>781</v>
      </c>
      <c r="BG15" s="116" cm="1">
        <f t="array" ref="BG15">_xll.EQNXTDZ($A$1,$B15,BG$1)</f>
        <v>770.4</v>
      </c>
      <c r="BH15" s="116" cm="1">
        <f t="array" ref="BH15">_xll.EQNXTDZ($A$1,$B15,BH$1)</f>
        <v>762</v>
      </c>
      <c r="BI15" s="116" cm="1">
        <f t="array" ref="BI15">_xll.EQNXTDZ($A$1,$B15,BI$1)</f>
        <v>731.4</v>
      </c>
      <c r="BJ15" s="116" cm="1">
        <f t="array" ref="BJ15">_xll.EQNXTDZ($A$1,$B15,BJ$1)</f>
        <v>732</v>
      </c>
      <c r="BK15" s="116" cm="1">
        <f t="array" ref="BK15">_xll.EQNXTDZ($A$1,$B15,BK$1)</f>
        <v>671</v>
      </c>
      <c r="BL15" s="116" cm="1">
        <f t="array" ref="BL15">_xll.EQNXTDZ($A$1,$B15,BL$1)</f>
        <v>712</v>
      </c>
      <c r="BM15" s="116" cm="1">
        <f t="array" ref="BM15">_xll.EQNXTDZ($A$1,$B15,BM$1)</f>
        <v>726.75</v>
      </c>
      <c r="BN15" s="116" cm="1">
        <f t="array" ref="BN15">_xll.EQNXTDZ($A$1,$B15,BN$1)</f>
        <v>762</v>
      </c>
      <c r="BO15" s="116" cm="1">
        <f t="array" ref="BO15">_xll.EQNXTDZ($A$1,$B15,BO$1)</f>
        <v>765</v>
      </c>
      <c r="BP15" s="116" cm="1">
        <f t="array" ref="BP15">_xll.EQNXTDZ($A$1,$B15,BP$1)</f>
        <v>812.45</v>
      </c>
      <c r="BQ15" s="116" cm="1">
        <f t="array" ref="BQ15">_xll.EQNXTDZ($A$1,$B15,BQ$1)</f>
        <v>967.15</v>
      </c>
      <c r="BR15" s="116" cm="1">
        <f t="array" ref="BR15">_xll.EQNXTDZ($A$1,$B15,BR$1)</f>
        <v>976</v>
      </c>
      <c r="BS15" s="116" cm="1">
        <f t="array" ref="BS15">_xll.EQNXTDZ($A$1,$B15,BS$1)</f>
        <v>1210</v>
      </c>
      <c r="BT15" s="116" cm="1">
        <f t="array" ref="BT15">_xll.EQNXTDZ($A$1,$B15,BT$1)</f>
        <v>1150</v>
      </c>
      <c r="BU15" s="116" cm="1">
        <f t="array" ref="BU15">_xll.EQNXTDZ($A$1,$B15,BU$1)</f>
        <v>1150</v>
      </c>
      <c r="BV15" s="116" cm="1">
        <f t="array" ref="BV15">_xll.EQNXTDZ($A$1,$B15,BV$1)</f>
        <v>1207.9000000000001</v>
      </c>
      <c r="BW15" s="116" cm="1">
        <f t="array" ref="BW15">_xll.EQNXTDZ($A$1,$B15,BW$1)</f>
        <v>1160.3499999999999</v>
      </c>
      <c r="BX15" s="116" cm="1">
        <f t="array" ref="BX15">_xll.EQNXTDZ($A$1,$B15,BX$1)</f>
        <v>1192.5</v>
      </c>
      <c r="BY15" s="116" cm="1">
        <f t="array" ref="BY15">_xll.EQNXTDZ($A$1,$B15,BY$1)</f>
        <v>1400.3</v>
      </c>
      <c r="BZ15" s="116" cm="1">
        <f t="array" ref="BZ15">_xll.EQNXTDZ($A$1,$B15,BZ$1)</f>
        <v>1453.35</v>
      </c>
      <c r="CA15" s="116" cm="1">
        <f t="array" ref="CA15">_xll.EQNXTDZ($A$1,$B15,CA$1)</f>
        <v>1370.5</v>
      </c>
      <c r="CB15" s="116" cm="1">
        <f t="array" ref="CB15">_xll.EQNXTDZ($A$1,$B15,CB$1)</f>
        <v>1471</v>
      </c>
      <c r="CC15" s="116" cm="1">
        <f t="array" ref="CC15">_xll.EQNXTDZ($A$1,$B15,CC$1)</f>
        <v>1500.9</v>
      </c>
      <c r="CD15" s="116" cm="1">
        <f t="array" ref="CD15">_xll.EQNXTDZ($A$1,$B15,CD$1)</f>
        <v>1572</v>
      </c>
      <c r="CE15" s="116" cm="1">
        <f t="array" ref="CE15">_xll.EQNXTDZ($A$1,$B15,CE$1)</f>
        <v>1405</v>
      </c>
      <c r="CF15" s="116" cm="1">
        <f t="array" ref="CF15">_xll.EQNXTDZ($A$1,$B15,CF$1)</f>
        <v>1433</v>
      </c>
      <c r="CG15" s="116" cm="1">
        <f t="array" ref="CG15">_xll.EQNXTDZ($A$1,$B15,CG$1)</f>
        <v>1563.05</v>
      </c>
      <c r="CH15" s="116" cm="1">
        <f t="array" ref="CH15">_xll.EQNXTDZ($A$1,$B15,CH$1)</f>
        <v>1668</v>
      </c>
      <c r="CI15" s="116" cm="1">
        <f t="array" ref="CI15">_xll.EQNXTDZ($A$1,$B15,CI$1)</f>
        <v>1656.75</v>
      </c>
      <c r="CJ15" s="116" cm="1">
        <f t="array" ref="CJ15">_xll.EQNXTDZ($A$1,$B15,CJ$1)</f>
        <v>1415.5</v>
      </c>
      <c r="CK15" s="116" cm="1">
        <f t="array" ref="CK15">_xll.EQNXTDZ($A$1,$B15,CK$1)</f>
        <v>1445</v>
      </c>
      <c r="CL15" s="116" cm="1">
        <f t="array" ref="CL15">_xll.EQNXTDZ($A$1,$B15,CL$1)</f>
        <v>1515</v>
      </c>
      <c r="CM15" s="116" cm="1">
        <f t="array" ref="CM15">_xll.EQNXTDZ($A$1,$B15,CM$1)</f>
        <v>1442</v>
      </c>
      <c r="CN15" s="116" cm="1">
        <f t="array" ref="CN15">_xll.EQNXTDZ($A$1,$B15,CN$1)</f>
        <v>1395.6</v>
      </c>
      <c r="CO15" s="116" cm="1">
        <f t="array" ref="CO15">_xll.EQNXTDZ($A$1,$B15,CO$1)</f>
        <v>1450.9</v>
      </c>
      <c r="CP15" s="116" cm="1">
        <f t="array" ref="CP15">_xll.EQNXTDZ($A$1,$B15,CP$1)</f>
        <v>1473.8</v>
      </c>
      <c r="CQ15" s="116" cm="1">
        <f t="array" ref="CQ15">_xll.EQNXTDZ($A$1,$B15,CQ$1)</f>
        <v>1580</v>
      </c>
      <c r="CR15" s="116" cm="1">
        <f t="array" ref="CR15">_xll.EQNXTDZ($A$1,$B15,CR$1)</f>
        <v>995</v>
      </c>
      <c r="CS15" s="116" cm="1">
        <f t="array" ref="CS15">_xll.EQNXTDZ($A$1,$B15,CS$1)</f>
        <v>1086.25</v>
      </c>
      <c r="CT15" s="116" cm="1">
        <f t="array" ref="CT15">_xll.EQNXTDZ($A$1,$B15,CT$1)</f>
        <v>1066.45</v>
      </c>
      <c r="CU15" s="116" cm="1">
        <f t="array" ref="CU15">_xll.EQNXTDZ($A$1,$B15,CU$1)</f>
        <v>1166</v>
      </c>
      <c r="CV15" s="116" cm="1">
        <f t="array" ref="CV15">_xll.EQNXTDZ($A$1,$B15,CV$1)</f>
        <v>1251.5</v>
      </c>
      <c r="CW15" s="116" cm="1">
        <f t="array" ref="CW15">_xll.EQNXTDZ($A$1,$B15,CW$1)</f>
        <v>1502.05</v>
      </c>
      <c r="CX15" s="116" cm="1">
        <f t="array" ref="CX15">_xll.EQNXTDZ($A$1,$B15,CX$1)</f>
        <v>1465.1</v>
      </c>
      <c r="CY15" s="116" cm="1">
        <f t="array" ref="CY15">_xll.EQNXTDZ($A$1,$B15,CY$1)</f>
        <v>1575.1</v>
      </c>
      <c r="CZ15" s="116" cm="1">
        <f t="array" ref="CZ15">_xll.EQNXTDZ($A$1,$B15,CZ$1)</f>
        <v>1602</v>
      </c>
      <c r="DA15" s="116" cm="1">
        <f t="array" ref="DA15">_xll.EQNXTDZ($A$1,$B15,DA$1)</f>
        <v>1725</v>
      </c>
      <c r="DB15" s="116" cm="1">
        <f t="array" ref="DB15">_xll.EQNXTDZ($A$1,$B15,DB$1)</f>
        <v>2301.4</v>
      </c>
      <c r="DC15" s="116" cm="1">
        <f t="array" ref="DC15">_xll.EQNXTDZ($A$1,$B15,DC$1)</f>
        <v>2402.1999999999998</v>
      </c>
      <c r="DD15" s="116" cm="1">
        <f t="array" ref="DD15">_xll.EQNXTDZ($A$1,$B15,DD$1)</f>
        <v>2475.85</v>
      </c>
      <c r="DE15" s="116" cm="1">
        <f t="array" ref="DE15">_xll.EQNXTDZ($A$1,$B15,DE$1)</f>
        <v>2526</v>
      </c>
      <c r="DF15" s="116" cm="1">
        <f t="array" ref="DF15">_xll.EQNXTDZ($A$1,$B15,DF$1)</f>
        <v>2476.4</v>
      </c>
      <c r="DG15" s="116" cm="1">
        <f t="array" ref="DG15">_xll.EQNXTDZ($A$1,$B15,DG$1)</f>
        <v>2647.75</v>
      </c>
      <c r="DH15" s="116" cm="1">
        <f t="array" ref="DH15">_xll.EQNXTDZ($A$1,$B15,DH$1)</f>
        <v>2801.2</v>
      </c>
      <c r="DI15" s="116" cm="1">
        <f t="array" ref="DI15">_xll.EQNXTDZ($A$1,$B15,DI$1)</f>
        <v>3515.55</v>
      </c>
      <c r="DJ15" s="116" cm="1">
        <f t="array" ref="DJ15">_xll.EQNXTDZ($A$1,$B15,DJ$1)</f>
        <v>3861</v>
      </c>
      <c r="DK15" s="116" cm="1">
        <f t="array" ref="DK15">_xll.EQNXTDZ($A$1,$B15,DK$1)</f>
        <v>4335.1000000000004</v>
      </c>
      <c r="DL15" s="116" cm="1">
        <f t="array" ref="DL15">_xll.EQNXTDZ($A$1,$B15,DL$1)</f>
        <v>4725</v>
      </c>
      <c r="DM15" s="116" cm="1">
        <f t="array" ref="DM15">_xll.EQNXTDZ($A$1,$B15,DM$1)</f>
        <v>4989.2</v>
      </c>
      <c r="DN15" s="116" cm="1">
        <f t="array" ref="DN15">_xll.EQNXTDZ($A$1,$B15,DN$1)</f>
        <v>4316</v>
      </c>
      <c r="DO15" s="116" cm="1">
        <f t="array" ref="DO15">_xll.EQNXTDZ($A$1,$B15,DO$1)</f>
        <v>4180</v>
      </c>
      <c r="DP15" s="116" cm="1">
        <f t="array" ref="DP15">_xll.EQNXTDZ($A$1,$B15,DP$1)</f>
        <v>4425.05</v>
      </c>
      <c r="DQ15" s="116" cm="1">
        <f t="array" ref="DQ15">_xll.EQNXTDZ($A$1,$B15,DQ$1)</f>
        <v>3960</v>
      </c>
      <c r="DR15" s="116" cm="1">
        <f t="array" ref="DR15">_xll.EQNXTDZ($A$1,$B15,DR$1)</f>
        <v>3248.7</v>
      </c>
      <c r="DS15" s="116" cm="1">
        <f t="array" ref="DS15">_xll.EQNXTDZ($A$1,$B15,DS$1)</f>
        <v>3007</v>
      </c>
      <c r="DT15" s="116" cm="1">
        <f t="array" ref="DT15">_xll.EQNXTDZ($A$1,$B15,DT$1)</f>
        <v>2923.35</v>
      </c>
      <c r="DU15" s="116" cm="1">
        <f t="array" ref="DU15">_xll.EQNXTDZ($A$1,$B15,DU$1)</f>
        <v>3450.2</v>
      </c>
      <c r="DV15" s="116" cm="1">
        <f t="array" ref="DV15">_xll.EQNXTDZ($A$1,$B15,DV$1)</f>
        <v>3324</v>
      </c>
      <c r="DW15" s="116" cm="1">
        <f t="array" ref="DW15">_xll.EQNXTDZ($A$1,$B15,DW$1)</f>
        <v>3427.6</v>
      </c>
      <c r="DX15" s="116" cm="1">
        <f t="array" ref="DX15">_xll.EQNXTDZ($A$1,$B15,DX$1)</f>
        <v>3530.05</v>
      </c>
      <c r="DY15" s="116" cm="1">
        <f t="array" ref="DY15">_xll.EQNXTDZ($A$1,$B15,DY$1)</f>
        <v>3631.75</v>
      </c>
      <c r="DZ15" s="116" cm="1">
        <f t="array" ref="DZ15">_xll.EQNXTDZ($A$1,$B15,DZ$1)</f>
        <v>3218</v>
      </c>
      <c r="EA15" s="116" cm="1">
        <f t="array" ref="EA15">_xll.EQNXTDZ($A$1,$B15,EA$1)</f>
        <v>3274</v>
      </c>
      <c r="EB15" s="116" cm="1">
        <f t="array" ref="EB15">_xll.EQNXTDZ($A$1,$B15,EB$1)</f>
        <v>3281.05</v>
      </c>
      <c r="EC15" s="116" cm="1">
        <f t="array" ref="EC15">_xll.EQNXTDZ($A$1,$B15,EC$1)</f>
        <v>3308.25</v>
      </c>
      <c r="ED15" s="116" cm="1">
        <f t="array" ref="ED15">_xll.EQNXTDZ($A$1,$B15,ED$1)</f>
        <v>3670</v>
      </c>
      <c r="EE15" s="116" cm="1">
        <f t="array" ref="EE15">_xll.EQNXTDZ($A$1,$B15,EE$1)</f>
        <v>3756.8</v>
      </c>
      <c r="EF15" s="116" cm="1">
        <f t="array" ref="EF15">_xll.EQNXTDZ($A$1,$B15,EF$1)</f>
        <v>3822.25</v>
      </c>
      <c r="EG15" s="116" cm="1">
        <f t="array" ref="EG15">_xll.EQNXTDZ($A$1,$B15,EG$1)</f>
        <v>4040.05</v>
      </c>
      <c r="EH15" s="116" cm="1">
        <f t="array" ref="EH15">_xll.EQNXTDZ($A$1,$B15,EH$1)</f>
        <v>4411.2</v>
      </c>
      <c r="EI15" s="116" cm="1">
        <f t="array" ref="EI15">_xll.EQNXTDZ($A$1,$B15,EI$1)</f>
        <v>4107.2</v>
      </c>
      <c r="EJ15" s="116" cm="1">
        <f t="array" ref="EJ15">_xll.EQNXTDZ($A$1,$B15,EJ$1)</f>
        <v>4157</v>
      </c>
      <c r="EK15" s="116" cm="1">
        <f t="array" ref="EK15">_xll.EQNXTDZ($A$1,$B15,EK$1)</f>
        <v>4623.6499999999996</v>
      </c>
      <c r="EL15" s="116" cm="1">
        <f t="array" ref="EL15">_xll.EQNXTDZ($A$1,$B15,EL$1)</f>
        <v>5061.95</v>
      </c>
      <c r="EM15" s="116" cm="1">
        <f t="array" ref="EM15">_xll.EQNXTDZ($A$1,$B15,EM$1)</f>
        <v>5234.55</v>
      </c>
      <c r="EN15" s="116" cm="1">
        <f t="array" ref="EN15">_xll.EQNXTDZ($A$1,$B15,EN$1)</f>
        <v>5102.05</v>
      </c>
      <c r="EO15" s="116" cm="1">
        <f t="array" ref="EO15">_xll.EQNXTDZ($A$1,$B15,EO$1)</f>
        <v>4621.8999999999996</v>
      </c>
      <c r="EP15" s="116" cm="1">
        <f t="array" ref="EP15">_xll.EQNXTDZ($A$1,$B15,EP$1)</f>
        <v>4321.05</v>
      </c>
      <c r="EQ15" s="116" cm="1">
        <f t="array" ref="EQ15">_xll.EQNXTDZ($A$1,$B15,EQ$1)</f>
        <v>4228</v>
      </c>
      <c r="ER15" s="116" cm="1">
        <f t="array" ref="ER15">_xll.EQNXTDZ($A$1,$B15,ER$1)</f>
        <v>4727.3</v>
      </c>
      <c r="ES15" s="116" cm="1">
        <f t="array" ref="ES15">_xll.EQNXTDZ($A$1,$B15,ES$1)</f>
        <v>4710.05</v>
      </c>
      <c r="ET15" s="116" cm="1">
        <f t="array" ref="ET15">_xll.EQNXTDZ($A$1,$B15,ET$1)</f>
        <v>5286.65</v>
      </c>
      <c r="EU15" s="116" cm="1">
        <f t="array" ref="EU15">_xll.EQNXTDZ($A$1,$B15,EU$1)</f>
        <v>4907.8</v>
      </c>
      <c r="EV15" s="116" cm="1">
        <f t="array" ref="EV15">_xll.EQNXTDZ($A$1,$B15,EV$1)</f>
        <v>4870</v>
      </c>
      <c r="EW15" s="116" cm="1">
        <f t="array" ref="EW15">_xll.EQNXTDZ($A$1,$B15,EW$1)</f>
        <v>4652.05</v>
      </c>
      <c r="EX15" s="116" cm="1">
        <f t="array" ref="EX15">_xll.EQNXTDZ($A$1,$B15,EX$1)</f>
        <v>4670.25</v>
      </c>
      <c r="EY15" s="116" cm="1">
        <f t="array" ref="EY15">_xll.EQNXTDZ($A$1,$B15,EY$1)</f>
        <v>4476.8999999999996</v>
      </c>
      <c r="EZ15" s="116" cm="1">
        <f t="array" ref="EZ15">_xll.EQNXTDZ($A$1,$B15,EZ$1)</f>
        <v>4318.3999999999996</v>
      </c>
      <c r="FA15" s="116" cm="1">
        <f t="array" ref="FA15">_xll.EQNXTDZ($A$1,$B15,FA$1)</f>
        <v>3855</v>
      </c>
      <c r="FB15" s="116" cm="1">
        <f t="array" ref="FB15">_xll.EQNXTDZ($A$1,$B15,FB$1)</f>
        <v>3971.75</v>
      </c>
      <c r="FC15" s="116" cm="1">
        <f t="array" ref="FC15">_xll.EQNXTDZ($A$1,$B15,FC$1)</f>
        <v>4277.2</v>
      </c>
      <c r="FD15" s="116" cm="1">
        <f t="array" ref="FD15">_xll.EQNXTDZ($A$1,$B15,FD$1)</f>
        <v>4181</v>
      </c>
      <c r="FE15" s="116" cm="1">
        <f t="array" ref="FE15">_xll.EQNXTDZ($A$1,$B15,FE$1)</f>
        <v>4125.95</v>
      </c>
      <c r="FF15" s="116" cm="1">
        <f t="array" ref="FF15">_xll.EQNXTDZ($A$1,$B15,FF$1)</f>
        <v>3970</v>
      </c>
      <c r="FG15" s="116" cm="1">
        <f t="array" ref="FG15">_xll.EQNXTDZ($A$1,$B15,FG$1)</f>
        <v>4065.85</v>
      </c>
      <c r="FH15" s="116" cm="1">
        <f t="array" ref="FH15">_xll.EQNXTDZ($A$1,$B15,FH$1)</f>
        <v>4024.05</v>
      </c>
      <c r="FI15" s="116" cm="1">
        <f t="array" ref="FI15">_xll.EQNXTDZ($A$1,$B15,FI$1)</f>
        <v>4399.2</v>
      </c>
      <c r="FJ15" s="116" cm="1">
        <f t="array" ref="FJ15">_xll.EQNXTDZ($A$1,$B15,FJ$1)</f>
        <v>3712</v>
      </c>
      <c r="FK15" s="116" cm="1">
        <f t="array" ref="FK15">_xll.EQNXTDZ($A$1,$B15,FK$1)</f>
        <v>3140.25</v>
      </c>
      <c r="FL15" s="116" cm="1">
        <f t="array" ref="FL15">_xll.EQNXTDZ($A$1,$B15,FL$1)</f>
        <v>3046.85</v>
      </c>
      <c r="FM15" s="116" cm="1">
        <f t="array" ref="FM15">_xll.EQNXTDZ($A$1,$B15,FM$1)</f>
        <v>3151.5</v>
      </c>
      <c r="FN15" s="116" cm="1">
        <f t="array" ref="FN15">_xll.EQNXTDZ($A$1,$B15,FN$1)</f>
        <v>3396.35</v>
      </c>
      <c r="FO15" s="116" cm="1">
        <f t="array" ref="FO15">_xll.EQNXTDZ($A$1,$B15,FO$1)</f>
        <v>3154.05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735</v>
      </c>
      <c r="IH15" s="116">
        <f>+MIN(BF15:BH15)</f>
        <v>762</v>
      </c>
      <c r="II15" s="116">
        <f>+MIN(BI15:BK15)</f>
        <v>671</v>
      </c>
      <c r="IJ15" s="116">
        <f>+MIN(BL15:BN15)</f>
        <v>712</v>
      </c>
      <c r="IK15" s="116">
        <f>+MIN(BO15:BQ15)</f>
        <v>765</v>
      </c>
      <c r="IL15" s="116">
        <f>+MIN(BR15:BT15)</f>
        <v>976</v>
      </c>
      <c r="IM15" s="116">
        <f>+MIN(BU15:BW15)</f>
        <v>1150</v>
      </c>
      <c r="IN15" s="116">
        <f>+MIN(BX15:BZ15)</f>
        <v>1192.5</v>
      </c>
      <c r="IO15" s="116">
        <f>+MIN(CA15:CC15)</f>
        <v>1370.5</v>
      </c>
      <c r="IP15" s="116">
        <f>+MIN(CD15:CF15)</f>
        <v>1405</v>
      </c>
      <c r="IQ15" s="116">
        <f>+MIN(CG15:CI15)</f>
        <v>1563.05</v>
      </c>
      <c r="IR15" s="116">
        <f>+MIN(CJ15:CL15)</f>
        <v>1415.5</v>
      </c>
      <c r="IS15" s="116">
        <f>+MIN(CM15:CO15)</f>
        <v>1395.6</v>
      </c>
      <c r="IT15" s="116">
        <f>+MIN(CP15:CR15)</f>
        <v>995</v>
      </c>
      <c r="IU15" s="116">
        <f>+MIN(CS15:CU15)</f>
        <v>1066.45</v>
      </c>
      <c r="IV15" s="116">
        <f>+MIN(CV15:CX15)</f>
        <v>1251.5</v>
      </c>
      <c r="IW15" s="116">
        <f>+MIN(CY15:DA15)</f>
        <v>1575.1</v>
      </c>
      <c r="IX15" s="116">
        <f>+MIN(DB15:DD15)</f>
        <v>2301.4</v>
      </c>
      <c r="IY15" s="116">
        <f>+MIN(DE15:DG15)</f>
        <v>2476.4</v>
      </c>
      <c r="IZ15" s="116">
        <f>+MIN(DH15:DJ15)</f>
        <v>2801.2</v>
      </c>
      <c r="JA15" s="116">
        <f>+MIN(DK15:DM15)</f>
        <v>4335.1000000000004</v>
      </c>
      <c r="JB15" s="116">
        <f>+MIN(DN15:DP15)</f>
        <v>4180</v>
      </c>
      <c r="JC15" s="116">
        <f>+MIN(DQ15:DS15)</f>
        <v>3007</v>
      </c>
      <c r="JD15" s="116">
        <f>+MIN(DT15:DV15)</f>
        <v>2923.35</v>
      </c>
      <c r="JE15" s="116">
        <f>+MIN(DW15:DY15)</f>
        <v>3427.6</v>
      </c>
      <c r="JF15" s="116">
        <f>+MIN(DZ15:EB15)</f>
        <v>3218</v>
      </c>
      <c r="JG15" s="116">
        <f>+MIN(EC15:EE15)</f>
        <v>3308.25</v>
      </c>
      <c r="JH15" s="116">
        <f>+MIN(EF15:EH15)</f>
        <v>3822.25</v>
      </c>
      <c r="JI15" s="116">
        <f>+MIN(EI15:EK15)</f>
        <v>4107.2</v>
      </c>
      <c r="JJ15" s="116">
        <f>+MIN(EL15:EN15)</f>
        <v>5061.95</v>
      </c>
      <c r="JK15" s="116">
        <f>MIN(EO15:EQ15)</f>
        <v>4228</v>
      </c>
      <c r="JL15" s="116">
        <f>MIN(ER15:ET15)</f>
        <v>4710.05</v>
      </c>
      <c r="JM15" s="116">
        <f>MIN(EU15:EW15)</f>
        <v>4652.05</v>
      </c>
      <c r="JN15" s="116">
        <f>MIN(EX15:EZ15)</f>
        <v>4318.3999999999996</v>
      </c>
      <c r="JO15" s="116">
        <f>MIN(FA15:FC15)</f>
        <v>3855</v>
      </c>
      <c r="JP15" s="116">
        <f>MIN(FD15:FF15)</f>
        <v>3970</v>
      </c>
      <c r="JQ15" s="116">
        <f>MIN(FG15:FI15)</f>
        <v>4024.05</v>
      </c>
      <c r="JR15" s="116">
        <f>MIN(FJ15:FL15)</f>
        <v>3046.85</v>
      </c>
      <c r="JS15" s="116">
        <f>MIN(FM15:FO15)</f>
        <v>3151.5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843.4</v>
      </c>
      <c r="BC16" s="116" cm="1">
        <f t="array" ref="BC16">_xll.EQNXTDZ($A$1,$B16,BC$1)</f>
        <v>833.6</v>
      </c>
      <c r="BD16" s="116" cm="1">
        <f t="array" ref="BD16">_xll.EQNXTDZ($A$1,$B16,BD$1)</f>
        <v>853.75</v>
      </c>
      <c r="BE16" s="116" cm="1">
        <f t="array" ref="BE16">_xll.EQNXTDZ($A$1,$B16,BE$1)</f>
        <v>786.95</v>
      </c>
      <c r="BF16" s="116" cm="1">
        <f t="array" ref="BF16">_xll.EQNXTDZ($A$1,$B16,BF$1)</f>
        <v>838.7</v>
      </c>
      <c r="BG16" s="116" cm="1">
        <f t="array" ref="BG16">_xll.EQNXTDZ($A$1,$B16,BG$1)</f>
        <v>772.2</v>
      </c>
      <c r="BH16" s="116" cm="1">
        <f t="array" ref="BH16">_xll.EQNXTDZ($A$1,$B16,BH$1)</f>
        <v>782.6</v>
      </c>
      <c r="BI16" s="116" cm="1">
        <f t="array" ref="BI16">_xll.EQNXTDZ($A$1,$B16,BI$1)</f>
        <v>762.65</v>
      </c>
      <c r="BJ16" s="116" cm="1">
        <f t="array" ref="BJ16">_xll.EQNXTDZ($A$1,$B16,BJ$1)</f>
        <v>736.65</v>
      </c>
      <c r="BK16" s="116" cm="1">
        <f t="array" ref="BK16">_xll.EQNXTDZ($A$1,$B16,BK$1)</f>
        <v>719.4</v>
      </c>
      <c r="BL16" s="116" cm="1">
        <f t="array" ref="BL16">_xll.EQNXTDZ($A$1,$B16,BL$1)</f>
        <v>758.25</v>
      </c>
      <c r="BM16" s="116" cm="1">
        <f t="array" ref="BM16">_xll.EQNXTDZ($A$1,$B16,BM$1)</f>
        <v>769.3</v>
      </c>
      <c r="BN16" s="116" cm="1">
        <f t="array" ref="BN16">_xll.EQNXTDZ($A$1,$B16,BN$1)</f>
        <v>782.8</v>
      </c>
      <c r="BO16" s="116" cm="1">
        <f t="array" ref="BO16">_xll.EQNXTDZ($A$1,$B16,BO$1)</f>
        <v>830.6</v>
      </c>
      <c r="BP16" s="116" cm="1">
        <f t="array" ref="BP16">_xll.EQNXTDZ($A$1,$B16,BP$1)</f>
        <v>1014.7</v>
      </c>
      <c r="BQ16" s="116" cm="1">
        <f t="array" ref="BQ16">_xll.EQNXTDZ($A$1,$B16,BQ$1)</f>
        <v>1021.35</v>
      </c>
      <c r="BR16" s="116" cm="1">
        <f t="array" ref="BR16">_xll.EQNXTDZ($A$1,$B16,BR$1)</f>
        <v>1207.0999999999999</v>
      </c>
      <c r="BS16" s="116" cm="1">
        <f t="array" ref="BS16">_xll.EQNXTDZ($A$1,$B16,BS$1)</f>
        <v>1387.65</v>
      </c>
      <c r="BT16" s="116" cm="1">
        <f t="array" ref="BT16">_xll.EQNXTDZ($A$1,$B16,BT$1)</f>
        <v>1239.5999999999999</v>
      </c>
      <c r="BU16" s="116" cm="1">
        <f t="array" ref="BU16">_xll.EQNXTDZ($A$1,$B16,BU$1)</f>
        <v>1329.35</v>
      </c>
      <c r="BV16" s="116" cm="1">
        <f t="array" ref="BV16">_xll.EQNXTDZ($A$1,$B16,BV$1)</f>
        <v>1327.8</v>
      </c>
      <c r="BW16" s="116" cm="1">
        <f t="array" ref="BW16">_xll.EQNXTDZ($A$1,$B16,BW$1)</f>
        <v>1215.4000000000001</v>
      </c>
      <c r="BX16" s="116" cm="1">
        <f t="array" ref="BX16">_xll.EQNXTDZ($A$1,$B16,BX$1)</f>
        <v>1468.5</v>
      </c>
      <c r="BY16" s="116" cm="1">
        <f t="array" ref="BY16">_xll.EQNXTDZ($A$1,$B16,BY$1)</f>
        <v>1762.1</v>
      </c>
      <c r="BZ16" s="116" cm="1">
        <f t="array" ref="BZ16">_xll.EQNXTDZ($A$1,$B16,BZ$1)</f>
        <v>1722.65</v>
      </c>
      <c r="CA16" s="116" cm="1">
        <f t="array" ref="CA16">_xll.EQNXTDZ($A$1,$B16,CA$1)</f>
        <v>1702.6</v>
      </c>
      <c r="CB16" s="116" cm="1">
        <f t="array" ref="CB16">_xll.EQNXTDZ($A$1,$B16,CB$1)</f>
        <v>1548.45</v>
      </c>
      <c r="CC16" s="116" cm="1">
        <f t="array" ref="CC16">_xll.EQNXTDZ($A$1,$B16,CC$1)</f>
        <v>1711.3</v>
      </c>
      <c r="CD16" s="116" cm="1">
        <f t="array" ref="CD16">_xll.EQNXTDZ($A$1,$B16,CD$1)</f>
        <v>1588.1</v>
      </c>
      <c r="CE16" s="116" cm="1">
        <f t="array" ref="CE16">_xll.EQNXTDZ($A$1,$B16,CE$1)</f>
        <v>1532.4</v>
      </c>
      <c r="CF16" s="116" cm="1">
        <f t="array" ref="CF16">_xll.EQNXTDZ($A$1,$B16,CF$1)</f>
        <v>1571.1</v>
      </c>
      <c r="CG16" s="116" cm="1">
        <f t="array" ref="CG16">_xll.EQNXTDZ($A$1,$B16,CG$1)</f>
        <v>1737.2</v>
      </c>
      <c r="CH16" s="116" cm="1">
        <f t="array" ref="CH16">_xll.EQNXTDZ($A$1,$B16,CH$1)</f>
        <v>1762.25</v>
      </c>
      <c r="CI16" s="116" cm="1">
        <f t="array" ref="CI16">_xll.EQNXTDZ($A$1,$B16,CI$1)</f>
        <v>1747.3</v>
      </c>
      <c r="CJ16" s="116" cm="1">
        <f t="array" ref="CJ16">_xll.EQNXTDZ($A$1,$B16,CJ$1)</f>
        <v>1440.2</v>
      </c>
      <c r="CK16" s="116" cm="1">
        <f t="array" ref="CK16">_xll.EQNXTDZ($A$1,$B16,CK$1)</f>
        <v>1620.75</v>
      </c>
      <c r="CL16" s="116" cm="1">
        <f t="array" ref="CL16">_xll.EQNXTDZ($A$1,$B16,CL$1)</f>
        <v>1522.9</v>
      </c>
      <c r="CM16" s="116" cm="1">
        <f t="array" ref="CM16">_xll.EQNXTDZ($A$1,$B16,CM$1)</f>
        <v>1504.25</v>
      </c>
      <c r="CN16" s="116" cm="1">
        <f t="array" ref="CN16">_xll.EQNXTDZ($A$1,$B16,CN$1)</f>
        <v>1487.65</v>
      </c>
      <c r="CO16" s="116" cm="1">
        <f t="array" ref="CO16">_xll.EQNXTDZ($A$1,$B16,CO$1)</f>
        <v>1465.6</v>
      </c>
      <c r="CP16" s="116" cm="1">
        <f t="array" ref="CP16">_xll.EQNXTDZ($A$1,$B16,CP$1)</f>
        <v>1679.2</v>
      </c>
      <c r="CQ16" s="116" cm="1">
        <f t="array" ref="CQ16">_xll.EQNXTDZ($A$1,$B16,CQ$1)</f>
        <v>1626.75</v>
      </c>
      <c r="CR16" s="116" cm="1">
        <f t="array" ref="CR16">_xll.EQNXTDZ($A$1,$B16,CR$1)</f>
        <v>1162.4000000000001</v>
      </c>
      <c r="CS16" s="116" cm="1">
        <f t="array" ref="CS16">_xll.EQNXTDZ($A$1,$B16,CS$1)</f>
        <v>1233.95</v>
      </c>
      <c r="CT16" s="116" cm="1">
        <f t="array" ref="CT16">_xll.EQNXTDZ($A$1,$B16,CT$1)</f>
        <v>1166.8</v>
      </c>
      <c r="CU16" s="116" cm="1">
        <f t="array" ref="CU16">_xll.EQNXTDZ($A$1,$B16,CU$1)</f>
        <v>1284.2</v>
      </c>
      <c r="CV16" s="116" cm="1">
        <f t="array" ref="CV16">_xll.EQNXTDZ($A$1,$B16,CV$1)</f>
        <v>1509.65</v>
      </c>
      <c r="CW16" s="116" cm="1">
        <f t="array" ref="CW16">_xll.EQNXTDZ($A$1,$B16,CW$1)</f>
        <v>1563</v>
      </c>
      <c r="CX16" s="116" cm="1">
        <f t="array" ref="CX16">_xll.EQNXTDZ($A$1,$B16,CX$1)</f>
        <v>1615.9</v>
      </c>
      <c r="CY16" s="116" cm="1">
        <f t="array" ref="CY16">_xll.EQNXTDZ($A$1,$B16,CY$1)</f>
        <v>1667.2</v>
      </c>
      <c r="CZ16" s="116" cm="1">
        <f t="array" ref="CZ16">_xll.EQNXTDZ($A$1,$B16,CZ$1)</f>
        <v>1724</v>
      </c>
      <c r="DA16" s="116" cm="1">
        <f t="array" ref="DA16">_xll.EQNXTDZ($A$1,$B16,DA$1)</f>
        <v>2338.8000000000002</v>
      </c>
      <c r="DB16" s="116" cm="1">
        <f t="array" ref="DB16">_xll.EQNXTDZ($A$1,$B16,DB$1)</f>
        <v>2428.9499999999998</v>
      </c>
      <c r="DC16" s="116" cm="1">
        <f t="array" ref="DC16">_xll.EQNXTDZ($A$1,$B16,DC$1)</f>
        <v>2566.6</v>
      </c>
      <c r="DD16" s="116" cm="1">
        <f t="array" ref="DD16">_xll.EQNXTDZ($A$1,$B16,DD$1)</f>
        <v>2654.8</v>
      </c>
      <c r="DE16" s="116" cm="1">
        <f t="array" ref="DE16">_xll.EQNXTDZ($A$1,$B16,DE$1)</f>
        <v>2730.35</v>
      </c>
      <c r="DF16" s="116" cm="1">
        <f t="array" ref="DF16">_xll.EQNXTDZ($A$1,$B16,DF$1)</f>
        <v>2709.95</v>
      </c>
      <c r="DG16" s="116" cm="1">
        <f t="array" ref="DG16">_xll.EQNXTDZ($A$1,$B16,DG$1)</f>
        <v>2903.45</v>
      </c>
      <c r="DH16" s="116" cm="1">
        <f t="array" ref="DH16">_xll.EQNXTDZ($A$1,$B16,DH$1)</f>
        <v>3710.25</v>
      </c>
      <c r="DI16" s="116" cm="1">
        <f t="array" ref="DI16">_xll.EQNXTDZ($A$1,$B16,DI$1)</f>
        <v>3920.15</v>
      </c>
      <c r="DJ16" s="116" cm="1">
        <f t="array" ref="DJ16">_xll.EQNXTDZ($A$1,$B16,DJ$1)</f>
        <v>4696.2</v>
      </c>
      <c r="DK16" s="116" cm="1">
        <f t="array" ref="DK16">_xll.EQNXTDZ($A$1,$B16,DK$1)</f>
        <v>4721.8</v>
      </c>
      <c r="DL16" s="116" cm="1">
        <f t="array" ref="DL16">_xll.EQNXTDZ($A$1,$B16,DL$1)</f>
        <v>5277.05</v>
      </c>
      <c r="DM16" s="116" cm="1">
        <f t="array" ref="DM16">_xll.EQNXTDZ($A$1,$B16,DM$1)</f>
        <v>5599.05</v>
      </c>
      <c r="DN16" s="116" cm="1">
        <f t="array" ref="DN16">_xll.EQNXTDZ($A$1,$B16,DN$1)</f>
        <v>4694.7</v>
      </c>
      <c r="DO16" s="116" cm="1">
        <f t="array" ref="DO16">_xll.EQNXTDZ($A$1,$B16,DO$1)</f>
        <v>4533.8999999999996</v>
      </c>
      <c r="DP16" s="116" cm="1">
        <f t="array" ref="DP16">_xll.EQNXTDZ($A$1,$B16,DP$1)</f>
        <v>5102.05</v>
      </c>
      <c r="DQ16" s="116" cm="1">
        <f t="array" ref="DQ16">_xll.EQNXTDZ($A$1,$B16,DQ$1)</f>
        <v>4091.9</v>
      </c>
      <c r="DR16" s="116" cm="1">
        <f t="array" ref="DR16">_xll.EQNXTDZ($A$1,$B16,DR$1)</f>
        <v>3503.7</v>
      </c>
      <c r="DS16" s="116" cm="1">
        <f t="array" ref="DS16">_xll.EQNXTDZ($A$1,$B16,DS$1)</f>
        <v>3028.8</v>
      </c>
      <c r="DT16" s="116" cm="1">
        <f t="array" ref="DT16">_xll.EQNXTDZ($A$1,$B16,DT$1)</f>
        <v>3510.4</v>
      </c>
      <c r="DU16" s="116" cm="1">
        <f t="array" ref="DU16">_xll.EQNXTDZ($A$1,$B16,DU$1)</f>
        <v>3720.85</v>
      </c>
      <c r="DV16" s="116" cm="1">
        <f t="array" ref="DV16">_xll.EQNXTDZ($A$1,$B16,DV$1)</f>
        <v>3602.2</v>
      </c>
      <c r="DW16" s="116" cm="1">
        <f t="array" ref="DW16">_xll.EQNXTDZ($A$1,$B16,DW$1)</f>
        <v>3539.35</v>
      </c>
      <c r="DX16" s="116" cm="1">
        <f t="array" ref="DX16">_xll.EQNXTDZ($A$1,$B16,DX$1)</f>
        <v>3813.2</v>
      </c>
      <c r="DY16" s="116" cm="1">
        <f t="array" ref="DY16">_xll.EQNXTDZ($A$1,$B16,DY$1)</f>
        <v>3684.45</v>
      </c>
      <c r="DZ16" s="116" cm="1">
        <f t="array" ref="DZ16">_xll.EQNXTDZ($A$1,$B16,DZ$1)</f>
        <v>3335.45</v>
      </c>
      <c r="EA16" s="116" cm="1">
        <f t="array" ref="EA16">_xll.EQNXTDZ($A$1,$B16,EA$1)</f>
        <v>3686.95</v>
      </c>
      <c r="EB16" s="116" cm="1">
        <f t="array" ref="EB16">_xll.EQNXTDZ($A$1,$B16,EB$1)</f>
        <v>3376.5</v>
      </c>
      <c r="EC16" s="116" cm="1">
        <f t="array" ref="EC16">_xll.EQNXTDZ($A$1,$B16,EC$1)</f>
        <v>3774.85</v>
      </c>
      <c r="ED16" s="116" cm="1">
        <f t="array" ref="ED16">_xll.EQNXTDZ($A$1,$B16,ED$1)</f>
        <v>3901.4</v>
      </c>
      <c r="EE16" s="116" cm="1">
        <f t="array" ref="EE16">_xll.EQNXTDZ($A$1,$B16,EE$1)</f>
        <v>3931.7</v>
      </c>
      <c r="EF16" s="116" cm="1">
        <f t="array" ref="EF16">_xll.EQNXTDZ($A$1,$B16,EF$1)</f>
        <v>4038.7</v>
      </c>
      <c r="EG16" s="116" cm="1">
        <f t="array" ref="EG16">_xll.EQNXTDZ($A$1,$B16,EG$1)</f>
        <v>4406.75</v>
      </c>
      <c r="EH16" s="116" cm="1">
        <f t="array" ref="EH16">_xll.EQNXTDZ($A$1,$B16,EH$1)</f>
        <v>4574.8</v>
      </c>
      <c r="EI16" s="116" cm="1">
        <f t="array" ref="EI16">_xll.EQNXTDZ($A$1,$B16,EI$1)</f>
        <v>4186.45</v>
      </c>
      <c r="EJ16" s="116" cm="1">
        <f t="array" ref="EJ16">_xll.EQNXTDZ($A$1,$B16,EJ$1)</f>
        <v>4766.3</v>
      </c>
      <c r="EK16" s="116" cm="1">
        <f t="array" ref="EK16">_xll.EQNXTDZ($A$1,$B16,EK$1)</f>
        <v>5256.25</v>
      </c>
      <c r="EL16" s="116" cm="1">
        <f t="array" ref="EL16">_xll.EQNXTDZ($A$1,$B16,EL$1)</f>
        <v>5582.7</v>
      </c>
      <c r="EM16" s="116" cm="1">
        <f t="array" ref="EM16">_xll.EQNXTDZ($A$1,$B16,EM$1)</f>
        <v>5300.7</v>
      </c>
      <c r="EN16" s="116" cm="1">
        <f t="array" ref="EN16">_xll.EQNXTDZ($A$1,$B16,EN$1)</f>
        <v>5480.25</v>
      </c>
      <c r="EO16" s="116" cm="1">
        <f t="array" ref="EO16">_xll.EQNXTDZ($A$1,$B16,EO$1)</f>
        <v>4638</v>
      </c>
      <c r="EP16" s="116" cm="1">
        <f t="array" ref="EP16">_xll.EQNXTDZ($A$1,$B16,EP$1)</f>
        <v>4488.7</v>
      </c>
      <c r="EQ16" s="116" cm="1">
        <f t="array" ref="EQ16">_xll.EQNXTDZ($A$1,$B16,EQ$1)</f>
        <v>4908.55</v>
      </c>
      <c r="ER16" s="116" cm="1">
        <f t="array" ref="ER16">_xll.EQNXTDZ($A$1,$B16,ER$1)</f>
        <v>5215.1000000000004</v>
      </c>
      <c r="ES16" s="116" cm="1">
        <f t="array" ref="ES16">_xll.EQNXTDZ($A$1,$B16,ES$1)</f>
        <v>5715.2</v>
      </c>
      <c r="ET16" s="116" cm="1">
        <f t="array" ref="ET16">_xll.EQNXTDZ($A$1,$B16,ET$1)</f>
        <v>5345.05</v>
      </c>
      <c r="EU16" s="116" cm="1">
        <f t="array" ref="EU16">_xll.EQNXTDZ($A$1,$B16,EU$1)</f>
        <v>4948.2</v>
      </c>
      <c r="EV16" s="116" cm="1">
        <f t="array" ref="EV16">_xll.EQNXTDZ($A$1,$B16,EV$1)</f>
        <v>5282.6</v>
      </c>
      <c r="EW16" s="116" cm="1">
        <f t="array" ref="EW16">_xll.EQNXTDZ($A$1,$B16,EW$1)</f>
        <v>4734.95</v>
      </c>
      <c r="EX16" s="116" cm="1">
        <f t="array" ref="EX16">_xll.EQNXTDZ($A$1,$B16,EX$1)</f>
        <v>5442.75</v>
      </c>
      <c r="EY16" s="116" cm="1">
        <f t="array" ref="EY16">_xll.EQNXTDZ($A$1,$B16,EY$1)</f>
        <v>4531.3999999999996</v>
      </c>
      <c r="EZ16" s="116" cm="1">
        <f t="array" ref="EZ16">_xll.EQNXTDZ($A$1,$B16,EZ$1)</f>
        <v>4500.8999999999996</v>
      </c>
      <c r="FA16" s="116" cm="1">
        <f t="array" ref="FA16">_xll.EQNXTDZ($A$1,$B16,FA$1)</f>
        <v>4256.1000000000004</v>
      </c>
      <c r="FB16" s="116" cm="1">
        <f t="array" ref="FB16">_xll.EQNXTDZ($A$1,$B16,FB$1)</f>
        <v>4366.8999999999996</v>
      </c>
      <c r="FC16" s="116" cm="1">
        <f t="array" ref="FC16">_xll.EQNXTDZ($A$1,$B16,FC$1)</f>
        <v>4397.1000000000004</v>
      </c>
      <c r="FD16" s="116" cm="1">
        <f t="array" ref="FD16">_xll.EQNXTDZ($A$1,$B16,FD$1)</f>
        <v>4305.95</v>
      </c>
      <c r="FE16" s="116" cm="1">
        <f t="array" ref="FE16">_xll.EQNXTDZ($A$1,$B16,FE$1)</f>
        <v>4223</v>
      </c>
      <c r="FF16" s="116" cm="1">
        <f t="array" ref="FF16">_xll.EQNXTDZ($A$1,$B16,FF$1)</f>
        <v>4114.3</v>
      </c>
      <c r="FG16" s="116" cm="1">
        <f t="array" ref="FG16">_xll.EQNXTDZ($A$1,$B16,FG$1)</f>
        <v>4119.6000000000004</v>
      </c>
      <c r="FH16" s="116" cm="1">
        <f t="array" ref="FH16">_xll.EQNXTDZ($A$1,$B16,FH$1)</f>
        <v>4438.3</v>
      </c>
      <c r="FI16" s="116" cm="1">
        <f t="array" ref="FI16">_xll.EQNXTDZ($A$1,$B16,FI$1)</f>
        <v>4458.55</v>
      </c>
      <c r="FJ16" s="116" cm="1">
        <f t="array" ref="FJ16">_xll.EQNXTDZ($A$1,$B16,FJ$1)</f>
        <v>3720.45</v>
      </c>
      <c r="FK16" s="116" cm="1">
        <f t="array" ref="FK16">_xll.EQNXTDZ($A$1,$B16,FK$1)</f>
        <v>3521.45</v>
      </c>
      <c r="FL16" s="116" cm="1">
        <f t="array" ref="FL16">_xll.EQNXTDZ($A$1,$B16,FL$1)</f>
        <v>3120</v>
      </c>
      <c r="FM16" s="116" cm="1">
        <f t="array" ref="FM16">_xll.EQNXTDZ($A$1,$B16,FM$1)</f>
        <v>3625.7</v>
      </c>
      <c r="FN16" s="116" cm="1">
        <f t="array" ref="FN16">_xll.EQNXTDZ($A$1,$B16,FN$1)</f>
        <v>3431.35</v>
      </c>
      <c r="FO16" s="116" cm="1">
        <f t="array" ref="FO16">_xll.EQNXTDZ($A$1,$B16,FO$1)</f>
        <v>3461.25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843.4</v>
      </c>
      <c r="IG16" s="116">
        <f>+BE16</f>
        <v>786.95</v>
      </c>
      <c r="IH16" s="116">
        <f>+BH16</f>
        <v>782.6</v>
      </c>
      <c r="II16" s="116">
        <f>+BK16</f>
        <v>719.4</v>
      </c>
      <c r="IJ16" s="116">
        <f>+BN16</f>
        <v>782.8</v>
      </c>
      <c r="IK16" s="116">
        <f>+BQ16</f>
        <v>1021.35</v>
      </c>
      <c r="IL16" s="116">
        <f>+BT16</f>
        <v>1239.5999999999999</v>
      </c>
      <c r="IM16" s="116">
        <f>+BW16</f>
        <v>1215.4000000000001</v>
      </c>
      <c r="IN16" s="116">
        <f>+BZ16</f>
        <v>1722.65</v>
      </c>
      <c r="IO16" s="116">
        <f>+CC16</f>
        <v>1711.3</v>
      </c>
      <c r="IP16" s="116">
        <f>+CF16</f>
        <v>1571.1</v>
      </c>
      <c r="IQ16" s="116">
        <f>+CI16</f>
        <v>1747.3</v>
      </c>
      <c r="IR16" s="116">
        <f>+CL16</f>
        <v>1522.9</v>
      </c>
      <c r="IS16" s="116">
        <f>+CO16</f>
        <v>1465.6</v>
      </c>
      <c r="IT16" s="116">
        <f>+CR16</f>
        <v>1162.4000000000001</v>
      </c>
      <c r="IU16" s="116">
        <f>+CU16</f>
        <v>1284.2</v>
      </c>
      <c r="IV16" s="116">
        <f>+CX16</f>
        <v>1615.9</v>
      </c>
      <c r="IW16" s="116">
        <f>+DA16</f>
        <v>2338.8000000000002</v>
      </c>
      <c r="IX16" s="116">
        <f>+DD16</f>
        <v>2654.8</v>
      </c>
      <c r="IY16" s="116">
        <f>+DG16</f>
        <v>2903.45</v>
      </c>
      <c r="IZ16" s="116">
        <f>+DJ16</f>
        <v>4696.2</v>
      </c>
      <c r="JA16" s="116">
        <f>+DM16</f>
        <v>5599.05</v>
      </c>
      <c r="JB16" s="116">
        <f>+DP16</f>
        <v>5102.05</v>
      </c>
      <c r="JC16" s="116">
        <f>+DS16</f>
        <v>3028.8</v>
      </c>
      <c r="JD16" s="116">
        <f>+DV16</f>
        <v>3602.2</v>
      </c>
      <c r="JE16" s="116">
        <f>+DY16</f>
        <v>3684.45</v>
      </c>
      <c r="JF16" s="116">
        <f>+EB16</f>
        <v>3376.5</v>
      </c>
      <c r="JG16" s="116">
        <f>+EE16</f>
        <v>3931.7</v>
      </c>
      <c r="JH16" s="116">
        <f>+EH16</f>
        <v>4574.8</v>
      </c>
      <c r="JI16" s="116">
        <f>+EK16</f>
        <v>5256.25</v>
      </c>
      <c r="JJ16" s="116">
        <f>+EN16</f>
        <v>5480.25</v>
      </c>
      <c r="JK16" s="116">
        <f>EQ16</f>
        <v>4908.55</v>
      </c>
      <c r="JL16" s="116">
        <f>ET16</f>
        <v>5345.05</v>
      </c>
      <c r="JM16" s="116">
        <f>EW16</f>
        <v>4734.95</v>
      </c>
      <c r="JN16" s="116">
        <f>EZ16</f>
        <v>4500.8999999999996</v>
      </c>
      <c r="JO16" s="116">
        <f>FC16</f>
        <v>4397.1000000000004</v>
      </c>
      <c r="JP16" s="116">
        <f>FF16</f>
        <v>4114.3</v>
      </c>
      <c r="JQ16" s="116">
        <f>FI16</f>
        <v>4458.55</v>
      </c>
      <c r="JR16" s="116">
        <f>FL16</f>
        <v>3120</v>
      </c>
      <c r="JS16" s="116">
        <f>FO16</f>
        <v>3461.25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931</v>
      </c>
      <c r="IG19" s="116">
        <f t="shared" si="1"/>
        <v>864.95</v>
      </c>
      <c r="IH19" s="116">
        <f t="shared" si="1"/>
        <v>855</v>
      </c>
      <c r="II19" s="116">
        <f t="shared" si="1"/>
        <v>799.95</v>
      </c>
      <c r="IJ19" s="116">
        <f t="shared" si="1"/>
        <v>802</v>
      </c>
      <c r="IK19" s="116">
        <f t="shared" si="1"/>
        <v>1124.4000000000001</v>
      </c>
      <c r="IL19" s="116">
        <f t="shared" si="1"/>
        <v>1547</v>
      </c>
      <c r="IM19" s="116">
        <f t="shared" si="1"/>
        <v>1380</v>
      </c>
      <c r="IN19" s="116">
        <f t="shared" si="1"/>
        <v>1852.5</v>
      </c>
      <c r="IO19" s="116">
        <f t="shared" si="1"/>
        <v>1773</v>
      </c>
      <c r="IP19" s="116">
        <f t="shared" si="1"/>
        <v>1746.95</v>
      </c>
      <c r="IQ19" s="116">
        <f t="shared" si="1"/>
        <v>1817.75</v>
      </c>
      <c r="IR19" s="116">
        <f t="shared" si="1"/>
        <v>1768</v>
      </c>
      <c r="IS19" s="116">
        <f t="shared" si="1"/>
        <v>1657</v>
      </c>
      <c r="IT19" s="116">
        <f t="shared" si="1"/>
        <v>1780</v>
      </c>
      <c r="IU19" s="116">
        <f t="shared" si="1"/>
        <v>1415.3</v>
      </c>
      <c r="IV19" s="116">
        <f t="shared" si="1"/>
        <v>1697.5</v>
      </c>
      <c r="IW19" s="116">
        <f t="shared" si="1"/>
        <v>2435.1999999999998</v>
      </c>
      <c r="IX19" s="116">
        <f t="shared" si="1"/>
        <v>2858.35</v>
      </c>
      <c r="IY19" s="116">
        <f t="shared" si="1"/>
        <v>3062.45</v>
      </c>
      <c r="IZ19" s="116">
        <f t="shared" si="1"/>
        <v>5000</v>
      </c>
      <c r="JA19" s="116">
        <f t="shared" si="1"/>
        <v>5819.2</v>
      </c>
      <c r="JB19" s="116">
        <f t="shared" si="1"/>
        <v>5958.1</v>
      </c>
      <c r="JC19" s="116">
        <f t="shared" si="1"/>
        <v>5294.7</v>
      </c>
      <c r="JD19" s="116">
        <f t="shared" si="1"/>
        <v>3942</v>
      </c>
      <c r="JE19" s="116">
        <f t="shared" si="1"/>
        <v>4316.75</v>
      </c>
      <c r="JF19" s="116">
        <f t="shared" si="1"/>
        <v>3840</v>
      </c>
      <c r="JG19" s="116">
        <f t="shared" si="1"/>
        <v>4031.95</v>
      </c>
      <c r="JH19" s="116">
        <f t="shared" si="1"/>
        <v>4797.95</v>
      </c>
      <c r="JI19" s="116">
        <f t="shared" si="1"/>
        <v>5365</v>
      </c>
      <c r="JJ19" s="116">
        <f t="shared" ref="JJ19:JJ21" si="2">+IF(JJ14=0,JJ7,JJ14)</f>
        <v>5675</v>
      </c>
      <c r="JK19" s="116">
        <f t="shared" ref="JK19" si="3">+IF(JK14=0,JK7,JK14)</f>
        <v>5884.95</v>
      </c>
      <c r="JL19" s="116">
        <f t="shared" ref="JL19:JM19" si="4">+IF(JL14=0,JL7,JL14)</f>
        <v>5990</v>
      </c>
      <c r="JM19" s="116">
        <f t="shared" si="4"/>
        <v>5549.1</v>
      </c>
      <c r="JN19" s="116">
        <f t="shared" ref="JN19:JO19" si="5">+IF(JN14=0,JN7,JN14)</f>
        <v>5647.35</v>
      </c>
      <c r="JO19" s="116">
        <f t="shared" si="5"/>
        <v>4660.6499999999996</v>
      </c>
      <c r="JP19" s="116">
        <f t="shared" ref="JP19" si="6">+IF(JP14=0,JP7,JP14)</f>
        <v>4500</v>
      </c>
      <c r="JQ19" s="116">
        <f t="shared" ref="JQ19:KH19" si="7">+IF(JQ14=0,JQ7,JQ14)</f>
        <v>4746.95</v>
      </c>
      <c r="JR19" s="116">
        <f t="shared" si="7"/>
        <v>4504.8500000000004</v>
      </c>
      <c r="JS19" s="116">
        <f t="shared" si="7"/>
        <v>3844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735</v>
      </c>
      <c r="IH20" s="116">
        <f t="shared" si="1"/>
        <v>762</v>
      </c>
      <c r="II20" s="116">
        <f t="shared" si="1"/>
        <v>671</v>
      </c>
      <c r="IJ20" s="116">
        <f t="shared" si="1"/>
        <v>712</v>
      </c>
      <c r="IK20" s="116">
        <f t="shared" si="1"/>
        <v>765</v>
      </c>
      <c r="IL20" s="116">
        <f t="shared" si="1"/>
        <v>976</v>
      </c>
      <c r="IM20" s="116">
        <f t="shared" si="1"/>
        <v>1150</v>
      </c>
      <c r="IN20" s="116">
        <f t="shared" si="1"/>
        <v>1192.5</v>
      </c>
      <c r="IO20" s="116">
        <f t="shared" si="1"/>
        <v>1370.5</v>
      </c>
      <c r="IP20" s="116">
        <f t="shared" si="1"/>
        <v>1405</v>
      </c>
      <c r="IQ20" s="116">
        <f t="shared" si="1"/>
        <v>1563.05</v>
      </c>
      <c r="IR20" s="116">
        <f t="shared" si="1"/>
        <v>1415.5</v>
      </c>
      <c r="IS20" s="116">
        <f t="shared" si="1"/>
        <v>1395.6</v>
      </c>
      <c r="IT20" s="116">
        <f t="shared" si="1"/>
        <v>995</v>
      </c>
      <c r="IU20" s="116">
        <f t="shared" si="1"/>
        <v>1066.45</v>
      </c>
      <c r="IV20" s="116">
        <f t="shared" si="1"/>
        <v>1251.5</v>
      </c>
      <c r="IW20" s="116">
        <f t="shared" si="1"/>
        <v>1575.1</v>
      </c>
      <c r="IX20" s="116">
        <f t="shared" si="1"/>
        <v>2301.4</v>
      </c>
      <c r="IY20" s="116">
        <f t="shared" si="1"/>
        <v>2476.4</v>
      </c>
      <c r="IZ20" s="116">
        <f t="shared" si="1"/>
        <v>2801.2</v>
      </c>
      <c r="JA20" s="116">
        <f t="shared" si="1"/>
        <v>4335.1000000000004</v>
      </c>
      <c r="JB20" s="116">
        <f t="shared" si="1"/>
        <v>4180</v>
      </c>
      <c r="JC20" s="116">
        <f t="shared" si="1"/>
        <v>3007</v>
      </c>
      <c r="JD20" s="116">
        <f t="shared" si="1"/>
        <v>2923.35</v>
      </c>
      <c r="JE20" s="116">
        <f t="shared" si="1"/>
        <v>3427.6</v>
      </c>
      <c r="JF20" s="116">
        <f t="shared" si="1"/>
        <v>3218</v>
      </c>
      <c r="JG20" s="116">
        <f t="shared" si="1"/>
        <v>3308.25</v>
      </c>
      <c r="JH20" s="116">
        <f t="shared" si="1"/>
        <v>3822.25</v>
      </c>
      <c r="JI20" s="116">
        <f t="shared" si="1"/>
        <v>4107.2</v>
      </c>
      <c r="JJ20" s="116">
        <f t="shared" si="2"/>
        <v>5061.95</v>
      </c>
      <c r="JK20" s="116">
        <f t="shared" ref="JK20" si="9">+IF(JK15=0,JK8,JK15)</f>
        <v>4228</v>
      </c>
      <c r="JL20" s="116">
        <f t="shared" ref="JL20:JM20" si="10">+IF(JL15=0,JL8,JL15)</f>
        <v>4710.05</v>
      </c>
      <c r="JM20" s="116">
        <f t="shared" si="10"/>
        <v>4652.05</v>
      </c>
      <c r="JN20" s="116">
        <f t="shared" ref="JN20:JO20" si="11">+IF(JN15=0,JN8,JN15)</f>
        <v>4318.3999999999996</v>
      </c>
      <c r="JO20" s="116">
        <f t="shared" si="11"/>
        <v>3855</v>
      </c>
      <c r="JP20" s="116">
        <f t="shared" ref="JP20" si="12">+IF(JP15=0,JP8,JP15)</f>
        <v>3970</v>
      </c>
      <c r="JQ20" s="116">
        <f t="shared" ref="JQ20:KH20" si="13">+IF(JQ15=0,JQ8,JQ15)</f>
        <v>4024.05</v>
      </c>
      <c r="JR20" s="116">
        <f t="shared" si="13"/>
        <v>3046.85</v>
      </c>
      <c r="JS20" s="116">
        <f t="shared" si="13"/>
        <v>3151.5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843.4</v>
      </c>
      <c r="IG21" s="116">
        <f t="shared" si="1"/>
        <v>786.95</v>
      </c>
      <c r="IH21" s="116">
        <f t="shared" si="1"/>
        <v>782.6</v>
      </c>
      <c r="II21" s="116">
        <f t="shared" si="1"/>
        <v>719.4</v>
      </c>
      <c r="IJ21" s="116">
        <f t="shared" si="1"/>
        <v>782.8</v>
      </c>
      <c r="IK21" s="116">
        <f t="shared" si="1"/>
        <v>1021.35</v>
      </c>
      <c r="IL21" s="116">
        <f t="shared" si="1"/>
        <v>1239.5999999999999</v>
      </c>
      <c r="IM21" s="116">
        <f t="shared" si="1"/>
        <v>1215.4000000000001</v>
      </c>
      <c r="IN21" s="116">
        <f t="shared" si="1"/>
        <v>1722.65</v>
      </c>
      <c r="IO21" s="116">
        <f t="shared" si="1"/>
        <v>1711.3</v>
      </c>
      <c r="IP21" s="116">
        <f t="shared" si="1"/>
        <v>1571.1</v>
      </c>
      <c r="IQ21" s="116">
        <f t="shared" si="1"/>
        <v>1747.3</v>
      </c>
      <c r="IR21" s="116">
        <f t="shared" si="1"/>
        <v>1522.9</v>
      </c>
      <c r="IS21" s="116">
        <f t="shared" si="1"/>
        <v>1465.6</v>
      </c>
      <c r="IT21" s="116">
        <f t="shared" si="1"/>
        <v>1162.4000000000001</v>
      </c>
      <c r="IU21" s="116">
        <f t="shared" si="1"/>
        <v>1284.2</v>
      </c>
      <c r="IV21" s="116">
        <f t="shared" si="1"/>
        <v>1615.9</v>
      </c>
      <c r="IW21" s="116">
        <f t="shared" si="1"/>
        <v>2338.8000000000002</v>
      </c>
      <c r="IX21" s="116">
        <f t="shared" si="1"/>
        <v>2654.8</v>
      </c>
      <c r="IY21" s="116">
        <f t="shared" si="1"/>
        <v>2903.45</v>
      </c>
      <c r="IZ21" s="116">
        <f t="shared" si="1"/>
        <v>4696.2</v>
      </c>
      <c r="JA21" s="116">
        <f t="shared" si="1"/>
        <v>5599.05</v>
      </c>
      <c r="JB21" s="116">
        <f t="shared" si="1"/>
        <v>5102.05</v>
      </c>
      <c r="JC21" s="116">
        <f t="shared" si="1"/>
        <v>3028.8</v>
      </c>
      <c r="JD21" s="116">
        <f t="shared" si="1"/>
        <v>3602.2</v>
      </c>
      <c r="JE21" s="116">
        <f t="shared" si="1"/>
        <v>3684.45</v>
      </c>
      <c r="JF21" s="116">
        <f t="shared" si="1"/>
        <v>3376.5</v>
      </c>
      <c r="JG21" s="116">
        <f t="shared" si="1"/>
        <v>3931.7</v>
      </c>
      <c r="JH21" s="116">
        <f t="shared" si="1"/>
        <v>4574.8</v>
      </c>
      <c r="JI21" s="116">
        <f t="shared" si="1"/>
        <v>5256.25</v>
      </c>
      <c r="JJ21" s="116">
        <f t="shared" si="2"/>
        <v>5480.25</v>
      </c>
      <c r="JK21" s="116">
        <f t="shared" ref="JK21" si="14">+IF(JK16=0,JK9,JK16)</f>
        <v>4908.55</v>
      </c>
      <c r="JL21" s="116">
        <f t="shared" ref="JL21:JM21" si="15">+IF(JL16=0,JL9,JL16)</f>
        <v>5345.05</v>
      </c>
      <c r="JM21" s="116">
        <f t="shared" si="15"/>
        <v>4734.95</v>
      </c>
      <c r="JN21" s="116">
        <f t="shared" ref="JN21:JO21" si="16">+IF(JN16=0,JN9,JN16)</f>
        <v>4500.8999999999996</v>
      </c>
      <c r="JO21" s="116">
        <f t="shared" si="16"/>
        <v>4397.1000000000004</v>
      </c>
      <c r="JP21" s="116">
        <f t="shared" ref="JP21" si="17">+IF(JP16=0,JP9,JP16)</f>
        <v>4114.3</v>
      </c>
      <c r="JQ21" s="116">
        <f t="shared" ref="JQ21:KH21" si="18">+IF(JQ16=0,JQ9,JQ16)</f>
        <v>4458.55</v>
      </c>
      <c r="JR21" s="116">
        <f t="shared" si="18"/>
        <v>3120</v>
      </c>
      <c r="JS21" s="116">
        <f t="shared" si="18"/>
        <v>3461.25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268618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201503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201603</v>
      </c>
      <c r="S5" cm="1">
        <f t="array" ref="S5">_xll.EQNXTDZ($A$1,$B5,S$1)</f>
        <v>0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300000000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75000000</v>
      </c>
      <c r="S6" cm="1">
        <f t="array" ref="S6">_xll.EQNXTDZ($A$1,$B6,S$1)</f>
        <v>0</v>
      </c>
      <c r="T6" cm="1">
        <f t="array" ref="T6">_xll.EQNXTDZ($A$1,$B6,T$1)</f>
        <v>101690392</v>
      </c>
      <c r="U6" cm="1">
        <f t="array" ref="U6">_xll.EQNXTDZ($A$1,$B6,U$1)</f>
        <v>101690392</v>
      </c>
      <c r="V6" cm="1">
        <f t="array" ref="V6">_xll.EQNXTDZ($A$1,$B6,V$1)</f>
        <v>101690392</v>
      </c>
      <c r="W6" cm="1">
        <f t="array" ref="W6">_xll.EQNXTDZ($A$1,$B6,W$1)</f>
        <v>101690392</v>
      </c>
      <c r="X6" cm="1">
        <f t="array" ref="X6">_xll.EQNXTDZ($A$1,$B6,X$1)</f>
        <v>101990392</v>
      </c>
      <c r="Y6" cm="1">
        <f t="array" ref="Y6">_xll.EQNXTDZ($A$1,$B6,Y$1)</f>
        <v>102248917</v>
      </c>
      <c r="Z6" cm="1">
        <f t="array" ref="Z6">_xll.EQNXTDZ($A$1,$B6,Z$1)</f>
        <v>102456047</v>
      </c>
      <c r="AA6" cm="1">
        <f t="array" ref="AA6">_xll.EQNXTDZ($A$1,$B6,AA$1)</f>
        <v>102460037</v>
      </c>
      <c r="AB6" cm="1">
        <f t="array" ref="AB6">_xll.EQNXTDZ($A$1,$B6,AB$1)</f>
        <v>103647847</v>
      </c>
      <c r="AC6" cm="1">
        <f t="array" ref="AC6">_xll.EQNXTDZ($A$1,$B6,AC$1)</f>
        <v>103970037</v>
      </c>
      <c r="AD6" cm="1">
        <f t="array" ref="AD6">_xll.EQNXTDZ($A$1,$B6,AD$1)</f>
        <v>104013325</v>
      </c>
      <c r="AE6" cm="1">
        <f t="array" ref="AE6">_xll.EQNXTDZ($A$1,$B6,AE$1)</f>
        <v>104021510</v>
      </c>
      <c r="AF6" cm="1">
        <f t="array" ref="AF6">_xll.EQNXTDZ($A$1,$B6,AF$1)</f>
        <v>104022110</v>
      </c>
      <c r="AG6" cm="1">
        <f t="array" ref="AG6">_xll.EQNXTDZ($A$1,$B6,AG$1)</f>
        <v>104344035</v>
      </c>
      <c r="AH6" cm="1">
        <f t="array" ref="AH6">_xll.EQNXTDZ($A$1,$B6,AH$1)</f>
        <v>104511558</v>
      </c>
      <c r="AI6" cm="1">
        <f t="array" ref="AI6">_xll.EQNXTDZ($A$1,$B6,AI$1)</f>
        <v>104533588</v>
      </c>
      <c r="AJ6" cm="1">
        <f t="array" ref="AJ6">_xll.EQNXTDZ($A$1,$B6,AJ$1)</f>
        <v>104871253</v>
      </c>
      <c r="AK6" cm="1">
        <f t="array" ref="AK6">_xll.EQNXTDZ($A$1,$B6,AK$1)</f>
        <v>104998988</v>
      </c>
      <c r="AL6" cm="1">
        <f t="array" ref="AL6">_xll.EQNXTDZ($A$1,$B6,AL$1)</f>
        <v>105045823</v>
      </c>
      <c r="AM6" cm="1">
        <f t="array" ref="AM6">_xll.EQNXTDZ($A$1,$B6,AM$1)</f>
        <v>105056802</v>
      </c>
      <c r="AN6" cm="1">
        <f t="array" ref="AN6">_xll.EQNXTDZ($A$1,$B6,AN$1)</f>
        <v>105178802</v>
      </c>
      <c r="AO6" cm="1">
        <f t="array" ref="AO6">_xll.EQNXTDZ($A$1,$B6,AO$1)</f>
        <v>105485447</v>
      </c>
      <c r="AP6" cm="1">
        <f t="array" ref="AP6">_xll.EQNXTDZ($A$1,$B6,AP$1)</f>
        <v>105532167</v>
      </c>
      <c r="AQ6" cm="1">
        <f t="array" ref="AQ6">_xll.EQNXTDZ($A$1,$B6,AQ$1)</f>
        <v>105553462</v>
      </c>
      <c r="AR6" cm="1">
        <f t="array" ref="AR6">_xll.EQNXTDZ($A$1,$B6,AR$1)</f>
        <v>105577927</v>
      </c>
      <c r="AS6" cm="1">
        <f t="array" ref="AS6">_xll.EQNXTDZ($A$1,$B6,AS$1)</f>
        <v>105595502</v>
      </c>
      <c r="AT6" cm="1">
        <f t="array" ref="AT6">_xll.EQNXTDZ($A$1,$B6,AT$1)</f>
        <v>105608142</v>
      </c>
      <c r="AU6" cm="1">
        <f t="array" ref="AU6">_xll.EQNXTDZ($A$1,$B6,AU$1)</f>
        <v>105667778</v>
      </c>
      <c r="AV6" cm="1">
        <f t="array" ref="AV6">_xll.EQNXTDZ($A$1,$B6,AV$1)</f>
        <v>105709642</v>
      </c>
      <c r="AW6" cm="1">
        <f t="array" ref="AW6">_xll.EQNXTDZ($A$1,$B6,AW$1)</f>
        <v>105742642</v>
      </c>
      <c r="AX6" cm="1">
        <f t="array" ref="AX6">_xll.EQNXTDZ($A$1,$B6,AX$1)</f>
        <v>105753842</v>
      </c>
      <c r="AY6" cm="1">
        <f t="array" ref="AY6">_xll.EQNXTDZ($A$1,$B6,AY$1)</f>
        <v>105829308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30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7.5</v>
      </c>
      <c r="S7" s="100">
        <f t="shared" si="0"/>
        <v>0</v>
      </c>
      <c r="T7" s="100">
        <f t="shared" si="0"/>
        <v>10.1690392</v>
      </c>
      <c r="U7" s="100">
        <f t="shared" si="0"/>
        <v>10.1690392</v>
      </c>
      <c r="V7" s="100">
        <f t="shared" si="0"/>
        <v>10.1690392</v>
      </c>
      <c r="W7" s="100">
        <f t="shared" si="0"/>
        <v>10.1690392</v>
      </c>
      <c r="X7" s="100">
        <f t="shared" si="0"/>
        <v>10.1990392</v>
      </c>
      <c r="Y7" s="100">
        <f t="shared" ref="Y7:AS7" si="1">+Y6/10^7</f>
        <v>10.224891700000001</v>
      </c>
      <c r="Z7" s="100">
        <f t="shared" si="1"/>
        <v>10.245604699999999</v>
      </c>
      <c r="AA7" s="100">
        <f t="shared" si="1"/>
        <v>10.246003699999999</v>
      </c>
      <c r="AB7" s="100">
        <f t="shared" si="1"/>
        <v>10.3647847</v>
      </c>
      <c r="AC7" s="100">
        <f t="shared" si="1"/>
        <v>10.397003700000001</v>
      </c>
      <c r="AD7" s="100">
        <f t="shared" si="1"/>
        <v>10.401332500000001</v>
      </c>
      <c r="AE7" s="100">
        <f t="shared" si="1"/>
        <v>10.402151</v>
      </c>
      <c r="AF7" s="100">
        <f t="shared" si="1"/>
        <v>10.402210999999999</v>
      </c>
      <c r="AG7" s="100">
        <f t="shared" si="1"/>
        <v>10.4344035</v>
      </c>
      <c r="AH7" s="100">
        <f t="shared" si="1"/>
        <v>10.4511558</v>
      </c>
      <c r="AI7" s="100">
        <f t="shared" si="1"/>
        <v>10.4533588</v>
      </c>
      <c r="AJ7" s="100">
        <f t="shared" si="1"/>
        <v>10.487125300000001</v>
      </c>
      <c r="AK7" s="100">
        <f t="shared" si="1"/>
        <v>10.4998988</v>
      </c>
      <c r="AL7" s="100">
        <f t="shared" si="1"/>
        <v>10.504582299999999</v>
      </c>
      <c r="AM7" s="100">
        <f t="shared" si="1"/>
        <v>10.5056802</v>
      </c>
      <c r="AN7" s="100">
        <f t="shared" si="1"/>
        <v>10.5178802</v>
      </c>
      <c r="AO7" s="100">
        <f t="shared" si="1"/>
        <v>10.548544700000001</v>
      </c>
      <c r="AP7" s="100">
        <f t="shared" si="1"/>
        <v>10.5532167</v>
      </c>
      <c r="AQ7" s="100">
        <f t="shared" si="1"/>
        <v>10.555346200000001</v>
      </c>
      <c r="AR7" s="100">
        <f t="shared" si="1"/>
        <v>10.5577927</v>
      </c>
      <c r="AS7" s="100">
        <f t="shared" si="1"/>
        <v>10.5595502</v>
      </c>
      <c r="AT7" s="100">
        <f t="shared" ref="AT7:AX7" si="2">+AT6/10^7</f>
        <v>10.560814199999999</v>
      </c>
      <c r="AU7" s="100">
        <f t="shared" si="2"/>
        <v>10.566777800000001</v>
      </c>
      <c r="AV7" s="100">
        <f t="shared" si="2"/>
        <v>10.570964200000001</v>
      </c>
      <c r="AW7" s="100">
        <f t="shared" si="2"/>
        <v>10.5742642</v>
      </c>
      <c r="AX7" s="100">
        <f t="shared" si="2"/>
        <v>10.5753842</v>
      </c>
      <c r="AY7" s="100">
        <f t="shared" ref="AY7" si="3">+AY6/10^7</f>
        <v>10.5829308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268618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42636</v>
      </c>
      <c r="B4" s="116">
        <v>931</v>
      </c>
      <c r="C4" s="116">
        <v>865.1</v>
      </c>
      <c r="D4" s="116">
        <v>860</v>
      </c>
      <c r="E4" s="116">
        <v>900</v>
      </c>
      <c r="F4" s="116">
        <v>865.1</v>
      </c>
      <c r="G4">
        <v>1929762</v>
      </c>
      <c r="H4" s="116"/>
      <c r="I4" s="116"/>
      <c r="L4" s="170">
        <v>42636</v>
      </c>
      <c r="M4" s="116">
        <v>869</v>
      </c>
      <c r="N4" s="116">
        <v>931.45</v>
      </c>
      <c r="O4" s="116">
        <v>860.1</v>
      </c>
      <c r="P4" s="116">
        <v>920</v>
      </c>
      <c r="Q4" s="116">
        <v>869</v>
      </c>
      <c r="R4">
        <v>8014800</v>
      </c>
    </row>
    <row r="5" spans="1:18" x14ac:dyDescent="0.25">
      <c r="A5" s="170">
        <v>42639</v>
      </c>
      <c r="B5" s="116">
        <v>872.4</v>
      </c>
      <c r="C5" s="116">
        <v>864.4</v>
      </c>
      <c r="D5" s="116">
        <v>855.05</v>
      </c>
      <c r="E5" s="116">
        <v>861</v>
      </c>
      <c r="F5" s="116">
        <v>864.4</v>
      </c>
      <c r="G5">
        <v>247380</v>
      </c>
      <c r="H5" s="116"/>
      <c r="I5" s="116"/>
      <c r="L5" s="170">
        <v>42639</v>
      </c>
      <c r="M5" s="116">
        <v>870.65</v>
      </c>
      <c r="N5" s="116">
        <v>877.75</v>
      </c>
      <c r="O5" s="116">
        <v>855.15</v>
      </c>
      <c r="P5" s="116">
        <v>860</v>
      </c>
      <c r="Q5" s="116">
        <v>870.65</v>
      </c>
      <c r="R5">
        <v>881599</v>
      </c>
    </row>
    <row r="6" spans="1:18" x14ac:dyDescent="0.25">
      <c r="A6" s="170">
        <v>42640</v>
      </c>
      <c r="B6" s="116">
        <v>874.35</v>
      </c>
      <c r="C6" s="116">
        <v>859.6</v>
      </c>
      <c r="D6" s="116">
        <v>857.15</v>
      </c>
      <c r="E6" s="116">
        <v>869.95</v>
      </c>
      <c r="F6" s="116">
        <v>859.6</v>
      </c>
      <c r="G6">
        <v>83362</v>
      </c>
      <c r="H6" s="116"/>
      <c r="I6" s="116"/>
      <c r="L6" s="170">
        <v>42640</v>
      </c>
      <c r="M6" s="116">
        <v>861.65</v>
      </c>
      <c r="N6" s="116">
        <v>874.85</v>
      </c>
      <c r="O6" s="116">
        <v>860</v>
      </c>
      <c r="P6" s="116">
        <v>872.3</v>
      </c>
      <c r="Q6" s="116">
        <v>861.65</v>
      </c>
      <c r="R6">
        <v>166160</v>
      </c>
    </row>
    <row r="7" spans="1:18" x14ac:dyDescent="0.25">
      <c r="A7" s="170">
        <v>42641</v>
      </c>
      <c r="B7" s="116">
        <v>867</v>
      </c>
      <c r="C7" s="116">
        <v>861.75</v>
      </c>
      <c r="D7" s="116">
        <v>856.2</v>
      </c>
      <c r="E7" s="116">
        <v>856.2</v>
      </c>
      <c r="F7" s="116">
        <v>861.75</v>
      </c>
      <c r="G7">
        <v>51483</v>
      </c>
      <c r="H7" s="116"/>
      <c r="I7" s="116"/>
      <c r="L7" s="170">
        <v>42641</v>
      </c>
      <c r="M7" s="116">
        <v>863.5</v>
      </c>
      <c r="N7" s="116">
        <v>868.7</v>
      </c>
      <c r="O7" s="116">
        <v>859</v>
      </c>
      <c r="P7" s="116">
        <v>863</v>
      </c>
      <c r="Q7" s="116">
        <v>863.5</v>
      </c>
      <c r="R7">
        <v>190573</v>
      </c>
    </row>
    <row r="8" spans="1:18" x14ac:dyDescent="0.25">
      <c r="A8" s="170">
        <v>42642</v>
      </c>
      <c r="B8" s="116">
        <v>865.95</v>
      </c>
      <c r="C8" s="116">
        <v>845.55</v>
      </c>
      <c r="D8" s="116">
        <v>833</v>
      </c>
      <c r="E8" s="116">
        <v>864.5</v>
      </c>
      <c r="F8" s="116">
        <v>845.55</v>
      </c>
      <c r="G8">
        <v>89995</v>
      </c>
      <c r="H8" s="116"/>
      <c r="I8" s="116"/>
      <c r="L8" s="170">
        <v>42642</v>
      </c>
      <c r="M8" s="116">
        <v>845.9</v>
      </c>
      <c r="N8" s="116">
        <v>867.5</v>
      </c>
      <c r="O8" s="116">
        <v>833.55</v>
      </c>
      <c r="P8" s="116">
        <v>863.75</v>
      </c>
      <c r="Q8" s="116">
        <v>845.9</v>
      </c>
      <c r="R8">
        <v>367348</v>
      </c>
    </row>
    <row r="9" spans="1:18" x14ac:dyDescent="0.25">
      <c r="A9" s="170">
        <v>42643</v>
      </c>
      <c r="B9" s="116">
        <v>852.95</v>
      </c>
      <c r="C9" s="116">
        <v>843.4</v>
      </c>
      <c r="D9" s="116">
        <v>838.45</v>
      </c>
      <c r="E9" s="116">
        <v>850</v>
      </c>
      <c r="F9" s="116">
        <v>843.4</v>
      </c>
      <c r="G9">
        <v>35726</v>
      </c>
      <c r="H9" s="116"/>
      <c r="I9" s="116"/>
      <c r="L9" s="170">
        <v>42643</v>
      </c>
      <c r="M9" s="116">
        <v>847.15</v>
      </c>
      <c r="N9" s="116">
        <v>854.95</v>
      </c>
      <c r="O9" s="116">
        <v>837.5</v>
      </c>
      <c r="P9" s="116">
        <v>844.95</v>
      </c>
      <c r="Q9" s="116">
        <v>847.15</v>
      </c>
      <c r="R9">
        <v>95427</v>
      </c>
    </row>
    <row r="10" spans="1:18" x14ac:dyDescent="0.25">
      <c r="A10" s="170">
        <v>42646</v>
      </c>
      <c r="B10" s="116">
        <v>852</v>
      </c>
      <c r="C10" s="116">
        <v>843.5</v>
      </c>
      <c r="D10" s="116">
        <v>840.05</v>
      </c>
      <c r="E10" s="116">
        <v>847</v>
      </c>
      <c r="F10" s="116">
        <v>843.5</v>
      </c>
      <c r="G10">
        <v>21783</v>
      </c>
      <c r="H10" s="116"/>
      <c r="I10" s="116"/>
      <c r="L10" s="170">
        <v>42646</v>
      </c>
      <c r="M10" s="116">
        <v>846.65</v>
      </c>
      <c r="N10" s="116">
        <v>852.05</v>
      </c>
      <c r="O10" s="116">
        <v>840.1</v>
      </c>
      <c r="P10" s="116">
        <v>847.5</v>
      </c>
      <c r="Q10" s="116">
        <v>846.65</v>
      </c>
      <c r="R10">
        <v>66731</v>
      </c>
    </row>
    <row r="11" spans="1:18" x14ac:dyDescent="0.25">
      <c r="A11" s="170">
        <v>42647</v>
      </c>
      <c r="B11" s="116">
        <v>847.5</v>
      </c>
      <c r="C11" s="116">
        <v>831.9</v>
      </c>
      <c r="D11" s="116">
        <v>830.05</v>
      </c>
      <c r="E11" s="116">
        <v>844.95</v>
      </c>
      <c r="F11" s="116">
        <v>831.9</v>
      </c>
      <c r="G11">
        <v>16380</v>
      </c>
      <c r="H11" s="116"/>
      <c r="I11" s="116"/>
      <c r="L11" s="170">
        <v>42647</v>
      </c>
      <c r="M11" s="116">
        <v>833.5</v>
      </c>
      <c r="N11" s="116">
        <v>847.5</v>
      </c>
      <c r="O11" s="116">
        <v>830.15</v>
      </c>
      <c r="P11" s="116">
        <v>844.95</v>
      </c>
      <c r="Q11" s="116">
        <v>833.5</v>
      </c>
      <c r="R11">
        <v>82996</v>
      </c>
    </row>
    <row r="12" spans="1:18" x14ac:dyDescent="0.25">
      <c r="A12" s="170">
        <v>42648</v>
      </c>
      <c r="B12" s="116">
        <v>836.2</v>
      </c>
      <c r="C12" s="116">
        <v>825.85</v>
      </c>
      <c r="D12" s="116">
        <v>823.3</v>
      </c>
      <c r="E12" s="116">
        <v>834.9</v>
      </c>
      <c r="F12" s="116">
        <v>825.85</v>
      </c>
      <c r="G12">
        <v>16800</v>
      </c>
      <c r="H12" s="116"/>
      <c r="I12" s="116"/>
      <c r="L12" s="170">
        <v>42648</v>
      </c>
      <c r="M12" s="116">
        <v>826.85</v>
      </c>
      <c r="N12" s="116">
        <v>836.7</v>
      </c>
      <c r="O12" s="116">
        <v>823.75</v>
      </c>
      <c r="P12" s="116">
        <v>833</v>
      </c>
      <c r="Q12" s="116">
        <v>826.85</v>
      </c>
      <c r="R12">
        <v>56541</v>
      </c>
    </row>
    <row r="13" spans="1:18" x14ac:dyDescent="0.25">
      <c r="A13" s="170">
        <v>42649</v>
      </c>
      <c r="B13" s="116">
        <v>842.1</v>
      </c>
      <c r="C13" s="116">
        <v>835.75</v>
      </c>
      <c r="D13" s="116">
        <v>827</v>
      </c>
      <c r="E13" s="116">
        <v>827.5</v>
      </c>
      <c r="F13" s="116">
        <v>835.75</v>
      </c>
      <c r="G13">
        <v>23398</v>
      </c>
      <c r="H13" s="116"/>
      <c r="I13" s="116"/>
      <c r="L13" s="170">
        <v>42649</v>
      </c>
      <c r="M13" s="116">
        <v>840.6</v>
      </c>
      <c r="N13" s="116">
        <v>844</v>
      </c>
      <c r="O13" s="116">
        <v>827.5</v>
      </c>
      <c r="P13" s="116">
        <v>827.5</v>
      </c>
      <c r="Q13" s="116">
        <v>840.6</v>
      </c>
      <c r="R13">
        <v>88139</v>
      </c>
    </row>
    <row r="14" spans="1:18" x14ac:dyDescent="0.25">
      <c r="A14" s="170">
        <v>42650</v>
      </c>
      <c r="B14" s="116">
        <v>844.95</v>
      </c>
      <c r="C14" s="116">
        <v>832.5</v>
      </c>
      <c r="D14" s="116">
        <v>830.05</v>
      </c>
      <c r="E14" s="116">
        <v>838.25</v>
      </c>
      <c r="F14" s="116">
        <v>832.5</v>
      </c>
      <c r="G14">
        <v>8954</v>
      </c>
      <c r="H14" s="116"/>
      <c r="I14" s="116"/>
      <c r="L14" s="170">
        <v>42650</v>
      </c>
      <c r="M14" s="116">
        <v>832.6</v>
      </c>
      <c r="N14" s="116">
        <v>846.6</v>
      </c>
      <c r="O14" s="116">
        <v>830.1</v>
      </c>
      <c r="P14" s="116">
        <v>842.5</v>
      </c>
      <c r="Q14" s="116">
        <v>832.6</v>
      </c>
      <c r="R14">
        <v>38794</v>
      </c>
    </row>
    <row r="15" spans="1:18" x14ac:dyDescent="0.25">
      <c r="A15" s="170">
        <v>42653</v>
      </c>
      <c r="B15" s="116">
        <v>849.85</v>
      </c>
      <c r="C15" s="116">
        <v>844.5</v>
      </c>
      <c r="D15" s="116">
        <v>831</v>
      </c>
      <c r="E15" s="116">
        <v>833</v>
      </c>
      <c r="F15" s="116">
        <v>844.5</v>
      </c>
      <c r="G15">
        <v>21127</v>
      </c>
      <c r="H15" s="116"/>
      <c r="I15" s="116"/>
      <c r="L15" s="170">
        <v>42653</v>
      </c>
      <c r="M15" s="116">
        <v>849.3</v>
      </c>
      <c r="N15" s="116">
        <v>854.9</v>
      </c>
      <c r="O15" s="116">
        <v>830.2</v>
      </c>
      <c r="P15" s="116">
        <v>834.2</v>
      </c>
      <c r="Q15" s="116">
        <v>849.3</v>
      </c>
      <c r="R15">
        <v>77295</v>
      </c>
    </row>
    <row r="16" spans="1:18" x14ac:dyDescent="0.25">
      <c r="A16" s="170">
        <v>42656</v>
      </c>
      <c r="B16" s="116">
        <v>849.85</v>
      </c>
      <c r="C16" s="116">
        <v>842.3</v>
      </c>
      <c r="D16" s="116">
        <v>840.1</v>
      </c>
      <c r="E16" s="116">
        <v>849.85</v>
      </c>
      <c r="F16" s="116">
        <v>842.3</v>
      </c>
      <c r="G16">
        <v>9355</v>
      </c>
      <c r="H16" s="116"/>
      <c r="I16" s="116"/>
      <c r="L16" s="170">
        <v>42656</v>
      </c>
      <c r="M16" s="116">
        <v>846.3</v>
      </c>
      <c r="N16" s="116">
        <v>849.3</v>
      </c>
      <c r="O16" s="116">
        <v>841.7</v>
      </c>
      <c r="P16" s="116">
        <v>848.95</v>
      </c>
      <c r="Q16" s="116">
        <v>846.3</v>
      </c>
      <c r="R16">
        <v>44221</v>
      </c>
    </row>
    <row r="17" spans="1:18" x14ac:dyDescent="0.25">
      <c r="A17" s="170">
        <v>42657</v>
      </c>
      <c r="B17" s="116">
        <v>848.6</v>
      </c>
      <c r="C17" s="116">
        <v>847</v>
      </c>
      <c r="D17" s="116">
        <v>842.5</v>
      </c>
      <c r="E17" s="116">
        <v>842.55</v>
      </c>
      <c r="F17" s="116">
        <v>847</v>
      </c>
      <c r="G17">
        <v>9007</v>
      </c>
      <c r="H17" s="116"/>
      <c r="I17" s="116"/>
      <c r="L17" s="170">
        <v>42657</v>
      </c>
      <c r="M17" s="116">
        <v>851.65</v>
      </c>
      <c r="N17" s="116">
        <v>854.8</v>
      </c>
      <c r="O17" s="116">
        <v>840.05</v>
      </c>
      <c r="P17" s="116">
        <v>846.75</v>
      </c>
      <c r="Q17" s="116">
        <v>851.65</v>
      </c>
      <c r="R17">
        <v>39648</v>
      </c>
    </row>
    <row r="18" spans="1:18" x14ac:dyDescent="0.25">
      <c r="A18" s="170">
        <v>42660</v>
      </c>
      <c r="B18" s="116">
        <v>851.4</v>
      </c>
      <c r="C18" s="116">
        <v>848.35</v>
      </c>
      <c r="D18" s="116">
        <v>842.5</v>
      </c>
      <c r="E18" s="116">
        <v>848.5</v>
      </c>
      <c r="F18" s="116">
        <v>848.35</v>
      </c>
      <c r="G18">
        <v>11164</v>
      </c>
      <c r="H18" s="116"/>
      <c r="I18" s="116"/>
      <c r="L18" s="170">
        <v>42660</v>
      </c>
      <c r="M18" s="116">
        <v>853</v>
      </c>
      <c r="N18" s="116">
        <v>855.3</v>
      </c>
      <c r="O18" s="116">
        <v>842.55</v>
      </c>
      <c r="P18" s="116">
        <v>849.95</v>
      </c>
      <c r="Q18" s="116">
        <v>853</v>
      </c>
      <c r="R18">
        <v>27319</v>
      </c>
    </row>
    <row r="19" spans="1:18" x14ac:dyDescent="0.25">
      <c r="A19" s="170">
        <v>42661</v>
      </c>
      <c r="B19" s="116">
        <v>853</v>
      </c>
      <c r="C19" s="116">
        <v>851.2</v>
      </c>
      <c r="D19" s="116">
        <v>849.95</v>
      </c>
      <c r="E19" s="116">
        <v>849.95</v>
      </c>
      <c r="F19" s="116">
        <v>851.2</v>
      </c>
      <c r="G19">
        <v>10094</v>
      </c>
      <c r="H19" s="116"/>
      <c r="I19" s="116"/>
      <c r="L19" s="170">
        <v>42661</v>
      </c>
      <c r="M19" s="116">
        <v>853.45</v>
      </c>
      <c r="N19" s="116">
        <v>855</v>
      </c>
      <c r="O19" s="116">
        <v>850.05</v>
      </c>
      <c r="P19" s="116">
        <v>853.9</v>
      </c>
      <c r="Q19" s="116">
        <v>853.45</v>
      </c>
      <c r="R19">
        <v>21776</v>
      </c>
    </row>
    <row r="20" spans="1:18" x14ac:dyDescent="0.25">
      <c r="A20" s="170">
        <v>42662</v>
      </c>
      <c r="B20" s="116">
        <v>864.95</v>
      </c>
      <c r="C20" s="116">
        <v>855</v>
      </c>
      <c r="D20" s="116">
        <v>852.5</v>
      </c>
      <c r="E20" s="116">
        <v>855.3</v>
      </c>
      <c r="F20" s="116">
        <v>855</v>
      </c>
      <c r="G20">
        <v>21795</v>
      </c>
      <c r="H20" s="116"/>
      <c r="I20" s="116"/>
      <c r="L20" s="170">
        <v>42662</v>
      </c>
      <c r="M20" s="116">
        <v>855.2</v>
      </c>
      <c r="N20" s="116">
        <v>864.95</v>
      </c>
      <c r="O20" s="116">
        <v>853.05</v>
      </c>
      <c r="P20" s="116">
        <v>855.7</v>
      </c>
      <c r="Q20" s="116">
        <v>855.2</v>
      </c>
      <c r="R20">
        <v>77476</v>
      </c>
    </row>
    <row r="21" spans="1:18" x14ac:dyDescent="0.25">
      <c r="A21" s="170">
        <v>42663</v>
      </c>
      <c r="B21" s="116">
        <v>859.9</v>
      </c>
      <c r="C21" s="116">
        <v>855.9</v>
      </c>
      <c r="D21" s="116">
        <v>853.85</v>
      </c>
      <c r="E21" s="116">
        <v>857.45</v>
      </c>
      <c r="F21" s="116">
        <v>855.9</v>
      </c>
      <c r="G21">
        <v>8875</v>
      </c>
      <c r="H21" s="116"/>
      <c r="I21" s="116"/>
      <c r="L21" s="170">
        <v>42663</v>
      </c>
      <c r="M21" s="116">
        <v>860.25</v>
      </c>
      <c r="N21" s="116">
        <v>862</v>
      </c>
      <c r="O21" s="116">
        <v>852.5</v>
      </c>
      <c r="P21" s="116">
        <v>857.5</v>
      </c>
      <c r="Q21" s="116">
        <v>860.25</v>
      </c>
      <c r="R21">
        <v>52574</v>
      </c>
    </row>
    <row r="22" spans="1:18" x14ac:dyDescent="0.25">
      <c r="A22" s="170">
        <v>42664</v>
      </c>
      <c r="B22" s="116">
        <v>859.95</v>
      </c>
      <c r="C22" s="116">
        <v>850.3</v>
      </c>
      <c r="D22" s="116">
        <v>850</v>
      </c>
      <c r="E22" s="116">
        <v>857.5</v>
      </c>
      <c r="F22" s="116">
        <v>850.3</v>
      </c>
      <c r="G22">
        <v>8627</v>
      </c>
      <c r="H22" s="116"/>
      <c r="I22" s="116"/>
      <c r="L22" s="170">
        <v>42664</v>
      </c>
      <c r="M22" s="116">
        <v>852.65</v>
      </c>
      <c r="N22" s="116">
        <v>861.95</v>
      </c>
      <c r="O22" s="116">
        <v>850</v>
      </c>
      <c r="P22" s="116">
        <v>861.95</v>
      </c>
      <c r="Q22" s="116">
        <v>852.65</v>
      </c>
      <c r="R22">
        <v>113473</v>
      </c>
    </row>
    <row r="23" spans="1:18" x14ac:dyDescent="0.25">
      <c r="A23" s="170">
        <v>42667</v>
      </c>
      <c r="B23" s="116">
        <v>854.45</v>
      </c>
      <c r="C23" s="116">
        <v>850.1</v>
      </c>
      <c r="D23" s="116">
        <v>850</v>
      </c>
      <c r="E23" s="116">
        <v>852.5</v>
      </c>
      <c r="F23" s="116">
        <v>850.1</v>
      </c>
      <c r="G23">
        <v>9714</v>
      </c>
      <c r="H23" s="116"/>
      <c r="I23" s="116"/>
      <c r="L23" s="170">
        <v>42667</v>
      </c>
      <c r="M23" s="116">
        <v>850.65</v>
      </c>
      <c r="N23" s="116">
        <v>854.85</v>
      </c>
      <c r="O23" s="116">
        <v>846.9</v>
      </c>
      <c r="P23" s="116">
        <v>854.85</v>
      </c>
      <c r="Q23" s="116">
        <v>850.65</v>
      </c>
      <c r="R23">
        <v>49610</v>
      </c>
    </row>
    <row r="24" spans="1:18" x14ac:dyDescent="0.25">
      <c r="A24" s="170">
        <v>42668</v>
      </c>
      <c r="B24" s="116">
        <v>852.1</v>
      </c>
      <c r="C24" s="116">
        <v>845.3</v>
      </c>
      <c r="D24" s="116">
        <v>845</v>
      </c>
      <c r="E24" s="116">
        <v>850</v>
      </c>
      <c r="F24" s="116">
        <v>845.3</v>
      </c>
      <c r="G24">
        <v>10547</v>
      </c>
      <c r="H24" s="116"/>
      <c r="I24" s="116"/>
      <c r="L24" s="170">
        <v>42668</v>
      </c>
      <c r="M24" s="116">
        <v>846.35</v>
      </c>
      <c r="N24" s="116">
        <v>852</v>
      </c>
      <c r="O24" s="116">
        <v>845</v>
      </c>
      <c r="P24" s="116">
        <v>850.05</v>
      </c>
      <c r="Q24" s="116">
        <v>846.35</v>
      </c>
      <c r="R24">
        <v>111286</v>
      </c>
    </row>
    <row r="25" spans="1:18" x14ac:dyDescent="0.25">
      <c r="A25" s="170">
        <v>42669</v>
      </c>
      <c r="B25" s="116">
        <v>847.35</v>
      </c>
      <c r="C25" s="116">
        <v>843</v>
      </c>
      <c r="D25" s="116">
        <v>841</v>
      </c>
      <c r="E25" s="116">
        <v>844.65</v>
      </c>
      <c r="F25" s="116">
        <v>843</v>
      </c>
      <c r="G25">
        <v>3168</v>
      </c>
      <c r="H25" s="116"/>
      <c r="I25" s="116"/>
      <c r="L25" s="170">
        <v>42669</v>
      </c>
      <c r="M25" s="116">
        <v>843.6</v>
      </c>
      <c r="N25" s="116">
        <v>847.5</v>
      </c>
      <c r="O25" s="116">
        <v>840.05</v>
      </c>
      <c r="P25" s="116">
        <v>847.5</v>
      </c>
      <c r="Q25" s="116">
        <v>843.6</v>
      </c>
      <c r="R25">
        <v>36760</v>
      </c>
    </row>
    <row r="26" spans="1:18" x14ac:dyDescent="0.25">
      <c r="A26" s="170">
        <v>42670</v>
      </c>
      <c r="B26" s="116">
        <v>841</v>
      </c>
      <c r="C26" s="116">
        <v>834.55</v>
      </c>
      <c r="D26" s="116">
        <v>832</v>
      </c>
      <c r="E26" s="116">
        <v>840.05</v>
      </c>
      <c r="F26" s="116">
        <v>834.55</v>
      </c>
      <c r="G26">
        <v>5678</v>
      </c>
      <c r="H26" s="116"/>
      <c r="I26" s="116"/>
      <c r="L26" s="170">
        <v>42670</v>
      </c>
      <c r="M26" s="116">
        <v>838.8</v>
      </c>
      <c r="N26" s="116">
        <v>850</v>
      </c>
      <c r="O26" s="116">
        <v>832.05</v>
      </c>
      <c r="P26" s="116">
        <v>840.05</v>
      </c>
      <c r="Q26" s="116">
        <v>838.8</v>
      </c>
      <c r="R26">
        <v>31682</v>
      </c>
    </row>
    <row r="27" spans="1:18" x14ac:dyDescent="0.25">
      <c r="A27" s="170">
        <v>42671</v>
      </c>
      <c r="B27" s="116">
        <v>834.9</v>
      </c>
      <c r="C27" s="116">
        <v>826.4</v>
      </c>
      <c r="D27" s="116">
        <v>822.5</v>
      </c>
      <c r="E27" s="116">
        <v>834</v>
      </c>
      <c r="F27" s="116">
        <v>826.4</v>
      </c>
      <c r="G27">
        <v>6606</v>
      </c>
      <c r="H27" s="116"/>
      <c r="I27" s="116"/>
      <c r="L27" s="170">
        <v>42671</v>
      </c>
      <c r="M27" s="116">
        <v>828.1</v>
      </c>
      <c r="N27" s="116">
        <v>835.1</v>
      </c>
      <c r="O27" s="116">
        <v>823</v>
      </c>
      <c r="P27" s="116">
        <v>834.95</v>
      </c>
      <c r="Q27" s="116">
        <v>828.1</v>
      </c>
      <c r="R27">
        <v>51421</v>
      </c>
    </row>
    <row r="28" spans="1:18" x14ac:dyDescent="0.25">
      <c r="A28" s="170">
        <v>42673</v>
      </c>
      <c r="B28" s="116">
        <v>834.95</v>
      </c>
      <c r="C28" s="116">
        <v>833.6</v>
      </c>
      <c r="D28" s="116">
        <v>827.5</v>
      </c>
      <c r="E28" s="116">
        <v>827.5</v>
      </c>
      <c r="F28" s="116">
        <v>833.6</v>
      </c>
      <c r="G28">
        <v>1557</v>
      </c>
      <c r="H28" s="116"/>
      <c r="I28" s="116"/>
      <c r="L28" s="170">
        <v>42673</v>
      </c>
      <c r="M28" s="116">
        <v>834.3</v>
      </c>
      <c r="N28" s="116">
        <v>836</v>
      </c>
      <c r="O28" s="116">
        <v>827.5</v>
      </c>
      <c r="P28" s="116">
        <v>827.5</v>
      </c>
      <c r="Q28" s="116">
        <v>834.3</v>
      </c>
      <c r="R28">
        <v>3902</v>
      </c>
    </row>
    <row r="29" spans="1:18" x14ac:dyDescent="0.25">
      <c r="A29" s="170">
        <v>42675</v>
      </c>
      <c r="B29" s="116">
        <v>833.2</v>
      </c>
      <c r="C29" s="116">
        <v>820.65</v>
      </c>
      <c r="D29" s="116">
        <v>816.2</v>
      </c>
      <c r="E29" s="116">
        <v>831.1</v>
      </c>
      <c r="F29" s="116">
        <v>820.65</v>
      </c>
      <c r="G29">
        <v>5754</v>
      </c>
      <c r="H29" s="116"/>
      <c r="I29" s="116"/>
      <c r="L29" s="170">
        <v>42675</v>
      </c>
      <c r="M29" s="116">
        <v>821.2</v>
      </c>
      <c r="N29" s="116">
        <v>834.65</v>
      </c>
      <c r="O29" s="116">
        <v>816</v>
      </c>
      <c r="P29" s="116">
        <v>830.05</v>
      </c>
      <c r="Q29" s="116">
        <v>821.2</v>
      </c>
      <c r="R29">
        <v>69602</v>
      </c>
    </row>
    <row r="30" spans="1:18" x14ac:dyDescent="0.25">
      <c r="A30" s="170">
        <v>42676</v>
      </c>
      <c r="B30" s="116">
        <v>818.4</v>
      </c>
      <c r="C30" s="116">
        <v>809.95</v>
      </c>
      <c r="D30" s="116">
        <v>807.5</v>
      </c>
      <c r="E30" s="116">
        <v>816</v>
      </c>
      <c r="F30" s="116">
        <v>809.95</v>
      </c>
      <c r="G30">
        <v>6919</v>
      </c>
      <c r="H30" s="116"/>
      <c r="I30" s="116"/>
      <c r="L30" s="170">
        <v>42676</v>
      </c>
      <c r="M30" s="116">
        <v>808.15</v>
      </c>
      <c r="N30" s="116">
        <v>819.95</v>
      </c>
      <c r="O30" s="116">
        <v>801</v>
      </c>
      <c r="P30" s="116">
        <v>819.5</v>
      </c>
      <c r="Q30" s="116">
        <v>808.15</v>
      </c>
      <c r="R30">
        <v>125959</v>
      </c>
    </row>
    <row r="31" spans="1:18" x14ac:dyDescent="0.25">
      <c r="A31" s="170">
        <v>42677</v>
      </c>
      <c r="B31" s="116">
        <v>811.95</v>
      </c>
      <c r="C31" s="116">
        <v>787.1</v>
      </c>
      <c r="D31" s="116">
        <v>784.6</v>
      </c>
      <c r="E31" s="116">
        <v>809.95</v>
      </c>
      <c r="F31" s="116">
        <v>787.1</v>
      </c>
      <c r="G31">
        <v>18770</v>
      </c>
      <c r="H31" s="116"/>
      <c r="I31" s="116"/>
      <c r="L31" s="170">
        <v>42677</v>
      </c>
      <c r="M31" s="116">
        <v>789.2</v>
      </c>
      <c r="N31" s="116">
        <v>812.05</v>
      </c>
      <c r="O31" s="116">
        <v>782.5</v>
      </c>
      <c r="P31" s="116">
        <v>808.2</v>
      </c>
      <c r="Q31" s="116">
        <v>789.2</v>
      </c>
      <c r="R31">
        <v>219258</v>
      </c>
    </row>
    <row r="32" spans="1:18" x14ac:dyDescent="0.25">
      <c r="A32" s="170">
        <v>42678</v>
      </c>
      <c r="B32" s="116">
        <v>792.65</v>
      </c>
      <c r="C32" s="116">
        <v>766.3</v>
      </c>
      <c r="D32" s="116">
        <v>762.5</v>
      </c>
      <c r="E32" s="116">
        <v>788.1</v>
      </c>
      <c r="F32" s="116">
        <v>766.3</v>
      </c>
      <c r="G32">
        <v>15735</v>
      </c>
      <c r="H32" s="116"/>
      <c r="I32" s="116"/>
      <c r="L32" s="170">
        <v>42678</v>
      </c>
      <c r="M32" s="116">
        <v>766.4</v>
      </c>
      <c r="N32" s="116">
        <v>794.85</v>
      </c>
      <c r="O32" s="116">
        <v>761.55</v>
      </c>
      <c r="P32" s="116">
        <v>789</v>
      </c>
      <c r="Q32" s="116">
        <v>766.4</v>
      </c>
      <c r="R32">
        <v>71958</v>
      </c>
    </row>
    <row r="33" spans="1:18" x14ac:dyDescent="0.25">
      <c r="A33" s="170">
        <v>42681</v>
      </c>
      <c r="B33" s="116">
        <v>779.9</v>
      </c>
      <c r="C33" s="116">
        <v>768.5</v>
      </c>
      <c r="D33" s="116">
        <v>765</v>
      </c>
      <c r="E33" s="116">
        <v>766</v>
      </c>
      <c r="F33" s="116">
        <v>768.5</v>
      </c>
      <c r="G33">
        <v>6882</v>
      </c>
      <c r="H33" s="116"/>
      <c r="I33" s="116"/>
      <c r="L33" s="170">
        <v>42681</v>
      </c>
      <c r="M33" s="116">
        <v>772.55</v>
      </c>
      <c r="N33" s="116">
        <v>780.65</v>
      </c>
      <c r="O33" s="116">
        <v>763.05</v>
      </c>
      <c r="P33" s="116">
        <v>765</v>
      </c>
      <c r="Q33" s="116">
        <v>772.55</v>
      </c>
      <c r="R33">
        <v>56201</v>
      </c>
    </row>
    <row r="34" spans="1:18" x14ac:dyDescent="0.25">
      <c r="A34" s="170">
        <v>42682</v>
      </c>
      <c r="B34" s="116">
        <v>784.95</v>
      </c>
      <c r="C34" s="116">
        <v>781.55</v>
      </c>
      <c r="D34" s="116">
        <v>772.1</v>
      </c>
      <c r="E34" s="116">
        <v>776.55</v>
      </c>
      <c r="F34" s="116">
        <v>781.55</v>
      </c>
      <c r="G34">
        <v>7321</v>
      </c>
      <c r="H34" s="116"/>
      <c r="I34" s="116"/>
      <c r="L34" s="170">
        <v>42682</v>
      </c>
      <c r="M34" s="116">
        <v>784.05</v>
      </c>
      <c r="N34" s="116">
        <v>785</v>
      </c>
      <c r="O34" s="116">
        <v>770</v>
      </c>
      <c r="P34" s="116">
        <v>770</v>
      </c>
      <c r="Q34" s="116">
        <v>784.05</v>
      </c>
      <c r="R34">
        <v>34352</v>
      </c>
    </row>
    <row r="35" spans="1:18" x14ac:dyDescent="0.25">
      <c r="A35" s="170">
        <v>42683</v>
      </c>
      <c r="B35" s="116">
        <v>783</v>
      </c>
      <c r="C35" s="116">
        <v>778.65</v>
      </c>
      <c r="D35" s="116">
        <v>750</v>
      </c>
      <c r="E35" s="116">
        <v>760</v>
      </c>
      <c r="F35" s="116">
        <v>778.65</v>
      </c>
      <c r="G35">
        <v>7046</v>
      </c>
      <c r="H35" s="116"/>
      <c r="I35" s="116"/>
      <c r="L35" s="170">
        <v>42683</v>
      </c>
      <c r="M35" s="116">
        <v>784.35</v>
      </c>
      <c r="N35" s="116">
        <v>785</v>
      </c>
      <c r="O35" s="116">
        <v>751</v>
      </c>
      <c r="P35" s="116">
        <v>760</v>
      </c>
      <c r="Q35" s="116">
        <v>784.35</v>
      </c>
      <c r="R35">
        <v>88918</v>
      </c>
    </row>
    <row r="36" spans="1:18" x14ac:dyDescent="0.25">
      <c r="A36" s="170">
        <v>42684</v>
      </c>
      <c r="B36" s="116">
        <v>802.5</v>
      </c>
      <c r="C36" s="116">
        <v>784.1</v>
      </c>
      <c r="D36" s="116">
        <v>780</v>
      </c>
      <c r="E36" s="116">
        <v>780</v>
      </c>
      <c r="F36" s="116">
        <v>784.1</v>
      </c>
      <c r="G36">
        <v>11833</v>
      </c>
      <c r="H36" s="116"/>
      <c r="I36" s="116"/>
      <c r="L36" s="170">
        <v>42684</v>
      </c>
      <c r="M36" s="116">
        <v>789.8</v>
      </c>
      <c r="N36" s="116">
        <v>807.9</v>
      </c>
      <c r="O36" s="116">
        <v>786</v>
      </c>
      <c r="P36" s="116">
        <v>787.5</v>
      </c>
      <c r="Q36" s="116">
        <v>789.8</v>
      </c>
      <c r="R36">
        <v>33017</v>
      </c>
    </row>
    <row r="37" spans="1:18" x14ac:dyDescent="0.25">
      <c r="A37" s="170">
        <v>42685</v>
      </c>
      <c r="B37" s="116">
        <v>793.4</v>
      </c>
      <c r="C37" s="116">
        <v>775.2</v>
      </c>
      <c r="D37" s="116">
        <v>770</v>
      </c>
      <c r="E37" s="116">
        <v>782.7</v>
      </c>
      <c r="F37" s="116">
        <v>775.2</v>
      </c>
      <c r="G37">
        <v>10572</v>
      </c>
      <c r="H37" s="116"/>
      <c r="I37" s="116"/>
      <c r="L37" s="170">
        <v>42685</v>
      </c>
      <c r="M37" s="116">
        <v>784.5</v>
      </c>
      <c r="N37" s="116">
        <v>794.95</v>
      </c>
      <c r="O37" s="116">
        <v>771</v>
      </c>
      <c r="P37" s="116">
        <v>792</v>
      </c>
      <c r="Q37" s="116">
        <v>784.5</v>
      </c>
      <c r="R37">
        <v>102981</v>
      </c>
    </row>
    <row r="38" spans="1:18" x14ac:dyDescent="0.25">
      <c r="A38" s="170">
        <v>42689</v>
      </c>
      <c r="B38" s="116">
        <v>782.25</v>
      </c>
      <c r="C38" s="116">
        <v>750.2</v>
      </c>
      <c r="D38" s="116">
        <v>735</v>
      </c>
      <c r="E38" s="116">
        <v>780</v>
      </c>
      <c r="F38" s="116">
        <v>750.2</v>
      </c>
      <c r="G38">
        <v>3672</v>
      </c>
      <c r="H38" s="116"/>
      <c r="I38" s="116"/>
      <c r="L38" s="170">
        <v>42689</v>
      </c>
      <c r="M38" s="116">
        <v>753</v>
      </c>
      <c r="N38" s="116">
        <v>784</v>
      </c>
      <c r="O38" s="116">
        <v>751</v>
      </c>
      <c r="P38" s="116">
        <v>784</v>
      </c>
      <c r="Q38" s="116">
        <v>753</v>
      </c>
      <c r="R38">
        <v>41828</v>
      </c>
    </row>
    <row r="39" spans="1:18" x14ac:dyDescent="0.25">
      <c r="A39" s="170">
        <v>42690</v>
      </c>
      <c r="B39" s="116">
        <v>763</v>
      </c>
      <c r="C39" s="116">
        <v>757.15</v>
      </c>
      <c r="D39" s="116">
        <v>735</v>
      </c>
      <c r="E39" s="116">
        <v>758</v>
      </c>
      <c r="F39" s="116">
        <v>757.15</v>
      </c>
      <c r="G39">
        <v>4131</v>
      </c>
      <c r="H39" s="116"/>
      <c r="I39" s="116"/>
      <c r="L39" s="170">
        <v>42690</v>
      </c>
      <c r="M39" s="116">
        <v>755.2</v>
      </c>
      <c r="N39" s="116">
        <v>766.95</v>
      </c>
      <c r="O39" s="116">
        <v>750</v>
      </c>
      <c r="P39" s="116">
        <v>760</v>
      </c>
      <c r="Q39" s="116">
        <v>755.2</v>
      </c>
      <c r="R39">
        <v>89026</v>
      </c>
    </row>
    <row r="40" spans="1:18" x14ac:dyDescent="0.25">
      <c r="A40" s="170">
        <v>42691</v>
      </c>
      <c r="B40" s="116">
        <v>765.55</v>
      </c>
      <c r="C40" s="116">
        <v>755.8</v>
      </c>
      <c r="D40" s="116">
        <v>751.95</v>
      </c>
      <c r="E40" s="116">
        <v>761</v>
      </c>
      <c r="F40" s="116">
        <v>755.8</v>
      </c>
      <c r="G40">
        <v>1320</v>
      </c>
      <c r="H40" s="116"/>
      <c r="I40" s="116"/>
      <c r="L40" s="170">
        <v>42691</v>
      </c>
      <c r="M40" s="116">
        <v>755.25</v>
      </c>
      <c r="N40" s="116">
        <v>768.25</v>
      </c>
      <c r="O40" s="116">
        <v>754.5</v>
      </c>
      <c r="P40" s="116">
        <v>764.9</v>
      </c>
      <c r="Q40" s="116">
        <v>755.25</v>
      </c>
      <c r="R40">
        <v>34335</v>
      </c>
    </row>
    <row r="41" spans="1:18" x14ac:dyDescent="0.25">
      <c r="A41" s="170">
        <v>42692</v>
      </c>
      <c r="B41" s="116">
        <v>815.4</v>
      </c>
      <c r="C41" s="116">
        <v>808.35</v>
      </c>
      <c r="D41" s="116">
        <v>753.7</v>
      </c>
      <c r="E41" s="116">
        <v>755.05</v>
      </c>
      <c r="F41" s="116">
        <v>808.35</v>
      </c>
      <c r="G41">
        <v>18650</v>
      </c>
      <c r="H41" s="116"/>
      <c r="I41" s="116"/>
      <c r="L41" s="170">
        <v>42692</v>
      </c>
      <c r="M41" s="116">
        <v>815.8</v>
      </c>
      <c r="N41" s="116">
        <v>824.45</v>
      </c>
      <c r="O41" s="116">
        <v>755.2</v>
      </c>
      <c r="P41" s="116">
        <v>755.2</v>
      </c>
      <c r="Q41" s="116">
        <v>815.8</v>
      </c>
      <c r="R41">
        <v>98898</v>
      </c>
    </row>
    <row r="42" spans="1:18" x14ac:dyDescent="0.25">
      <c r="A42" s="170">
        <v>42695</v>
      </c>
      <c r="B42" s="116">
        <v>812.7</v>
      </c>
      <c r="C42" s="116">
        <v>789.3</v>
      </c>
      <c r="D42" s="116">
        <v>787</v>
      </c>
      <c r="E42" s="116">
        <v>809</v>
      </c>
      <c r="F42" s="116">
        <v>789.3</v>
      </c>
      <c r="G42">
        <v>5446</v>
      </c>
      <c r="H42" s="116"/>
      <c r="I42" s="116"/>
      <c r="L42" s="170">
        <v>42695</v>
      </c>
      <c r="M42" s="116">
        <v>791.8</v>
      </c>
      <c r="N42" s="116">
        <v>813</v>
      </c>
      <c r="O42" s="116">
        <v>770</v>
      </c>
      <c r="P42" s="116">
        <v>810</v>
      </c>
      <c r="Q42" s="116">
        <v>791.8</v>
      </c>
      <c r="R42">
        <v>24715</v>
      </c>
    </row>
    <row r="43" spans="1:18" x14ac:dyDescent="0.25">
      <c r="A43" s="170">
        <v>42696</v>
      </c>
      <c r="B43" s="116">
        <v>810</v>
      </c>
      <c r="C43" s="116">
        <v>807.3</v>
      </c>
      <c r="D43" s="116">
        <v>789.7</v>
      </c>
      <c r="E43" s="116">
        <v>789.7</v>
      </c>
      <c r="F43" s="116">
        <v>807.3</v>
      </c>
      <c r="G43">
        <v>8667</v>
      </c>
      <c r="H43" s="116"/>
      <c r="I43" s="116"/>
      <c r="L43" s="170">
        <v>42696</v>
      </c>
      <c r="M43" s="116">
        <v>813</v>
      </c>
      <c r="N43" s="116">
        <v>816.5</v>
      </c>
      <c r="O43" s="116">
        <v>780.05</v>
      </c>
      <c r="P43" s="116">
        <v>806</v>
      </c>
      <c r="Q43" s="116">
        <v>813</v>
      </c>
      <c r="R43">
        <v>20675</v>
      </c>
    </row>
    <row r="44" spans="1:18" x14ac:dyDescent="0.25">
      <c r="A44" s="170">
        <v>42697</v>
      </c>
      <c r="B44" s="116">
        <v>824.95</v>
      </c>
      <c r="C44" s="116">
        <v>805.45</v>
      </c>
      <c r="D44" s="116">
        <v>770</v>
      </c>
      <c r="E44" s="116">
        <v>811</v>
      </c>
      <c r="F44" s="116">
        <v>805.45</v>
      </c>
      <c r="G44">
        <v>4764</v>
      </c>
      <c r="H44" s="116"/>
      <c r="I44" s="116"/>
      <c r="L44" s="170">
        <v>42697</v>
      </c>
      <c r="M44" s="116">
        <v>811.7</v>
      </c>
      <c r="N44" s="116">
        <v>820.95</v>
      </c>
      <c r="O44" s="116">
        <v>805</v>
      </c>
      <c r="P44" s="116">
        <v>819.2</v>
      </c>
      <c r="Q44" s="116">
        <v>811.7</v>
      </c>
      <c r="R44">
        <v>63635</v>
      </c>
    </row>
    <row r="45" spans="1:18" x14ac:dyDescent="0.25">
      <c r="A45" s="170">
        <v>42698</v>
      </c>
      <c r="B45" s="116">
        <v>826</v>
      </c>
      <c r="C45" s="116">
        <v>822.85</v>
      </c>
      <c r="D45" s="116">
        <v>800.8</v>
      </c>
      <c r="E45" s="116">
        <v>803</v>
      </c>
      <c r="F45" s="116">
        <v>822.85</v>
      </c>
      <c r="G45">
        <v>4158</v>
      </c>
      <c r="H45" s="116"/>
      <c r="I45" s="116"/>
      <c r="L45" s="170">
        <v>42698</v>
      </c>
      <c r="M45" s="116">
        <v>830.1</v>
      </c>
      <c r="N45" s="116">
        <v>833</v>
      </c>
      <c r="O45" s="116">
        <v>799.8</v>
      </c>
      <c r="P45" s="116">
        <v>809.4</v>
      </c>
      <c r="Q45" s="116">
        <v>830.1</v>
      </c>
      <c r="R45">
        <v>34354</v>
      </c>
    </row>
    <row r="46" spans="1:18" x14ac:dyDescent="0.25">
      <c r="A46" s="170">
        <v>42699</v>
      </c>
      <c r="B46" s="116">
        <v>852.7</v>
      </c>
      <c r="C46" s="116">
        <v>850.05</v>
      </c>
      <c r="D46" s="116">
        <v>824</v>
      </c>
      <c r="E46" s="116">
        <v>829.8</v>
      </c>
      <c r="F46" s="116">
        <v>850.05</v>
      </c>
      <c r="G46">
        <v>14736</v>
      </c>
      <c r="H46" s="116"/>
      <c r="I46" s="116"/>
      <c r="L46" s="170">
        <v>42699</v>
      </c>
      <c r="M46" s="116">
        <v>850.4</v>
      </c>
      <c r="N46" s="116">
        <v>855</v>
      </c>
      <c r="O46" s="116">
        <v>820</v>
      </c>
      <c r="P46" s="116">
        <v>820</v>
      </c>
      <c r="Q46" s="116">
        <v>850.4</v>
      </c>
      <c r="R46">
        <v>55400</v>
      </c>
    </row>
    <row r="47" spans="1:18" x14ac:dyDescent="0.25">
      <c r="A47" s="170">
        <v>42702</v>
      </c>
      <c r="B47" s="116">
        <v>852.5</v>
      </c>
      <c r="C47" s="116">
        <v>848.95</v>
      </c>
      <c r="D47" s="116">
        <v>842.5</v>
      </c>
      <c r="E47" s="116">
        <v>852</v>
      </c>
      <c r="F47" s="116">
        <v>848.95</v>
      </c>
      <c r="G47">
        <v>4919</v>
      </c>
      <c r="H47" s="116"/>
      <c r="I47" s="116"/>
      <c r="L47" s="170">
        <v>42702</v>
      </c>
      <c r="M47" s="116">
        <v>847.85</v>
      </c>
      <c r="N47" s="116">
        <v>854.9</v>
      </c>
      <c r="O47" s="116">
        <v>842.45</v>
      </c>
      <c r="P47" s="116">
        <v>853</v>
      </c>
      <c r="Q47" s="116">
        <v>847.85</v>
      </c>
      <c r="R47">
        <v>22496</v>
      </c>
    </row>
    <row r="48" spans="1:18" x14ac:dyDescent="0.25">
      <c r="A48" s="170">
        <v>42703</v>
      </c>
      <c r="B48" s="116">
        <v>854.9</v>
      </c>
      <c r="C48" s="116">
        <v>853.15</v>
      </c>
      <c r="D48" s="116">
        <v>847</v>
      </c>
      <c r="E48" s="116">
        <v>849.95</v>
      </c>
      <c r="F48" s="116">
        <v>853.15</v>
      </c>
      <c r="G48">
        <v>6861</v>
      </c>
      <c r="H48" s="116"/>
      <c r="I48" s="116"/>
      <c r="L48" s="170">
        <v>42703</v>
      </c>
      <c r="M48" s="116">
        <v>854</v>
      </c>
      <c r="N48" s="116">
        <v>857.5</v>
      </c>
      <c r="O48" s="116">
        <v>848.15</v>
      </c>
      <c r="P48" s="116">
        <v>854.95</v>
      </c>
      <c r="Q48" s="116">
        <v>854</v>
      </c>
      <c r="R48">
        <v>98194</v>
      </c>
    </row>
    <row r="49" spans="1:18" x14ac:dyDescent="0.25">
      <c r="A49" s="170">
        <v>42704</v>
      </c>
      <c r="B49" s="116">
        <v>863.2</v>
      </c>
      <c r="C49" s="116">
        <v>853.75</v>
      </c>
      <c r="D49" s="116">
        <v>845.05</v>
      </c>
      <c r="E49" s="116">
        <v>850</v>
      </c>
      <c r="F49" s="116">
        <v>853.75</v>
      </c>
      <c r="G49">
        <v>8339</v>
      </c>
      <c r="H49" s="116"/>
      <c r="I49" s="116"/>
      <c r="L49" s="170">
        <v>42704</v>
      </c>
      <c r="M49" s="116">
        <v>860.6</v>
      </c>
      <c r="N49" s="116">
        <v>867</v>
      </c>
      <c r="O49" s="116">
        <v>845.05</v>
      </c>
      <c r="P49" s="116">
        <v>853.3</v>
      </c>
      <c r="Q49" s="116">
        <v>860.6</v>
      </c>
      <c r="R49">
        <v>27306</v>
      </c>
    </row>
    <row r="50" spans="1:18" x14ac:dyDescent="0.25">
      <c r="A50" s="170">
        <v>42705</v>
      </c>
      <c r="B50" s="116">
        <v>860</v>
      </c>
      <c r="C50" s="116">
        <v>849.75</v>
      </c>
      <c r="D50" s="116">
        <v>842.8</v>
      </c>
      <c r="E50" s="116">
        <v>855.2</v>
      </c>
      <c r="F50" s="116">
        <v>849.75</v>
      </c>
      <c r="G50">
        <v>2528</v>
      </c>
      <c r="H50" s="116"/>
      <c r="I50" s="116"/>
      <c r="L50" s="170">
        <v>42705</v>
      </c>
      <c r="M50" s="116">
        <v>859.15</v>
      </c>
      <c r="N50" s="116">
        <v>861.95</v>
      </c>
      <c r="O50" s="116">
        <v>844</v>
      </c>
      <c r="P50" s="116">
        <v>860</v>
      </c>
      <c r="Q50" s="116">
        <v>859.15</v>
      </c>
      <c r="R50">
        <v>125086</v>
      </c>
    </row>
    <row r="51" spans="1:18" x14ac:dyDescent="0.25">
      <c r="A51" s="170">
        <v>42706</v>
      </c>
      <c r="B51" s="116">
        <v>859.05</v>
      </c>
      <c r="C51" s="116">
        <v>846.35</v>
      </c>
      <c r="D51" s="116">
        <v>845.05</v>
      </c>
      <c r="E51" s="116">
        <v>859.05</v>
      </c>
      <c r="F51" s="116">
        <v>846.35</v>
      </c>
      <c r="G51">
        <v>2020</v>
      </c>
      <c r="H51" s="116"/>
      <c r="I51" s="116"/>
      <c r="L51" s="170">
        <v>42706</v>
      </c>
      <c r="M51" s="116">
        <v>845.15</v>
      </c>
      <c r="N51" s="116">
        <v>859.5</v>
      </c>
      <c r="O51" s="116">
        <v>841</v>
      </c>
      <c r="P51" s="116">
        <v>859.5</v>
      </c>
      <c r="Q51" s="116">
        <v>845.15</v>
      </c>
      <c r="R51">
        <v>37092</v>
      </c>
    </row>
    <row r="52" spans="1:18" x14ac:dyDescent="0.25">
      <c r="A52" s="170">
        <v>42709</v>
      </c>
      <c r="B52" s="116">
        <v>850.2</v>
      </c>
      <c r="C52" s="116">
        <v>845.4</v>
      </c>
      <c r="D52" s="116">
        <v>842.5</v>
      </c>
      <c r="E52" s="116">
        <v>849.95</v>
      </c>
      <c r="F52" s="116">
        <v>845.4</v>
      </c>
      <c r="G52">
        <v>1183</v>
      </c>
      <c r="H52" s="116"/>
      <c r="I52" s="116"/>
      <c r="L52" s="170">
        <v>42709</v>
      </c>
      <c r="M52" s="116">
        <v>849.55</v>
      </c>
      <c r="N52" s="116">
        <v>856</v>
      </c>
      <c r="O52" s="116">
        <v>843.95</v>
      </c>
      <c r="P52" s="116">
        <v>856</v>
      </c>
      <c r="Q52" s="116">
        <v>849.55</v>
      </c>
      <c r="R52">
        <v>17350</v>
      </c>
    </row>
    <row r="53" spans="1:18" x14ac:dyDescent="0.25">
      <c r="A53" s="170">
        <v>42710</v>
      </c>
      <c r="B53" s="116">
        <v>850.95</v>
      </c>
      <c r="C53" s="116">
        <v>843</v>
      </c>
      <c r="D53" s="116">
        <v>840.05</v>
      </c>
      <c r="E53" s="116">
        <v>846.55</v>
      </c>
      <c r="F53" s="116">
        <v>843</v>
      </c>
      <c r="G53">
        <v>2613</v>
      </c>
      <c r="H53" s="116"/>
      <c r="I53" s="116"/>
      <c r="L53" s="170">
        <v>42710</v>
      </c>
      <c r="M53" s="116">
        <v>845.8</v>
      </c>
      <c r="N53" s="116">
        <v>852.5</v>
      </c>
      <c r="O53" s="116">
        <v>840.05</v>
      </c>
      <c r="P53" s="116">
        <v>847.5</v>
      </c>
      <c r="Q53" s="116">
        <v>845.8</v>
      </c>
      <c r="R53">
        <v>113804</v>
      </c>
    </row>
    <row r="54" spans="1:18" x14ac:dyDescent="0.25">
      <c r="A54" s="170">
        <v>42711</v>
      </c>
      <c r="B54" s="116">
        <v>849.95</v>
      </c>
      <c r="C54" s="116">
        <v>843.4</v>
      </c>
      <c r="D54" s="116">
        <v>840.05</v>
      </c>
      <c r="E54" s="116">
        <v>840.05</v>
      </c>
      <c r="F54" s="116">
        <v>843.4</v>
      </c>
      <c r="G54">
        <v>1509</v>
      </c>
      <c r="H54" s="116"/>
      <c r="I54" s="116"/>
      <c r="L54" s="170">
        <v>42711</v>
      </c>
      <c r="M54" s="116">
        <v>847.95</v>
      </c>
      <c r="N54" s="116">
        <v>851.45</v>
      </c>
      <c r="O54" s="116">
        <v>839.1</v>
      </c>
      <c r="P54" s="116">
        <v>839.1</v>
      </c>
      <c r="Q54" s="116">
        <v>847.95</v>
      </c>
      <c r="R54">
        <v>12658</v>
      </c>
    </row>
    <row r="55" spans="1:18" x14ac:dyDescent="0.25">
      <c r="A55" s="170">
        <v>42712</v>
      </c>
      <c r="B55" s="116">
        <v>850</v>
      </c>
      <c r="C55" s="116">
        <v>840.9</v>
      </c>
      <c r="D55" s="116">
        <v>840.05</v>
      </c>
      <c r="E55" s="116">
        <v>849.95</v>
      </c>
      <c r="F55" s="116">
        <v>840.9</v>
      </c>
      <c r="G55">
        <v>1577</v>
      </c>
      <c r="H55" s="116"/>
      <c r="I55" s="116"/>
      <c r="L55" s="170">
        <v>42712</v>
      </c>
      <c r="M55" s="116">
        <v>844.6</v>
      </c>
      <c r="N55" s="116">
        <v>852.15</v>
      </c>
      <c r="O55" s="116">
        <v>840.05</v>
      </c>
      <c r="P55" s="116">
        <v>850</v>
      </c>
      <c r="Q55" s="116">
        <v>844.6</v>
      </c>
      <c r="R55">
        <v>21888</v>
      </c>
    </row>
    <row r="56" spans="1:18" x14ac:dyDescent="0.25">
      <c r="A56" s="170">
        <v>42713</v>
      </c>
      <c r="B56" s="116">
        <v>850</v>
      </c>
      <c r="C56" s="116">
        <v>847</v>
      </c>
      <c r="D56" s="116">
        <v>840.05</v>
      </c>
      <c r="E56" s="116">
        <v>847</v>
      </c>
      <c r="F56" s="116">
        <v>847</v>
      </c>
      <c r="G56">
        <v>2971</v>
      </c>
      <c r="H56" s="116"/>
      <c r="I56" s="116"/>
      <c r="L56" s="170">
        <v>42713</v>
      </c>
      <c r="M56" s="116">
        <v>849.7</v>
      </c>
      <c r="N56" s="116">
        <v>851.2</v>
      </c>
      <c r="O56" s="116">
        <v>840.05</v>
      </c>
      <c r="P56" s="116">
        <v>842</v>
      </c>
      <c r="Q56" s="116">
        <v>849.7</v>
      </c>
      <c r="R56">
        <v>47462</v>
      </c>
    </row>
    <row r="57" spans="1:18" x14ac:dyDescent="0.25">
      <c r="A57" s="170">
        <v>42716</v>
      </c>
      <c r="B57" s="116">
        <v>846.3</v>
      </c>
      <c r="C57" s="116">
        <v>835.6</v>
      </c>
      <c r="D57" s="116">
        <v>835.05</v>
      </c>
      <c r="E57" s="116">
        <v>843</v>
      </c>
      <c r="F57" s="116">
        <v>835.6</v>
      </c>
      <c r="G57">
        <v>1737</v>
      </c>
      <c r="H57" s="116"/>
      <c r="I57" s="116"/>
      <c r="L57" s="170">
        <v>42716</v>
      </c>
      <c r="M57" s="116">
        <v>836.35</v>
      </c>
      <c r="N57" s="116">
        <v>850</v>
      </c>
      <c r="O57" s="116">
        <v>835</v>
      </c>
      <c r="P57" s="116">
        <v>850</v>
      </c>
      <c r="Q57" s="116">
        <v>836.35</v>
      </c>
      <c r="R57">
        <v>15969</v>
      </c>
    </row>
    <row r="58" spans="1:18" x14ac:dyDescent="0.25">
      <c r="A58" s="170">
        <v>42717</v>
      </c>
      <c r="B58" s="116">
        <v>839.95</v>
      </c>
      <c r="C58" s="116">
        <v>805</v>
      </c>
      <c r="D58" s="116">
        <v>790.5</v>
      </c>
      <c r="E58" s="116">
        <v>839.95</v>
      </c>
      <c r="F58" s="116">
        <v>805</v>
      </c>
      <c r="G58">
        <v>9841</v>
      </c>
      <c r="H58" s="116"/>
      <c r="I58" s="116"/>
      <c r="L58" s="170">
        <v>42717</v>
      </c>
      <c r="M58" s="116">
        <v>798.05</v>
      </c>
      <c r="N58" s="116">
        <v>839.85</v>
      </c>
      <c r="O58" s="116">
        <v>781</v>
      </c>
      <c r="P58" s="116">
        <v>839.05</v>
      </c>
      <c r="Q58" s="116">
        <v>798.05</v>
      </c>
      <c r="R58">
        <v>280525</v>
      </c>
    </row>
    <row r="59" spans="1:18" x14ac:dyDescent="0.25">
      <c r="A59" s="170">
        <v>42718</v>
      </c>
      <c r="B59" s="116">
        <v>797.9</v>
      </c>
      <c r="C59" s="116">
        <v>788.4</v>
      </c>
      <c r="D59" s="116">
        <v>785.25</v>
      </c>
      <c r="E59" s="116">
        <v>797.9</v>
      </c>
      <c r="F59" s="116">
        <v>788.4</v>
      </c>
      <c r="G59">
        <v>4892</v>
      </c>
      <c r="H59" s="116"/>
      <c r="I59" s="116"/>
      <c r="L59" s="170">
        <v>42718</v>
      </c>
      <c r="M59" s="116">
        <v>790.2</v>
      </c>
      <c r="N59" s="116">
        <v>802</v>
      </c>
      <c r="O59" s="116">
        <v>781.55</v>
      </c>
      <c r="P59" s="116">
        <v>798</v>
      </c>
      <c r="Q59" s="116">
        <v>790.2</v>
      </c>
      <c r="R59">
        <v>22506</v>
      </c>
    </row>
    <row r="60" spans="1:18" x14ac:dyDescent="0.25">
      <c r="A60" s="170">
        <v>42719</v>
      </c>
      <c r="B60" s="116">
        <v>800.35</v>
      </c>
      <c r="C60" s="116">
        <v>793.95</v>
      </c>
      <c r="D60" s="116">
        <v>786</v>
      </c>
      <c r="E60" s="116">
        <v>786.2</v>
      </c>
      <c r="F60" s="116">
        <v>793.95</v>
      </c>
      <c r="G60">
        <v>1803</v>
      </c>
      <c r="H60" s="116"/>
      <c r="I60" s="116"/>
      <c r="L60" s="170">
        <v>42719</v>
      </c>
      <c r="M60" s="116">
        <v>796.4</v>
      </c>
      <c r="N60" s="116">
        <v>804</v>
      </c>
      <c r="O60" s="116">
        <v>788.05</v>
      </c>
      <c r="P60" s="116">
        <v>797.9</v>
      </c>
      <c r="Q60" s="116">
        <v>796.4</v>
      </c>
      <c r="R60">
        <v>12368</v>
      </c>
    </row>
    <row r="61" spans="1:18" x14ac:dyDescent="0.25">
      <c r="A61" s="170">
        <v>42720</v>
      </c>
      <c r="B61" s="116">
        <v>804.95</v>
      </c>
      <c r="C61" s="116">
        <v>796.75</v>
      </c>
      <c r="D61" s="116">
        <v>786.1</v>
      </c>
      <c r="E61" s="116">
        <v>786.1</v>
      </c>
      <c r="F61" s="116">
        <v>796.75</v>
      </c>
      <c r="G61">
        <v>2719</v>
      </c>
      <c r="H61" s="116"/>
      <c r="I61" s="116"/>
      <c r="L61" s="170">
        <v>42720</v>
      </c>
      <c r="M61" s="116">
        <v>800.4</v>
      </c>
      <c r="N61" s="116">
        <v>804.95</v>
      </c>
      <c r="O61" s="116">
        <v>793.95</v>
      </c>
      <c r="P61" s="116">
        <v>796.1</v>
      </c>
      <c r="Q61" s="116">
        <v>800.4</v>
      </c>
      <c r="R61">
        <v>17562</v>
      </c>
    </row>
    <row r="62" spans="1:18" x14ac:dyDescent="0.25">
      <c r="A62" s="170">
        <v>42723</v>
      </c>
      <c r="B62" s="116">
        <v>804</v>
      </c>
      <c r="C62" s="116">
        <v>789.7</v>
      </c>
      <c r="D62" s="116">
        <v>787.1</v>
      </c>
      <c r="E62" s="116">
        <v>800</v>
      </c>
      <c r="F62" s="116">
        <v>789.7</v>
      </c>
      <c r="G62">
        <v>2815</v>
      </c>
      <c r="H62" s="116"/>
      <c r="I62" s="116"/>
      <c r="L62" s="170">
        <v>42723</v>
      </c>
      <c r="M62" s="116">
        <v>794.75</v>
      </c>
      <c r="N62" s="116">
        <v>814.95</v>
      </c>
      <c r="O62" s="116">
        <v>785.35</v>
      </c>
      <c r="P62" s="116">
        <v>800</v>
      </c>
      <c r="Q62" s="116">
        <v>794.75</v>
      </c>
      <c r="R62">
        <v>15898</v>
      </c>
    </row>
    <row r="63" spans="1:18" x14ac:dyDescent="0.25">
      <c r="A63" s="170">
        <v>42724</v>
      </c>
      <c r="B63" s="116">
        <v>803</v>
      </c>
      <c r="C63" s="116">
        <v>786.7</v>
      </c>
      <c r="D63" s="116">
        <v>785</v>
      </c>
      <c r="E63" s="116">
        <v>803</v>
      </c>
      <c r="F63" s="116">
        <v>786.7</v>
      </c>
      <c r="G63">
        <v>2292</v>
      </c>
      <c r="H63" s="116"/>
      <c r="I63" s="116"/>
      <c r="L63" s="170">
        <v>42724</v>
      </c>
      <c r="M63" s="116">
        <v>790.15</v>
      </c>
      <c r="N63" s="116">
        <v>805.55</v>
      </c>
      <c r="O63" s="116">
        <v>785.35</v>
      </c>
      <c r="P63" s="116">
        <v>805.55</v>
      </c>
      <c r="Q63" s="116">
        <v>790.15</v>
      </c>
      <c r="R63">
        <v>11880</v>
      </c>
    </row>
    <row r="64" spans="1:18" x14ac:dyDescent="0.25">
      <c r="A64" s="170">
        <v>42725</v>
      </c>
      <c r="B64" s="116">
        <v>795</v>
      </c>
      <c r="C64" s="116">
        <v>782.4</v>
      </c>
      <c r="D64" s="116">
        <v>781.2</v>
      </c>
      <c r="E64" s="116">
        <v>789.9</v>
      </c>
      <c r="F64" s="116">
        <v>782.4</v>
      </c>
      <c r="G64">
        <v>1601</v>
      </c>
      <c r="H64" s="116"/>
      <c r="I64" s="116"/>
      <c r="L64" s="170">
        <v>42725</v>
      </c>
      <c r="M64" s="116">
        <v>786.55</v>
      </c>
      <c r="N64" s="116">
        <v>800</v>
      </c>
      <c r="O64" s="116">
        <v>784</v>
      </c>
      <c r="P64" s="116">
        <v>792.25</v>
      </c>
      <c r="Q64" s="116">
        <v>786.55</v>
      </c>
      <c r="R64">
        <v>10013</v>
      </c>
    </row>
    <row r="65" spans="1:18" x14ac:dyDescent="0.25">
      <c r="A65" s="170">
        <v>42726</v>
      </c>
      <c r="B65" s="116">
        <v>799.3</v>
      </c>
      <c r="C65" s="116">
        <v>785.85</v>
      </c>
      <c r="D65" s="116">
        <v>782.1</v>
      </c>
      <c r="E65" s="116">
        <v>785.45</v>
      </c>
      <c r="F65" s="116">
        <v>785.85</v>
      </c>
      <c r="G65">
        <v>2838</v>
      </c>
      <c r="H65" s="116"/>
      <c r="I65" s="116"/>
      <c r="L65" s="170">
        <v>42726</v>
      </c>
      <c r="M65" s="116">
        <v>788.75</v>
      </c>
      <c r="N65" s="116">
        <v>799.95</v>
      </c>
      <c r="O65" s="116">
        <v>782</v>
      </c>
      <c r="P65" s="116">
        <v>799.7</v>
      </c>
      <c r="Q65" s="116">
        <v>788.75</v>
      </c>
      <c r="R65">
        <v>13786</v>
      </c>
    </row>
    <row r="66" spans="1:18" x14ac:dyDescent="0.25">
      <c r="A66" s="170">
        <v>42727</v>
      </c>
      <c r="B66" s="116">
        <v>794.2</v>
      </c>
      <c r="C66" s="116">
        <v>786.85</v>
      </c>
      <c r="D66" s="116">
        <v>782.15</v>
      </c>
      <c r="E66" s="116">
        <v>789.9</v>
      </c>
      <c r="F66" s="116">
        <v>786.85</v>
      </c>
      <c r="G66">
        <v>1943</v>
      </c>
      <c r="H66" s="116"/>
      <c r="I66" s="116"/>
      <c r="L66" s="170">
        <v>42727</v>
      </c>
      <c r="M66" s="116">
        <v>794.15</v>
      </c>
      <c r="N66" s="116">
        <v>796</v>
      </c>
      <c r="O66" s="116">
        <v>782.3</v>
      </c>
      <c r="P66" s="116">
        <v>792.2</v>
      </c>
      <c r="Q66" s="116">
        <v>794.15</v>
      </c>
      <c r="R66">
        <v>16413</v>
      </c>
    </row>
    <row r="67" spans="1:18" x14ac:dyDescent="0.25">
      <c r="A67" s="170">
        <v>42730</v>
      </c>
      <c r="B67" s="116">
        <v>794.2</v>
      </c>
      <c r="C67" s="116">
        <v>775.95</v>
      </c>
      <c r="D67" s="116">
        <v>775</v>
      </c>
      <c r="E67" s="116">
        <v>794.2</v>
      </c>
      <c r="F67" s="116">
        <v>775.95</v>
      </c>
      <c r="G67">
        <v>1579</v>
      </c>
      <c r="H67" s="116"/>
      <c r="I67" s="116"/>
      <c r="L67" s="170">
        <v>42730</v>
      </c>
      <c r="M67" s="116">
        <v>779.75</v>
      </c>
      <c r="N67" s="116">
        <v>795.55</v>
      </c>
      <c r="O67" s="116">
        <v>774.2</v>
      </c>
      <c r="P67" s="116">
        <v>790</v>
      </c>
      <c r="Q67" s="116">
        <v>779.75</v>
      </c>
      <c r="R67">
        <v>37566</v>
      </c>
    </row>
    <row r="68" spans="1:18" x14ac:dyDescent="0.25">
      <c r="A68" s="170">
        <v>42731</v>
      </c>
      <c r="B68" s="116">
        <v>784.5</v>
      </c>
      <c r="C68" s="116">
        <v>780.6</v>
      </c>
      <c r="D68" s="116">
        <v>773</v>
      </c>
      <c r="E68" s="116">
        <v>779.3</v>
      </c>
      <c r="F68" s="116">
        <v>780.6</v>
      </c>
      <c r="G68">
        <v>1607</v>
      </c>
      <c r="H68" s="116"/>
      <c r="I68" s="116"/>
      <c r="L68" s="170">
        <v>42731</v>
      </c>
      <c r="M68" s="116">
        <v>782.15</v>
      </c>
      <c r="N68" s="116">
        <v>790</v>
      </c>
      <c r="O68" s="116">
        <v>773</v>
      </c>
      <c r="P68" s="116">
        <v>785</v>
      </c>
      <c r="Q68" s="116">
        <v>782.15</v>
      </c>
      <c r="R68">
        <v>23154</v>
      </c>
    </row>
    <row r="69" spans="1:18" x14ac:dyDescent="0.25">
      <c r="A69" s="170">
        <v>42732</v>
      </c>
      <c r="B69" s="116">
        <v>786.65</v>
      </c>
      <c r="C69" s="116">
        <v>777.95</v>
      </c>
      <c r="D69" s="116">
        <v>776</v>
      </c>
      <c r="E69" s="116">
        <v>782</v>
      </c>
      <c r="F69" s="116">
        <v>777.95</v>
      </c>
      <c r="G69">
        <v>1678</v>
      </c>
      <c r="H69" s="116"/>
      <c r="I69" s="116"/>
      <c r="L69" s="170">
        <v>42732</v>
      </c>
      <c r="M69" s="116">
        <v>782.25</v>
      </c>
      <c r="N69" s="116">
        <v>788.3</v>
      </c>
      <c r="O69" s="116">
        <v>777.9</v>
      </c>
      <c r="P69" s="116">
        <v>785</v>
      </c>
      <c r="Q69" s="116">
        <v>782.25</v>
      </c>
      <c r="R69">
        <v>12119</v>
      </c>
    </row>
    <row r="70" spans="1:18" x14ac:dyDescent="0.25">
      <c r="A70" s="170">
        <v>42733</v>
      </c>
      <c r="B70" s="116">
        <v>789.95</v>
      </c>
      <c r="C70" s="116">
        <v>781.2</v>
      </c>
      <c r="D70" s="116">
        <v>777.3</v>
      </c>
      <c r="E70" s="116">
        <v>784.9</v>
      </c>
      <c r="F70" s="116">
        <v>781.2</v>
      </c>
      <c r="G70">
        <v>1116</v>
      </c>
      <c r="H70" s="116"/>
      <c r="I70" s="116"/>
      <c r="L70" s="170">
        <v>42733</v>
      </c>
      <c r="M70" s="116">
        <v>784.65</v>
      </c>
      <c r="N70" s="116">
        <v>792.9</v>
      </c>
      <c r="O70" s="116">
        <v>779</v>
      </c>
      <c r="P70" s="116">
        <v>788</v>
      </c>
      <c r="Q70" s="116">
        <v>784.65</v>
      </c>
      <c r="R70">
        <v>14413</v>
      </c>
    </row>
    <row r="71" spans="1:18" x14ac:dyDescent="0.25">
      <c r="A71" s="170">
        <v>42734</v>
      </c>
      <c r="B71" s="116">
        <v>795.1</v>
      </c>
      <c r="C71" s="116">
        <v>786.95</v>
      </c>
      <c r="D71" s="116">
        <v>778.55</v>
      </c>
      <c r="E71" s="116">
        <v>785</v>
      </c>
      <c r="F71" s="116">
        <v>786.95</v>
      </c>
      <c r="G71">
        <v>2350</v>
      </c>
      <c r="H71" s="116"/>
      <c r="I71" s="116"/>
      <c r="L71" s="170">
        <v>42734</v>
      </c>
      <c r="M71" s="116">
        <v>787.9</v>
      </c>
      <c r="N71" s="116">
        <v>800</v>
      </c>
      <c r="O71" s="116">
        <v>779.95</v>
      </c>
      <c r="P71" s="116">
        <v>787</v>
      </c>
      <c r="Q71" s="116">
        <v>787.9</v>
      </c>
      <c r="R71">
        <v>13003</v>
      </c>
    </row>
    <row r="72" spans="1:18" x14ac:dyDescent="0.25">
      <c r="A72" s="170">
        <v>42737</v>
      </c>
      <c r="B72" s="116">
        <v>804.95</v>
      </c>
      <c r="C72" s="116">
        <v>796.45</v>
      </c>
      <c r="D72" s="116">
        <v>781</v>
      </c>
      <c r="E72" s="116">
        <v>789.35</v>
      </c>
      <c r="F72" s="116">
        <v>796.45</v>
      </c>
      <c r="G72">
        <v>2096</v>
      </c>
      <c r="H72" s="116"/>
      <c r="I72" s="116"/>
      <c r="L72" s="170">
        <v>42737</v>
      </c>
      <c r="M72" s="116">
        <v>805.3</v>
      </c>
      <c r="N72" s="116">
        <v>809.8</v>
      </c>
      <c r="O72" s="116">
        <v>780.1</v>
      </c>
      <c r="P72" s="116">
        <v>799</v>
      </c>
      <c r="Q72" s="116">
        <v>805.3</v>
      </c>
      <c r="R72">
        <v>14651</v>
      </c>
    </row>
    <row r="73" spans="1:18" x14ac:dyDescent="0.25">
      <c r="A73" s="170">
        <v>42738</v>
      </c>
      <c r="B73" s="116">
        <v>810</v>
      </c>
      <c r="C73" s="116">
        <v>807.65</v>
      </c>
      <c r="D73" s="116">
        <v>797.3</v>
      </c>
      <c r="E73" s="116">
        <v>800.5</v>
      </c>
      <c r="F73" s="116">
        <v>807.65</v>
      </c>
      <c r="G73">
        <v>2738</v>
      </c>
      <c r="H73" s="116"/>
      <c r="I73" s="116"/>
      <c r="L73" s="170">
        <v>42738</v>
      </c>
      <c r="M73" s="116">
        <v>810.15</v>
      </c>
      <c r="N73" s="116">
        <v>812</v>
      </c>
      <c r="O73" s="116">
        <v>792.2</v>
      </c>
      <c r="P73" s="116">
        <v>792.2</v>
      </c>
      <c r="Q73" s="116">
        <v>810.15</v>
      </c>
      <c r="R73">
        <v>11705</v>
      </c>
    </row>
    <row r="74" spans="1:18" x14ac:dyDescent="0.25">
      <c r="A74" s="170">
        <v>42739</v>
      </c>
      <c r="B74" s="116">
        <v>815</v>
      </c>
      <c r="C74" s="116">
        <v>811.55</v>
      </c>
      <c r="D74" s="116">
        <v>805.1</v>
      </c>
      <c r="E74" s="116">
        <v>808</v>
      </c>
      <c r="F74" s="116">
        <v>811.55</v>
      </c>
      <c r="G74">
        <v>5516</v>
      </c>
      <c r="H74" s="116"/>
      <c r="I74" s="116"/>
      <c r="L74" s="170">
        <v>42739</v>
      </c>
      <c r="M74" s="116">
        <v>807.75</v>
      </c>
      <c r="N74" s="116">
        <v>813.5</v>
      </c>
      <c r="O74" s="116">
        <v>805.05</v>
      </c>
      <c r="P74" s="116">
        <v>811.3</v>
      </c>
      <c r="Q74" s="116">
        <v>807.75</v>
      </c>
      <c r="R74">
        <v>13327</v>
      </c>
    </row>
    <row r="75" spans="1:18" x14ac:dyDescent="0.25">
      <c r="A75" s="170">
        <v>42740</v>
      </c>
      <c r="B75" s="116">
        <v>817.5</v>
      </c>
      <c r="C75" s="116">
        <v>812.15</v>
      </c>
      <c r="D75" s="116">
        <v>805.3</v>
      </c>
      <c r="E75" s="116">
        <v>808</v>
      </c>
      <c r="F75" s="116">
        <v>812.15</v>
      </c>
      <c r="G75">
        <v>50768</v>
      </c>
      <c r="H75" s="116"/>
      <c r="I75" s="116"/>
      <c r="L75" s="170">
        <v>42740</v>
      </c>
      <c r="M75" s="116">
        <v>809.85</v>
      </c>
      <c r="N75" s="116">
        <v>815</v>
      </c>
      <c r="O75" s="116">
        <v>805</v>
      </c>
      <c r="P75" s="116">
        <v>812.5</v>
      </c>
      <c r="Q75" s="116">
        <v>809.85</v>
      </c>
      <c r="R75">
        <v>20554</v>
      </c>
    </row>
    <row r="76" spans="1:18" x14ac:dyDescent="0.25">
      <c r="A76" s="170">
        <v>42741</v>
      </c>
      <c r="B76" s="116">
        <v>817.5</v>
      </c>
      <c r="C76" s="116">
        <v>812.85</v>
      </c>
      <c r="D76" s="116">
        <v>806.5</v>
      </c>
      <c r="E76" s="116">
        <v>810.25</v>
      </c>
      <c r="F76" s="116">
        <v>812.85</v>
      </c>
      <c r="G76">
        <v>5176</v>
      </c>
      <c r="H76" s="116"/>
      <c r="I76" s="116"/>
      <c r="L76" s="170">
        <v>42741</v>
      </c>
      <c r="M76" s="116">
        <v>804</v>
      </c>
      <c r="N76" s="116">
        <v>812.95</v>
      </c>
      <c r="O76" s="116">
        <v>801.05</v>
      </c>
      <c r="P76" s="116">
        <v>804.5</v>
      </c>
      <c r="Q76" s="116">
        <v>804</v>
      </c>
      <c r="R76">
        <v>46621</v>
      </c>
    </row>
    <row r="77" spans="1:18" x14ac:dyDescent="0.25">
      <c r="A77" s="170">
        <v>42744</v>
      </c>
      <c r="B77" s="116">
        <v>818.9</v>
      </c>
      <c r="C77" s="116">
        <v>817.3</v>
      </c>
      <c r="D77" s="116">
        <v>803</v>
      </c>
      <c r="E77" s="116">
        <v>810</v>
      </c>
      <c r="F77" s="116">
        <v>817.3</v>
      </c>
      <c r="G77">
        <v>2135</v>
      </c>
      <c r="H77" s="116"/>
      <c r="I77" s="116"/>
      <c r="L77" s="170">
        <v>42744</v>
      </c>
      <c r="M77" s="116">
        <v>818.05</v>
      </c>
      <c r="N77" s="116">
        <v>819.95</v>
      </c>
      <c r="O77" s="116">
        <v>802</v>
      </c>
      <c r="P77" s="116">
        <v>808.5</v>
      </c>
      <c r="Q77" s="116">
        <v>818.05</v>
      </c>
      <c r="R77">
        <v>10809</v>
      </c>
    </row>
    <row r="78" spans="1:18" x14ac:dyDescent="0.25">
      <c r="A78" s="170">
        <v>42745</v>
      </c>
      <c r="B78" s="116">
        <v>816.15</v>
      </c>
      <c r="C78" s="116">
        <v>807.05</v>
      </c>
      <c r="D78" s="116">
        <v>805</v>
      </c>
      <c r="E78" s="116">
        <v>810</v>
      </c>
      <c r="F78" s="116">
        <v>807.05</v>
      </c>
      <c r="G78">
        <v>1113</v>
      </c>
      <c r="H78" s="116"/>
      <c r="I78" s="116"/>
      <c r="L78" s="170">
        <v>42745</v>
      </c>
      <c r="M78" s="116">
        <v>804.5</v>
      </c>
      <c r="N78" s="116">
        <v>819.4</v>
      </c>
      <c r="O78" s="116">
        <v>800.35</v>
      </c>
      <c r="P78" s="116">
        <v>814.25</v>
      </c>
      <c r="Q78" s="116">
        <v>804.5</v>
      </c>
      <c r="R78">
        <v>15368</v>
      </c>
    </row>
    <row r="79" spans="1:18" x14ac:dyDescent="0.25">
      <c r="A79" s="170">
        <v>42746</v>
      </c>
      <c r="B79" s="116">
        <v>811.4</v>
      </c>
      <c r="C79" s="116">
        <v>804.7</v>
      </c>
      <c r="D79" s="116">
        <v>800</v>
      </c>
      <c r="E79" s="116">
        <v>805</v>
      </c>
      <c r="F79" s="116">
        <v>804.7</v>
      </c>
      <c r="G79">
        <v>2077</v>
      </c>
      <c r="H79" s="116"/>
      <c r="I79" s="116"/>
      <c r="L79" s="170">
        <v>42746</v>
      </c>
      <c r="M79" s="116">
        <v>804.45</v>
      </c>
      <c r="N79" s="116">
        <v>812</v>
      </c>
      <c r="O79" s="116">
        <v>800.05</v>
      </c>
      <c r="P79" s="116">
        <v>804.5</v>
      </c>
      <c r="Q79" s="116">
        <v>804.45</v>
      </c>
      <c r="R79">
        <v>8370</v>
      </c>
    </row>
    <row r="80" spans="1:18" x14ac:dyDescent="0.25">
      <c r="A80" s="170">
        <v>42747</v>
      </c>
      <c r="B80" s="116">
        <v>808</v>
      </c>
      <c r="C80" s="116">
        <v>806.5</v>
      </c>
      <c r="D80" s="116">
        <v>800.3</v>
      </c>
      <c r="E80" s="116">
        <v>805</v>
      </c>
      <c r="F80" s="116">
        <v>806.5</v>
      </c>
      <c r="G80">
        <v>1032</v>
      </c>
      <c r="H80" s="116"/>
      <c r="I80" s="116"/>
      <c r="L80" s="170">
        <v>42747</v>
      </c>
      <c r="M80" s="116">
        <v>805.5</v>
      </c>
      <c r="N80" s="116">
        <v>811.85</v>
      </c>
      <c r="O80" s="116">
        <v>802</v>
      </c>
      <c r="P80" s="116">
        <v>809.1</v>
      </c>
      <c r="Q80" s="116">
        <v>805.5</v>
      </c>
      <c r="R80">
        <v>6951</v>
      </c>
    </row>
    <row r="81" spans="1:18" x14ac:dyDescent="0.25">
      <c r="A81" s="170">
        <v>42748</v>
      </c>
      <c r="B81" s="116">
        <v>812.15</v>
      </c>
      <c r="C81" s="116">
        <v>808.35</v>
      </c>
      <c r="D81" s="116">
        <v>803.75</v>
      </c>
      <c r="E81" s="116">
        <v>804</v>
      </c>
      <c r="F81" s="116">
        <v>808.35</v>
      </c>
      <c r="G81">
        <v>1147</v>
      </c>
      <c r="H81" s="116"/>
      <c r="I81" s="116"/>
      <c r="L81" s="170">
        <v>42748</v>
      </c>
      <c r="M81" s="116">
        <v>811.1</v>
      </c>
      <c r="N81" s="116">
        <v>815</v>
      </c>
      <c r="O81" s="116">
        <v>803</v>
      </c>
      <c r="P81" s="116">
        <v>803</v>
      </c>
      <c r="Q81" s="116">
        <v>811.1</v>
      </c>
      <c r="R81">
        <v>10413</v>
      </c>
    </row>
    <row r="82" spans="1:18" x14ac:dyDescent="0.25">
      <c r="A82" s="170">
        <v>42751</v>
      </c>
      <c r="B82" s="116">
        <v>814.25</v>
      </c>
      <c r="C82" s="116">
        <v>808.25</v>
      </c>
      <c r="D82" s="116">
        <v>802.9</v>
      </c>
      <c r="E82" s="116">
        <v>810.9</v>
      </c>
      <c r="F82" s="116">
        <v>808.25</v>
      </c>
      <c r="G82">
        <v>1168</v>
      </c>
      <c r="H82" s="116"/>
      <c r="I82" s="116"/>
      <c r="L82" s="170">
        <v>42751</v>
      </c>
      <c r="M82" s="116">
        <v>816.8</v>
      </c>
      <c r="N82" s="116">
        <v>819.9</v>
      </c>
      <c r="O82" s="116">
        <v>803</v>
      </c>
      <c r="P82" s="116">
        <v>805</v>
      </c>
      <c r="Q82" s="116">
        <v>816.8</v>
      </c>
      <c r="R82">
        <v>9245</v>
      </c>
    </row>
    <row r="83" spans="1:18" x14ac:dyDescent="0.25">
      <c r="A83" s="170">
        <v>42752</v>
      </c>
      <c r="B83" s="116">
        <v>816.35</v>
      </c>
      <c r="C83" s="116">
        <v>812.8</v>
      </c>
      <c r="D83" s="116">
        <v>806.4</v>
      </c>
      <c r="E83" s="116">
        <v>814.5</v>
      </c>
      <c r="F83" s="116">
        <v>812.8</v>
      </c>
      <c r="G83">
        <v>1348</v>
      </c>
      <c r="H83" s="116"/>
      <c r="I83" s="116"/>
      <c r="L83" s="170">
        <v>42752</v>
      </c>
      <c r="M83" s="116">
        <v>814.8</v>
      </c>
      <c r="N83" s="116">
        <v>819.9</v>
      </c>
      <c r="O83" s="116">
        <v>806</v>
      </c>
      <c r="P83" s="116">
        <v>817</v>
      </c>
      <c r="Q83" s="116">
        <v>814.8</v>
      </c>
      <c r="R83">
        <v>9263</v>
      </c>
    </row>
    <row r="84" spans="1:18" x14ac:dyDescent="0.25">
      <c r="A84" s="170">
        <v>42753</v>
      </c>
      <c r="B84" s="116">
        <v>822.5</v>
      </c>
      <c r="C84" s="116">
        <v>819</v>
      </c>
      <c r="D84" s="116">
        <v>807.25</v>
      </c>
      <c r="E84" s="116">
        <v>815</v>
      </c>
      <c r="F84" s="116">
        <v>819</v>
      </c>
      <c r="G84">
        <v>1644</v>
      </c>
      <c r="H84" s="116"/>
      <c r="I84" s="116"/>
      <c r="L84" s="170">
        <v>42753</v>
      </c>
      <c r="M84" s="116">
        <v>824.1</v>
      </c>
      <c r="N84" s="116">
        <v>834.9</v>
      </c>
      <c r="O84" s="116">
        <v>806.55</v>
      </c>
      <c r="P84" s="116">
        <v>814.9</v>
      </c>
      <c r="Q84" s="116">
        <v>824.1</v>
      </c>
      <c r="R84">
        <v>11203</v>
      </c>
    </row>
    <row r="85" spans="1:18" x14ac:dyDescent="0.25">
      <c r="A85" s="170">
        <v>42754</v>
      </c>
      <c r="B85" s="116">
        <v>827.5</v>
      </c>
      <c r="C85" s="116">
        <v>824.15</v>
      </c>
      <c r="D85" s="116">
        <v>817.5</v>
      </c>
      <c r="E85" s="116">
        <v>822.5</v>
      </c>
      <c r="F85" s="116">
        <v>824.15</v>
      </c>
      <c r="G85">
        <v>2303</v>
      </c>
      <c r="H85" s="116"/>
      <c r="I85" s="116"/>
      <c r="L85" s="170">
        <v>42754</v>
      </c>
      <c r="M85" s="116">
        <v>827.75</v>
      </c>
      <c r="N85" s="116">
        <v>839.95</v>
      </c>
      <c r="O85" s="116">
        <v>815</v>
      </c>
      <c r="P85" s="116">
        <v>827.5</v>
      </c>
      <c r="Q85" s="116">
        <v>827.75</v>
      </c>
      <c r="R85">
        <v>14302</v>
      </c>
    </row>
    <row r="86" spans="1:18" x14ac:dyDescent="0.25">
      <c r="A86" s="170">
        <v>42755</v>
      </c>
      <c r="B86" s="116">
        <v>840.05</v>
      </c>
      <c r="C86" s="116">
        <v>834.5</v>
      </c>
      <c r="D86" s="116">
        <v>825.1</v>
      </c>
      <c r="E86" s="116">
        <v>828.95</v>
      </c>
      <c r="F86" s="116">
        <v>834.5</v>
      </c>
      <c r="G86">
        <v>4588</v>
      </c>
      <c r="H86" s="116"/>
      <c r="I86" s="116"/>
      <c r="L86" s="170">
        <v>42755</v>
      </c>
      <c r="M86" s="116">
        <v>839.35</v>
      </c>
      <c r="N86" s="116">
        <v>849</v>
      </c>
      <c r="O86" s="116">
        <v>825.5</v>
      </c>
      <c r="P86" s="116">
        <v>830.05</v>
      </c>
      <c r="Q86" s="116">
        <v>839.35</v>
      </c>
      <c r="R86">
        <v>19083</v>
      </c>
    </row>
    <row r="87" spans="1:18" x14ac:dyDescent="0.25">
      <c r="A87" s="170">
        <v>42758</v>
      </c>
      <c r="B87" s="116">
        <v>839.95</v>
      </c>
      <c r="C87" s="116">
        <v>831.8</v>
      </c>
      <c r="D87" s="116">
        <v>817</v>
      </c>
      <c r="E87" s="116">
        <v>835</v>
      </c>
      <c r="F87" s="116">
        <v>831.8</v>
      </c>
      <c r="G87">
        <v>8701</v>
      </c>
      <c r="H87" s="116"/>
      <c r="I87" s="116"/>
      <c r="L87" s="170">
        <v>42758</v>
      </c>
      <c r="M87" s="116">
        <v>838.8</v>
      </c>
      <c r="N87" s="116">
        <v>844.95</v>
      </c>
      <c r="O87" s="116">
        <v>813</v>
      </c>
      <c r="P87" s="116">
        <v>813</v>
      </c>
      <c r="Q87" s="116">
        <v>838.8</v>
      </c>
      <c r="R87">
        <v>29138</v>
      </c>
    </row>
    <row r="88" spans="1:18" x14ac:dyDescent="0.25">
      <c r="A88" s="170">
        <v>42759</v>
      </c>
      <c r="B88" s="116">
        <v>837.5</v>
      </c>
      <c r="C88" s="116">
        <v>831.7</v>
      </c>
      <c r="D88" s="116">
        <v>827.5</v>
      </c>
      <c r="E88" s="116">
        <v>833</v>
      </c>
      <c r="F88" s="116">
        <v>831.7</v>
      </c>
      <c r="G88">
        <v>2970</v>
      </c>
      <c r="H88" s="116"/>
      <c r="I88" s="116"/>
      <c r="L88" s="170">
        <v>42759</v>
      </c>
      <c r="M88" s="116">
        <v>836.4</v>
      </c>
      <c r="N88" s="116">
        <v>840.05</v>
      </c>
      <c r="O88" s="116">
        <v>825.05</v>
      </c>
      <c r="P88" s="116">
        <v>838</v>
      </c>
      <c r="Q88" s="116">
        <v>836.4</v>
      </c>
      <c r="R88">
        <v>21592</v>
      </c>
    </row>
    <row r="89" spans="1:18" x14ac:dyDescent="0.25">
      <c r="A89" s="170">
        <v>42760</v>
      </c>
      <c r="B89" s="116">
        <v>842.5</v>
      </c>
      <c r="C89" s="116">
        <v>838.6</v>
      </c>
      <c r="D89" s="116">
        <v>830.05</v>
      </c>
      <c r="E89" s="116">
        <v>830.05</v>
      </c>
      <c r="F89" s="116">
        <v>838.6</v>
      </c>
      <c r="G89">
        <v>4233</v>
      </c>
      <c r="H89" s="116"/>
      <c r="I89" s="116"/>
      <c r="L89" s="170">
        <v>42760</v>
      </c>
      <c r="M89" s="116">
        <v>847.4</v>
      </c>
      <c r="N89" s="116">
        <v>849.95</v>
      </c>
      <c r="O89" s="116">
        <v>826</v>
      </c>
      <c r="P89" s="116">
        <v>826</v>
      </c>
      <c r="Q89" s="116">
        <v>847.4</v>
      </c>
      <c r="R89">
        <v>41946</v>
      </c>
    </row>
    <row r="90" spans="1:18" x14ac:dyDescent="0.25">
      <c r="A90" s="170">
        <v>42762</v>
      </c>
      <c r="B90" s="116">
        <v>842.5</v>
      </c>
      <c r="C90" s="116">
        <v>834.1</v>
      </c>
      <c r="D90" s="116">
        <v>832.5</v>
      </c>
      <c r="E90" s="116">
        <v>839.95</v>
      </c>
      <c r="F90" s="116">
        <v>834.1</v>
      </c>
      <c r="G90">
        <v>2976</v>
      </c>
      <c r="H90" s="116"/>
      <c r="I90" s="116"/>
      <c r="L90" s="170">
        <v>42762</v>
      </c>
      <c r="M90" s="116">
        <v>834.5</v>
      </c>
      <c r="N90" s="116">
        <v>844.95</v>
      </c>
      <c r="O90" s="116">
        <v>827.5</v>
      </c>
      <c r="P90" s="116">
        <v>842.5</v>
      </c>
      <c r="Q90" s="116">
        <v>834.5</v>
      </c>
      <c r="R90">
        <v>18886</v>
      </c>
    </row>
    <row r="91" spans="1:18" x14ac:dyDescent="0.25">
      <c r="A91" s="170">
        <v>42765</v>
      </c>
      <c r="B91" s="116">
        <v>849.9</v>
      </c>
      <c r="C91" s="116">
        <v>841.1</v>
      </c>
      <c r="D91" s="116">
        <v>827.5</v>
      </c>
      <c r="E91" s="116">
        <v>832.5</v>
      </c>
      <c r="F91" s="116">
        <v>841.1</v>
      </c>
      <c r="G91">
        <v>3409</v>
      </c>
      <c r="H91" s="116"/>
      <c r="I91" s="116"/>
      <c r="L91" s="170">
        <v>42765</v>
      </c>
      <c r="M91" s="116">
        <v>845.85</v>
      </c>
      <c r="N91" s="116">
        <v>872.5</v>
      </c>
      <c r="O91" s="116">
        <v>828</v>
      </c>
      <c r="P91" s="116">
        <v>834.95</v>
      </c>
      <c r="Q91" s="116">
        <v>845.85</v>
      </c>
      <c r="R91">
        <v>40526</v>
      </c>
    </row>
    <row r="92" spans="1:18" x14ac:dyDescent="0.25">
      <c r="A92" s="170">
        <v>42766</v>
      </c>
      <c r="B92" s="116">
        <v>855</v>
      </c>
      <c r="C92" s="116">
        <v>838.7</v>
      </c>
      <c r="D92" s="116">
        <v>782</v>
      </c>
      <c r="E92" s="116">
        <v>842.5</v>
      </c>
      <c r="F92" s="116">
        <v>838.7</v>
      </c>
      <c r="G92">
        <v>4183</v>
      </c>
      <c r="H92" s="116"/>
      <c r="I92" s="116"/>
      <c r="L92" s="170">
        <v>42766</v>
      </c>
      <c r="M92" s="116">
        <v>837.7</v>
      </c>
      <c r="N92" s="116">
        <v>854.75</v>
      </c>
      <c r="O92" s="116">
        <v>825</v>
      </c>
      <c r="P92" s="116">
        <v>850.1</v>
      </c>
      <c r="Q92" s="116">
        <v>837.7</v>
      </c>
      <c r="R92">
        <v>32861</v>
      </c>
    </row>
    <row r="93" spans="1:18" x14ac:dyDescent="0.25">
      <c r="A93" s="170">
        <v>42767</v>
      </c>
      <c r="B93" s="116">
        <v>838.1</v>
      </c>
      <c r="C93" s="116">
        <v>829.75</v>
      </c>
      <c r="D93" s="116">
        <v>811</v>
      </c>
      <c r="E93" s="116">
        <v>835</v>
      </c>
      <c r="F93" s="116">
        <v>829.75</v>
      </c>
      <c r="G93">
        <v>4249</v>
      </c>
      <c r="H93" s="116"/>
      <c r="I93" s="116"/>
      <c r="L93" s="170">
        <v>42767</v>
      </c>
      <c r="M93" s="116">
        <v>837.05</v>
      </c>
      <c r="N93" s="116">
        <v>845</v>
      </c>
      <c r="O93" s="116">
        <v>815.05</v>
      </c>
      <c r="P93" s="116">
        <v>830.05</v>
      </c>
      <c r="Q93" s="116">
        <v>837.05</v>
      </c>
      <c r="R93">
        <v>40962</v>
      </c>
    </row>
    <row r="94" spans="1:18" x14ac:dyDescent="0.25">
      <c r="A94" s="170">
        <v>42768</v>
      </c>
      <c r="B94" s="116">
        <v>838</v>
      </c>
      <c r="C94" s="116">
        <v>828.85</v>
      </c>
      <c r="D94" s="116">
        <v>815</v>
      </c>
      <c r="E94" s="116">
        <v>836.55</v>
      </c>
      <c r="F94" s="116">
        <v>828.85</v>
      </c>
      <c r="G94">
        <v>5645</v>
      </c>
      <c r="H94" s="116"/>
      <c r="I94" s="116"/>
      <c r="L94" s="170">
        <v>42768</v>
      </c>
      <c r="M94" s="116">
        <v>840.55</v>
      </c>
      <c r="N94" s="116">
        <v>845.85</v>
      </c>
      <c r="O94" s="116">
        <v>828.1</v>
      </c>
      <c r="P94" s="116">
        <v>837</v>
      </c>
      <c r="Q94" s="116">
        <v>840.55</v>
      </c>
      <c r="R94">
        <v>31098</v>
      </c>
    </row>
    <row r="95" spans="1:18" x14ac:dyDescent="0.25">
      <c r="A95" s="170">
        <v>42769</v>
      </c>
      <c r="B95" s="116">
        <v>833.65</v>
      </c>
      <c r="C95" s="116">
        <v>821.4</v>
      </c>
      <c r="D95" s="116">
        <v>815.05</v>
      </c>
      <c r="E95" s="116">
        <v>833.65</v>
      </c>
      <c r="F95" s="116">
        <v>821.4</v>
      </c>
      <c r="G95">
        <v>2029</v>
      </c>
      <c r="H95" s="116"/>
      <c r="I95" s="116"/>
      <c r="L95" s="170">
        <v>42769</v>
      </c>
      <c r="M95" s="116">
        <v>821.5</v>
      </c>
      <c r="N95" s="116">
        <v>839.8</v>
      </c>
      <c r="O95" s="116">
        <v>814.3</v>
      </c>
      <c r="P95" s="116">
        <v>836</v>
      </c>
      <c r="Q95" s="116">
        <v>821.5</v>
      </c>
      <c r="R95">
        <v>29530</v>
      </c>
    </row>
    <row r="96" spans="1:18" x14ac:dyDescent="0.25">
      <c r="A96" s="170">
        <v>42772</v>
      </c>
      <c r="B96" s="116">
        <v>823.5</v>
      </c>
      <c r="C96" s="116">
        <v>816.85</v>
      </c>
      <c r="D96" s="116">
        <v>814.3</v>
      </c>
      <c r="E96" s="116">
        <v>822</v>
      </c>
      <c r="F96" s="116">
        <v>816.85</v>
      </c>
      <c r="G96">
        <v>1309</v>
      </c>
      <c r="H96" s="116"/>
      <c r="I96" s="116"/>
      <c r="L96" s="170">
        <v>42772</v>
      </c>
      <c r="M96" s="116">
        <v>818.15</v>
      </c>
      <c r="N96" s="116">
        <v>824.9</v>
      </c>
      <c r="O96" s="116">
        <v>814.3</v>
      </c>
      <c r="P96" s="116">
        <v>817</v>
      </c>
      <c r="Q96" s="116">
        <v>818.15</v>
      </c>
      <c r="R96">
        <v>21670</v>
      </c>
    </row>
    <row r="97" spans="1:18" x14ac:dyDescent="0.25">
      <c r="A97" s="170">
        <v>42773</v>
      </c>
      <c r="B97" s="116">
        <v>817.15</v>
      </c>
      <c r="C97" s="116">
        <v>799.45</v>
      </c>
      <c r="D97" s="116">
        <v>795.05</v>
      </c>
      <c r="E97" s="116">
        <v>816.7</v>
      </c>
      <c r="F97" s="116">
        <v>799.45</v>
      </c>
      <c r="G97">
        <v>2712</v>
      </c>
      <c r="H97" s="116"/>
      <c r="I97" s="116"/>
      <c r="L97" s="170">
        <v>42773</v>
      </c>
      <c r="M97" s="116">
        <v>798.85</v>
      </c>
      <c r="N97" s="116">
        <v>818.3</v>
      </c>
      <c r="O97" s="116">
        <v>795.1</v>
      </c>
      <c r="P97" s="116">
        <v>816.05</v>
      </c>
      <c r="Q97" s="116">
        <v>798.85</v>
      </c>
      <c r="R97">
        <v>24269</v>
      </c>
    </row>
    <row r="98" spans="1:18" x14ac:dyDescent="0.25">
      <c r="A98" s="170">
        <v>42774</v>
      </c>
      <c r="B98" s="116">
        <v>802.3</v>
      </c>
      <c r="C98" s="116">
        <v>793.9</v>
      </c>
      <c r="D98" s="116">
        <v>792</v>
      </c>
      <c r="E98" s="116">
        <v>802.3</v>
      </c>
      <c r="F98" s="116">
        <v>793.9</v>
      </c>
      <c r="G98">
        <v>1613</v>
      </c>
      <c r="H98" s="116"/>
      <c r="I98" s="116"/>
      <c r="L98" s="170">
        <v>42774</v>
      </c>
      <c r="M98" s="116">
        <v>797.45</v>
      </c>
      <c r="N98" s="116">
        <v>800</v>
      </c>
      <c r="O98" s="116">
        <v>795.7</v>
      </c>
      <c r="P98" s="116">
        <v>799.05</v>
      </c>
      <c r="Q98" s="116">
        <v>797.45</v>
      </c>
      <c r="R98">
        <v>15466</v>
      </c>
    </row>
    <row r="99" spans="1:18" x14ac:dyDescent="0.25">
      <c r="A99" s="170">
        <v>42775</v>
      </c>
      <c r="B99" s="116">
        <v>809.25</v>
      </c>
      <c r="C99" s="116">
        <v>804.5</v>
      </c>
      <c r="D99" s="116">
        <v>795.5</v>
      </c>
      <c r="E99" s="116">
        <v>799.45</v>
      </c>
      <c r="F99" s="116">
        <v>804.5</v>
      </c>
      <c r="G99">
        <v>1459</v>
      </c>
      <c r="H99" s="116"/>
      <c r="I99" s="116"/>
      <c r="L99" s="170">
        <v>42775</v>
      </c>
      <c r="M99" s="116">
        <v>799.3</v>
      </c>
      <c r="N99" s="116">
        <v>804.95</v>
      </c>
      <c r="O99" s="116">
        <v>792</v>
      </c>
      <c r="P99" s="116">
        <v>804.95</v>
      </c>
      <c r="Q99" s="116">
        <v>799.3</v>
      </c>
      <c r="R99">
        <v>13599</v>
      </c>
    </row>
    <row r="100" spans="1:18" x14ac:dyDescent="0.25">
      <c r="A100" s="170">
        <v>42776</v>
      </c>
      <c r="B100" s="116">
        <v>801.45</v>
      </c>
      <c r="C100" s="116">
        <v>799.25</v>
      </c>
      <c r="D100" s="116">
        <v>792</v>
      </c>
      <c r="E100" s="116">
        <v>797</v>
      </c>
      <c r="F100" s="116">
        <v>799.25</v>
      </c>
      <c r="G100">
        <v>1031</v>
      </c>
      <c r="H100" s="116"/>
      <c r="I100" s="116"/>
      <c r="L100" s="170">
        <v>42776</v>
      </c>
      <c r="M100" s="116">
        <v>799.25</v>
      </c>
      <c r="N100" s="116">
        <v>804.95</v>
      </c>
      <c r="O100" s="116">
        <v>790</v>
      </c>
      <c r="P100" s="116">
        <v>804.95</v>
      </c>
      <c r="Q100" s="116">
        <v>799.25</v>
      </c>
      <c r="R100">
        <v>11890</v>
      </c>
    </row>
    <row r="101" spans="1:18" x14ac:dyDescent="0.25">
      <c r="A101" s="170">
        <v>42779</v>
      </c>
      <c r="B101" s="116">
        <v>805.95</v>
      </c>
      <c r="C101" s="116">
        <v>790.95</v>
      </c>
      <c r="D101" s="116">
        <v>790</v>
      </c>
      <c r="E101" s="116">
        <v>799.5</v>
      </c>
      <c r="F101" s="116">
        <v>790.95</v>
      </c>
      <c r="G101">
        <v>1469</v>
      </c>
      <c r="H101" s="116"/>
      <c r="I101" s="116"/>
      <c r="L101" s="170">
        <v>42779</v>
      </c>
      <c r="M101" s="116">
        <v>791.45</v>
      </c>
      <c r="N101" s="116">
        <v>806.6</v>
      </c>
      <c r="O101" s="116">
        <v>790</v>
      </c>
      <c r="P101" s="116">
        <v>806.6</v>
      </c>
      <c r="Q101" s="116">
        <v>791.45</v>
      </c>
      <c r="R101">
        <v>8410</v>
      </c>
    </row>
    <row r="102" spans="1:18" x14ac:dyDescent="0.25">
      <c r="A102" s="170">
        <v>42780</v>
      </c>
      <c r="B102" s="116">
        <v>799</v>
      </c>
      <c r="C102" s="116">
        <v>794.45</v>
      </c>
      <c r="D102" s="116">
        <v>790</v>
      </c>
      <c r="E102" s="116">
        <v>790.95</v>
      </c>
      <c r="F102" s="116">
        <v>794.45</v>
      </c>
      <c r="G102">
        <v>1311</v>
      </c>
      <c r="H102" s="116"/>
      <c r="I102" s="116"/>
      <c r="L102" s="170">
        <v>42780</v>
      </c>
      <c r="M102" s="116">
        <v>792.25</v>
      </c>
      <c r="N102" s="116">
        <v>798.9</v>
      </c>
      <c r="O102" s="116">
        <v>790</v>
      </c>
      <c r="P102" s="116">
        <v>794.95</v>
      </c>
      <c r="Q102" s="116">
        <v>792.25</v>
      </c>
      <c r="R102">
        <v>11724</v>
      </c>
    </row>
    <row r="103" spans="1:18" x14ac:dyDescent="0.25">
      <c r="A103" s="170">
        <v>42781</v>
      </c>
      <c r="B103" s="116">
        <v>794.25</v>
      </c>
      <c r="C103" s="116">
        <v>787.6</v>
      </c>
      <c r="D103" s="116">
        <v>785.05</v>
      </c>
      <c r="E103" s="116">
        <v>790.55</v>
      </c>
      <c r="F103" s="116">
        <v>787.6</v>
      </c>
      <c r="G103">
        <v>1409</v>
      </c>
      <c r="H103" s="116"/>
      <c r="I103" s="116"/>
      <c r="L103" s="170">
        <v>42781</v>
      </c>
      <c r="M103" s="116">
        <v>785.2</v>
      </c>
      <c r="N103" s="116">
        <v>793.95</v>
      </c>
      <c r="O103" s="116">
        <v>780.05</v>
      </c>
      <c r="P103" s="116">
        <v>793</v>
      </c>
      <c r="Q103" s="116">
        <v>785.2</v>
      </c>
      <c r="R103">
        <v>24886</v>
      </c>
    </row>
    <row r="104" spans="1:18" x14ac:dyDescent="0.25">
      <c r="A104" s="170">
        <v>42782</v>
      </c>
      <c r="B104" s="116">
        <v>802.5</v>
      </c>
      <c r="C104" s="116">
        <v>789.35</v>
      </c>
      <c r="D104" s="116">
        <v>784.5</v>
      </c>
      <c r="E104" s="116">
        <v>785.35</v>
      </c>
      <c r="F104" s="116">
        <v>789.35</v>
      </c>
      <c r="G104">
        <v>1461</v>
      </c>
      <c r="H104" s="116"/>
      <c r="I104" s="116"/>
      <c r="L104" s="170">
        <v>42782</v>
      </c>
      <c r="M104" s="116">
        <v>789.7</v>
      </c>
      <c r="N104" s="116">
        <v>800</v>
      </c>
      <c r="O104" s="116">
        <v>781.5</v>
      </c>
      <c r="P104" s="116">
        <v>781.5</v>
      </c>
      <c r="Q104" s="116">
        <v>789.7</v>
      </c>
      <c r="R104">
        <v>20258</v>
      </c>
    </row>
    <row r="105" spans="1:18" x14ac:dyDescent="0.25">
      <c r="A105" s="170">
        <v>42783</v>
      </c>
      <c r="B105" s="116">
        <v>791.2</v>
      </c>
      <c r="C105" s="116">
        <v>788.7</v>
      </c>
      <c r="D105" s="116">
        <v>786.5</v>
      </c>
      <c r="E105" s="116">
        <v>791.2</v>
      </c>
      <c r="F105" s="116">
        <v>788.7</v>
      </c>
      <c r="G105">
        <v>873</v>
      </c>
      <c r="H105" s="116"/>
      <c r="I105" s="116"/>
      <c r="L105" s="170">
        <v>42783</v>
      </c>
      <c r="M105" s="116">
        <v>787.15</v>
      </c>
      <c r="N105" s="116">
        <v>798</v>
      </c>
      <c r="O105" s="116">
        <v>786</v>
      </c>
      <c r="P105" s="116">
        <v>798</v>
      </c>
      <c r="Q105" s="116">
        <v>787.15</v>
      </c>
      <c r="R105">
        <v>7586</v>
      </c>
    </row>
    <row r="106" spans="1:18" x14ac:dyDescent="0.25">
      <c r="A106" s="170">
        <v>42786</v>
      </c>
      <c r="B106" s="116">
        <v>790.3</v>
      </c>
      <c r="C106" s="116">
        <v>784.45</v>
      </c>
      <c r="D106" s="116">
        <v>782</v>
      </c>
      <c r="E106" s="116">
        <v>790</v>
      </c>
      <c r="F106" s="116">
        <v>784.45</v>
      </c>
      <c r="G106">
        <v>1834</v>
      </c>
      <c r="H106" s="116"/>
      <c r="I106" s="116"/>
      <c r="L106" s="170">
        <v>42786</v>
      </c>
      <c r="M106" s="116">
        <v>783.65</v>
      </c>
      <c r="N106" s="116">
        <v>792.5</v>
      </c>
      <c r="O106" s="116">
        <v>781</v>
      </c>
      <c r="P106" s="116">
        <v>787</v>
      </c>
      <c r="Q106" s="116">
        <v>783.65</v>
      </c>
      <c r="R106">
        <v>12479</v>
      </c>
    </row>
    <row r="107" spans="1:18" x14ac:dyDescent="0.25">
      <c r="A107" s="170">
        <v>42787</v>
      </c>
      <c r="B107" s="116">
        <v>789.6</v>
      </c>
      <c r="C107" s="116">
        <v>779.65</v>
      </c>
      <c r="D107" s="116">
        <v>778.3</v>
      </c>
      <c r="E107" s="116">
        <v>784.05</v>
      </c>
      <c r="F107" s="116">
        <v>779.65</v>
      </c>
      <c r="G107">
        <v>3485</v>
      </c>
      <c r="H107" s="116"/>
      <c r="I107" s="116"/>
      <c r="L107" s="170">
        <v>42787</v>
      </c>
      <c r="M107" s="116">
        <v>779.05</v>
      </c>
      <c r="N107" s="116">
        <v>788</v>
      </c>
      <c r="O107" s="116">
        <v>775.05</v>
      </c>
      <c r="P107" s="116">
        <v>787.9</v>
      </c>
      <c r="Q107" s="116">
        <v>779.05</v>
      </c>
      <c r="R107">
        <v>14003</v>
      </c>
    </row>
    <row r="108" spans="1:18" x14ac:dyDescent="0.25">
      <c r="A108" s="170">
        <v>42788</v>
      </c>
      <c r="B108" s="116">
        <v>789</v>
      </c>
      <c r="C108" s="116">
        <v>779.2</v>
      </c>
      <c r="D108" s="116">
        <v>777.4</v>
      </c>
      <c r="E108" s="116">
        <v>777.4</v>
      </c>
      <c r="F108" s="116">
        <v>779.2</v>
      </c>
      <c r="G108">
        <v>2641</v>
      </c>
      <c r="H108" s="116"/>
      <c r="I108" s="116"/>
      <c r="L108" s="170">
        <v>42788</v>
      </c>
      <c r="M108" s="116">
        <v>779.45</v>
      </c>
      <c r="N108" s="116">
        <v>789</v>
      </c>
      <c r="O108" s="116">
        <v>777</v>
      </c>
      <c r="P108" s="116">
        <v>787.95</v>
      </c>
      <c r="Q108" s="116">
        <v>779.45</v>
      </c>
      <c r="R108">
        <v>13700</v>
      </c>
    </row>
    <row r="109" spans="1:18" x14ac:dyDescent="0.25">
      <c r="A109" s="170">
        <v>42789</v>
      </c>
      <c r="B109" s="116">
        <v>787.4</v>
      </c>
      <c r="C109" s="116">
        <v>779.6</v>
      </c>
      <c r="D109" s="116">
        <v>778</v>
      </c>
      <c r="E109" s="116">
        <v>787.4</v>
      </c>
      <c r="F109" s="116">
        <v>779.6</v>
      </c>
      <c r="G109">
        <v>1702</v>
      </c>
      <c r="H109" s="116"/>
      <c r="I109" s="116"/>
      <c r="L109" s="170">
        <v>42789</v>
      </c>
      <c r="M109" s="116">
        <v>777.6</v>
      </c>
      <c r="N109" s="116">
        <v>784.95</v>
      </c>
      <c r="O109" s="116">
        <v>775</v>
      </c>
      <c r="P109" s="116">
        <v>784.95</v>
      </c>
      <c r="Q109" s="116">
        <v>777.6</v>
      </c>
      <c r="R109">
        <v>26613</v>
      </c>
    </row>
    <row r="110" spans="1:18" x14ac:dyDescent="0.25">
      <c r="A110" s="170">
        <v>42793</v>
      </c>
      <c r="B110" s="116">
        <v>783</v>
      </c>
      <c r="C110" s="116">
        <v>771.95</v>
      </c>
      <c r="D110" s="116">
        <v>771</v>
      </c>
      <c r="E110" s="116">
        <v>779.6</v>
      </c>
      <c r="F110" s="116">
        <v>771.95</v>
      </c>
      <c r="G110">
        <v>2051</v>
      </c>
      <c r="H110" s="116"/>
      <c r="I110" s="116"/>
      <c r="L110" s="170">
        <v>42793</v>
      </c>
      <c r="M110" s="116">
        <v>775.4</v>
      </c>
      <c r="N110" s="116">
        <v>789.55</v>
      </c>
      <c r="O110" s="116">
        <v>773.1</v>
      </c>
      <c r="P110" s="116">
        <v>779.85</v>
      </c>
      <c r="Q110" s="116">
        <v>775.4</v>
      </c>
      <c r="R110">
        <v>65949</v>
      </c>
    </row>
    <row r="111" spans="1:18" x14ac:dyDescent="0.25">
      <c r="A111" s="170">
        <v>42794</v>
      </c>
      <c r="B111" s="116">
        <v>779.65</v>
      </c>
      <c r="C111" s="116">
        <v>772.2</v>
      </c>
      <c r="D111" s="116">
        <v>770.4</v>
      </c>
      <c r="E111" s="116">
        <v>779.45</v>
      </c>
      <c r="F111" s="116">
        <v>772.2</v>
      </c>
      <c r="G111">
        <v>1900</v>
      </c>
      <c r="H111" s="116"/>
      <c r="I111" s="116"/>
      <c r="L111" s="170">
        <v>42794</v>
      </c>
      <c r="M111" s="116">
        <v>773.5</v>
      </c>
      <c r="N111" s="116">
        <v>779.9</v>
      </c>
      <c r="O111" s="116">
        <v>770.2</v>
      </c>
      <c r="P111" s="116">
        <v>776</v>
      </c>
      <c r="Q111" s="116">
        <v>773.5</v>
      </c>
      <c r="R111">
        <v>10098</v>
      </c>
    </row>
    <row r="112" spans="1:18" x14ac:dyDescent="0.25">
      <c r="A112" s="170">
        <v>42795</v>
      </c>
      <c r="B112" s="116">
        <v>779.45</v>
      </c>
      <c r="C112" s="116">
        <v>775.75</v>
      </c>
      <c r="D112" s="116">
        <v>771.35</v>
      </c>
      <c r="E112" s="116">
        <v>777.65</v>
      </c>
      <c r="F112" s="116">
        <v>775.75</v>
      </c>
      <c r="G112">
        <v>2210</v>
      </c>
      <c r="H112" s="116"/>
      <c r="I112" s="116"/>
      <c r="L112" s="170">
        <v>42795</v>
      </c>
      <c r="M112" s="116">
        <v>774.25</v>
      </c>
      <c r="N112" s="116">
        <v>779.8</v>
      </c>
      <c r="O112" s="116">
        <v>770.5</v>
      </c>
      <c r="P112" s="116">
        <v>773.75</v>
      </c>
      <c r="Q112" s="116">
        <v>774.25</v>
      </c>
      <c r="R112">
        <v>13693</v>
      </c>
    </row>
    <row r="113" spans="1:18" x14ac:dyDescent="0.25">
      <c r="A113" s="170">
        <v>42796</v>
      </c>
      <c r="B113" s="116">
        <v>776</v>
      </c>
      <c r="C113" s="116">
        <v>773.05</v>
      </c>
      <c r="D113" s="116">
        <v>769.95</v>
      </c>
      <c r="E113" s="116">
        <v>774.45</v>
      </c>
      <c r="F113" s="116">
        <v>773.05</v>
      </c>
      <c r="G113">
        <v>2406</v>
      </c>
      <c r="H113" s="116"/>
      <c r="I113" s="116"/>
      <c r="L113" s="170">
        <v>42796</v>
      </c>
      <c r="M113" s="116">
        <v>773.7</v>
      </c>
      <c r="N113" s="116">
        <v>777.9</v>
      </c>
      <c r="O113" s="116">
        <v>770.05</v>
      </c>
      <c r="P113" s="116">
        <v>774.5</v>
      </c>
      <c r="Q113" s="116">
        <v>773.7</v>
      </c>
      <c r="R113">
        <v>11727</v>
      </c>
    </row>
    <row r="114" spans="1:18" x14ac:dyDescent="0.25">
      <c r="A114" s="170">
        <v>42797</v>
      </c>
      <c r="B114" s="116">
        <v>775</v>
      </c>
      <c r="C114" s="116">
        <v>764.7</v>
      </c>
      <c r="D114" s="116">
        <v>762</v>
      </c>
      <c r="E114" s="116">
        <v>770</v>
      </c>
      <c r="F114" s="116">
        <v>764.7</v>
      </c>
      <c r="G114">
        <v>102200</v>
      </c>
      <c r="H114" s="116"/>
      <c r="I114" s="116"/>
      <c r="L114" s="170">
        <v>42797</v>
      </c>
      <c r="M114" s="116">
        <v>764.8</v>
      </c>
      <c r="N114" s="116">
        <v>775</v>
      </c>
      <c r="O114" s="116">
        <v>761.95</v>
      </c>
      <c r="P114" s="116">
        <v>775</v>
      </c>
      <c r="Q114" s="116">
        <v>764.8</v>
      </c>
      <c r="R114">
        <v>106959</v>
      </c>
    </row>
    <row r="115" spans="1:18" x14ac:dyDescent="0.25">
      <c r="A115" s="170">
        <v>42800</v>
      </c>
      <c r="B115" s="116">
        <v>781.35</v>
      </c>
      <c r="C115" s="116">
        <v>771.75</v>
      </c>
      <c r="D115" s="116">
        <v>764</v>
      </c>
      <c r="E115" s="116">
        <v>775</v>
      </c>
      <c r="F115" s="116">
        <v>771.75</v>
      </c>
      <c r="G115">
        <v>3173</v>
      </c>
      <c r="H115" s="116"/>
      <c r="I115" s="116"/>
      <c r="L115" s="170">
        <v>42800</v>
      </c>
      <c r="M115" s="116">
        <v>771.2</v>
      </c>
      <c r="N115" s="116">
        <v>779.95</v>
      </c>
      <c r="O115" s="116">
        <v>766</v>
      </c>
      <c r="P115" s="116">
        <v>774.95</v>
      </c>
      <c r="Q115" s="116">
        <v>771.2</v>
      </c>
      <c r="R115">
        <v>49539</v>
      </c>
    </row>
    <row r="116" spans="1:18" x14ac:dyDescent="0.25">
      <c r="A116" s="170">
        <v>42801</v>
      </c>
      <c r="B116" s="116">
        <v>779.7</v>
      </c>
      <c r="C116" s="116">
        <v>776.25</v>
      </c>
      <c r="D116" s="116">
        <v>771</v>
      </c>
      <c r="E116" s="116">
        <v>774</v>
      </c>
      <c r="F116" s="116">
        <v>776.25</v>
      </c>
      <c r="G116">
        <v>1412</v>
      </c>
      <c r="H116" s="116"/>
      <c r="I116" s="116"/>
      <c r="L116" s="170">
        <v>42801</v>
      </c>
      <c r="M116" s="116">
        <v>774.5</v>
      </c>
      <c r="N116" s="116">
        <v>777</v>
      </c>
      <c r="O116" s="116">
        <v>768.2</v>
      </c>
      <c r="P116" s="116">
        <v>768.2</v>
      </c>
      <c r="Q116" s="116">
        <v>774.5</v>
      </c>
      <c r="R116">
        <v>45808</v>
      </c>
    </row>
    <row r="117" spans="1:18" x14ac:dyDescent="0.25">
      <c r="A117" s="170">
        <v>42802</v>
      </c>
      <c r="B117" s="116">
        <v>782.15</v>
      </c>
      <c r="C117" s="116">
        <v>765.3</v>
      </c>
      <c r="D117" s="116">
        <v>762</v>
      </c>
      <c r="E117" s="116">
        <v>779.5</v>
      </c>
      <c r="F117" s="116">
        <v>765.3</v>
      </c>
      <c r="G117">
        <v>2369</v>
      </c>
      <c r="H117" s="116"/>
      <c r="I117" s="116"/>
      <c r="L117" s="170">
        <v>42802</v>
      </c>
      <c r="M117" s="116">
        <v>761.65</v>
      </c>
      <c r="N117" s="116">
        <v>782.9</v>
      </c>
      <c r="O117" s="116">
        <v>759</v>
      </c>
      <c r="P117" s="116">
        <v>779</v>
      </c>
      <c r="Q117" s="116">
        <v>761.65</v>
      </c>
      <c r="R117">
        <v>198453</v>
      </c>
    </row>
    <row r="118" spans="1:18" x14ac:dyDescent="0.25">
      <c r="A118" s="170">
        <v>42803</v>
      </c>
      <c r="B118" s="116">
        <v>770.35</v>
      </c>
      <c r="C118" s="116">
        <v>765.15</v>
      </c>
      <c r="D118" s="116">
        <v>762</v>
      </c>
      <c r="E118" s="116">
        <v>763.05</v>
      </c>
      <c r="F118" s="116">
        <v>765.15</v>
      </c>
      <c r="G118">
        <v>1185</v>
      </c>
      <c r="H118" s="116"/>
      <c r="I118" s="116"/>
      <c r="L118" s="170">
        <v>42803</v>
      </c>
      <c r="M118" s="116">
        <v>766.7</v>
      </c>
      <c r="N118" s="116">
        <v>769.95</v>
      </c>
      <c r="O118" s="116">
        <v>761.65</v>
      </c>
      <c r="P118" s="116">
        <v>762</v>
      </c>
      <c r="Q118" s="116">
        <v>766.7</v>
      </c>
      <c r="R118">
        <v>10338</v>
      </c>
    </row>
    <row r="119" spans="1:18" x14ac:dyDescent="0.25">
      <c r="A119" s="170">
        <v>42804</v>
      </c>
      <c r="B119" s="116">
        <v>776</v>
      </c>
      <c r="C119" s="116">
        <v>769.7</v>
      </c>
      <c r="D119" s="116">
        <v>763</v>
      </c>
      <c r="E119" s="116">
        <v>763</v>
      </c>
      <c r="F119" s="116">
        <v>769.7</v>
      </c>
      <c r="G119">
        <v>2899</v>
      </c>
      <c r="H119" s="116"/>
      <c r="I119" s="116"/>
      <c r="L119" s="170">
        <v>42804</v>
      </c>
      <c r="M119" s="116">
        <v>768.1</v>
      </c>
      <c r="N119" s="116">
        <v>773.05</v>
      </c>
      <c r="O119" s="116">
        <v>765.05</v>
      </c>
      <c r="P119" s="116">
        <v>768.15</v>
      </c>
      <c r="Q119" s="116">
        <v>768.1</v>
      </c>
      <c r="R119">
        <v>6751</v>
      </c>
    </row>
    <row r="120" spans="1:18" x14ac:dyDescent="0.25">
      <c r="A120" s="170">
        <v>42808</v>
      </c>
      <c r="B120" s="116">
        <v>774.05</v>
      </c>
      <c r="C120" s="116">
        <v>768.3</v>
      </c>
      <c r="D120" s="116">
        <v>763.6</v>
      </c>
      <c r="E120" s="116">
        <v>766</v>
      </c>
      <c r="F120" s="116">
        <v>768.3</v>
      </c>
      <c r="G120">
        <v>2214</v>
      </c>
      <c r="H120" s="116"/>
      <c r="I120" s="116"/>
      <c r="L120" s="170">
        <v>42808</v>
      </c>
      <c r="M120" s="116">
        <v>769.8</v>
      </c>
      <c r="N120" s="116">
        <v>774.95</v>
      </c>
      <c r="O120" s="116">
        <v>765.05</v>
      </c>
      <c r="P120" s="116">
        <v>769.95</v>
      </c>
      <c r="Q120" s="116">
        <v>769.8</v>
      </c>
      <c r="R120">
        <v>27368</v>
      </c>
    </row>
    <row r="121" spans="1:18" x14ac:dyDescent="0.25">
      <c r="A121" s="170">
        <v>42809</v>
      </c>
      <c r="B121" s="116">
        <v>781.5</v>
      </c>
      <c r="C121" s="116">
        <v>779.35</v>
      </c>
      <c r="D121" s="116">
        <v>763.2</v>
      </c>
      <c r="E121" s="116">
        <v>768</v>
      </c>
      <c r="F121" s="116">
        <v>779.35</v>
      </c>
      <c r="G121">
        <v>3890</v>
      </c>
      <c r="H121" s="116"/>
      <c r="I121" s="116"/>
      <c r="L121" s="170">
        <v>42809</v>
      </c>
      <c r="M121" s="116">
        <v>784.6</v>
      </c>
      <c r="N121" s="116">
        <v>786.5</v>
      </c>
      <c r="O121" s="116">
        <v>767</v>
      </c>
      <c r="P121" s="116">
        <v>768.55</v>
      </c>
      <c r="Q121" s="116">
        <v>784.6</v>
      </c>
      <c r="R121">
        <v>38460</v>
      </c>
    </row>
    <row r="122" spans="1:18" x14ac:dyDescent="0.25">
      <c r="A122" s="170">
        <v>42810</v>
      </c>
      <c r="B122" s="116">
        <v>789</v>
      </c>
      <c r="C122" s="116">
        <v>786.15</v>
      </c>
      <c r="D122" s="116">
        <v>778.05</v>
      </c>
      <c r="E122" s="116">
        <v>781.65</v>
      </c>
      <c r="F122" s="116">
        <v>786.15</v>
      </c>
      <c r="G122">
        <v>2771</v>
      </c>
      <c r="H122" s="116"/>
      <c r="I122" s="116"/>
      <c r="L122" s="170">
        <v>42810</v>
      </c>
      <c r="M122" s="116">
        <v>785.4</v>
      </c>
      <c r="N122" s="116">
        <v>788.6</v>
      </c>
      <c r="O122" s="116">
        <v>780.05</v>
      </c>
      <c r="P122" s="116">
        <v>782.8</v>
      </c>
      <c r="Q122" s="116">
        <v>785.4</v>
      </c>
      <c r="R122">
        <v>20848</v>
      </c>
    </row>
    <row r="123" spans="1:18" x14ac:dyDescent="0.25">
      <c r="A123" s="170">
        <v>42811</v>
      </c>
      <c r="B123" s="116">
        <v>785</v>
      </c>
      <c r="C123" s="116">
        <v>774.5</v>
      </c>
      <c r="D123" s="116">
        <v>771.65</v>
      </c>
      <c r="E123" s="116">
        <v>783.95</v>
      </c>
      <c r="F123" s="116">
        <v>774.5</v>
      </c>
      <c r="G123">
        <v>902</v>
      </c>
      <c r="H123" s="116"/>
      <c r="I123" s="116"/>
      <c r="L123" s="170">
        <v>42811</v>
      </c>
      <c r="M123" s="116">
        <v>775.15</v>
      </c>
      <c r="N123" s="116">
        <v>788.5</v>
      </c>
      <c r="O123" s="116">
        <v>770.1</v>
      </c>
      <c r="P123" s="116">
        <v>788.5</v>
      </c>
      <c r="Q123" s="116">
        <v>775.15</v>
      </c>
      <c r="R123">
        <v>14575</v>
      </c>
    </row>
    <row r="124" spans="1:18" x14ac:dyDescent="0.25">
      <c r="A124" s="170">
        <v>42814</v>
      </c>
      <c r="B124" s="116">
        <v>782</v>
      </c>
      <c r="C124" s="116">
        <v>778.1</v>
      </c>
      <c r="D124" s="116">
        <v>768</v>
      </c>
      <c r="E124" s="116">
        <v>771.45</v>
      </c>
      <c r="F124" s="116">
        <v>778.1</v>
      </c>
      <c r="G124">
        <v>2384</v>
      </c>
      <c r="H124" s="116"/>
      <c r="I124" s="116"/>
      <c r="L124" s="170">
        <v>42814</v>
      </c>
      <c r="M124" s="116">
        <v>779.95</v>
      </c>
      <c r="N124" s="116">
        <v>785</v>
      </c>
      <c r="O124" s="116">
        <v>765.05</v>
      </c>
      <c r="P124" s="116">
        <v>765.05</v>
      </c>
      <c r="Q124" s="116">
        <v>779.95</v>
      </c>
      <c r="R124">
        <v>32183</v>
      </c>
    </row>
    <row r="125" spans="1:18" x14ac:dyDescent="0.25">
      <c r="A125" s="170">
        <v>42815</v>
      </c>
      <c r="B125" s="116">
        <v>780.05</v>
      </c>
      <c r="C125" s="116">
        <v>777.05</v>
      </c>
      <c r="D125" s="116">
        <v>775</v>
      </c>
      <c r="E125" s="116">
        <v>779.9</v>
      </c>
      <c r="F125" s="116">
        <v>777.05</v>
      </c>
      <c r="G125">
        <v>1979</v>
      </c>
      <c r="H125" s="116"/>
      <c r="I125" s="116"/>
      <c r="L125" s="170">
        <v>42815</v>
      </c>
      <c r="M125" s="116">
        <v>777.9</v>
      </c>
      <c r="N125" s="116">
        <v>782.9</v>
      </c>
      <c r="O125" s="116">
        <v>775.05</v>
      </c>
      <c r="P125" s="116">
        <v>779.05</v>
      </c>
      <c r="Q125" s="116">
        <v>777.9</v>
      </c>
      <c r="R125">
        <v>20678</v>
      </c>
    </row>
    <row r="126" spans="1:18" x14ac:dyDescent="0.25">
      <c r="A126" s="170">
        <v>42816</v>
      </c>
      <c r="B126" s="116">
        <v>785</v>
      </c>
      <c r="C126" s="116">
        <v>781.55</v>
      </c>
      <c r="D126" s="116">
        <v>769.7</v>
      </c>
      <c r="E126" s="116">
        <v>773.3</v>
      </c>
      <c r="F126" s="116">
        <v>781.55</v>
      </c>
      <c r="G126">
        <v>3168</v>
      </c>
      <c r="H126" s="116"/>
      <c r="I126" s="116"/>
      <c r="L126" s="170">
        <v>42816</v>
      </c>
      <c r="M126" s="116">
        <v>781.75</v>
      </c>
      <c r="N126" s="116">
        <v>784.9</v>
      </c>
      <c r="O126" s="116">
        <v>775.05</v>
      </c>
      <c r="P126" s="116">
        <v>775.05</v>
      </c>
      <c r="Q126" s="116">
        <v>781.75</v>
      </c>
      <c r="R126">
        <v>13407</v>
      </c>
    </row>
    <row r="127" spans="1:18" x14ac:dyDescent="0.25">
      <c r="A127" s="170">
        <v>42817</v>
      </c>
      <c r="B127" s="116">
        <v>785.95</v>
      </c>
      <c r="C127" s="116">
        <v>783.25</v>
      </c>
      <c r="D127" s="116">
        <v>780.05</v>
      </c>
      <c r="E127" s="116">
        <v>780.05</v>
      </c>
      <c r="F127" s="116">
        <v>783.25</v>
      </c>
      <c r="G127">
        <v>81318</v>
      </c>
      <c r="H127" s="116"/>
      <c r="I127" s="116"/>
      <c r="L127" s="170">
        <v>42817</v>
      </c>
      <c r="M127" s="116">
        <v>782.3</v>
      </c>
      <c r="N127" s="116">
        <v>786</v>
      </c>
      <c r="O127" s="116">
        <v>778.9</v>
      </c>
      <c r="P127" s="116">
        <v>780</v>
      </c>
      <c r="Q127" s="116">
        <v>782.3</v>
      </c>
      <c r="R127">
        <v>20006</v>
      </c>
    </row>
    <row r="128" spans="1:18" x14ac:dyDescent="0.25">
      <c r="A128" s="170">
        <v>42818</v>
      </c>
      <c r="B128" s="116">
        <v>784</v>
      </c>
      <c r="C128" s="116">
        <v>779.45</v>
      </c>
      <c r="D128" s="116">
        <v>776</v>
      </c>
      <c r="E128" s="116">
        <v>777</v>
      </c>
      <c r="F128" s="116">
        <v>779.45</v>
      </c>
      <c r="G128">
        <v>1855</v>
      </c>
      <c r="H128" s="116"/>
      <c r="I128" s="116"/>
      <c r="L128" s="170">
        <v>42818</v>
      </c>
      <c r="M128" s="116">
        <v>779.35</v>
      </c>
      <c r="N128" s="116">
        <v>784.25</v>
      </c>
      <c r="O128" s="116">
        <v>775.35</v>
      </c>
      <c r="P128" s="116">
        <v>781.1</v>
      </c>
      <c r="Q128" s="116">
        <v>779.35</v>
      </c>
      <c r="R128">
        <v>109761</v>
      </c>
    </row>
    <row r="129" spans="1:18" x14ac:dyDescent="0.25">
      <c r="A129" s="170">
        <v>42821</v>
      </c>
      <c r="B129" s="116">
        <v>779.35</v>
      </c>
      <c r="C129" s="116">
        <v>774.2</v>
      </c>
      <c r="D129" s="116">
        <v>770.5</v>
      </c>
      <c r="E129" s="116">
        <v>776</v>
      </c>
      <c r="F129" s="116">
        <v>774.2</v>
      </c>
      <c r="G129">
        <v>2220</v>
      </c>
      <c r="H129" s="116"/>
      <c r="I129" s="116"/>
      <c r="L129" s="170">
        <v>42821</v>
      </c>
      <c r="M129" s="116">
        <v>773.2</v>
      </c>
      <c r="N129" s="116">
        <v>780.5</v>
      </c>
      <c r="O129" s="116">
        <v>770</v>
      </c>
      <c r="P129" s="116">
        <v>780</v>
      </c>
      <c r="Q129" s="116">
        <v>773.2</v>
      </c>
      <c r="R129">
        <v>16456</v>
      </c>
    </row>
    <row r="130" spans="1:18" x14ac:dyDescent="0.25">
      <c r="A130" s="170">
        <v>42822</v>
      </c>
      <c r="B130" s="116">
        <v>775</v>
      </c>
      <c r="C130" s="116">
        <v>772.8</v>
      </c>
      <c r="D130" s="116">
        <v>766</v>
      </c>
      <c r="E130" s="116">
        <v>772</v>
      </c>
      <c r="F130" s="116">
        <v>772.8</v>
      </c>
      <c r="G130">
        <v>2036</v>
      </c>
      <c r="H130" s="116"/>
      <c r="I130" s="116"/>
      <c r="L130" s="170">
        <v>42822</v>
      </c>
      <c r="M130" s="116">
        <v>771.5</v>
      </c>
      <c r="N130" s="116">
        <v>777.15</v>
      </c>
      <c r="O130" s="116">
        <v>766.55</v>
      </c>
      <c r="P130" s="116">
        <v>777.15</v>
      </c>
      <c r="Q130" s="116">
        <v>771.5</v>
      </c>
      <c r="R130">
        <v>15761</v>
      </c>
    </row>
    <row r="131" spans="1:18" x14ac:dyDescent="0.25">
      <c r="A131" s="170">
        <v>42823</v>
      </c>
      <c r="B131" s="116">
        <v>774</v>
      </c>
      <c r="C131" s="116">
        <v>765.75</v>
      </c>
      <c r="D131" s="116">
        <v>763.1</v>
      </c>
      <c r="E131" s="116">
        <v>773.65</v>
      </c>
      <c r="F131" s="116">
        <v>765.75</v>
      </c>
      <c r="G131">
        <v>317416</v>
      </c>
      <c r="H131" s="116"/>
      <c r="I131" s="116"/>
      <c r="L131" s="170">
        <v>42823</v>
      </c>
      <c r="M131" s="116">
        <v>762.15</v>
      </c>
      <c r="N131" s="116">
        <v>774.45</v>
      </c>
      <c r="O131" s="116">
        <v>760.05</v>
      </c>
      <c r="P131" s="116">
        <v>771.45</v>
      </c>
      <c r="Q131" s="116">
        <v>762.15</v>
      </c>
      <c r="R131">
        <v>370203</v>
      </c>
    </row>
    <row r="132" spans="1:18" x14ac:dyDescent="0.25">
      <c r="A132" s="170">
        <v>42824</v>
      </c>
      <c r="B132" s="116">
        <v>769</v>
      </c>
      <c r="C132" s="116">
        <v>766</v>
      </c>
      <c r="D132" s="116">
        <v>763</v>
      </c>
      <c r="E132" s="116">
        <v>763.7</v>
      </c>
      <c r="F132" s="116">
        <v>766</v>
      </c>
      <c r="G132">
        <v>37056</v>
      </c>
      <c r="H132" s="116"/>
      <c r="I132" s="116"/>
      <c r="L132" s="170">
        <v>42824</v>
      </c>
      <c r="M132" s="116">
        <v>767.3</v>
      </c>
      <c r="N132" s="116">
        <v>768.65</v>
      </c>
      <c r="O132" s="116">
        <v>761</v>
      </c>
      <c r="P132" s="116">
        <v>761</v>
      </c>
      <c r="Q132" s="116">
        <v>767.3</v>
      </c>
      <c r="R132">
        <v>15799</v>
      </c>
    </row>
    <row r="133" spans="1:18" x14ac:dyDescent="0.25">
      <c r="A133" s="170">
        <v>42825</v>
      </c>
      <c r="B133" s="116">
        <v>787</v>
      </c>
      <c r="C133" s="116">
        <v>782.6</v>
      </c>
      <c r="D133" s="116">
        <v>762.45</v>
      </c>
      <c r="E133" s="116">
        <v>762.45</v>
      </c>
      <c r="F133" s="116">
        <v>782.6</v>
      </c>
      <c r="G133">
        <v>3528</v>
      </c>
      <c r="H133" s="116"/>
      <c r="I133" s="116"/>
      <c r="L133" s="170">
        <v>42825</v>
      </c>
      <c r="M133" s="116">
        <v>778.6</v>
      </c>
      <c r="N133" s="116">
        <v>787</v>
      </c>
      <c r="O133" s="116">
        <v>762</v>
      </c>
      <c r="P133" s="116">
        <v>762.5</v>
      </c>
      <c r="Q133" s="116">
        <v>778.6</v>
      </c>
      <c r="R133">
        <v>42947</v>
      </c>
    </row>
    <row r="134" spans="1:18" x14ac:dyDescent="0.25">
      <c r="A134" s="170">
        <v>42828</v>
      </c>
      <c r="B134" s="116">
        <v>795</v>
      </c>
      <c r="C134" s="116">
        <v>788.95</v>
      </c>
      <c r="D134" s="116">
        <v>778.5</v>
      </c>
      <c r="E134" s="116">
        <v>779.15</v>
      </c>
      <c r="F134" s="116">
        <v>788.95</v>
      </c>
      <c r="G134">
        <v>2646</v>
      </c>
      <c r="H134" s="116"/>
      <c r="I134" s="116"/>
      <c r="L134" s="170">
        <v>42828</v>
      </c>
      <c r="M134" s="116">
        <v>785.3</v>
      </c>
      <c r="N134" s="116">
        <v>787.95</v>
      </c>
      <c r="O134" s="116">
        <v>779.1</v>
      </c>
      <c r="P134" s="116">
        <v>779.95</v>
      </c>
      <c r="Q134" s="116">
        <v>785.3</v>
      </c>
      <c r="R134">
        <v>65052</v>
      </c>
    </row>
    <row r="135" spans="1:18" x14ac:dyDescent="0.25">
      <c r="A135" s="170">
        <v>42830</v>
      </c>
      <c r="B135" s="116">
        <v>799</v>
      </c>
      <c r="C135" s="116">
        <v>793.7</v>
      </c>
      <c r="D135" s="116">
        <v>784.75</v>
      </c>
      <c r="E135" s="116">
        <v>786.05</v>
      </c>
      <c r="F135" s="116">
        <v>793.7</v>
      </c>
      <c r="G135">
        <v>3644</v>
      </c>
      <c r="H135" s="116"/>
      <c r="I135" s="116"/>
      <c r="L135" s="170">
        <v>42830</v>
      </c>
      <c r="M135" s="116">
        <v>792.55</v>
      </c>
      <c r="N135" s="116">
        <v>804</v>
      </c>
      <c r="O135" s="116">
        <v>782</v>
      </c>
      <c r="P135" s="116">
        <v>785.05</v>
      </c>
      <c r="Q135" s="116">
        <v>792.55</v>
      </c>
      <c r="R135">
        <v>24832</v>
      </c>
    </row>
    <row r="136" spans="1:18" x14ac:dyDescent="0.25">
      <c r="A136" s="170">
        <v>42831</v>
      </c>
      <c r="B136" s="116">
        <v>799.95</v>
      </c>
      <c r="C136" s="116">
        <v>797.9</v>
      </c>
      <c r="D136" s="116">
        <v>789.7</v>
      </c>
      <c r="E136" s="116">
        <v>789.7</v>
      </c>
      <c r="F136" s="116">
        <v>797.9</v>
      </c>
      <c r="G136">
        <v>3986</v>
      </c>
      <c r="H136" s="116"/>
      <c r="I136" s="116"/>
      <c r="L136" s="170">
        <v>42831</v>
      </c>
      <c r="M136" s="116">
        <v>793.75</v>
      </c>
      <c r="N136" s="116">
        <v>802.4</v>
      </c>
      <c r="O136" s="116">
        <v>790.05</v>
      </c>
      <c r="P136" s="116">
        <v>795</v>
      </c>
      <c r="Q136" s="116">
        <v>793.75</v>
      </c>
      <c r="R136">
        <v>49628</v>
      </c>
    </row>
    <row r="137" spans="1:18" x14ac:dyDescent="0.25">
      <c r="A137" s="170">
        <v>42832</v>
      </c>
      <c r="B137" s="116">
        <v>796.6</v>
      </c>
      <c r="C137" s="116">
        <v>791.6</v>
      </c>
      <c r="D137" s="116">
        <v>790</v>
      </c>
      <c r="E137" s="116">
        <v>796.6</v>
      </c>
      <c r="F137" s="116">
        <v>791.6</v>
      </c>
      <c r="G137">
        <v>2679</v>
      </c>
      <c r="H137" s="116"/>
      <c r="I137" s="116"/>
      <c r="L137" s="170">
        <v>42832</v>
      </c>
      <c r="M137" s="116">
        <v>794.5</v>
      </c>
      <c r="N137" s="116">
        <v>797.95</v>
      </c>
      <c r="O137" s="116">
        <v>790.05</v>
      </c>
      <c r="P137" s="116">
        <v>790.05</v>
      </c>
      <c r="Q137" s="116">
        <v>794.5</v>
      </c>
      <c r="R137">
        <v>24474</v>
      </c>
    </row>
    <row r="138" spans="1:18" x14ac:dyDescent="0.25">
      <c r="A138" s="170">
        <v>42835</v>
      </c>
      <c r="B138" s="116">
        <v>796</v>
      </c>
      <c r="C138" s="116">
        <v>788.6</v>
      </c>
      <c r="D138" s="116">
        <v>787.05</v>
      </c>
      <c r="E138" s="116">
        <v>793.1</v>
      </c>
      <c r="F138" s="116">
        <v>788.6</v>
      </c>
      <c r="G138">
        <v>2951</v>
      </c>
      <c r="H138" s="116"/>
      <c r="I138" s="116"/>
      <c r="L138" s="170">
        <v>42835</v>
      </c>
      <c r="M138" s="116">
        <v>791.25</v>
      </c>
      <c r="N138" s="116">
        <v>795.45</v>
      </c>
      <c r="O138" s="116">
        <v>790.05</v>
      </c>
      <c r="P138" s="116">
        <v>794.4</v>
      </c>
      <c r="Q138" s="116">
        <v>791.25</v>
      </c>
      <c r="R138">
        <v>22722</v>
      </c>
    </row>
    <row r="139" spans="1:18" x14ac:dyDescent="0.25">
      <c r="A139" s="170">
        <v>42836</v>
      </c>
      <c r="B139" s="116">
        <v>797</v>
      </c>
      <c r="C139" s="116">
        <v>788.5</v>
      </c>
      <c r="D139" s="116">
        <v>782.5</v>
      </c>
      <c r="E139" s="116">
        <v>793.3</v>
      </c>
      <c r="F139" s="116">
        <v>788.5</v>
      </c>
      <c r="G139">
        <v>1763</v>
      </c>
      <c r="H139" s="116"/>
      <c r="I139" s="116"/>
      <c r="L139" s="170">
        <v>42836</v>
      </c>
      <c r="M139" s="116">
        <v>789.65</v>
      </c>
      <c r="N139" s="116">
        <v>794.95</v>
      </c>
      <c r="O139" s="116">
        <v>785.05</v>
      </c>
      <c r="P139" s="116">
        <v>794.95</v>
      </c>
      <c r="Q139" s="116">
        <v>789.65</v>
      </c>
      <c r="R139">
        <v>22412</v>
      </c>
    </row>
    <row r="140" spans="1:18" x14ac:dyDescent="0.25">
      <c r="A140" s="170">
        <v>42837</v>
      </c>
      <c r="B140" s="116">
        <v>791.9</v>
      </c>
      <c r="C140" s="116">
        <v>782</v>
      </c>
      <c r="D140" s="116">
        <v>778.45</v>
      </c>
      <c r="E140" s="116">
        <v>790</v>
      </c>
      <c r="F140" s="116">
        <v>782</v>
      </c>
      <c r="G140">
        <v>3662</v>
      </c>
      <c r="H140" s="116"/>
      <c r="I140" s="116"/>
      <c r="L140" s="170">
        <v>42837</v>
      </c>
      <c r="M140" s="116">
        <v>775.85</v>
      </c>
      <c r="N140" s="116">
        <v>791.15</v>
      </c>
      <c r="O140" s="116">
        <v>773</v>
      </c>
      <c r="P140" s="116">
        <v>790.7</v>
      </c>
      <c r="Q140" s="116">
        <v>775.85</v>
      </c>
      <c r="R140">
        <v>18092</v>
      </c>
    </row>
    <row r="141" spans="1:18" x14ac:dyDescent="0.25">
      <c r="A141" s="170">
        <v>42838</v>
      </c>
      <c r="B141" s="116">
        <v>790</v>
      </c>
      <c r="C141" s="116">
        <v>781.05</v>
      </c>
      <c r="D141" s="116">
        <v>776.25</v>
      </c>
      <c r="E141" s="116">
        <v>777.05</v>
      </c>
      <c r="F141" s="116">
        <v>781.05</v>
      </c>
      <c r="G141">
        <v>2459</v>
      </c>
      <c r="H141" s="116"/>
      <c r="I141" s="116"/>
      <c r="L141" s="170">
        <v>42838</v>
      </c>
      <c r="M141" s="116">
        <v>778.15</v>
      </c>
      <c r="N141" s="116">
        <v>790</v>
      </c>
      <c r="O141" s="116">
        <v>772</v>
      </c>
      <c r="P141" s="116">
        <v>778.15</v>
      </c>
      <c r="Q141" s="116">
        <v>778.15</v>
      </c>
      <c r="R141">
        <v>17160</v>
      </c>
    </row>
    <row r="142" spans="1:18" x14ac:dyDescent="0.25">
      <c r="A142" s="170">
        <v>42842</v>
      </c>
      <c r="B142" s="116">
        <v>780</v>
      </c>
      <c r="C142" s="116">
        <v>767.2</v>
      </c>
      <c r="D142" s="116">
        <v>765</v>
      </c>
      <c r="E142" s="116">
        <v>776.1</v>
      </c>
      <c r="F142" s="116">
        <v>767.2</v>
      </c>
      <c r="G142">
        <v>2828</v>
      </c>
      <c r="H142" s="116"/>
      <c r="I142" s="116"/>
      <c r="L142" s="170">
        <v>42842</v>
      </c>
      <c r="M142" s="116">
        <v>765.75</v>
      </c>
      <c r="N142" s="116">
        <v>782.2</v>
      </c>
      <c r="O142" s="116">
        <v>761.65</v>
      </c>
      <c r="P142" s="116">
        <v>779.4</v>
      </c>
      <c r="Q142" s="116">
        <v>765.75</v>
      </c>
      <c r="R142">
        <v>15590</v>
      </c>
    </row>
    <row r="143" spans="1:18" x14ac:dyDescent="0.25">
      <c r="A143" s="170">
        <v>42843</v>
      </c>
      <c r="B143" s="116">
        <v>776</v>
      </c>
      <c r="C143" s="116">
        <v>762.15</v>
      </c>
      <c r="D143" s="116">
        <v>760</v>
      </c>
      <c r="E143" s="116">
        <v>776</v>
      </c>
      <c r="F143" s="116">
        <v>762.15</v>
      </c>
      <c r="G143">
        <v>1886</v>
      </c>
      <c r="H143" s="116"/>
      <c r="I143" s="116"/>
      <c r="L143" s="170">
        <v>42843</v>
      </c>
      <c r="M143" s="116">
        <v>757.75</v>
      </c>
      <c r="N143" s="116">
        <v>769.95</v>
      </c>
      <c r="O143" s="116">
        <v>750.2</v>
      </c>
      <c r="P143" s="116">
        <v>769.95</v>
      </c>
      <c r="Q143" s="116">
        <v>757.75</v>
      </c>
      <c r="R143">
        <v>24342</v>
      </c>
    </row>
    <row r="144" spans="1:18" x14ac:dyDescent="0.25">
      <c r="A144" s="170">
        <v>42844</v>
      </c>
      <c r="B144" s="116">
        <v>761.95</v>
      </c>
      <c r="C144" s="116">
        <v>753.2</v>
      </c>
      <c r="D144" s="116">
        <v>751</v>
      </c>
      <c r="E144" s="116">
        <v>760</v>
      </c>
      <c r="F144" s="116">
        <v>753.2</v>
      </c>
      <c r="G144">
        <v>2524</v>
      </c>
      <c r="H144" s="116"/>
      <c r="I144" s="116"/>
      <c r="L144" s="170">
        <v>42844</v>
      </c>
      <c r="M144" s="116">
        <v>747.25</v>
      </c>
      <c r="N144" s="116">
        <v>759.95</v>
      </c>
      <c r="O144" s="116">
        <v>745</v>
      </c>
      <c r="P144" s="116">
        <v>759.95</v>
      </c>
      <c r="Q144" s="116">
        <v>747.25</v>
      </c>
      <c r="R144">
        <v>22684</v>
      </c>
    </row>
    <row r="145" spans="1:18" x14ac:dyDescent="0.25">
      <c r="A145" s="170">
        <v>42845</v>
      </c>
      <c r="B145" s="116">
        <v>755</v>
      </c>
      <c r="C145" s="116">
        <v>741</v>
      </c>
      <c r="D145" s="116">
        <v>739</v>
      </c>
      <c r="E145" s="116">
        <v>750.1</v>
      </c>
      <c r="F145" s="116">
        <v>741</v>
      </c>
      <c r="G145">
        <v>4849</v>
      </c>
      <c r="H145" s="116"/>
      <c r="I145" s="116"/>
      <c r="L145" s="170">
        <v>42845</v>
      </c>
      <c r="M145" s="116">
        <v>740.7</v>
      </c>
      <c r="N145" s="116">
        <v>751.5</v>
      </c>
      <c r="O145" s="116">
        <v>739.1</v>
      </c>
      <c r="P145" s="116">
        <v>749.95</v>
      </c>
      <c r="Q145" s="116">
        <v>740.7</v>
      </c>
      <c r="R145">
        <v>44865</v>
      </c>
    </row>
    <row r="146" spans="1:18" x14ac:dyDescent="0.25">
      <c r="A146" s="170">
        <v>42846</v>
      </c>
      <c r="B146" s="116">
        <v>747</v>
      </c>
      <c r="C146" s="116">
        <v>737.9</v>
      </c>
      <c r="D146" s="116">
        <v>731.4</v>
      </c>
      <c r="E146" s="116">
        <v>747</v>
      </c>
      <c r="F146" s="116">
        <v>737.9</v>
      </c>
      <c r="G146">
        <v>3724</v>
      </c>
      <c r="H146" s="116"/>
      <c r="I146" s="116"/>
      <c r="L146" s="170">
        <v>42846</v>
      </c>
      <c r="M146" s="116">
        <v>735.9</v>
      </c>
      <c r="N146" s="116">
        <v>751</v>
      </c>
      <c r="O146" s="116">
        <v>729</v>
      </c>
      <c r="P146" s="116">
        <v>751</v>
      </c>
      <c r="Q146" s="116">
        <v>735.9</v>
      </c>
      <c r="R146">
        <v>63482</v>
      </c>
    </row>
    <row r="147" spans="1:18" x14ac:dyDescent="0.25">
      <c r="A147" s="170">
        <v>42849</v>
      </c>
      <c r="B147" s="116">
        <v>745.95</v>
      </c>
      <c r="C147" s="116">
        <v>742.15</v>
      </c>
      <c r="D147" s="116">
        <v>739.5</v>
      </c>
      <c r="E147" s="116">
        <v>742</v>
      </c>
      <c r="F147" s="116">
        <v>742.15</v>
      </c>
      <c r="G147">
        <v>3215</v>
      </c>
      <c r="H147" s="116"/>
      <c r="I147" s="116"/>
      <c r="L147" s="170">
        <v>42849</v>
      </c>
      <c r="M147" s="116">
        <v>736.45</v>
      </c>
      <c r="N147" s="116">
        <v>742.75</v>
      </c>
      <c r="O147" s="116">
        <v>732.3</v>
      </c>
      <c r="P147" s="116">
        <v>739</v>
      </c>
      <c r="Q147" s="116">
        <v>736.45</v>
      </c>
      <c r="R147">
        <v>19622</v>
      </c>
    </row>
    <row r="148" spans="1:18" x14ac:dyDescent="0.25">
      <c r="A148" s="170">
        <v>42850</v>
      </c>
      <c r="B148" s="116">
        <v>745</v>
      </c>
      <c r="C148" s="116">
        <v>738.8</v>
      </c>
      <c r="D148" s="116">
        <v>735.55</v>
      </c>
      <c r="E148" s="116">
        <v>742</v>
      </c>
      <c r="F148" s="116">
        <v>738.8</v>
      </c>
      <c r="G148">
        <v>3218</v>
      </c>
      <c r="H148" s="116"/>
      <c r="I148" s="116"/>
      <c r="L148" s="170">
        <v>42850</v>
      </c>
      <c r="M148" s="116">
        <v>737.85</v>
      </c>
      <c r="N148" s="116">
        <v>739.95</v>
      </c>
      <c r="O148" s="116">
        <v>734.6</v>
      </c>
      <c r="P148" s="116">
        <v>738</v>
      </c>
      <c r="Q148" s="116">
        <v>737.85</v>
      </c>
      <c r="R148">
        <v>107996</v>
      </c>
    </row>
    <row r="149" spans="1:18" x14ac:dyDescent="0.25">
      <c r="A149" s="170">
        <v>42851</v>
      </c>
      <c r="B149" s="116">
        <v>747</v>
      </c>
      <c r="C149" s="116">
        <v>742.75</v>
      </c>
      <c r="D149" s="116">
        <v>737.05</v>
      </c>
      <c r="E149" s="116">
        <v>737.05</v>
      </c>
      <c r="F149" s="116">
        <v>742.75</v>
      </c>
      <c r="G149">
        <v>1797</v>
      </c>
      <c r="H149" s="116"/>
      <c r="I149" s="116"/>
      <c r="L149" s="170">
        <v>42851</v>
      </c>
      <c r="M149" s="116">
        <v>745.05</v>
      </c>
      <c r="N149" s="116">
        <v>747</v>
      </c>
      <c r="O149" s="116">
        <v>738.05</v>
      </c>
      <c r="P149" s="116">
        <v>742.95</v>
      </c>
      <c r="Q149" s="116">
        <v>745.05</v>
      </c>
      <c r="R149">
        <v>17303</v>
      </c>
    </row>
    <row r="150" spans="1:18" x14ac:dyDescent="0.25">
      <c r="A150" s="170">
        <v>42852</v>
      </c>
      <c r="B150" s="116">
        <v>759.45</v>
      </c>
      <c r="C150" s="116">
        <v>756.7</v>
      </c>
      <c r="D150" s="116">
        <v>742</v>
      </c>
      <c r="E150" s="116">
        <v>742</v>
      </c>
      <c r="F150" s="116">
        <v>756.7</v>
      </c>
      <c r="G150">
        <v>4944</v>
      </c>
      <c r="H150" s="116"/>
      <c r="I150" s="116"/>
      <c r="L150" s="170">
        <v>42852</v>
      </c>
      <c r="M150" s="116">
        <v>756.4</v>
      </c>
      <c r="N150" s="116">
        <v>758.8</v>
      </c>
      <c r="O150" s="116">
        <v>740.05</v>
      </c>
      <c r="P150" s="116">
        <v>747</v>
      </c>
      <c r="Q150" s="116">
        <v>756.4</v>
      </c>
      <c r="R150">
        <v>15859</v>
      </c>
    </row>
    <row r="151" spans="1:18" x14ac:dyDescent="0.25">
      <c r="A151" s="170">
        <v>42853</v>
      </c>
      <c r="B151" s="116">
        <v>768.1</v>
      </c>
      <c r="C151" s="116">
        <v>762.65</v>
      </c>
      <c r="D151" s="116">
        <v>753.5</v>
      </c>
      <c r="E151" s="116">
        <v>763</v>
      </c>
      <c r="F151" s="116">
        <v>762.65</v>
      </c>
      <c r="G151">
        <v>2821</v>
      </c>
      <c r="H151" s="116"/>
      <c r="I151" s="116"/>
      <c r="L151" s="170">
        <v>42853</v>
      </c>
      <c r="M151" s="116">
        <v>768.25</v>
      </c>
      <c r="N151" s="116">
        <v>777.85</v>
      </c>
      <c r="O151" s="116">
        <v>755</v>
      </c>
      <c r="P151" s="116">
        <v>760</v>
      </c>
      <c r="Q151" s="116">
        <v>768.25</v>
      </c>
      <c r="R151">
        <v>25344</v>
      </c>
    </row>
    <row r="152" spans="1:18" x14ac:dyDescent="0.25">
      <c r="A152" s="170">
        <v>42857</v>
      </c>
      <c r="B152" s="116">
        <v>784.9</v>
      </c>
      <c r="C152" s="116">
        <v>770.9</v>
      </c>
      <c r="D152" s="116">
        <v>763</v>
      </c>
      <c r="E152" s="116">
        <v>763</v>
      </c>
      <c r="F152" s="116">
        <v>770.9</v>
      </c>
      <c r="G152">
        <v>3382</v>
      </c>
      <c r="H152" s="116"/>
      <c r="I152" s="116"/>
      <c r="L152" s="170">
        <v>42857</v>
      </c>
      <c r="M152" s="116">
        <v>771.75</v>
      </c>
      <c r="N152" s="116">
        <v>776.1</v>
      </c>
      <c r="O152" s="116">
        <v>764.7</v>
      </c>
      <c r="P152" s="116">
        <v>769</v>
      </c>
      <c r="Q152" s="116">
        <v>771.75</v>
      </c>
      <c r="R152">
        <v>16768</v>
      </c>
    </row>
    <row r="153" spans="1:18" x14ac:dyDescent="0.25">
      <c r="A153" s="170">
        <v>42858</v>
      </c>
      <c r="B153" s="116">
        <v>786</v>
      </c>
      <c r="C153" s="116">
        <v>783.7</v>
      </c>
      <c r="D153" s="116">
        <v>766</v>
      </c>
      <c r="E153" s="116">
        <v>766</v>
      </c>
      <c r="F153" s="116">
        <v>783.7</v>
      </c>
      <c r="G153">
        <v>6642</v>
      </c>
      <c r="H153" s="116"/>
      <c r="I153" s="116"/>
      <c r="L153" s="170">
        <v>42858</v>
      </c>
      <c r="M153" s="116">
        <v>784.2</v>
      </c>
      <c r="N153" s="116">
        <v>787</v>
      </c>
      <c r="O153" s="116">
        <v>775.1</v>
      </c>
      <c r="P153" s="116">
        <v>780</v>
      </c>
      <c r="Q153" s="116">
        <v>784.2</v>
      </c>
      <c r="R153">
        <v>42473</v>
      </c>
    </row>
    <row r="154" spans="1:18" x14ac:dyDescent="0.25">
      <c r="A154" s="170">
        <v>42859</v>
      </c>
      <c r="B154" s="116">
        <v>794.25</v>
      </c>
      <c r="C154" s="116">
        <v>781.5</v>
      </c>
      <c r="D154" s="116">
        <v>772</v>
      </c>
      <c r="E154" s="116">
        <v>778.55</v>
      </c>
      <c r="F154" s="116">
        <v>781.5</v>
      </c>
      <c r="G154">
        <v>7758</v>
      </c>
      <c r="H154" s="116"/>
      <c r="I154" s="116"/>
      <c r="L154" s="170">
        <v>42859</v>
      </c>
      <c r="M154" s="116">
        <v>780.55</v>
      </c>
      <c r="N154" s="116">
        <v>795.7</v>
      </c>
      <c r="O154" s="116">
        <v>770</v>
      </c>
      <c r="P154" s="116">
        <v>775.15</v>
      </c>
      <c r="Q154" s="116">
        <v>780.55</v>
      </c>
      <c r="R154">
        <v>141062</v>
      </c>
    </row>
    <row r="155" spans="1:18" x14ac:dyDescent="0.25">
      <c r="A155" s="170">
        <v>42860</v>
      </c>
      <c r="B155" s="116">
        <v>789.1</v>
      </c>
      <c r="C155" s="116">
        <v>773.05</v>
      </c>
      <c r="D155" s="116">
        <v>770</v>
      </c>
      <c r="E155" s="116">
        <v>778</v>
      </c>
      <c r="F155" s="116">
        <v>773.05</v>
      </c>
      <c r="G155">
        <v>1543</v>
      </c>
      <c r="H155" s="116"/>
      <c r="I155" s="116"/>
      <c r="L155" s="170">
        <v>42860</v>
      </c>
      <c r="M155" s="116">
        <v>771.35</v>
      </c>
      <c r="N155" s="116">
        <v>789.95</v>
      </c>
      <c r="O155" s="116">
        <v>769</v>
      </c>
      <c r="P155" s="116">
        <v>775.55</v>
      </c>
      <c r="Q155" s="116">
        <v>771.35</v>
      </c>
      <c r="R155">
        <v>46935</v>
      </c>
    </row>
    <row r="156" spans="1:18" x14ac:dyDescent="0.25">
      <c r="A156" s="170">
        <v>42863</v>
      </c>
      <c r="B156" s="116">
        <v>779.45</v>
      </c>
      <c r="C156" s="116">
        <v>772.25</v>
      </c>
      <c r="D156" s="116">
        <v>765</v>
      </c>
      <c r="E156" s="116">
        <v>775</v>
      </c>
      <c r="F156" s="116">
        <v>772.25</v>
      </c>
      <c r="G156">
        <v>2121</v>
      </c>
      <c r="H156" s="116"/>
      <c r="I156" s="116"/>
      <c r="L156" s="170">
        <v>42863</v>
      </c>
      <c r="M156" s="116">
        <v>771.55</v>
      </c>
      <c r="N156" s="116">
        <v>776.95</v>
      </c>
      <c r="O156" s="116">
        <v>763</v>
      </c>
      <c r="P156" s="116">
        <v>773</v>
      </c>
      <c r="Q156" s="116">
        <v>771.55</v>
      </c>
      <c r="R156">
        <v>11253</v>
      </c>
    </row>
    <row r="157" spans="1:18" x14ac:dyDescent="0.25">
      <c r="A157" s="170">
        <v>42864</v>
      </c>
      <c r="B157" s="116">
        <v>785</v>
      </c>
      <c r="C157" s="116">
        <v>757.65</v>
      </c>
      <c r="D157" s="116">
        <v>756</v>
      </c>
      <c r="E157" s="116">
        <v>765</v>
      </c>
      <c r="F157" s="116">
        <v>757.65</v>
      </c>
      <c r="G157">
        <v>2447</v>
      </c>
      <c r="H157" s="116"/>
      <c r="I157" s="116"/>
      <c r="L157" s="170">
        <v>42864</v>
      </c>
      <c r="M157" s="116">
        <v>759.5</v>
      </c>
      <c r="N157" s="116">
        <v>770.9</v>
      </c>
      <c r="O157" s="116">
        <v>755</v>
      </c>
      <c r="P157" s="116">
        <v>766.75</v>
      </c>
      <c r="Q157" s="116">
        <v>759.5</v>
      </c>
      <c r="R157">
        <v>12584</v>
      </c>
    </row>
    <row r="158" spans="1:18" x14ac:dyDescent="0.25">
      <c r="A158" s="170">
        <v>42865</v>
      </c>
      <c r="B158" s="116">
        <v>764</v>
      </c>
      <c r="C158" s="116">
        <v>755.5</v>
      </c>
      <c r="D158" s="116">
        <v>750</v>
      </c>
      <c r="E158" s="116">
        <v>762.65</v>
      </c>
      <c r="F158" s="116">
        <v>755.5</v>
      </c>
      <c r="G158">
        <v>1640</v>
      </c>
      <c r="H158" s="116"/>
      <c r="I158" s="116"/>
      <c r="L158" s="170">
        <v>42865</v>
      </c>
      <c r="M158" s="116">
        <v>754.65</v>
      </c>
      <c r="N158" s="116">
        <v>762</v>
      </c>
      <c r="O158" s="116">
        <v>750.4</v>
      </c>
      <c r="P158" s="116">
        <v>761.05</v>
      </c>
      <c r="Q158" s="116">
        <v>754.65</v>
      </c>
      <c r="R158">
        <v>300853</v>
      </c>
    </row>
    <row r="159" spans="1:18" x14ac:dyDescent="0.25">
      <c r="A159" s="170">
        <v>42866</v>
      </c>
      <c r="B159" s="116">
        <v>769.4</v>
      </c>
      <c r="C159" s="116">
        <v>764.15</v>
      </c>
      <c r="D159" s="116">
        <v>751</v>
      </c>
      <c r="E159" s="116">
        <v>752.9</v>
      </c>
      <c r="F159" s="116">
        <v>764.15</v>
      </c>
      <c r="G159">
        <v>1921</v>
      </c>
      <c r="H159" s="116"/>
      <c r="I159" s="116"/>
      <c r="L159" s="170">
        <v>42866</v>
      </c>
      <c r="M159" s="116">
        <v>759.8</v>
      </c>
      <c r="N159" s="116">
        <v>764.95</v>
      </c>
      <c r="O159" s="116">
        <v>750</v>
      </c>
      <c r="P159" s="116">
        <v>750.9</v>
      </c>
      <c r="Q159" s="116">
        <v>759.8</v>
      </c>
      <c r="R159">
        <v>46322</v>
      </c>
    </row>
    <row r="160" spans="1:18" x14ac:dyDescent="0.25">
      <c r="A160" s="170">
        <v>42867</v>
      </c>
      <c r="B160" s="116">
        <v>771.9</v>
      </c>
      <c r="C160" s="116">
        <v>761.75</v>
      </c>
      <c r="D160" s="116">
        <v>757</v>
      </c>
      <c r="E160" s="116">
        <v>757</v>
      </c>
      <c r="F160" s="116">
        <v>761.75</v>
      </c>
      <c r="G160">
        <v>1881</v>
      </c>
      <c r="H160" s="116"/>
      <c r="I160" s="116"/>
      <c r="L160" s="170">
        <v>42867</v>
      </c>
      <c r="M160" s="116">
        <v>759.8</v>
      </c>
      <c r="N160" s="116">
        <v>766.5</v>
      </c>
      <c r="O160" s="116">
        <v>755</v>
      </c>
      <c r="P160" s="116">
        <v>756.2</v>
      </c>
      <c r="Q160" s="116">
        <v>759.8</v>
      </c>
      <c r="R160">
        <v>10695</v>
      </c>
    </row>
    <row r="161" spans="1:18" x14ac:dyDescent="0.25">
      <c r="A161" s="170">
        <v>42870</v>
      </c>
      <c r="B161" s="116">
        <v>772.6</v>
      </c>
      <c r="C161" s="116">
        <v>765.2</v>
      </c>
      <c r="D161" s="116">
        <v>760</v>
      </c>
      <c r="E161" s="116">
        <v>772.6</v>
      </c>
      <c r="F161" s="116">
        <v>765.2</v>
      </c>
      <c r="G161">
        <v>1259</v>
      </c>
      <c r="H161" s="116"/>
      <c r="I161" s="116"/>
      <c r="L161" s="170">
        <v>42870</v>
      </c>
      <c r="M161" s="116">
        <v>766.55</v>
      </c>
      <c r="N161" s="116">
        <v>772</v>
      </c>
      <c r="O161" s="116">
        <v>760.05</v>
      </c>
      <c r="P161" s="116">
        <v>769.95</v>
      </c>
      <c r="Q161" s="116">
        <v>766.55</v>
      </c>
      <c r="R161">
        <v>11865</v>
      </c>
    </row>
    <row r="162" spans="1:18" x14ac:dyDescent="0.25">
      <c r="A162" s="170">
        <v>42871</v>
      </c>
      <c r="B162" s="116">
        <v>771.8</v>
      </c>
      <c r="C162" s="116">
        <v>768.8</v>
      </c>
      <c r="D162" s="116">
        <v>759.45</v>
      </c>
      <c r="E162" s="116">
        <v>760</v>
      </c>
      <c r="F162" s="116">
        <v>768.8</v>
      </c>
      <c r="G162">
        <v>1087</v>
      </c>
      <c r="H162" s="116"/>
      <c r="I162" s="116"/>
      <c r="L162" s="170">
        <v>42871</v>
      </c>
      <c r="M162" s="116">
        <v>768.75</v>
      </c>
      <c r="N162" s="116">
        <v>771</v>
      </c>
      <c r="O162" s="116">
        <v>763.05</v>
      </c>
      <c r="P162" s="116">
        <v>763.05</v>
      </c>
      <c r="Q162" s="116">
        <v>768.75</v>
      </c>
      <c r="R162">
        <v>7209</v>
      </c>
    </row>
    <row r="163" spans="1:18" x14ac:dyDescent="0.25">
      <c r="A163" s="170">
        <v>42872</v>
      </c>
      <c r="B163" s="116">
        <v>767.1</v>
      </c>
      <c r="C163" s="116">
        <v>763.45</v>
      </c>
      <c r="D163" s="116">
        <v>760</v>
      </c>
      <c r="E163" s="116">
        <v>760.8</v>
      </c>
      <c r="F163" s="116">
        <v>763.45</v>
      </c>
      <c r="G163">
        <v>908</v>
      </c>
      <c r="H163" s="116"/>
      <c r="I163" s="116"/>
      <c r="L163" s="170">
        <v>42872</v>
      </c>
      <c r="M163" s="116">
        <v>763.95</v>
      </c>
      <c r="N163" s="116">
        <v>768.75</v>
      </c>
      <c r="O163" s="116">
        <v>760</v>
      </c>
      <c r="P163" s="116">
        <v>768.75</v>
      </c>
      <c r="Q163" s="116">
        <v>763.95</v>
      </c>
      <c r="R163">
        <v>66684</v>
      </c>
    </row>
    <row r="164" spans="1:18" x14ac:dyDescent="0.25">
      <c r="A164" s="170">
        <v>42873</v>
      </c>
      <c r="B164" s="116">
        <v>767</v>
      </c>
      <c r="C164" s="116">
        <v>763.6</v>
      </c>
      <c r="D164" s="116">
        <v>757</v>
      </c>
      <c r="E164" s="116">
        <v>764.4</v>
      </c>
      <c r="F164" s="116">
        <v>763.6</v>
      </c>
      <c r="G164">
        <v>700</v>
      </c>
      <c r="H164" s="116"/>
      <c r="I164" s="116"/>
      <c r="L164" s="170">
        <v>42873</v>
      </c>
      <c r="M164" s="116">
        <v>762.2</v>
      </c>
      <c r="N164" s="116">
        <v>764.85</v>
      </c>
      <c r="O164" s="116">
        <v>760</v>
      </c>
      <c r="P164" s="116">
        <v>764.6</v>
      </c>
      <c r="Q164" s="116">
        <v>762.2</v>
      </c>
      <c r="R164">
        <v>8635</v>
      </c>
    </row>
    <row r="165" spans="1:18" x14ac:dyDescent="0.25">
      <c r="A165" s="170">
        <v>42874</v>
      </c>
      <c r="B165" s="116">
        <v>767</v>
      </c>
      <c r="C165" s="116">
        <v>757.75</v>
      </c>
      <c r="D165" s="116">
        <v>756</v>
      </c>
      <c r="E165" s="116">
        <v>762.7</v>
      </c>
      <c r="F165" s="116">
        <v>757.75</v>
      </c>
      <c r="G165">
        <v>1538</v>
      </c>
      <c r="H165" s="116"/>
      <c r="I165" s="116"/>
      <c r="L165" s="170">
        <v>42874</v>
      </c>
      <c r="M165" s="116">
        <v>757.05</v>
      </c>
      <c r="N165" s="116">
        <v>764.95</v>
      </c>
      <c r="O165" s="116">
        <v>755.05</v>
      </c>
      <c r="P165" s="116">
        <v>760</v>
      </c>
      <c r="Q165" s="116">
        <v>757.05</v>
      </c>
      <c r="R165">
        <v>43975</v>
      </c>
    </row>
    <row r="166" spans="1:18" x14ac:dyDescent="0.25">
      <c r="A166" s="170">
        <v>42877</v>
      </c>
      <c r="B166" s="116">
        <v>780</v>
      </c>
      <c r="C166" s="116">
        <v>748.65</v>
      </c>
      <c r="D166" s="116">
        <v>745</v>
      </c>
      <c r="E166" s="116">
        <v>758.6</v>
      </c>
      <c r="F166" s="116">
        <v>748.65</v>
      </c>
      <c r="G166">
        <v>1870</v>
      </c>
      <c r="H166" s="116"/>
      <c r="I166" s="116"/>
      <c r="L166" s="170">
        <v>42877</v>
      </c>
      <c r="M166" s="116">
        <v>747.85</v>
      </c>
      <c r="N166" s="116">
        <v>759.05</v>
      </c>
      <c r="O166" s="116">
        <v>745.05</v>
      </c>
      <c r="P166" s="116">
        <v>755.5</v>
      </c>
      <c r="Q166" s="116">
        <v>747.85</v>
      </c>
      <c r="R166">
        <v>12414</v>
      </c>
    </row>
    <row r="167" spans="1:18" x14ac:dyDescent="0.25">
      <c r="A167" s="170">
        <v>42878</v>
      </c>
      <c r="B167" s="116">
        <v>748.75</v>
      </c>
      <c r="C167" s="116">
        <v>737.95</v>
      </c>
      <c r="D167" s="116">
        <v>735</v>
      </c>
      <c r="E167" s="116">
        <v>745.55</v>
      </c>
      <c r="F167" s="116">
        <v>737.95</v>
      </c>
      <c r="G167">
        <v>1646</v>
      </c>
      <c r="H167" s="116"/>
      <c r="I167" s="116"/>
      <c r="L167" s="170">
        <v>42878</v>
      </c>
      <c r="M167" s="116">
        <v>735.3</v>
      </c>
      <c r="N167" s="116">
        <v>754.85</v>
      </c>
      <c r="O167" s="116">
        <v>732.45</v>
      </c>
      <c r="P167" s="116">
        <v>754.85</v>
      </c>
      <c r="Q167" s="116">
        <v>735.3</v>
      </c>
      <c r="R167">
        <v>17089</v>
      </c>
    </row>
    <row r="168" spans="1:18" x14ac:dyDescent="0.25">
      <c r="A168" s="170">
        <v>42879</v>
      </c>
      <c r="B168" s="116">
        <v>745.45</v>
      </c>
      <c r="C168" s="116">
        <v>739.6</v>
      </c>
      <c r="D168" s="116">
        <v>732.5</v>
      </c>
      <c r="E168" s="116">
        <v>736.65</v>
      </c>
      <c r="F168" s="116">
        <v>739.6</v>
      </c>
      <c r="G168">
        <v>1467</v>
      </c>
      <c r="H168" s="116"/>
      <c r="I168" s="116"/>
      <c r="L168" s="170">
        <v>42879</v>
      </c>
      <c r="M168" s="116">
        <v>736.7</v>
      </c>
      <c r="N168" s="116">
        <v>740.95</v>
      </c>
      <c r="O168" s="116">
        <v>732.2</v>
      </c>
      <c r="P168" s="116">
        <v>739.95</v>
      </c>
      <c r="Q168" s="116">
        <v>736.7</v>
      </c>
      <c r="R168">
        <v>9931</v>
      </c>
    </row>
    <row r="169" spans="1:18" x14ac:dyDescent="0.25">
      <c r="A169" s="170">
        <v>42880</v>
      </c>
      <c r="B169" s="116">
        <v>744.9</v>
      </c>
      <c r="C169" s="116">
        <v>737.6</v>
      </c>
      <c r="D169" s="116">
        <v>734</v>
      </c>
      <c r="E169" s="116">
        <v>735.25</v>
      </c>
      <c r="F169" s="116">
        <v>737.6</v>
      </c>
      <c r="G169">
        <v>1202</v>
      </c>
      <c r="H169" s="116"/>
      <c r="I169" s="116"/>
      <c r="L169" s="170">
        <v>42880</v>
      </c>
      <c r="M169" s="116">
        <v>737.55</v>
      </c>
      <c r="N169" s="116">
        <v>740.95</v>
      </c>
      <c r="O169" s="116">
        <v>732.05</v>
      </c>
      <c r="P169" s="116">
        <v>737</v>
      </c>
      <c r="Q169" s="116">
        <v>737.55</v>
      </c>
      <c r="R169">
        <v>10622</v>
      </c>
    </row>
    <row r="170" spans="1:18" x14ac:dyDescent="0.25">
      <c r="A170" s="170">
        <v>42881</v>
      </c>
      <c r="B170" s="116">
        <v>752.25</v>
      </c>
      <c r="C170" s="116">
        <v>746</v>
      </c>
      <c r="D170" s="116">
        <v>734.1</v>
      </c>
      <c r="E170" s="116">
        <v>744</v>
      </c>
      <c r="F170" s="116">
        <v>746</v>
      </c>
      <c r="G170">
        <v>1800</v>
      </c>
      <c r="H170" s="116"/>
      <c r="I170" s="116"/>
      <c r="L170" s="170">
        <v>42881</v>
      </c>
      <c r="M170" s="116">
        <v>748.5</v>
      </c>
      <c r="N170" s="116">
        <v>754.95</v>
      </c>
      <c r="O170" s="116">
        <v>737.55</v>
      </c>
      <c r="P170" s="116">
        <v>744.7</v>
      </c>
      <c r="Q170" s="116">
        <v>748.5</v>
      </c>
      <c r="R170">
        <v>37289</v>
      </c>
    </row>
    <row r="171" spans="1:18" x14ac:dyDescent="0.25">
      <c r="A171" s="170">
        <v>42884</v>
      </c>
      <c r="B171" s="116">
        <v>745</v>
      </c>
      <c r="C171" s="116">
        <v>739.35</v>
      </c>
      <c r="D171" s="116">
        <v>734.45</v>
      </c>
      <c r="E171" s="116">
        <v>745</v>
      </c>
      <c r="F171" s="116">
        <v>739.35</v>
      </c>
      <c r="G171">
        <v>1664</v>
      </c>
      <c r="H171" s="116"/>
      <c r="I171" s="116"/>
      <c r="L171" s="170">
        <v>42884</v>
      </c>
      <c r="M171" s="116">
        <v>734.35</v>
      </c>
      <c r="N171" s="116">
        <v>747.85</v>
      </c>
      <c r="O171" s="116">
        <v>731.05</v>
      </c>
      <c r="P171" s="116">
        <v>746</v>
      </c>
      <c r="Q171" s="116">
        <v>734.35</v>
      </c>
      <c r="R171">
        <v>11083</v>
      </c>
    </row>
    <row r="172" spans="1:18" x14ac:dyDescent="0.25">
      <c r="A172" s="170">
        <v>42885</v>
      </c>
      <c r="B172" s="116">
        <v>750</v>
      </c>
      <c r="C172" s="116">
        <v>735.35</v>
      </c>
      <c r="D172" s="116">
        <v>732</v>
      </c>
      <c r="E172" s="116">
        <v>735</v>
      </c>
      <c r="F172" s="116">
        <v>735.35</v>
      </c>
      <c r="G172">
        <v>1213</v>
      </c>
      <c r="H172" s="116"/>
      <c r="I172" s="116"/>
      <c r="L172" s="170">
        <v>42885</v>
      </c>
      <c r="M172" s="116">
        <v>736.1</v>
      </c>
      <c r="N172" s="116">
        <v>745</v>
      </c>
      <c r="O172" s="116">
        <v>734.5</v>
      </c>
      <c r="P172" s="116">
        <v>736</v>
      </c>
      <c r="Q172" s="116">
        <v>736.1</v>
      </c>
      <c r="R172">
        <v>8466</v>
      </c>
    </row>
    <row r="173" spans="1:18" x14ac:dyDescent="0.25">
      <c r="A173" s="170">
        <v>42886</v>
      </c>
      <c r="B173" s="116">
        <v>744</v>
      </c>
      <c r="C173" s="116">
        <v>736.65</v>
      </c>
      <c r="D173" s="116">
        <v>734.55</v>
      </c>
      <c r="E173" s="116">
        <v>741</v>
      </c>
      <c r="F173" s="116">
        <v>736.65</v>
      </c>
      <c r="G173">
        <v>1347</v>
      </c>
      <c r="H173" s="116"/>
      <c r="I173" s="116"/>
      <c r="L173" s="170">
        <v>42886</v>
      </c>
      <c r="M173" s="116">
        <v>736.1</v>
      </c>
      <c r="N173" s="116">
        <v>739.9</v>
      </c>
      <c r="O173" s="116">
        <v>732</v>
      </c>
      <c r="P173" s="116">
        <v>739.9</v>
      </c>
      <c r="Q173" s="116">
        <v>736.1</v>
      </c>
      <c r="R173">
        <v>11583</v>
      </c>
    </row>
    <row r="174" spans="1:18" x14ac:dyDescent="0.25">
      <c r="A174" s="170">
        <v>42887</v>
      </c>
      <c r="B174" s="116">
        <v>740</v>
      </c>
      <c r="C174" s="116">
        <v>735.75</v>
      </c>
      <c r="D174" s="116">
        <v>732.6</v>
      </c>
      <c r="E174" s="116">
        <v>732.65</v>
      </c>
      <c r="F174" s="116">
        <v>735.75</v>
      </c>
      <c r="G174">
        <v>3897</v>
      </c>
      <c r="H174" s="116"/>
      <c r="I174" s="116"/>
      <c r="L174" s="170">
        <v>42887</v>
      </c>
      <c r="M174" s="116">
        <v>737</v>
      </c>
      <c r="N174" s="116">
        <v>739.95</v>
      </c>
      <c r="O174" s="116">
        <v>733.05</v>
      </c>
      <c r="P174" s="116">
        <v>735</v>
      </c>
      <c r="Q174" s="116">
        <v>737</v>
      </c>
      <c r="R174">
        <v>29318</v>
      </c>
    </row>
    <row r="175" spans="1:18" x14ac:dyDescent="0.25">
      <c r="A175" s="170">
        <v>42888</v>
      </c>
      <c r="B175" s="116">
        <v>737.3</v>
      </c>
      <c r="C175" s="116">
        <v>736.4</v>
      </c>
      <c r="D175" s="116">
        <v>733.05</v>
      </c>
      <c r="E175" s="116">
        <v>734.05</v>
      </c>
      <c r="F175" s="116">
        <v>736.4</v>
      </c>
      <c r="G175">
        <v>1323</v>
      </c>
      <c r="H175" s="116"/>
      <c r="I175" s="116"/>
      <c r="L175" s="170">
        <v>42888</v>
      </c>
      <c r="M175" s="116">
        <v>736.7</v>
      </c>
      <c r="N175" s="116">
        <v>739.95</v>
      </c>
      <c r="O175" s="116">
        <v>733.55</v>
      </c>
      <c r="P175" s="116">
        <v>735.25</v>
      </c>
      <c r="Q175" s="116">
        <v>736.7</v>
      </c>
      <c r="R175">
        <v>29412</v>
      </c>
    </row>
    <row r="176" spans="1:18" x14ac:dyDescent="0.25">
      <c r="A176" s="170">
        <v>42891</v>
      </c>
      <c r="B176" s="116">
        <v>774</v>
      </c>
      <c r="C176" s="116">
        <v>742.15</v>
      </c>
      <c r="D176" s="116">
        <v>732.45</v>
      </c>
      <c r="E176" s="116">
        <v>769.95</v>
      </c>
      <c r="F176" s="116">
        <v>742.15</v>
      </c>
      <c r="G176">
        <v>2016</v>
      </c>
      <c r="H176" s="116"/>
      <c r="I176" s="116"/>
      <c r="L176" s="170">
        <v>42891</v>
      </c>
      <c r="M176" s="116">
        <v>739.15</v>
      </c>
      <c r="N176" s="116">
        <v>777</v>
      </c>
      <c r="O176" s="116">
        <v>735.05</v>
      </c>
      <c r="P176" s="116">
        <v>777</v>
      </c>
      <c r="Q176" s="116">
        <v>739.15</v>
      </c>
      <c r="R176">
        <v>12756</v>
      </c>
    </row>
    <row r="177" spans="1:18" x14ac:dyDescent="0.25">
      <c r="A177" s="170">
        <v>42892</v>
      </c>
      <c r="B177" s="116">
        <v>741.2</v>
      </c>
      <c r="C177" s="116">
        <v>736</v>
      </c>
      <c r="D177" s="116">
        <v>733.3</v>
      </c>
      <c r="E177" s="116">
        <v>740.5</v>
      </c>
      <c r="F177" s="116">
        <v>736</v>
      </c>
      <c r="G177">
        <v>1456</v>
      </c>
      <c r="H177" s="116"/>
      <c r="I177" s="116"/>
      <c r="L177" s="170">
        <v>42892</v>
      </c>
      <c r="M177" s="116">
        <v>735.95</v>
      </c>
      <c r="N177" s="116">
        <v>739.95</v>
      </c>
      <c r="O177" s="116">
        <v>734</v>
      </c>
      <c r="P177" s="116">
        <v>739.95</v>
      </c>
      <c r="Q177" s="116">
        <v>735.95</v>
      </c>
      <c r="R177">
        <v>12419</v>
      </c>
    </row>
    <row r="178" spans="1:18" x14ac:dyDescent="0.25">
      <c r="A178" s="170">
        <v>42893</v>
      </c>
      <c r="B178" s="116">
        <v>739</v>
      </c>
      <c r="C178" s="116">
        <v>736.55</v>
      </c>
      <c r="D178" s="116">
        <v>733.55</v>
      </c>
      <c r="E178" s="116">
        <v>739</v>
      </c>
      <c r="F178" s="116">
        <v>736.55</v>
      </c>
      <c r="G178">
        <v>762</v>
      </c>
      <c r="H178" s="116"/>
      <c r="I178" s="116"/>
      <c r="L178" s="170">
        <v>42893</v>
      </c>
      <c r="M178" s="116">
        <v>735.35</v>
      </c>
      <c r="N178" s="116">
        <v>739.95</v>
      </c>
      <c r="O178" s="116">
        <v>733.05</v>
      </c>
      <c r="P178" s="116">
        <v>735.1</v>
      </c>
      <c r="Q178" s="116">
        <v>735.35</v>
      </c>
      <c r="R178">
        <v>7746</v>
      </c>
    </row>
    <row r="179" spans="1:18" x14ac:dyDescent="0.25">
      <c r="A179" s="170">
        <v>42894</v>
      </c>
      <c r="B179" s="116">
        <v>737</v>
      </c>
      <c r="C179" s="116">
        <v>733.95</v>
      </c>
      <c r="D179" s="116">
        <v>731.9</v>
      </c>
      <c r="E179" s="116">
        <v>735</v>
      </c>
      <c r="F179" s="116">
        <v>733.95</v>
      </c>
      <c r="G179">
        <v>2236</v>
      </c>
      <c r="H179" s="116"/>
      <c r="I179" s="116"/>
      <c r="L179" s="170">
        <v>42894</v>
      </c>
      <c r="M179" s="116">
        <v>736.05</v>
      </c>
      <c r="N179" s="116">
        <v>739.95</v>
      </c>
      <c r="O179" s="116">
        <v>730</v>
      </c>
      <c r="P179" s="116">
        <v>730</v>
      </c>
      <c r="Q179" s="116">
        <v>736.05</v>
      </c>
      <c r="R179">
        <v>14658</v>
      </c>
    </row>
    <row r="180" spans="1:18" x14ac:dyDescent="0.25">
      <c r="A180" s="170">
        <v>42895</v>
      </c>
      <c r="B180" s="116">
        <v>737</v>
      </c>
      <c r="C180" s="116">
        <v>733.6</v>
      </c>
      <c r="D180" s="116">
        <v>730</v>
      </c>
      <c r="E180" s="116">
        <v>730.05</v>
      </c>
      <c r="F180" s="116">
        <v>733.6</v>
      </c>
      <c r="G180">
        <v>1396</v>
      </c>
      <c r="H180" s="116"/>
      <c r="I180" s="116"/>
      <c r="L180" s="170">
        <v>42895</v>
      </c>
      <c r="M180" s="116">
        <v>732.8</v>
      </c>
      <c r="N180" s="116">
        <v>739.95</v>
      </c>
      <c r="O180" s="116">
        <v>730.15</v>
      </c>
      <c r="P180" s="116">
        <v>739.95</v>
      </c>
      <c r="Q180" s="116">
        <v>732.8</v>
      </c>
      <c r="R180">
        <v>9661</v>
      </c>
    </row>
    <row r="181" spans="1:18" x14ac:dyDescent="0.25">
      <c r="A181" s="170">
        <v>42898</v>
      </c>
      <c r="B181" s="116">
        <v>737</v>
      </c>
      <c r="C181" s="116">
        <v>735.8</v>
      </c>
      <c r="D181" s="116">
        <v>731.4</v>
      </c>
      <c r="E181" s="116">
        <v>734.25</v>
      </c>
      <c r="F181" s="116">
        <v>735.8</v>
      </c>
      <c r="G181">
        <v>43268</v>
      </c>
      <c r="H181" s="116"/>
      <c r="I181" s="116"/>
      <c r="L181" s="170">
        <v>42898</v>
      </c>
      <c r="M181" s="116">
        <v>731.9</v>
      </c>
      <c r="N181" s="116">
        <v>738.95</v>
      </c>
      <c r="O181" s="116">
        <v>730</v>
      </c>
      <c r="P181" s="116">
        <v>738.95</v>
      </c>
      <c r="Q181" s="116">
        <v>731.9</v>
      </c>
      <c r="R181">
        <v>41054</v>
      </c>
    </row>
    <row r="182" spans="1:18" x14ac:dyDescent="0.25">
      <c r="A182" s="170">
        <v>42899</v>
      </c>
      <c r="B182" s="116">
        <v>740.25</v>
      </c>
      <c r="C182" s="116">
        <v>730.65</v>
      </c>
      <c r="D182" s="116">
        <v>671</v>
      </c>
      <c r="E182" s="116">
        <v>731</v>
      </c>
      <c r="F182" s="116">
        <v>730.65</v>
      </c>
      <c r="G182">
        <v>47773</v>
      </c>
      <c r="H182" s="116"/>
      <c r="I182" s="116"/>
      <c r="L182" s="170">
        <v>42899</v>
      </c>
      <c r="M182" s="116">
        <v>730.1</v>
      </c>
      <c r="N182" s="116">
        <v>737</v>
      </c>
      <c r="O182" s="116">
        <v>729</v>
      </c>
      <c r="P182" s="116">
        <v>731</v>
      </c>
      <c r="Q182" s="116">
        <v>730.1</v>
      </c>
      <c r="R182">
        <v>31240</v>
      </c>
    </row>
    <row r="183" spans="1:18" x14ac:dyDescent="0.25">
      <c r="A183" s="170">
        <v>42900</v>
      </c>
      <c r="B183" s="116">
        <v>734.4</v>
      </c>
      <c r="C183" s="116">
        <v>730.75</v>
      </c>
      <c r="D183" s="116">
        <v>725</v>
      </c>
      <c r="E183" s="116">
        <v>725</v>
      </c>
      <c r="F183" s="116">
        <v>730.75</v>
      </c>
      <c r="G183">
        <v>1586</v>
      </c>
      <c r="H183" s="116"/>
      <c r="I183" s="116"/>
      <c r="L183" s="170">
        <v>42900</v>
      </c>
      <c r="M183" s="116">
        <v>730.4</v>
      </c>
      <c r="N183" s="116">
        <v>737</v>
      </c>
      <c r="O183" s="116">
        <v>729.05</v>
      </c>
      <c r="P183" s="116">
        <v>731.95</v>
      </c>
      <c r="Q183" s="116">
        <v>730.4</v>
      </c>
      <c r="R183">
        <v>10077</v>
      </c>
    </row>
    <row r="184" spans="1:18" x14ac:dyDescent="0.25">
      <c r="A184" s="170">
        <v>42901</v>
      </c>
      <c r="B184" s="116">
        <v>734.45</v>
      </c>
      <c r="C184" s="116">
        <v>731.85</v>
      </c>
      <c r="D184" s="116">
        <v>725.1</v>
      </c>
      <c r="E184" s="116">
        <v>725.5</v>
      </c>
      <c r="F184" s="116">
        <v>731.85</v>
      </c>
      <c r="G184">
        <v>940</v>
      </c>
      <c r="H184" s="116"/>
      <c r="I184" s="116"/>
      <c r="L184" s="170">
        <v>42901</v>
      </c>
      <c r="M184" s="116">
        <v>731.75</v>
      </c>
      <c r="N184" s="116">
        <v>735</v>
      </c>
      <c r="O184" s="116">
        <v>729.25</v>
      </c>
      <c r="P184" s="116">
        <v>730</v>
      </c>
      <c r="Q184" s="116">
        <v>731.75</v>
      </c>
      <c r="R184">
        <v>15689</v>
      </c>
    </row>
    <row r="185" spans="1:18" x14ac:dyDescent="0.25">
      <c r="A185" s="170">
        <v>42902</v>
      </c>
      <c r="B185" s="116">
        <v>736.9</v>
      </c>
      <c r="C185" s="116">
        <v>731.4</v>
      </c>
      <c r="D185" s="116">
        <v>726</v>
      </c>
      <c r="E185" s="116">
        <v>726</v>
      </c>
      <c r="F185" s="116">
        <v>731.4</v>
      </c>
      <c r="G185">
        <v>1576</v>
      </c>
      <c r="H185" s="116"/>
      <c r="I185" s="116"/>
      <c r="L185" s="170">
        <v>42902</v>
      </c>
      <c r="M185" s="116">
        <v>730.8</v>
      </c>
      <c r="N185" s="116">
        <v>735.5</v>
      </c>
      <c r="O185" s="116">
        <v>729.45</v>
      </c>
      <c r="P185" s="116">
        <v>729.45</v>
      </c>
      <c r="Q185" s="116">
        <v>730.8</v>
      </c>
      <c r="R185">
        <v>18163</v>
      </c>
    </row>
    <row r="186" spans="1:18" x14ac:dyDescent="0.25">
      <c r="A186" s="170">
        <v>42905</v>
      </c>
      <c r="B186" s="116">
        <v>739.65</v>
      </c>
      <c r="C186" s="116">
        <v>734.85</v>
      </c>
      <c r="D186" s="116">
        <v>724.7</v>
      </c>
      <c r="E186" s="116">
        <v>739.65</v>
      </c>
      <c r="F186" s="116">
        <v>734.85</v>
      </c>
      <c r="G186">
        <v>2484</v>
      </c>
      <c r="H186" s="116"/>
      <c r="I186" s="116"/>
      <c r="L186" s="170">
        <v>42905</v>
      </c>
      <c r="M186" s="116">
        <v>732.45</v>
      </c>
      <c r="N186" s="116">
        <v>736</v>
      </c>
      <c r="O186" s="116">
        <v>730</v>
      </c>
      <c r="P186" s="116">
        <v>735</v>
      </c>
      <c r="Q186" s="116">
        <v>732.45</v>
      </c>
      <c r="R186">
        <v>18469</v>
      </c>
    </row>
    <row r="187" spans="1:18" x14ac:dyDescent="0.25">
      <c r="A187" s="170">
        <v>42906</v>
      </c>
      <c r="B187" s="116">
        <v>735.2</v>
      </c>
      <c r="C187" s="116">
        <v>732.55</v>
      </c>
      <c r="D187" s="116">
        <v>730.05</v>
      </c>
      <c r="E187" s="116">
        <v>731.6</v>
      </c>
      <c r="F187" s="116">
        <v>732.55</v>
      </c>
      <c r="G187">
        <v>1029</v>
      </c>
      <c r="H187" s="116"/>
      <c r="I187" s="116"/>
      <c r="L187" s="170">
        <v>42906</v>
      </c>
      <c r="M187" s="116">
        <v>732.65</v>
      </c>
      <c r="N187" s="116">
        <v>734.9</v>
      </c>
      <c r="O187" s="116">
        <v>730.05</v>
      </c>
      <c r="P187" s="116">
        <v>732.55</v>
      </c>
      <c r="Q187" s="116">
        <v>732.65</v>
      </c>
      <c r="R187">
        <v>13430</v>
      </c>
    </row>
    <row r="188" spans="1:18" x14ac:dyDescent="0.25">
      <c r="A188" s="170">
        <v>42907</v>
      </c>
      <c r="B188" s="116">
        <v>736.55</v>
      </c>
      <c r="C188" s="116">
        <v>734.15</v>
      </c>
      <c r="D188" s="116">
        <v>729.45</v>
      </c>
      <c r="E188" s="116">
        <v>732.9</v>
      </c>
      <c r="F188" s="116">
        <v>734.15</v>
      </c>
      <c r="G188">
        <v>1830</v>
      </c>
      <c r="H188" s="116"/>
      <c r="I188" s="116"/>
      <c r="L188" s="170">
        <v>42907</v>
      </c>
      <c r="M188" s="116">
        <v>732.65</v>
      </c>
      <c r="N188" s="116">
        <v>735</v>
      </c>
      <c r="O188" s="116">
        <v>730.05</v>
      </c>
      <c r="P188" s="116">
        <v>732.7</v>
      </c>
      <c r="Q188" s="116">
        <v>732.65</v>
      </c>
      <c r="R188">
        <v>7990</v>
      </c>
    </row>
    <row r="189" spans="1:18" x14ac:dyDescent="0.25">
      <c r="A189" s="170">
        <v>42908</v>
      </c>
      <c r="B189" s="116">
        <v>734.8</v>
      </c>
      <c r="C189" s="116">
        <v>731.5</v>
      </c>
      <c r="D189" s="116">
        <v>730.05</v>
      </c>
      <c r="E189" s="116">
        <v>732.5</v>
      </c>
      <c r="F189" s="116">
        <v>731.5</v>
      </c>
      <c r="G189">
        <v>1413</v>
      </c>
      <c r="H189" s="116"/>
      <c r="I189" s="116"/>
      <c r="L189" s="170">
        <v>42908</v>
      </c>
      <c r="M189" s="116">
        <v>731.6</v>
      </c>
      <c r="N189" s="116">
        <v>734.95</v>
      </c>
      <c r="O189" s="116">
        <v>729.7</v>
      </c>
      <c r="P189" s="116">
        <v>734.8</v>
      </c>
      <c r="Q189" s="116">
        <v>731.6</v>
      </c>
      <c r="R189">
        <v>12988</v>
      </c>
    </row>
    <row r="190" spans="1:18" x14ac:dyDescent="0.25">
      <c r="A190" s="170">
        <v>42909</v>
      </c>
      <c r="B190" s="116">
        <v>734</v>
      </c>
      <c r="C190" s="116">
        <v>726.15</v>
      </c>
      <c r="D190" s="116">
        <v>725</v>
      </c>
      <c r="E190" s="116">
        <v>731</v>
      </c>
      <c r="F190" s="116">
        <v>726.15</v>
      </c>
      <c r="G190">
        <v>1854</v>
      </c>
      <c r="H190" s="116"/>
      <c r="I190" s="116"/>
      <c r="L190" s="170">
        <v>42909</v>
      </c>
      <c r="M190" s="116">
        <v>726.1</v>
      </c>
      <c r="N190" s="116">
        <v>734.95</v>
      </c>
      <c r="O190" s="116">
        <v>724</v>
      </c>
      <c r="P190" s="116">
        <v>731.6</v>
      </c>
      <c r="Q190" s="116">
        <v>726.1</v>
      </c>
      <c r="R190">
        <v>12931</v>
      </c>
    </row>
    <row r="191" spans="1:18" x14ac:dyDescent="0.25">
      <c r="A191" s="170">
        <v>42913</v>
      </c>
      <c r="B191" s="116">
        <v>732.5</v>
      </c>
      <c r="C191" s="116">
        <v>722.1</v>
      </c>
      <c r="D191" s="116">
        <v>720</v>
      </c>
      <c r="E191" s="116">
        <v>726</v>
      </c>
      <c r="F191" s="116">
        <v>722.1</v>
      </c>
      <c r="G191">
        <v>1449</v>
      </c>
      <c r="H191" s="116"/>
      <c r="I191" s="116"/>
      <c r="L191" s="170">
        <v>42913</v>
      </c>
      <c r="M191" s="116">
        <v>721.65</v>
      </c>
      <c r="N191" s="116">
        <v>735</v>
      </c>
      <c r="O191" s="116">
        <v>720</v>
      </c>
      <c r="P191" s="116">
        <v>735</v>
      </c>
      <c r="Q191" s="116">
        <v>721.65</v>
      </c>
      <c r="R191">
        <v>15895</v>
      </c>
    </row>
    <row r="192" spans="1:18" x14ac:dyDescent="0.25">
      <c r="A192" s="170">
        <v>42914</v>
      </c>
      <c r="B192" s="116">
        <v>727.7</v>
      </c>
      <c r="C192" s="116">
        <v>718.75</v>
      </c>
      <c r="D192" s="116">
        <v>716</v>
      </c>
      <c r="E192" s="116">
        <v>720.1</v>
      </c>
      <c r="F192" s="116">
        <v>718.75</v>
      </c>
      <c r="G192">
        <v>1291</v>
      </c>
      <c r="H192" s="116"/>
      <c r="I192" s="116"/>
      <c r="L192" s="170">
        <v>42914</v>
      </c>
      <c r="M192" s="116">
        <v>718.75</v>
      </c>
      <c r="N192" s="116">
        <v>724.9</v>
      </c>
      <c r="O192" s="116">
        <v>715.15</v>
      </c>
      <c r="P192" s="116">
        <v>721.1</v>
      </c>
      <c r="Q192" s="116">
        <v>718.75</v>
      </c>
      <c r="R192">
        <v>17534</v>
      </c>
    </row>
    <row r="193" spans="1:18" x14ac:dyDescent="0.25">
      <c r="A193" s="170">
        <v>42915</v>
      </c>
      <c r="B193" s="116">
        <v>728.6</v>
      </c>
      <c r="C193" s="116">
        <v>719.1</v>
      </c>
      <c r="D193" s="116">
        <v>717</v>
      </c>
      <c r="E193" s="116">
        <v>727.45</v>
      </c>
      <c r="F193" s="116">
        <v>719.1</v>
      </c>
      <c r="G193">
        <v>936</v>
      </c>
      <c r="H193" s="116"/>
      <c r="I193" s="116"/>
      <c r="L193" s="170">
        <v>42915</v>
      </c>
      <c r="M193" s="116">
        <v>718.65</v>
      </c>
      <c r="N193" s="116">
        <v>734</v>
      </c>
      <c r="O193" s="116">
        <v>717</v>
      </c>
      <c r="P193" s="116">
        <v>734</v>
      </c>
      <c r="Q193" s="116">
        <v>718.65</v>
      </c>
      <c r="R193">
        <v>11635</v>
      </c>
    </row>
    <row r="194" spans="1:18" x14ac:dyDescent="0.25">
      <c r="A194" s="170">
        <v>42916</v>
      </c>
      <c r="B194" s="116">
        <v>721.75</v>
      </c>
      <c r="C194" s="116">
        <v>719.4</v>
      </c>
      <c r="D194" s="116">
        <v>712.05</v>
      </c>
      <c r="E194" s="116">
        <v>715.05</v>
      </c>
      <c r="F194" s="116">
        <v>719.4</v>
      </c>
      <c r="G194">
        <v>1971</v>
      </c>
      <c r="H194" s="116"/>
      <c r="I194" s="116"/>
      <c r="L194" s="170">
        <v>42916</v>
      </c>
      <c r="M194" s="116">
        <v>717.05</v>
      </c>
      <c r="N194" s="116">
        <v>724.9</v>
      </c>
      <c r="O194" s="116">
        <v>712.25</v>
      </c>
      <c r="P194" s="116">
        <v>724.9</v>
      </c>
      <c r="Q194" s="116">
        <v>717.05</v>
      </c>
      <c r="R194">
        <v>13714</v>
      </c>
    </row>
    <row r="195" spans="1:18" x14ac:dyDescent="0.25">
      <c r="A195" s="170">
        <v>42919</v>
      </c>
      <c r="B195" s="116">
        <v>725</v>
      </c>
      <c r="C195" s="116">
        <v>717.9</v>
      </c>
      <c r="D195" s="116">
        <v>712</v>
      </c>
      <c r="E195" s="116">
        <v>713.15</v>
      </c>
      <c r="F195" s="116">
        <v>717.9</v>
      </c>
      <c r="G195">
        <v>1031</v>
      </c>
      <c r="H195" s="116"/>
      <c r="I195" s="116"/>
      <c r="L195" s="170">
        <v>42919</v>
      </c>
      <c r="M195" s="116">
        <v>719.85</v>
      </c>
      <c r="N195" s="116">
        <v>726.9</v>
      </c>
      <c r="O195" s="116">
        <v>716.05</v>
      </c>
      <c r="P195" s="116">
        <v>718</v>
      </c>
      <c r="Q195" s="116">
        <v>719.85</v>
      </c>
      <c r="R195">
        <v>24038</v>
      </c>
    </row>
    <row r="196" spans="1:18" x14ac:dyDescent="0.25">
      <c r="A196" s="170">
        <v>42920</v>
      </c>
      <c r="B196" s="116">
        <v>730.65</v>
      </c>
      <c r="C196" s="116">
        <v>727.3</v>
      </c>
      <c r="D196" s="116">
        <v>721</v>
      </c>
      <c r="E196" s="116">
        <v>721.05</v>
      </c>
      <c r="F196" s="116">
        <v>727.3</v>
      </c>
      <c r="G196">
        <v>115513</v>
      </c>
      <c r="H196" s="116"/>
      <c r="I196" s="116"/>
      <c r="L196" s="170">
        <v>42920</v>
      </c>
      <c r="M196" s="116">
        <v>728.2</v>
      </c>
      <c r="N196" s="116">
        <v>730</v>
      </c>
      <c r="O196" s="116">
        <v>719.05</v>
      </c>
      <c r="P196" s="116">
        <v>724.75</v>
      </c>
      <c r="Q196" s="116">
        <v>728.2</v>
      </c>
      <c r="R196">
        <v>112260</v>
      </c>
    </row>
    <row r="197" spans="1:18" x14ac:dyDescent="0.25">
      <c r="A197" s="170">
        <v>42921</v>
      </c>
      <c r="B197" s="116">
        <v>765</v>
      </c>
      <c r="C197" s="116">
        <v>761.7</v>
      </c>
      <c r="D197" s="116">
        <v>723.35</v>
      </c>
      <c r="E197" s="116">
        <v>725.5</v>
      </c>
      <c r="F197" s="116">
        <v>761.7</v>
      </c>
      <c r="G197">
        <v>5064</v>
      </c>
      <c r="H197" s="116"/>
      <c r="I197" s="116"/>
      <c r="L197" s="170">
        <v>42921</v>
      </c>
      <c r="M197" s="116">
        <v>761.7</v>
      </c>
      <c r="N197" s="116">
        <v>767</v>
      </c>
      <c r="O197" s="116">
        <v>723</v>
      </c>
      <c r="P197" s="116">
        <v>723</v>
      </c>
      <c r="Q197" s="116">
        <v>761.7</v>
      </c>
      <c r="R197">
        <v>185847</v>
      </c>
    </row>
    <row r="198" spans="1:18" x14ac:dyDescent="0.25">
      <c r="A198" s="170">
        <v>42922</v>
      </c>
      <c r="B198" s="116">
        <v>763.95</v>
      </c>
      <c r="C198" s="116">
        <v>755.4</v>
      </c>
      <c r="D198" s="116">
        <v>754</v>
      </c>
      <c r="E198" s="116">
        <v>758</v>
      </c>
      <c r="F198" s="116">
        <v>755.4</v>
      </c>
      <c r="G198">
        <v>1705</v>
      </c>
      <c r="H198" s="116"/>
      <c r="I198" s="116"/>
      <c r="L198" s="170">
        <v>42922</v>
      </c>
      <c r="M198" s="116">
        <v>756.45</v>
      </c>
      <c r="N198" s="116">
        <v>762</v>
      </c>
      <c r="O198" s="116">
        <v>752.05</v>
      </c>
      <c r="P198" s="116">
        <v>755</v>
      </c>
      <c r="Q198" s="116">
        <v>756.45</v>
      </c>
      <c r="R198">
        <v>101152</v>
      </c>
    </row>
    <row r="199" spans="1:18" x14ac:dyDescent="0.25">
      <c r="A199" s="170">
        <v>42923</v>
      </c>
      <c r="B199" s="116">
        <v>772.5</v>
      </c>
      <c r="C199" s="116">
        <v>769.4</v>
      </c>
      <c r="D199" s="116">
        <v>754.25</v>
      </c>
      <c r="E199" s="116">
        <v>754.25</v>
      </c>
      <c r="F199" s="116">
        <v>769.4</v>
      </c>
      <c r="G199">
        <v>3467</v>
      </c>
      <c r="H199" s="116"/>
      <c r="I199" s="116"/>
      <c r="L199" s="170">
        <v>42923</v>
      </c>
      <c r="M199" s="116">
        <v>768.4</v>
      </c>
      <c r="N199" s="116">
        <v>774.75</v>
      </c>
      <c r="O199" s="116">
        <v>752</v>
      </c>
      <c r="P199" s="116">
        <v>754.85</v>
      </c>
      <c r="Q199" s="116">
        <v>768.4</v>
      </c>
      <c r="R199">
        <v>23749</v>
      </c>
    </row>
    <row r="200" spans="1:18" x14ac:dyDescent="0.25">
      <c r="A200" s="170">
        <v>42926</v>
      </c>
      <c r="B200" s="116">
        <v>770.1</v>
      </c>
      <c r="C200" s="116">
        <v>760.25</v>
      </c>
      <c r="D200" s="116">
        <v>760</v>
      </c>
      <c r="E200" s="116">
        <v>770</v>
      </c>
      <c r="F200" s="116">
        <v>760.25</v>
      </c>
      <c r="G200">
        <v>5535</v>
      </c>
      <c r="H200" s="116"/>
      <c r="I200" s="116"/>
      <c r="L200" s="170">
        <v>42926</v>
      </c>
      <c r="M200" s="116">
        <v>760.75</v>
      </c>
      <c r="N200" s="116">
        <v>770</v>
      </c>
      <c r="O200" s="116">
        <v>760</v>
      </c>
      <c r="P200" s="116">
        <v>760.1</v>
      </c>
      <c r="Q200" s="116">
        <v>760.75</v>
      </c>
      <c r="R200">
        <v>5581</v>
      </c>
    </row>
    <row r="201" spans="1:18" x14ac:dyDescent="0.25">
      <c r="A201" s="170">
        <v>42927</v>
      </c>
      <c r="B201" s="116">
        <v>775</v>
      </c>
      <c r="C201" s="116">
        <v>767.3</v>
      </c>
      <c r="D201" s="116">
        <v>760</v>
      </c>
      <c r="E201" s="116">
        <v>760</v>
      </c>
      <c r="F201" s="116">
        <v>767.3</v>
      </c>
      <c r="G201">
        <v>2077</v>
      </c>
      <c r="H201" s="116"/>
      <c r="I201" s="116"/>
      <c r="L201" s="170">
        <v>42927</v>
      </c>
      <c r="M201" s="116">
        <v>767</v>
      </c>
      <c r="N201" s="116">
        <v>776.9</v>
      </c>
      <c r="O201" s="116">
        <v>761.05</v>
      </c>
      <c r="P201" s="116">
        <v>761.6</v>
      </c>
      <c r="Q201" s="116">
        <v>767</v>
      </c>
      <c r="R201">
        <v>16487</v>
      </c>
    </row>
    <row r="202" spans="1:18" x14ac:dyDescent="0.25">
      <c r="A202" s="170">
        <v>42928</v>
      </c>
      <c r="B202" s="116">
        <v>769.8</v>
      </c>
      <c r="C202" s="116">
        <v>761.05</v>
      </c>
      <c r="D202" s="116">
        <v>759</v>
      </c>
      <c r="E202" s="116">
        <v>767</v>
      </c>
      <c r="F202" s="116">
        <v>761.05</v>
      </c>
      <c r="G202">
        <v>1785</v>
      </c>
      <c r="H202" s="116"/>
      <c r="I202" s="116"/>
      <c r="L202" s="170">
        <v>42928</v>
      </c>
      <c r="M202" s="116">
        <v>760.4</v>
      </c>
      <c r="N202" s="116">
        <v>775</v>
      </c>
      <c r="O202" s="116">
        <v>759</v>
      </c>
      <c r="P202" s="116">
        <v>775</v>
      </c>
      <c r="Q202" s="116">
        <v>760.4</v>
      </c>
      <c r="R202">
        <v>26168</v>
      </c>
    </row>
    <row r="203" spans="1:18" x14ac:dyDescent="0.25">
      <c r="A203" s="170">
        <v>42929</v>
      </c>
      <c r="B203" s="116">
        <v>773.6</v>
      </c>
      <c r="C203" s="116">
        <v>767.5</v>
      </c>
      <c r="D203" s="116">
        <v>759.45</v>
      </c>
      <c r="E203" s="116">
        <v>761.6</v>
      </c>
      <c r="F203" s="116">
        <v>767.5</v>
      </c>
      <c r="G203">
        <v>1964</v>
      </c>
      <c r="H203" s="116"/>
      <c r="I203" s="116"/>
      <c r="L203" s="170">
        <v>42929</v>
      </c>
      <c r="M203" s="116">
        <v>768.25</v>
      </c>
      <c r="N203" s="116">
        <v>771.9</v>
      </c>
      <c r="O203" s="116">
        <v>760.5</v>
      </c>
      <c r="P203" s="116">
        <v>760.5</v>
      </c>
      <c r="Q203" s="116">
        <v>768.25</v>
      </c>
      <c r="R203">
        <v>11751</v>
      </c>
    </row>
    <row r="204" spans="1:18" x14ac:dyDescent="0.25">
      <c r="A204" s="170">
        <v>42930</v>
      </c>
      <c r="B204" s="116">
        <v>769.9</v>
      </c>
      <c r="C204" s="116">
        <v>758.6</v>
      </c>
      <c r="D204" s="116">
        <v>755</v>
      </c>
      <c r="E204" s="116">
        <v>763.8</v>
      </c>
      <c r="F204" s="116">
        <v>758.6</v>
      </c>
      <c r="G204">
        <v>1776</v>
      </c>
      <c r="H204" s="116"/>
      <c r="I204" s="116"/>
      <c r="L204" s="170">
        <v>42930</v>
      </c>
      <c r="M204" s="116">
        <v>761.6</v>
      </c>
      <c r="N204" s="116">
        <v>769.95</v>
      </c>
      <c r="O204" s="116">
        <v>755.05</v>
      </c>
      <c r="P204" s="116">
        <v>766.15</v>
      </c>
      <c r="Q204" s="116">
        <v>761.6</v>
      </c>
      <c r="R204">
        <v>9608</v>
      </c>
    </row>
    <row r="205" spans="1:18" x14ac:dyDescent="0.25">
      <c r="A205" s="170">
        <v>42933</v>
      </c>
      <c r="B205" s="116">
        <v>770</v>
      </c>
      <c r="C205" s="116">
        <v>761.9</v>
      </c>
      <c r="D205" s="116">
        <v>755.1</v>
      </c>
      <c r="E205" s="116">
        <v>755.25</v>
      </c>
      <c r="F205" s="116">
        <v>761.9</v>
      </c>
      <c r="G205">
        <v>2139</v>
      </c>
      <c r="H205" s="116"/>
      <c r="I205" s="116"/>
      <c r="L205" s="170">
        <v>42933</v>
      </c>
      <c r="M205" s="116">
        <v>766.15</v>
      </c>
      <c r="N205" s="116">
        <v>771</v>
      </c>
      <c r="O205" s="116">
        <v>755.1</v>
      </c>
      <c r="P205" s="116">
        <v>755.1</v>
      </c>
      <c r="Q205" s="116">
        <v>766.15</v>
      </c>
      <c r="R205">
        <v>11976</v>
      </c>
    </row>
    <row r="206" spans="1:18" x14ac:dyDescent="0.25">
      <c r="A206" s="170">
        <v>42934</v>
      </c>
      <c r="B206" s="116">
        <v>766.2</v>
      </c>
      <c r="C206" s="116">
        <v>759.85</v>
      </c>
      <c r="D206" s="116">
        <v>755.2</v>
      </c>
      <c r="E206" s="116">
        <v>760.75</v>
      </c>
      <c r="F206" s="116">
        <v>759.85</v>
      </c>
      <c r="G206">
        <v>1499</v>
      </c>
      <c r="H206" s="116"/>
      <c r="I206" s="116"/>
      <c r="L206" s="170">
        <v>42934</v>
      </c>
      <c r="M206" s="116">
        <v>760.7</v>
      </c>
      <c r="N206" s="116">
        <v>769.9</v>
      </c>
      <c r="O206" s="116">
        <v>755</v>
      </c>
      <c r="P206" s="116">
        <v>765.05</v>
      </c>
      <c r="Q206" s="116">
        <v>760.7</v>
      </c>
      <c r="R206">
        <v>15976</v>
      </c>
    </row>
    <row r="207" spans="1:18" x14ac:dyDescent="0.25">
      <c r="A207" s="170">
        <v>42935</v>
      </c>
      <c r="B207" s="116">
        <v>764</v>
      </c>
      <c r="C207" s="116">
        <v>761</v>
      </c>
      <c r="D207" s="116">
        <v>757.55</v>
      </c>
      <c r="E207" s="116">
        <v>757.55</v>
      </c>
      <c r="F207" s="116">
        <v>761</v>
      </c>
      <c r="G207">
        <v>1229</v>
      </c>
      <c r="H207" s="116"/>
      <c r="I207" s="116"/>
      <c r="L207" s="170">
        <v>42935</v>
      </c>
      <c r="M207" s="116">
        <v>759.7</v>
      </c>
      <c r="N207" s="116">
        <v>764.95</v>
      </c>
      <c r="O207" s="116">
        <v>755</v>
      </c>
      <c r="P207" s="116">
        <v>764.4</v>
      </c>
      <c r="Q207" s="116">
        <v>759.7</v>
      </c>
      <c r="R207">
        <v>9110</v>
      </c>
    </row>
    <row r="208" spans="1:18" x14ac:dyDescent="0.25">
      <c r="A208" s="170">
        <v>42936</v>
      </c>
      <c r="B208" s="116">
        <v>763.2</v>
      </c>
      <c r="C208" s="116">
        <v>760.25</v>
      </c>
      <c r="D208" s="116">
        <v>756</v>
      </c>
      <c r="E208" s="116">
        <v>756.35</v>
      </c>
      <c r="F208" s="116">
        <v>760.25</v>
      </c>
      <c r="G208">
        <v>1100</v>
      </c>
      <c r="H208" s="116"/>
      <c r="I208" s="116"/>
      <c r="L208" s="170">
        <v>42936</v>
      </c>
      <c r="M208" s="116">
        <v>760.25</v>
      </c>
      <c r="N208" s="116">
        <v>762.7</v>
      </c>
      <c r="O208" s="116">
        <v>756</v>
      </c>
      <c r="P208" s="116">
        <v>759.7</v>
      </c>
      <c r="Q208" s="116">
        <v>760.25</v>
      </c>
      <c r="R208">
        <v>8862</v>
      </c>
    </row>
    <row r="209" spans="1:18" x14ac:dyDescent="0.25">
      <c r="A209" s="170">
        <v>42937</v>
      </c>
      <c r="B209" s="116">
        <v>777.8</v>
      </c>
      <c r="C209" s="116">
        <v>771.6</v>
      </c>
      <c r="D209" s="116">
        <v>755.05</v>
      </c>
      <c r="E209" s="116">
        <v>760.25</v>
      </c>
      <c r="F209" s="116">
        <v>771.6</v>
      </c>
      <c r="G209">
        <v>1939</v>
      </c>
      <c r="H209" s="116"/>
      <c r="I209" s="116"/>
      <c r="L209" s="170">
        <v>42937</v>
      </c>
      <c r="M209" s="116">
        <v>770.45</v>
      </c>
      <c r="N209" s="116">
        <v>777.7</v>
      </c>
      <c r="O209" s="116">
        <v>755</v>
      </c>
      <c r="P209" s="116">
        <v>759</v>
      </c>
      <c r="Q209" s="116">
        <v>770.45</v>
      </c>
      <c r="R209">
        <v>16087</v>
      </c>
    </row>
    <row r="210" spans="1:18" x14ac:dyDescent="0.25">
      <c r="A210" s="170">
        <v>42940</v>
      </c>
      <c r="B210" s="116">
        <v>775</v>
      </c>
      <c r="C210" s="116">
        <v>771.75</v>
      </c>
      <c r="D210" s="116">
        <v>764.7</v>
      </c>
      <c r="E210" s="116">
        <v>767.7</v>
      </c>
      <c r="F210" s="116">
        <v>771.75</v>
      </c>
      <c r="G210">
        <v>1655</v>
      </c>
      <c r="H210" s="116"/>
      <c r="I210" s="116"/>
      <c r="L210" s="170">
        <v>42940</v>
      </c>
      <c r="M210" s="116">
        <v>772.9</v>
      </c>
      <c r="N210" s="116">
        <v>778.7</v>
      </c>
      <c r="O210" s="116">
        <v>765</v>
      </c>
      <c r="P210" s="116">
        <v>770.05</v>
      </c>
      <c r="Q210" s="116">
        <v>772.9</v>
      </c>
      <c r="R210">
        <v>18887</v>
      </c>
    </row>
    <row r="211" spans="1:18" x14ac:dyDescent="0.25">
      <c r="A211" s="170">
        <v>42941</v>
      </c>
      <c r="B211" s="116">
        <v>782</v>
      </c>
      <c r="C211" s="116">
        <v>775.5</v>
      </c>
      <c r="D211" s="116">
        <v>768.2</v>
      </c>
      <c r="E211" s="116">
        <v>768.2</v>
      </c>
      <c r="F211" s="116">
        <v>775.5</v>
      </c>
      <c r="G211">
        <v>2709</v>
      </c>
      <c r="H211" s="116"/>
      <c r="I211" s="116"/>
      <c r="L211" s="170">
        <v>42941</v>
      </c>
      <c r="M211" s="116">
        <v>776.75</v>
      </c>
      <c r="N211" s="116">
        <v>781.2</v>
      </c>
      <c r="O211" s="116">
        <v>770.85</v>
      </c>
      <c r="P211" s="116">
        <v>771</v>
      </c>
      <c r="Q211" s="116">
        <v>776.75</v>
      </c>
      <c r="R211">
        <v>44474</v>
      </c>
    </row>
    <row r="212" spans="1:18" x14ac:dyDescent="0.25">
      <c r="A212" s="170">
        <v>42942</v>
      </c>
      <c r="B212" s="116">
        <v>782.55</v>
      </c>
      <c r="C212" s="116">
        <v>761.3</v>
      </c>
      <c r="D212" s="116">
        <v>760</v>
      </c>
      <c r="E212" s="116">
        <v>774.85</v>
      </c>
      <c r="F212" s="116">
        <v>761.3</v>
      </c>
      <c r="G212">
        <v>3186</v>
      </c>
      <c r="H212" s="116"/>
      <c r="I212" s="116"/>
      <c r="L212" s="170">
        <v>42942</v>
      </c>
      <c r="M212" s="116">
        <v>761.6</v>
      </c>
      <c r="N212" s="116">
        <v>779</v>
      </c>
      <c r="O212" s="116">
        <v>760.05</v>
      </c>
      <c r="P212" s="116">
        <v>779</v>
      </c>
      <c r="Q212" s="116">
        <v>761.6</v>
      </c>
      <c r="R212">
        <v>17373</v>
      </c>
    </row>
    <row r="213" spans="1:18" x14ac:dyDescent="0.25">
      <c r="A213" s="170">
        <v>42943</v>
      </c>
      <c r="B213" s="116">
        <v>765.65</v>
      </c>
      <c r="C213" s="116">
        <v>758.2</v>
      </c>
      <c r="D213" s="116">
        <v>755</v>
      </c>
      <c r="E213" s="116">
        <v>760.45</v>
      </c>
      <c r="F213" s="116">
        <v>758.2</v>
      </c>
      <c r="G213">
        <v>1830</v>
      </c>
      <c r="H213" s="116"/>
      <c r="I213" s="116"/>
      <c r="L213" s="170">
        <v>42943</v>
      </c>
      <c r="M213" s="116">
        <v>759.05</v>
      </c>
      <c r="N213" s="116">
        <v>767</v>
      </c>
      <c r="O213" s="116">
        <v>755.05</v>
      </c>
      <c r="P213" s="116">
        <v>761.6</v>
      </c>
      <c r="Q213" s="116">
        <v>759.05</v>
      </c>
      <c r="R213">
        <v>12259</v>
      </c>
    </row>
    <row r="214" spans="1:18" x14ac:dyDescent="0.25">
      <c r="A214" s="170">
        <v>42944</v>
      </c>
      <c r="B214" s="116">
        <v>767.7</v>
      </c>
      <c r="C214" s="116">
        <v>762.25</v>
      </c>
      <c r="D214" s="116">
        <v>758.2</v>
      </c>
      <c r="E214" s="116">
        <v>759.5</v>
      </c>
      <c r="F214" s="116">
        <v>762.25</v>
      </c>
      <c r="G214">
        <v>6077</v>
      </c>
      <c r="H214" s="116"/>
      <c r="I214" s="116"/>
      <c r="L214" s="170">
        <v>42944</v>
      </c>
      <c r="M214" s="116">
        <v>766</v>
      </c>
      <c r="N214" s="116">
        <v>769</v>
      </c>
      <c r="O214" s="116">
        <v>755</v>
      </c>
      <c r="P214" s="116">
        <v>755</v>
      </c>
      <c r="Q214" s="116">
        <v>766</v>
      </c>
      <c r="R214">
        <v>9204</v>
      </c>
    </row>
    <row r="215" spans="1:18" x14ac:dyDescent="0.25">
      <c r="A215" s="170">
        <v>42947</v>
      </c>
      <c r="B215" s="116">
        <v>765</v>
      </c>
      <c r="C215" s="116">
        <v>758.25</v>
      </c>
      <c r="D215" s="116">
        <v>755</v>
      </c>
      <c r="E215" s="116">
        <v>764</v>
      </c>
      <c r="F215" s="116">
        <v>758.25</v>
      </c>
      <c r="G215">
        <v>1511</v>
      </c>
      <c r="H215" s="116"/>
      <c r="I215" s="116"/>
      <c r="L215" s="170">
        <v>42947</v>
      </c>
      <c r="M215" s="116">
        <v>761.15</v>
      </c>
      <c r="N215" s="116">
        <v>769.9</v>
      </c>
      <c r="O215" s="116">
        <v>756</v>
      </c>
      <c r="P215" s="116">
        <v>765</v>
      </c>
      <c r="Q215" s="116">
        <v>761.15</v>
      </c>
      <c r="R215">
        <v>8898</v>
      </c>
    </row>
    <row r="216" spans="1:18" x14ac:dyDescent="0.25">
      <c r="A216" s="170">
        <v>42948</v>
      </c>
      <c r="B216" s="116">
        <v>764.3</v>
      </c>
      <c r="C216" s="116">
        <v>755.6</v>
      </c>
      <c r="D216" s="116">
        <v>755</v>
      </c>
      <c r="E216" s="116">
        <v>763.85</v>
      </c>
      <c r="F216" s="116">
        <v>755.6</v>
      </c>
      <c r="G216">
        <v>1686</v>
      </c>
      <c r="H216" s="116"/>
      <c r="I216" s="116"/>
      <c r="L216" s="170">
        <v>42948</v>
      </c>
      <c r="M216" s="116">
        <v>758.85</v>
      </c>
      <c r="N216" s="116">
        <v>764.95</v>
      </c>
      <c r="O216" s="116">
        <v>755</v>
      </c>
      <c r="P216" s="116">
        <v>764.95</v>
      </c>
      <c r="Q216" s="116">
        <v>758.85</v>
      </c>
      <c r="R216">
        <v>16505</v>
      </c>
    </row>
    <row r="217" spans="1:18" x14ac:dyDescent="0.25">
      <c r="A217" s="170">
        <v>42949</v>
      </c>
      <c r="B217" s="116">
        <v>760</v>
      </c>
      <c r="C217" s="116">
        <v>748.6</v>
      </c>
      <c r="D217" s="116">
        <v>743.5</v>
      </c>
      <c r="E217" s="116">
        <v>760</v>
      </c>
      <c r="F217" s="116">
        <v>748.6</v>
      </c>
      <c r="G217">
        <v>1549</v>
      </c>
      <c r="H217" s="116"/>
      <c r="I217" s="116"/>
      <c r="L217" s="170">
        <v>42949</v>
      </c>
      <c r="M217" s="116">
        <v>747.6</v>
      </c>
      <c r="N217" s="116">
        <v>759.3</v>
      </c>
      <c r="O217" s="116">
        <v>745</v>
      </c>
      <c r="P217" s="116">
        <v>758</v>
      </c>
      <c r="Q217" s="116">
        <v>747.6</v>
      </c>
      <c r="R217">
        <v>9195</v>
      </c>
    </row>
    <row r="218" spans="1:18" x14ac:dyDescent="0.25">
      <c r="A218" s="170">
        <v>42950</v>
      </c>
      <c r="B218" s="116">
        <v>750</v>
      </c>
      <c r="C218" s="116">
        <v>740.95</v>
      </c>
      <c r="D218" s="116">
        <v>737.5</v>
      </c>
      <c r="E218" s="116">
        <v>749.4</v>
      </c>
      <c r="F218" s="116">
        <v>740.95</v>
      </c>
      <c r="G218">
        <v>1254</v>
      </c>
      <c r="H218" s="116"/>
      <c r="I218" s="116"/>
      <c r="L218" s="170">
        <v>42950</v>
      </c>
      <c r="M218" s="116">
        <v>742.35</v>
      </c>
      <c r="N218" s="116">
        <v>750</v>
      </c>
      <c r="O218" s="116">
        <v>740</v>
      </c>
      <c r="P218" s="116">
        <v>748</v>
      </c>
      <c r="Q218" s="116">
        <v>742.35</v>
      </c>
      <c r="R218">
        <v>7527</v>
      </c>
    </row>
    <row r="219" spans="1:18" x14ac:dyDescent="0.25">
      <c r="A219" s="170">
        <v>42951</v>
      </c>
      <c r="B219" s="116">
        <v>755.3</v>
      </c>
      <c r="C219" s="116">
        <v>750.1</v>
      </c>
      <c r="D219" s="116">
        <v>741.25</v>
      </c>
      <c r="E219" s="116">
        <v>742.8</v>
      </c>
      <c r="F219" s="116">
        <v>750.1</v>
      </c>
      <c r="G219">
        <v>1244</v>
      </c>
      <c r="H219" s="116"/>
      <c r="I219" s="116"/>
      <c r="L219" s="170">
        <v>42951</v>
      </c>
      <c r="M219" s="116">
        <v>750.85</v>
      </c>
      <c r="N219" s="116">
        <v>759.95</v>
      </c>
      <c r="O219" s="116">
        <v>740.1</v>
      </c>
      <c r="P219" s="116">
        <v>744.95</v>
      </c>
      <c r="Q219" s="116">
        <v>750.85</v>
      </c>
      <c r="R219">
        <v>7050</v>
      </c>
    </row>
    <row r="220" spans="1:18" x14ac:dyDescent="0.25">
      <c r="A220" s="170">
        <v>42954</v>
      </c>
      <c r="B220" s="116">
        <v>762</v>
      </c>
      <c r="C220" s="116">
        <v>757.2</v>
      </c>
      <c r="D220" s="116">
        <v>750</v>
      </c>
      <c r="E220" s="116">
        <v>754.9</v>
      </c>
      <c r="F220" s="116">
        <v>757.2</v>
      </c>
      <c r="G220">
        <v>1025</v>
      </c>
      <c r="H220" s="116"/>
      <c r="I220" s="116"/>
      <c r="L220" s="170">
        <v>42954</v>
      </c>
      <c r="M220" s="116">
        <v>758.55</v>
      </c>
      <c r="N220" s="116">
        <v>763</v>
      </c>
      <c r="O220" s="116">
        <v>750</v>
      </c>
      <c r="P220" s="116">
        <v>754.9</v>
      </c>
      <c r="Q220" s="116">
        <v>758.55</v>
      </c>
      <c r="R220">
        <v>8591</v>
      </c>
    </row>
    <row r="221" spans="1:18" x14ac:dyDescent="0.25">
      <c r="A221" s="170">
        <v>42955</v>
      </c>
      <c r="B221" s="116">
        <v>765.05</v>
      </c>
      <c r="C221" s="116">
        <v>742.8</v>
      </c>
      <c r="D221" s="116">
        <v>740</v>
      </c>
      <c r="E221" s="116">
        <v>765.05</v>
      </c>
      <c r="F221" s="116">
        <v>742.8</v>
      </c>
      <c r="G221">
        <v>4853</v>
      </c>
      <c r="H221" s="116"/>
      <c r="I221" s="116"/>
      <c r="L221" s="170">
        <v>42955</v>
      </c>
      <c r="M221" s="116">
        <v>742.95</v>
      </c>
      <c r="N221" s="116">
        <v>762.05</v>
      </c>
      <c r="O221" s="116">
        <v>740</v>
      </c>
      <c r="P221" s="116">
        <v>755.05</v>
      </c>
      <c r="Q221" s="116">
        <v>742.95</v>
      </c>
      <c r="R221">
        <v>14561</v>
      </c>
    </row>
    <row r="222" spans="1:18" x14ac:dyDescent="0.25">
      <c r="A222" s="170">
        <v>42956</v>
      </c>
      <c r="B222" s="116">
        <v>743</v>
      </c>
      <c r="C222" s="116">
        <v>737.35</v>
      </c>
      <c r="D222" s="116">
        <v>735</v>
      </c>
      <c r="E222" s="116">
        <v>738.25</v>
      </c>
      <c r="F222" s="116">
        <v>737.35</v>
      </c>
      <c r="G222">
        <v>1401</v>
      </c>
      <c r="H222" s="116"/>
      <c r="I222" s="116"/>
      <c r="L222" s="170">
        <v>42956</v>
      </c>
      <c r="M222" s="116">
        <v>735.25</v>
      </c>
      <c r="N222" s="116">
        <v>741.2</v>
      </c>
      <c r="O222" s="116">
        <v>734.05</v>
      </c>
      <c r="P222" s="116">
        <v>740</v>
      </c>
      <c r="Q222" s="116">
        <v>735.25</v>
      </c>
      <c r="R222">
        <v>10156</v>
      </c>
    </row>
    <row r="223" spans="1:18" x14ac:dyDescent="0.25">
      <c r="A223" s="170">
        <v>42957</v>
      </c>
      <c r="B223" s="116">
        <v>745.25</v>
      </c>
      <c r="C223" s="116">
        <v>739.6</v>
      </c>
      <c r="D223" s="116">
        <v>733</v>
      </c>
      <c r="E223" s="116">
        <v>738.2</v>
      </c>
      <c r="F223" s="116">
        <v>739.6</v>
      </c>
      <c r="G223">
        <v>1759</v>
      </c>
      <c r="H223" s="116"/>
      <c r="I223" s="116"/>
      <c r="L223" s="170">
        <v>42957</v>
      </c>
      <c r="M223" s="116">
        <v>740.35</v>
      </c>
      <c r="N223" s="116">
        <v>746.4</v>
      </c>
      <c r="O223" s="116">
        <v>733.05</v>
      </c>
      <c r="P223" s="116">
        <v>736</v>
      </c>
      <c r="Q223" s="116">
        <v>740.35</v>
      </c>
      <c r="R223">
        <v>19359</v>
      </c>
    </row>
    <row r="224" spans="1:18" x14ac:dyDescent="0.25">
      <c r="A224" s="170">
        <v>42958</v>
      </c>
      <c r="B224" s="116">
        <v>740</v>
      </c>
      <c r="C224" s="116">
        <v>731.55</v>
      </c>
      <c r="D224" s="116">
        <v>730</v>
      </c>
      <c r="E224" s="116">
        <v>740</v>
      </c>
      <c r="F224" s="116">
        <v>731.55</v>
      </c>
      <c r="G224">
        <v>2073</v>
      </c>
      <c r="H224" s="116"/>
      <c r="I224" s="116"/>
      <c r="L224" s="170">
        <v>42958</v>
      </c>
      <c r="M224" s="116">
        <v>731.65</v>
      </c>
      <c r="N224" s="116">
        <v>740.3</v>
      </c>
      <c r="O224" s="116">
        <v>729</v>
      </c>
      <c r="P224" s="116">
        <v>739.85</v>
      </c>
      <c r="Q224" s="116">
        <v>731.65</v>
      </c>
      <c r="R224">
        <v>46470</v>
      </c>
    </row>
    <row r="225" spans="1:18" x14ac:dyDescent="0.25">
      <c r="A225" s="170">
        <v>42961</v>
      </c>
      <c r="B225" s="116">
        <v>748</v>
      </c>
      <c r="C225" s="116">
        <v>732.35</v>
      </c>
      <c r="D225" s="116">
        <v>727.05</v>
      </c>
      <c r="E225" s="116">
        <v>731.55</v>
      </c>
      <c r="F225" s="116">
        <v>732.35</v>
      </c>
      <c r="G225">
        <v>6003</v>
      </c>
      <c r="H225" s="116"/>
      <c r="I225" s="116"/>
      <c r="L225" s="170">
        <v>42961</v>
      </c>
      <c r="M225" s="116">
        <v>732.05</v>
      </c>
      <c r="N225" s="116">
        <v>739.9</v>
      </c>
      <c r="O225" s="116">
        <v>725.05</v>
      </c>
      <c r="P225" s="116">
        <v>731.7</v>
      </c>
      <c r="Q225" s="116">
        <v>732.05</v>
      </c>
      <c r="R225">
        <v>21762</v>
      </c>
    </row>
    <row r="226" spans="1:18" x14ac:dyDescent="0.25">
      <c r="A226" s="170">
        <v>42963</v>
      </c>
      <c r="B226" s="116">
        <v>743.9</v>
      </c>
      <c r="C226" s="116">
        <v>732.05</v>
      </c>
      <c r="D226" s="116">
        <v>728.8</v>
      </c>
      <c r="E226" s="116">
        <v>733.4</v>
      </c>
      <c r="F226" s="116">
        <v>732.05</v>
      </c>
      <c r="G226">
        <v>4696</v>
      </c>
      <c r="H226" s="116"/>
      <c r="I226" s="116"/>
      <c r="L226" s="170">
        <v>42963</v>
      </c>
      <c r="M226" s="116">
        <v>732.75</v>
      </c>
      <c r="N226" s="116">
        <v>744.65</v>
      </c>
      <c r="O226" s="116">
        <v>730.1</v>
      </c>
      <c r="P226" s="116">
        <v>734.95</v>
      </c>
      <c r="Q226" s="116">
        <v>732.75</v>
      </c>
      <c r="R226">
        <v>11014</v>
      </c>
    </row>
    <row r="227" spans="1:18" x14ac:dyDescent="0.25">
      <c r="A227" s="170">
        <v>42964</v>
      </c>
      <c r="B227" s="116">
        <v>739.95</v>
      </c>
      <c r="C227" s="116">
        <v>731.7</v>
      </c>
      <c r="D227" s="116">
        <v>730</v>
      </c>
      <c r="E227" s="116">
        <v>739.95</v>
      </c>
      <c r="F227" s="116">
        <v>731.7</v>
      </c>
      <c r="G227">
        <v>1498</v>
      </c>
      <c r="H227" s="116"/>
      <c r="I227" s="116"/>
      <c r="L227" s="170">
        <v>42964</v>
      </c>
      <c r="M227" s="116">
        <v>733.15</v>
      </c>
      <c r="N227" s="116">
        <v>737.9</v>
      </c>
      <c r="O227" s="116">
        <v>730</v>
      </c>
      <c r="P227" s="116">
        <v>733</v>
      </c>
      <c r="Q227" s="116">
        <v>733.15</v>
      </c>
      <c r="R227">
        <v>9221</v>
      </c>
    </row>
    <row r="228" spans="1:18" x14ac:dyDescent="0.25">
      <c r="A228" s="170">
        <v>42965</v>
      </c>
      <c r="B228" s="116">
        <v>744.25</v>
      </c>
      <c r="C228" s="116">
        <v>738.7</v>
      </c>
      <c r="D228" s="116">
        <v>726.75</v>
      </c>
      <c r="E228" s="116">
        <v>731.7</v>
      </c>
      <c r="F228" s="116">
        <v>738.7</v>
      </c>
      <c r="G228">
        <v>1760</v>
      </c>
      <c r="H228" s="116"/>
      <c r="I228" s="116"/>
      <c r="L228" s="170">
        <v>42965</v>
      </c>
      <c r="M228" s="116">
        <v>740.5</v>
      </c>
      <c r="N228" s="116">
        <v>745</v>
      </c>
      <c r="O228" s="116">
        <v>727</v>
      </c>
      <c r="P228" s="116">
        <v>732</v>
      </c>
      <c r="Q228" s="116">
        <v>740.5</v>
      </c>
      <c r="R228">
        <v>19586</v>
      </c>
    </row>
    <row r="229" spans="1:18" x14ac:dyDescent="0.25">
      <c r="A229" s="170">
        <v>42968</v>
      </c>
      <c r="B229" s="116">
        <v>762.3</v>
      </c>
      <c r="C229" s="116">
        <v>741.35</v>
      </c>
      <c r="D229" s="116">
        <v>740</v>
      </c>
      <c r="E229" s="116">
        <v>741.2</v>
      </c>
      <c r="F229" s="116">
        <v>741.35</v>
      </c>
      <c r="G229">
        <v>6091</v>
      </c>
      <c r="H229" s="116"/>
      <c r="I229" s="116"/>
      <c r="L229" s="170">
        <v>42968</v>
      </c>
      <c r="M229" s="116">
        <v>745.2</v>
      </c>
      <c r="N229" s="116">
        <v>749.9</v>
      </c>
      <c r="O229" s="116">
        <v>740</v>
      </c>
      <c r="P229" s="116">
        <v>740.55</v>
      </c>
      <c r="Q229" s="116">
        <v>745.2</v>
      </c>
      <c r="R229">
        <v>26169</v>
      </c>
    </row>
    <row r="230" spans="1:18" x14ac:dyDescent="0.25">
      <c r="A230" s="170">
        <v>42969</v>
      </c>
      <c r="B230" s="116">
        <v>747.05</v>
      </c>
      <c r="C230" s="116">
        <v>737.1</v>
      </c>
      <c r="D230" s="116">
        <v>731</v>
      </c>
      <c r="E230" s="116">
        <v>747</v>
      </c>
      <c r="F230" s="116">
        <v>737.1</v>
      </c>
      <c r="G230">
        <v>6989</v>
      </c>
      <c r="H230" s="116"/>
      <c r="I230" s="116"/>
      <c r="L230" s="170">
        <v>42969</v>
      </c>
      <c r="M230" s="116">
        <v>745</v>
      </c>
      <c r="N230" s="116">
        <v>752.7</v>
      </c>
      <c r="O230" s="116">
        <v>734</v>
      </c>
      <c r="P230" s="116">
        <v>745</v>
      </c>
      <c r="Q230" s="116">
        <v>745</v>
      </c>
      <c r="R230">
        <v>13098</v>
      </c>
    </row>
    <row r="231" spans="1:18" x14ac:dyDescent="0.25">
      <c r="A231" s="170">
        <v>42970</v>
      </c>
      <c r="B231" s="116">
        <v>755.8</v>
      </c>
      <c r="C231" s="116">
        <v>747.9</v>
      </c>
      <c r="D231" s="116">
        <v>740.2</v>
      </c>
      <c r="E231" s="116">
        <v>741.05</v>
      </c>
      <c r="F231" s="116">
        <v>747.9</v>
      </c>
      <c r="G231">
        <v>1160</v>
      </c>
      <c r="H231" s="116"/>
      <c r="I231" s="116"/>
      <c r="L231" s="170">
        <v>42970</v>
      </c>
      <c r="M231" s="116">
        <v>752.95</v>
      </c>
      <c r="N231" s="116">
        <v>756.5</v>
      </c>
      <c r="O231" s="116">
        <v>740.25</v>
      </c>
      <c r="P231" s="116">
        <v>741.25</v>
      </c>
      <c r="Q231" s="116">
        <v>752.95</v>
      </c>
      <c r="R231">
        <v>20342</v>
      </c>
    </row>
    <row r="232" spans="1:18" x14ac:dyDescent="0.25">
      <c r="A232" s="170">
        <v>42971</v>
      </c>
      <c r="B232" s="116">
        <v>761.5</v>
      </c>
      <c r="C232" s="116">
        <v>754.25</v>
      </c>
      <c r="D232" s="116">
        <v>746.75</v>
      </c>
      <c r="E232" s="116">
        <v>749.95</v>
      </c>
      <c r="F232" s="116">
        <v>754.25</v>
      </c>
      <c r="G232">
        <v>1386</v>
      </c>
      <c r="H232" s="116"/>
      <c r="I232" s="116"/>
      <c r="L232" s="170">
        <v>42971</v>
      </c>
      <c r="M232" s="116">
        <v>757.65</v>
      </c>
      <c r="N232" s="116">
        <v>762</v>
      </c>
      <c r="O232" s="116">
        <v>748.9</v>
      </c>
      <c r="P232" s="116">
        <v>750.05</v>
      </c>
      <c r="Q232" s="116">
        <v>757.65</v>
      </c>
      <c r="R232">
        <v>15500</v>
      </c>
    </row>
    <row r="233" spans="1:18" x14ac:dyDescent="0.25">
      <c r="A233" s="170">
        <v>42975</v>
      </c>
      <c r="B233" s="116">
        <v>763.1</v>
      </c>
      <c r="C233" s="116">
        <v>743.85</v>
      </c>
      <c r="D233" s="116">
        <v>734</v>
      </c>
      <c r="E233" s="116">
        <v>758.55</v>
      </c>
      <c r="F233" s="116">
        <v>743.85</v>
      </c>
      <c r="G233">
        <v>1942</v>
      </c>
      <c r="H233" s="116"/>
      <c r="I233" s="116"/>
      <c r="L233" s="170">
        <v>42975</v>
      </c>
      <c r="M233" s="116">
        <v>757.25</v>
      </c>
      <c r="N233" s="116">
        <v>765.6</v>
      </c>
      <c r="O233" s="116">
        <v>752</v>
      </c>
      <c r="P233" s="116">
        <v>755.05</v>
      </c>
      <c r="Q233" s="116">
        <v>757.25</v>
      </c>
      <c r="R233">
        <v>11913</v>
      </c>
    </row>
    <row r="234" spans="1:18" x14ac:dyDescent="0.25">
      <c r="A234" s="170">
        <v>42976</v>
      </c>
      <c r="B234" s="116">
        <v>764</v>
      </c>
      <c r="C234" s="116">
        <v>758.2</v>
      </c>
      <c r="D234" s="116">
        <v>751.3</v>
      </c>
      <c r="E234" s="116">
        <v>751.35</v>
      </c>
      <c r="F234" s="116">
        <v>758.2</v>
      </c>
      <c r="G234">
        <v>1569</v>
      </c>
      <c r="H234" s="116"/>
      <c r="I234" s="116"/>
      <c r="L234" s="170">
        <v>42976</v>
      </c>
      <c r="M234" s="116">
        <v>763.7</v>
      </c>
      <c r="N234" s="116">
        <v>769.95</v>
      </c>
      <c r="O234" s="116">
        <v>752</v>
      </c>
      <c r="P234" s="116">
        <v>754</v>
      </c>
      <c r="Q234" s="116">
        <v>763.7</v>
      </c>
      <c r="R234">
        <v>11353</v>
      </c>
    </row>
    <row r="235" spans="1:18" x14ac:dyDescent="0.25">
      <c r="A235" s="170">
        <v>42977</v>
      </c>
      <c r="B235" s="116">
        <v>768</v>
      </c>
      <c r="C235" s="116">
        <v>763.4</v>
      </c>
      <c r="D235" s="116">
        <v>741</v>
      </c>
      <c r="E235" s="116">
        <v>759.65</v>
      </c>
      <c r="F235" s="116">
        <v>763.4</v>
      </c>
      <c r="G235">
        <v>1059</v>
      </c>
      <c r="H235" s="116"/>
      <c r="I235" s="116"/>
      <c r="L235" s="170">
        <v>42977</v>
      </c>
      <c r="M235" s="116">
        <v>766.65</v>
      </c>
      <c r="N235" s="116">
        <v>771</v>
      </c>
      <c r="O235" s="116">
        <v>760.05</v>
      </c>
      <c r="P235" s="116">
        <v>760.05</v>
      </c>
      <c r="Q235" s="116">
        <v>766.65</v>
      </c>
      <c r="R235">
        <v>7712</v>
      </c>
    </row>
    <row r="236" spans="1:18" x14ac:dyDescent="0.25">
      <c r="A236" s="170">
        <v>42978</v>
      </c>
      <c r="B236" s="116">
        <v>771.9</v>
      </c>
      <c r="C236" s="116">
        <v>769.3</v>
      </c>
      <c r="D236" s="116">
        <v>762.3</v>
      </c>
      <c r="E236" s="116">
        <v>766.7</v>
      </c>
      <c r="F236" s="116">
        <v>769.3</v>
      </c>
      <c r="G236">
        <v>1401</v>
      </c>
      <c r="H236" s="116"/>
      <c r="I236" s="116"/>
      <c r="L236" s="170">
        <v>42978</v>
      </c>
      <c r="M236" s="116">
        <v>768.95</v>
      </c>
      <c r="N236" s="116">
        <v>773.9</v>
      </c>
      <c r="O236" s="116">
        <v>765.05</v>
      </c>
      <c r="P236" s="116">
        <v>765.05</v>
      </c>
      <c r="Q236" s="116">
        <v>768.95</v>
      </c>
      <c r="R236">
        <v>9781</v>
      </c>
    </row>
    <row r="237" spans="1:18" x14ac:dyDescent="0.25">
      <c r="A237" s="170">
        <v>42979</v>
      </c>
      <c r="B237" s="116">
        <v>777.9</v>
      </c>
      <c r="C237" s="116">
        <v>775.5</v>
      </c>
      <c r="D237" s="116">
        <v>766.95</v>
      </c>
      <c r="E237" s="116">
        <v>771</v>
      </c>
      <c r="F237" s="116">
        <v>775.5</v>
      </c>
      <c r="G237">
        <v>1888</v>
      </c>
      <c r="H237" s="116"/>
      <c r="I237" s="116"/>
      <c r="L237" s="170">
        <v>42979</v>
      </c>
      <c r="M237" s="116">
        <v>776.35</v>
      </c>
      <c r="N237" s="116">
        <v>779</v>
      </c>
      <c r="O237" s="116">
        <v>768</v>
      </c>
      <c r="P237" s="116">
        <v>773.8</v>
      </c>
      <c r="Q237" s="116">
        <v>776.35</v>
      </c>
      <c r="R237">
        <v>11772</v>
      </c>
    </row>
    <row r="238" spans="1:18" x14ac:dyDescent="0.25">
      <c r="A238" s="170">
        <v>42982</v>
      </c>
      <c r="B238" s="116">
        <v>790.15</v>
      </c>
      <c r="C238" s="116">
        <v>786.3</v>
      </c>
      <c r="D238" s="116">
        <v>776</v>
      </c>
      <c r="E238" s="116">
        <v>776.55</v>
      </c>
      <c r="F238" s="116">
        <v>786.3</v>
      </c>
      <c r="G238">
        <v>3705</v>
      </c>
      <c r="H238" s="116"/>
      <c r="I238" s="116"/>
      <c r="L238" s="170">
        <v>42982</v>
      </c>
      <c r="M238" s="116">
        <v>784.85</v>
      </c>
      <c r="N238" s="116">
        <v>791</v>
      </c>
      <c r="O238" s="116">
        <v>774.8</v>
      </c>
      <c r="P238" s="116">
        <v>774.8</v>
      </c>
      <c r="Q238" s="116">
        <v>784.85</v>
      </c>
      <c r="R238">
        <v>29189</v>
      </c>
    </row>
    <row r="239" spans="1:18" x14ac:dyDescent="0.25">
      <c r="A239" s="170">
        <v>42983</v>
      </c>
      <c r="B239" s="116">
        <v>791.55</v>
      </c>
      <c r="C239" s="116">
        <v>788.65</v>
      </c>
      <c r="D239" s="116">
        <v>783.2</v>
      </c>
      <c r="E239" s="116">
        <v>791.55</v>
      </c>
      <c r="F239" s="116">
        <v>788.65</v>
      </c>
      <c r="G239">
        <v>1663</v>
      </c>
      <c r="H239" s="116"/>
      <c r="I239" s="116"/>
      <c r="L239" s="170">
        <v>42983</v>
      </c>
      <c r="M239" s="116">
        <v>788.65</v>
      </c>
      <c r="N239" s="116">
        <v>789.95</v>
      </c>
      <c r="O239" s="116">
        <v>780.8</v>
      </c>
      <c r="P239" s="116">
        <v>789.8</v>
      </c>
      <c r="Q239" s="116">
        <v>788.65</v>
      </c>
      <c r="R239">
        <v>27145</v>
      </c>
    </row>
    <row r="240" spans="1:18" x14ac:dyDescent="0.25">
      <c r="A240" s="170">
        <v>42984</v>
      </c>
      <c r="B240" s="116">
        <v>791.95</v>
      </c>
      <c r="C240" s="116">
        <v>789.1</v>
      </c>
      <c r="D240" s="116">
        <v>780.55</v>
      </c>
      <c r="E240" s="116">
        <v>786</v>
      </c>
      <c r="F240" s="116">
        <v>789.1</v>
      </c>
      <c r="G240">
        <v>1254</v>
      </c>
      <c r="H240" s="116"/>
      <c r="I240" s="116"/>
      <c r="L240" s="170">
        <v>42984</v>
      </c>
      <c r="M240" s="116">
        <v>790.4</v>
      </c>
      <c r="N240" s="116">
        <v>795</v>
      </c>
      <c r="O240" s="116">
        <v>783.9</v>
      </c>
      <c r="P240" s="116">
        <v>788</v>
      </c>
      <c r="Q240" s="116">
        <v>790.4</v>
      </c>
      <c r="R240">
        <v>42251</v>
      </c>
    </row>
    <row r="241" spans="1:18" x14ac:dyDescent="0.25">
      <c r="A241" s="170">
        <v>42985</v>
      </c>
      <c r="B241" s="116">
        <v>794.5</v>
      </c>
      <c r="C241" s="116">
        <v>774.1</v>
      </c>
      <c r="D241" s="116">
        <v>765.5</v>
      </c>
      <c r="E241" s="116">
        <v>787.55</v>
      </c>
      <c r="F241" s="116">
        <v>774.1</v>
      </c>
      <c r="G241">
        <v>2724</v>
      </c>
      <c r="H241" s="116"/>
      <c r="I241" s="116"/>
      <c r="L241" s="170">
        <v>42985</v>
      </c>
      <c r="M241" s="116">
        <v>780.4</v>
      </c>
      <c r="N241" s="116">
        <v>793.1</v>
      </c>
      <c r="O241" s="116">
        <v>780</v>
      </c>
      <c r="P241" s="116">
        <v>788.15</v>
      </c>
      <c r="Q241" s="116">
        <v>780.4</v>
      </c>
      <c r="R241">
        <v>18318</v>
      </c>
    </row>
    <row r="242" spans="1:18" x14ac:dyDescent="0.25">
      <c r="A242" s="170">
        <v>42986</v>
      </c>
      <c r="B242" s="116">
        <v>800</v>
      </c>
      <c r="C242" s="116">
        <v>792.05</v>
      </c>
      <c r="D242" s="116">
        <v>767</v>
      </c>
      <c r="E242" s="116">
        <v>767</v>
      </c>
      <c r="F242" s="116">
        <v>792.05</v>
      </c>
      <c r="G242">
        <v>3325</v>
      </c>
      <c r="H242" s="116"/>
      <c r="I242" s="116"/>
      <c r="L242" s="170">
        <v>42986</v>
      </c>
      <c r="M242" s="116">
        <v>794.05</v>
      </c>
      <c r="N242" s="116">
        <v>804.95</v>
      </c>
      <c r="O242" s="116">
        <v>769.6</v>
      </c>
      <c r="P242" s="116">
        <v>780</v>
      </c>
      <c r="Q242" s="116">
        <v>794.05</v>
      </c>
      <c r="R242">
        <v>16105</v>
      </c>
    </row>
    <row r="243" spans="1:18" x14ac:dyDescent="0.25">
      <c r="A243" s="170">
        <v>42989</v>
      </c>
      <c r="B243" s="116">
        <v>802</v>
      </c>
      <c r="C243" s="116">
        <v>785.35</v>
      </c>
      <c r="D243" s="116">
        <v>775</v>
      </c>
      <c r="E243" s="116">
        <v>799</v>
      </c>
      <c r="F243" s="116">
        <v>785.35</v>
      </c>
      <c r="G243">
        <v>3208</v>
      </c>
      <c r="H243" s="116"/>
      <c r="I243" s="116"/>
      <c r="L243" s="170">
        <v>42989</v>
      </c>
      <c r="M243" s="116">
        <v>784.15</v>
      </c>
      <c r="N243" s="116">
        <v>805</v>
      </c>
      <c r="O243" s="116">
        <v>771.05</v>
      </c>
      <c r="P243" s="116">
        <v>805</v>
      </c>
      <c r="Q243" s="116">
        <v>784.15</v>
      </c>
      <c r="R243">
        <v>43073</v>
      </c>
    </row>
    <row r="244" spans="1:18" x14ac:dyDescent="0.25">
      <c r="A244" s="170">
        <v>42990</v>
      </c>
      <c r="B244" s="116">
        <v>787.3</v>
      </c>
      <c r="C244" s="116">
        <v>784.35</v>
      </c>
      <c r="D244" s="116">
        <v>780</v>
      </c>
      <c r="E244" s="116">
        <v>780</v>
      </c>
      <c r="F244" s="116">
        <v>784.35</v>
      </c>
      <c r="G244">
        <v>1770</v>
      </c>
      <c r="H244" s="116"/>
      <c r="I244" s="116"/>
      <c r="L244" s="170">
        <v>42990</v>
      </c>
      <c r="M244" s="116">
        <v>780.15</v>
      </c>
      <c r="N244" s="116">
        <v>794.7</v>
      </c>
      <c r="O244" s="116">
        <v>780</v>
      </c>
      <c r="P244" s="116">
        <v>782.85</v>
      </c>
      <c r="Q244" s="116">
        <v>780.15</v>
      </c>
      <c r="R244">
        <v>9823</v>
      </c>
    </row>
    <row r="245" spans="1:18" x14ac:dyDescent="0.25">
      <c r="A245" s="170">
        <v>42991</v>
      </c>
      <c r="B245" s="116">
        <v>784.95</v>
      </c>
      <c r="C245" s="116">
        <v>783.05</v>
      </c>
      <c r="D245" s="116">
        <v>779.05</v>
      </c>
      <c r="E245" s="116">
        <v>783.95</v>
      </c>
      <c r="F245" s="116">
        <v>783.05</v>
      </c>
      <c r="G245">
        <v>1828</v>
      </c>
      <c r="H245" s="116"/>
      <c r="I245" s="116"/>
      <c r="L245" s="170">
        <v>42991</v>
      </c>
      <c r="M245" s="116">
        <v>781.85</v>
      </c>
      <c r="N245" s="116">
        <v>785</v>
      </c>
      <c r="O245" s="116">
        <v>776</v>
      </c>
      <c r="P245" s="116">
        <v>776</v>
      </c>
      <c r="Q245" s="116">
        <v>781.85</v>
      </c>
      <c r="R245">
        <v>10842</v>
      </c>
    </row>
    <row r="246" spans="1:18" x14ac:dyDescent="0.25">
      <c r="A246" s="170">
        <v>42992</v>
      </c>
      <c r="B246" s="116">
        <v>787.65</v>
      </c>
      <c r="C246" s="116">
        <v>783.95</v>
      </c>
      <c r="D246" s="116">
        <v>778</v>
      </c>
      <c r="E246" s="116">
        <v>785</v>
      </c>
      <c r="F246" s="116">
        <v>783.95</v>
      </c>
      <c r="G246">
        <v>1376</v>
      </c>
      <c r="H246" s="116"/>
      <c r="I246" s="116"/>
      <c r="L246" s="170">
        <v>42992</v>
      </c>
      <c r="M246" s="116">
        <v>783.2</v>
      </c>
      <c r="N246" s="116">
        <v>785</v>
      </c>
      <c r="O246" s="116">
        <v>778</v>
      </c>
      <c r="P246" s="116">
        <v>778</v>
      </c>
      <c r="Q246" s="116">
        <v>783.2</v>
      </c>
      <c r="R246">
        <v>9444</v>
      </c>
    </row>
    <row r="247" spans="1:18" x14ac:dyDescent="0.25">
      <c r="A247" s="170">
        <v>42993</v>
      </c>
      <c r="B247" s="116">
        <v>785</v>
      </c>
      <c r="C247" s="116">
        <v>777.9</v>
      </c>
      <c r="D247" s="116">
        <v>775.05</v>
      </c>
      <c r="E247" s="116">
        <v>779.15</v>
      </c>
      <c r="F247" s="116">
        <v>777.9</v>
      </c>
      <c r="G247">
        <v>1293</v>
      </c>
      <c r="H247" s="116"/>
      <c r="I247" s="116"/>
      <c r="L247" s="170">
        <v>42993</v>
      </c>
      <c r="M247" s="116">
        <v>779.85</v>
      </c>
      <c r="N247" s="116">
        <v>784.95</v>
      </c>
      <c r="O247" s="116">
        <v>776</v>
      </c>
      <c r="P247" s="116">
        <v>783.2</v>
      </c>
      <c r="Q247" s="116">
        <v>779.85</v>
      </c>
      <c r="R247">
        <v>18722</v>
      </c>
    </row>
    <row r="248" spans="1:18" x14ac:dyDescent="0.25">
      <c r="A248" s="170">
        <v>42996</v>
      </c>
      <c r="B248" s="116">
        <v>784</v>
      </c>
      <c r="C248" s="116">
        <v>778.85</v>
      </c>
      <c r="D248" s="116">
        <v>770.5</v>
      </c>
      <c r="E248" s="116">
        <v>781.35</v>
      </c>
      <c r="F248" s="116">
        <v>778.85</v>
      </c>
      <c r="G248">
        <v>2424</v>
      </c>
      <c r="H248" s="116"/>
      <c r="I248" s="116"/>
      <c r="L248" s="170">
        <v>42996</v>
      </c>
      <c r="M248" s="116">
        <v>782.5</v>
      </c>
      <c r="N248" s="116">
        <v>791</v>
      </c>
      <c r="O248" s="116">
        <v>770.05</v>
      </c>
      <c r="P248" s="116">
        <v>778</v>
      </c>
      <c r="Q248" s="116">
        <v>782.5</v>
      </c>
      <c r="R248">
        <v>13884</v>
      </c>
    </row>
    <row r="249" spans="1:18" x14ac:dyDescent="0.25">
      <c r="A249" s="170">
        <v>42997</v>
      </c>
      <c r="B249" s="116">
        <v>795</v>
      </c>
      <c r="C249" s="116">
        <v>787.1</v>
      </c>
      <c r="D249" s="116">
        <v>778.65</v>
      </c>
      <c r="E249" s="116">
        <v>778.65</v>
      </c>
      <c r="F249" s="116">
        <v>787.1</v>
      </c>
      <c r="G249">
        <v>2430</v>
      </c>
      <c r="H249" s="116"/>
      <c r="I249" s="116"/>
      <c r="L249" s="170">
        <v>42997</v>
      </c>
      <c r="M249" s="116">
        <v>788.4</v>
      </c>
      <c r="N249" s="116">
        <v>799.95</v>
      </c>
      <c r="O249" s="116">
        <v>782</v>
      </c>
      <c r="P249" s="116">
        <v>782</v>
      </c>
      <c r="Q249" s="116">
        <v>788.4</v>
      </c>
      <c r="R249">
        <v>23126</v>
      </c>
    </row>
    <row r="250" spans="1:18" x14ac:dyDescent="0.25">
      <c r="A250" s="170">
        <v>42998</v>
      </c>
      <c r="B250" s="116">
        <v>785.1</v>
      </c>
      <c r="C250" s="116">
        <v>780</v>
      </c>
      <c r="D250" s="116">
        <v>774.5</v>
      </c>
      <c r="E250" s="116">
        <v>781.6</v>
      </c>
      <c r="F250" s="116">
        <v>780</v>
      </c>
      <c r="G250">
        <v>1038</v>
      </c>
      <c r="H250" s="116"/>
      <c r="I250" s="116"/>
      <c r="L250" s="170">
        <v>42998</v>
      </c>
      <c r="M250" s="116">
        <v>779.75</v>
      </c>
      <c r="N250" s="116">
        <v>788</v>
      </c>
      <c r="O250" s="116">
        <v>775.05</v>
      </c>
      <c r="P250" s="116">
        <v>788</v>
      </c>
      <c r="Q250" s="116">
        <v>779.75</v>
      </c>
      <c r="R250">
        <v>8454</v>
      </c>
    </row>
    <row r="251" spans="1:18" x14ac:dyDescent="0.25">
      <c r="A251" s="170">
        <v>42999</v>
      </c>
      <c r="B251" s="116">
        <v>790</v>
      </c>
      <c r="C251" s="116">
        <v>780.2</v>
      </c>
      <c r="D251" s="116">
        <v>772</v>
      </c>
      <c r="E251" s="116">
        <v>780</v>
      </c>
      <c r="F251" s="116">
        <v>780.2</v>
      </c>
      <c r="G251">
        <v>1785</v>
      </c>
      <c r="H251" s="116"/>
      <c r="I251" s="116"/>
      <c r="L251" s="170">
        <v>42999</v>
      </c>
      <c r="M251" s="116">
        <v>780.2</v>
      </c>
      <c r="N251" s="116">
        <v>784</v>
      </c>
      <c r="O251" s="116">
        <v>775</v>
      </c>
      <c r="P251" s="116">
        <v>775.05</v>
      </c>
      <c r="Q251" s="116">
        <v>780.2</v>
      </c>
      <c r="R251">
        <v>8080</v>
      </c>
    </row>
    <row r="252" spans="1:18" x14ac:dyDescent="0.25">
      <c r="A252" s="170">
        <v>43000</v>
      </c>
      <c r="B252" s="116">
        <v>783.15</v>
      </c>
      <c r="C252" s="116">
        <v>775.45</v>
      </c>
      <c r="D252" s="116">
        <v>772</v>
      </c>
      <c r="E252" s="116">
        <v>781.5</v>
      </c>
      <c r="F252" s="116">
        <v>775.45</v>
      </c>
      <c r="G252">
        <v>1580</v>
      </c>
      <c r="H252" s="116"/>
      <c r="I252" s="116"/>
      <c r="L252" s="170">
        <v>43000</v>
      </c>
      <c r="M252" s="116">
        <v>776.2</v>
      </c>
      <c r="N252" s="116">
        <v>783</v>
      </c>
      <c r="O252" s="116">
        <v>771</v>
      </c>
      <c r="P252" s="116">
        <v>781.1</v>
      </c>
      <c r="Q252" s="116">
        <v>776.2</v>
      </c>
      <c r="R252">
        <v>20856</v>
      </c>
    </row>
    <row r="253" spans="1:18" x14ac:dyDescent="0.25">
      <c r="A253" s="170">
        <v>43003</v>
      </c>
      <c r="B253" s="116">
        <v>782</v>
      </c>
      <c r="C253" s="116">
        <v>772.95</v>
      </c>
      <c r="D253" s="116">
        <v>770</v>
      </c>
      <c r="E253" s="116">
        <v>770</v>
      </c>
      <c r="F253" s="116">
        <v>772.95</v>
      </c>
      <c r="G253">
        <v>1518</v>
      </c>
      <c r="H253" s="116"/>
      <c r="I253" s="116"/>
      <c r="L253" s="170">
        <v>43003</v>
      </c>
      <c r="M253" s="116">
        <v>778.15</v>
      </c>
      <c r="N253" s="116">
        <v>780</v>
      </c>
      <c r="O253" s="116">
        <v>771.7</v>
      </c>
      <c r="P253" s="116">
        <v>771.7</v>
      </c>
      <c r="Q253" s="116">
        <v>778.15</v>
      </c>
      <c r="R253">
        <v>51445</v>
      </c>
    </row>
    <row r="254" spans="1:18" x14ac:dyDescent="0.25">
      <c r="A254" s="170">
        <v>43004</v>
      </c>
      <c r="B254" s="116">
        <v>780</v>
      </c>
      <c r="C254" s="116">
        <v>770.7</v>
      </c>
      <c r="D254" s="116">
        <v>766.1</v>
      </c>
      <c r="E254" s="116">
        <v>770.35</v>
      </c>
      <c r="F254" s="116">
        <v>770.7</v>
      </c>
      <c r="G254">
        <v>4970</v>
      </c>
      <c r="H254" s="116"/>
      <c r="I254" s="116"/>
      <c r="L254" s="170">
        <v>43004</v>
      </c>
      <c r="M254" s="116">
        <v>770.9</v>
      </c>
      <c r="N254" s="116">
        <v>780.05</v>
      </c>
      <c r="O254" s="116">
        <v>769</v>
      </c>
      <c r="P254" s="116">
        <v>774.1</v>
      </c>
      <c r="Q254" s="116">
        <v>770.9</v>
      </c>
      <c r="R254">
        <v>17769</v>
      </c>
    </row>
    <row r="255" spans="1:18" x14ac:dyDescent="0.25">
      <c r="A255" s="170">
        <v>43005</v>
      </c>
      <c r="B255" s="116">
        <v>780</v>
      </c>
      <c r="C255" s="116">
        <v>767.3</v>
      </c>
      <c r="D255" s="116">
        <v>762</v>
      </c>
      <c r="E255" s="116">
        <v>773.95</v>
      </c>
      <c r="F255" s="116">
        <v>767.3</v>
      </c>
      <c r="G255">
        <v>1164</v>
      </c>
      <c r="H255" s="116"/>
      <c r="I255" s="116"/>
      <c r="L255" s="170">
        <v>43005</v>
      </c>
      <c r="M255" s="116">
        <v>771.75</v>
      </c>
      <c r="N255" s="116">
        <v>780</v>
      </c>
      <c r="O255" s="116">
        <v>767</v>
      </c>
      <c r="P255" s="116">
        <v>771.7</v>
      </c>
      <c r="Q255" s="116">
        <v>771.75</v>
      </c>
      <c r="R255">
        <v>17169</v>
      </c>
    </row>
    <row r="256" spans="1:18" x14ac:dyDescent="0.25">
      <c r="A256" s="170">
        <v>43006</v>
      </c>
      <c r="B256" s="116">
        <v>777.1</v>
      </c>
      <c r="C256" s="116">
        <v>770.65</v>
      </c>
      <c r="D256" s="116">
        <v>767.15</v>
      </c>
      <c r="E256" s="116">
        <v>768.5</v>
      </c>
      <c r="F256" s="116">
        <v>770.65</v>
      </c>
      <c r="G256">
        <v>968</v>
      </c>
      <c r="H256" s="116"/>
      <c r="I256" s="116"/>
      <c r="L256" s="170">
        <v>43006</v>
      </c>
      <c r="M256" s="116">
        <v>773.55</v>
      </c>
      <c r="N256" s="116">
        <v>780</v>
      </c>
      <c r="O256" s="116">
        <v>769.95</v>
      </c>
      <c r="P256" s="116">
        <v>772.05</v>
      </c>
      <c r="Q256" s="116">
        <v>773.55</v>
      </c>
      <c r="R256">
        <v>16055</v>
      </c>
    </row>
    <row r="257" spans="1:18" x14ac:dyDescent="0.25">
      <c r="A257" s="170">
        <v>43007</v>
      </c>
      <c r="B257" s="116">
        <v>789</v>
      </c>
      <c r="C257" s="116">
        <v>782.8</v>
      </c>
      <c r="D257" s="116">
        <v>772.2</v>
      </c>
      <c r="E257" s="116">
        <v>772.5</v>
      </c>
      <c r="F257" s="116">
        <v>782.8</v>
      </c>
      <c r="G257">
        <v>1232</v>
      </c>
      <c r="H257" s="116"/>
      <c r="I257" s="116"/>
      <c r="L257" s="170">
        <v>43007</v>
      </c>
      <c r="M257" s="116">
        <v>781.95</v>
      </c>
      <c r="N257" s="116">
        <v>785</v>
      </c>
      <c r="O257" s="116">
        <v>766</v>
      </c>
      <c r="P257" s="116">
        <v>766</v>
      </c>
      <c r="Q257" s="116">
        <v>781.95</v>
      </c>
      <c r="R257">
        <v>17770</v>
      </c>
    </row>
    <row r="258" spans="1:18" x14ac:dyDescent="0.25">
      <c r="A258" s="170">
        <v>43011</v>
      </c>
      <c r="B258" s="116">
        <v>792.2</v>
      </c>
      <c r="C258" s="116">
        <v>769.05</v>
      </c>
      <c r="D258" s="116">
        <v>765</v>
      </c>
      <c r="E258" s="116">
        <v>784.95</v>
      </c>
      <c r="F258" s="116">
        <v>769.05</v>
      </c>
      <c r="G258">
        <v>2351</v>
      </c>
      <c r="H258" s="116"/>
      <c r="I258" s="116"/>
      <c r="L258" s="170">
        <v>43011</v>
      </c>
      <c r="M258" s="116">
        <v>769.9</v>
      </c>
      <c r="N258" s="116">
        <v>789.95</v>
      </c>
      <c r="O258" s="116">
        <v>768</v>
      </c>
      <c r="P258" s="116">
        <v>789.95</v>
      </c>
      <c r="Q258" s="116">
        <v>769.9</v>
      </c>
      <c r="R258">
        <v>11028</v>
      </c>
    </row>
    <row r="259" spans="1:18" x14ac:dyDescent="0.25">
      <c r="A259" s="170">
        <v>43012</v>
      </c>
      <c r="B259" s="116">
        <v>780.95</v>
      </c>
      <c r="C259" s="116">
        <v>777.8</v>
      </c>
      <c r="D259" s="116">
        <v>765.65</v>
      </c>
      <c r="E259" s="116">
        <v>776.4</v>
      </c>
      <c r="F259" s="116">
        <v>777.8</v>
      </c>
      <c r="G259">
        <v>1401</v>
      </c>
      <c r="H259" s="116"/>
      <c r="I259" s="116"/>
      <c r="L259" s="170">
        <v>43012</v>
      </c>
      <c r="M259" s="116">
        <v>786.9</v>
      </c>
      <c r="N259" s="116">
        <v>789.95</v>
      </c>
      <c r="O259" s="116">
        <v>765.55</v>
      </c>
      <c r="P259" s="116">
        <v>769</v>
      </c>
      <c r="Q259" s="116">
        <v>786.9</v>
      </c>
      <c r="R259">
        <v>11668</v>
      </c>
    </row>
    <row r="260" spans="1:18" x14ac:dyDescent="0.25">
      <c r="A260" s="170">
        <v>43013</v>
      </c>
      <c r="B260" s="116">
        <v>800</v>
      </c>
      <c r="C260" s="116">
        <v>785.75</v>
      </c>
      <c r="D260" s="116">
        <v>780</v>
      </c>
      <c r="E260" s="116">
        <v>788.9</v>
      </c>
      <c r="F260" s="116">
        <v>785.75</v>
      </c>
      <c r="G260">
        <v>3166</v>
      </c>
      <c r="H260" s="116"/>
      <c r="I260" s="116"/>
      <c r="L260" s="170">
        <v>43013</v>
      </c>
      <c r="M260" s="116">
        <v>793.05</v>
      </c>
      <c r="N260" s="116">
        <v>802.8</v>
      </c>
      <c r="O260" s="116">
        <v>780.05</v>
      </c>
      <c r="P260" s="116">
        <v>780.05</v>
      </c>
      <c r="Q260" s="116">
        <v>793.05</v>
      </c>
      <c r="R260">
        <v>24503</v>
      </c>
    </row>
    <row r="261" spans="1:18" x14ac:dyDescent="0.25">
      <c r="A261" s="170">
        <v>43014</v>
      </c>
      <c r="B261" s="116">
        <v>797.65</v>
      </c>
      <c r="C261" s="116">
        <v>788.05</v>
      </c>
      <c r="D261" s="116">
        <v>781.3</v>
      </c>
      <c r="E261" s="116">
        <v>792.85</v>
      </c>
      <c r="F261" s="116">
        <v>788.05</v>
      </c>
      <c r="G261">
        <v>1803</v>
      </c>
      <c r="H261" s="116"/>
      <c r="I261" s="116"/>
      <c r="L261" s="170">
        <v>43014</v>
      </c>
      <c r="M261" s="116">
        <v>786.75</v>
      </c>
      <c r="N261" s="116">
        <v>800</v>
      </c>
      <c r="O261" s="116">
        <v>781</v>
      </c>
      <c r="P261" s="116">
        <v>790.05</v>
      </c>
      <c r="Q261" s="116">
        <v>786.75</v>
      </c>
      <c r="R261">
        <v>12090</v>
      </c>
    </row>
    <row r="262" spans="1:18" x14ac:dyDescent="0.25">
      <c r="A262" s="170">
        <v>43017</v>
      </c>
      <c r="B262" s="116">
        <v>786.65</v>
      </c>
      <c r="C262" s="116">
        <v>777.3</v>
      </c>
      <c r="D262" s="116">
        <v>775.05</v>
      </c>
      <c r="E262" s="116">
        <v>785</v>
      </c>
      <c r="F262" s="116">
        <v>777.3</v>
      </c>
      <c r="G262">
        <v>1520</v>
      </c>
      <c r="H262" s="116"/>
      <c r="I262" s="116"/>
      <c r="L262" s="170">
        <v>43017</v>
      </c>
      <c r="M262" s="116">
        <v>781.9</v>
      </c>
      <c r="N262" s="116">
        <v>790.35</v>
      </c>
      <c r="O262" s="116">
        <v>780</v>
      </c>
      <c r="P262" s="116">
        <v>786.75</v>
      </c>
      <c r="Q262" s="116">
        <v>781.9</v>
      </c>
      <c r="R262">
        <v>10487</v>
      </c>
    </row>
    <row r="263" spans="1:18" x14ac:dyDescent="0.25">
      <c r="A263" s="170">
        <v>43018</v>
      </c>
      <c r="B263" s="116">
        <v>796.3</v>
      </c>
      <c r="C263" s="116">
        <v>787.25</v>
      </c>
      <c r="D263" s="116">
        <v>781.9</v>
      </c>
      <c r="E263" s="116">
        <v>781.9</v>
      </c>
      <c r="F263" s="116">
        <v>787.25</v>
      </c>
      <c r="G263">
        <v>1785</v>
      </c>
      <c r="H263" s="116"/>
      <c r="I263" s="116"/>
      <c r="L263" s="170">
        <v>43018</v>
      </c>
      <c r="M263" s="116">
        <v>792.05</v>
      </c>
      <c r="N263" s="116">
        <v>801</v>
      </c>
      <c r="O263" s="116">
        <v>781.9</v>
      </c>
      <c r="P263" s="116">
        <v>789.9</v>
      </c>
      <c r="Q263" s="116">
        <v>792.05</v>
      </c>
      <c r="R263">
        <v>16066</v>
      </c>
    </row>
    <row r="264" spans="1:18" x14ac:dyDescent="0.25">
      <c r="A264" s="170">
        <v>43019</v>
      </c>
      <c r="B264" s="116">
        <v>790</v>
      </c>
      <c r="C264" s="116">
        <v>782.65</v>
      </c>
      <c r="D264" s="116">
        <v>779.35</v>
      </c>
      <c r="E264" s="116">
        <v>783.95</v>
      </c>
      <c r="F264" s="116">
        <v>782.65</v>
      </c>
      <c r="G264">
        <v>1353</v>
      </c>
      <c r="H264" s="116"/>
      <c r="I264" s="116"/>
      <c r="L264" s="170">
        <v>43019</v>
      </c>
      <c r="M264" s="116">
        <v>784.9</v>
      </c>
      <c r="N264" s="116">
        <v>794.95</v>
      </c>
      <c r="O264" s="116">
        <v>780.05</v>
      </c>
      <c r="P264" s="116">
        <v>780.55</v>
      </c>
      <c r="Q264" s="116">
        <v>784.9</v>
      </c>
      <c r="R264">
        <v>13986</v>
      </c>
    </row>
    <row r="265" spans="1:18" x14ac:dyDescent="0.25">
      <c r="A265" s="170">
        <v>43020</v>
      </c>
      <c r="B265" s="116">
        <v>787.7</v>
      </c>
      <c r="C265" s="116">
        <v>782.45</v>
      </c>
      <c r="D265" s="116">
        <v>780</v>
      </c>
      <c r="E265" s="116">
        <v>783.65</v>
      </c>
      <c r="F265" s="116">
        <v>782.45</v>
      </c>
      <c r="G265">
        <v>1202</v>
      </c>
      <c r="H265" s="116"/>
      <c r="I265" s="116"/>
      <c r="L265" s="170">
        <v>43020</v>
      </c>
      <c r="M265" s="116">
        <v>784.8</v>
      </c>
      <c r="N265" s="116">
        <v>789.8</v>
      </c>
      <c r="O265" s="116">
        <v>780.25</v>
      </c>
      <c r="P265" s="116">
        <v>780.25</v>
      </c>
      <c r="Q265" s="116">
        <v>784.8</v>
      </c>
      <c r="R265">
        <v>7381</v>
      </c>
    </row>
    <row r="266" spans="1:18" x14ac:dyDescent="0.25">
      <c r="A266" s="170">
        <v>43021</v>
      </c>
      <c r="B266" s="116">
        <v>804.9</v>
      </c>
      <c r="C266" s="116">
        <v>785.85</v>
      </c>
      <c r="D266" s="116">
        <v>781</v>
      </c>
      <c r="E266" s="116">
        <v>781.05</v>
      </c>
      <c r="F266" s="116">
        <v>785.85</v>
      </c>
      <c r="G266">
        <v>1598</v>
      </c>
      <c r="H266" s="116"/>
      <c r="I266" s="116"/>
      <c r="L266" s="170">
        <v>43021</v>
      </c>
      <c r="M266" s="116">
        <v>790.25</v>
      </c>
      <c r="N266" s="116">
        <v>795.45</v>
      </c>
      <c r="O266" s="116">
        <v>780.05</v>
      </c>
      <c r="P266" s="116">
        <v>784</v>
      </c>
      <c r="Q266" s="116">
        <v>790.25</v>
      </c>
      <c r="R266">
        <v>11594</v>
      </c>
    </row>
    <row r="267" spans="1:18" x14ac:dyDescent="0.25">
      <c r="A267" s="170">
        <v>43024</v>
      </c>
      <c r="B267" s="116">
        <v>812.8</v>
      </c>
      <c r="C267" s="116">
        <v>789.55</v>
      </c>
      <c r="D267" s="116">
        <v>783</v>
      </c>
      <c r="E267" s="116">
        <v>783.45</v>
      </c>
      <c r="F267" s="116">
        <v>789.55</v>
      </c>
      <c r="G267">
        <v>2013</v>
      </c>
      <c r="H267" s="116"/>
      <c r="I267" s="116"/>
      <c r="L267" s="170">
        <v>43024</v>
      </c>
      <c r="M267" s="116">
        <v>792.45</v>
      </c>
      <c r="N267" s="116">
        <v>794.95</v>
      </c>
      <c r="O267" s="116">
        <v>786.05</v>
      </c>
      <c r="P267" s="116">
        <v>788.9</v>
      </c>
      <c r="Q267" s="116">
        <v>792.45</v>
      </c>
      <c r="R267">
        <v>7314</v>
      </c>
    </row>
    <row r="268" spans="1:18" x14ac:dyDescent="0.25">
      <c r="A268" s="170">
        <v>43025</v>
      </c>
      <c r="B268" s="116">
        <v>797.95</v>
      </c>
      <c r="C268" s="116">
        <v>782.6</v>
      </c>
      <c r="D268" s="116">
        <v>781.05</v>
      </c>
      <c r="E268" s="116">
        <v>793.4</v>
      </c>
      <c r="F268" s="116">
        <v>782.6</v>
      </c>
      <c r="G268">
        <v>1472</v>
      </c>
      <c r="H268" s="116"/>
      <c r="I268" s="116"/>
      <c r="L268" s="170">
        <v>43025</v>
      </c>
      <c r="M268" s="116">
        <v>785.9</v>
      </c>
      <c r="N268" s="116">
        <v>795</v>
      </c>
      <c r="O268" s="116">
        <v>781.15</v>
      </c>
      <c r="P268" s="116">
        <v>781.15</v>
      </c>
      <c r="Q268" s="116">
        <v>785.9</v>
      </c>
      <c r="R268">
        <v>8278</v>
      </c>
    </row>
    <row r="269" spans="1:18" x14ac:dyDescent="0.25">
      <c r="A269" s="170">
        <v>43026</v>
      </c>
      <c r="B269" s="116">
        <v>796</v>
      </c>
      <c r="C269" s="116">
        <v>792.4</v>
      </c>
      <c r="D269" s="116">
        <v>783</v>
      </c>
      <c r="E269" s="116">
        <v>785</v>
      </c>
      <c r="F269" s="116">
        <v>792.4</v>
      </c>
      <c r="G269">
        <v>1070</v>
      </c>
      <c r="H269" s="116"/>
      <c r="I269" s="116"/>
      <c r="L269" s="170">
        <v>43026</v>
      </c>
      <c r="M269" s="116">
        <v>791.8</v>
      </c>
      <c r="N269" s="116">
        <v>797.8</v>
      </c>
      <c r="O269" s="116">
        <v>785.05</v>
      </c>
      <c r="P269" s="116">
        <v>789.95</v>
      </c>
      <c r="Q269" s="116">
        <v>791.8</v>
      </c>
      <c r="R269">
        <v>9461</v>
      </c>
    </row>
    <row r="270" spans="1:18" x14ac:dyDescent="0.25">
      <c r="A270" s="170">
        <v>43027</v>
      </c>
      <c r="B270" s="116">
        <v>807.95</v>
      </c>
      <c r="C270" s="116">
        <v>789.45</v>
      </c>
      <c r="D270" s="116">
        <v>786.7</v>
      </c>
      <c r="E270" s="116">
        <v>807.95</v>
      </c>
      <c r="F270" s="116">
        <v>789.45</v>
      </c>
      <c r="G270">
        <v>662</v>
      </c>
      <c r="H270" s="116"/>
      <c r="I270" s="116"/>
      <c r="L270" s="170">
        <v>43027</v>
      </c>
      <c r="M270" s="116">
        <v>791.35</v>
      </c>
      <c r="N270" s="116">
        <v>798</v>
      </c>
      <c r="O270" s="116">
        <v>786</v>
      </c>
      <c r="P270" s="116">
        <v>790.2</v>
      </c>
      <c r="Q270" s="116">
        <v>791.35</v>
      </c>
      <c r="R270">
        <v>2334</v>
      </c>
    </row>
    <row r="271" spans="1:18" x14ac:dyDescent="0.25">
      <c r="A271" s="170">
        <v>43031</v>
      </c>
      <c r="B271" s="116">
        <v>795.05</v>
      </c>
      <c r="C271" s="116">
        <v>792.6</v>
      </c>
      <c r="D271" s="116">
        <v>790</v>
      </c>
      <c r="E271" s="116">
        <v>794.95</v>
      </c>
      <c r="F271" s="116">
        <v>792.6</v>
      </c>
      <c r="G271">
        <v>822</v>
      </c>
      <c r="H271" s="116"/>
      <c r="I271" s="116"/>
      <c r="L271" s="170">
        <v>43031</v>
      </c>
      <c r="M271" s="116">
        <v>792.7</v>
      </c>
      <c r="N271" s="116">
        <v>796.35</v>
      </c>
      <c r="O271" s="116">
        <v>790</v>
      </c>
      <c r="P271" s="116">
        <v>794</v>
      </c>
      <c r="Q271" s="116">
        <v>792.7</v>
      </c>
      <c r="R271">
        <v>10335</v>
      </c>
    </row>
    <row r="272" spans="1:18" x14ac:dyDescent="0.25">
      <c r="A272" s="170">
        <v>43032</v>
      </c>
      <c r="B272" s="116">
        <v>810</v>
      </c>
      <c r="C272" s="116">
        <v>806.8</v>
      </c>
      <c r="D272" s="116">
        <v>789.25</v>
      </c>
      <c r="E272" s="116">
        <v>790.1</v>
      </c>
      <c r="F272" s="116">
        <v>806.8</v>
      </c>
      <c r="G272">
        <v>6172</v>
      </c>
      <c r="H272" s="116"/>
      <c r="I272" s="116"/>
      <c r="L272" s="170">
        <v>43032</v>
      </c>
      <c r="M272" s="116">
        <v>809.5</v>
      </c>
      <c r="N272" s="116">
        <v>810.85</v>
      </c>
      <c r="O272" s="116">
        <v>792.95</v>
      </c>
      <c r="P272" s="116">
        <v>793</v>
      </c>
      <c r="Q272" s="116">
        <v>809.5</v>
      </c>
      <c r="R272">
        <v>31478</v>
      </c>
    </row>
    <row r="273" spans="1:18" x14ac:dyDescent="0.25">
      <c r="A273" s="170">
        <v>43033</v>
      </c>
      <c r="B273" s="116">
        <v>824.15</v>
      </c>
      <c r="C273" s="116">
        <v>816.45</v>
      </c>
      <c r="D273" s="116">
        <v>799.85</v>
      </c>
      <c r="E273" s="116">
        <v>810</v>
      </c>
      <c r="F273" s="116">
        <v>816.45</v>
      </c>
      <c r="G273">
        <v>4595</v>
      </c>
      <c r="H273" s="116"/>
      <c r="I273" s="116"/>
      <c r="L273" s="170">
        <v>43033</v>
      </c>
      <c r="M273" s="116">
        <v>817.45</v>
      </c>
      <c r="N273" s="116">
        <v>822.35</v>
      </c>
      <c r="O273" s="116">
        <v>805</v>
      </c>
      <c r="P273" s="116">
        <v>806</v>
      </c>
      <c r="Q273" s="116">
        <v>817.45</v>
      </c>
      <c r="R273">
        <v>24720</v>
      </c>
    </row>
    <row r="274" spans="1:18" x14ac:dyDescent="0.25">
      <c r="A274" s="170">
        <v>43034</v>
      </c>
      <c r="B274" s="116">
        <v>820.35</v>
      </c>
      <c r="C274" s="116">
        <v>817.2</v>
      </c>
      <c r="D274" s="116">
        <v>809.9</v>
      </c>
      <c r="E274" s="116">
        <v>820.35</v>
      </c>
      <c r="F274" s="116">
        <v>817.2</v>
      </c>
      <c r="G274">
        <v>2172</v>
      </c>
      <c r="H274" s="116"/>
      <c r="I274" s="116"/>
      <c r="L274" s="170">
        <v>43034</v>
      </c>
      <c r="M274" s="116">
        <v>819.1</v>
      </c>
      <c r="N274" s="116">
        <v>822.55</v>
      </c>
      <c r="O274" s="116">
        <v>811.55</v>
      </c>
      <c r="P274" s="116">
        <v>816</v>
      </c>
      <c r="Q274" s="116">
        <v>819.1</v>
      </c>
      <c r="R274">
        <v>13876</v>
      </c>
    </row>
    <row r="275" spans="1:18" x14ac:dyDescent="0.25">
      <c r="A275" s="170">
        <v>43035</v>
      </c>
      <c r="B275" s="116">
        <v>825</v>
      </c>
      <c r="C275" s="116">
        <v>817</v>
      </c>
      <c r="D275" s="116">
        <v>812</v>
      </c>
      <c r="E275" s="116">
        <v>812.05</v>
      </c>
      <c r="F275" s="116">
        <v>817</v>
      </c>
      <c r="G275">
        <v>3214</v>
      </c>
      <c r="H275" s="116"/>
      <c r="I275" s="116"/>
      <c r="L275" s="170">
        <v>43035</v>
      </c>
      <c r="M275" s="116">
        <v>825.4</v>
      </c>
      <c r="N275" s="116">
        <v>829.55</v>
      </c>
      <c r="O275" s="116">
        <v>812</v>
      </c>
      <c r="P275" s="116">
        <v>820</v>
      </c>
      <c r="Q275" s="116">
        <v>825.4</v>
      </c>
      <c r="R275">
        <v>15333</v>
      </c>
    </row>
    <row r="276" spans="1:18" x14ac:dyDescent="0.25">
      <c r="A276" s="170">
        <v>43038</v>
      </c>
      <c r="B276" s="116">
        <v>827</v>
      </c>
      <c r="C276" s="116">
        <v>818.9</v>
      </c>
      <c r="D276" s="116">
        <v>815.65</v>
      </c>
      <c r="E276" s="116">
        <v>820</v>
      </c>
      <c r="F276" s="116">
        <v>818.9</v>
      </c>
      <c r="G276">
        <v>3964</v>
      </c>
      <c r="H276" s="116"/>
      <c r="I276" s="116"/>
      <c r="L276" s="170">
        <v>43038</v>
      </c>
      <c r="M276" s="116">
        <v>818.55</v>
      </c>
      <c r="N276" s="116">
        <v>826.3</v>
      </c>
      <c r="O276" s="116">
        <v>813.8</v>
      </c>
      <c r="P276" s="116">
        <v>820</v>
      </c>
      <c r="Q276" s="116">
        <v>818.55</v>
      </c>
      <c r="R276">
        <v>22279</v>
      </c>
    </row>
    <row r="277" spans="1:18" x14ac:dyDescent="0.25">
      <c r="A277" s="170">
        <v>43039</v>
      </c>
      <c r="B277" s="116">
        <v>843.9</v>
      </c>
      <c r="C277" s="116">
        <v>830.6</v>
      </c>
      <c r="D277" s="116">
        <v>807.75</v>
      </c>
      <c r="E277" s="116">
        <v>820.6</v>
      </c>
      <c r="F277" s="116">
        <v>830.6</v>
      </c>
      <c r="G277">
        <v>3582</v>
      </c>
      <c r="H277" s="116"/>
      <c r="I277" s="116"/>
      <c r="L277" s="170">
        <v>43039</v>
      </c>
      <c r="M277" s="116">
        <v>833</v>
      </c>
      <c r="N277" s="116">
        <v>847</v>
      </c>
      <c r="O277" s="116">
        <v>811.15</v>
      </c>
      <c r="P277" s="116">
        <v>811.2</v>
      </c>
      <c r="Q277" s="116">
        <v>833</v>
      </c>
      <c r="R277">
        <v>32308</v>
      </c>
    </row>
    <row r="278" spans="1:18" x14ac:dyDescent="0.25">
      <c r="A278" s="170">
        <v>43040</v>
      </c>
      <c r="B278" s="116">
        <v>836.35</v>
      </c>
      <c r="C278" s="116">
        <v>824.9</v>
      </c>
      <c r="D278" s="116">
        <v>821.35</v>
      </c>
      <c r="E278" s="116">
        <v>832.2</v>
      </c>
      <c r="F278" s="116">
        <v>824.9</v>
      </c>
      <c r="G278">
        <v>2054</v>
      </c>
      <c r="H278" s="116"/>
      <c r="I278" s="116"/>
      <c r="L278" s="170">
        <v>43040</v>
      </c>
      <c r="M278" s="116">
        <v>831.25</v>
      </c>
      <c r="N278" s="116">
        <v>839.95</v>
      </c>
      <c r="O278" s="116">
        <v>826</v>
      </c>
      <c r="P278" s="116">
        <v>829</v>
      </c>
      <c r="Q278" s="116">
        <v>831.25</v>
      </c>
      <c r="R278">
        <v>17711</v>
      </c>
    </row>
    <row r="279" spans="1:18" x14ac:dyDescent="0.25">
      <c r="A279" s="170">
        <v>43041</v>
      </c>
      <c r="B279" s="116">
        <v>832</v>
      </c>
      <c r="C279" s="116">
        <v>819.65</v>
      </c>
      <c r="D279" s="116">
        <v>812.45</v>
      </c>
      <c r="E279" s="116">
        <v>830</v>
      </c>
      <c r="F279" s="116">
        <v>819.65</v>
      </c>
      <c r="G279">
        <v>2348</v>
      </c>
      <c r="H279" s="116"/>
      <c r="I279" s="116"/>
      <c r="L279" s="170">
        <v>43041</v>
      </c>
      <c r="M279" s="116">
        <v>827.05</v>
      </c>
      <c r="N279" s="116">
        <v>839.95</v>
      </c>
      <c r="O279" s="116">
        <v>821</v>
      </c>
      <c r="P279" s="116">
        <v>826.1</v>
      </c>
      <c r="Q279" s="116">
        <v>827.05</v>
      </c>
      <c r="R279">
        <v>11137</v>
      </c>
    </row>
    <row r="280" spans="1:18" x14ac:dyDescent="0.25">
      <c r="A280" s="170">
        <v>43042</v>
      </c>
      <c r="B280" s="116">
        <v>869.4</v>
      </c>
      <c r="C280" s="116">
        <v>849.75</v>
      </c>
      <c r="D280" s="116">
        <v>822.5</v>
      </c>
      <c r="E280" s="116">
        <v>823.35</v>
      </c>
      <c r="F280" s="116">
        <v>849.75</v>
      </c>
      <c r="G280">
        <v>11233</v>
      </c>
      <c r="H280" s="116"/>
      <c r="I280" s="116"/>
      <c r="L280" s="170">
        <v>43042</v>
      </c>
      <c r="M280" s="116">
        <v>851.8</v>
      </c>
      <c r="N280" s="116">
        <v>877.85</v>
      </c>
      <c r="O280" s="116">
        <v>821.05</v>
      </c>
      <c r="P280" s="116">
        <v>821.05</v>
      </c>
      <c r="Q280" s="116">
        <v>851.8</v>
      </c>
      <c r="R280">
        <v>68126</v>
      </c>
    </row>
    <row r="281" spans="1:18" x14ac:dyDescent="0.25">
      <c r="A281" s="170">
        <v>43045</v>
      </c>
      <c r="B281" s="116">
        <v>868.25</v>
      </c>
      <c r="C281" s="116">
        <v>859.75</v>
      </c>
      <c r="D281" s="116">
        <v>848</v>
      </c>
      <c r="E281" s="116">
        <v>849</v>
      </c>
      <c r="F281" s="116">
        <v>859.75</v>
      </c>
      <c r="G281">
        <v>6780</v>
      </c>
      <c r="H281" s="116"/>
      <c r="I281" s="116"/>
      <c r="L281" s="170">
        <v>43045</v>
      </c>
      <c r="M281" s="116">
        <v>863.6</v>
      </c>
      <c r="N281" s="116">
        <v>870</v>
      </c>
      <c r="O281" s="116">
        <v>848</v>
      </c>
      <c r="P281" s="116">
        <v>852</v>
      </c>
      <c r="Q281" s="116">
        <v>863.6</v>
      </c>
      <c r="R281">
        <v>29690</v>
      </c>
    </row>
    <row r="282" spans="1:18" x14ac:dyDescent="0.25">
      <c r="A282" s="170">
        <v>43046</v>
      </c>
      <c r="B282" s="116">
        <v>855.7</v>
      </c>
      <c r="C282" s="116">
        <v>825.55</v>
      </c>
      <c r="D282" s="116">
        <v>815.1</v>
      </c>
      <c r="E282" s="116">
        <v>853.85</v>
      </c>
      <c r="F282" s="116">
        <v>825.55</v>
      </c>
      <c r="G282">
        <v>3417</v>
      </c>
      <c r="H282" s="116"/>
      <c r="I282" s="116"/>
      <c r="L282" s="170">
        <v>43046</v>
      </c>
      <c r="M282" s="116">
        <v>820.15</v>
      </c>
      <c r="N282" s="116">
        <v>860.65</v>
      </c>
      <c r="O282" s="116">
        <v>812.2</v>
      </c>
      <c r="P282" s="116">
        <v>860.05</v>
      </c>
      <c r="Q282" s="116">
        <v>820.15</v>
      </c>
      <c r="R282">
        <v>23645</v>
      </c>
    </row>
    <row r="283" spans="1:18" x14ac:dyDescent="0.25">
      <c r="A283" s="170">
        <v>43047</v>
      </c>
      <c r="B283" s="116">
        <v>879.2</v>
      </c>
      <c r="C283" s="116">
        <v>875.85</v>
      </c>
      <c r="D283" s="116">
        <v>835.15</v>
      </c>
      <c r="E283" s="116">
        <v>847.6</v>
      </c>
      <c r="F283" s="116">
        <v>875.85</v>
      </c>
      <c r="G283">
        <v>26606</v>
      </c>
      <c r="H283" s="116"/>
      <c r="I283" s="116"/>
      <c r="L283" s="170">
        <v>43047</v>
      </c>
      <c r="M283" s="116">
        <v>876.65</v>
      </c>
      <c r="N283" s="116">
        <v>882</v>
      </c>
      <c r="O283" s="116">
        <v>831.15</v>
      </c>
      <c r="P283" s="116">
        <v>834.95</v>
      </c>
      <c r="Q283" s="116">
        <v>876.65</v>
      </c>
      <c r="R283">
        <v>135325</v>
      </c>
    </row>
    <row r="284" spans="1:18" x14ac:dyDescent="0.25">
      <c r="A284" s="170">
        <v>43048</v>
      </c>
      <c r="B284" s="116">
        <v>909</v>
      </c>
      <c r="C284" s="116">
        <v>902.85</v>
      </c>
      <c r="D284" s="116">
        <v>876</v>
      </c>
      <c r="E284" s="116">
        <v>876</v>
      </c>
      <c r="F284" s="116">
        <v>902.85</v>
      </c>
      <c r="G284">
        <v>28416</v>
      </c>
      <c r="H284" s="116"/>
      <c r="I284" s="116"/>
      <c r="L284" s="170">
        <v>43048</v>
      </c>
      <c r="M284" s="116">
        <v>904</v>
      </c>
      <c r="N284" s="116">
        <v>910</v>
      </c>
      <c r="O284" s="116">
        <v>875</v>
      </c>
      <c r="P284" s="116">
        <v>876.2</v>
      </c>
      <c r="Q284" s="116">
        <v>904</v>
      </c>
      <c r="R284">
        <v>113084</v>
      </c>
    </row>
    <row r="285" spans="1:18" x14ac:dyDescent="0.25">
      <c r="A285" s="170">
        <v>43049</v>
      </c>
      <c r="B285" s="116">
        <v>947</v>
      </c>
      <c r="C285" s="116">
        <v>916.7</v>
      </c>
      <c r="D285" s="116">
        <v>896.05</v>
      </c>
      <c r="E285" s="116">
        <v>899.95</v>
      </c>
      <c r="F285" s="116">
        <v>916.7</v>
      </c>
      <c r="G285">
        <v>26683</v>
      </c>
      <c r="H285" s="116"/>
      <c r="I285" s="116"/>
      <c r="L285" s="170">
        <v>43049</v>
      </c>
      <c r="M285" s="116">
        <v>917.1</v>
      </c>
      <c r="N285" s="116">
        <v>950</v>
      </c>
      <c r="O285" s="116">
        <v>891</v>
      </c>
      <c r="P285" s="116">
        <v>891</v>
      </c>
      <c r="Q285" s="116">
        <v>917.1</v>
      </c>
      <c r="R285">
        <v>111377</v>
      </c>
    </row>
    <row r="286" spans="1:18" x14ac:dyDescent="0.25">
      <c r="A286" s="170">
        <v>43052</v>
      </c>
      <c r="B286" s="116">
        <v>929.25</v>
      </c>
      <c r="C286" s="116">
        <v>925.45</v>
      </c>
      <c r="D286" s="116">
        <v>900</v>
      </c>
      <c r="E286" s="116">
        <v>919</v>
      </c>
      <c r="F286" s="116">
        <v>925.45</v>
      </c>
      <c r="G286">
        <v>11879</v>
      </c>
      <c r="H286" s="116"/>
      <c r="I286" s="116"/>
      <c r="L286" s="170">
        <v>43052</v>
      </c>
      <c r="M286" s="116">
        <v>925.9</v>
      </c>
      <c r="N286" s="116">
        <v>930</v>
      </c>
      <c r="O286" s="116">
        <v>900</v>
      </c>
      <c r="P286" s="116">
        <v>925</v>
      </c>
      <c r="Q286" s="116">
        <v>925.9</v>
      </c>
      <c r="R286">
        <v>49466</v>
      </c>
    </row>
    <row r="287" spans="1:18" x14ac:dyDescent="0.25">
      <c r="A287" s="170">
        <v>43053</v>
      </c>
      <c r="B287" s="116">
        <v>943.8</v>
      </c>
      <c r="C287" s="116">
        <v>938.25</v>
      </c>
      <c r="D287" s="116">
        <v>916.5</v>
      </c>
      <c r="E287" s="116">
        <v>920</v>
      </c>
      <c r="F287" s="116">
        <v>938.25</v>
      </c>
      <c r="G287">
        <v>31679</v>
      </c>
      <c r="H287" s="116"/>
      <c r="I287" s="116"/>
      <c r="L287" s="170">
        <v>43053</v>
      </c>
      <c r="M287" s="116">
        <v>940.15</v>
      </c>
      <c r="N287" s="116">
        <v>945</v>
      </c>
      <c r="O287" s="116">
        <v>901.05</v>
      </c>
      <c r="P287" s="116">
        <v>901.05</v>
      </c>
      <c r="Q287" s="116">
        <v>940.15</v>
      </c>
      <c r="R287">
        <v>71477</v>
      </c>
    </row>
    <row r="288" spans="1:18" x14ac:dyDescent="0.25">
      <c r="A288" s="170">
        <v>43054</v>
      </c>
      <c r="B288" s="116">
        <v>941.6</v>
      </c>
      <c r="C288" s="116">
        <v>939.95</v>
      </c>
      <c r="D288" s="116">
        <v>906.7</v>
      </c>
      <c r="E288" s="116">
        <v>938</v>
      </c>
      <c r="F288" s="116">
        <v>939.95</v>
      </c>
      <c r="G288">
        <v>17164</v>
      </c>
      <c r="H288" s="116"/>
      <c r="I288" s="116"/>
      <c r="L288" s="170">
        <v>43054</v>
      </c>
      <c r="M288" s="116">
        <v>939.65</v>
      </c>
      <c r="N288" s="116">
        <v>944.9</v>
      </c>
      <c r="O288" s="116">
        <v>920.25</v>
      </c>
      <c r="P288" s="116">
        <v>944.9</v>
      </c>
      <c r="Q288" s="116">
        <v>939.65</v>
      </c>
      <c r="R288">
        <v>62204</v>
      </c>
    </row>
    <row r="289" spans="1:18" x14ac:dyDescent="0.25">
      <c r="A289" s="170">
        <v>43055</v>
      </c>
      <c r="B289" s="116">
        <v>945.9</v>
      </c>
      <c r="C289" s="116">
        <v>943.15</v>
      </c>
      <c r="D289" s="116">
        <v>916.9</v>
      </c>
      <c r="E289" s="116">
        <v>940</v>
      </c>
      <c r="F289" s="116">
        <v>943.15</v>
      </c>
      <c r="G289">
        <v>8525</v>
      </c>
      <c r="H289" s="116"/>
      <c r="I289" s="116"/>
      <c r="L289" s="170">
        <v>43055</v>
      </c>
      <c r="M289" s="116">
        <v>943.75</v>
      </c>
      <c r="N289" s="116">
        <v>945.8</v>
      </c>
      <c r="O289" s="116">
        <v>928</v>
      </c>
      <c r="P289" s="116">
        <v>935</v>
      </c>
      <c r="Q289" s="116">
        <v>943.75</v>
      </c>
      <c r="R289">
        <v>32626</v>
      </c>
    </row>
    <row r="290" spans="1:18" x14ac:dyDescent="0.25">
      <c r="A290" s="170">
        <v>43056</v>
      </c>
      <c r="B290" s="116">
        <v>947.45</v>
      </c>
      <c r="C290" s="116">
        <v>920.3</v>
      </c>
      <c r="D290" s="116">
        <v>915.15</v>
      </c>
      <c r="E290" s="116">
        <v>937.35</v>
      </c>
      <c r="F290" s="116">
        <v>920.3</v>
      </c>
      <c r="G290">
        <v>3405</v>
      </c>
      <c r="H290" s="116"/>
      <c r="I290" s="116"/>
      <c r="L290" s="170">
        <v>43056</v>
      </c>
      <c r="M290" s="116">
        <v>924</v>
      </c>
      <c r="N290" s="116">
        <v>947.95</v>
      </c>
      <c r="O290" s="116">
        <v>920</v>
      </c>
      <c r="P290" s="116">
        <v>940.05</v>
      </c>
      <c r="Q290" s="116">
        <v>924</v>
      </c>
      <c r="R290">
        <v>13675</v>
      </c>
    </row>
    <row r="291" spans="1:18" x14ac:dyDescent="0.25">
      <c r="A291" s="170">
        <v>43059</v>
      </c>
      <c r="B291" s="116">
        <v>944</v>
      </c>
      <c r="C291" s="116">
        <v>940.25</v>
      </c>
      <c r="D291" s="116">
        <v>921</v>
      </c>
      <c r="E291" s="116">
        <v>921</v>
      </c>
      <c r="F291" s="116">
        <v>940.25</v>
      </c>
      <c r="G291">
        <v>7498</v>
      </c>
      <c r="H291" s="116"/>
      <c r="I291" s="116"/>
      <c r="L291" s="170">
        <v>43059</v>
      </c>
      <c r="M291" s="116">
        <v>937</v>
      </c>
      <c r="N291" s="116">
        <v>941</v>
      </c>
      <c r="O291" s="116">
        <v>918.5</v>
      </c>
      <c r="P291" s="116">
        <v>918.5</v>
      </c>
      <c r="Q291" s="116">
        <v>937</v>
      </c>
      <c r="R291">
        <v>29036</v>
      </c>
    </row>
    <row r="292" spans="1:18" x14ac:dyDescent="0.25">
      <c r="A292" s="170">
        <v>43060</v>
      </c>
      <c r="B292" s="116">
        <v>941.55</v>
      </c>
      <c r="C292" s="116">
        <v>920.7</v>
      </c>
      <c r="D292" s="116">
        <v>920</v>
      </c>
      <c r="E292" s="116">
        <v>932.5</v>
      </c>
      <c r="F292" s="116">
        <v>920.7</v>
      </c>
      <c r="G292">
        <v>4690</v>
      </c>
      <c r="H292" s="116"/>
      <c r="I292" s="116"/>
      <c r="L292" s="170">
        <v>43060</v>
      </c>
      <c r="M292" s="116">
        <v>917.25</v>
      </c>
      <c r="N292" s="116">
        <v>939.2</v>
      </c>
      <c r="O292" s="116">
        <v>915</v>
      </c>
      <c r="P292" s="116">
        <v>926.05</v>
      </c>
      <c r="Q292" s="116">
        <v>917.25</v>
      </c>
      <c r="R292">
        <v>18200</v>
      </c>
    </row>
    <row r="293" spans="1:18" x14ac:dyDescent="0.25">
      <c r="A293" s="170">
        <v>43061</v>
      </c>
      <c r="B293" s="116">
        <v>927</v>
      </c>
      <c r="C293" s="116">
        <v>916.15</v>
      </c>
      <c r="D293" s="116">
        <v>889.8</v>
      </c>
      <c r="E293" s="116">
        <v>922.05</v>
      </c>
      <c r="F293" s="116">
        <v>916.15</v>
      </c>
      <c r="G293">
        <v>7962</v>
      </c>
      <c r="H293" s="116"/>
      <c r="I293" s="116"/>
      <c r="L293" s="170">
        <v>43061</v>
      </c>
      <c r="M293" s="116">
        <v>912.7</v>
      </c>
      <c r="N293" s="116">
        <v>928.65</v>
      </c>
      <c r="O293" s="116">
        <v>890</v>
      </c>
      <c r="P293" s="116">
        <v>916.05</v>
      </c>
      <c r="Q293" s="116">
        <v>912.7</v>
      </c>
      <c r="R293">
        <v>24515</v>
      </c>
    </row>
    <row r="294" spans="1:18" x14ac:dyDescent="0.25">
      <c r="A294" s="170">
        <v>43062</v>
      </c>
      <c r="B294" s="116">
        <v>926.8</v>
      </c>
      <c r="C294" s="116">
        <v>912</v>
      </c>
      <c r="D294" s="116">
        <v>906.5</v>
      </c>
      <c r="E294" s="116">
        <v>913.4</v>
      </c>
      <c r="F294" s="116">
        <v>912</v>
      </c>
      <c r="G294">
        <v>4320</v>
      </c>
      <c r="H294" s="116"/>
      <c r="I294" s="116"/>
      <c r="L294" s="170">
        <v>43062</v>
      </c>
      <c r="M294" s="116">
        <v>913.45</v>
      </c>
      <c r="N294" s="116">
        <v>924.75</v>
      </c>
      <c r="O294" s="116">
        <v>901.2</v>
      </c>
      <c r="P294" s="116">
        <v>921.95</v>
      </c>
      <c r="Q294" s="116">
        <v>913.45</v>
      </c>
      <c r="R294">
        <v>28581</v>
      </c>
    </row>
    <row r="295" spans="1:18" x14ac:dyDescent="0.25">
      <c r="A295" s="170">
        <v>43063</v>
      </c>
      <c r="B295" s="116">
        <v>936.05</v>
      </c>
      <c r="C295" s="116">
        <v>928.95</v>
      </c>
      <c r="D295" s="116">
        <v>905</v>
      </c>
      <c r="E295" s="116">
        <v>914.6</v>
      </c>
      <c r="F295" s="116">
        <v>928.95</v>
      </c>
      <c r="G295">
        <v>4743</v>
      </c>
      <c r="H295" s="116"/>
      <c r="I295" s="116"/>
      <c r="L295" s="170">
        <v>43063</v>
      </c>
      <c r="M295" s="116">
        <v>936.15</v>
      </c>
      <c r="N295" s="116">
        <v>940.9</v>
      </c>
      <c r="O295" s="116">
        <v>907</v>
      </c>
      <c r="P295" s="116">
        <v>913.05</v>
      </c>
      <c r="Q295" s="116">
        <v>936.15</v>
      </c>
      <c r="R295">
        <v>34837</v>
      </c>
    </row>
    <row r="296" spans="1:18" x14ac:dyDescent="0.25">
      <c r="A296" s="170">
        <v>43066</v>
      </c>
      <c r="B296" s="116">
        <v>941.25</v>
      </c>
      <c r="C296" s="116">
        <v>933.8</v>
      </c>
      <c r="D296" s="116">
        <v>925.7</v>
      </c>
      <c r="E296" s="116">
        <v>931.75</v>
      </c>
      <c r="F296" s="116">
        <v>933.8</v>
      </c>
      <c r="G296">
        <v>6118</v>
      </c>
      <c r="H296" s="116"/>
      <c r="I296" s="116"/>
      <c r="L296" s="170">
        <v>43066</v>
      </c>
      <c r="M296" s="116">
        <v>940.8</v>
      </c>
      <c r="N296" s="116">
        <v>944</v>
      </c>
      <c r="O296" s="116">
        <v>923.05</v>
      </c>
      <c r="P296" s="116">
        <v>936.15</v>
      </c>
      <c r="Q296" s="116">
        <v>940.8</v>
      </c>
      <c r="R296">
        <v>22647</v>
      </c>
    </row>
    <row r="297" spans="1:18" x14ac:dyDescent="0.25">
      <c r="A297" s="170">
        <v>43067</v>
      </c>
      <c r="B297" s="116">
        <v>990</v>
      </c>
      <c r="C297" s="116">
        <v>966.95</v>
      </c>
      <c r="D297" s="116">
        <v>930</v>
      </c>
      <c r="E297" s="116">
        <v>939.45</v>
      </c>
      <c r="F297" s="116">
        <v>966.95</v>
      </c>
      <c r="G297">
        <v>14123</v>
      </c>
      <c r="H297" s="116"/>
      <c r="I297" s="116"/>
      <c r="L297" s="170">
        <v>43067</v>
      </c>
      <c r="M297" s="116">
        <v>966.9</v>
      </c>
      <c r="N297" s="116">
        <v>999</v>
      </c>
      <c r="O297" s="116">
        <v>921.05</v>
      </c>
      <c r="P297" s="116">
        <v>921.05</v>
      </c>
      <c r="Q297" s="116">
        <v>966.9</v>
      </c>
      <c r="R297">
        <v>57474</v>
      </c>
    </row>
    <row r="298" spans="1:18" x14ac:dyDescent="0.25">
      <c r="A298" s="170">
        <v>43068</v>
      </c>
      <c r="B298" s="116">
        <v>982</v>
      </c>
      <c r="C298" s="116">
        <v>978.1</v>
      </c>
      <c r="D298" s="116">
        <v>954.1</v>
      </c>
      <c r="E298" s="116">
        <v>962.7</v>
      </c>
      <c r="F298" s="116">
        <v>978.1</v>
      </c>
      <c r="G298">
        <v>10264</v>
      </c>
      <c r="H298" s="116"/>
      <c r="I298" s="116"/>
      <c r="L298" s="170">
        <v>43068</v>
      </c>
      <c r="M298" s="116">
        <v>994.05</v>
      </c>
      <c r="N298" s="116">
        <v>1005</v>
      </c>
      <c r="O298" s="116">
        <v>955</v>
      </c>
      <c r="P298" s="116">
        <v>964.4</v>
      </c>
      <c r="Q298" s="116">
        <v>994.05</v>
      </c>
      <c r="R298">
        <v>50870</v>
      </c>
    </row>
    <row r="299" spans="1:18" x14ac:dyDescent="0.25">
      <c r="A299" s="170">
        <v>43069</v>
      </c>
      <c r="B299" s="116">
        <v>1028</v>
      </c>
      <c r="C299" s="116">
        <v>1014.7</v>
      </c>
      <c r="D299" s="116">
        <v>982.25</v>
      </c>
      <c r="E299" s="116">
        <v>989</v>
      </c>
      <c r="F299" s="116">
        <v>1014.7</v>
      </c>
      <c r="G299">
        <v>19297</v>
      </c>
      <c r="H299" s="116"/>
      <c r="I299" s="116"/>
      <c r="L299" s="170">
        <v>43069</v>
      </c>
      <c r="M299" s="116">
        <v>1022.35</v>
      </c>
      <c r="N299" s="116">
        <v>1036.2</v>
      </c>
      <c r="O299" s="116">
        <v>987.65</v>
      </c>
      <c r="P299" s="116">
        <v>991.8</v>
      </c>
      <c r="Q299" s="116">
        <v>1022.35</v>
      </c>
      <c r="R299">
        <v>84230</v>
      </c>
    </row>
    <row r="300" spans="1:18" x14ac:dyDescent="0.25">
      <c r="A300" s="170">
        <v>43070</v>
      </c>
      <c r="B300" s="116">
        <v>1117.2</v>
      </c>
      <c r="C300" s="116">
        <v>1099.3499999999999</v>
      </c>
      <c r="D300" s="116">
        <v>1025</v>
      </c>
      <c r="E300" s="116">
        <v>1025</v>
      </c>
      <c r="F300" s="116">
        <v>1099.3499999999999</v>
      </c>
      <c r="G300">
        <v>52382</v>
      </c>
      <c r="H300" s="116"/>
      <c r="I300" s="116"/>
      <c r="L300" s="170">
        <v>43070</v>
      </c>
      <c r="M300" s="116">
        <v>1104.05</v>
      </c>
      <c r="N300" s="116">
        <v>1119</v>
      </c>
      <c r="O300" s="116">
        <v>1025</v>
      </c>
      <c r="P300" s="116">
        <v>1025</v>
      </c>
      <c r="Q300" s="116">
        <v>1104.05</v>
      </c>
      <c r="R300">
        <v>205879</v>
      </c>
    </row>
    <row r="301" spans="1:18" x14ac:dyDescent="0.25">
      <c r="A301" s="170">
        <v>43073</v>
      </c>
      <c r="B301" s="116">
        <v>1124.4000000000001</v>
      </c>
      <c r="C301" s="116">
        <v>1104.8</v>
      </c>
      <c r="D301" s="116">
        <v>1062</v>
      </c>
      <c r="E301" s="116">
        <v>1106.2</v>
      </c>
      <c r="F301" s="116">
        <v>1104.8</v>
      </c>
      <c r="G301">
        <v>19372</v>
      </c>
      <c r="H301" s="116"/>
      <c r="I301" s="116"/>
      <c r="L301" s="170">
        <v>43073</v>
      </c>
      <c r="M301" s="116">
        <v>1105.2</v>
      </c>
      <c r="N301" s="116">
        <v>1128</v>
      </c>
      <c r="O301" s="116">
        <v>1060</v>
      </c>
      <c r="P301" s="116">
        <v>1111</v>
      </c>
      <c r="Q301" s="116">
        <v>1105.2</v>
      </c>
      <c r="R301">
        <v>74766</v>
      </c>
    </row>
    <row r="302" spans="1:18" x14ac:dyDescent="0.25">
      <c r="A302" s="170">
        <v>43074</v>
      </c>
      <c r="B302" s="116">
        <v>1120</v>
      </c>
      <c r="C302" s="116">
        <v>1094</v>
      </c>
      <c r="D302" s="116">
        <v>1055.05</v>
      </c>
      <c r="E302" s="116">
        <v>1095.3499999999999</v>
      </c>
      <c r="F302" s="116">
        <v>1094</v>
      </c>
      <c r="G302">
        <v>8471</v>
      </c>
      <c r="H302" s="116"/>
      <c r="I302" s="116"/>
      <c r="L302" s="170">
        <v>43074</v>
      </c>
      <c r="M302" s="116">
        <v>1096.1500000000001</v>
      </c>
      <c r="N302" s="116">
        <v>1122.6500000000001</v>
      </c>
      <c r="O302" s="116">
        <v>1055</v>
      </c>
      <c r="P302" s="116">
        <v>1103</v>
      </c>
      <c r="Q302" s="116">
        <v>1096.1500000000001</v>
      </c>
      <c r="R302">
        <v>43721</v>
      </c>
    </row>
    <row r="303" spans="1:18" x14ac:dyDescent="0.25">
      <c r="A303" s="170">
        <v>43075</v>
      </c>
      <c r="B303" s="116">
        <v>1107.55</v>
      </c>
      <c r="C303" s="116">
        <v>1056.45</v>
      </c>
      <c r="D303" s="116">
        <v>1045</v>
      </c>
      <c r="E303" s="116">
        <v>1082</v>
      </c>
      <c r="F303" s="116">
        <v>1056.45</v>
      </c>
      <c r="G303">
        <v>4583</v>
      </c>
      <c r="H303" s="116"/>
      <c r="I303" s="116"/>
      <c r="L303" s="170">
        <v>43075</v>
      </c>
      <c r="M303" s="116">
        <v>1052.5999999999999</v>
      </c>
      <c r="N303" s="116">
        <v>1104.95</v>
      </c>
      <c r="O303" s="116">
        <v>1036.0999999999999</v>
      </c>
      <c r="P303" s="116">
        <v>1071.55</v>
      </c>
      <c r="Q303" s="116">
        <v>1052.5999999999999</v>
      </c>
      <c r="R303">
        <v>26499</v>
      </c>
    </row>
    <row r="304" spans="1:18" x14ac:dyDescent="0.25">
      <c r="A304" s="170">
        <v>43076</v>
      </c>
      <c r="B304" s="116">
        <v>1070</v>
      </c>
      <c r="C304" s="116">
        <v>1041.4000000000001</v>
      </c>
      <c r="D304" s="116">
        <v>1030</v>
      </c>
      <c r="E304" s="116">
        <v>1054.9000000000001</v>
      </c>
      <c r="F304" s="116">
        <v>1041.4000000000001</v>
      </c>
      <c r="G304">
        <v>5925</v>
      </c>
      <c r="H304" s="116"/>
      <c r="I304" s="116"/>
      <c r="L304" s="170">
        <v>43076</v>
      </c>
      <c r="M304" s="116">
        <v>1037.25</v>
      </c>
      <c r="N304" s="116">
        <v>1068</v>
      </c>
      <c r="O304" s="116">
        <v>1023.5</v>
      </c>
      <c r="P304" s="116">
        <v>1052</v>
      </c>
      <c r="Q304" s="116">
        <v>1037.25</v>
      </c>
      <c r="R304">
        <v>34977</v>
      </c>
    </row>
    <row r="305" spans="1:18" x14ac:dyDescent="0.25">
      <c r="A305" s="170">
        <v>43077</v>
      </c>
      <c r="B305" s="116">
        <v>1049.95</v>
      </c>
      <c r="C305" s="116">
        <v>1014.65</v>
      </c>
      <c r="D305" s="116">
        <v>1006</v>
      </c>
      <c r="E305" s="116">
        <v>1040</v>
      </c>
      <c r="F305" s="116">
        <v>1014.65</v>
      </c>
      <c r="G305">
        <v>8062</v>
      </c>
      <c r="H305" s="116"/>
      <c r="I305" s="116"/>
      <c r="L305" s="170">
        <v>43077</v>
      </c>
      <c r="M305" s="116">
        <v>1010.95</v>
      </c>
      <c r="N305" s="116">
        <v>1051.9000000000001</v>
      </c>
      <c r="O305" s="116">
        <v>1002</v>
      </c>
      <c r="P305" s="116">
        <v>1047</v>
      </c>
      <c r="Q305" s="116">
        <v>1010.95</v>
      </c>
      <c r="R305">
        <v>68012</v>
      </c>
    </row>
    <row r="306" spans="1:18" x14ac:dyDescent="0.25">
      <c r="A306" s="170">
        <v>43080</v>
      </c>
      <c r="B306" s="116">
        <v>1029</v>
      </c>
      <c r="C306" s="116">
        <v>992.45</v>
      </c>
      <c r="D306" s="116">
        <v>986.7</v>
      </c>
      <c r="E306" s="116">
        <v>1029</v>
      </c>
      <c r="F306" s="116">
        <v>992.45</v>
      </c>
      <c r="G306">
        <v>6389</v>
      </c>
      <c r="H306" s="116"/>
      <c r="I306" s="116"/>
      <c r="L306" s="170">
        <v>43080</v>
      </c>
      <c r="M306" s="116">
        <v>995.35</v>
      </c>
      <c r="N306" s="116">
        <v>1021</v>
      </c>
      <c r="O306" s="116">
        <v>991.1</v>
      </c>
      <c r="P306" s="116">
        <v>1020</v>
      </c>
      <c r="Q306" s="116">
        <v>995.35</v>
      </c>
      <c r="R306">
        <v>23569</v>
      </c>
    </row>
    <row r="307" spans="1:18" x14ac:dyDescent="0.25">
      <c r="A307" s="170">
        <v>43081</v>
      </c>
      <c r="B307" s="116">
        <v>1008.05</v>
      </c>
      <c r="C307" s="116">
        <v>999.6</v>
      </c>
      <c r="D307" s="116">
        <v>991.5</v>
      </c>
      <c r="E307" s="116">
        <v>998.95</v>
      </c>
      <c r="F307" s="116">
        <v>999.6</v>
      </c>
      <c r="G307">
        <v>4658</v>
      </c>
      <c r="H307" s="116"/>
      <c r="I307" s="116"/>
      <c r="L307" s="170">
        <v>43081</v>
      </c>
      <c r="M307" s="116">
        <v>1002.05</v>
      </c>
      <c r="N307" s="116">
        <v>1012.75</v>
      </c>
      <c r="O307" s="116">
        <v>985</v>
      </c>
      <c r="P307" s="116">
        <v>993.3</v>
      </c>
      <c r="Q307" s="116">
        <v>1002.05</v>
      </c>
      <c r="R307">
        <v>27266</v>
      </c>
    </row>
    <row r="308" spans="1:18" x14ac:dyDescent="0.25">
      <c r="A308" s="170">
        <v>43082</v>
      </c>
      <c r="B308" s="116">
        <v>1039</v>
      </c>
      <c r="C308" s="116">
        <v>995.6</v>
      </c>
      <c r="D308" s="116">
        <v>990.5</v>
      </c>
      <c r="E308" s="116">
        <v>990.5</v>
      </c>
      <c r="F308" s="116">
        <v>995.6</v>
      </c>
      <c r="G308">
        <v>11086</v>
      </c>
      <c r="H308" s="116"/>
      <c r="I308" s="116"/>
      <c r="L308" s="170">
        <v>43082</v>
      </c>
      <c r="M308" s="116">
        <v>995.05</v>
      </c>
      <c r="N308" s="116">
        <v>1038.5</v>
      </c>
      <c r="O308" s="116">
        <v>990</v>
      </c>
      <c r="P308" s="116">
        <v>1001.8</v>
      </c>
      <c r="Q308" s="116">
        <v>995.05</v>
      </c>
      <c r="R308">
        <v>48833</v>
      </c>
    </row>
    <row r="309" spans="1:18" x14ac:dyDescent="0.25">
      <c r="A309" s="170">
        <v>43083</v>
      </c>
      <c r="B309" s="116">
        <v>1010.65</v>
      </c>
      <c r="C309" s="116">
        <v>994.1</v>
      </c>
      <c r="D309" s="116">
        <v>980.55</v>
      </c>
      <c r="E309" s="116">
        <v>1007.9</v>
      </c>
      <c r="F309" s="116">
        <v>994.1</v>
      </c>
      <c r="G309">
        <v>4681</v>
      </c>
      <c r="H309" s="116"/>
      <c r="I309" s="116"/>
      <c r="L309" s="170">
        <v>43083</v>
      </c>
      <c r="M309" s="116">
        <v>996.9</v>
      </c>
      <c r="N309" s="116">
        <v>1018.7</v>
      </c>
      <c r="O309" s="116">
        <v>980</v>
      </c>
      <c r="P309" s="116">
        <v>1018.7</v>
      </c>
      <c r="Q309" s="116">
        <v>996.9</v>
      </c>
      <c r="R309">
        <v>38088</v>
      </c>
    </row>
    <row r="310" spans="1:18" x14ac:dyDescent="0.25">
      <c r="A310" s="170">
        <v>43084</v>
      </c>
      <c r="B310" s="116">
        <v>1007</v>
      </c>
      <c r="C310" s="116">
        <v>995.4</v>
      </c>
      <c r="D310" s="116">
        <v>989.5</v>
      </c>
      <c r="E310" s="116">
        <v>996</v>
      </c>
      <c r="F310" s="116">
        <v>995.4</v>
      </c>
      <c r="G310">
        <v>2748</v>
      </c>
      <c r="H310" s="116"/>
      <c r="I310" s="116"/>
      <c r="L310" s="170">
        <v>43084</v>
      </c>
      <c r="M310" s="116">
        <v>994.45</v>
      </c>
      <c r="N310" s="116">
        <v>1005</v>
      </c>
      <c r="O310" s="116">
        <v>990</v>
      </c>
      <c r="P310" s="116">
        <v>997</v>
      </c>
      <c r="Q310" s="116">
        <v>994.45</v>
      </c>
      <c r="R310">
        <v>16534</v>
      </c>
    </row>
    <row r="311" spans="1:18" x14ac:dyDescent="0.25">
      <c r="A311" s="170">
        <v>43087</v>
      </c>
      <c r="B311" s="116">
        <v>1016</v>
      </c>
      <c r="C311" s="116">
        <v>1005.75</v>
      </c>
      <c r="D311" s="116">
        <v>970</v>
      </c>
      <c r="E311" s="116">
        <v>994</v>
      </c>
      <c r="F311" s="116">
        <v>1005.75</v>
      </c>
      <c r="G311">
        <v>4356</v>
      </c>
      <c r="H311" s="116"/>
      <c r="I311" s="116"/>
      <c r="L311" s="170">
        <v>43087</v>
      </c>
      <c r="M311" s="116">
        <v>1010.05</v>
      </c>
      <c r="N311" s="116">
        <v>1016</v>
      </c>
      <c r="O311" s="116">
        <v>965</v>
      </c>
      <c r="P311" s="116">
        <v>991</v>
      </c>
      <c r="Q311" s="116">
        <v>1010.05</v>
      </c>
      <c r="R311">
        <v>37184</v>
      </c>
    </row>
    <row r="312" spans="1:18" x14ac:dyDescent="0.25">
      <c r="A312" s="170">
        <v>43088</v>
      </c>
      <c r="B312" s="116">
        <v>1016.05</v>
      </c>
      <c r="C312" s="116">
        <v>1006.15</v>
      </c>
      <c r="D312" s="116">
        <v>997.9</v>
      </c>
      <c r="E312" s="116">
        <v>1009.95</v>
      </c>
      <c r="F312" s="116">
        <v>1006.15</v>
      </c>
      <c r="G312">
        <v>2885</v>
      </c>
      <c r="H312" s="116"/>
      <c r="I312" s="116"/>
      <c r="L312" s="170">
        <v>43088</v>
      </c>
      <c r="M312" s="116">
        <v>1010.1</v>
      </c>
      <c r="N312" s="116">
        <v>1016</v>
      </c>
      <c r="O312" s="116">
        <v>996.05</v>
      </c>
      <c r="P312" s="116">
        <v>1010.05</v>
      </c>
      <c r="Q312" s="116">
        <v>1010.1</v>
      </c>
      <c r="R312">
        <v>29455</v>
      </c>
    </row>
    <row r="313" spans="1:18" x14ac:dyDescent="0.25">
      <c r="A313" s="170">
        <v>43089</v>
      </c>
      <c r="B313" s="116">
        <v>1014</v>
      </c>
      <c r="C313" s="116">
        <v>1011.15</v>
      </c>
      <c r="D313" s="116">
        <v>1000</v>
      </c>
      <c r="E313" s="116">
        <v>1001.1</v>
      </c>
      <c r="F313" s="116">
        <v>1011.15</v>
      </c>
      <c r="G313">
        <v>2093</v>
      </c>
      <c r="H313" s="116"/>
      <c r="I313" s="116"/>
      <c r="L313" s="170">
        <v>43089</v>
      </c>
      <c r="M313" s="116">
        <v>1011</v>
      </c>
      <c r="N313" s="116">
        <v>1015</v>
      </c>
      <c r="O313" s="116">
        <v>1002.95</v>
      </c>
      <c r="P313" s="116">
        <v>1009.85</v>
      </c>
      <c r="Q313" s="116">
        <v>1011</v>
      </c>
      <c r="R313">
        <v>101527</v>
      </c>
    </row>
    <row r="314" spans="1:18" x14ac:dyDescent="0.25">
      <c r="A314" s="170">
        <v>43090</v>
      </c>
      <c r="B314" s="116">
        <v>1019.6</v>
      </c>
      <c r="C314" s="116">
        <v>1015.65</v>
      </c>
      <c r="D314" s="116">
        <v>1006.95</v>
      </c>
      <c r="E314" s="116">
        <v>1015.05</v>
      </c>
      <c r="F314" s="116">
        <v>1015.65</v>
      </c>
      <c r="G314">
        <v>4205</v>
      </c>
      <c r="H314" s="116"/>
      <c r="I314" s="116"/>
      <c r="L314" s="170">
        <v>43090</v>
      </c>
      <c r="M314" s="116">
        <v>1010.2</v>
      </c>
      <c r="N314" s="116">
        <v>1019.9</v>
      </c>
      <c r="O314" s="116">
        <v>1004.1</v>
      </c>
      <c r="P314" s="116">
        <v>1019.9</v>
      </c>
      <c r="Q314" s="116">
        <v>1010.2</v>
      </c>
      <c r="R314">
        <v>34373</v>
      </c>
    </row>
    <row r="315" spans="1:18" x14ac:dyDescent="0.25">
      <c r="A315" s="170">
        <v>43091</v>
      </c>
      <c r="B315" s="116">
        <v>1014</v>
      </c>
      <c r="C315" s="116">
        <v>987.3</v>
      </c>
      <c r="D315" s="116">
        <v>982</v>
      </c>
      <c r="E315" s="116">
        <v>1005.05</v>
      </c>
      <c r="F315" s="116">
        <v>987.3</v>
      </c>
      <c r="G315">
        <v>3964</v>
      </c>
      <c r="H315" s="116"/>
      <c r="I315" s="116"/>
      <c r="L315" s="170">
        <v>43091</v>
      </c>
      <c r="M315" s="116">
        <v>985.3</v>
      </c>
      <c r="N315" s="116">
        <v>1014.85</v>
      </c>
      <c r="O315" s="116">
        <v>977</v>
      </c>
      <c r="P315" s="116">
        <v>1004.05</v>
      </c>
      <c r="Q315" s="116">
        <v>985.3</v>
      </c>
      <c r="R315">
        <v>37563</v>
      </c>
    </row>
    <row r="316" spans="1:18" x14ac:dyDescent="0.25">
      <c r="A316" s="170">
        <v>43095</v>
      </c>
      <c r="B316" s="116">
        <v>996.4</v>
      </c>
      <c r="C316" s="116">
        <v>977.05</v>
      </c>
      <c r="D316" s="116">
        <v>967.15</v>
      </c>
      <c r="E316" s="116">
        <v>991.15</v>
      </c>
      <c r="F316" s="116">
        <v>977.05</v>
      </c>
      <c r="G316">
        <v>4790</v>
      </c>
      <c r="H316" s="116"/>
      <c r="I316" s="116"/>
      <c r="L316" s="170">
        <v>43095</v>
      </c>
      <c r="M316" s="116">
        <v>973.6</v>
      </c>
      <c r="N316" s="116">
        <v>995</v>
      </c>
      <c r="O316" s="116">
        <v>970.1</v>
      </c>
      <c r="P316" s="116">
        <v>974.2</v>
      </c>
      <c r="Q316" s="116">
        <v>973.6</v>
      </c>
      <c r="R316">
        <v>22028</v>
      </c>
    </row>
    <row r="317" spans="1:18" x14ac:dyDescent="0.25">
      <c r="A317" s="170">
        <v>43096</v>
      </c>
      <c r="B317" s="116">
        <v>996.95</v>
      </c>
      <c r="C317" s="116">
        <v>990.15</v>
      </c>
      <c r="D317" s="116">
        <v>981.55</v>
      </c>
      <c r="E317" s="116">
        <v>986.3</v>
      </c>
      <c r="F317" s="116">
        <v>990.15</v>
      </c>
      <c r="G317">
        <v>4957</v>
      </c>
      <c r="H317" s="116"/>
      <c r="I317" s="116"/>
      <c r="L317" s="170">
        <v>43096</v>
      </c>
      <c r="M317" s="116">
        <v>994.55</v>
      </c>
      <c r="N317" s="116">
        <v>998</v>
      </c>
      <c r="O317" s="116">
        <v>980</v>
      </c>
      <c r="P317" s="116">
        <v>994.95</v>
      </c>
      <c r="Q317" s="116">
        <v>994.55</v>
      </c>
      <c r="R317">
        <v>31464</v>
      </c>
    </row>
    <row r="318" spans="1:18" x14ac:dyDescent="0.25">
      <c r="A318" s="170">
        <v>43097</v>
      </c>
      <c r="B318" s="116">
        <v>1024.9000000000001</v>
      </c>
      <c r="C318" s="116">
        <v>1015.85</v>
      </c>
      <c r="D318" s="116">
        <v>984.6</v>
      </c>
      <c r="E318" s="116">
        <v>990.75</v>
      </c>
      <c r="F318" s="116">
        <v>1015.85</v>
      </c>
      <c r="G318">
        <v>4423</v>
      </c>
      <c r="H318" s="116"/>
      <c r="I318" s="116"/>
      <c r="L318" s="170">
        <v>43097</v>
      </c>
      <c r="M318" s="116">
        <v>1024</v>
      </c>
      <c r="N318" s="116">
        <v>1032.3</v>
      </c>
      <c r="O318" s="116">
        <v>975</v>
      </c>
      <c r="P318" s="116">
        <v>975</v>
      </c>
      <c r="Q318" s="116">
        <v>1024</v>
      </c>
      <c r="R318">
        <v>41741</v>
      </c>
    </row>
    <row r="319" spans="1:18" x14ac:dyDescent="0.25">
      <c r="A319" s="170">
        <v>43098</v>
      </c>
      <c r="B319" s="116">
        <v>1029.7</v>
      </c>
      <c r="C319" s="116">
        <v>1021.35</v>
      </c>
      <c r="D319" s="116">
        <v>1013.6</v>
      </c>
      <c r="E319" s="116">
        <v>1020.7</v>
      </c>
      <c r="F319" s="116">
        <v>1021.35</v>
      </c>
      <c r="G319">
        <v>3150</v>
      </c>
      <c r="H319" s="116"/>
      <c r="I319" s="116"/>
      <c r="L319" s="170">
        <v>43098</v>
      </c>
      <c r="M319" s="116">
        <v>1028.25</v>
      </c>
      <c r="N319" s="116">
        <v>1033.5999999999999</v>
      </c>
      <c r="O319" s="116">
        <v>1011.6</v>
      </c>
      <c r="P319" s="116">
        <v>1028</v>
      </c>
      <c r="Q319" s="116">
        <v>1028.25</v>
      </c>
      <c r="R319">
        <v>12813</v>
      </c>
    </row>
    <row r="320" spans="1:18" x14ac:dyDescent="0.25">
      <c r="A320" s="170">
        <v>43101</v>
      </c>
      <c r="B320" s="116">
        <v>1086</v>
      </c>
      <c r="C320" s="116">
        <v>1067.8</v>
      </c>
      <c r="D320" s="116">
        <v>1026</v>
      </c>
      <c r="E320" s="116">
        <v>1039.2</v>
      </c>
      <c r="F320" s="116">
        <v>1067.8</v>
      </c>
      <c r="G320">
        <v>8894</v>
      </c>
      <c r="H320" s="116"/>
      <c r="I320" s="116"/>
      <c r="L320" s="170">
        <v>43101</v>
      </c>
      <c r="M320" s="116">
        <v>1073.45</v>
      </c>
      <c r="N320" s="116">
        <v>1090.05</v>
      </c>
      <c r="O320" s="116">
        <v>1016</v>
      </c>
      <c r="P320" s="116">
        <v>1016</v>
      </c>
      <c r="Q320" s="116">
        <v>1073.45</v>
      </c>
      <c r="R320">
        <v>34607</v>
      </c>
    </row>
    <row r="321" spans="1:18" x14ac:dyDescent="0.25">
      <c r="A321" s="170">
        <v>43102</v>
      </c>
      <c r="B321" s="116">
        <v>1141.05</v>
      </c>
      <c r="C321" s="116">
        <v>1098.8499999999999</v>
      </c>
      <c r="D321" s="116">
        <v>1060</v>
      </c>
      <c r="E321" s="116">
        <v>1070</v>
      </c>
      <c r="F321" s="116">
        <v>1098.8499999999999</v>
      </c>
      <c r="G321">
        <v>18314</v>
      </c>
      <c r="H321" s="116"/>
      <c r="I321" s="116"/>
      <c r="L321" s="170">
        <v>43102</v>
      </c>
      <c r="M321" s="116">
        <v>1105.55</v>
      </c>
      <c r="N321" s="116">
        <v>1146</v>
      </c>
      <c r="O321" s="116">
        <v>1057.05</v>
      </c>
      <c r="P321" s="116">
        <v>1081</v>
      </c>
      <c r="Q321" s="116">
        <v>1105.55</v>
      </c>
      <c r="R321">
        <v>98515</v>
      </c>
    </row>
    <row r="322" spans="1:18" x14ac:dyDescent="0.25">
      <c r="A322" s="170">
        <v>43103</v>
      </c>
      <c r="B322" s="116">
        <v>1147</v>
      </c>
      <c r="C322" s="116">
        <v>1131.55</v>
      </c>
      <c r="D322" s="116">
        <v>1076.7</v>
      </c>
      <c r="E322" s="116">
        <v>1116</v>
      </c>
      <c r="F322" s="116">
        <v>1131.55</v>
      </c>
      <c r="G322">
        <v>6242</v>
      </c>
      <c r="H322" s="116"/>
      <c r="I322" s="116"/>
      <c r="L322" s="170">
        <v>43103</v>
      </c>
      <c r="M322" s="116">
        <v>1137.75</v>
      </c>
      <c r="N322" s="116">
        <v>1153</v>
      </c>
      <c r="O322" s="116">
        <v>1086</v>
      </c>
      <c r="P322" s="116">
        <v>1117.2</v>
      </c>
      <c r="Q322" s="116">
        <v>1137.75</v>
      </c>
      <c r="R322">
        <v>39455</v>
      </c>
    </row>
    <row r="323" spans="1:18" x14ac:dyDescent="0.25">
      <c r="A323" s="170">
        <v>43104</v>
      </c>
      <c r="B323" s="116">
        <v>1149.5</v>
      </c>
      <c r="C323" s="116">
        <v>1138.05</v>
      </c>
      <c r="D323" s="116">
        <v>1127.0999999999999</v>
      </c>
      <c r="E323" s="116">
        <v>1135</v>
      </c>
      <c r="F323" s="116">
        <v>1138.05</v>
      </c>
      <c r="G323">
        <v>4072</v>
      </c>
      <c r="H323" s="116"/>
      <c r="I323" s="116"/>
      <c r="L323" s="170">
        <v>43104</v>
      </c>
      <c r="M323" s="116">
        <v>1137.9000000000001</v>
      </c>
      <c r="N323" s="116">
        <v>1154.7</v>
      </c>
      <c r="O323" s="116">
        <v>1123</v>
      </c>
      <c r="P323" s="116">
        <v>1123</v>
      </c>
      <c r="Q323" s="116">
        <v>1137.9000000000001</v>
      </c>
      <c r="R323">
        <v>27738</v>
      </c>
    </row>
    <row r="324" spans="1:18" x14ac:dyDescent="0.25">
      <c r="A324" s="170">
        <v>43105</v>
      </c>
      <c r="B324" s="116">
        <v>1146</v>
      </c>
      <c r="C324" s="116">
        <v>1120.55</v>
      </c>
      <c r="D324" s="116">
        <v>1113.05</v>
      </c>
      <c r="E324" s="116">
        <v>1130</v>
      </c>
      <c r="F324" s="116">
        <v>1120.55</v>
      </c>
      <c r="G324">
        <v>3053</v>
      </c>
      <c r="H324" s="116"/>
      <c r="I324" s="116"/>
      <c r="L324" s="170">
        <v>43105</v>
      </c>
      <c r="M324" s="116">
        <v>1128.25</v>
      </c>
      <c r="N324" s="116">
        <v>1148.95</v>
      </c>
      <c r="O324" s="116">
        <v>1117.4000000000001</v>
      </c>
      <c r="P324" s="116">
        <v>1118</v>
      </c>
      <c r="Q324" s="116">
        <v>1128.25</v>
      </c>
      <c r="R324">
        <v>14925</v>
      </c>
    </row>
    <row r="325" spans="1:18" x14ac:dyDescent="0.25">
      <c r="A325" s="170">
        <v>43108</v>
      </c>
      <c r="B325" s="116">
        <v>1137</v>
      </c>
      <c r="C325" s="116">
        <v>1107.8499999999999</v>
      </c>
      <c r="D325" s="116">
        <v>1103</v>
      </c>
      <c r="E325" s="116">
        <v>1127</v>
      </c>
      <c r="F325" s="116">
        <v>1107.8499999999999</v>
      </c>
      <c r="G325">
        <v>2217</v>
      </c>
      <c r="H325" s="116"/>
      <c r="I325" s="116"/>
      <c r="L325" s="170">
        <v>43108</v>
      </c>
      <c r="M325" s="116">
        <v>1111.3499999999999</v>
      </c>
      <c r="N325" s="116">
        <v>1136.9000000000001</v>
      </c>
      <c r="O325" s="116">
        <v>1105</v>
      </c>
      <c r="P325" s="116">
        <v>1128</v>
      </c>
      <c r="Q325" s="116">
        <v>1111.3499999999999</v>
      </c>
      <c r="R325">
        <v>16613</v>
      </c>
    </row>
    <row r="326" spans="1:18" x14ac:dyDescent="0.25">
      <c r="A326" s="170">
        <v>43109</v>
      </c>
      <c r="B326" s="116">
        <v>1109</v>
      </c>
      <c r="C326" s="116">
        <v>1092.8499999999999</v>
      </c>
      <c r="D326" s="116">
        <v>1073.25</v>
      </c>
      <c r="E326" s="116">
        <v>1105</v>
      </c>
      <c r="F326" s="116">
        <v>1092.8499999999999</v>
      </c>
      <c r="G326">
        <v>2521</v>
      </c>
      <c r="H326" s="116"/>
      <c r="I326" s="116"/>
      <c r="L326" s="170">
        <v>43109</v>
      </c>
      <c r="M326" s="116">
        <v>1082.6500000000001</v>
      </c>
      <c r="N326" s="116">
        <v>1126.25</v>
      </c>
      <c r="O326" s="116">
        <v>1070.1500000000001</v>
      </c>
      <c r="P326" s="116">
        <v>1111.5</v>
      </c>
      <c r="Q326" s="116">
        <v>1082.6500000000001</v>
      </c>
      <c r="R326">
        <v>20127</v>
      </c>
    </row>
    <row r="327" spans="1:18" x14ac:dyDescent="0.25">
      <c r="A327" s="170">
        <v>43110</v>
      </c>
      <c r="B327" s="116">
        <v>1097.1500000000001</v>
      </c>
      <c r="C327" s="116">
        <v>1076.0999999999999</v>
      </c>
      <c r="D327" s="116">
        <v>1061</v>
      </c>
      <c r="E327" s="116">
        <v>1092.8499999999999</v>
      </c>
      <c r="F327" s="116">
        <v>1076.0999999999999</v>
      </c>
      <c r="G327">
        <v>3955</v>
      </c>
      <c r="H327" s="116"/>
      <c r="I327" s="116"/>
      <c r="L327" s="170">
        <v>43110</v>
      </c>
      <c r="M327" s="116">
        <v>1075.3</v>
      </c>
      <c r="N327" s="116">
        <v>1098.95</v>
      </c>
      <c r="O327" s="116">
        <v>1055</v>
      </c>
      <c r="P327" s="116">
        <v>1080</v>
      </c>
      <c r="Q327" s="116">
        <v>1075.3</v>
      </c>
      <c r="R327">
        <v>27717</v>
      </c>
    </row>
    <row r="328" spans="1:18" x14ac:dyDescent="0.25">
      <c r="A328" s="170">
        <v>43111</v>
      </c>
      <c r="B328" s="116">
        <v>1082</v>
      </c>
      <c r="C328" s="116">
        <v>1060.05</v>
      </c>
      <c r="D328" s="116">
        <v>1052</v>
      </c>
      <c r="E328" s="116">
        <v>1072.4000000000001</v>
      </c>
      <c r="F328" s="116">
        <v>1060.05</v>
      </c>
      <c r="G328">
        <v>2277</v>
      </c>
      <c r="H328" s="116"/>
      <c r="I328" s="116"/>
      <c r="L328" s="170">
        <v>43111</v>
      </c>
      <c r="M328" s="116">
        <v>1054.9000000000001</v>
      </c>
      <c r="N328" s="116">
        <v>1092.4000000000001</v>
      </c>
      <c r="O328" s="116">
        <v>1050</v>
      </c>
      <c r="P328" s="116">
        <v>1067.75</v>
      </c>
      <c r="Q328" s="116">
        <v>1054.9000000000001</v>
      </c>
      <c r="R328">
        <v>16048</v>
      </c>
    </row>
    <row r="329" spans="1:18" x14ac:dyDescent="0.25">
      <c r="A329" s="170">
        <v>43112</v>
      </c>
      <c r="B329" s="116">
        <v>1079.75</v>
      </c>
      <c r="C329" s="116">
        <v>1043.75</v>
      </c>
      <c r="D329" s="116">
        <v>1030</v>
      </c>
      <c r="E329" s="116">
        <v>1056.3499999999999</v>
      </c>
      <c r="F329" s="116">
        <v>1043.75</v>
      </c>
      <c r="G329">
        <v>5408</v>
      </c>
      <c r="H329" s="116"/>
      <c r="I329" s="116"/>
      <c r="L329" s="170">
        <v>43112</v>
      </c>
      <c r="M329" s="116">
        <v>1043.8</v>
      </c>
      <c r="N329" s="116">
        <v>1069</v>
      </c>
      <c r="O329" s="116">
        <v>1037</v>
      </c>
      <c r="P329" s="116">
        <v>1069</v>
      </c>
      <c r="Q329" s="116">
        <v>1043.8</v>
      </c>
      <c r="R329">
        <v>14647</v>
      </c>
    </row>
    <row r="330" spans="1:18" x14ac:dyDescent="0.25">
      <c r="A330" s="170">
        <v>43115</v>
      </c>
      <c r="B330" s="116">
        <v>1067.25</v>
      </c>
      <c r="C330" s="116">
        <v>1039.45</v>
      </c>
      <c r="D330" s="116">
        <v>1032.55</v>
      </c>
      <c r="E330" s="116">
        <v>1043.75</v>
      </c>
      <c r="F330" s="116">
        <v>1039.45</v>
      </c>
      <c r="G330">
        <v>2373</v>
      </c>
      <c r="H330" s="116"/>
      <c r="I330" s="116"/>
      <c r="L330" s="170">
        <v>43115</v>
      </c>
      <c r="M330" s="116">
        <v>1043.05</v>
      </c>
      <c r="N330" s="116">
        <v>1057.95</v>
      </c>
      <c r="O330" s="116">
        <v>1035.5</v>
      </c>
      <c r="P330" s="116">
        <v>1057.95</v>
      </c>
      <c r="Q330" s="116">
        <v>1043.05</v>
      </c>
      <c r="R330">
        <v>18617</v>
      </c>
    </row>
    <row r="331" spans="1:18" x14ac:dyDescent="0.25">
      <c r="A331" s="170">
        <v>43116</v>
      </c>
      <c r="B331" s="116">
        <v>1071</v>
      </c>
      <c r="C331" s="116">
        <v>1018.6</v>
      </c>
      <c r="D331" s="116">
        <v>992</v>
      </c>
      <c r="E331" s="116">
        <v>1039</v>
      </c>
      <c r="F331" s="116">
        <v>1018.6</v>
      </c>
      <c r="G331">
        <v>6472</v>
      </c>
      <c r="H331" s="116"/>
      <c r="I331" s="116"/>
      <c r="L331" s="170">
        <v>43116</v>
      </c>
      <c r="M331" s="116">
        <v>1011.65</v>
      </c>
      <c r="N331" s="116">
        <v>1070</v>
      </c>
      <c r="O331" s="116">
        <v>995</v>
      </c>
      <c r="P331" s="116">
        <v>1044</v>
      </c>
      <c r="Q331" s="116">
        <v>1011.65</v>
      </c>
      <c r="R331">
        <v>65307</v>
      </c>
    </row>
    <row r="332" spans="1:18" x14ac:dyDescent="0.25">
      <c r="A332" s="170">
        <v>43117</v>
      </c>
      <c r="B332" s="116">
        <v>1015</v>
      </c>
      <c r="C332" s="116">
        <v>999.85</v>
      </c>
      <c r="D332" s="116">
        <v>985.7</v>
      </c>
      <c r="E332" s="116">
        <v>1015</v>
      </c>
      <c r="F332" s="116">
        <v>999.85</v>
      </c>
      <c r="G332">
        <v>4374</v>
      </c>
      <c r="H332" s="116"/>
      <c r="I332" s="116"/>
      <c r="L332" s="170">
        <v>43117</v>
      </c>
      <c r="M332" s="116">
        <v>997.4</v>
      </c>
      <c r="N332" s="116">
        <v>1015.05</v>
      </c>
      <c r="O332" s="116">
        <v>990</v>
      </c>
      <c r="P332" s="116">
        <v>1012.2</v>
      </c>
      <c r="Q332" s="116">
        <v>997.4</v>
      </c>
      <c r="R332">
        <v>28266</v>
      </c>
    </row>
    <row r="333" spans="1:18" x14ac:dyDescent="0.25">
      <c r="A333" s="170">
        <v>43118</v>
      </c>
      <c r="B333" s="116">
        <v>1042.0999999999999</v>
      </c>
      <c r="C333" s="116">
        <v>989.35</v>
      </c>
      <c r="D333" s="116">
        <v>984.55</v>
      </c>
      <c r="E333" s="116">
        <v>1011</v>
      </c>
      <c r="F333" s="116">
        <v>989.35</v>
      </c>
      <c r="G333">
        <v>8952</v>
      </c>
      <c r="H333" s="116"/>
      <c r="I333" s="116"/>
      <c r="L333" s="170">
        <v>43118</v>
      </c>
      <c r="M333" s="116">
        <v>983.85</v>
      </c>
      <c r="N333" s="116">
        <v>1037</v>
      </c>
      <c r="O333" s="116">
        <v>976</v>
      </c>
      <c r="P333" s="116">
        <v>1026.25</v>
      </c>
      <c r="Q333" s="116">
        <v>983.85</v>
      </c>
      <c r="R333">
        <v>57109</v>
      </c>
    </row>
    <row r="334" spans="1:18" x14ac:dyDescent="0.25">
      <c r="A334" s="170">
        <v>43119</v>
      </c>
      <c r="B334" s="116">
        <v>1003</v>
      </c>
      <c r="C334" s="116">
        <v>993.9</v>
      </c>
      <c r="D334" s="116">
        <v>976</v>
      </c>
      <c r="E334" s="116">
        <v>990.05</v>
      </c>
      <c r="F334" s="116">
        <v>993.9</v>
      </c>
      <c r="G334">
        <v>2090</v>
      </c>
      <c r="H334" s="116"/>
      <c r="I334" s="116"/>
      <c r="L334" s="170">
        <v>43119</v>
      </c>
      <c r="M334" s="116">
        <v>996.8</v>
      </c>
      <c r="N334" s="116">
        <v>1003.15</v>
      </c>
      <c r="O334" s="116">
        <v>980.25</v>
      </c>
      <c r="P334" s="116">
        <v>999.6</v>
      </c>
      <c r="Q334" s="116">
        <v>996.8</v>
      </c>
      <c r="R334">
        <v>18697</v>
      </c>
    </row>
    <row r="335" spans="1:18" x14ac:dyDescent="0.25">
      <c r="A335" s="170">
        <v>43122</v>
      </c>
      <c r="B335" s="116">
        <v>1027</v>
      </c>
      <c r="C335" s="116">
        <v>1023.4</v>
      </c>
      <c r="D335" s="116">
        <v>991.35</v>
      </c>
      <c r="E335" s="116">
        <v>993</v>
      </c>
      <c r="F335" s="116">
        <v>1023.4</v>
      </c>
      <c r="G335">
        <v>2800</v>
      </c>
      <c r="H335" s="116"/>
      <c r="I335" s="116"/>
      <c r="L335" s="170">
        <v>43122</v>
      </c>
      <c r="M335" s="116">
        <v>1027.25</v>
      </c>
      <c r="N335" s="116">
        <v>1035</v>
      </c>
      <c r="O335" s="116">
        <v>980</v>
      </c>
      <c r="P335" s="116">
        <v>996</v>
      </c>
      <c r="Q335" s="116">
        <v>1027.25</v>
      </c>
      <c r="R335">
        <v>34561</v>
      </c>
    </row>
    <row r="336" spans="1:18" x14ac:dyDescent="0.25">
      <c r="A336" s="170">
        <v>43123</v>
      </c>
      <c r="B336" s="116">
        <v>1050</v>
      </c>
      <c r="C336" s="116">
        <v>1013.8</v>
      </c>
      <c r="D336" s="116">
        <v>1005.95</v>
      </c>
      <c r="E336" s="116">
        <v>1035</v>
      </c>
      <c r="F336" s="116">
        <v>1013.8</v>
      </c>
      <c r="G336">
        <v>6415</v>
      </c>
      <c r="H336" s="116"/>
      <c r="I336" s="116"/>
      <c r="L336" s="170">
        <v>43123</v>
      </c>
      <c r="M336" s="116">
        <v>1009.95</v>
      </c>
      <c r="N336" s="116">
        <v>1054</v>
      </c>
      <c r="O336" s="116">
        <v>988</v>
      </c>
      <c r="P336" s="116">
        <v>1040</v>
      </c>
      <c r="Q336" s="116">
        <v>1009.95</v>
      </c>
      <c r="R336">
        <v>47301</v>
      </c>
    </row>
    <row r="337" spans="1:18" x14ac:dyDescent="0.25">
      <c r="A337" s="170">
        <v>43124</v>
      </c>
      <c r="B337" s="116">
        <v>1216.55</v>
      </c>
      <c r="C337" s="116">
        <v>1216.55</v>
      </c>
      <c r="D337" s="116">
        <v>1026</v>
      </c>
      <c r="E337" s="116">
        <v>1026</v>
      </c>
      <c r="F337" s="116">
        <v>1216.55</v>
      </c>
      <c r="G337">
        <v>236916</v>
      </c>
      <c r="H337" s="116"/>
      <c r="I337" s="116"/>
      <c r="L337" s="170">
        <v>43124</v>
      </c>
      <c r="M337" s="116">
        <v>1211.9000000000001</v>
      </c>
      <c r="N337" s="116">
        <v>1211.9000000000001</v>
      </c>
      <c r="O337" s="116">
        <v>1060</v>
      </c>
      <c r="P337" s="116">
        <v>1066.9000000000001</v>
      </c>
      <c r="Q337" s="116">
        <v>1211.9000000000001</v>
      </c>
      <c r="R337">
        <v>776956</v>
      </c>
    </row>
    <row r="338" spans="1:18" x14ac:dyDescent="0.25">
      <c r="A338" s="170">
        <v>43125</v>
      </c>
      <c r="B338" s="116">
        <v>1422</v>
      </c>
      <c r="C338" s="116">
        <v>1337.25</v>
      </c>
      <c r="D338" s="116">
        <v>1173.5999999999999</v>
      </c>
      <c r="E338" s="116">
        <v>1249</v>
      </c>
      <c r="F338" s="116">
        <v>1337.25</v>
      </c>
      <c r="G338">
        <v>116488</v>
      </c>
      <c r="H338" s="116"/>
      <c r="I338" s="116"/>
      <c r="L338" s="170">
        <v>43125</v>
      </c>
      <c r="M338" s="116">
        <v>1340.15</v>
      </c>
      <c r="N338" s="116">
        <v>1425.8</v>
      </c>
      <c r="O338" s="116">
        <v>1175.25</v>
      </c>
      <c r="P338" s="116">
        <v>1245</v>
      </c>
      <c r="Q338" s="116">
        <v>1340.15</v>
      </c>
      <c r="R338">
        <v>615266</v>
      </c>
    </row>
    <row r="339" spans="1:18" x14ac:dyDescent="0.25">
      <c r="A339" s="170">
        <v>43129</v>
      </c>
      <c r="B339" s="116">
        <v>1369.8</v>
      </c>
      <c r="C339" s="116">
        <v>1332.45</v>
      </c>
      <c r="D339" s="116">
        <v>1301.8499999999999</v>
      </c>
      <c r="E339" s="116">
        <v>1336</v>
      </c>
      <c r="F339" s="116">
        <v>1332.45</v>
      </c>
      <c r="G339">
        <v>24687</v>
      </c>
      <c r="H339" s="116"/>
      <c r="I339" s="116"/>
      <c r="L339" s="170">
        <v>43129</v>
      </c>
      <c r="M339" s="116">
        <v>1328.8</v>
      </c>
      <c r="N339" s="116">
        <v>1372</v>
      </c>
      <c r="O339" s="116">
        <v>1303.25</v>
      </c>
      <c r="P339" s="116">
        <v>1329</v>
      </c>
      <c r="Q339" s="116">
        <v>1328.8</v>
      </c>
      <c r="R339">
        <v>170404</v>
      </c>
    </row>
    <row r="340" spans="1:18" x14ac:dyDescent="0.25">
      <c r="A340" s="170">
        <v>43130</v>
      </c>
      <c r="B340" s="116">
        <v>1360.4</v>
      </c>
      <c r="C340" s="116">
        <v>1278.3</v>
      </c>
      <c r="D340" s="116">
        <v>1260</v>
      </c>
      <c r="E340" s="116">
        <v>1333</v>
      </c>
      <c r="F340" s="116">
        <v>1278.3</v>
      </c>
      <c r="G340">
        <v>28197</v>
      </c>
      <c r="H340" s="116"/>
      <c r="I340" s="116"/>
      <c r="L340" s="170">
        <v>43130</v>
      </c>
      <c r="M340" s="116">
        <v>1276.3</v>
      </c>
      <c r="N340" s="116">
        <v>1359.8</v>
      </c>
      <c r="O340" s="116">
        <v>1263.9000000000001</v>
      </c>
      <c r="P340" s="116">
        <v>1312</v>
      </c>
      <c r="Q340" s="116">
        <v>1276.3</v>
      </c>
      <c r="R340">
        <v>111395</v>
      </c>
    </row>
    <row r="341" spans="1:18" x14ac:dyDescent="0.25">
      <c r="A341" s="170">
        <v>43131</v>
      </c>
      <c r="B341" s="116">
        <v>1287</v>
      </c>
      <c r="C341" s="116">
        <v>1207.0999999999999</v>
      </c>
      <c r="D341" s="116">
        <v>1200</v>
      </c>
      <c r="E341" s="116">
        <v>1280</v>
      </c>
      <c r="F341" s="116">
        <v>1207.0999999999999</v>
      </c>
      <c r="G341">
        <v>14404</v>
      </c>
      <c r="H341" s="116"/>
      <c r="I341" s="116"/>
      <c r="L341" s="170">
        <v>43131</v>
      </c>
      <c r="M341" s="116">
        <v>1209.4000000000001</v>
      </c>
      <c r="N341" s="116">
        <v>1289</v>
      </c>
      <c r="O341" s="116">
        <v>1201</v>
      </c>
      <c r="P341" s="116">
        <v>1279</v>
      </c>
      <c r="Q341" s="116">
        <v>1209.4000000000001</v>
      </c>
      <c r="R341">
        <v>77960</v>
      </c>
    </row>
    <row r="342" spans="1:18" x14ac:dyDescent="0.25">
      <c r="A342" s="170">
        <v>43132</v>
      </c>
      <c r="B342" s="116">
        <v>1319.5</v>
      </c>
      <c r="C342" s="116">
        <v>1304.55</v>
      </c>
      <c r="D342" s="116">
        <v>1210</v>
      </c>
      <c r="E342" s="116">
        <v>1210</v>
      </c>
      <c r="F342" s="116">
        <v>1304.55</v>
      </c>
      <c r="G342">
        <v>37766</v>
      </c>
      <c r="H342" s="116"/>
      <c r="I342" s="116"/>
      <c r="L342" s="170">
        <v>43132</v>
      </c>
      <c r="M342" s="116">
        <v>1311.8</v>
      </c>
      <c r="N342" s="116">
        <v>1329</v>
      </c>
      <c r="O342" s="116">
        <v>1216.75</v>
      </c>
      <c r="P342" s="116">
        <v>1229</v>
      </c>
      <c r="Q342" s="116">
        <v>1311.8</v>
      </c>
      <c r="R342">
        <v>213461</v>
      </c>
    </row>
    <row r="343" spans="1:18" x14ac:dyDescent="0.25">
      <c r="A343" s="170">
        <v>43133</v>
      </c>
      <c r="B343" s="116">
        <v>1331.65</v>
      </c>
      <c r="C343" s="116">
        <v>1287.7</v>
      </c>
      <c r="D343" s="116">
        <v>1258.4000000000001</v>
      </c>
      <c r="E343" s="116">
        <v>1295</v>
      </c>
      <c r="F343" s="116">
        <v>1287.7</v>
      </c>
      <c r="G343">
        <v>22765</v>
      </c>
      <c r="H343" s="116"/>
      <c r="I343" s="116"/>
      <c r="L343" s="170">
        <v>43133</v>
      </c>
      <c r="M343" s="116">
        <v>1300.8499999999999</v>
      </c>
      <c r="N343" s="116">
        <v>1340</v>
      </c>
      <c r="O343" s="116">
        <v>1258.8</v>
      </c>
      <c r="P343" s="116">
        <v>1289.9000000000001</v>
      </c>
      <c r="Q343" s="116">
        <v>1300.8499999999999</v>
      </c>
      <c r="R343">
        <v>182966</v>
      </c>
    </row>
    <row r="344" spans="1:18" x14ac:dyDescent="0.25">
      <c r="A344" s="170">
        <v>43136</v>
      </c>
      <c r="B344" s="116">
        <v>1328.4</v>
      </c>
      <c r="C344" s="116">
        <v>1297.75</v>
      </c>
      <c r="D344" s="116">
        <v>1214.7</v>
      </c>
      <c r="E344" s="116">
        <v>1260</v>
      </c>
      <c r="F344" s="116">
        <v>1297.75</v>
      </c>
      <c r="G344">
        <v>16903</v>
      </c>
      <c r="H344" s="116"/>
      <c r="I344" s="116"/>
      <c r="L344" s="170">
        <v>43136</v>
      </c>
      <c r="M344" s="116">
        <v>1298.25</v>
      </c>
      <c r="N344" s="116">
        <v>1339</v>
      </c>
      <c r="O344" s="116">
        <v>1203.25</v>
      </c>
      <c r="P344" s="116">
        <v>1260</v>
      </c>
      <c r="Q344" s="116">
        <v>1298.25</v>
      </c>
      <c r="R344">
        <v>150618</v>
      </c>
    </row>
    <row r="345" spans="1:18" x14ac:dyDescent="0.25">
      <c r="A345" s="170">
        <v>43137</v>
      </c>
      <c r="B345" s="116">
        <v>1284.9000000000001</v>
      </c>
      <c r="C345" s="116">
        <v>1243.5999999999999</v>
      </c>
      <c r="D345" s="116">
        <v>1215</v>
      </c>
      <c r="E345" s="116">
        <v>1221</v>
      </c>
      <c r="F345" s="116">
        <v>1243.5999999999999</v>
      </c>
      <c r="G345">
        <v>9982</v>
      </c>
      <c r="H345" s="116"/>
      <c r="I345" s="116"/>
      <c r="L345" s="170">
        <v>43137</v>
      </c>
      <c r="M345" s="116">
        <v>1239.5999999999999</v>
      </c>
      <c r="N345" s="116">
        <v>1275</v>
      </c>
      <c r="O345" s="116">
        <v>1211</v>
      </c>
      <c r="P345" s="116">
        <v>1222</v>
      </c>
      <c r="Q345" s="116">
        <v>1239.5999999999999</v>
      </c>
      <c r="R345">
        <v>53435</v>
      </c>
    </row>
    <row r="346" spans="1:18" x14ac:dyDescent="0.25">
      <c r="A346" s="170">
        <v>43138</v>
      </c>
      <c r="B346" s="116">
        <v>1340</v>
      </c>
      <c r="C346" s="116">
        <v>1322.55</v>
      </c>
      <c r="D346" s="116">
        <v>1251</v>
      </c>
      <c r="E346" s="116">
        <v>1272.75</v>
      </c>
      <c r="F346" s="116">
        <v>1322.55</v>
      </c>
      <c r="G346">
        <v>13450</v>
      </c>
      <c r="H346" s="116"/>
      <c r="I346" s="116"/>
      <c r="L346" s="170">
        <v>43138</v>
      </c>
      <c r="M346" s="116">
        <v>1324.35</v>
      </c>
      <c r="N346" s="116">
        <v>1342</v>
      </c>
      <c r="O346" s="116">
        <v>1250</v>
      </c>
      <c r="P346" s="116">
        <v>1270</v>
      </c>
      <c r="Q346" s="116">
        <v>1324.35</v>
      </c>
      <c r="R346">
        <v>110746</v>
      </c>
    </row>
    <row r="347" spans="1:18" x14ac:dyDescent="0.25">
      <c r="A347" s="170">
        <v>43139</v>
      </c>
      <c r="B347" s="116">
        <v>1404</v>
      </c>
      <c r="C347" s="116">
        <v>1321.4</v>
      </c>
      <c r="D347" s="116">
        <v>1312</v>
      </c>
      <c r="E347" s="116">
        <v>1320</v>
      </c>
      <c r="F347" s="116">
        <v>1321.4</v>
      </c>
      <c r="G347">
        <v>25242</v>
      </c>
      <c r="H347" s="116"/>
      <c r="I347" s="116"/>
      <c r="L347" s="170">
        <v>43139</v>
      </c>
      <c r="M347" s="116">
        <v>1322.55</v>
      </c>
      <c r="N347" s="116">
        <v>1409.95</v>
      </c>
      <c r="O347" s="116">
        <v>1307</v>
      </c>
      <c r="P347" s="116">
        <v>1330.5</v>
      </c>
      <c r="Q347" s="116">
        <v>1322.55</v>
      </c>
      <c r="R347">
        <v>150680</v>
      </c>
    </row>
    <row r="348" spans="1:18" x14ac:dyDescent="0.25">
      <c r="A348" s="170">
        <v>43140</v>
      </c>
      <c r="B348" s="116">
        <v>1330.05</v>
      </c>
      <c r="C348" s="116">
        <v>1308.25</v>
      </c>
      <c r="D348" s="116">
        <v>1280.55</v>
      </c>
      <c r="E348" s="116">
        <v>1300</v>
      </c>
      <c r="F348" s="116">
        <v>1308.25</v>
      </c>
      <c r="G348">
        <v>12855</v>
      </c>
      <c r="H348" s="116"/>
      <c r="I348" s="116"/>
      <c r="L348" s="170">
        <v>43140</v>
      </c>
      <c r="M348" s="116">
        <v>1312.45</v>
      </c>
      <c r="N348" s="116">
        <v>1329</v>
      </c>
      <c r="O348" s="116">
        <v>1280</v>
      </c>
      <c r="P348" s="116">
        <v>1300</v>
      </c>
      <c r="Q348" s="116">
        <v>1312.45</v>
      </c>
      <c r="R348">
        <v>105534</v>
      </c>
    </row>
    <row r="349" spans="1:18" x14ac:dyDescent="0.25">
      <c r="A349" s="170">
        <v>43143</v>
      </c>
      <c r="B349" s="116">
        <v>1547</v>
      </c>
      <c r="C349" s="116">
        <v>1480.65</v>
      </c>
      <c r="D349" s="116">
        <v>1323.5</v>
      </c>
      <c r="E349" s="116">
        <v>1332.9</v>
      </c>
      <c r="F349" s="116">
        <v>1480.65</v>
      </c>
      <c r="G349">
        <v>78330</v>
      </c>
      <c r="H349" s="116"/>
      <c r="I349" s="116"/>
      <c r="L349" s="170">
        <v>43143</v>
      </c>
      <c r="M349" s="116">
        <v>1479.7</v>
      </c>
      <c r="N349" s="116">
        <v>1542</v>
      </c>
      <c r="O349" s="116">
        <v>1324.85</v>
      </c>
      <c r="P349" s="116">
        <v>1334</v>
      </c>
      <c r="Q349" s="116">
        <v>1479.7</v>
      </c>
      <c r="R349">
        <v>404410</v>
      </c>
    </row>
    <row r="350" spans="1:18" x14ac:dyDescent="0.25">
      <c r="A350" s="170">
        <v>43145</v>
      </c>
      <c r="B350" s="116">
        <v>1497.65</v>
      </c>
      <c r="C350" s="116">
        <v>1464.85</v>
      </c>
      <c r="D350" s="116">
        <v>1428.85</v>
      </c>
      <c r="E350" s="116">
        <v>1480</v>
      </c>
      <c r="F350" s="116">
        <v>1464.85</v>
      </c>
      <c r="G350">
        <v>41013</v>
      </c>
      <c r="H350" s="116"/>
      <c r="I350" s="116"/>
      <c r="L350" s="170">
        <v>43145</v>
      </c>
      <c r="M350" s="116">
        <v>1460.25</v>
      </c>
      <c r="N350" s="116">
        <v>1498</v>
      </c>
      <c r="O350" s="116">
        <v>1425</v>
      </c>
      <c r="P350" s="116">
        <v>1480</v>
      </c>
      <c r="Q350" s="116">
        <v>1460.25</v>
      </c>
      <c r="R350">
        <v>175103</v>
      </c>
    </row>
    <row r="351" spans="1:18" x14ac:dyDescent="0.25">
      <c r="A351" s="170">
        <v>43146</v>
      </c>
      <c r="B351" s="116">
        <v>1545</v>
      </c>
      <c r="C351" s="116">
        <v>1459.6</v>
      </c>
      <c r="D351" s="116">
        <v>1440</v>
      </c>
      <c r="E351" s="116">
        <v>1473.65</v>
      </c>
      <c r="F351" s="116">
        <v>1459.6</v>
      </c>
      <c r="G351">
        <v>33440</v>
      </c>
      <c r="H351" s="116"/>
      <c r="I351" s="116"/>
      <c r="L351" s="170">
        <v>43146</v>
      </c>
      <c r="M351" s="116">
        <v>1452.95</v>
      </c>
      <c r="N351" s="116">
        <v>1545</v>
      </c>
      <c r="O351" s="116">
        <v>1432.3</v>
      </c>
      <c r="P351" s="116">
        <v>1475</v>
      </c>
      <c r="Q351" s="116">
        <v>1452.95</v>
      </c>
      <c r="R351">
        <v>185383</v>
      </c>
    </row>
    <row r="352" spans="1:18" x14ac:dyDescent="0.25">
      <c r="A352" s="170">
        <v>43147</v>
      </c>
      <c r="B352" s="116">
        <v>1487.95</v>
      </c>
      <c r="C352" s="116">
        <v>1402.2</v>
      </c>
      <c r="D352" s="116">
        <v>1388</v>
      </c>
      <c r="E352" s="116">
        <v>1461</v>
      </c>
      <c r="F352" s="116">
        <v>1402.2</v>
      </c>
      <c r="G352">
        <v>12860</v>
      </c>
      <c r="H352" s="116"/>
      <c r="I352" s="116"/>
      <c r="L352" s="170">
        <v>43147</v>
      </c>
      <c r="M352" s="116">
        <v>1395.7</v>
      </c>
      <c r="N352" s="116">
        <v>1489</v>
      </c>
      <c r="O352" s="116">
        <v>1385.45</v>
      </c>
      <c r="P352" s="116">
        <v>1489</v>
      </c>
      <c r="Q352" s="116">
        <v>1395.7</v>
      </c>
      <c r="R352">
        <v>95518</v>
      </c>
    </row>
    <row r="353" spans="1:18" x14ac:dyDescent="0.25">
      <c r="A353" s="170">
        <v>43150</v>
      </c>
      <c r="B353" s="116">
        <v>1411.5</v>
      </c>
      <c r="C353" s="116">
        <v>1325.3</v>
      </c>
      <c r="D353" s="116">
        <v>1305.3499999999999</v>
      </c>
      <c r="E353" s="116">
        <v>1402.2</v>
      </c>
      <c r="F353" s="116">
        <v>1325.3</v>
      </c>
      <c r="G353">
        <v>20501</v>
      </c>
      <c r="H353" s="116"/>
      <c r="I353" s="116"/>
      <c r="L353" s="170">
        <v>43150</v>
      </c>
      <c r="M353" s="116">
        <v>1322.9</v>
      </c>
      <c r="N353" s="116">
        <v>1418</v>
      </c>
      <c r="O353" s="116">
        <v>1301</v>
      </c>
      <c r="P353" s="116">
        <v>1400</v>
      </c>
      <c r="Q353" s="116">
        <v>1322.9</v>
      </c>
      <c r="R353">
        <v>163887</v>
      </c>
    </row>
    <row r="354" spans="1:18" x14ac:dyDescent="0.25">
      <c r="A354" s="170">
        <v>43151</v>
      </c>
      <c r="B354" s="116">
        <v>1368</v>
      </c>
      <c r="C354" s="116">
        <v>1267.45</v>
      </c>
      <c r="D354" s="116">
        <v>1261.3</v>
      </c>
      <c r="E354" s="116">
        <v>1337.6</v>
      </c>
      <c r="F354" s="116">
        <v>1267.45</v>
      </c>
      <c r="G354">
        <v>23095</v>
      </c>
      <c r="H354" s="116"/>
      <c r="I354" s="116"/>
      <c r="L354" s="170">
        <v>43151</v>
      </c>
      <c r="M354" s="116">
        <v>1263.2</v>
      </c>
      <c r="N354" s="116">
        <v>1366.95</v>
      </c>
      <c r="O354" s="116">
        <v>1255</v>
      </c>
      <c r="P354" s="116">
        <v>1325</v>
      </c>
      <c r="Q354" s="116">
        <v>1263.2</v>
      </c>
      <c r="R354">
        <v>158951</v>
      </c>
    </row>
    <row r="355" spans="1:18" x14ac:dyDescent="0.25">
      <c r="A355" s="170">
        <v>43152</v>
      </c>
      <c r="B355" s="116">
        <v>1380</v>
      </c>
      <c r="C355" s="116">
        <v>1365.8</v>
      </c>
      <c r="D355" s="116">
        <v>1292.1500000000001</v>
      </c>
      <c r="E355" s="116">
        <v>1296.8</v>
      </c>
      <c r="F355" s="116">
        <v>1365.8</v>
      </c>
      <c r="G355">
        <v>41959</v>
      </c>
      <c r="H355" s="116"/>
      <c r="I355" s="116"/>
      <c r="L355" s="170">
        <v>43152</v>
      </c>
      <c r="M355" s="116">
        <v>1367.45</v>
      </c>
      <c r="N355" s="116">
        <v>1379</v>
      </c>
      <c r="O355" s="116">
        <v>1289</v>
      </c>
      <c r="P355" s="116">
        <v>1289.9000000000001</v>
      </c>
      <c r="Q355" s="116">
        <v>1367.45</v>
      </c>
      <c r="R355">
        <v>348561</v>
      </c>
    </row>
    <row r="356" spans="1:18" x14ac:dyDescent="0.25">
      <c r="A356" s="170">
        <v>43153</v>
      </c>
      <c r="B356" s="116">
        <v>1374.9</v>
      </c>
      <c r="C356" s="116">
        <v>1358.05</v>
      </c>
      <c r="D356" s="116">
        <v>1337.5</v>
      </c>
      <c r="E356" s="116">
        <v>1358</v>
      </c>
      <c r="F356" s="116">
        <v>1358.05</v>
      </c>
      <c r="G356">
        <v>17909</v>
      </c>
      <c r="H356" s="116"/>
      <c r="I356" s="116"/>
      <c r="L356" s="170">
        <v>43153</v>
      </c>
      <c r="M356" s="116">
        <v>1356.2</v>
      </c>
      <c r="N356" s="116">
        <v>1369.3</v>
      </c>
      <c r="O356" s="116">
        <v>1335.5</v>
      </c>
      <c r="P356" s="116">
        <v>1351.1</v>
      </c>
      <c r="Q356" s="116">
        <v>1356.2</v>
      </c>
      <c r="R356">
        <v>126039</v>
      </c>
    </row>
    <row r="357" spans="1:18" x14ac:dyDescent="0.25">
      <c r="A357" s="170">
        <v>43154</v>
      </c>
      <c r="B357" s="116">
        <v>1410</v>
      </c>
      <c r="C357" s="116">
        <v>1396.7</v>
      </c>
      <c r="D357" s="116">
        <v>1356</v>
      </c>
      <c r="E357" s="116">
        <v>1365</v>
      </c>
      <c r="F357" s="116">
        <v>1396.7</v>
      </c>
      <c r="G357">
        <v>16167</v>
      </c>
      <c r="H357" s="116"/>
      <c r="I357" s="116"/>
      <c r="L357" s="170">
        <v>43154</v>
      </c>
      <c r="M357" s="116">
        <v>1401.5</v>
      </c>
      <c r="N357" s="116">
        <v>1417</v>
      </c>
      <c r="O357" s="116">
        <v>1357.9</v>
      </c>
      <c r="P357" s="116">
        <v>1357.9</v>
      </c>
      <c r="Q357" s="116">
        <v>1401.5</v>
      </c>
      <c r="R357">
        <v>111530</v>
      </c>
    </row>
    <row r="358" spans="1:18" x14ac:dyDescent="0.25">
      <c r="A358" s="170">
        <v>43157</v>
      </c>
      <c r="B358" s="116">
        <v>1418.9</v>
      </c>
      <c r="C358" s="116">
        <v>1408</v>
      </c>
      <c r="D358" s="116">
        <v>1383</v>
      </c>
      <c r="E358" s="116">
        <v>1402</v>
      </c>
      <c r="F358" s="116">
        <v>1408</v>
      </c>
      <c r="G358">
        <v>9760</v>
      </c>
      <c r="H358" s="116"/>
      <c r="I358" s="116"/>
      <c r="L358" s="170">
        <v>43157</v>
      </c>
      <c r="M358" s="116">
        <v>1412.45</v>
      </c>
      <c r="N358" s="116">
        <v>1424</v>
      </c>
      <c r="O358" s="116">
        <v>1380</v>
      </c>
      <c r="P358" s="116">
        <v>1401</v>
      </c>
      <c r="Q358" s="116">
        <v>1412.45</v>
      </c>
      <c r="R358">
        <v>82374</v>
      </c>
    </row>
    <row r="359" spans="1:18" x14ac:dyDescent="0.25">
      <c r="A359" s="170">
        <v>43158</v>
      </c>
      <c r="B359" s="116">
        <v>1425.1</v>
      </c>
      <c r="C359" s="116">
        <v>1387.5</v>
      </c>
      <c r="D359" s="116">
        <v>1380</v>
      </c>
      <c r="E359" s="116">
        <v>1425.1</v>
      </c>
      <c r="F359" s="116">
        <v>1387.5</v>
      </c>
      <c r="G359">
        <v>5730</v>
      </c>
      <c r="H359" s="116"/>
      <c r="I359" s="116"/>
      <c r="L359" s="170">
        <v>43158</v>
      </c>
      <c r="M359" s="116">
        <v>1390.2</v>
      </c>
      <c r="N359" s="116">
        <v>1420</v>
      </c>
      <c r="O359" s="116">
        <v>1375.05</v>
      </c>
      <c r="P359" s="116">
        <v>1409.95</v>
      </c>
      <c r="Q359" s="116">
        <v>1390.2</v>
      </c>
      <c r="R359">
        <v>40576</v>
      </c>
    </row>
    <row r="360" spans="1:18" x14ac:dyDescent="0.25">
      <c r="A360" s="170">
        <v>43159</v>
      </c>
      <c r="B360" s="116">
        <v>1400.5</v>
      </c>
      <c r="C360" s="116">
        <v>1387.65</v>
      </c>
      <c r="D360" s="116">
        <v>1359</v>
      </c>
      <c r="E360" s="116">
        <v>1385</v>
      </c>
      <c r="F360" s="116">
        <v>1387.65</v>
      </c>
      <c r="G360">
        <v>8473</v>
      </c>
      <c r="H360" s="116"/>
      <c r="I360" s="116"/>
      <c r="L360" s="170">
        <v>43159</v>
      </c>
      <c r="M360" s="116">
        <v>1393.7</v>
      </c>
      <c r="N360" s="116">
        <v>1405</v>
      </c>
      <c r="O360" s="116">
        <v>1352.25</v>
      </c>
      <c r="P360" s="116">
        <v>1390.1</v>
      </c>
      <c r="Q360" s="116">
        <v>1393.7</v>
      </c>
      <c r="R360">
        <v>60226</v>
      </c>
    </row>
    <row r="361" spans="1:18" x14ac:dyDescent="0.25">
      <c r="A361" s="170">
        <v>43160</v>
      </c>
      <c r="B361" s="116">
        <v>1437.95</v>
      </c>
      <c r="C361" s="116">
        <v>1408.2</v>
      </c>
      <c r="D361" s="116">
        <v>1374</v>
      </c>
      <c r="E361" s="116">
        <v>1374</v>
      </c>
      <c r="F361" s="116">
        <v>1408.2</v>
      </c>
      <c r="G361">
        <v>23686</v>
      </c>
      <c r="H361" s="116"/>
      <c r="I361" s="116"/>
      <c r="L361" s="170">
        <v>43160</v>
      </c>
      <c r="M361" s="116">
        <v>1411.65</v>
      </c>
      <c r="N361" s="116">
        <v>1435</v>
      </c>
      <c r="O361" s="116">
        <v>1385</v>
      </c>
      <c r="P361" s="116">
        <v>1398</v>
      </c>
      <c r="Q361" s="116">
        <v>1411.65</v>
      </c>
      <c r="R361">
        <v>146006</v>
      </c>
    </row>
    <row r="362" spans="1:18" x14ac:dyDescent="0.25">
      <c r="A362" s="170">
        <v>43164</v>
      </c>
      <c r="B362" s="116">
        <v>1405</v>
      </c>
      <c r="C362" s="116">
        <v>1342.35</v>
      </c>
      <c r="D362" s="116">
        <v>1336.05</v>
      </c>
      <c r="E362" s="116">
        <v>1405</v>
      </c>
      <c r="F362" s="116">
        <v>1342.35</v>
      </c>
      <c r="G362">
        <v>16438</v>
      </c>
      <c r="H362" s="116"/>
      <c r="I362" s="116"/>
      <c r="L362" s="170">
        <v>43164</v>
      </c>
      <c r="M362" s="116">
        <v>1338.65</v>
      </c>
      <c r="N362" s="116">
        <v>1408</v>
      </c>
      <c r="O362" s="116">
        <v>1330</v>
      </c>
      <c r="P362" s="116">
        <v>1383.55</v>
      </c>
      <c r="Q362" s="116">
        <v>1338.65</v>
      </c>
      <c r="R362">
        <v>90999</v>
      </c>
    </row>
    <row r="363" spans="1:18" x14ac:dyDescent="0.25">
      <c r="A363" s="170">
        <v>43165</v>
      </c>
      <c r="B363" s="116">
        <v>1387</v>
      </c>
      <c r="C363" s="116">
        <v>1308.7</v>
      </c>
      <c r="D363" s="116">
        <v>1303.05</v>
      </c>
      <c r="E363" s="116">
        <v>1387</v>
      </c>
      <c r="F363" s="116">
        <v>1308.7</v>
      </c>
      <c r="G363">
        <v>7830</v>
      </c>
      <c r="H363" s="116"/>
      <c r="I363" s="116"/>
      <c r="L363" s="170">
        <v>43165</v>
      </c>
      <c r="M363" s="116">
        <v>1308.5</v>
      </c>
      <c r="N363" s="116">
        <v>1384</v>
      </c>
      <c r="O363" s="116">
        <v>1303</v>
      </c>
      <c r="P363" s="116">
        <v>1360</v>
      </c>
      <c r="Q363" s="116">
        <v>1308.5</v>
      </c>
      <c r="R363">
        <v>71785</v>
      </c>
    </row>
    <row r="364" spans="1:18" x14ac:dyDescent="0.25">
      <c r="A364" s="170">
        <v>43166</v>
      </c>
      <c r="B364" s="116">
        <v>1321.95</v>
      </c>
      <c r="C364" s="116">
        <v>1297.5999999999999</v>
      </c>
      <c r="D364" s="116">
        <v>1285.6500000000001</v>
      </c>
      <c r="E364" s="116">
        <v>1309</v>
      </c>
      <c r="F364" s="116">
        <v>1297.5999999999999</v>
      </c>
      <c r="G364">
        <v>8299</v>
      </c>
      <c r="H364" s="116"/>
      <c r="I364" s="116"/>
      <c r="L364" s="170">
        <v>43166</v>
      </c>
      <c r="M364" s="116">
        <v>1299.05</v>
      </c>
      <c r="N364" s="116">
        <v>1323.7</v>
      </c>
      <c r="O364" s="116">
        <v>1285.8499999999999</v>
      </c>
      <c r="P364" s="116">
        <v>1311</v>
      </c>
      <c r="Q364" s="116">
        <v>1299.05</v>
      </c>
      <c r="R364">
        <v>48333</v>
      </c>
    </row>
    <row r="365" spans="1:18" x14ac:dyDescent="0.25">
      <c r="A365" s="170">
        <v>43167</v>
      </c>
      <c r="B365" s="116">
        <v>1330</v>
      </c>
      <c r="C365" s="116">
        <v>1286.7</v>
      </c>
      <c r="D365" s="116">
        <v>1276</v>
      </c>
      <c r="E365" s="116">
        <v>1329.9</v>
      </c>
      <c r="F365" s="116">
        <v>1286.7</v>
      </c>
      <c r="G365">
        <v>7475</v>
      </c>
      <c r="H365" s="116"/>
      <c r="I365" s="116"/>
      <c r="L365" s="170">
        <v>43167</v>
      </c>
      <c r="M365" s="116">
        <v>1286.5</v>
      </c>
      <c r="N365" s="116">
        <v>1328.7</v>
      </c>
      <c r="O365" s="116">
        <v>1275.5999999999999</v>
      </c>
      <c r="P365" s="116">
        <v>1305</v>
      </c>
      <c r="Q365" s="116">
        <v>1286.5</v>
      </c>
      <c r="R365">
        <v>66698</v>
      </c>
    </row>
    <row r="366" spans="1:18" x14ac:dyDescent="0.25">
      <c r="A366" s="170">
        <v>43168</v>
      </c>
      <c r="B366" s="116">
        <v>1312.6</v>
      </c>
      <c r="C366" s="116">
        <v>1262.3</v>
      </c>
      <c r="D366" s="116">
        <v>1251</v>
      </c>
      <c r="E366" s="116">
        <v>1298.25</v>
      </c>
      <c r="F366" s="116">
        <v>1262.3</v>
      </c>
      <c r="G366">
        <v>8795</v>
      </c>
      <c r="H366" s="116"/>
      <c r="I366" s="116"/>
      <c r="L366" s="170">
        <v>43168</v>
      </c>
      <c r="M366" s="116">
        <v>1256.5</v>
      </c>
      <c r="N366" s="116">
        <v>1314.2</v>
      </c>
      <c r="O366" s="116">
        <v>1251</v>
      </c>
      <c r="P366" s="116">
        <v>1298</v>
      </c>
      <c r="Q366" s="116">
        <v>1256.5</v>
      </c>
      <c r="R366">
        <v>67715</v>
      </c>
    </row>
    <row r="367" spans="1:18" x14ac:dyDescent="0.25">
      <c r="A367" s="170">
        <v>43171</v>
      </c>
      <c r="B367" s="116">
        <v>1298.1500000000001</v>
      </c>
      <c r="C367" s="116">
        <v>1291.8</v>
      </c>
      <c r="D367" s="116">
        <v>1269.75</v>
      </c>
      <c r="E367" s="116">
        <v>1270</v>
      </c>
      <c r="F367" s="116">
        <v>1291.8</v>
      </c>
      <c r="G367">
        <v>7041</v>
      </c>
      <c r="H367" s="116"/>
      <c r="I367" s="116"/>
      <c r="L367" s="170">
        <v>43171</v>
      </c>
      <c r="M367" s="116">
        <v>1288.5999999999999</v>
      </c>
      <c r="N367" s="116">
        <v>1295</v>
      </c>
      <c r="O367" s="116">
        <v>1264.95</v>
      </c>
      <c r="P367" s="116">
        <v>1278</v>
      </c>
      <c r="Q367" s="116">
        <v>1288.5999999999999</v>
      </c>
      <c r="R367">
        <v>41267</v>
      </c>
    </row>
    <row r="368" spans="1:18" x14ac:dyDescent="0.25">
      <c r="A368" s="170">
        <v>43172</v>
      </c>
      <c r="B368" s="116">
        <v>1313.3</v>
      </c>
      <c r="C368" s="116">
        <v>1289.3499999999999</v>
      </c>
      <c r="D368" s="116">
        <v>1268.0999999999999</v>
      </c>
      <c r="E368" s="116">
        <v>1279</v>
      </c>
      <c r="F368" s="116">
        <v>1289.3499999999999</v>
      </c>
      <c r="G368">
        <v>7684</v>
      </c>
      <c r="H368" s="116"/>
      <c r="I368" s="116"/>
      <c r="L368" s="170">
        <v>43172</v>
      </c>
      <c r="M368" s="116">
        <v>1288.55</v>
      </c>
      <c r="N368" s="116">
        <v>1314</v>
      </c>
      <c r="O368" s="116">
        <v>1273</v>
      </c>
      <c r="P368" s="116">
        <v>1294.9000000000001</v>
      </c>
      <c r="Q368" s="116">
        <v>1288.55</v>
      </c>
      <c r="R368">
        <v>57971</v>
      </c>
    </row>
    <row r="369" spans="1:18" x14ac:dyDescent="0.25">
      <c r="A369" s="170">
        <v>43173</v>
      </c>
      <c r="B369" s="116">
        <v>1294.2</v>
      </c>
      <c r="C369" s="116">
        <v>1258.55</v>
      </c>
      <c r="D369" s="116">
        <v>1251.0999999999999</v>
      </c>
      <c r="E369" s="116">
        <v>1290.0999999999999</v>
      </c>
      <c r="F369" s="116">
        <v>1258.55</v>
      </c>
      <c r="G369">
        <v>6249</v>
      </c>
      <c r="H369" s="116"/>
      <c r="I369" s="116"/>
      <c r="L369" s="170">
        <v>43173</v>
      </c>
      <c r="M369" s="116">
        <v>1253.05</v>
      </c>
      <c r="N369" s="116">
        <v>1294</v>
      </c>
      <c r="O369" s="116">
        <v>1245.0999999999999</v>
      </c>
      <c r="P369" s="116">
        <v>1294</v>
      </c>
      <c r="Q369" s="116">
        <v>1253.05</v>
      </c>
      <c r="R369">
        <v>35251</v>
      </c>
    </row>
    <row r="370" spans="1:18" x14ac:dyDescent="0.25">
      <c r="A370" s="170">
        <v>43174</v>
      </c>
      <c r="B370" s="116">
        <v>1264.75</v>
      </c>
      <c r="C370" s="116">
        <v>1233.3</v>
      </c>
      <c r="D370" s="116">
        <v>1230</v>
      </c>
      <c r="E370" s="116">
        <v>1260</v>
      </c>
      <c r="F370" s="116">
        <v>1233.3</v>
      </c>
      <c r="G370">
        <v>15497</v>
      </c>
      <c r="H370" s="116"/>
      <c r="I370" s="116"/>
      <c r="L370" s="170">
        <v>43174</v>
      </c>
      <c r="M370" s="116">
        <v>1227</v>
      </c>
      <c r="N370" s="116">
        <v>1264.95</v>
      </c>
      <c r="O370" s="116">
        <v>1216</v>
      </c>
      <c r="P370" s="116">
        <v>1264.95</v>
      </c>
      <c r="Q370" s="116">
        <v>1227</v>
      </c>
      <c r="R370">
        <v>92962</v>
      </c>
    </row>
    <row r="371" spans="1:18" x14ac:dyDescent="0.25">
      <c r="A371" s="170">
        <v>43175</v>
      </c>
      <c r="B371" s="116">
        <v>1247.95</v>
      </c>
      <c r="C371" s="116">
        <v>1212.55</v>
      </c>
      <c r="D371" s="116">
        <v>1205.05</v>
      </c>
      <c r="E371" s="116">
        <v>1240</v>
      </c>
      <c r="F371" s="116">
        <v>1212.55</v>
      </c>
      <c r="G371">
        <v>5611</v>
      </c>
      <c r="H371" s="116"/>
      <c r="I371" s="116"/>
      <c r="L371" s="170">
        <v>43175</v>
      </c>
      <c r="M371" s="116">
        <v>1209.05</v>
      </c>
      <c r="N371" s="116">
        <v>1247</v>
      </c>
      <c r="O371" s="116">
        <v>1201.0999999999999</v>
      </c>
      <c r="P371" s="116">
        <v>1230</v>
      </c>
      <c r="Q371" s="116">
        <v>1209.05</v>
      </c>
      <c r="R371">
        <v>41028</v>
      </c>
    </row>
    <row r="372" spans="1:18" x14ac:dyDescent="0.25">
      <c r="A372" s="170">
        <v>43178</v>
      </c>
      <c r="B372" s="116">
        <v>1249</v>
      </c>
      <c r="C372" s="116">
        <v>1167.3499999999999</v>
      </c>
      <c r="D372" s="116">
        <v>1160.5999999999999</v>
      </c>
      <c r="E372" s="116">
        <v>1249</v>
      </c>
      <c r="F372" s="116">
        <v>1167.3499999999999</v>
      </c>
      <c r="G372">
        <v>11331</v>
      </c>
      <c r="H372" s="116"/>
      <c r="I372" s="116"/>
      <c r="L372" s="170">
        <v>43178</v>
      </c>
      <c r="M372" s="116">
        <v>1167</v>
      </c>
      <c r="N372" s="116">
        <v>1245</v>
      </c>
      <c r="O372" s="116">
        <v>1156</v>
      </c>
      <c r="P372" s="116">
        <v>1244.95</v>
      </c>
      <c r="Q372" s="116">
        <v>1167</v>
      </c>
      <c r="R372">
        <v>55266</v>
      </c>
    </row>
    <row r="373" spans="1:18" x14ac:dyDescent="0.25">
      <c r="A373" s="170">
        <v>43179</v>
      </c>
      <c r="B373" s="116">
        <v>1181.75</v>
      </c>
      <c r="C373" s="116">
        <v>1156.4000000000001</v>
      </c>
      <c r="D373" s="116">
        <v>1151</v>
      </c>
      <c r="E373" s="116">
        <v>1168</v>
      </c>
      <c r="F373" s="116">
        <v>1156.4000000000001</v>
      </c>
      <c r="G373">
        <v>7828</v>
      </c>
      <c r="H373" s="116"/>
      <c r="I373" s="116"/>
      <c r="L373" s="170">
        <v>43179</v>
      </c>
      <c r="M373" s="116">
        <v>1160.6500000000001</v>
      </c>
      <c r="N373" s="116">
        <v>1184</v>
      </c>
      <c r="O373" s="116">
        <v>1151.7</v>
      </c>
      <c r="P373" s="116">
        <v>1166.95</v>
      </c>
      <c r="Q373" s="116">
        <v>1160.6500000000001</v>
      </c>
      <c r="R373">
        <v>50790</v>
      </c>
    </row>
    <row r="374" spans="1:18" x14ac:dyDescent="0.25">
      <c r="A374" s="170">
        <v>43180</v>
      </c>
      <c r="B374" s="116">
        <v>1215.95</v>
      </c>
      <c r="C374" s="116">
        <v>1201.45</v>
      </c>
      <c r="D374" s="116">
        <v>1150</v>
      </c>
      <c r="E374" s="116">
        <v>1150</v>
      </c>
      <c r="F374" s="116">
        <v>1201.45</v>
      </c>
      <c r="G374">
        <v>16089</v>
      </c>
      <c r="H374" s="116"/>
      <c r="I374" s="116"/>
      <c r="L374" s="170">
        <v>43180</v>
      </c>
      <c r="M374" s="116">
        <v>1198.6500000000001</v>
      </c>
      <c r="N374" s="116">
        <v>1210</v>
      </c>
      <c r="O374" s="116">
        <v>1161.1500000000001</v>
      </c>
      <c r="P374" s="116">
        <v>1170</v>
      </c>
      <c r="Q374" s="116">
        <v>1198.6500000000001</v>
      </c>
      <c r="R374">
        <v>75497</v>
      </c>
    </row>
    <row r="375" spans="1:18" x14ac:dyDescent="0.25">
      <c r="A375" s="170">
        <v>43181</v>
      </c>
      <c r="B375" s="116">
        <v>1217.9000000000001</v>
      </c>
      <c r="C375" s="116">
        <v>1182.4000000000001</v>
      </c>
      <c r="D375" s="116">
        <v>1175</v>
      </c>
      <c r="E375" s="116">
        <v>1189</v>
      </c>
      <c r="F375" s="116">
        <v>1182.4000000000001</v>
      </c>
      <c r="G375">
        <v>5040</v>
      </c>
      <c r="H375" s="116"/>
      <c r="I375" s="116"/>
      <c r="L375" s="170">
        <v>43181</v>
      </c>
      <c r="M375" s="116">
        <v>1185.3</v>
      </c>
      <c r="N375" s="116">
        <v>1219</v>
      </c>
      <c r="O375" s="116">
        <v>1176</v>
      </c>
      <c r="P375" s="116">
        <v>1201.45</v>
      </c>
      <c r="Q375" s="116">
        <v>1185.3</v>
      </c>
      <c r="R375">
        <v>32372</v>
      </c>
    </row>
    <row r="376" spans="1:18" x14ac:dyDescent="0.25">
      <c r="A376" s="170">
        <v>43182</v>
      </c>
      <c r="B376" s="116">
        <v>1222.45</v>
      </c>
      <c r="C376" s="116">
        <v>1215.75</v>
      </c>
      <c r="D376" s="116">
        <v>1171</v>
      </c>
      <c r="E376" s="116">
        <v>1182</v>
      </c>
      <c r="F376" s="116">
        <v>1215.75</v>
      </c>
      <c r="G376">
        <v>15498</v>
      </c>
      <c r="H376" s="116"/>
      <c r="I376" s="116"/>
      <c r="L376" s="170">
        <v>43182</v>
      </c>
      <c r="M376" s="116">
        <v>1216.0999999999999</v>
      </c>
      <c r="N376" s="116">
        <v>1224.8</v>
      </c>
      <c r="O376" s="116">
        <v>1180</v>
      </c>
      <c r="P376" s="116">
        <v>1190</v>
      </c>
      <c r="Q376" s="116">
        <v>1216.0999999999999</v>
      </c>
      <c r="R376">
        <v>191083</v>
      </c>
    </row>
    <row r="377" spans="1:18" x14ac:dyDescent="0.25">
      <c r="A377" s="170">
        <v>43185</v>
      </c>
      <c r="B377" s="116">
        <v>1252.95</v>
      </c>
      <c r="C377" s="116">
        <v>1239.05</v>
      </c>
      <c r="D377" s="116">
        <v>1200.8499999999999</v>
      </c>
      <c r="E377" s="116">
        <v>1216.5</v>
      </c>
      <c r="F377" s="116">
        <v>1239.05</v>
      </c>
      <c r="G377">
        <v>9121</v>
      </c>
      <c r="H377" s="116"/>
      <c r="I377" s="116"/>
      <c r="L377" s="170">
        <v>43185</v>
      </c>
      <c r="M377" s="116">
        <v>1240.7</v>
      </c>
      <c r="N377" s="116">
        <v>1255</v>
      </c>
      <c r="O377" s="116">
        <v>1201.7</v>
      </c>
      <c r="P377" s="116">
        <v>1218</v>
      </c>
      <c r="Q377" s="116">
        <v>1240.7</v>
      </c>
      <c r="R377">
        <v>165174</v>
      </c>
    </row>
    <row r="378" spans="1:18" x14ac:dyDescent="0.25">
      <c r="A378" s="170">
        <v>43186</v>
      </c>
      <c r="B378" s="116">
        <v>1270.45</v>
      </c>
      <c r="C378" s="116">
        <v>1239.1500000000001</v>
      </c>
      <c r="D378" s="116">
        <v>1224</v>
      </c>
      <c r="E378" s="116">
        <v>1230.05</v>
      </c>
      <c r="F378" s="116">
        <v>1239.1500000000001</v>
      </c>
      <c r="G378">
        <v>10560</v>
      </c>
      <c r="H378" s="116"/>
      <c r="I378" s="116"/>
      <c r="L378" s="170">
        <v>43186</v>
      </c>
      <c r="M378" s="116">
        <v>1242.6500000000001</v>
      </c>
      <c r="N378" s="116">
        <v>1274</v>
      </c>
      <c r="O378" s="116">
        <v>1230</v>
      </c>
      <c r="P378" s="116">
        <v>1255</v>
      </c>
      <c r="Q378" s="116">
        <v>1242.6500000000001</v>
      </c>
      <c r="R378">
        <v>172956</v>
      </c>
    </row>
    <row r="379" spans="1:18" x14ac:dyDescent="0.25">
      <c r="A379" s="170">
        <v>43187</v>
      </c>
      <c r="B379" s="116">
        <v>1252.75</v>
      </c>
      <c r="C379" s="116">
        <v>1239.5999999999999</v>
      </c>
      <c r="D379" s="116">
        <v>1219.95</v>
      </c>
      <c r="E379" s="116">
        <v>1230.25</v>
      </c>
      <c r="F379" s="116">
        <v>1239.5999999999999</v>
      </c>
      <c r="G379">
        <v>8834</v>
      </c>
      <c r="H379" s="116"/>
      <c r="I379" s="116"/>
      <c r="L379" s="170">
        <v>43187</v>
      </c>
      <c r="M379" s="116">
        <v>1235.5999999999999</v>
      </c>
      <c r="N379" s="116">
        <v>1248</v>
      </c>
      <c r="O379" s="116">
        <v>1217.3</v>
      </c>
      <c r="P379" s="116">
        <v>1241</v>
      </c>
      <c r="Q379" s="116">
        <v>1235.5999999999999</v>
      </c>
      <c r="R379">
        <v>237189</v>
      </c>
    </row>
    <row r="380" spans="1:18" x14ac:dyDescent="0.25">
      <c r="A380" s="170">
        <v>43192</v>
      </c>
      <c r="B380" s="116">
        <v>1267.2</v>
      </c>
      <c r="C380" s="116">
        <v>1248.05</v>
      </c>
      <c r="D380" s="116">
        <v>1227</v>
      </c>
      <c r="E380" s="116">
        <v>1227</v>
      </c>
      <c r="F380" s="116">
        <v>1248.05</v>
      </c>
      <c r="G380">
        <v>5165</v>
      </c>
      <c r="H380" s="116"/>
      <c r="I380" s="116"/>
      <c r="L380" s="170">
        <v>43192</v>
      </c>
      <c r="M380" s="116">
        <v>1242.6500000000001</v>
      </c>
      <c r="N380" s="116">
        <v>1264.3499999999999</v>
      </c>
      <c r="O380" s="116">
        <v>1236.55</v>
      </c>
      <c r="P380" s="116">
        <v>1238</v>
      </c>
      <c r="Q380" s="116">
        <v>1242.6500000000001</v>
      </c>
      <c r="R380">
        <v>70546</v>
      </c>
    </row>
    <row r="381" spans="1:18" x14ac:dyDescent="0.25">
      <c r="A381" s="170">
        <v>43193</v>
      </c>
      <c r="B381" s="116">
        <v>1257.95</v>
      </c>
      <c r="C381" s="116">
        <v>1230.95</v>
      </c>
      <c r="D381" s="116">
        <v>1225.55</v>
      </c>
      <c r="E381" s="116">
        <v>1239</v>
      </c>
      <c r="F381" s="116">
        <v>1230.95</v>
      </c>
      <c r="G381">
        <v>7248</v>
      </c>
      <c r="H381" s="116"/>
      <c r="I381" s="116"/>
      <c r="L381" s="170">
        <v>43193</v>
      </c>
      <c r="M381" s="116">
        <v>1227</v>
      </c>
      <c r="N381" s="116">
        <v>1257</v>
      </c>
      <c r="O381" s="116">
        <v>1221.0999999999999</v>
      </c>
      <c r="P381" s="116">
        <v>1245</v>
      </c>
      <c r="Q381" s="116">
        <v>1227</v>
      </c>
      <c r="R381">
        <v>48117</v>
      </c>
    </row>
    <row r="382" spans="1:18" x14ac:dyDescent="0.25">
      <c r="A382" s="170">
        <v>43194</v>
      </c>
      <c r="B382" s="116">
        <v>1245</v>
      </c>
      <c r="C382" s="116">
        <v>1216.6500000000001</v>
      </c>
      <c r="D382" s="116">
        <v>1206.1500000000001</v>
      </c>
      <c r="E382" s="116">
        <v>1225.05</v>
      </c>
      <c r="F382" s="116">
        <v>1216.6500000000001</v>
      </c>
      <c r="G382">
        <v>5603</v>
      </c>
      <c r="H382" s="116"/>
      <c r="I382" s="116"/>
      <c r="L382" s="170">
        <v>43194</v>
      </c>
      <c r="M382" s="116">
        <v>1219.55</v>
      </c>
      <c r="N382" s="116">
        <v>1248.95</v>
      </c>
      <c r="O382" s="116">
        <v>1205.1500000000001</v>
      </c>
      <c r="P382" s="116">
        <v>1230</v>
      </c>
      <c r="Q382" s="116">
        <v>1219.55</v>
      </c>
      <c r="R382">
        <v>44969</v>
      </c>
    </row>
    <row r="383" spans="1:18" x14ac:dyDescent="0.25">
      <c r="A383" s="170">
        <v>43195</v>
      </c>
      <c r="B383" s="116">
        <v>1231.5999999999999</v>
      </c>
      <c r="C383" s="116">
        <v>1225.4000000000001</v>
      </c>
      <c r="D383" s="116">
        <v>1221</v>
      </c>
      <c r="E383" s="116">
        <v>1221</v>
      </c>
      <c r="F383" s="116">
        <v>1225.4000000000001</v>
      </c>
      <c r="G383">
        <v>2281</v>
      </c>
      <c r="H383" s="116"/>
      <c r="I383" s="116"/>
      <c r="L383" s="170">
        <v>43195</v>
      </c>
      <c r="M383" s="116">
        <v>1223.95</v>
      </c>
      <c r="N383" s="116">
        <v>1240.6500000000001</v>
      </c>
      <c r="O383" s="116">
        <v>1220.9000000000001</v>
      </c>
      <c r="P383" s="116">
        <v>1230</v>
      </c>
      <c r="Q383" s="116">
        <v>1223.95</v>
      </c>
      <c r="R383">
        <v>107010</v>
      </c>
    </row>
    <row r="384" spans="1:18" x14ac:dyDescent="0.25">
      <c r="A384" s="170">
        <v>43196</v>
      </c>
      <c r="B384" s="116">
        <v>1232</v>
      </c>
      <c r="C384" s="116">
        <v>1221.9000000000001</v>
      </c>
      <c r="D384" s="116">
        <v>1210</v>
      </c>
      <c r="E384" s="116">
        <v>1230</v>
      </c>
      <c r="F384" s="116">
        <v>1221.9000000000001</v>
      </c>
      <c r="G384">
        <v>2004</v>
      </c>
      <c r="H384" s="116"/>
      <c r="I384" s="116"/>
      <c r="L384" s="170">
        <v>43196</v>
      </c>
      <c r="M384" s="116">
        <v>1221.8499999999999</v>
      </c>
      <c r="N384" s="116">
        <v>1234.9000000000001</v>
      </c>
      <c r="O384" s="116">
        <v>1210</v>
      </c>
      <c r="P384" s="116">
        <v>1225.05</v>
      </c>
      <c r="Q384" s="116">
        <v>1221.8499999999999</v>
      </c>
      <c r="R384">
        <v>20547</v>
      </c>
    </row>
    <row r="385" spans="1:18" x14ac:dyDescent="0.25">
      <c r="A385" s="170">
        <v>43199</v>
      </c>
      <c r="B385" s="116">
        <v>1269.6500000000001</v>
      </c>
      <c r="C385" s="116">
        <v>1209.4000000000001</v>
      </c>
      <c r="D385" s="116">
        <v>1203</v>
      </c>
      <c r="E385" s="116">
        <v>1230.1500000000001</v>
      </c>
      <c r="F385" s="116">
        <v>1209.4000000000001</v>
      </c>
      <c r="G385">
        <v>7030</v>
      </c>
      <c r="H385" s="116"/>
      <c r="I385" s="116"/>
      <c r="L385" s="170">
        <v>43199</v>
      </c>
      <c r="M385" s="116">
        <v>1218.95</v>
      </c>
      <c r="N385" s="116">
        <v>1270.6500000000001</v>
      </c>
      <c r="O385" s="116">
        <v>1203.25</v>
      </c>
      <c r="P385" s="116">
        <v>1242</v>
      </c>
      <c r="Q385" s="116">
        <v>1218.95</v>
      </c>
      <c r="R385">
        <v>228938</v>
      </c>
    </row>
    <row r="386" spans="1:18" x14ac:dyDescent="0.25">
      <c r="A386" s="170">
        <v>43200</v>
      </c>
      <c r="B386" s="116">
        <v>1244.8</v>
      </c>
      <c r="C386" s="116">
        <v>1212.8</v>
      </c>
      <c r="D386" s="116">
        <v>1205.5999999999999</v>
      </c>
      <c r="E386" s="116">
        <v>1222.1500000000001</v>
      </c>
      <c r="F386" s="116">
        <v>1212.8</v>
      </c>
      <c r="G386">
        <v>15793</v>
      </c>
      <c r="H386" s="116"/>
      <c r="I386" s="116"/>
      <c r="L386" s="170">
        <v>43200</v>
      </c>
      <c r="M386" s="116">
        <v>1209.5</v>
      </c>
      <c r="N386" s="116">
        <v>1244</v>
      </c>
      <c r="O386" s="116">
        <v>1205.05</v>
      </c>
      <c r="P386" s="116">
        <v>1228.8</v>
      </c>
      <c r="Q386" s="116">
        <v>1209.5</v>
      </c>
      <c r="R386">
        <v>58091</v>
      </c>
    </row>
    <row r="387" spans="1:18" x14ac:dyDescent="0.25">
      <c r="A387" s="170">
        <v>43201</v>
      </c>
      <c r="B387" s="116">
        <v>1225</v>
      </c>
      <c r="C387" s="116">
        <v>1198.8</v>
      </c>
      <c r="D387" s="116">
        <v>1195</v>
      </c>
      <c r="E387" s="116">
        <v>1225</v>
      </c>
      <c r="F387" s="116">
        <v>1198.8</v>
      </c>
      <c r="G387">
        <v>3850</v>
      </c>
      <c r="H387" s="116"/>
      <c r="I387" s="116"/>
      <c r="L387" s="170">
        <v>43201</v>
      </c>
      <c r="M387" s="116">
        <v>1198.45</v>
      </c>
      <c r="N387" s="116">
        <v>1222.25</v>
      </c>
      <c r="O387" s="116">
        <v>1195</v>
      </c>
      <c r="P387" s="116">
        <v>1211.05</v>
      </c>
      <c r="Q387" s="116">
        <v>1198.45</v>
      </c>
      <c r="R387">
        <v>38307</v>
      </c>
    </row>
    <row r="388" spans="1:18" x14ac:dyDescent="0.25">
      <c r="A388" s="170">
        <v>43202</v>
      </c>
      <c r="B388" s="116">
        <v>1255</v>
      </c>
      <c r="C388" s="116">
        <v>1211.75</v>
      </c>
      <c r="D388" s="116">
        <v>1200</v>
      </c>
      <c r="E388" s="116">
        <v>1200</v>
      </c>
      <c r="F388" s="116">
        <v>1211.75</v>
      </c>
      <c r="G388">
        <v>104673</v>
      </c>
      <c r="H388" s="116"/>
      <c r="I388" s="116"/>
      <c r="L388" s="170">
        <v>43202</v>
      </c>
      <c r="M388" s="116">
        <v>1206.8</v>
      </c>
      <c r="N388" s="116">
        <v>1255</v>
      </c>
      <c r="O388" s="116">
        <v>1195.2</v>
      </c>
      <c r="P388" s="116">
        <v>1200</v>
      </c>
      <c r="Q388" s="116">
        <v>1206.8</v>
      </c>
      <c r="R388">
        <v>160675</v>
      </c>
    </row>
    <row r="389" spans="1:18" x14ac:dyDescent="0.25">
      <c r="A389" s="170">
        <v>43203</v>
      </c>
      <c r="B389" s="116">
        <v>1219.05</v>
      </c>
      <c r="C389" s="116">
        <v>1191.95</v>
      </c>
      <c r="D389" s="116">
        <v>1186.05</v>
      </c>
      <c r="E389" s="116">
        <v>1201</v>
      </c>
      <c r="F389" s="116">
        <v>1191.95</v>
      </c>
      <c r="G389">
        <v>8930</v>
      </c>
      <c r="H389" s="116"/>
      <c r="I389" s="116"/>
      <c r="L389" s="170">
        <v>43203</v>
      </c>
      <c r="M389" s="116">
        <v>1193.8499999999999</v>
      </c>
      <c r="N389" s="116">
        <v>1222.75</v>
      </c>
      <c r="O389" s="116">
        <v>1187</v>
      </c>
      <c r="P389" s="116">
        <v>1210.7</v>
      </c>
      <c r="Q389" s="116">
        <v>1193.8499999999999</v>
      </c>
      <c r="R389">
        <v>66615</v>
      </c>
    </row>
    <row r="390" spans="1:18" x14ac:dyDescent="0.25">
      <c r="A390" s="170">
        <v>43206</v>
      </c>
      <c r="B390" s="116">
        <v>1199.2</v>
      </c>
      <c r="C390" s="116">
        <v>1178.5999999999999</v>
      </c>
      <c r="D390" s="116">
        <v>1166.3499999999999</v>
      </c>
      <c r="E390" s="116">
        <v>1190</v>
      </c>
      <c r="F390" s="116">
        <v>1178.5999999999999</v>
      </c>
      <c r="G390">
        <v>4433</v>
      </c>
      <c r="H390" s="116"/>
      <c r="I390" s="116"/>
      <c r="L390" s="170">
        <v>43206</v>
      </c>
      <c r="M390" s="116">
        <v>1174.6500000000001</v>
      </c>
      <c r="N390" s="116">
        <v>1196.3</v>
      </c>
      <c r="O390" s="116">
        <v>1165</v>
      </c>
      <c r="P390" s="116">
        <v>1193.8499999999999</v>
      </c>
      <c r="Q390" s="116">
        <v>1174.6500000000001</v>
      </c>
      <c r="R390">
        <v>60037</v>
      </c>
    </row>
    <row r="391" spans="1:18" x14ac:dyDescent="0.25">
      <c r="A391" s="170">
        <v>43207</v>
      </c>
      <c r="B391" s="116">
        <v>1196.3</v>
      </c>
      <c r="C391" s="116">
        <v>1160.45</v>
      </c>
      <c r="D391" s="116">
        <v>1156.6500000000001</v>
      </c>
      <c r="E391" s="116">
        <v>1170</v>
      </c>
      <c r="F391" s="116">
        <v>1160.45</v>
      </c>
      <c r="G391">
        <v>8244</v>
      </c>
      <c r="H391" s="116"/>
      <c r="I391" s="116"/>
      <c r="L391" s="170">
        <v>43207</v>
      </c>
      <c r="M391" s="116">
        <v>1158.7</v>
      </c>
      <c r="N391" s="116">
        <v>1194.95</v>
      </c>
      <c r="O391" s="116">
        <v>1155</v>
      </c>
      <c r="P391" s="116">
        <v>1187</v>
      </c>
      <c r="Q391" s="116">
        <v>1158.7</v>
      </c>
      <c r="R391">
        <v>61869</v>
      </c>
    </row>
    <row r="392" spans="1:18" x14ac:dyDescent="0.25">
      <c r="A392" s="170">
        <v>43208</v>
      </c>
      <c r="B392" s="116">
        <v>1177.05</v>
      </c>
      <c r="C392" s="116">
        <v>1156.6500000000001</v>
      </c>
      <c r="D392" s="116">
        <v>1150</v>
      </c>
      <c r="E392" s="116">
        <v>1157</v>
      </c>
      <c r="F392" s="116">
        <v>1156.6500000000001</v>
      </c>
      <c r="G392">
        <v>8097</v>
      </c>
      <c r="H392" s="116"/>
      <c r="I392" s="116"/>
      <c r="L392" s="170">
        <v>43208</v>
      </c>
      <c r="M392" s="116">
        <v>1153.5999999999999</v>
      </c>
      <c r="N392" s="116">
        <v>1178</v>
      </c>
      <c r="O392" s="116">
        <v>1145.5</v>
      </c>
      <c r="P392" s="116">
        <v>1156</v>
      </c>
      <c r="Q392" s="116">
        <v>1153.5999999999999</v>
      </c>
      <c r="R392">
        <v>76185</v>
      </c>
    </row>
    <row r="393" spans="1:18" x14ac:dyDescent="0.25">
      <c r="A393" s="170">
        <v>43209</v>
      </c>
      <c r="B393" s="116">
        <v>1175.2</v>
      </c>
      <c r="C393" s="116">
        <v>1158.5</v>
      </c>
      <c r="D393" s="116">
        <v>1150</v>
      </c>
      <c r="E393" s="116">
        <v>1162</v>
      </c>
      <c r="F393" s="116">
        <v>1158.5</v>
      </c>
      <c r="G393">
        <v>6101</v>
      </c>
      <c r="H393" s="116"/>
      <c r="I393" s="116"/>
      <c r="L393" s="170">
        <v>43209</v>
      </c>
      <c r="M393" s="116">
        <v>1157.4000000000001</v>
      </c>
      <c r="N393" s="116">
        <v>1175</v>
      </c>
      <c r="O393" s="116">
        <v>1145.55</v>
      </c>
      <c r="P393" s="116">
        <v>1165</v>
      </c>
      <c r="Q393" s="116">
        <v>1157.4000000000001</v>
      </c>
      <c r="R393">
        <v>71909</v>
      </c>
    </row>
    <row r="394" spans="1:18" x14ac:dyDescent="0.25">
      <c r="A394" s="170">
        <v>43210</v>
      </c>
      <c r="B394" s="116">
        <v>1237.3</v>
      </c>
      <c r="C394" s="116">
        <v>1198.6500000000001</v>
      </c>
      <c r="D394" s="116">
        <v>1155.05</v>
      </c>
      <c r="E394" s="116">
        <v>1155.05</v>
      </c>
      <c r="F394" s="116">
        <v>1198.6500000000001</v>
      </c>
      <c r="G394">
        <v>18717</v>
      </c>
      <c r="H394" s="116"/>
      <c r="I394" s="116"/>
      <c r="L394" s="170">
        <v>43210</v>
      </c>
      <c r="M394" s="116">
        <v>1194.05</v>
      </c>
      <c r="N394" s="116">
        <v>1234</v>
      </c>
      <c r="O394" s="116">
        <v>1160.25</v>
      </c>
      <c r="P394" s="116">
        <v>1167</v>
      </c>
      <c r="Q394" s="116">
        <v>1194.05</v>
      </c>
      <c r="R394">
        <v>310325</v>
      </c>
    </row>
    <row r="395" spans="1:18" x14ac:dyDescent="0.25">
      <c r="A395" s="170">
        <v>43213</v>
      </c>
      <c r="B395" s="116">
        <v>1285</v>
      </c>
      <c r="C395" s="116">
        <v>1248.8</v>
      </c>
      <c r="D395" s="116">
        <v>1193.0999999999999</v>
      </c>
      <c r="E395" s="116">
        <v>1200</v>
      </c>
      <c r="F395" s="116">
        <v>1248.8</v>
      </c>
      <c r="G395">
        <v>40639</v>
      </c>
      <c r="H395" s="116"/>
      <c r="I395" s="116"/>
      <c r="L395" s="170">
        <v>43213</v>
      </c>
      <c r="M395" s="116">
        <v>1246.0999999999999</v>
      </c>
      <c r="N395" s="116">
        <v>1284</v>
      </c>
      <c r="O395" s="116">
        <v>1195</v>
      </c>
      <c r="P395" s="116">
        <v>1199.9000000000001</v>
      </c>
      <c r="Q395" s="116">
        <v>1246.0999999999999</v>
      </c>
      <c r="R395">
        <v>344232</v>
      </c>
    </row>
    <row r="396" spans="1:18" x14ac:dyDescent="0.25">
      <c r="A396" s="170">
        <v>43214</v>
      </c>
      <c r="B396" s="116">
        <v>1260</v>
      </c>
      <c r="C396" s="116">
        <v>1221.3499999999999</v>
      </c>
      <c r="D396" s="116">
        <v>1218</v>
      </c>
      <c r="E396" s="116">
        <v>1249.9000000000001</v>
      </c>
      <c r="F396" s="116">
        <v>1221.3499999999999</v>
      </c>
      <c r="G396">
        <v>12636</v>
      </c>
      <c r="H396" s="116"/>
      <c r="I396" s="116"/>
      <c r="L396" s="170">
        <v>43214</v>
      </c>
      <c r="M396" s="116">
        <v>1223.25</v>
      </c>
      <c r="N396" s="116">
        <v>1259</v>
      </c>
      <c r="O396" s="116">
        <v>1216.3</v>
      </c>
      <c r="P396" s="116">
        <v>1246</v>
      </c>
      <c r="Q396" s="116">
        <v>1223.25</v>
      </c>
      <c r="R396">
        <v>93283</v>
      </c>
    </row>
    <row r="397" spans="1:18" x14ac:dyDescent="0.25">
      <c r="A397" s="170">
        <v>43215</v>
      </c>
      <c r="B397" s="116">
        <v>1310</v>
      </c>
      <c r="C397" s="116">
        <v>1289.8</v>
      </c>
      <c r="D397" s="116">
        <v>1219</v>
      </c>
      <c r="E397" s="116">
        <v>1221.3499999999999</v>
      </c>
      <c r="F397" s="116">
        <v>1289.8</v>
      </c>
      <c r="G397">
        <v>356630</v>
      </c>
      <c r="H397" s="116"/>
      <c r="I397" s="116"/>
      <c r="L397" s="170">
        <v>43215</v>
      </c>
      <c r="M397" s="116">
        <v>1289.25</v>
      </c>
      <c r="N397" s="116">
        <v>1311</v>
      </c>
      <c r="O397" s="116">
        <v>1221</v>
      </c>
      <c r="P397" s="116">
        <v>1221</v>
      </c>
      <c r="Q397" s="116">
        <v>1289.25</v>
      </c>
      <c r="R397">
        <v>1221193</v>
      </c>
    </row>
    <row r="398" spans="1:18" x14ac:dyDescent="0.25">
      <c r="A398" s="170">
        <v>43216</v>
      </c>
      <c r="B398" s="116">
        <v>1380</v>
      </c>
      <c r="C398" s="116">
        <v>1343.5</v>
      </c>
      <c r="D398" s="116">
        <v>1304</v>
      </c>
      <c r="E398" s="116">
        <v>1304</v>
      </c>
      <c r="F398" s="116">
        <v>1343.5</v>
      </c>
      <c r="G398">
        <v>58206</v>
      </c>
      <c r="H398" s="116"/>
      <c r="I398" s="116"/>
      <c r="L398" s="170">
        <v>43216</v>
      </c>
      <c r="M398" s="116">
        <v>1349.4</v>
      </c>
      <c r="N398" s="116">
        <v>1375</v>
      </c>
      <c r="O398" s="116">
        <v>1302</v>
      </c>
      <c r="P398" s="116">
        <v>1302</v>
      </c>
      <c r="Q398" s="116">
        <v>1349.4</v>
      </c>
      <c r="R398">
        <v>492171</v>
      </c>
    </row>
    <row r="399" spans="1:18" x14ac:dyDescent="0.25">
      <c r="A399" s="170">
        <v>43217</v>
      </c>
      <c r="B399" s="116">
        <v>1364.25</v>
      </c>
      <c r="C399" s="116">
        <v>1338.2</v>
      </c>
      <c r="D399" s="116">
        <v>1311.05</v>
      </c>
      <c r="E399" s="116">
        <v>1345.05</v>
      </c>
      <c r="F399" s="116">
        <v>1338.2</v>
      </c>
      <c r="G399">
        <v>16829</v>
      </c>
      <c r="H399" s="116"/>
      <c r="I399" s="116"/>
      <c r="L399" s="170">
        <v>43217</v>
      </c>
      <c r="M399" s="116">
        <v>1337.05</v>
      </c>
      <c r="N399" s="116">
        <v>1363.9</v>
      </c>
      <c r="O399" s="116">
        <v>1309.0999999999999</v>
      </c>
      <c r="P399" s="116">
        <v>1353</v>
      </c>
      <c r="Q399" s="116">
        <v>1337.05</v>
      </c>
      <c r="R399">
        <v>141781</v>
      </c>
    </row>
    <row r="400" spans="1:18" x14ac:dyDescent="0.25">
      <c r="A400" s="170">
        <v>43220</v>
      </c>
      <c r="B400" s="116">
        <v>1355</v>
      </c>
      <c r="C400" s="116">
        <v>1329.35</v>
      </c>
      <c r="D400" s="116">
        <v>1322</v>
      </c>
      <c r="E400" s="116">
        <v>1335</v>
      </c>
      <c r="F400" s="116">
        <v>1329.35</v>
      </c>
      <c r="G400">
        <v>5708</v>
      </c>
      <c r="H400" s="116"/>
      <c r="I400" s="116"/>
      <c r="L400" s="170">
        <v>43220</v>
      </c>
      <c r="M400" s="116">
        <v>1329.6</v>
      </c>
      <c r="N400" s="116">
        <v>1358</v>
      </c>
      <c r="O400" s="116">
        <v>1325</v>
      </c>
      <c r="P400" s="116">
        <v>1354.95</v>
      </c>
      <c r="Q400" s="116">
        <v>1329.6</v>
      </c>
      <c r="R400">
        <v>46807</v>
      </c>
    </row>
    <row r="401" spans="1:18" x14ac:dyDescent="0.25">
      <c r="A401" s="170">
        <v>43222</v>
      </c>
      <c r="B401" s="116">
        <v>1343.75</v>
      </c>
      <c r="C401" s="116">
        <v>1303.55</v>
      </c>
      <c r="D401" s="116">
        <v>1291</v>
      </c>
      <c r="E401" s="116">
        <v>1316</v>
      </c>
      <c r="F401" s="116">
        <v>1303.55</v>
      </c>
      <c r="G401">
        <v>6458</v>
      </c>
      <c r="H401" s="116"/>
      <c r="I401" s="116"/>
      <c r="L401" s="170">
        <v>43222</v>
      </c>
      <c r="M401" s="116">
        <v>1310.4000000000001</v>
      </c>
      <c r="N401" s="116">
        <v>1341.55</v>
      </c>
      <c r="O401" s="116">
        <v>1290</v>
      </c>
      <c r="P401" s="116">
        <v>1338.9</v>
      </c>
      <c r="Q401" s="116">
        <v>1310.4000000000001</v>
      </c>
      <c r="R401">
        <v>64755</v>
      </c>
    </row>
    <row r="402" spans="1:18" x14ac:dyDescent="0.25">
      <c r="A402" s="170">
        <v>43223</v>
      </c>
      <c r="B402" s="116">
        <v>1315.05</v>
      </c>
      <c r="C402" s="116">
        <v>1267.2</v>
      </c>
      <c r="D402" s="116">
        <v>1264.95</v>
      </c>
      <c r="E402" s="116">
        <v>1291.1500000000001</v>
      </c>
      <c r="F402" s="116">
        <v>1267.2</v>
      </c>
      <c r="G402">
        <v>8595</v>
      </c>
      <c r="H402" s="116"/>
      <c r="I402" s="116"/>
      <c r="L402" s="170">
        <v>43223</v>
      </c>
      <c r="M402" s="116">
        <v>1267.8499999999999</v>
      </c>
      <c r="N402" s="116">
        <v>1319.95</v>
      </c>
      <c r="O402" s="116">
        <v>1259</v>
      </c>
      <c r="P402" s="116">
        <v>1315</v>
      </c>
      <c r="Q402" s="116">
        <v>1267.8499999999999</v>
      </c>
      <c r="R402">
        <v>65013</v>
      </c>
    </row>
    <row r="403" spans="1:18" x14ac:dyDescent="0.25">
      <c r="A403" s="170">
        <v>43224</v>
      </c>
      <c r="B403" s="116">
        <v>1286.95</v>
      </c>
      <c r="C403" s="116">
        <v>1272.8499999999999</v>
      </c>
      <c r="D403" s="116">
        <v>1238.3499999999999</v>
      </c>
      <c r="E403" s="116">
        <v>1260.05</v>
      </c>
      <c r="F403" s="116">
        <v>1272.8499999999999</v>
      </c>
      <c r="G403">
        <v>7256</v>
      </c>
      <c r="H403" s="116"/>
      <c r="I403" s="116"/>
      <c r="L403" s="170">
        <v>43224</v>
      </c>
      <c r="M403" s="116">
        <v>1276.1500000000001</v>
      </c>
      <c r="N403" s="116">
        <v>1287.9000000000001</v>
      </c>
      <c r="O403" s="116">
        <v>1238</v>
      </c>
      <c r="P403" s="116">
        <v>1266.9000000000001</v>
      </c>
      <c r="Q403" s="116">
        <v>1276.1500000000001</v>
      </c>
      <c r="R403">
        <v>123061</v>
      </c>
    </row>
    <row r="404" spans="1:18" x14ac:dyDescent="0.25">
      <c r="A404" s="170">
        <v>43227</v>
      </c>
      <c r="B404" s="116">
        <v>1320</v>
      </c>
      <c r="C404" s="116">
        <v>1292.6500000000001</v>
      </c>
      <c r="D404" s="116">
        <v>1269.8499999999999</v>
      </c>
      <c r="E404" s="116">
        <v>1280</v>
      </c>
      <c r="F404" s="116">
        <v>1292.6500000000001</v>
      </c>
      <c r="G404">
        <v>3185</v>
      </c>
      <c r="H404" s="116"/>
      <c r="I404" s="116"/>
      <c r="L404" s="170">
        <v>43227</v>
      </c>
      <c r="M404" s="116">
        <v>1294.8</v>
      </c>
      <c r="N404" s="116">
        <v>1323</v>
      </c>
      <c r="O404" s="116">
        <v>1270</v>
      </c>
      <c r="P404" s="116">
        <v>1277.45</v>
      </c>
      <c r="Q404" s="116">
        <v>1294.8</v>
      </c>
      <c r="R404">
        <v>99740</v>
      </c>
    </row>
    <row r="405" spans="1:18" x14ac:dyDescent="0.25">
      <c r="A405" s="170">
        <v>43228</v>
      </c>
      <c r="B405" s="116">
        <v>1339</v>
      </c>
      <c r="C405" s="116">
        <v>1325</v>
      </c>
      <c r="D405" s="116">
        <v>1290</v>
      </c>
      <c r="E405" s="116">
        <v>1290</v>
      </c>
      <c r="F405" s="116">
        <v>1325</v>
      </c>
      <c r="G405">
        <v>7103</v>
      </c>
      <c r="H405" s="116"/>
      <c r="I405" s="116"/>
      <c r="L405" s="170">
        <v>43228</v>
      </c>
      <c r="M405" s="116">
        <v>1324.6</v>
      </c>
      <c r="N405" s="116">
        <v>1344</v>
      </c>
      <c r="O405" s="116">
        <v>1290</v>
      </c>
      <c r="P405" s="116">
        <v>1308.9000000000001</v>
      </c>
      <c r="Q405" s="116">
        <v>1324.6</v>
      </c>
      <c r="R405">
        <v>159521</v>
      </c>
    </row>
    <row r="406" spans="1:18" x14ac:dyDescent="0.25">
      <c r="A406" s="170">
        <v>43229</v>
      </c>
      <c r="B406" s="116">
        <v>1341.8</v>
      </c>
      <c r="C406" s="116">
        <v>1320.65</v>
      </c>
      <c r="D406" s="116">
        <v>1315</v>
      </c>
      <c r="E406" s="116">
        <v>1315.2</v>
      </c>
      <c r="F406" s="116">
        <v>1320.65</v>
      </c>
      <c r="G406">
        <v>4400</v>
      </c>
      <c r="H406" s="116"/>
      <c r="I406" s="116"/>
      <c r="L406" s="170">
        <v>43229</v>
      </c>
      <c r="M406" s="116">
        <v>1324.45</v>
      </c>
      <c r="N406" s="116">
        <v>1341.7</v>
      </c>
      <c r="O406" s="116">
        <v>1315</v>
      </c>
      <c r="P406" s="116">
        <v>1334.65</v>
      </c>
      <c r="Q406" s="116">
        <v>1324.45</v>
      </c>
      <c r="R406">
        <v>66983</v>
      </c>
    </row>
    <row r="407" spans="1:18" x14ac:dyDescent="0.25">
      <c r="A407" s="170">
        <v>43230</v>
      </c>
      <c r="B407" s="116">
        <v>1330</v>
      </c>
      <c r="C407" s="116">
        <v>1300.25</v>
      </c>
      <c r="D407" s="116">
        <v>1290.5</v>
      </c>
      <c r="E407" s="116">
        <v>1307</v>
      </c>
      <c r="F407" s="116">
        <v>1300.25</v>
      </c>
      <c r="G407">
        <v>3159</v>
      </c>
      <c r="H407" s="116"/>
      <c r="I407" s="116"/>
      <c r="L407" s="170">
        <v>43230</v>
      </c>
      <c r="M407" s="116">
        <v>1298.7</v>
      </c>
      <c r="N407" s="116">
        <v>1336</v>
      </c>
      <c r="O407" s="116">
        <v>1290</v>
      </c>
      <c r="P407" s="116">
        <v>1332.6</v>
      </c>
      <c r="Q407" s="116">
        <v>1298.7</v>
      </c>
      <c r="R407">
        <v>32580</v>
      </c>
    </row>
    <row r="408" spans="1:18" x14ac:dyDescent="0.25">
      <c r="A408" s="170">
        <v>43231</v>
      </c>
      <c r="B408" s="116">
        <v>1314.95</v>
      </c>
      <c r="C408" s="116">
        <v>1295.4000000000001</v>
      </c>
      <c r="D408" s="116">
        <v>1287</v>
      </c>
      <c r="E408" s="116">
        <v>1300</v>
      </c>
      <c r="F408" s="116">
        <v>1295.4000000000001</v>
      </c>
      <c r="G408">
        <v>6003</v>
      </c>
      <c r="H408" s="116"/>
      <c r="I408" s="116"/>
      <c r="L408" s="170">
        <v>43231</v>
      </c>
      <c r="M408" s="116">
        <v>1294.4000000000001</v>
      </c>
      <c r="N408" s="116">
        <v>1314.6</v>
      </c>
      <c r="O408" s="116">
        <v>1290</v>
      </c>
      <c r="P408" s="116">
        <v>1308.8</v>
      </c>
      <c r="Q408" s="116">
        <v>1294.4000000000001</v>
      </c>
      <c r="R408">
        <v>28751</v>
      </c>
    </row>
    <row r="409" spans="1:18" x14ac:dyDescent="0.25">
      <c r="A409" s="170">
        <v>43234</v>
      </c>
      <c r="B409" s="116">
        <v>1305.05</v>
      </c>
      <c r="C409" s="116">
        <v>1278.95</v>
      </c>
      <c r="D409" s="116">
        <v>1262</v>
      </c>
      <c r="E409" s="116">
        <v>1288</v>
      </c>
      <c r="F409" s="116">
        <v>1278.95</v>
      </c>
      <c r="G409">
        <v>7325</v>
      </c>
      <c r="H409" s="116"/>
      <c r="I409" s="116"/>
      <c r="L409" s="170">
        <v>43234</v>
      </c>
      <c r="M409" s="116">
        <v>1277.9000000000001</v>
      </c>
      <c r="N409" s="116">
        <v>1307.9000000000001</v>
      </c>
      <c r="O409" s="116">
        <v>1262.1500000000001</v>
      </c>
      <c r="P409" s="116">
        <v>1293</v>
      </c>
      <c r="Q409" s="116">
        <v>1277.9000000000001</v>
      </c>
      <c r="R409">
        <v>40221</v>
      </c>
    </row>
    <row r="410" spans="1:18" x14ac:dyDescent="0.25">
      <c r="A410" s="170">
        <v>43235</v>
      </c>
      <c r="B410" s="116">
        <v>1305</v>
      </c>
      <c r="C410" s="116">
        <v>1264.55</v>
      </c>
      <c r="D410" s="116">
        <v>1231.55</v>
      </c>
      <c r="E410" s="116">
        <v>1266</v>
      </c>
      <c r="F410" s="116">
        <v>1264.55</v>
      </c>
      <c r="G410">
        <v>6988</v>
      </c>
      <c r="H410" s="116"/>
      <c r="I410" s="116"/>
      <c r="L410" s="170">
        <v>43235</v>
      </c>
      <c r="M410" s="116">
        <v>1262.2</v>
      </c>
      <c r="N410" s="116">
        <v>1298.75</v>
      </c>
      <c r="O410" s="116">
        <v>1225.95</v>
      </c>
      <c r="P410" s="116">
        <v>1278</v>
      </c>
      <c r="Q410" s="116">
        <v>1262.2</v>
      </c>
      <c r="R410">
        <v>181094</v>
      </c>
    </row>
    <row r="411" spans="1:18" x14ac:dyDescent="0.25">
      <c r="A411" s="170">
        <v>43236</v>
      </c>
      <c r="B411" s="116">
        <v>1267</v>
      </c>
      <c r="C411" s="116">
        <v>1243.8</v>
      </c>
      <c r="D411" s="116">
        <v>1238.0999999999999</v>
      </c>
      <c r="E411" s="116">
        <v>1267</v>
      </c>
      <c r="F411" s="116">
        <v>1243.8</v>
      </c>
      <c r="G411">
        <v>3915</v>
      </c>
      <c r="H411" s="116"/>
      <c r="I411" s="116"/>
      <c r="L411" s="170">
        <v>43236</v>
      </c>
      <c r="M411" s="116">
        <v>1239.55</v>
      </c>
      <c r="N411" s="116">
        <v>1268.3</v>
      </c>
      <c r="O411" s="116">
        <v>1232.05</v>
      </c>
      <c r="P411" s="116">
        <v>1268.3</v>
      </c>
      <c r="Q411" s="116">
        <v>1239.55</v>
      </c>
      <c r="R411">
        <v>60430</v>
      </c>
    </row>
    <row r="412" spans="1:18" x14ac:dyDescent="0.25">
      <c r="A412" s="170">
        <v>43237</v>
      </c>
      <c r="B412" s="116">
        <v>1260.5</v>
      </c>
      <c r="C412" s="116">
        <v>1241.55</v>
      </c>
      <c r="D412" s="116">
        <v>1207.9000000000001</v>
      </c>
      <c r="E412" s="116">
        <v>1250</v>
      </c>
      <c r="F412" s="116">
        <v>1241.55</v>
      </c>
      <c r="G412">
        <v>4719</v>
      </c>
      <c r="H412" s="116"/>
      <c r="I412" s="116"/>
      <c r="L412" s="170">
        <v>43237</v>
      </c>
      <c r="M412" s="116">
        <v>1239.3</v>
      </c>
      <c r="N412" s="116">
        <v>1258</v>
      </c>
      <c r="O412" s="116">
        <v>1203.0999999999999</v>
      </c>
      <c r="P412" s="116">
        <v>1241.8499999999999</v>
      </c>
      <c r="Q412" s="116">
        <v>1239.3</v>
      </c>
      <c r="R412">
        <v>78245</v>
      </c>
    </row>
    <row r="413" spans="1:18" x14ac:dyDescent="0.25">
      <c r="A413" s="170">
        <v>43238</v>
      </c>
      <c r="B413" s="116">
        <v>1280</v>
      </c>
      <c r="C413" s="116">
        <v>1258.75</v>
      </c>
      <c r="D413" s="116">
        <v>1235.25</v>
      </c>
      <c r="E413" s="116">
        <v>1245</v>
      </c>
      <c r="F413" s="116">
        <v>1258.75</v>
      </c>
      <c r="G413">
        <v>5080</v>
      </c>
      <c r="H413" s="116"/>
      <c r="I413" s="116"/>
      <c r="L413" s="170">
        <v>43238</v>
      </c>
      <c r="M413" s="116">
        <v>1256.9000000000001</v>
      </c>
      <c r="N413" s="116">
        <v>1281</v>
      </c>
      <c r="O413" s="116">
        <v>1231.0999999999999</v>
      </c>
      <c r="P413" s="116">
        <v>1241.95</v>
      </c>
      <c r="Q413" s="116">
        <v>1256.9000000000001</v>
      </c>
      <c r="R413">
        <v>85355</v>
      </c>
    </row>
    <row r="414" spans="1:18" x14ac:dyDescent="0.25">
      <c r="A414" s="170">
        <v>43241</v>
      </c>
      <c r="B414" s="116">
        <v>1299.9000000000001</v>
      </c>
      <c r="C414" s="116">
        <v>1295.6500000000001</v>
      </c>
      <c r="D414" s="116">
        <v>1245.2</v>
      </c>
      <c r="E414" s="116">
        <v>1245.2</v>
      </c>
      <c r="F414" s="116">
        <v>1295.6500000000001</v>
      </c>
      <c r="G414">
        <v>5615</v>
      </c>
      <c r="H414" s="116"/>
      <c r="I414" s="116"/>
      <c r="L414" s="170">
        <v>43241</v>
      </c>
      <c r="M414" s="116">
        <v>1291.8499999999999</v>
      </c>
      <c r="N414" s="116">
        <v>1297</v>
      </c>
      <c r="O414" s="116">
        <v>1245</v>
      </c>
      <c r="P414" s="116">
        <v>1245</v>
      </c>
      <c r="Q414" s="116">
        <v>1291.8499999999999</v>
      </c>
      <c r="R414">
        <v>74994</v>
      </c>
    </row>
    <row r="415" spans="1:18" x14ac:dyDescent="0.25">
      <c r="A415" s="170">
        <v>43242</v>
      </c>
      <c r="B415" s="116">
        <v>1314.15</v>
      </c>
      <c r="C415" s="116">
        <v>1272.9000000000001</v>
      </c>
      <c r="D415" s="116">
        <v>1263.5999999999999</v>
      </c>
      <c r="E415" s="116">
        <v>1314.15</v>
      </c>
      <c r="F415" s="116">
        <v>1272.9000000000001</v>
      </c>
      <c r="G415">
        <v>2918</v>
      </c>
      <c r="H415" s="116"/>
      <c r="I415" s="116"/>
      <c r="L415" s="170">
        <v>43242</v>
      </c>
      <c r="M415" s="116">
        <v>1273.45</v>
      </c>
      <c r="N415" s="116">
        <v>1306</v>
      </c>
      <c r="O415" s="116">
        <v>1265.55</v>
      </c>
      <c r="P415" s="116">
        <v>1304</v>
      </c>
      <c r="Q415" s="116">
        <v>1273.45</v>
      </c>
      <c r="R415">
        <v>30345</v>
      </c>
    </row>
    <row r="416" spans="1:18" x14ac:dyDescent="0.25">
      <c r="A416" s="170">
        <v>43243</v>
      </c>
      <c r="B416" s="116">
        <v>1374.9</v>
      </c>
      <c r="C416" s="116">
        <v>1318.7</v>
      </c>
      <c r="D416" s="116">
        <v>1299</v>
      </c>
      <c r="E416" s="116">
        <v>1319</v>
      </c>
      <c r="F416" s="116">
        <v>1318.7</v>
      </c>
      <c r="G416">
        <v>41125</v>
      </c>
      <c r="H416" s="116"/>
      <c r="I416" s="116"/>
      <c r="L416" s="170">
        <v>43243</v>
      </c>
      <c r="M416" s="116">
        <v>1310.7</v>
      </c>
      <c r="N416" s="116">
        <v>1375</v>
      </c>
      <c r="O416" s="116">
        <v>1287.3499999999999</v>
      </c>
      <c r="P416" s="116">
        <v>1325</v>
      </c>
      <c r="Q416" s="116">
        <v>1310.7</v>
      </c>
      <c r="R416">
        <v>460514</v>
      </c>
    </row>
    <row r="417" spans="1:18" x14ac:dyDescent="0.25">
      <c r="A417" s="170">
        <v>43244</v>
      </c>
      <c r="B417" s="116">
        <v>1342.8</v>
      </c>
      <c r="C417" s="116">
        <v>1316.05</v>
      </c>
      <c r="D417" s="116">
        <v>1301</v>
      </c>
      <c r="E417" s="116">
        <v>1323.7</v>
      </c>
      <c r="F417" s="116">
        <v>1316.05</v>
      </c>
      <c r="G417">
        <v>9568</v>
      </c>
      <c r="H417" s="116"/>
      <c r="I417" s="116"/>
      <c r="L417" s="170">
        <v>43244</v>
      </c>
      <c r="M417" s="116">
        <v>1313.5</v>
      </c>
      <c r="N417" s="116">
        <v>1334.7</v>
      </c>
      <c r="O417" s="116">
        <v>1300</v>
      </c>
      <c r="P417" s="116">
        <v>1307.9000000000001</v>
      </c>
      <c r="Q417" s="116">
        <v>1313.5</v>
      </c>
      <c r="R417">
        <v>60605</v>
      </c>
    </row>
    <row r="418" spans="1:18" x14ac:dyDescent="0.25">
      <c r="A418" s="170">
        <v>43245</v>
      </c>
      <c r="B418" s="116">
        <v>1334.9</v>
      </c>
      <c r="C418" s="116">
        <v>1314.6</v>
      </c>
      <c r="D418" s="116">
        <v>1307.05</v>
      </c>
      <c r="E418" s="116">
        <v>1315.7</v>
      </c>
      <c r="F418" s="116">
        <v>1314.6</v>
      </c>
      <c r="G418">
        <v>12527</v>
      </c>
      <c r="H418" s="116"/>
      <c r="I418" s="116"/>
      <c r="L418" s="170">
        <v>43245</v>
      </c>
      <c r="M418" s="116">
        <v>1317.3</v>
      </c>
      <c r="N418" s="116">
        <v>1334</v>
      </c>
      <c r="O418" s="116">
        <v>1302.8</v>
      </c>
      <c r="P418" s="116">
        <v>1315</v>
      </c>
      <c r="Q418" s="116">
        <v>1317.3</v>
      </c>
      <c r="R418">
        <v>64929</v>
      </c>
    </row>
    <row r="419" spans="1:18" x14ac:dyDescent="0.25">
      <c r="A419" s="170">
        <v>43248</v>
      </c>
      <c r="B419" s="116">
        <v>1329.5</v>
      </c>
      <c r="C419" s="116">
        <v>1316.85</v>
      </c>
      <c r="D419" s="116">
        <v>1301</v>
      </c>
      <c r="E419" s="116">
        <v>1318.1</v>
      </c>
      <c r="F419" s="116">
        <v>1316.85</v>
      </c>
      <c r="G419">
        <v>4499</v>
      </c>
      <c r="H419" s="116"/>
      <c r="I419" s="116"/>
      <c r="L419" s="170">
        <v>43248</v>
      </c>
      <c r="M419" s="116">
        <v>1317.55</v>
      </c>
      <c r="N419" s="116">
        <v>1329.7</v>
      </c>
      <c r="O419" s="116">
        <v>1300</v>
      </c>
      <c r="P419" s="116">
        <v>1329.7</v>
      </c>
      <c r="Q419" s="116">
        <v>1317.55</v>
      </c>
      <c r="R419">
        <v>69218</v>
      </c>
    </row>
    <row r="420" spans="1:18" x14ac:dyDescent="0.25">
      <c r="A420" s="170">
        <v>43249</v>
      </c>
      <c r="B420" s="116">
        <v>1355.65</v>
      </c>
      <c r="C420" s="116">
        <v>1322.05</v>
      </c>
      <c r="D420" s="116">
        <v>1314</v>
      </c>
      <c r="E420" s="116">
        <v>1318</v>
      </c>
      <c r="F420" s="116">
        <v>1322.05</v>
      </c>
      <c r="G420">
        <v>8466</v>
      </c>
      <c r="H420" s="116"/>
      <c r="I420" s="116"/>
      <c r="L420" s="170">
        <v>43249</v>
      </c>
      <c r="M420" s="116">
        <v>1321.35</v>
      </c>
      <c r="N420" s="116">
        <v>1355.4</v>
      </c>
      <c r="O420" s="116">
        <v>1311.25</v>
      </c>
      <c r="P420" s="116">
        <v>1323</v>
      </c>
      <c r="Q420" s="116">
        <v>1321.35</v>
      </c>
      <c r="R420">
        <v>151079</v>
      </c>
    </row>
    <row r="421" spans="1:18" x14ac:dyDescent="0.25">
      <c r="A421" s="170">
        <v>43250</v>
      </c>
      <c r="B421" s="116">
        <v>1327.05</v>
      </c>
      <c r="C421" s="116">
        <v>1309.6500000000001</v>
      </c>
      <c r="D421" s="116">
        <v>1304.1500000000001</v>
      </c>
      <c r="E421" s="116">
        <v>1325</v>
      </c>
      <c r="F421" s="116">
        <v>1309.6500000000001</v>
      </c>
      <c r="G421">
        <v>3646</v>
      </c>
      <c r="H421" s="116"/>
      <c r="I421" s="116"/>
      <c r="L421" s="170">
        <v>43250</v>
      </c>
      <c r="M421" s="116">
        <v>1310.25</v>
      </c>
      <c r="N421" s="116">
        <v>1329.4</v>
      </c>
      <c r="O421" s="116">
        <v>1305.3</v>
      </c>
      <c r="P421" s="116">
        <v>1322.95</v>
      </c>
      <c r="Q421" s="116">
        <v>1310.25</v>
      </c>
      <c r="R421">
        <v>50041</v>
      </c>
    </row>
    <row r="422" spans="1:18" x14ac:dyDescent="0.25">
      <c r="A422" s="170">
        <v>43251</v>
      </c>
      <c r="B422" s="116">
        <v>1337.95</v>
      </c>
      <c r="C422" s="116">
        <v>1327.8</v>
      </c>
      <c r="D422" s="116">
        <v>1287.75</v>
      </c>
      <c r="E422" s="116">
        <v>1301</v>
      </c>
      <c r="F422" s="116">
        <v>1327.8</v>
      </c>
      <c r="G422">
        <v>8712</v>
      </c>
      <c r="H422" s="116"/>
      <c r="I422" s="116"/>
      <c r="L422" s="170">
        <v>43251</v>
      </c>
      <c r="M422" s="116">
        <v>1326</v>
      </c>
      <c r="N422" s="116">
        <v>1339.25</v>
      </c>
      <c r="O422" s="116">
        <v>1280</v>
      </c>
      <c r="P422" s="116">
        <v>1320</v>
      </c>
      <c r="Q422" s="116">
        <v>1326</v>
      </c>
      <c r="R422">
        <v>121062</v>
      </c>
    </row>
    <row r="423" spans="1:18" x14ac:dyDescent="0.25">
      <c r="A423" s="170">
        <v>43252</v>
      </c>
      <c r="B423" s="116">
        <v>1335</v>
      </c>
      <c r="C423" s="116">
        <v>1323.6</v>
      </c>
      <c r="D423" s="116">
        <v>1304.7</v>
      </c>
      <c r="E423" s="116">
        <v>1313.25</v>
      </c>
      <c r="F423" s="116">
        <v>1323.6</v>
      </c>
      <c r="G423">
        <v>5508</v>
      </c>
      <c r="H423" s="116"/>
      <c r="I423" s="116"/>
      <c r="L423" s="170">
        <v>43252</v>
      </c>
      <c r="M423" s="116">
        <v>1327.6</v>
      </c>
      <c r="N423" s="116">
        <v>1339.25</v>
      </c>
      <c r="O423" s="116">
        <v>1305.3499999999999</v>
      </c>
      <c r="P423" s="116">
        <v>1337</v>
      </c>
      <c r="Q423" s="116">
        <v>1327.6</v>
      </c>
      <c r="R423">
        <v>43835</v>
      </c>
    </row>
    <row r="424" spans="1:18" x14ac:dyDescent="0.25">
      <c r="A424" s="170">
        <v>43255</v>
      </c>
      <c r="B424" s="116">
        <v>1345</v>
      </c>
      <c r="C424" s="116">
        <v>1339.05</v>
      </c>
      <c r="D424" s="116">
        <v>1313.8</v>
      </c>
      <c r="E424" s="116">
        <v>1328.75</v>
      </c>
      <c r="F424" s="116">
        <v>1339.05</v>
      </c>
      <c r="G424">
        <v>215877</v>
      </c>
      <c r="H424" s="116"/>
      <c r="I424" s="116"/>
      <c r="L424" s="170">
        <v>43255</v>
      </c>
      <c r="M424" s="116">
        <v>1343.45</v>
      </c>
      <c r="N424" s="116">
        <v>1349</v>
      </c>
      <c r="O424" s="116">
        <v>1311.1</v>
      </c>
      <c r="P424" s="116">
        <v>1327</v>
      </c>
      <c r="Q424" s="116">
        <v>1343.45</v>
      </c>
      <c r="R424">
        <v>57227</v>
      </c>
    </row>
    <row r="425" spans="1:18" x14ac:dyDescent="0.25">
      <c r="A425" s="170">
        <v>43256</v>
      </c>
      <c r="B425" s="116">
        <v>1356.35</v>
      </c>
      <c r="C425" s="116">
        <v>1304.4000000000001</v>
      </c>
      <c r="D425" s="116">
        <v>1290.1500000000001</v>
      </c>
      <c r="E425" s="116">
        <v>1344</v>
      </c>
      <c r="F425" s="116">
        <v>1304.4000000000001</v>
      </c>
      <c r="G425">
        <v>8894</v>
      </c>
      <c r="H425" s="116"/>
      <c r="I425" s="116"/>
      <c r="L425" s="170">
        <v>43256</v>
      </c>
      <c r="M425" s="116">
        <v>1301.5999999999999</v>
      </c>
      <c r="N425" s="116">
        <v>1360</v>
      </c>
      <c r="O425" s="116">
        <v>1287</v>
      </c>
      <c r="P425" s="116">
        <v>1333</v>
      </c>
      <c r="Q425" s="116">
        <v>1301.5999999999999</v>
      </c>
      <c r="R425">
        <v>120039</v>
      </c>
    </row>
    <row r="426" spans="1:18" x14ac:dyDescent="0.25">
      <c r="A426" s="170">
        <v>43257</v>
      </c>
      <c r="B426" s="116">
        <v>1344.95</v>
      </c>
      <c r="C426" s="116">
        <v>1333.9</v>
      </c>
      <c r="D426" s="116">
        <v>1296.5999999999999</v>
      </c>
      <c r="E426" s="116">
        <v>1313</v>
      </c>
      <c r="F426" s="116">
        <v>1333.9</v>
      </c>
      <c r="G426">
        <v>4619</v>
      </c>
      <c r="H426" s="116"/>
      <c r="I426" s="116"/>
      <c r="L426" s="170">
        <v>43257</v>
      </c>
      <c r="M426" s="116">
        <v>1339.6</v>
      </c>
      <c r="N426" s="116">
        <v>1347</v>
      </c>
      <c r="O426" s="116">
        <v>1295.05</v>
      </c>
      <c r="P426" s="116">
        <v>1310</v>
      </c>
      <c r="Q426" s="116">
        <v>1339.6</v>
      </c>
      <c r="R426">
        <v>90779</v>
      </c>
    </row>
    <row r="427" spans="1:18" x14ac:dyDescent="0.25">
      <c r="A427" s="170">
        <v>43258</v>
      </c>
      <c r="B427" s="116">
        <v>1355</v>
      </c>
      <c r="C427" s="116">
        <v>1344.85</v>
      </c>
      <c r="D427" s="116">
        <v>1315</v>
      </c>
      <c r="E427" s="116">
        <v>1333</v>
      </c>
      <c r="F427" s="116">
        <v>1344.85</v>
      </c>
      <c r="G427">
        <v>4016</v>
      </c>
      <c r="H427" s="116"/>
      <c r="I427" s="116"/>
      <c r="L427" s="170">
        <v>43258</v>
      </c>
      <c r="M427" s="116">
        <v>1344.15</v>
      </c>
      <c r="N427" s="116">
        <v>1355.35</v>
      </c>
      <c r="O427" s="116">
        <v>1329.05</v>
      </c>
      <c r="P427" s="116">
        <v>1340</v>
      </c>
      <c r="Q427" s="116">
        <v>1344.15</v>
      </c>
      <c r="R427">
        <v>53065</v>
      </c>
    </row>
    <row r="428" spans="1:18" x14ac:dyDescent="0.25">
      <c r="A428" s="170">
        <v>43259</v>
      </c>
      <c r="B428" s="116">
        <v>1358</v>
      </c>
      <c r="C428" s="116">
        <v>1335.55</v>
      </c>
      <c r="D428" s="116">
        <v>1329.35</v>
      </c>
      <c r="E428" s="116">
        <v>1343</v>
      </c>
      <c r="F428" s="116">
        <v>1335.55</v>
      </c>
      <c r="G428">
        <v>4119</v>
      </c>
      <c r="H428" s="116"/>
      <c r="I428" s="116"/>
      <c r="L428" s="170">
        <v>43259</v>
      </c>
      <c r="M428" s="116">
        <v>1337.9</v>
      </c>
      <c r="N428" s="116">
        <v>1362.1</v>
      </c>
      <c r="O428" s="116">
        <v>1321.7</v>
      </c>
      <c r="P428" s="116">
        <v>1354</v>
      </c>
      <c r="Q428" s="116">
        <v>1337.9</v>
      </c>
      <c r="R428">
        <v>62247</v>
      </c>
    </row>
    <row r="429" spans="1:18" x14ac:dyDescent="0.25">
      <c r="A429" s="170">
        <v>43262</v>
      </c>
      <c r="B429" s="116">
        <v>1356.8</v>
      </c>
      <c r="C429" s="116">
        <v>1335.35</v>
      </c>
      <c r="D429" s="116">
        <v>1333.35</v>
      </c>
      <c r="E429" s="116">
        <v>1336.1</v>
      </c>
      <c r="F429" s="116">
        <v>1335.35</v>
      </c>
      <c r="G429">
        <v>2363</v>
      </c>
      <c r="H429" s="116"/>
      <c r="I429" s="116"/>
      <c r="L429" s="170">
        <v>43262</v>
      </c>
      <c r="M429" s="116">
        <v>1337.85</v>
      </c>
      <c r="N429" s="116">
        <v>1350</v>
      </c>
      <c r="O429" s="116">
        <v>1333</v>
      </c>
      <c r="P429" s="116">
        <v>1349.7</v>
      </c>
      <c r="Q429" s="116">
        <v>1337.85</v>
      </c>
      <c r="R429">
        <v>26395</v>
      </c>
    </row>
    <row r="430" spans="1:18" x14ac:dyDescent="0.25">
      <c r="A430" s="170">
        <v>43263</v>
      </c>
      <c r="B430" s="116">
        <v>1352.9</v>
      </c>
      <c r="C430" s="116">
        <v>1335.35</v>
      </c>
      <c r="D430" s="116">
        <v>1330</v>
      </c>
      <c r="E430" s="116">
        <v>1335</v>
      </c>
      <c r="F430" s="116">
        <v>1335.35</v>
      </c>
      <c r="G430">
        <v>2062</v>
      </c>
      <c r="H430" s="116"/>
      <c r="I430" s="116"/>
      <c r="L430" s="170">
        <v>43263</v>
      </c>
      <c r="M430" s="116">
        <v>1333.5</v>
      </c>
      <c r="N430" s="116">
        <v>1355</v>
      </c>
      <c r="O430" s="116">
        <v>1328.4</v>
      </c>
      <c r="P430" s="116">
        <v>1339.55</v>
      </c>
      <c r="Q430" s="116">
        <v>1333.5</v>
      </c>
      <c r="R430">
        <v>43358</v>
      </c>
    </row>
    <row r="431" spans="1:18" x14ac:dyDescent="0.25">
      <c r="A431" s="170">
        <v>43264</v>
      </c>
      <c r="B431" s="116">
        <v>1345</v>
      </c>
      <c r="C431" s="116">
        <v>1337.1</v>
      </c>
      <c r="D431" s="116">
        <v>1332</v>
      </c>
      <c r="E431" s="116">
        <v>1335</v>
      </c>
      <c r="F431" s="116">
        <v>1337.1</v>
      </c>
      <c r="G431">
        <v>3510</v>
      </c>
      <c r="H431" s="116"/>
      <c r="I431" s="116"/>
      <c r="L431" s="170">
        <v>43264</v>
      </c>
      <c r="M431" s="116">
        <v>1338.25</v>
      </c>
      <c r="N431" s="116">
        <v>1346.95</v>
      </c>
      <c r="O431" s="116">
        <v>1328</v>
      </c>
      <c r="P431" s="116">
        <v>1336.25</v>
      </c>
      <c r="Q431" s="116">
        <v>1338.25</v>
      </c>
      <c r="R431">
        <v>30478</v>
      </c>
    </row>
    <row r="432" spans="1:18" x14ac:dyDescent="0.25">
      <c r="A432" s="170">
        <v>43265</v>
      </c>
      <c r="B432" s="116">
        <v>1348.35</v>
      </c>
      <c r="C432" s="116">
        <v>1340.1</v>
      </c>
      <c r="D432" s="116">
        <v>1323.85</v>
      </c>
      <c r="E432" s="116">
        <v>1337</v>
      </c>
      <c r="F432" s="116">
        <v>1340.1</v>
      </c>
      <c r="G432">
        <v>5132</v>
      </c>
      <c r="H432" s="116"/>
      <c r="I432" s="116"/>
      <c r="L432" s="170">
        <v>43265</v>
      </c>
      <c r="M432" s="116">
        <v>1346.85</v>
      </c>
      <c r="N432" s="116">
        <v>1350</v>
      </c>
      <c r="O432" s="116">
        <v>1322</v>
      </c>
      <c r="P432" s="116">
        <v>1340</v>
      </c>
      <c r="Q432" s="116">
        <v>1346.85</v>
      </c>
      <c r="R432">
        <v>31521</v>
      </c>
    </row>
    <row r="433" spans="1:18" x14ac:dyDescent="0.25">
      <c r="A433" s="170">
        <v>43266</v>
      </c>
      <c r="B433" s="116">
        <v>1347.9</v>
      </c>
      <c r="C433" s="116">
        <v>1338.9</v>
      </c>
      <c r="D433" s="116">
        <v>1331.8</v>
      </c>
      <c r="E433" s="116">
        <v>1340</v>
      </c>
      <c r="F433" s="116">
        <v>1338.9</v>
      </c>
      <c r="G433">
        <v>1479</v>
      </c>
      <c r="H433" s="116"/>
      <c r="I433" s="116"/>
      <c r="L433" s="170">
        <v>43266</v>
      </c>
      <c r="M433" s="116">
        <v>1341.05</v>
      </c>
      <c r="N433" s="116">
        <v>1350</v>
      </c>
      <c r="O433" s="116">
        <v>1332.5</v>
      </c>
      <c r="P433" s="116">
        <v>1347</v>
      </c>
      <c r="Q433" s="116">
        <v>1341.05</v>
      </c>
      <c r="R433">
        <v>22115</v>
      </c>
    </row>
    <row r="434" spans="1:18" x14ac:dyDescent="0.25">
      <c r="A434" s="170">
        <v>43269</v>
      </c>
      <c r="B434" s="116">
        <v>1349.95</v>
      </c>
      <c r="C434" s="116">
        <v>1335.7</v>
      </c>
      <c r="D434" s="116">
        <v>1323</v>
      </c>
      <c r="E434" s="116">
        <v>1331</v>
      </c>
      <c r="F434" s="116">
        <v>1335.7</v>
      </c>
      <c r="G434">
        <v>2413</v>
      </c>
      <c r="H434" s="116"/>
      <c r="I434" s="116"/>
      <c r="L434" s="170">
        <v>43269</v>
      </c>
      <c r="M434" s="116">
        <v>1329.6</v>
      </c>
      <c r="N434" s="116">
        <v>1349.4</v>
      </c>
      <c r="O434" s="116">
        <v>1321.05</v>
      </c>
      <c r="P434" s="116">
        <v>1321.2</v>
      </c>
      <c r="Q434" s="116">
        <v>1329.6</v>
      </c>
      <c r="R434">
        <v>56583</v>
      </c>
    </row>
    <row r="435" spans="1:18" x14ac:dyDescent="0.25">
      <c r="A435" s="170">
        <v>43270</v>
      </c>
      <c r="B435" s="116">
        <v>1339.55</v>
      </c>
      <c r="C435" s="116">
        <v>1317.7</v>
      </c>
      <c r="D435" s="116">
        <v>1311.05</v>
      </c>
      <c r="E435" s="116">
        <v>1330</v>
      </c>
      <c r="F435" s="116">
        <v>1317.7</v>
      </c>
      <c r="G435">
        <v>3687</v>
      </c>
      <c r="H435" s="116"/>
      <c r="I435" s="116"/>
      <c r="L435" s="170">
        <v>43270</v>
      </c>
      <c r="M435" s="116">
        <v>1313.85</v>
      </c>
      <c r="N435" s="116">
        <v>1339</v>
      </c>
      <c r="O435" s="116">
        <v>1308</v>
      </c>
      <c r="P435" s="116">
        <v>1329.6</v>
      </c>
      <c r="Q435" s="116">
        <v>1313.85</v>
      </c>
      <c r="R435">
        <v>29652</v>
      </c>
    </row>
    <row r="436" spans="1:18" x14ac:dyDescent="0.25">
      <c r="A436" s="170">
        <v>43271</v>
      </c>
      <c r="B436" s="116">
        <v>1329.55</v>
      </c>
      <c r="C436" s="116">
        <v>1314.05</v>
      </c>
      <c r="D436" s="116">
        <v>1307.5</v>
      </c>
      <c r="E436" s="116">
        <v>1314.45</v>
      </c>
      <c r="F436" s="116">
        <v>1314.05</v>
      </c>
      <c r="G436">
        <v>2277</v>
      </c>
      <c r="H436" s="116"/>
      <c r="I436" s="116"/>
      <c r="L436" s="170">
        <v>43271</v>
      </c>
      <c r="M436" s="116">
        <v>1312.35</v>
      </c>
      <c r="N436" s="116">
        <v>1327.95</v>
      </c>
      <c r="O436" s="116">
        <v>1307</v>
      </c>
      <c r="P436" s="116">
        <v>1320</v>
      </c>
      <c r="Q436" s="116">
        <v>1312.35</v>
      </c>
      <c r="R436">
        <v>19310</v>
      </c>
    </row>
    <row r="437" spans="1:18" x14ac:dyDescent="0.25">
      <c r="A437" s="170">
        <v>43272</v>
      </c>
      <c r="B437" s="116">
        <v>1320</v>
      </c>
      <c r="C437" s="116">
        <v>1307.0999999999999</v>
      </c>
      <c r="D437" s="116">
        <v>1298.45</v>
      </c>
      <c r="E437" s="116">
        <v>1320</v>
      </c>
      <c r="F437" s="116">
        <v>1307.0999999999999</v>
      </c>
      <c r="G437">
        <v>2500</v>
      </c>
      <c r="H437" s="116"/>
      <c r="I437" s="116"/>
      <c r="L437" s="170">
        <v>43272</v>
      </c>
      <c r="M437" s="116">
        <v>1305.5999999999999</v>
      </c>
      <c r="N437" s="116">
        <v>1324.65</v>
      </c>
      <c r="O437" s="116">
        <v>1300.5</v>
      </c>
      <c r="P437" s="116">
        <v>1312</v>
      </c>
      <c r="Q437" s="116">
        <v>1305.5999999999999</v>
      </c>
      <c r="R437">
        <v>20910</v>
      </c>
    </row>
    <row r="438" spans="1:18" x14ac:dyDescent="0.25">
      <c r="A438" s="170">
        <v>43273</v>
      </c>
      <c r="B438" s="116">
        <v>1328.9</v>
      </c>
      <c r="C438" s="116">
        <v>1319.55</v>
      </c>
      <c r="D438" s="116">
        <v>1295</v>
      </c>
      <c r="E438" s="116">
        <v>1295</v>
      </c>
      <c r="F438" s="116">
        <v>1319.55</v>
      </c>
      <c r="G438">
        <v>2347</v>
      </c>
      <c r="H438" s="116"/>
      <c r="I438" s="116"/>
      <c r="L438" s="170">
        <v>43273</v>
      </c>
      <c r="M438" s="116">
        <v>1323.7</v>
      </c>
      <c r="N438" s="116">
        <v>1333.5</v>
      </c>
      <c r="O438" s="116">
        <v>1302.75</v>
      </c>
      <c r="P438" s="116">
        <v>1303.5999999999999</v>
      </c>
      <c r="Q438" s="116">
        <v>1323.7</v>
      </c>
      <c r="R438">
        <v>34202</v>
      </c>
    </row>
    <row r="439" spans="1:18" x14ac:dyDescent="0.25">
      <c r="A439" s="170">
        <v>43276</v>
      </c>
      <c r="B439" s="116">
        <v>1319</v>
      </c>
      <c r="C439" s="116">
        <v>1294.7</v>
      </c>
      <c r="D439" s="116">
        <v>1284.05</v>
      </c>
      <c r="E439" s="116">
        <v>1314.25</v>
      </c>
      <c r="F439" s="116">
        <v>1294.7</v>
      </c>
      <c r="G439">
        <v>3055</v>
      </c>
      <c r="H439" s="116"/>
      <c r="I439" s="116"/>
      <c r="L439" s="170">
        <v>43276</v>
      </c>
      <c r="M439" s="116">
        <v>1295.8499999999999</v>
      </c>
      <c r="N439" s="116">
        <v>1329.9</v>
      </c>
      <c r="O439" s="116">
        <v>1283.25</v>
      </c>
      <c r="P439" s="116">
        <v>1329.9</v>
      </c>
      <c r="Q439" s="116">
        <v>1295.8499999999999</v>
      </c>
      <c r="R439">
        <v>40251</v>
      </c>
    </row>
    <row r="440" spans="1:18" x14ac:dyDescent="0.25">
      <c r="A440" s="170">
        <v>43277</v>
      </c>
      <c r="B440" s="116">
        <v>1305.7</v>
      </c>
      <c r="C440" s="116">
        <v>1273.9000000000001</v>
      </c>
      <c r="D440" s="116">
        <v>1264.95</v>
      </c>
      <c r="E440" s="116">
        <v>1276</v>
      </c>
      <c r="F440" s="116">
        <v>1273.9000000000001</v>
      </c>
      <c r="G440">
        <v>2724</v>
      </c>
      <c r="H440" s="116"/>
      <c r="I440" s="116"/>
      <c r="L440" s="170">
        <v>43277</v>
      </c>
      <c r="M440" s="116">
        <v>1276.7</v>
      </c>
      <c r="N440" s="116">
        <v>1311.95</v>
      </c>
      <c r="O440" s="116">
        <v>1261</v>
      </c>
      <c r="P440" s="116">
        <v>1288.75</v>
      </c>
      <c r="Q440" s="116">
        <v>1276.7</v>
      </c>
      <c r="R440">
        <v>40042</v>
      </c>
    </row>
    <row r="441" spans="1:18" x14ac:dyDescent="0.25">
      <c r="A441" s="170">
        <v>43278</v>
      </c>
      <c r="B441" s="116">
        <v>1293.95</v>
      </c>
      <c r="C441" s="116">
        <v>1222.25</v>
      </c>
      <c r="D441" s="116">
        <v>1212.3</v>
      </c>
      <c r="E441" s="116">
        <v>1293.95</v>
      </c>
      <c r="F441" s="116">
        <v>1222.25</v>
      </c>
      <c r="G441">
        <v>4676</v>
      </c>
      <c r="H441" s="116"/>
      <c r="I441" s="116"/>
      <c r="L441" s="170">
        <v>43278</v>
      </c>
      <c r="M441" s="116">
        <v>1225.5999999999999</v>
      </c>
      <c r="N441" s="116">
        <v>1279.8</v>
      </c>
      <c r="O441" s="116">
        <v>1215.55</v>
      </c>
      <c r="P441" s="116">
        <v>1278.75</v>
      </c>
      <c r="Q441" s="116">
        <v>1225.5999999999999</v>
      </c>
      <c r="R441">
        <v>58389</v>
      </c>
    </row>
    <row r="442" spans="1:18" x14ac:dyDescent="0.25">
      <c r="A442" s="170">
        <v>43279</v>
      </c>
      <c r="B442" s="116">
        <v>1230</v>
      </c>
      <c r="C442" s="116">
        <v>1179.75</v>
      </c>
      <c r="D442" s="116">
        <v>1160.3499999999999</v>
      </c>
      <c r="E442" s="116">
        <v>1221</v>
      </c>
      <c r="F442" s="116">
        <v>1179.75</v>
      </c>
      <c r="G442">
        <v>10867</v>
      </c>
      <c r="H442" s="116"/>
      <c r="I442" s="116"/>
      <c r="L442" s="170">
        <v>43279</v>
      </c>
      <c r="M442" s="116">
        <v>1176.8499999999999</v>
      </c>
      <c r="N442" s="116">
        <v>1232.45</v>
      </c>
      <c r="O442" s="116">
        <v>1156</v>
      </c>
      <c r="P442" s="116">
        <v>1221</v>
      </c>
      <c r="Q442" s="116">
        <v>1176.8499999999999</v>
      </c>
      <c r="R442">
        <v>117860</v>
      </c>
    </row>
    <row r="443" spans="1:18" x14ac:dyDescent="0.25">
      <c r="A443" s="170">
        <v>43280</v>
      </c>
      <c r="B443" s="116">
        <v>1235</v>
      </c>
      <c r="C443" s="116">
        <v>1215.4000000000001</v>
      </c>
      <c r="D443" s="116">
        <v>1180.45</v>
      </c>
      <c r="E443" s="116">
        <v>1180.45</v>
      </c>
      <c r="F443" s="116">
        <v>1215.4000000000001</v>
      </c>
      <c r="G443">
        <v>5656</v>
      </c>
      <c r="H443" s="116"/>
      <c r="I443" s="116"/>
      <c r="L443" s="170">
        <v>43280</v>
      </c>
      <c r="M443" s="116">
        <v>1218.0999999999999</v>
      </c>
      <c r="N443" s="116">
        <v>1237.55</v>
      </c>
      <c r="O443" s="116">
        <v>1185</v>
      </c>
      <c r="P443" s="116">
        <v>1185</v>
      </c>
      <c r="Q443" s="116">
        <v>1218.0999999999999</v>
      </c>
      <c r="R443">
        <v>172422</v>
      </c>
    </row>
    <row r="444" spans="1:18" x14ac:dyDescent="0.25">
      <c r="A444" s="170">
        <v>43283</v>
      </c>
      <c r="B444" s="116">
        <v>1232</v>
      </c>
      <c r="C444" s="116">
        <v>1216.05</v>
      </c>
      <c r="D444" s="116">
        <v>1192.5</v>
      </c>
      <c r="E444" s="116">
        <v>1229.8499999999999</v>
      </c>
      <c r="F444" s="116">
        <v>1216.05</v>
      </c>
      <c r="G444">
        <v>1928</v>
      </c>
      <c r="H444" s="116"/>
      <c r="I444" s="116"/>
      <c r="L444" s="170">
        <v>43283</v>
      </c>
      <c r="M444" s="116">
        <v>1216.4000000000001</v>
      </c>
      <c r="N444" s="116">
        <v>1228</v>
      </c>
      <c r="O444" s="116">
        <v>1191.95</v>
      </c>
      <c r="P444" s="116">
        <v>1224.9000000000001</v>
      </c>
      <c r="Q444" s="116">
        <v>1216.4000000000001</v>
      </c>
      <c r="R444">
        <v>40094</v>
      </c>
    </row>
    <row r="445" spans="1:18" x14ac:dyDescent="0.25">
      <c r="A445" s="170">
        <v>43284</v>
      </c>
      <c r="B445" s="116">
        <v>1250</v>
      </c>
      <c r="C445" s="116">
        <v>1220.25</v>
      </c>
      <c r="D445" s="116">
        <v>1206.3499999999999</v>
      </c>
      <c r="E445" s="116">
        <v>1225</v>
      </c>
      <c r="F445" s="116">
        <v>1220.25</v>
      </c>
      <c r="G445">
        <v>3502</v>
      </c>
      <c r="H445" s="116"/>
      <c r="I445" s="116"/>
      <c r="L445" s="170">
        <v>43284</v>
      </c>
      <c r="M445" s="116">
        <v>1219.3499999999999</v>
      </c>
      <c r="N445" s="116">
        <v>1251.5</v>
      </c>
      <c r="O445" s="116">
        <v>1203.25</v>
      </c>
      <c r="P445" s="116">
        <v>1215</v>
      </c>
      <c r="Q445" s="116">
        <v>1219.3499999999999</v>
      </c>
      <c r="R445">
        <v>198035</v>
      </c>
    </row>
    <row r="446" spans="1:18" x14ac:dyDescent="0.25">
      <c r="A446" s="170">
        <v>43285</v>
      </c>
      <c r="B446" s="116">
        <v>1240</v>
      </c>
      <c r="C446" s="116">
        <v>1214.45</v>
      </c>
      <c r="D446" s="116">
        <v>1199.05</v>
      </c>
      <c r="E446" s="116">
        <v>1240</v>
      </c>
      <c r="F446" s="116">
        <v>1214.45</v>
      </c>
      <c r="G446">
        <v>1915</v>
      </c>
      <c r="H446" s="116"/>
      <c r="I446" s="116"/>
      <c r="L446" s="170">
        <v>43285</v>
      </c>
      <c r="M446" s="116">
        <v>1216.75</v>
      </c>
      <c r="N446" s="116">
        <v>1223</v>
      </c>
      <c r="O446" s="116">
        <v>1208.9000000000001</v>
      </c>
      <c r="P446" s="116">
        <v>1209</v>
      </c>
      <c r="Q446" s="116">
        <v>1216.75</v>
      </c>
      <c r="R446">
        <v>24612</v>
      </c>
    </row>
    <row r="447" spans="1:18" x14ac:dyDescent="0.25">
      <c r="A447" s="170">
        <v>43286</v>
      </c>
      <c r="B447" s="116">
        <v>1232.05</v>
      </c>
      <c r="C447" s="116">
        <v>1222.9000000000001</v>
      </c>
      <c r="D447" s="116">
        <v>1213.55</v>
      </c>
      <c r="E447" s="116">
        <v>1213.55</v>
      </c>
      <c r="F447" s="116">
        <v>1222.9000000000001</v>
      </c>
      <c r="G447">
        <v>2466</v>
      </c>
      <c r="H447" s="116"/>
      <c r="I447" s="116"/>
      <c r="L447" s="170">
        <v>43286</v>
      </c>
      <c r="M447" s="116">
        <v>1222.3499999999999</v>
      </c>
      <c r="N447" s="116">
        <v>1232</v>
      </c>
      <c r="O447" s="116">
        <v>1214.95</v>
      </c>
      <c r="P447" s="116">
        <v>1222.4000000000001</v>
      </c>
      <c r="Q447" s="116">
        <v>1222.3499999999999</v>
      </c>
      <c r="R447">
        <v>34409</v>
      </c>
    </row>
    <row r="448" spans="1:18" x14ac:dyDescent="0.25">
      <c r="A448" s="170">
        <v>43287</v>
      </c>
      <c r="B448" s="116">
        <v>1292.0999999999999</v>
      </c>
      <c r="C448" s="116">
        <v>1284.8499999999999</v>
      </c>
      <c r="D448" s="116">
        <v>1219.05</v>
      </c>
      <c r="E448" s="116">
        <v>1221.3</v>
      </c>
      <c r="F448" s="116">
        <v>1284.8499999999999</v>
      </c>
      <c r="G448">
        <v>5477</v>
      </c>
      <c r="H448" s="116"/>
      <c r="I448" s="116"/>
      <c r="L448" s="170">
        <v>43287</v>
      </c>
      <c r="M448" s="116">
        <v>1281.95</v>
      </c>
      <c r="N448" s="116">
        <v>1287</v>
      </c>
      <c r="O448" s="116">
        <v>1219.25</v>
      </c>
      <c r="P448" s="116">
        <v>1224.2</v>
      </c>
      <c r="Q448" s="116">
        <v>1281.95</v>
      </c>
      <c r="R448">
        <v>75287</v>
      </c>
    </row>
    <row r="449" spans="1:18" x14ac:dyDescent="0.25">
      <c r="A449" s="170">
        <v>43290</v>
      </c>
      <c r="B449" s="116">
        <v>1337.95</v>
      </c>
      <c r="C449" s="116">
        <v>1317.85</v>
      </c>
      <c r="D449" s="116">
        <v>1275.05</v>
      </c>
      <c r="E449" s="116">
        <v>1290</v>
      </c>
      <c r="F449" s="116">
        <v>1317.85</v>
      </c>
      <c r="G449">
        <v>5955</v>
      </c>
      <c r="H449" s="116"/>
      <c r="I449" s="116"/>
      <c r="L449" s="170">
        <v>43290</v>
      </c>
      <c r="M449" s="116">
        <v>1315</v>
      </c>
      <c r="N449" s="116">
        <v>1337.55</v>
      </c>
      <c r="O449" s="116">
        <v>1275</v>
      </c>
      <c r="P449" s="116">
        <v>1285.1500000000001</v>
      </c>
      <c r="Q449" s="116">
        <v>1315</v>
      </c>
      <c r="R449">
        <v>97142</v>
      </c>
    </row>
    <row r="450" spans="1:18" x14ac:dyDescent="0.25">
      <c r="A450" s="170">
        <v>43291</v>
      </c>
      <c r="B450" s="116">
        <v>1341.85</v>
      </c>
      <c r="C450" s="116">
        <v>1292.45</v>
      </c>
      <c r="D450" s="116">
        <v>1283.5999999999999</v>
      </c>
      <c r="E450" s="116">
        <v>1323</v>
      </c>
      <c r="F450" s="116">
        <v>1292.45</v>
      </c>
      <c r="G450">
        <v>4761</v>
      </c>
      <c r="H450" s="116"/>
      <c r="I450" s="116"/>
      <c r="L450" s="170">
        <v>43291</v>
      </c>
      <c r="M450" s="116">
        <v>1293.05</v>
      </c>
      <c r="N450" s="116">
        <v>1342.2</v>
      </c>
      <c r="O450" s="116">
        <v>1281.95</v>
      </c>
      <c r="P450" s="116">
        <v>1328</v>
      </c>
      <c r="Q450" s="116">
        <v>1293.05</v>
      </c>
      <c r="R450">
        <v>46036</v>
      </c>
    </row>
    <row r="451" spans="1:18" x14ac:dyDescent="0.25">
      <c r="A451" s="170">
        <v>43292</v>
      </c>
      <c r="B451" s="116">
        <v>1333.8</v>
      </c>
      <c r="C451" s="116">
        <v>1318.65</v>
      </c>
      <c r="D451" s="116">
        <v>1292</v>
      </c>
      <c r="E451" s="116">
        <v>1292</v>
      </c>
      <c r="F451" s="116">
        <v>1318.65</v>
      </c>
      <c r="G451">
        <v>7037</v>
      </c>
      <c r="H451" s="116"/>
      <c r="I451" s="116"/>
      <c r="L451" s="170">
        <v>43292</v>
      </c>
      <c r="M451" s="116">
        <v>1312.25</v>
      </c>
      <c r="N451" s="116">
        <v>1331.9</v>
      </c>
      <c r="O451" s="116">
        <v>1286</v>
      </c>
      <c r="P451" s="116">
        <v>1290</v>
      </c>
      <c r="Q451" s="116">
        <v>1312.25</v>
      </c>
      <c r="R451">
        <v>85723</v>
      </c>
    </row>
    <row r="452" spans="1:18" x14ac:dyDescent="0.25">
      <c r="A452" s="170">
        <v>43293</v>
      </c>
      <c r="B452" s="116">
        <v>1325</v>
      </c>
      <c r="C452" s="116">
        <v>1300.8</v>
      </c>
      <c r="D452" s="116">
        <v>1297</v>
      </c>
      <c r="E452" s="116">
        <v>1321</v>
      </c>
      <c r="F452" s="116">
        <v>1300.8</v>
      </c>
      <c r="G452">
        <v>3628</v>
      </c>
      <c r="H452" s="116"/>
      <c r="I452" s="116"/>
      <c r="L452" s="170">
        <v>43293</v>
      </c>
      <c r="M452" s="116">
        <v>1298.2</v>
      </c>
      <c r="N452" s="116">
        <v>1327.4</v>
      </c>
      <c r="O452" s="116">
        <v>1290</v>
      </c>
      <c r="P452" s="116">
        <v>1323.85</v>
      </c>
      <c r="Q452" s="116">
        <v>1298.2</v>
      </c>
      <c r="R452">
        <v>54558</v>
      </c>
    </row>
    <row r="453" spans="1:18" x14ac:dyDescent="0.25">
      <c r="A453" s="170">
        <v>43294</v>
      </c>
      <c r="B453" s="116">
        <v>1313.65</v>
      </c>
      <c r="C453" s="116">
        <v>1287.75</v>
      </c>
      <c r="D453" s="116">
        <v>1271.1500000000001</v>
      </c>
      <c r="E453" s="116">
        <v>1310</v>
      </c>
      <c r="F453" s="116">
        <v>1287.75</v>
      </c>
      <c r="G453">
        <v>3633</v>
      </c>
      <c r="H453" s="116"/>
      <c r="I453" s="116"/>
      <c r="L453" s="170">
        <v>43294</v>
      </c>
      <c r="M453" s="116">
        <v>1289.7</v>
      </c>
      <c r="N453" s="116">
        <v>1313.45</v>
      </c>
      <c r="O453" s="116">
        <v>1267.7</v>
      </c>
      <c r="P453" s="116">
        <v>1305</v>
      </c>
      <c r="Q453" s="116">
        <v>1289.7</v>
      </c>
      <c r="R453">
        <v>54042</v>
      </c>
    </row>
    <row r="454" spans="1:18" x14ac:dyDescent="0.25">
      <c r="A454" s="170">
        <v>43297</v>
      </c>
      <c r="B454" s="116">
        <v>1363.1</v>
      </c>
      <c r="C454" s="116">
        <v>1323.1</v>
      </c>
      <c r="D454" s="116">
        <v>1299</v>
      </c>
      <c r="E454" s="116">
        <v>1299</v>
      </c>
      <c r="F454" s="116">
        <v>1323.1</v>
      </c>
      <c r="G454">
        <v>67245</v>
      </c>
      <c r="H454" s="116"/>
      <c r="I454" s="116"/>
      <c r="L454" s="170">
        <v>43297</v>
      </c>
      <c r="M454" s="116">
        <v>1320.5</v>
      </c>
      <c r="N454" s="116">
        <v>1364.4</v>
      </c>
      <c r="O454" s="116">
        <v>1299</v>
      </c>
      <c r="P454" s="116">
        <v>1331</v>
      </c>
      <c r="Q454" s="116">
        <v>1320.5</v>
      </c>
      <c r="R454">
        <v>158538</v>
      </c>
    </row>
    <row r="455" spans="1:18" x14ac:dyDescent="0.25">
      <c r="A455" s="170">
        <v>43298</v>
      </c>
      <c r="B455" s="116">
        <v>1329.85</v>
      </c>
      <c r="C455" s="116">
        <v>1305.0999999999999</v>
      </c>
      <c r="D455" s="116">
        <v>1298</v>
      </c>
      <c r="E455" s="116">
        <v>1320</v>
      </c>
      <c r="F455" s="116">
        <v>1305.0999999999999</v>
      </c>
      <c r="G455">
        <v>3730</v>
      </c>
      <c r="H455" s="116"/>
      <c r="I455" s="116"/>
      <c r="L455" s="170">
        <v>43298</v>
      </c>
      <c r="M455" s="116">
        <v>1300.55</v>
      </c>
      <c r="N455" s="116">
        <v>1329.7</v>
      </c>
      <c r="O455" s="116">
        <v>1295.1500000000001</v>
      </c>
      <c r="P455" s="116">
        <v>1329.7</v>
      </c>
      <c r="Q455" s="116">
        <v>1300.55</v>
      </c>
      <c r="R455">
        <v>35970</v>
      </c>
    </row>
    <row r="456" spans="1:18" x14ac:dyDescent="0.25">
      <c r="A456" s="170">
        <v>43299</v>
      </c>
      <c r="B456" s="116">
        <v>1319.75</v>
      </c>
      <c r="C456" s="116">
        <v>1290.8499999999999</v>
      </c>
      <c r="D456" s="116">
        <v>1285.05</v>
      </c>
      <c r="E456" s="116">
        <v>1310</v>
      </c>
      <c r="F456" s="116">
        <v>1290.8499999999999</v>
      </c>
      <c r="G456">
        <v>4684</v>
      </c>
      <c r="H456" s="116"/>
      <c r="I456" s="116"/>
      <c r="L456" s="170">
        <v>43299</v>
      </c>
      <c r="M456" s="116">
        <v>1293.0999999999999</v>
      </c>
      <c r="N456" s="116">
        <v>1319</v>
      </c>
      <c r="O456" s="116">
        <v>1285.25</v>
      </c>
      <c r="P456" s="116">
        <v>1305.0999999999999</v>
      </c>
      <c r="Q456" s="116">
        <v>1293.0999999999999</v>
      </c>
      <c r="R456">
        <v>37631</v>
      </c>
    </row>
    <row r="457" spans="1:18" x14ac:dyDescent="0.25">
      <c r="A457" s="170">
        <v>43300</v>
      </c>
      <c r="B457" s="116">
        <v>1306.95</v>
      </c>
      <c r="C457" s="116">
        <v>1272.5</v>
      </c>
      <c r="D457" s="116">
        <v>1254.2</v>
      </c>
      <c r="E457" s="116">
        <v>1299</v>
      </c>
      <c r="F457" s="116">
        <v>1272.5</v>
      </c>
      <c r="G457">
        <v>3704</v>
      </c>
      <c r="H457" s="116"/>
      <c r="I457" s="116"/>
      <c r="L457" s="170">
        <v>43300</v>
      </c>
      <c r="M457" s="116">
        <v>1271.25</v>
      </c>
      <c r="N457" s="116">
        <v>1306.3499999999999</v>
      </c>
      <c r="O457" s="116">
        <v>1251.5</v>
      </c>
      <c r="P457" s="116">
        <v>1299.95</v>
      </c>
      <c r="Q457" s="116">
        <v>1271.25</v>
      </c>
      <c r="R457">
        <v>50968</v>
      </c>
    </row>
    <row r="458" spans="1:18" x14ac:dyDescent="0.25">
      <c r="A458" s="170">
        <v>43301</v>
      </c>
      <c r="B458" s="116">
        <v>1296.95</v>
      </c>
      <c r="C458" s="116">
        <v>1291.5999999999999</v>
      </c>
      <c r="D458" s="116">
        <v>1261.3</v>
      </c>
      <c r="E458" s="116">
        <v>1270</v>
      </c>
      <c r="F458" s="116">
        <v>1291.5999999999999</v>
      </c>
      <c r="G458">
        <v>3243</v>
      </c>
      <c r="H458" s="116"/>
      <c r="I458" s="116"/>
      <c r="L458" s="170">
        <v>43301</v>
      </c>
      <c r="M458" s="116">
        <v>1293.8</v>
      </c>
      <c r="N458" s="116">
        <v>1299.95</v>
      </c>
      <c r="O458" s="116">
        <v>1260</v>
      </c>
      <c r="P458" s="116">
        <v>1271.25</v>
      </c>
      <c r="Q458" s="116">
        <v>1293.8</v>
      </c>
      <c r="R458">
        <v>34872</v>
      </c>
    </row>
    <row r="459" spans="1:18" x14ac:dyDescent="0.25">
      <c r="A459" s="170">
        <v>43304</v>
      </c>
      <c r="B459" s="116">
        <v>1322.6</v>
      </c>
      <c r="C459" s="116">
        <v>1306.55</v>
      </c>
      <c r="D459" s="116">
        <v>1273</v>
      </c>
      <c r="E459" s="116">
        <v>1292</v>
      </c>
      <c r="F459" s="116">
        <v>1306.55</v>
      </c>
      <c r="G459">
        <v>5851</v>
      </c>
      <c r="H459" s="116"/>
      <c r="I459" s="116"/>
      <c r="L459" s="170">
        <v>43304</v>
      </c>
      <c r="M459" s="116">
        <v>1307.6500000000001</v>
      </c>
      <c r="N459" s="116">
        <v>1319.9</v>
      </c>
      <c r="O459" s="116">
        <v>1291</v>
      </c>
      <c r="P459" s="116">
        <v>1304</v>
      </c>
      <c r="Q459" s="116">
        <v>1307.6500000000001</v>
      </c>
      <c r="R459">
        <v>86421</v>
      </c>
    </row>
    <row r="460" spans="1:18" x14ac:dyDescent="0.25">
      <c r="A460" s="170">
        <v>43305</v>
      </c>
      <c r="B460" s="116">
        <v>1485</v>
      </c>
      <c r="C460" s="116">
        <v>1452.3</v>
      </c>
      <c r="D460" s="116">
        <v>1380.05</v>
      </c>
      <c r="E460" s="116">
        <v>1380.05</v>
      </c>
      <c r="F460" s="116">
        <v>1452.3</v>
      </c>
      <c r="G460">
        <v>50035</v>
      </c>
      <c r="H460" s="116"/>
      <c r="I460" s="116"/>
      <c r="L460" s="170">
        <v>43305</v>
      </c>
      <c r="M460" s="116">
        <v>1458</v>
      </c>
      <c r="N460" s="116">
        <v>1488.05</v>
      </c>
      <c r="O460" s="116">
        <v>1385</v>
      </c>
      <c r="P460" s="116">
        <v>1397.3</v>
      </c>
      <c r="Q460" s="116">
        <v>1458</v>
      </c>
      <c r="R460">
        <v>798523</v>
      </c>
    </row>
    <row r="461" spans="1:18" x14ac:dyDescent="0.25">
      <c r="A461" s="170">
        <v>43306</v>
      </c>
      <c r="B461" s="116">
        <v>1464</v>
      </c>
      <c r="C461" s="116">
        <v>1433.65</v>
      </c>
      <c r="D461" s="116">
        <v>1420</v>
      </c>
      <c r="E461" s="116">
        <v>1449</v>
      </c>
      <c r="F461" s="116">
        <v>1433.65</v>
      </c>
      <c r="G461">
        <v>8133</v>
      </c>
      <c r="H461" s="116"/>
      <c r="I461" s="116"/>
      <c r="L461" s="170">
        <v>43306</v>
      </c>
      <c r="M461" s="116">
        <v>1430.8</v>
      </c>
      <c r="N461" s="116">
        <v>1461.5</v>
      </c>
      <c r="O461" s="116">
        <v>1420.05</v>
      </c>
      <c r="P461" s="116">
        <v>1450</v>
      </c>
      <c r="Q461" s="116">
        <v>1430.8</v>
      </c>
      <c r="R461">
        <v>94297</v>
      </c>
    </row>
    <row r="462" spans="1:18" x14ac:dyDescent="0.25">
      <c r="A462" s="170">
        <v>43307</v>
      </c>
      <c r="B462" s="116">
        <v>1529</v>
      </c>
      <c r="C462" s="116">
        <v>1520.45</v>
      </c>
      <c r="D462" s="116">
        <v>1424.85</v>
      </c>
      <c r="E462" s="116">
        <v>1441</v>
      </c>
      <c r="F462" s="116">
        <v>1520.45</v>
      </c>
      <c r="G462">
        <v>27123</v>
      </c>
      <c r="H462" s="116"/>
      <c r="I462" s="116"/>
      <c r="L462" s="170">
        <v>43307</v>
      </c>
      <c r="M462" s="116">
        <v>1521.75</v>
      </c>
      <c r="N462" s="116">
        <v>1535</v>
      </c>
      <c r="O462" s="116">
        <v>1420.25</v>
      </c>
      <c r="P462" s="116">
        <v>1430</v>
      </c>
      <c r="Q462" s="116">
        <v>1521.75</v>
      </c>
      <c r="R462">
        <v>407471</v>
      </c>
    </row>
    <row r="463" spans="1:18" x14ac:dyDescent="0.25">
      <c r="A463" s="170">
        <v>43308</v>
      </c>
      <c r="B463" s="116">
        <v>1560</v>
      </c>
      <c r="C463" s="116">
        <v>1534.45</v>
      </c>
      <c r="D463" s="116">
        <v>1510</v>
      </c>
      <c r="E463" s="116">
        <v>1520</v>
      </c>
      <c r="F463" s="116">
        <v>1534.45</v>
      </c>
      <c r="G463">
        <v>18361</v>
      </c>
      <c r="H463" s="116"/>
      <c r="I463" s="116"/>
      <c r="L463" s="170">
        <v>43308</v>
      </c>
      <c r="M463" s="116">
        <v>1534.1</v>
      </c>
      <c r="N463" s="116">
        <v>1559</v>
      </c>
      <c r="O463" s="116">
        <v>1510.5</v>
      </c>
      <c r="P463" s="116">
        <v>1521.75</v>
      </c>
      <c r="Q463" s="116">
        <v>1534.1</v>
      </c>
      <c r="R463">
        <v>139479</v>
      </c>
    </row>
    <row r="464" spans="1:18" x14ac:dyDescent="0.25">
      <c r="A464" s="170">
        <v>43311</v>
      </c>
      <c r="B464" s="116">
        <v>1552.45</v>
      </c>
      <c r="C464" s="116">
        <v>1502.5</v>
      </c>
      <c r="D464" s="116">
        <v>1495</v>
      </c>
      <c r="E464" s="116">
        <v>1535</v>
      </c>
      <c r="F464" s="116">
        <v>1502.5</v>
      </c>
      <c r="G464">
        <v>5821</v>
      </c>
      <c r="H464" s="116"/>
      <c r="I464" s="116"/>
      <c r="L464" s="170">
        <v>43311</v>
      </c>
      <c r="M464" s="116">
        <v>1502.65</v>
      </c>
      <c r="N464" s="116">
        <v>1553</v>
      </c>
      <c r="O464" s="116">
        <v>1495.5</v>
      </c>
      <c r="P464" s="116">
        <v>1539.65</v>
      </c>
      <c r="Q464" s="116">
        <v>1502.65</v>
      </c>
      <c r="R464">
        <v>55645</v>
      </c>
    </row>
    <row r="465" spans="1:18" x14ac:dyDescent="0.25">
      <c r="A465" s="170">
        <v>43312</v>
      </c>
      <c r="B465" s="116">
        <v>1505</v>
      </c>
      <c r="C465" s="116">
        <v>1468.5</v>
      </c>
      <c r="D465" s="116">
        <v>1456.9</v>
      </c>
      <c r="E465" s="116">
        <v>1500.15</v>
      </c>
      <c r="F465" s="116">
        <v>1468.5</v>
      </c>
      <c r="G465">
        <v>5489</v>
      </c>
      <c r="H465" s="116"/>
      <c r="I465" s="116"/>
      <c r="L465" s="170">
        <v>43312</v>
      </c>
      <c r="M465" s="116">
        <v>1466.75</v>
      </c>
      <c r="N465" s="116">
        <v>1511.5</v>
      </c>
      <c r="O465" s="116">
        <v>1460.2</v>
      </c>
      <c r="P465" s="116">
        <v>1511.5</v>
      </c>
      <c r="Q465" s="116">
        <v>1466.75</v>
      </c>
      <c r="R465">
        <v>76371</v>
      </c>
    </row>
    <row r="466" spans="1:18" x14ac:dyDescent="0.25">
      <c r="A466" s="170">
        <v>43313</v>
      </c>
      <c r="B466" s="116">
        <v>1521</v>
      </c>
      <c r="C466" s="116">
        <v>1483.9</v>
      </c>
      <c r="D466" s="116">
        <v>1440</v>
      </c>
      <c r="E466" s="116">
        <v>1478</v>
      </c>
      <c r="F466" s="116">
        <v>1483.9</v>
      </c>
      <c r="G466">
        <v>16580</v>
      </c>
      <c r="H466" s="116"/>
      <c r="I466" s="116"/>
      <c r="L466" s="170">
        <v>43313</v>
      </c>
      <c r="M466" s="116">
        <v>1487.3</v>
      </c>
      <c r="N466" s="116">
        <v>1519.7</v>
      </c>
      <c r="O466" s="116">
        <v>1443.25</v>
      </c>
      <c r="P466" s="116">
        <v>1470.25</v>
      </c>
      <c r="Q466" s="116">
        <v>1487.3</v>
      </c>
      <c r="R466">
        <v>137410</v>
      </c>
    </row>
    <row r="467" spans="1:18" x14ac:dyDescent="0.25">
      <c r="A467" s="170">
        <v>43314</v>
      </c>
      <c r="B467" s="116">
        <v>1450</v>
      </c>
      <c r="C467" s="116">
        <v>1414.55</v>
      </c>
      <c r="D467" s="116">
        <v>1410.75</v>
      </c>
      <c r="E467" s="116">
        <v>1428</v>
      </c>
      <c r="F467" s="116">
        <v>1414.55</v>
      </c>
      <c r="G467">
        <v>36704</v>
      </c>
      <c r="H467" s="116"/>
      <c r="I467" s="116"/>
      <c r="L467" s="170">
        <v>43314</v>
      </c>
      <c r="M467" s="116">
        <v>1413.9</v>
      </c>
      <c r="N467" s="116">
        <v>1449.4</v>
      </c>
      <c r="O467" s="116">
        <v>1410.55</v>
      </c>
      <c r="P467" s="116">
        <v>1427</v>
      </c>
      <c r="Q467" s="116">
        <v>1413.9</v>
      </c>
      <c r="R467">
        <v>562107</v>
      </c>
    </row>
    <row r="468" spans="1:18" x14ac:dyDescent="0.25">
      <c r="A468" s="170">
        <v>43315</v>
      </c>
      <c r="B468" s="116">
        <v>1427.5</v>
      </c>
      <c r="C468" s="116">
        <v>1420.5</v>
      </c>
      <c r="D468" s="116">
        <v>1410</v>
      </c>
      <c r="E468" s="116">
        <v>1410</v>
      </c>
      <c r="F468" s="116">
        <v>1420.5</v>
      </c>
      <c r="G468">
        <v>16513</v>
      </c>
      <c r="H468" s="116"/>
      <c r="I468" s="116"/>
      <c r="L468" s="170">
        <v>43315</v>
      </c>
      <c r="M468" s="116">
        <v>1420.15</v>
      </c>
      <c r="N468" s="116">
        <v>1428.65</v>
      </c>
      <c r="O468" s="116">
        <v>1410</v>
      </c>
      <c r="P468" s="116">
        <v>1410</v>
      </c>
      <c r="Q468" s="116">
        <v>1420.15</v>
      </c>
      <c r="R468">
        <v>254041</v>
      </c>
    </row>
    <row r="469" spans="1:18" x14ac:dyDescent="0.25">
      <c r="A469" s="170">
        <v>43318</v>
      </c>
      <c r="B469" s="116">
        <v>1439</v>
      </c>
      <c r="C469" s="116">
        <v>1426.9</v>
      </c>
      <c r="D469" s="116">
        <v>1400.3</v>
      </c>
      <c r="E469" s="116">
        <v>1412</v>
      </c>
      <c r="F469" s="116">
        <v>1426.9</v>
      </c>
      <c r="G469">
        <v>31012</v>
      </c>
      <c r="H469" s="116"/>
      <c r="I469" s="116"/>
      <c r="L469" s="170">
        <v>43318</v>
      </c>
      <c r="M469" s="116">
        <v>1428.6</v>
      </c>
      <c r="N469" s="116">
        <v>1440</v>
      </c>
      <c r="O469" s="116">
        <v>1405</v>
      </c>
      <c r="P469" s="116">
        <v>1412</v>
      </c>
      <c r="Q469" s="116">
        <v>1428.6</v>
      </c>
      <c r="R469">
        <v>228153</v>
      </c>
    </row>
    <row r="470" spans="1:18" x14ac:dyDescent="0.25">
      <c r="A470" s="170">
        <v>43319</v>
      </c>
      <c r="B470" s="116">
        <v>1445</v>
      </c>
      <c r="C470" s="116">
        <v>1426.95</v>
      </c>
      <c r="D470" s="116">
        <v>1420</v>
      </c>
      <c r="E470" s="116">
        <v>1430</v>
      </c>
      <c r="F470" s="116">
        <v>1426.95</v>
      </c>
      <c r="G470">
        <v>5818</v>
      </c>
      <c r="H470" s="116"/>
      <c r="I470" s="116"/>
      <c r="L470" s="170">
        <v>43319</v>
      </c>
      <c r="M470" s="116">
        <v>1423.25</v>
      </c>
      <c r="N470" s="116">
        <v>1446</v>
      </c>
      <c r="O470" s="116">
        <v>1419</v>
      </c>
      <c r="P470" s="116">
        <v>1433</v>
      </c>
      <c r="Q470" s="116">
        <v>1423.25</v>
      </c>
      <c r="R470">
        <v>66081</v>
      </c>
    </row>
    <row r="471" spans="1:18" x14ac:dyDescent="0.25">
      <c r="A471" s="170">
        <v>43320</v>
      </c>
      <c r="B471" s="116">
        <v>1438</v>
      </c>
      <c r="C471" s="116">
        <v>1422.1</v>
      </c>
      <c r="D471" s="116">
        <v>1416.4</v>
      </c>
      <c r="E471" s="116">
        <v>1427</v>
      </c>
      <c r="F471" s="116">
        <v>1422.1</v>
      </c>
      <c r="G471">
        <v>1940</v>
      </c>
      <c r="H471" s="116"/>
      <c r="I471" s="116"/>
      <c r="L471" s="170">
        <v>43320</v>
      </c>
      <c r="M471" s="116">
        <v>1422.25</v>
      </c>
      <c r="N471" s="116">
        <v>1436.9</v>
      </c>
      <c r="O471" s="116">
        <v>1415</v>
      </c>
      <c r="P471" s="116">
        <v>1415</v>
      </c>
      <c r="Q471" s="116">
        <v>1422.25</v>
      </c>
      <c r="R471">
        <v>36824</v>
      </c>
    </row>
    <row r="472" spans="1:18" x14ac:dyDescent="0.25">
      <c r="A472" s="170">
        <v>43321</v>
      </c>
      <c r="B472" s="116">
        <v>1438</v>
      </c>
      <c r="C472" s="116">
        <v>1431.8</v>
      </c>
      <c r="D472" s="116">
        <v>1419.05</v>
      </c>
      <c r="E472" s="116">
        <v>1419.1</v>
      </c>
      <c r="F472" s="116">
        <v>1431.8</v>
      </c>
      <c r="G472">
        <v>4544</v>
      </c>
      <c r="H472" s="116"/>
      <c r="I472" s="116"/>
      <c r="L472" s="170">
        <v>43321</v>
      </c>
      <c r="M472" s="116">
        <v>1430.45</v>
      </c>
      <c r="N472" s="116">
        <v>1434</v>
      </c>
      <c r="O472" s="116">
        <v>1422.25</v>
      </c>
      <c r="P472" s="116">
        <v>1424</v>
      </c>
      <c r="Q472" s="116">
        <v>1430.45</v>
      </c>
      <c r="R472">
        <v>34946</v>
      </c>
    </row>
    <row r="473" spans="1:18" x14ac:dyDescent="0.25">
      <c r="A473" s="170">
        <v>43322</v>
      </c>
      <c r="B473" s="116">
        <v>1499.25</v>
      </c>
      <c r="C473" s="116">
        <v>1487.6</v>
      </c>
      <c r="D473" s="116">
        <v>1434</v>
      </c>
      <c r="E473" s="116">
        <v>1434</v>
      </c>
      <c r="F473" s="116">
        <v>1487.6</v>
      </c>
      <c r="G473">
        <v>16524</v>
      </c>
      <c r="H473" s="116"/>
      <c r="I473" s="116"/>
      <c r="L473" s="170">
        <v>43322</v>
      </c>
      <c r="M473" s="116">
        <v>1486.45</v>
      </c>
      <c r="N473" s="116">
        <v>1494.8</v>
      </c>
      <c r="O473" s="116">
        <v>1425.1</v>
      </c>
      <c r="P473" s="116">
        <v>1434.9</v>
      </c>
      <c r="Q473" s="116">
        <v>1486.45</v>
      </c>
      <c r="R473">
        <v>223920</v>
      </c>
    </row>
    <row r="474" spans="1:18" x14ac:dyDescent="0.25">
      <c r="A474" s="170">
        <v>43325</v>
      </c>
      <c r="B474" s="116">
        <v>1537</v>
      </c>
      <c r="C474" s="116">
        <v>1499.6</v>
      </c>
      <c r="D474" s="116">
        <v>1467</v>
      </c>
      <c r="E474" s="116">
        <v>1480.1</v>
      </c>
      <c r="F474" s="116">
        <v>1499.6</v>
      </c>
      <c r="G474">
        <v>12980</v>
      </c>
      <c r="H474" s="116"/>
      <c r="I474" s="116"/>
      <c r="L474" s="170">
        <v>43325</v>
      </c>
      <c r="M474" s="116">
        <v>1502.65</v>
      </c>
      <c r="N474" s="116">
        <v>1529</v>
      </c>
      <c r="O474" s="116">
        <v>1471</v>
      </c>
      <c r="P474" s="116">
        <v>1484</v>
      </c>
      <c r="Q474" s="116">
        <v>1502.65</v>
      </c>
      <c r="R474">
        <v>139554</v>
      </c>
    </row>
    <row r="475" spans="1:18" x14ac:dyDescent="0.25">
      <c r="A475" s="170">
        <v>43326</v>
      </c>
      <c r="B475" s="116">
        <v>1560</v>
      </c>
      <c r="C475" s="116">
        <v>1534.45</v>
      </c>
      <c r="D475" s="116">
        <v>1499</v>
      </c>
      <c r="E475" s="116">
        <v>1499</v>
      </c>
      <c r="F475" s="116">
        <v>1534.45</v>
      </c>
      <c r="G475">
        <v>18163</v>
      </c>
      <c r="H475" s="116"/>
      <c r="I475" s="116"/>
      <c r="L475" s="170">
        <v>43326</v>
      </c>
      <c r="M475" s="116">
        <v>1531.9</v>
      </c>
      <c r="N475" s="116">
        <v>1559</v>
      </c>
      <c r="O475" s="116">
        <v>1500.2</v>
      </c>
      <c r="P475" s="116">
        <v>1502</v>
      </c>
      <c r="Q475" s="116">
        <v>1531.9</v>
      </c>
      <c r="R475">
        <v>88260</v>
      </c>
    </row>
    <row r="476" spans="1:18" x14ac:dyDescent="0.25">
      <c r="A476" s="170">
        <v>43328</v>
      </c>
      <c r="B476" s="116">
        <v>1546.05</v>
      </c>
      <c r="C476" s="116">
        <v>1535.1</v>
      </c>
      <c r="D476" s="116">
        <v>1525.05</v>
      </c>
      <c r="E476" s="116">
        <v>1525.65</v>
      </c>
      <c r="F476" s="116">
        <v>1535.1</v>
      </c>
      <c r="G476">
        <v>5843</v>
      </c>
      <c r="H476" s="116"/>
      <c r="I476" s="116"/>
      <c r="L476" s="170">
        <v>43328</v>
      </c>
      <c r="M476" s="116">
        <v>1533.15</v>
      </c>
      <c r="N476" s="116">
        <v>1550</v>
      </c>
      <c r="O476" s="116">
        <v>1520.55</v>
      </c>
      <c r="P476" s="116">
        <v>1527.9</v>
      </c>
      <c r="Q476" s="116">
        <v>1533.15</v>
      </c>
      <c r="R476">
        <v>116199</v>
      </c>
    </row>
    <row r="477" spans="1:18" x14ac:dyDescent="0.25">
      <c r="A477" s="170">
        <v>43329</v>
      </c>
      <c r="B477" s="116">
        <v>1620</v>
      </c>
      <c r="C477" s="116">
        <v>1606.65</v>
      </c>
      <c r="D477" s="116">
        <v>1550</v>
      </c>
      <c r="E477" s="116">
        <v>1550</v>
      </c>
      <c r="F477" s="116">
        <v>1606.65</v>
      </c>
      <c r="G477">
        <v>50904</v>
      </c>
      <c r="H477" s="116"/>
      <c r="I477" s="116"/>
      <c r="L477" s="170">
        <v>43329</v>
      </c>
      <c r="M477" s="116">
        <v>1609.2</v>
      </c>
      <c r="N477" s="116">
        <v>1623.75</v>
      </c>
      <c r="O477" s="116">
        <v>1545.1</v>
      </c>
      <c r="P477" s="116">
        <v>1548</v>
      </c>
      <c r="Q477" s="116">
        <v>1609.2</v>
      </c>
      <c r="R477">
        <v>268869</v>
      </c>
    </row>
    <row r="478" spans="1:18" x14ac:dyDescent="0.25">
      <c r="A478" s="170">
        <v>43332</v>
      </c>
      <c r="B478" s="116">
        <v>1637</v>
      </c>
      <c r="C478" s="116">
        <v>1586.5</v>
      </c>
      <c r="D478" s="116">
        <v>1575</v>
      </c>
      <c r="E478" s="116">
        <v>1619.9</v>
      </c>
      <c r="F478" s="116">
        <v>1586.5</v>
      </c>
      <c r="G478">
        <v>16383</v>
      </c>
      <c r="H478" s="116"/>
      <c r="I478" s="116"/>
      <c r="L478" s="170">
        <v>43332</v>
      </c>
      <c r="M478" s="116">
        <v>1582.8</v>
      </c>
      <c r="N478" s="116">
        <v>1637.35</v>
      </c>
      <c r="O478" s="116">
        <v>1576</v>
      </c>
      <c r="P478" s="116">
        <v>1621.95</v>
      </c>
      <c r="Q478" s="116">
        <v>1582.8</v>
      </c>
      <c r="R478">
        <v>198488</v>
      </c>
    </row>
    <row r="479" spans="1:18" x14ac:dyDescent="0.25">
      <c r="A479" s="170">
        <v>43333</v>
      </c>
      <c r="B479" s="116">
        <v>1601.05</v>
      </c>
      <c r="C479" s="116">
        <v>1582.4</v>
      </c>
      <c r="D479" s="116">
        <v>1553.55</v>
      </c>
      <c r="E479" s="116">
        <v>1590.45</v>
      </c>
      <c r="F479" s="116">
        <v>1582.4</v>
      </c>
      <c r="G479">
        <v>14513</v>
      </c>
      <c r="H479" s="116"/>
      <c r="I479" s="116"/>
      <c r="L479" s="170">
        <v>43333</v>
      </c>
      <c r="M479" s="116">
        <v>1585.1</v>
      </c>
      <c r="N479" s="116">
        <v>1608</v>
      </c>
      <c r="O479" s="116">
        <v>1552</v>
      </c>
      <c r="P479" s="116">
        <v>1590.85</v>
      </c>
      <c r="Q479" s="116">
        <v>1585.1</v>
      </c>
      <c r="R479">
        <v>131428</v>
      </c>
    </row>
    <row r="480" spans="1:18" x14ac:dyDescent="0.25">
      <c r="A480" s="170">
        <v>43335</v>
      </c>
      <c r="B480" s="116">
        <v>1611</v>
      </c>
      <c r="C480" s="116">
        <v>1597.9</v>
      </c>
      <c r="D480" s="116">
        <v>1580.95</v>
      </c>
      <c r="E480" s="116">
        <v>1595</v>
      </c>
      <c r="F480" s="116">
        <v>1597.9</v>
      </c>
      <c r="G480">
        <v>26840</v>
      </c>
      <c r="H480" s="116"/>
      <c r="I480" s="116"/>
      <c r="L480" s="170">
        <v>43335</v>
      </c>
      <c r="M480" s="116">
        <v>1592.65</v>
      </c>
      <c r="N480" s="116">
        <v>1611.5</v>
      </c>
      <c r="O480" s="116">
        <v>1580.75</v>
      </c>
      <c r="P480" s="116">
        <v>1598.5</v>
      </c>
      <c r="Q480" s="116">
        <v>1592.65</v>
      </c>
      <c r="R480">
        <v>107801</v>
      </c>
    </row>
    <row r="481" spans="1:18" x14ac:dyDescent="0.25">
      <c r="A481" s="170">
        <v>43336</v>
      </c>
      <c r="B481" s="116">
        <v>1611.35</v>
      </c>
      <c r="C481" s="116">
        <v>1594.15</v>
      </c>
      <c r="D481" s="116">
        <v>1586.55</v>
      </c>
      <c r="E481" s="116">
        <v>1596</v>
      </c>
      <c r="F481" s="116">
        <v>1594.15</v>
      </c>
      <c r="G481">
        <v>13567</v>
      </c>
      <c r="H481" s="116"/>
      <c r="I481" s="116"/>
      <c r="L481" s="170">
        <v>43336</v>
      </c>
      <c r="M481" s="116">
        <v>1592.95</v>
      </c>
      <c r="N481" s="116">
        <v>1611</v>
      </c>
      <c r="O481" s="116">
        <v>1584.4</v>
      </c>
      <c r="P481" s="116">
        <v>1600</v>
      </c>
      <c r="Q481" s="116">
        <v>1592.95</v>
      </c>
      <c r="R481">
        <v>106046</v>
      </c>
    </row>
    <row r="482" spans="1:18" x14ac:dyDescent="0.25">
      <c r="A482" s="170">
        <v>43339</v>
      </c>
      <c r="B482" s="116">
        <v>1619.05</v>
      </c>
      <c r="C482" s="116">
        <v>1602.05</v>
      </c>
      <c r="D482" s="116">
        <v>1593.05</v>
      </c>
      <c r="E482" s="116">
        <v>1594</v>
      </c>
      <c r="F482" s="116">
        <v>1602.05</v>
      </c>
      <c r="G482">
        <v>5291</v>
      </c>
      <c r="H482" s="116"/>
      <c r="I482" s="116"/>
      <c r="L482" s="170">
        <v>43339</v>
      </c>
      <c r="M482" s="116">
        <v>1607.6</v>
      </c>
      <c r="N482" s="116">
        <v>1620</v>
      </c>
      <c r="O482" s="116">
        <v>1590.05</v>
      </c>
      <c r="P482" s="116">
        <v>1592.95</v>
      </c>
      <c r="Q482" s="116">
        <v>1607.6</v>
      </c>
      <c r="R482">
        <v>118310</v>
      </c>
    </row>
    <row r="483" spans="1:18" x14ac:dyDescent="0.25">
      <c r="A483" s="170">
        <v>43340</v>
      </c>
      <c r="B483" s="116">
        <v>1755.45</v>
      </c>
      <c r="C483" s="116">
        <v>1680.25</v>
      </c>
      <c r="D483" s="116">
        <v>1607.5</v>
      </c>
      <c r="E483" s="116">
        <v>1610</v>
      </c>
      <c r="F483" s="116">
        <v>1680.25</v>
      </c>
      <c r="G483">
        <v>50830</v>
      </c>
      <c r="H483" s="116"/>
      <c r="I483" s="116"/>
      <c r="L483" s="170">
        <v>43340</v>
      </c>
      <c r="M483" s="116">
        <v>1679.15</v>
      </c>
      <c r="N483" s="116">
        <v>1754</v>
      </c>
      <c r="O483" s="116">
        <v>1606.1</v>
      </c>
      <c r="P483" s="116">
        <v>1618.4</v>
      </c>
      <c r="Q483" s="116">
        <v>1679.15</v>
      </c>
      <c r="R483">
        <v>460557</v>
      </c>
    </row>
    <row r="484" spans="1:18" x14ac:dyDescent="0.25">
      <c r="A484" s="170">
        <v>43341</v>
      </c>
      <c r="B484" s="116">
        <v>1706.65</v>
      </c>
      <c r="C484" s="116">
        <v>1673.9</v>
      </c>
      <c r="D484" s="116">
        <v>1662</v>
      </c>
      <c r="E484" s="116">
        <v>1690</v>
      </c>
      <c r="F484" s="116">
        <v>1673.9</v>
      </c>
      <c r="G484">
        <v>12385</v>
      </c>
      <c r="H484" s="116"/>
      <c r="I484" s="116"/>
      <c r="L484" s="170">
        <v>43341</v>
      </c>
      <c r="M484" s="116">
        <v>1683.25</v>
      </c>
      <c r="N484" s="116">
        <v>1708.9</v>
      </c>
      <c r="O484" s="116">
        <v>1660.85</v>
      </c>
      <c r="P484" s="116">
        <v>1681</v>
      </c>
      <c r="Q484" s="116">
        <v>1683.25</v>
      </c>
      <c r="R484">
        <v>107706</v>
      </c>
    </row>
    <row r="485" spans="1:18" x14ac:dyDescent="0.25">
      <c r="A485" s="170">
        <v>43342</v>
      </c>
      <c r="B485" s="116">
        <v>1754</v>
      </c>
      <c r="C485" s="116">
        <v>1725.4</v>
      </c>
      <c r="D485" s="116">
        <v>1684.5</v>
      </c>
      <c r="E485" s="116">
        <v>1684.5</v>
      </c>
      <c r="F485" s="116">
        <v>1725.4</v>
      </c>
      <c r="G485">
        <v>20305</v>
      </c>
      <c r="H485" s="116"/>
      <c r="I485" s="116"/>
      <c r="L485" s="170">
        <v>43342</v>
      </c>
      <c r="M485" s="116">
        <v>1727.4</v>
      </c>
      <c r="N485" s="116">
        <v>1754</v>
      </c>
      <c r="O485" s="116">
        <v>1683.25</v>
      </c>
      <c r="P485" s="116">
        <v>1683.25</v>
      </c>
      <c r="Q485" s="116">
        <v>1727.4</v>
      </c>
      <c r="R485">
        <v>202137</v>
      </c>
    </row>
    <row r="486" spans="1:18" x14ac:dyDescent="0.25">
      <c r="A486" s="170">
        <v>43343</v>
      </c>
      <c r="B486" s="116">
        <v>1775</v>
      </c>
      <c r="C486" s="116">
        <v>1762.1</v>
      </c>
      <c r="D486" s="116">
        <v>1707.75</v>
      </c>
      <c r="E486" s="116">
        <v>1725</v>
      </c>
      <c r="F486" s="116">
        <v>1762.1</v>
      </c>
      <c r="G486">
        <v>14595</v>
      </c>
      <c r="H486" s="116"/>
      <c r="I486" s="116"/>
      <c r="L486" s="170">
        <v>43343</v>
      </c>
      <c r="M486" s="116">
        <v>1761.65</v>
      </c>
      <c r="N486" s="116">
        <v>1775</v>
      </c>
      <c r="O486" s="116">
        <v>1703</v>
      </c>
      <c r="P486" s="116">
        <v>1719</v>
      </c>
      <c r="Q486" s="116">
        <v>1761.65</v>
      </c>
      <c r="R486">
        <v>165569</v>
      </c>
    </row>
    <row r="487" spans="1:18" x14ac:dyDescent="0.25">
      <c r="A487" s="170">
        <v>43346</v>
      </c>
      <c r="B487" s="116">
        <v>1852.5</v>
      </c>
      <c r="C487" s="116">
        <v>1762</v>
      </c>
      <c r="D487" s="116">
        <v>1740</v>
      </c>
      <c r="E487" s="116">
        <v>1767</v>
      </c>
      <c r="F487" s="116">
        <v>1762</v>
      </c>
      <c r="G487">
        <v>32451</v>
      </c>
      <c r="H487" s="116"/>
      <c r="I487" s="116"/>
      <c r="L487" s="170">
        <v>43346</v>
      </c>
      <c r="M487" s="116">
        <v>1758.15</v>
      </c>
      <c r="N487" s="116">
        <v>1855</v>
      </c>
      <c r="O487" s="116">
        <v>1751.25</v>
      </c>
      <c r="P487" s="116">
        <v>1774</v>
      </c>
      <c r="Q487" s="116">
        <v>1758.15</v>
      </c>
      <c r="R487">
        <v>331277</v>
      </c>
    </row>
    <row r="488" spans="1:18" x14ac:dyDescent="0.25">
      <c r="A488" s="170">
        <v>43347</v>
      </c>
      <c r="B488" s="116">
        <v>1797.55</v>
      </c>
      <c r="C488" s="116">
        <v>1733.5</v>
      </c>
      <c r="D488" s="116">
        <v>1726</v>
      </c>
      <c r="E488" s="116">
        <v>1763</v>
      </c>
      <c r="F488" s="116">
        <v>1733.5</v>
      </c>
      <c r="G488">
        <v>21829</v>
      </c>
      <c r="H488" s="116"/>
      <c r="I488" s="116"/>
      <c r="L488" s="170">
        <v>43347</v>
      </c>
      <c r="M488" s="116">
        <v>1736.5</v>
      </c>
      <c r="N488" s="116">
        <v>1795</v>
      </c>
      <c r="O488" s="116">
        <v>1722.65</v>
      </c>
      <c r="P488" s="116">
        <v>1758</v>
      </c>
      <c r="Q488" s="116">
        <v>1736.5</v>
      </c>
      <c r="R488">
        <v>174272</v>
      </c>
    </row>
    <row r="489" spans="1:18" x14ac:dyDescent="0.25">
      <c r="A489" s="170">
        <v>43348</v>
      </c>
      <c r="B489" s="116">
        <v>1767.95</v>
      </c>
      <c r="C489" s="116">
        <v>1737</v>
      </c>
      <c r="D489" s="116">
        <v>1721.5</v>
      </c>
      <c r="E489" s="116">
        <v>1740</v>
      </c>
      <c r="F489" s="116">
        <v>1737</v>
      </c>
      <c r="G489">
        <v>10182</v>
      </c>
      <c r="H489" s="116"/>
      <c r="I489" s="116"/>
      <c r="L489" s="170">
        <v>43348</v>
      </c>
      <c r="M489" s="116">
        <v>1733.9</v>
      </c>
      <c r="N489" s="116">
        <v>1767.9</v>
      </c>
      <c r="O489" s="116">
        <v>1720</v>
      </c>
      <c r="P489" s="116">
        <v>1738.05</v>
      </c>
      <c r="Q489" s="116">
        <v>1733.9</v>
      </c>
      <c r="R489">
        <v>231556</v>
      </c>
    </row>
    <row r="490" spans="1:18" x14ac:dyDescent="0.25">
      <c r="A490" s="170">
        <v>43349</v>
      </c>
      <c r="B490" s="116">
        <v>1784</v>
      </c>
      <c r="C490" s="116">
        <v>1745.25</v>
      </c>
      <c r="D490" s="116">
        <v>1734.5</v>
      </c>
      <c r="E490" s="116">
        <v>1734.5</v>
      </c>
      <c r="F490" s="116">
        <v>1745.25</v>
      </c>
      <c r="G490">
        <v>8622</v>
      </c>
      <c r="H490" s="116"/>
      <c r="I490" s="116"/>
      <c r="L490" s="170">
        <v>43349</v>
      </c>
      <c r="M490" s="116">
        <v>1740.1</v>
      </c>
      <c r="N490" s="116">
        <v>1785.5</v>
      </c>
      <c r="O490" s="116">
        <v>1731.15</v>
      </c>
      <c r="P490" s="116">
        <v>1738.5</v>
      </c>
      <c r="Q490" s="116">
        <v>1740.1</v>
      </c>
      <c r="R490">
        <v>107230</v>
      </c>
    </row>
    <row r="491" spans="1:18" x14ac:dyDescent="0.25">
      <c r="A491" s="170">
        <v>43350</v>
      </c>
      <c r="B491" s="116">
        <v>1796.95</v>
      </c>
      <c r="C491" s="116">
        <v>1745.75</v>
      </c>
      <c r="D491" s="116">
        <v>1722.5</v>
      </c>
      <c r="E491" s="116">
        <v>1788</v>
      </c>
      <c r="F491" s="116">
        <v>1745.75</v>
      </c>
      <c r="G491">
        <v>17458</v>
      </c>
      <c r="H491" s="116"/>
      <c r="I491" s="116"/>
      <c r="L491" s="170">
        <v>43350</v>
      </c>
      <c r="M491" s="116">
        <v>1749.3</v>
      </c>
      <c r="N491" s="116">
        <v>1799</v>
      </c>
      <c r="O491" s="116">
        <v>1725.85</v>
      </c>
      <c r="P491" s="116">
        <v>1799</v>
      </c>
      <c r="Q491" s="116">
        <v>1749.3</v>
      </c>
      <c r="R491">
        <v>375695</v>
      </c>
    </row>
    <row r="492" spans="1:18" x14ac:dyDescent="0.25">
      <c r="A492" s="170">
        <v>43353</v>
      </c>
      <c r="B492" s="116">
        <v>1764.95</v>
      </c>
      <c r="C492" s="116">
        <v>1725.75</v>
      </c>
      <c r="D492" s="116">
        <v>1709.95</v>
      </c>
      <c r="E492" s="116">
        <v>1749.3</v>
      </c>
      <c r="F492" s="116">
        <v>1725.75</v>
      </c>
      <c r="G492">
        <v>9901</v>
      </c>
      <c r="H492" s="116"/>
      <c r="I492" s="116"/>
      <c r="L492" s="170">
        <v>43353</v>
      </c>
      <c r="M492" s="116">
        <v>1724.45</v>
      </c>
      <c r="N492" s="116">
        <v>1766.25</v>
      </c>
      <c r="O492" s="116">
        <v>1708.9</v>
      </c>
      <c r="P492" s="116">
        <v>1758</v>
      </c>
      <c r="Q492" s="116">
        <v>1724.45</v>
      </c>
      <c r="R492">
        <v>80253</v>
      </c>
    </row>
    <row r="493" spans="1:18" x14ac:dyDescent="0.25">
      <c r="A493" s="170">
        <v>43354</v>
      </c>
      <c r="B493" s="116">
        <v>1755.85</v>
      </c>
      <c r="C493" s="116">
        <v>1692.35</v>
      </c>
      <c r="D493" s="116">
        <v>1661.05</v>
      </c>
      <c r="E493" s="116">
        <v>1727</v>
      </c>
      <c r="F493" s="116">
        <v>1692.35</v>
      </c>
      <c r="G493">
        <v>14924</v>
      </c>
      <c r="H493" s="116"/>
      <c r="I493" s="116"/>
      <c r="L493" s="170">
        <v>43354</v>
      </c>
      <c r="M493" s="116">
        <v>1682.9</v>
      </c>
      <c r="N493" s="116">
        <v>1753.25</v>
      </c>
      <c r="O493" s="116">
        <v>1654.45</v>
      </c>
      <c r="P493" s="116">
        <v>1738.25</v>
      </c>
      <c r="Q493" s="116">
        <v>1682.9</v>
      </c>
      <c r="R493">
        <v>98958</v>
      </c>
    </row>
    <row r="494" spans="1:18" x14ac:dyDescent="0.25">
      <c r="A494" s="170">
        <v>43355</v>
      </c>
      <c r="B494" s="116">
        <v>1695</v>
      </c>
      <c r="C494" s="116">
        <v>1636.2</v>
      </c>
      <c r="D494" s="116">
        <v>1610</v>
      </c>
      <c r="E494" s="116">
        <v>1688.05</v>
      </c>
      <c r="F494" s="116">
        <v>1636.2</v>
      </c>
      <c r="G494">
        <v>13143</v>
      </c>
      <c r="H494" s="116"/>
      <c r="I494" s="116"/>
      <c r="L494" s="170">
        <v>43355</v>
      </c>
      <c r="M494" s="116">
        <v>1633</v>
      </c>
      <c r="N494" s="116">
        <v>1697</v>
      </c>
      <c r="O494" s="116">
        <v>1604.55</v>
      </c>
      <c r="P494" s="116">
        <v>1685.25</v>
      </c>
      <c r="Q494" s="116">
        <v>1633</v>
      </c>
      <c r="R494">
        <v>142875</v>
      </c>
    </row>
    <row r="495" spans="1:18" x14ac:dyDescent="0.25">
      <c r="A495" s="170">
        <v>43357</v>
      </c>
      <c r="B495" s="116">
        <v>1689.95</v>
      </c>
      <c r="C495" s="116">
        <v>1634.35</v>
      </c>
      <c r="D495" s="116">
        <v>1627</v>
      </c>
      <c r="E495" s="116">
        <v>1633</v>
      </c>
      <c r="F495" s="116">
        <v>1634.35</v>
      </c>
      <c r="G495">
        <v>7699</v>
      </c>
      <c r="H495" s="116"/>
      <c r="I495" s="116"/>
      <c r="L495" s="170">
        <v>43357</v>
      </c>
      <c r="M495" s="116">
        <v>1633.6</v>
      </c>
      <c r="N495" s="116">
        <v>1689.25</v>
      </c>
      <c r="O495" s="116">
        <v>1624</v>
      </c>
      <c r="P495" s="116">
        <v>1644.45</v>
      </c>
      <c r="Q495" s="116">
        <v>1633.6</v>
      </c>
      <c r="R495">
        <v>119950</v>
      </c>
    </row>
    <row r="496" spans="1:18" x14ac:dyDescent="0.25">
      <c r="A496" s="170">
        <v>43360</v>
      </c>
      <c r="B496" s="116">
        <v>1690.25</v>
      </c>
      <c r="C496" s="116">
        <v>1681.4</v>
      </c>
      <c r="D496" s="116">
        <v>1630.1</v>
      </c>
      <c r="E496" s="116">
        <v>1634.35</v>
      </c>
      <c r="F496" s="116">
        <v>1681.4</v>
      </c>
      <c r="G496">
        <v>18269</v>
      </c>
      <c r="H496" s="116"/>
      <c r="I496" s="116"/>
      <c r="L496" s="170">
        <v>43360</v>
      </c>
      <c r="M496" s="116">
        <v>1679.2</v>
      </c>
      <c r="N496" s="116">
        <v>1689</v>
      </c>
      <c r="O496" s="116">
        <v>1630</v>
      </c>
      <c r="P496" s="116">
        <v>1630</v>
      </c>
      <c r="Q496" s="116">
        <v>1679.2</v>
      </c>
      <c r="R496">
        <v>154814</v>
      </c>
    </row>
    <row r="497" spans="1:18" x14ac:dyDescent="0.25">
      <c r="A497" s="170">
        <v>43361</v>
      </c>
      <c r="B497" s="116">
        <v>1717</v>
      </c>
      <c r="C497" s="116">
        <v>1700.35</v>
      </c>
      <c r="D497" s="116">
        <v>1660</v>
      </c>
      <c r="E497" s="116">
        <v>1660</v>
      </c>
      <c r="F497" s="116">
        <v>1700.35</v>
      </c>
      <c r="G497">
        <v>11131</v>
      </c>
      <c r="H497" s="116"/>
      <c r="I497" s="116"/>
      <c r="L497" s="170">
        <v>43361</v>
      </c>
      <c r="M497" s="116">
        <v>1707</v>
      </c>
      <c r="N497" s="116">
        <v>1715.3</v>
      </c>
      <c r="O497" s="116">
        <v>1682.2</v>
      </c>
      <c r="P497" s="116">
        <v>1689.25</v>
      </c>
      <c r="Q497" s="116">
        <v>1707</v>
      </c>
      <c r="R497">
        <v>76135</v>
      </c>
    </row>
    <row r="498" spans="1:18" x14ac:dyDescent="0.25">
      <c r="A498" s="170">
        <v>43362</v>
      </c>
      <c r="B498" s="116">
        <v>1727</v>
      </c>
      <c r="C498" s="116">
        <v>1682.1</v>
      </c>
      <c r="D498" s="116">
        <v>1671</v>
      </c>
      <c r="E498" s="116">
        <v>1707</v>
      </c>
      <c r="F498" s="116">
        <v>1682.1</v>
      </c>
      <c r="G498">
        <v>10237</v>
      </c>
      <c r="H498" s="116"/>
      <c r="I498" s="116"/>
      <c r="L498" s="170">
        <v>43362</v>
      </c>
      <c r="M498" s="116">
        <v>1690.95</v>
      </c>
      <c r="N498" s="116">
        <v>1729</v>
      </c>
      <c r="O498" s="116">
        <v>1671.1</v>
      </c>
      <c r="P498" s="116">
        <v>1720</v>
      </c>
      <c r="Q498" s="116">
        <v>1690.95</v>
      </c>
      <c r="R498">
        <v>125409</v>
      </c>
    </row>
    <row r="499" spans="1:18" x14ac:dyDescent="0.25">
      <c r="A499" s="170">
        <v>43364</v>
      </c>
      <c r="B499" s="116">
        <v>1711.65</v>
      </c>
      <c r="C499" s="116">
        <v>1664.95</v>
      </c>
      <c r="D499" s="116">
        <v>1453.35</v>
      </c>
      <c r="E499" s="116">
        <v>1698</v>
      </c>
      <c r="F499" s="116">
        <v>1664.95</v>
      </c>
      <c r="G499">
        <v>16937</v>
      </c>
      <c r="H499" s="116"/>
      <c r="I499" s="116"/>
      <c r="L499" s="170">
        <v>43364</v>
      </c>
      <c r="M499" s="116">
        <v>1664.35</v>
      </c>
      <c r="N499" s="116">
        <v>1709</v>
      </c>
      <c r="O499" s="116">
        <v>1450</v>
      </c>
      <c r="P499" s="116">
        <v>1706.15</v>
      </c>
      <c r="Q499" s="116">
        <v>1664.35</v>
      </c>
      <c r="R499">
        <v>157143</v>
      </c>
    </row>
    <row r="500" spans="1:18" x14ac:dyDescent="0.25">
      <c r="A500" s="170">
        <v>43367</v>
      </c>
      <c r="B500" s="116">
        <v>1671</v>
      </c>
      <c r="C500" s="116">
        <v>1662.15</v>
      </c>
      <c r="D500" s="116">
        <v>1608.7</v>
      </c>
      <c r="E500" s="116">
        <v>1670</v>
      </c>
      <c r="F500" s="116">
        <v>1662.15</v>
      </c>
      <c r="G500">
        <v>11710</v>
      </c>
      <c r="H500" s="116"/>
      <c r="I500" s="116"/>
      <c r="L500" s="170">
        <v>43367</v>
      </c>
      <c r="M500" s="116">
        <v>1661.4</v>
      </c>
      <c r="N500" s="116">
        <v>1678</v>
      </c>
      <c r="O500" s="116">
        <v>1610.25</v>
      </c>
      <c r="P500" s="116">
        <v>1665</v>
      </c>
      <c r="Q500" s="116">
        <v>1661.4</v>
      </c>
      <c r="R500">
        <v>76139</v>
      </c>
    </row>
    <row r="501" spans="1:18" x14ac:dyDescent="0.25">
      <c r="A501" s="170">
        <v>43368</v>
      </c>
      <c r="B501" s="116">
        <v>1780</v>
      </c>
      <c r="C501" s="116">
        <v>1706.2</v>
      </c>
      <c r="D501" s="116">
        <v>1661.6</v>
      </c>
      <c r="E501" s="116">
        <v>1670</v>
      </c>
      <c r="F501" s="116">
        <v>1706.2</v>
      </c>
      <c r="G501">
        <v>24030</v>
      </c>
      <c r="H501" s="116"/>
      <c r="I501" s="116"/>
      <c r="L501" s="170">
        <v>43368</v>
      </c>
      <c r="M501" s="116">
        <v>1695.1</v>
      </c>
      <c r="N501" s="116">
        <v>1784</v>
      </c>
      <c r="O501" s="116">
        <v>1661.4</v>
      </c>
      <c r="P501" s="116">
        <v>1668</v>
      </c>
      <c r="Q501" s="116">
        <v>1695.1</v>
      </c>
      <c r="R501">
        <v>280534</v>
      </c>
    </row>
    <row r="502" spans="1:18" x14ac:dyDescent="0.25">
      <c r="A502" s="170">
        <v>43369</v>
      </c>
      <c r="B502" s="116">
        <v>1770</v>
      </c>
      <c r="C502" s="116">
        <v>1721.35</v>
      </c>
      <c r="D502" s="116">
        <v>1709</v>
      </c>
      <c r="E502" s="116">
        <v>1734</v>
      </c>
      <c r="F502" s="116">
        <v>1721.35</v>
      </c>
      <c r="G502">
        <v>9233</v>
      </c>
      <c r="H502" s="116"/>
      <c r="I502" s="116"/>
      <c r="L502" s="170">
        <v>43369</v>
      </c>
      <c r="M502" s="116">
        <v>1728</v>
      </c>
      <c r="N502" s="116">
        <v>1773</v>
      </c>
      <c r="O502" s="116">
        <v>1708.7</v>
      </c>
      <c r="P502" s="116">
        <v>1708.7</v>
      </c>
      <c r="Q502" s="116">
        <v>1728</v>
      </c>
      <c r="R502">
        <v>142492</v>
      </c>
    </row>
    <row r="503" spans="1:18" x14ac:dyDescent="0.25">
      <c r="A503" s="170">
        <v>43370</v>
      </c>
      <c r="B503" s="116">
        <v>1740.6</v>
      </c>
      <c r="C503" s="116">
        <v>1711.65</v>
      </c>
      <c r="D503" s="116">
        <v>1691</v>
      </c>
      <c r="E503" s="116">
        <v>1730</v>
      </c>
      <c r="F503" s="116">
        <v>1711.65</v>
      </c>
      <c r="G503">
        <v>6053</v>
      </c>
      <c r="H503" s="116"/>
      <c r="I503" s="116"/>
      <c r="L503" s="170">
        <v>43370</v>
      </c>
      <c r="M503" s="116">
        <v>1712.15</v>
      </c>
      <c r="N503" s="116">
        <v>1739.95</v>
      </c>
      <c r="O503" s="116">
        <v>1690</v>
      </c>
      <c r="P503" s="116">
        <v>1726</v>
      </c>
      <c r="Q503" s="116">
        <v>1712.15</v>
      </c>
      <c r="R503">
        <v>74972</v>
      </c>
    </row>
    <row r="504" spans="1:18" x14ac:dyDescent="0.25">
      <c r="A504" s="170">
        <v>43371</v>
      </c>
      <c r="B504" s="116">
        <v>1755.65</v>
      </c>
      <c r="C504" s="116">
        <v>1722.65</v>
      </c>
      <c r="D504" s="116">
        <v>1642</v>
      </c>
      <c r="E504" s="116">
        <v>1727</v>
      </c>
      <c r="F504" s="116">
        <v>1722.65</v>
      </c>
      <c r="G504">
        <v>22011</v>
      </c>
      <c r="H504" s="116"/>
      <c r="I504" s="116"/>
      <c r="L504" s="170">
        <v>43371</v>
      </c>
      <c r="M504" s="116">
        <v>1736.25</v>
      </c>
      <c r="N504" s="116">
        <v>1759</v>
      </c>
      <c r="O504" s="116">
        <v>1643</v>
      </c>
      <c r="P504" s="116">
        <v>1712</v>
      </c>
      <c r="Q504" s="116">
        <v>1736.25</v>
      </c>
      <c r="R504">
        <v>192226</v>
      </c>
    </row>
    <row r="505" spans="1:18" x14ac:dyDescent="0.25">
      <c r="A505" s="170">
        <v>43374</v>
      </c>
      <c r="B505" s="116">
        <v>1750</v>
      </c>
      <c r="C505" s="116">
        <v>1723.55</v>
      </c>
      <c r="D505" s="116">
        <v>1704.8</v>
      </c>
      <c r="E505" s="116">
        <v>1725</v>
      </c>
      <c r="F505" s="116">
        <v>1723.55</v>
      </c>
      <c r="G505">
        <v>5400</v>
      </c>
      <c r="H505" s="116"/>
      <c r="I505" s="116"/>
      <c r="L505" s="170">
        <v>43374</v>
      </c>
      <c r="M505" s="116">
        <v>1723.2</v>
      </c>
      <c r="N505" s="116">
        <v>1754.2</v>
      </c>
      <c r="O505" s="116">
        <v>1690</v>
      </c>
      <c r="P505" s="116">
        <v>1690</v>
      </c>
      <c r="Q505" s="116">
        <v>1723.2</v>
      </c>
      <c r="R505">
        <v>85908</v>
      </c>
    </row>
    <row r="506" spans="1:18" x14ac:dyDescent="0.25">
      <c r="A506" s="170">
        <v>43376</v>
      </c>
      <c r="B506" s="116">
        <v>1773</v>
      </c>
      <c r="C506" s="116">
        <v>1729.15</v>
      </c>
      <c r="D506" s="116">
        <v>1715</v>
      </c>
      <c r="E506" s="116">
        <v>1715</v>
      </c>
      <c r="F506" s="116">
        <v>1729.15</v>
      </c>
      <c r="G506">
        <v>7272</v>
      </c>
      <c r="H506" s="116"/>
      <c r="I506" s="116"/>
      <c r="L506" s="170">
        <v>43376</v>
      </c>
      <c r="M506" s="116">
        <v>1726.1</v>
      </c>
      <c r="N506" s="116">
        <v>1775</v>
      </c>
      <c r="O506" s="116">
        <v>1715.15</v>
      </c>
      <c r="P506" s="116">
        <v>1720</v>
      </c>
      <c r="Q506" s="116">
        <v>1726.1</v>
      </c>
      <c r="R506">
        <v>110928</v>
      </c>
    </row>
    <row r="507" spans="1:18" x14ac:dyDescent="0.25">
      <c r="A507" s="170">
        <v>43377</v>
      </c>
      <c r="B507" s="116">
        <v>1725</v>
      </c>
      <c r="C507" s="116">
        <v>1654.05</v>
      </c>
      <c r="D507" s="116">
        <v>1641</v>
      </c>
      <c r="E507" s="116">
        <v>1717</v>
      </c>
      <c r="F507" s="116">
        <v>1654.05</v>
      </c>
      <c r="G507">
        <v>7989</v>
      </c>
      <c r="H507" s="116"/>
      <c r="I507" s="116"/>
      <c r="L507" s="170">
        <v>43377</v>
      </c>
      <c r="M507" s="116">
        <v>1650.8</v>
      </c>
      <c r="N507" s="116">
        <v>1730</v>
      </c>
      <c r="O507" s="116">
        <v>1638.05</v>
      </c>
      <c r="P507" s="116">
        <v>1720</v>
      </c>
      <c r="Q507" s="116">
        <v>1650.8</v>
      </c>
      <c r="R507">
        <v>81212</v>
      </c>
    </row>
    <row r="508" spans="1:18" x14ac:dyDescent="0.25">
      <c r="A508" s="170">
        <v>43378</v>
      </c>
      <c r="B508" s="116">
        <v>1654</v>
      </c>
      <c r="C508" s="116">
        <v>1552.7</v>
      </c>
      <c r="D508" s="116">
        <v>1532.6</v>
      </c>
      <c r="E508" s="116">
        <v>1654</v>
      </c>
      <c r="F508" s="116">
        <v>1552.7</v>
      </c>
      <c r="G508">
        <v>9298</v>
      </c>
      <c r="H508" s="116"/>
      <c r="I508" s="116"/>
      <c r="L508" s="170">
        <v>43378</v>
      </c>
      <c r="M508" s="116">
        <v>1550.65</v>
      </c>
      <c r="N508" s="116">
        <v>1644.9</v>
      </c>
      <c r="O508" s="116">
        <v>1510</v>
      </c>
      <c r="P508" s="116">
        <v>1640</v>
      </c>
      <c r="Q508" s="116">
        <v>1550.65</v>
      </c>
      <c r="R508">
        <v>97597</v>
      </c>
    </row>
    <row r="509" spans="1:18" x14ac:dyDescent="0.25">
      <c r="A509" s="170">
        <v>43381</v>
      </c>
      <c r="B509" s="116">
        <v>1581.55</v>
      </c>
      <c r="C509" s="116">
        <v>1514.35</v>
      </c>
      <c r="D509" s="116">
        <v>1491.05</v>
      </c>
      <c r="E509" s="116">
        <v>1550</v>
      </c>
      <c r="F509" s="116">
        <v>1514.35</v>
      </c>
      <c r="G509">
        <v>9109</v>
      </c>
      <c r="H509" s="116"/>
      <c r="I509" s="116"/>
      <c r="L509" s="170">
        <v>43381</v>
      </c>
      <c r="M509" s="116">
        <v>1510.3</v>
      </c>
      <c r="N509" s="116">
        <v>1585</v>
      </c>
      <c r="O509" s="116">
        <v>1486.1</v>
      </c>
      <c r="P509" s="116">
        <v>1522.25</v>
      </c>
      <c r="Q509" s="116">
        <v>1510.3</v>
      </c>
      <c r="R509">
        <v>107791</v>
      </c>
    </row>
    <row r="510" spans="1:18" x14ac:dyDescent="0.25">
      <c r="A510" s="170">
        <v>43382</v>
      </c>
      <c r="B510" s="116">
        <v>1543.7</v>
      </c>
      <c r="C510" s="116">
        <v>1471.65</v>
      </c>
      <c r="D510" s="116">
        <v>1460.8</v>
      </c>
      <c r="E510" s="116">
        <v>1522</v>
      </c>
      <c r="F510" s="116">
        <v>1471.65</v>
      </c>
      <c r="G510">
        <v>6566</v>
      </c>
      <c r="H510" s="116"/>
      <c r="I510" s="116"/>
      <c r="L510" s="170">
        <v>43382</v>
      </c>
      <c r="M510" s="116">
        <v>1470.3</v>
      </c>
      <c r="N510" s="116">
        <v>1547.85</v>
      </c>
      <c r="O510" s="116">
        <v>1451.65</v>
      </c>
      <c r="P510" s="116">
        <v>1520</v>
      </c>
      <c r="Q510" s="116">
        <v>1470.3</v>
      </c>
      <c r="R510">
        <v>78855</v>
      </c>
    </row>
    <row r="511" spans="1:18" x14ac:dyDescent="0.25">
      <c r="A511" s="170">
        <v>43383</v>
      </c>
      <c r="B511" s="116">
        <v>1510</v>
      </c>
      <c r="C511" s="116">
        <v>1450.9</v>
      </c>
      <c r="D511" s="116">
        <v>1436</v>
      </c>
      <c r="E511" s="116">
        <v>1474.85</v>
      </c>
      <c r="F511" s="116">
        <v>1450.9</v>
      </c>
      <c r="G511">
        <v>14994</v>
      </c>
      <c r="H511" s="116"/>
      <c r="I511" s="116"/>
      <c r="L511" s="170">
        <v>43383</v>
      </c>
      <c r="M511" s="116">
        <v>1445</v>
      </c>
      <c r="N511" s="116">
        <v>1515.2</v>
      </c>
      <c r="O511" s="116">
        <v>1432.1</v>
      </c>
      <c r="P511" s="116">
        <v>1483.9</v>
      </c>
      <c r="Q511" s="116">
        <v>1445</v>
      </c>
      <c r="R511">
        <v>216485</v>
      </c>
    </row>
    <row r="512" spans="1:18" x14ac:dyDescent="0.25">
      <c r="A512" s="170">
        <v>43384</v>
      </c>
      <c r="B512" s="116">
        <v>1434</v>
      </c>
      <c r="C512" s="116">
        <v>1374.8</v>
      </c>
      <c r="D512" s="116">
        <v>1370.5</v>
      </c>
      <c r="E512" s="116">
        <v>1434</v>
      </c>
      <c r="F512" s="116">
        <v>1374.8</v>
      </c>
      <c r="G512">
        <v>8584</v>
      </c>
      <c r="H512" s="116"/>
      <c r="I512" s="116"/>
      <c r="L512" s="170">
        <v>43384</v>
      </c>
      <c r="M512" s="116">
        <v>1375.95</v>
      </c>
      <c r="N512" s="116">
        <v>1420</v>
      </c>
      <c r="O512" s="116">
        <v>1366.45</v>
      </c>
      <c r="P512" s="116">
        <v>1420</v>
      </c>
      <c r="Q512" s="116">
        <v>1375.95</v>
      </c>
      <c r="R512">
        <v>115540</v>
      </c>
    </row>
    <row r="513" spans="1:18" x14ac:dyDescent="0.25">
      <c r="A513" s="170">
        <v>43385</v>
      </c>
      <c r="B513" s="116">
        <v>1499</v>
      </c>
      <c r="C513" s="116">
        <v>1474.8</v>
      </c>
      <c r="D513" s="116">
        <v>1386</v>
      </c>
      <c r="E513" s="116">
        <v>1400</v>
      </c>
      <c r="F513" s="116">
        <v>1474.8</v>
      </c>
      <c r="G513">
        <v>18758</v>
      </c>
      <c r="H513" s="116"/>
      <c r="I513" s="116"/>
      <c r="L513" s="170">
        <v>43385</v>
      </c>
      <c r="M513" s="116">
        <v>1479</v>
      </c>
      <c r="N513" s="116">
        <v>1496.3</v>
      </c>
      <c r="O513" s="116">
        <v>1385</v>
      </c>
      <c r="P513" s="116">
        <v>1385</v>
      </c>
      <c r="Q513" s="116">
        <v>1479</v>
      </c>
      <c r="R513">
        <v>281526</v>
      </c>
    </row>
    <row r="514" spans="1:18" x14ac:dyDescent="0.25">
      <c r="A514" s="170">
        <v>43388</v>
      </c>
      <c r="B514" s="116">
        <v>1635.15</v>
      </c>
      <c r="C514" s="116">
        <v>1615</v>
      </c>
      <c r="D514" s="116">
        <v>1480</v>
      </c>
      <c r="E514" s="116">
        <v>1480</v>
      </c>
      <c r="F514" s="116">
        <v>1615</v>
      </c>
      <c r="G514">
        <v>38207</v>
      </c>
      <c r="H514" s="116"/>
      <c r="I514" s="116"/>
      <c r="L514" s="170">
        <v>43388</v>
      </c>
      <c r="M514" s="116">
        <v>1618</v>
      </c>
      <c r="N514" s="116">
        <v>1639</v>
      </c>
      <c r="O514" s="116">
        <v>1497</v>
      </c>
      <c r="P514" s="116">
        <v>1497</v>
      </c>
      <c r="Q514" s="116">
        <v>1618</v>
      </c>
      <c r="R514">
        <v>327834</v>
      </c>
    </row>
    <row r="515" spans="1:18" x14ac:dyDescent="0.25">
      <c r="A515" s="170">
        <v>43389</v>
      </c>
      <c r="B515" s="116">
        <v>1669.9</v>
      </c>
      <c r="C515" s="116">
        <v>1652.55</v>
      </c>
      <c r="D515" s="116">
        <v>1614.15</v>
      </c>
      <c r="E515" s="116">
        <v>1669.9</v>
      </c>
      <c r="F515" s="116">
        <v>1652.55</v>
      </c>
      <c r="G515">
        <v>12804</v>
      </c>
      <c r="H515" s="116"/>
      <c r="I515" s="116"/>
      <c r="L515" s="170">
        <v>43389</v>
      </c>
      <c r="M515" s="116">
        <v>1650.1</v>
      </c>
      <c r="N515" s="116">
        <v>1659.3</v>
      </c>
      <c r="O515" s="116">
        <v>1621.1</v>
      </c>
      <c r="P515" s="116">
        <v>1632.95</v>
      </c>
      <c r="Q515" s="116">
        <v>1650.1</v>
      </c>
      <c r="R515">
        <v>127302</v>
      </c>
    </row>
    <row r="516" spans="1:18" x14ac:dyDescent="0.25">
      <c r="A516" s="170">
        <v>43390</v>
      </c>
      <c r="B516" s="116">
        <v>1674.95</v>
      </c>
      <c r="C516" s="116">
        <v>1548.7</v>
      </c>
      <c r="D516" s="116">
        <v>1540</v>
      </c>
      <c r="E516" s="116">
        <v>1674.95</v>
      </c>
      <c r="F516" s="116">
        <v>1548.7</v>
      </c>
      <c r="G516">
        <v>40316</v>
      </c>
      <c r="H516" s="116"/>
      <c r="I516" s="116"/>
      <c r="L516" s="170">
        <v>43390</v>
      </c>
      <c r="M516" s="116">
        <v>1550</v>
      </c>
      <c r="N516" s="116">
        <v>1659.5</v>
      </c>
      <c r="O516" s="116">
        <v>1540</v>
      </c>
      <c r="P516" s="116">
        <v>1659.5</v>
      </c>
      <c r="Q516" s="116">
        <v>1550</v>
      </c>
      <c r="R516">
        <v>160408</v>
      </c>
    </row>
    <row r="517" spans="1:18" x14ac:dyDescent="0.25">
      <c r="A517" s="170">
        <v>43392</v>
      </c>
      <c r="B517" s="116">
        <v>1590</v>
      </c>
      <c r="C517" s="116">
        <v>1560.45</v>
      </c>
      <c r="D517" s="116">
        <v>1520.05</v>
      </c>
      <c r="E517" s="116">
        <v>1555</v>
      </c>
      <c r="F517" s="116">
        <v>1560.45</v>
      </c>
      <c r="G517">
        <v>7344</v>
      </c>
      <c r="H517" s="116"/>
      <c r="I517" s="116"/>
      <c r="L517" s="170">
        <v>43392</v>
      </c>
      <c r="M517" s="116">
        <v>1560.8</v>
      </c>
      <c r="N517" s="116">
        <v>1590</v>
      </c>
      <c r="O517" s="116">
        <v>1513.35</v>
      </c>
      <c r="P517" s="116">
        <v>1550</v>
      </c>
      <c r="Q517" s="116">
        <v>1560.8</v>
      </c>
      <c r="R517">
        <v>108509</v>
      </c>
    </row>
    <row r="518" spans="1:18" x14ac:dyDescent="0.25">
      <c r="A518" s="170">
        <v>43395</v>
      </c>
      <c r="B518" s="116">
        <v>1576.5</v>
      </c>
      <c r="C518" s="116">
        <v>1489.15</v>
      </c>
      <c r="D518" s="116">
        <v>1476</v>
      </c>
      <c r="E518" s="116">
        <v>1570</v>
      </c>
      <c r="F518" s="116">
        <v>1489.15</v>
      </c>
      <c r="G518">
        <v>5631</v>
      </c>
      <c r="H518" s="116"/>
      <c r="I518" s="116"/>
      <c r="L518" s="170">
        <v>43395</v>
      </c>
      <c r="M518" s="116">
        <v>1496.3</v>
      </c>
      <c r="N518" s="116">
        <v>1579.85</v>
      </c>
      <c r="O518" s="116">
        <v>1480.3</v>
      </c>
      <c r="P518" s="116">
        <v>1579.85</v>
      </c>
      <c r="Q518" s="116">
        <v>1496.3</v>
      </c>
      <c r="R518">
        <v>106523</v>
      </c>
    </row>
    <row r="519" spans="1:18" x14ac:dyDescent="0.25">
      <c r="A519" s="170">
        <v>43396</v>
      </c>
      <c r="B519" s="116">
        <v>1517.2</v>
      </c>
      <c r="C519" s="116">
        <v>1498.2</v>
      </c>
      <c r="D519" s="116">
        <v>1400</v>
      </c>
      <c r="E519" s="116">
        <v>1495</v>
      </c>
      <c r="F519" s="116">
        <v>1498.2</v>
      </c>
      <c r="G519">
        <v>41828</v>
      </c>
      <c r="H519" s="116"/>
      <c r="I519" s="116"/>
      <c r="L519" s="170">
        <v>43396</v>
      </c>
      <c r="M519" s="116">
        <v>1496.9</v>
      </c>
      <c r="N519" s="116">
        <v>1518.9</v>
      </c>
      <c r="O519" s="116">
        <v>1471.95</v>
      </c>
      <c r="P519" s="116">
        <v>1487</v>
      </c>
      <c r="Q519" s="116">
        <v>1496.9</v>
      </c>
      <c r="R519">
        <v>81103</v>
      </c>
    </row>
    <row r="520" spans="1:18" x14ac:dyDescent="0.25">
      <c r="A520" s="170">
        <v>43397</v>
      </c>
      <c r="B520" s="116">
        <v>1504.8</v>
      </c>
      <c r="C520" s="116">
        <v>1438.9</v>
      </c>
      <c r="D520" s="116">
        <v>1425</v>
      </c>
      <c r="E520" s="116">
        <v>1499.55</v>
      </c>
      <c r="F520" s="116">
        <v>1438.9</v>
      </c>
      <c r="G520">
        <v>6623</v>
      </c>
      <c r="H520" s="116"/>
      <c r="I520" s="116"/>
      <c r="L520" s="170">
        <v>43397</v>
      </c>
      <c r="M520" s="116">
        <v>1437.75</v>
      </c>
      <c r="N520" s="116">
        <v>1512</v>
      </c>
      <c r="O520" s="116">
        <v>1420</v>
      </c>
      <c r="P520" s="116">
        <v>1502</v>
      </c>
      <c r="Q520" s="116">
        <v>1437.75</v>
      </c>
      <c r="R520">
        <v>119317</v>
      </c>
    </row>
    <row r="521" spans="1:18" x14ac:dyDescent="0.25">
      <c r="A521" s="170">
        <v>43398</v>
      </c>
      <c r="B521" s="116">
        <v>1495.2</v>
      </c>
      <c r="C521" s="116">
        <v>1459.6</v>
      </c>
      <c r="D521" s="116">
        <v>1434.25</v>
      </c>
      <c r="E521" s="116">
        <v>1457.8</v>
      </c>
      <c r="F521" s="116">
        <v>1459.6</v>
      </c>
      <c r="G521">
        <v>8809</v>
      </c>
      <c r="H521" s="116"/>
      <c r="I521" s="116"/>
      <c r="L521" s="170">
        <v>43398</v>
      </c>
      <c r="M521" s="116">
        <v>1454.75</v>
      </c>
      <c r="N521" s="116">
        <v>1494.7</v>
      </c>
      <c r="O521" s="116">
        <v>1425</v>
      </c>
      <c r="P521" s="116">
        <v>1445</v>
      </c>
      <c r="Q521" s="116">
        <v>1454.75</v>
      </c>
      <c r="R521">
        <v>116793</v>
      </c>
    </row>
    <row r="522" spans="1:18" x14ac:dyDescent="0.25">
      <c r="A522" s="170">
        <v>43399</v>
      </c>
      <c r="B522" s="116">
        <v>1588</v>
      </c>
      <c r="C522" s="116">
        <v>1559.4</v>
      </c>
      <c r="D522" s="116">
        <v>1497</v>
      </c>
      <c r="E522" s="116">
        <v>1510</v>
      </c>
      <c r="F522" s="116">
        <v>1559.4</v>
      </c>
      <c r="G522">
        <v>24584</v>
      </c>
      <c r="H522" s="116"/>
      <c r="I522" s="116"/>
      <c r="L522" s="170">
        <v>43399</v>
      </c>
      <c r="M522" s="116">
        <v>1559.95</v>
      </c>
      <c r="N522" s="116">
        <v>1587.6</v>
      </c>
      <c r="O522" s="116">
        <v>1496</v>
      </c>
      <c r="P522" s="116">
        <v>1525</v>
      </c>
      <c r="Q522" s="116">
        <v>1559.95</v>
      </c>
      <c r="R522">
        <v>306731</v>
      </c>
    </row>
    <row r="523" spans="1:18" x14ac:dyDescent="0.25">
      <c r="A523" s="170">
        <v>43402</v>
      </c>
      <c r="B523" s="116">
        <v>1728.8</v>
      </c>
      <c r="C523" s="116">
        <v>1669.2</v>
      </c>
      <c r="D523" s="116">
        <v>1560</v>
      </c>
      <c r="E523" s="116">
        <v>1577.75</v>
      </c>
      <c r="F523" s="116">
        <v>1669.2</v>
      </c>
      <c r="G523">
        <v>31500</v>
      </c>
      <c r="H523" s="116"/>
      <c r="I523" s="116"/>
      <c r="L523" s="170">
        <v>43402</v>
      </c>
      <c r="M523" s="116">
        <v>1663.45</v>
      </c>
      <c r="N523" s="116">
        <v>1728.9</v>
      </c>
      <c r="O523" s="116">
        <v>1575.15</v>
      </c>
      <c r="P523" s="116">
        <v>1588</v>
      </c>
      <c r="Q523" s="116">
        <v>1663.45</v>
      </c>
      <c r="R523">
        <v>337343</v>
      </c>
    </row>
    <row r="524" spans="1:18" x14ac:dyDescent="0.25">
      <c r="A524" s="170">
        <v>43403</v>
      </c>
      <c r="B524" s="116">
        <v>1714</v>
      </c>
      <c r="C524" s="116">
        <v>1678.2</v>
      </c>
      <c r="D524" s="116">
        <v>1657.55</v>
      </c>
      <c r="E524" s="116">
        <v>1667.9</v>
      </c>
      <c r="F524" s="116">
        <v>1678.2</v>
      </c>
      <c r="G524">
        <v>9486</v>
      </c>
      <c r="H524" s="116"/>
      <c r="I524" s="116"/>
      <c r="L524" s="170">
        <v>43403</v>
      </c>
      <c r="M524" s="116">
        <v>1675.45</v>
      </c>
      <c r="N524" s="116">
        <v>1715</v>
      </c>
      <c r="O524" s="116">
        <v>1656.95</v>
      </c>
      <c r="P524" s="116">
        <v>1657</v>
      </c>
      <c r="Q524" s="116">
        <v>1675.45</v>
      </c>
      <c r="R524">
        <v>133793</v>
      </c>
    </row>
    <row r="525" spans="1:18" x14ac:dyDescent="0.25">
      <c r="A525" s="170">
        <v>43404</v>
      </c>
      <c r="B525" s="116">
        <v>1727.9</v>
      </c>
      <c r="C525" s="116">
        <v>1702.6</v>
      </c>
      <c r="D525" s="116">
        <v>1678</v>
      </c>
      <c r="E525" s="116">
        <v>1678</v>
      </c>
      <c r="F525" s="116">
        <v>1702.6</v>
      </c>
      <c r="G525">
        <v>13865</v>
      </c>
      <c r="H525" s="116"/>
      <c r="I525" s="116"/>
      <c r="L525" s="170">
        <v>43404</v>
      </c>
      <c r="M525" s="116">
        <v>1700.8</v>
      </c>
      <c r="N525" s="116">
        <v>1728.9</v>
      </c>
      <c r="O525" s="116">
        <v>1688.2</v>
      </c>
      <c r="P525" s="116">
        <v>1688.9</v>
      </c>
      <c r="Q525" s="116">
        <v>1700.8</v>
      </c>
      <c r="R525">
        <v>130212</v>
      </c>
    </row>
    <row r="526" spans="1:18" x14ac:dyDescent="0.25">
      <c r="A526" s="170">
        <v>43405</v>
      </c>
      <c r="B526" s="116">
        <v>1768</v>
      </c>
      <c r="C526" s="116">
        <v>1750.9</v>
      </c>
      <c r="D526" s="116">
        <v>1710</v>
      </c>
      <c r="E526" s="116">
        <v>1710</v>
      </c>
      <c r="F526" s="116">
        <v>1750.9</v>
      </c>
      <c r="G526">
        <v>9868</v>
      </c>
      <c r="H526" s="116"/>
      <c r="I526" s="116"/>
      <c r="L526" s="170">
        <v>43405</v>
      </c>
      <c r="M526" s="116">
        <v>1748.55</v>
      </c>
      <c r="N526" s="116">
        <v>1765.65</v>
      </c>
      <c r="O526" s="116">
        <v>1719</v>
      </c>
      <c r="P526" s="116">
        <v>1719</v>
      </c>
      <c r="Q526" s="116">
        <v>1748.55</v>
      </c>
      <c r="R526">
        <v>147228</v>
      </c>
    </row>
    <row r="527" spans="1:18" x14ac:dyDescent="0.25">
      <c r="A527" s="170">
        <v>43406</v>
      </c>
      <c r="B527" s="116">
        <v>1769</v>
      </c>
      <c r="C527" s="116">
        <v>1674.55</v>
      </c>
      <c r="D527" s="116">
        <v>1665.3</v>
      </c>
      <c r="E527" s="116">
        <v>1757</v>
      </c>
      <c r="F527" s="116">
        <v>1674.55</v>
      </c>
      <c r="G527">
        <v>10748</v>
      </c>
      <c r="H527" s="116"/>
      <c r="I527" s="116"/>
      <c r="L527" s="170">
        <v>43406</v>
      </c>
      <c r="M527" s="116">
        <v>1673.2</v>
      </c>
      <c r="N527" s="116">
        <v>1769</v>
      </c>
      <c r="O527" s="116">
        <v>1660</v>
      </c>
      <c r="P527" s="116">
        <v>1759.95</v>
      </c>
      <c r="Q527" s="116">
        <v>1673.2</v>
      </c>
      <c r="R527">
        <v>101167</v>
      </c>
    </row>
    <row r="528" spans="1:18" x14ac:dyDescent="0.25">
      <c r="A528" s="170">
        <v>43409</v>
      </c>
      <c r="B528" s="116">
        <v>1699.95</v>
      </c>
      <c r="C528" s="116">
        <v>1659.1</v>
      </c>
      <c r="D528" s="116">
        <v>1647.15</v>
      </c>
      <c r="E528" s="116">
        <v>1689</v>
      </c>
      <c r="F528" s="116">
        <v>1659.1</v>
      </c>
      <c r="G528">
        <v>9201</v>
      </c>
      <c r="H528" s="116"/>
      <c r="I528" s="116"/>
      <c r="L528" s="170">
        <v>43409</v>
      </c>
      <c r="M528" s="116">
        <v>1664.9</v>
      </c>
      <c r="N528" s="116">
        <v>1698.9</v>
      </c>
      <c r="O528" s="116">
        <v>1656.25</v>
      </c>
      <c r="P528" s="116">
        <v>1684.95</v>
      </c>
      <c r="Q528" s="116">
        <v>1664.9</v>
      </c>
      <c r="R528">
        <v>64154</v>
      </c>
    </row>
    <row r="529" spans="1:18" x14ac:dyDescent="0.25">
      <c r="A529" s="170">
        <v>43410</v>
      </c>
      <c r="B529" s="116">
        <v>1677.35</v>
      </c>
      <c r="C529" s="116">
        <v>1661.65</v>
      </c>
      <c r="D529" s="116">
        <v>1656.25</v>
      </c>
      <c r="E529" s="116">
        <v>1677</v>
      </c>
      <c r="F529" s="116">
        <v>1661.65</v>
      </c>
      <c r="G529">
        <v>2459</v>
      </c>
      <c r="H529" s="116"/>
      <c r="I529" s="116"/>
      <c r="L529" s="170">
        <v>43410</v>
      </c>
      <c r="M529" s="116">
        <v>1661.55</v>
      </c>
      <c r="N529" s="116">
        <v>1679.9</v>
      </c>
      <c r="O529" s="116">
        <v>1653</v>
      </c>
      <c r="P529" s="116">
        <v>1679.9</v>
      </c>
      <c r="Q529" s="116">
        <v>1661.55</v>
      </c>
      <c r="R529">
        <v>33971</v>
      </c>
    </row>
    <row r="530" spans="1:18" x14ac:dyDescent="0.25">
      <c r="A530" s="170">
        <v>43411</v>
      </c>
      <c r="B530" s="116">
        <v>1698.9</v>
      </c>
      <c r="C530" s="116">
        <v>1692.6</v>
      </c>
      <c r="D530" s="116">
        <v>1673.55</v>
      </c>
      <c r="E530" s="116">
        <v>1698.9</v>
      </c>
      <c r="F530" s="116">
        <v>1692.6</v>
      </c>
      <c r="G530">
        <v>2146</v>
      </c>
      <c r="H530" s="116"/>
      <c r="I530" s="116"/>
      <c r="L530" s="170">
        <v>43411</v>
      </c>
      <c r="M530" s="116">
        <v>1690.4</v>
      </c>
      <c r="N530" s="116">
        <v>1700</v>
      </c>
      <c r="O530" s="116">
        <v>1670.05</v>
      </c>
      <c r="P530" s="116">
        <v>1685</v>
      </c>
      <c r="Q530" s="116">
        <v>1690.4</v>
      </c>
      <c r="R530">
        <v>10046</v>
      </c>
    </row>
    <row r="531" spans="1:18" x14ac:dyDescent="0.25">
      <c r="A531" s="170">
        <v>43413</v>
      </c>
      <c r="B531" s="116">
        <v>1700</v>
      </c>
      <c r="C531" s="116">
        <v>1665.6</v>
      </c>
      <c r="D531" s="116">
        <v>1660</v>
      </c>
      <c r="E531" s="116">
        <v>1699</v>
      </c>
      <c r="F531" s="116">
        <v>1665.6</v>
      </c>
      <c r="G531">
        <v>4985</v>
      </c>
      <c r="H531" s="116"/>
      <c r="I531" s="116"/>
      <c r="L531" s="170">
        <v>43413</v>
      </c>
      <c r="M531" s="116">
        <v>1664.35</v>
      </c>
      <c r="N531" s="116">
        <v>1705</v>
      </c>
      <c r="O531" s="116">
        <v>1659.3</v>
      </c>
      <c r="P531" s="116">
        <v>1701</v>
      </c>
      <c r="Q531" s="116">
        <v>1664.35</v>
      </c>
      <c r="R531">
        <v>83071</v>
      </c>
    </row>
    <row r="532" spans="1:18" x14ac:dyDescent="0.25">
      <c r="A532" s="170">
        <v>43416</v>
      </c>
      <c r="B532" s="116">
        <v>1685</v>
      </c>
      <c r="C532" s="116">
        <v>1658.8</v>
      </c>
      <c r="D532" s="116">
        <v>1650.05</v>
      </c>
      <c r="E532" s="116">
        <v>1680</v>
      </c>
      <c r="F532" s="116">
        <v>1658.8</v>
      </c>
      <c r="G532">
        <v>5089</v>
      </c>
      <c r="H532" s="116"/>
      <c r="I532" s="116"/>
      <c r="L532" s="170">
        <v>43416</v>
      </c>
      <c r="M532" s="116">
        <v>1658.65</v>
      </c>
      <c r="N532" s="116">
        <v>1684.65</v>
      </c>
      <c r="O532" s="116">
        <v>1648.25</v>
      </c>
      <c r="P532" s="116">
        <v>1670.25</v>
      </c>
      <c r="Q532" s="116">
        <v>1658.65</v>
      </c>
      <c r="R532">
        <v>109899</v>
      </c>
    </row>
    <row r="533" spans="1:18" x14ac:dyDescent="0.25">
      <c r="A533" s="170">
        <v>43417</v>
      </c>
      <c r="B533" s="116">
        <v>1663.5</v>
      </c>
      <c r="C533" s="116">
        <v>1604.6</v>
      </c>
      <c r="D533" s="116">
        <v>1600</v>
      </c>
      <c r="E533" s="116">
        <v>1650</v>
      </c>
      <c r="F533" s="116">
        <v>1604.6</v>
      </c>
      <c r="G533">
        <v>4613</v>
      </c>
      <c r="H533" s="116"/>
      <c r="I533" s="116"/>
      <c r="L533" s="170">
        <v>43417</v>
      </c>
      <c r="M533" s="116">
        <v>1606.7</v>
      </c>
      <c r="N533" s="116">
        <v>1666</v>
      </c>
      <c r="O533" s="116">
        <v>1600.9</v>
      </c>
      <c r="P533" s="116">
        <v>1655</v>
      </c>
      <c r="Q533" s="116">
        <v>1606.7</v>
      </c>
      <c r="R533">
        <v>49939</v>
      </c>
    </row>
    <row r="534" spans="1:18" x14ac:dyDescent="0.25">
      <c r="A534" s="170">
        <v>43418</v>
      </c>
      <c r="B534" s="116">
        <v>1616.6</v>
      </c>
      <c r="C534" s="116">
        <v>1567.7</v>
      </c>
      <c r="D534" s="116">
        <v>1560</v>
      </c>
      <c r="E534" s="116">
        <v>1601.45</v>
      </c>
      <c r="F534" s="116">
        <v>1567.7</v>
      </c>
      <c r="G534">
        <v>5263</v>
      </c>
      <c r="H534" s="116"/>
      <c r="I534" s="116"/>
      <c r="L534" s="170">
        <v>43418</v>
      </c>
      <c r="M534" s="116">
        <v>1564.75</v>
      </c>
      <c r="N534" s="116">
        <v>1615.9</v>
      </c>
      <c r="O534" s="116">
        <v>1551</v>
      </c>
      <c r="P534" s="116">
        <v>1606</v>
      </c>
      <c r="Q534" s="116">
        <v>1564.75</v>
      </c>
      <c r="R534">
        <v>60864</v>
      </c>
    </row>
    <row r="535" spans="1:18" x14ac:dyDescent="0.25">
      <c r="A535" s="170">
        <v>43419</v>
      </c>
      <c r="B535" s="116">
        <v>1577</v>
      </c>
      <c r="C535" s="116">
        <v>1555.65</v>
      </c>
      <c r="D535" s="116">
        <v>1550</v>
      </c>
      <c r="E535" s="116">
        <v>1570</v>
      </c>
      <c r="F535" s="116">
        <v>1555.65</v>
      </c>
      <c r="G535">
        <v>3157</v>
      </c>
      <c r="H535" s="116"/>
      <c r="I535" s="116"/>
      <c r="L535" s="170">
        <v>43419</v>
      </c>
      <c r="M535" s="116">
        <v>1558.6</v>
      </c>
      <c r="N535" s="116">
        <v>1584.85</v>
      </c>
      <c r="O535" s="116">
        <v>1550</v>
      </c>
      <c r="P535" s="116">
        <v>1584.85</v>
      </c>
      <c r="Q535" s="116">
        <v>1558.6</v>
      </c>
      <c r="R535">
        <v>38572</v>
      </c>
    </row>
    <row r="536" spans="1:18" x14ac:dyDescent="0.25">
      <c r="A536" s="170">
        <v>43420</v>
      </c>
      <c r="B536" s="116">
        <v>1560</v>
      </c>
      <c r="C536" s="116">
        <v>1519.5</v>
      </c>
      <c r="D536" s="116">
        <v>1495</v>
      </c>
      <c r="E536" s="116">
        <v>1560</v>
      </c>
      <c r="F536" s="116">
        <v>1519.5</v>
      </c>
      <c r="G536">
        <v>33211</v>
      </c>
      <c r="H536" s="116"/>
      <c r="I536" s="116"/>
      <c r="L536" s="170">
        <v>43420</v>
      </c>
      <c r="M536" s="116">
        <v>1518.15</v>
      </c>
      <c r="N536" s="116">
        <v>1550</v>
      </c>
      <c r="O536" s="116">
        <v>1491</v>
      </c>
      <c r="P536" s="116">
        <v>1550</v>
      </c>
      <c r="Q536" s="116">
        <v>1518.15</v>
      </c>
      <c r="R536">
        <v>158536</v>
      </c>
    </row>
    <row r="537" spans="1:18" x14ac:dyDescent="0.25">
      <c r="A537" s="170">
        <v>43423</v>
      </c>
      <c r="B537" s="116">
        <v>1554.5</v>
      </c>
      <c r="C537" s="116">
        <v>1542.5</v>
      </c>
      <c r="D537" s="116">
        <v>1515.55</v>
      </c>
      <c r="E537" s="116">
        <v>1515.55</v>
      </c>
      <c r="F537" s="116">
        <v>1542.5</v>
      </c>
      <c r="G537">
        <v>10053</v>
      </c>
      <c r="H537" s="116"/>
      <c r="I537" s="116"/>
      <c r="L537" s="170">
        <v>43423</v>
      </c>
      <c r="M537" s="116">
        <v>1541.45</v>
      </c>
      <c r="N537" s="116">
        <v>1556.95</v>
      </c>
      <c r="O537" s="116">
        <v>1520.05</v>
      </c>
      <c r="P537" s="116">
        <v>1534.8</v>
      </c>
      <c r="Q537" s="116">
        <v>1541.45</v>
      </c>
      <c r="R537">
        <v>74238</v>
      </c>
    </row>
    <row r="538" spans="1:18" x14ac:dyDescent="0.25">
      <c r="A538" s="170">
        <v>43424</v>
      </c>
      <c r="B538" s="116">
        <v>1554</v>
      </c>
      <c r="C538" s="116">
        <v>1511.05</v>
      </c>
      <c r="D538" s="116">
        <v>1500</v>
      </c>
      <c r="E538" s="116">
        <v>1554</v>
      </c>
      <c r="F538" s="116">
        <v>1511.05</v>
      </c>
      <c r="G538">
        <v>10891</v>
      </c>
      <c r="H538" s="116"/>
      <c r="I538" s="116"/>
      <c r="L538" s="170">
        <v>43424</v>
      </c>
      <c r="M538" s="116">
        <v>1508.3</v>
      </c>
      <c r="N538" s="116">
        <v>1539.75</v>
      </c>
      <c r="O538" s="116">
        <v>1495.5</v>
      </c>
      <c r="P538" s="116">
        <v>1539.75</v>
      </c>
      <c r="Q538" s="116">
        <v>1508.3</v>
      </c>
      <c r="R538">
        <v>44636</v>
      </c>
    </row>
    <row r="539" spans="1:18" x14ac:dyDescent="0.25">
      <c r="A539" s="170">
        <v>43425</v>
      </c>
      <c r="B539" s="116">
        <v>1520.2</v>
      </c>
      <c r="C539" s="116">
        <v>1509.1</v>
      </c>
      <c r="D539" s="116">
        <v>1471</v>
      </c>
      <c r="E539" s="116">
        <v>1509.35</v>
      </c>
      <c r="F539" s="116">
        <v>1509.1</v>
      </c>
      <c r="G539">
        <v>9103</v>
      </c>
      <c r="H539" s="116"/>
      <c r="I539" s="116"/>
      <c r="L539" s="170">
        <v>43425</v>
      </c>
      <c r="M539" s="116">
        <v>1510.1</v>
      </c>
      <c r="N539" s="116">
        <v>1519.95</v>
      </c>
      <c r="O539" s="116">
        <v>1471</v>
      </c>
      <c r="P539" s="116">
        <v>1519.95</v>
      </c>
      <c r="Q539" s="116">
        <v>1510.1</v>
      </c>
      <c r="R539">
        <v>58190</v>
      </c>
    </row>
    <row r="540" spans="1:18" x14ac:dyDescent="0.25">
      <c r="A540" s="170">
        <v>43426</v>
      </c>
      <c r="B540" s="116">
        <v>1575</v>
      </c>
      <c r="C540" s="116">
        <v>1511.8</v>
      </c>
      <c r="D540" s="116">
        <v>1498.8</v>
      </c>
      <c r="E540" s="116">
        <v>1575</v>
      </c>
      <c r="F540" s="116">
        <v>1511.8</v>
      </c>
      <c r="G540">
        <v>6271</v>
      </c>
      <c r="H540" s="116"/>
      <c r="I540" s="116"/>
      <c r="L540" s="170">
        <v>43426</v>
      </c>
      <c r="M540" s="116">
        <v>1510.65</v>
      </c>
      <c r="N540" s="116">
        <v>1541.95</v>
      </c>
      <c r="O540" s="116">
        <v>1496</v>
      </c>
      <c r="P540" s="116">
        <v>1505</v>
      </c>
      <c r="Q540" s="116">
        <v>1510.65</v>
      </c>
      <c r="R540">
        <v>85821</v>
      </c>
    </row>
    <row r="541" spans="1:18" x14ac:dyDescent="0.25">
      <c r="A541" s="170">
        <v>43430</v>
      </c>
      <c r="B541" s="116">
        <v>1539.35</v>
      </c>
      <c r="C541" s="116">
        <v>1525.4</v>
      </c>
      <c r="D541" s="116">
        <v>1492.95</v>
      </c>
      <c r="E541" s="116">
        <v>1511</v>
      </c>
      <c r="F541" s="116">
        <v>1525.4</v>
      </c>
      <c r="G541">
        <v>4651</v>
      </c>
      <c r="H541" s="116"/>
      <c r="I541" s="116"/>
      <c r="L541" s="170">
        <v>43430</v>
      </c>
      <c r="M541" s="116">
        <v>1527.9</v>
      </c>
      <c r="N541" s="116">
        <v>1544</v>
      </c>
      <c r="O541" s="116">
        <v>1491</v>
      </c>
      <c r="P541" s="116">
        <v>1540</v>
      </c>
      <c r="Q541" s="116">
        <v>1527.9</v>
      </c>
      <c r="R541">
        <v>46571</v>
      </c>
    </row>
    <row r="542" spans="1:18" x14ac:dyDescent="0.25">
      <c r="A542" s="170">
        <v>43431</v>
      </c>
      <c r="B542" s="116">
        <v>1532.05</v>
      </c>
      <c r="C542" s="116">
        <v>1522.25</v>
      </c>
      <c r="D542" s="116">
        <v>1510.3</v>
      </c>
      <c r="E542" s="116">
        <v>1522.35</v>
      </c>
      <c r="F542" s="116">
        <v>1522.25</v>
      </c>
      <c r="G542">
        <v>2421</v>
      </c>
      <c r="H542" s="116"/>
      <c r="I542" s="116"/>
      <c r="L542" s="170">
        <v>43431</v>
      </c>
      <c r="M542" s="116">
        <v>1520.4</v>
      </c>
      <c r="N542" s="116">
        <v>1535</v>
      </c>
      <c r="O542" s="116">
        <v>1510.1</v>
      </c>
      <c r="P542" s="116">
        <v>1535</v>
      </c>
      <c r="Q542" s="116">
        <v>1520.4</v>
      </c>
      <c r="R542">
        <v>36646</v>
      </c>
    </row>
    <row r="543" spans="1:18" x14ac:dyDescent="0.25">
      <c r="A543" s="170">
        <v>43432</v>
      </c>
      <c r="B543" s="116">
        <v>1587.75</v>
      </c>
      <c r="C543" s="116">
        <v>1567.95</v>
      </c>
      <c r="D543" s="116">
        <v>1512.15</v>
      </c>
      <c r="E543" s="116">
        <v>1512.25</v>
      </c>
      <c r="F543" s="116">
        <v>1567.95</v>
      </c>
      <c r="G543">
        <v>12038</v>
      </c>
      <c r="H543" s="116"/>
      <c r="I543" s="116"/>
      <c r="L543" s="170">
        <v>43432</v>
      </c>
      <c r="M543" s="116">
        <v>1568.2</v>
      </c>
      <c r="N543" s="116">
        <v>1589</v>
      </c>
      <c r="O543" s="116">
        <v>1517</v>
      </c>
      <c r="P543" s="116">
        <v>1517</v>
      </c>
      <c r="Q543" s="116">
        <v>1568.2</v>
      </c>
      <c r="R543">
        <v>144532</v>
      </c>
    </row>
    <row r="544" spans="1:18" x14ac:dyDescent="0.25">
      <c r="A544" s="170">
        <v>43433</v>
      </c>
      <c r="B544" s="116">
        <v>1579</v>
      </c>
      <c r="C544" s="116">
        <v>1524.15</v>
      </c>
      <c r="D544" s="116">
        <v>1499.35</v>
      </c>
      <c r="E544" s="116">
        <v>1575</v>
      </c>
      <c r="F544" s="116">
        <v>1524.15</v>
      </c>
      <c r="G544">
        <v>16205</v>
      </c>
      <c r="H544" s="116"/>
      <c r="I544" s="116"/>
      <c r="L544" s="170">
        <v>43433</v>
      </c>
      <c r="M544" s="116">
        <v>1535.55</v>
      </c>
      <c r="N544" s="116">
        <v>1579.85</v>
      </c>
      <c r="O544" s="116">
        <v>1495</v>
      </c>
      <c r="P544" s="116">
        <v>1575</v>
      </c>
      <c r="Q544" s="116">
        <v>1535.55</v>
      </c>
      <c r="R544">
        <v>96293</v>
      </c>
    </row>
    <row r="545" spans="1:18" x14ac:dyDescent="0.25">
      <c r="A545" s="170">
        <v>43434</v>
      </c>
      <c r="B545" s="116">
        <v>1562.75</v>
      </c>
      <c r="C545" s="116">
        <v>1548.45</v>
      </c>
      <c r="D545" s="116">
        <v>1517.35</v>
      </c>
      <c r="E545" s="116">
        <v>1517.35</v>
      </c>
      <c r="F545" s="116">
        <v>1548.45</v>
      </c>
      <c r="G545">
        <v>15474</v>
      </c>
      <c r="H545" s="116"/>
      <c r="I545" s="116"/>
      <c r="L545" s="170">
        <v>43434</v>
      </c>
      <c r="M545" s="116">
        <v>1549.1</v>
      </c>
      <c r="N545" s="116">
        <v>1565</v>
      </c>
      <c r="O545" s="116">
        <v>1510</v>
      </c>
      <c r="P545" s="116">
        <v>1514.9</v>
      </c>
      <c r="Q545" s="116">
        <v>1549.1</v>
      </c>
      <c r="R545">
        <v>66075</v>
      </c>
    </row>
    <row r="546" spans="1:18" x14ac:dyDescent="0.25">
      <c r="A546" s="170">
        <v>43437</v>
      </c>
      <c r="B546" s="116">
        <v>1573</v>
      </c>
      <c r="C546" s="116">
        <v>1550.55</v>
      </c>
      <c r="D546" s="116">
        <v>1540.25</v>
      </c>
      <c r="E546" s="116">
        <v>1560</v>
      </c>
      <c r="F546" s="116">
        <v>1550.55</v>
      </c>
      <c r="G546">
        <v>7426</v>
      </c>
      <c r="H546" s="116"/>
      <c r="I546" s="116"/>
      <c r="L546" s="170">
        <v>43437</v>
      </c>
      <c r="M546" s="116">
        <v>1550.6</v>
      </c>
      <c r="N546" s="116">
        <v>1575</v>
      </c>
      <c r="O546" s="116">
        <v>1538.65</v>
      </c>
      <c r="P546" s="116">
        <v>1564.7</v>
      </c>
      <c r="Q546" s="116">
        <v>1550.6</v>
      </c>
      <c r="R546">
        <v>53350</v>
      </c>
    </row>
    <row r="547" spans="1:18" x14ac:dyDescent="0.25">
      <c r="A547" s="170">
        <v>43438</v>
      </c>
      <c r="B547" s="116">
        <v>1568.25</v>
      </c>
      <c r="C547" s="116">
        <v>1556.45</v>
      </c>
      <c r="D547" s="116">
        <v>1540</v>
      </c>
      <c r="E547" s="116">
        <v>1550.55</v>
      </c>
      <c r="F547" s="116">
        <v>1556.45</v>
      </c>
      <c r="G547">
        <v>5689</v>
      </c>
      <c r="H547" s="116"/>
      <c r="I547" s="116"/>
      <c r="L547" s="170">
        <v>43438</v>
      </c>
      <c r="M547" s="116">
        <v>1552.7</v>
      </c>
      <c r="N547" s="116">
        <v>1574.65</v>
      </c>
      <c r="O547" s="116">
        <v>1537.55</v>
      </c>
      <c r="P547" s="116">
        <v>1540.2</v>
      </c>
      <c r="Q547" s="116">
        <v>1552.7</v>
      </c>
      <c r="R547">
        <v>117357</v>
      </c>
    </row>
    <row r="548" spans="1:18" x14ac:dyDescent="0.25">
      <c r="A548" s="170">
        <v>43439</v>
      </c>
      <c r="B548" s="116">
        <v>1586.65</v>
      </c>
      <c r="C548" s="116">
        <v>1575.2</v>
      </c>
      <c r="D548" s="116">
        <v>1545.1</v>
      </c>
      <c r="E548" s="116">
        <v>1565.5</v>
      </c>
      <c r="F548" s="116">
        <v>1575.2</v>
      </c>
      <c r="G548">
        <v>6870</v>
      </c>
      <c r="H548" s="116"/>
      <c r="I548" s="116"/>
      <c r="L548" s="170">
        <v>43439</v>
      </c>
      <c r="M548" s="116">
        <v>1576.8</v>
      </c>
      <c r="N548" s="116">
        <v>1590</v>
      </c>
      <c r="O548" s="116">
        <v>1545.1</v>
      </c>
      <c r="P548" s="116">
        <v>1550</v>
      </c>
      <c r="Q548" s="116">
        <v>1576.8</v>
      </c>
      <c r="R548">
        <v>61491</v>
      </c>
    </row>
    <row r="549" spans="1:18" x14ac:dyDescent="0.25">
      <c r="A549" s="170">
        <v>43440</v>
      </c>
      <c r="B549" s="116">
        <v>1575.2</v>
      </c>
      <c r="C549" s="116">
        <v>1518.7</v>
      </c>
      <c r="D549" s="116">
        <v>1514.55</v>
      </c>
      <c r="E549" s="116">
        <v>1575.2</v>
      </c>
      <c r="F549" s="116">
        <v>1518.7</v>
      </c>
      <c r="G549">
        <v>4138</v>
      </c>
      <c r="H549" s="116"/>
      <c r="I549" s="116"/>
      <c r="L549" s="170">
        <v>43440</v>
      </c>
      <c r="M549" s="116">
        <v>1515.05</v>
      </c>
      <c r="N549" s="116">
        <v>1573.9</v>
      </c>
      <c r="O549" s="116">
        <v>1512</v>
      </c>
      <c r="P549" s="116">
        <v>1573.9</v>
      </c>
      <c r="Q549" s="116">
        <v>1515.05</v>
      </c>
      <c r="R549">
        <v>46922</v>
      </c>
    </row>
    <row r="550" spans="1:18" x14ac:dyDescent="0.25">
      <c r="A550" s="170">
        <v>43441</v>
      </c>
      <c r="B550" s="116">
        <v>1540</v>
      </c>
      <c r="C550" s="116">
        <v>1529.85</v>
      </c>
      <c r="D550" s="116">
        <v>1520</v>
      </c>
      <c r="E550" s="116">
        <v>1530</v>
      </c>
      <c r="F550" s="116">
        <v>1529.85</v>
      </c>
      <c r="G550">
        <v>10587</v>
      </c>
      <c r="H550" s="116"/>
      <c r="I550" s="116"/>
      <c r="L550" s="170">
        <v>43441</v>
      </c>
      <c r="M550" s="116">
        <v>1534.2</v>
      </c>
      <c r="N550" s="116">
        <v>1544</v>
      </c>
      <c r="O550" s="116">
        <v>1515.1</v>
      </c>
      <c r="P550" s="116">
        <v>1526.95</v>
      </c>
      <c r="Q550" s="116">
        <v>1534.2</v>
      </c>
      <c r="R550">
        <v>86432</v>
      </c>
    </row>
    <row r="551" spans="1:18" x14ac:dyDescent="0.25">
      <c r="A551" s="170">
        <v>43444</v>
      </c>
      <c r="B551" s="116">
        <v>1555.95</v>
      </c>
      <c r="C551" s="116">
        <v>1550.75</v>
      </c>
      <c r="D551" s="116">
        <v>1500.9</v>
      </c>
      <c r="E551" s="116">
        <v>1515</v>
      </c>
      <c r="F551" s="116">
        <v>1550.75</v>
      </c>
      <c r="G551">
        <v>4134</v>
      </c>
      <c r="H551" s="116"/>
      <c r="I551" s="116"/>
      <c r="L551" s="170">
        <v>43444</v>
      </c>
      <c r="M551" s="116">
        <v>1551.2</v>
      </c>
      <c r="N551" s="116">
        <v>1556</v>
      </c>
      <c r="O551" s="116">
        <v>1501</v>
      </c>
      <c r="P551" s="116">
        <v>1528</v>
      </c>
      <c r="Q551" s="116">
        <v>1551.2</v>
      </c>
      <c r="R551">
        <v>50798</v>
      </c>
    </row>
    <row r="552" spans="1:18" x14ac:dyDescent="0.25">
      <c r="A552" s="170">
        <v>43445</v>
      </c>
      <c r="B552" s="116">
        <v>1577</v>
      </c>
      <c r="C552" s="116">
        <v>1554.05</v>
      </c>
      <c r="D552" s="116">
        <v>1525.6</v>
      </c>
      <c r="E552" s="116">
        <v>1525.6</v>
      </c>
      <c r="F552" s="116">
        <v>1554.05</v>
      </c>
      <c r="G552">
        <v>5420</v>
      </c>
      <c r="H552" s="116"/>
      <c r="I552" s="116"/>
      <c r="L552" s="170">
        <v>43445</v>
      </c>
      <c r="M552" s="116">
        <v>1551</v>
      </c>
      <c r="N552" s="116">
        <v>1579.5</v>
      </c>
      <c r="O552" s="116">
        <v>1507</v>
      </c>
      <c r="P552" s="116">
        <v>1507</v>
      </c>
      <c r="Q552" s="116">
        <v>1551</v>
      </c>
      <c r="R552">
        <v>85742</v>
      </c>
    </row>
    <row r="553" spans="1:18" x14ac:dyDescent="0.25">
      <c r="A553" s="170">
        <v>43446</v>
      </c>
      <c r="B553" s="116">
        <v>1584.25</v>
      </c>
      <c r="C553" s="116">
        <v>1575.4</v>
      </c>
      <c r="D553" s="116">
        <v>1546.85</v>
      </c>
      <c r="E553" s="116">
        <v>1553.2</v>
      </c>
      <c r="F553" s="116">
        <v>1575.4</v>
      </c>
      <c r="G553">
        <v>16506</v>
      </c>
      <c r="H553" s="116"/>
      <c r="I553" s="116"/>
      <c r="L553" s="170">
        <v>43446</v>
      </c>
      <c r="M553" s="116">
        <v>1572.05</v>
      </c>
      <c r="N553" s="116">
        <v>1585</v>
      </c>
      <c r="O553" s="116">
        <v>1547</v>
      </c>
      <c r="P553" s="116">
        <v>1569.95</v>
      </c>
      <c r="Q553" s="116">
        <v>1572.05</v>
      </c>
      <c r="R553">
        <v>65681</v>
      </c>
    </row>
    <row r="554" spans="1:18" x14ac:dyDescent="0.25">
      <c r="A554" s="170">
        <v>43447</v>
      </c>
      <c r="B554" s="116">
        <v>1620.85</v>
      </c>
      <c r="C554" s="116">
        <v>1599.2</v>
      </c>
      <c r="D554" s="116">
        <v>1559.95</v>
      </c>
      <c r="E554" s="116">
        <v>1580</v>
      </c>
      <c r="F554" s="116">
        <v>1599.2</v>
      </c>
      <c r="G554">
        <v>9494</v>
      </c>
      <c r="H554" s="116"/>
      <c r="I554" s="116"/>
      <c r="L554" s="170">
        <v>43447</v>
      </c>
      <c r="M554" s="116">
        <v>1599.55</v>
      </c>
      <c r="N554" s="116">
        <v>1618</v>
      </c>
      <c r="O554" s="116">
        <v>1560.3</v>
      </c>
      <c r="P554" s="116">
        <v>1585</v>
      </c>
      <c r="Q554" s="116">
        <v>1599.55</v>
      </c>
      <c r="R554">
        <v>167335</v>
      </c>
    </row>
    <row r="555" spans="1:18" x14ac:dyDescent="0.25">
      <c r="A555" s="170">
        <v>43448</v>
      </c>
      <c r="B555" s="116">
        <v>1666.3</v>
      </c>
      <c r="C555" s="116">
        <v>1631.95</v>
      </c>
      <c r="D555" s="116">
        <v>1599</v>
      </c>
      <c r="E555" s="116">
        <v>1609</v>
      </c>
      <c r="F555" s="116">
        <v>1631.95</v>
      </c>
      <c r="G555">
        <v>16175</v>
      </c>
      <c r="H555" s="116"/>
      <c r="I555" s="116"/>
      <c r="L555" s="170">
        <v>43448</v>
      </c>
      <c r="M555" s="116">
        <v>1635.75</v>
      </c>
      <c r="N555" s="116">
        <v>1664.2</v>
      </c>
      <c r="O555" s="116">
        <v>1598</v>
      </c>
      <c r="P555" s="116">
        <v>1617</v>
      </c>
      <c r="Q555" s="116">
        <v>1635.75</v>
      </c>
      <c r="R555">
        <v>150967</v>
      </c>
    </row>
    <row r="556" spans="1:18" x14ac:dyDescent="0.25">
      <c r="A556" s="170">
        <v>43451</v>
      </c>
      <c r="B556" s="116">
        <v>1650</v>
      </c>
      <c r="C556" s="116">
        <v>1639.9</v>
      </c>
      <c r="D556" s="116">
        <v>1611</v>
      </c>
      <c r="E556" s="116">
        <v>1644.1</v>
      </c>
      <c r="F556" s="116">
        <v>1639.9</v>
      </c>
      <c r="G556">
        <v>12434</v>
      </c>
      <c r="H556" s="116"/>
      <c r="I556" s="116"/>
      <c r="L556" s="170">
        <v>43451</v>
      </c>
      <c r="M556" s="116">
        <v>1645.1</v>
      </c>
      <c r="N556" s="116">
        <v>1649</v>
      </c>
      <c r="O556" s="116">
        <v>1606.5</v>
      </c>
      <c r="P556" s="116">
        <v>1642.9</v>
      </c>
      <c r="Q556" s="116">
        <v>1645.1</v>
      </c>
      <c r="R556">
        <v>70647</v>
      </c>
    </row>
    <row r="557" spans="1:18" x14ac:dyDescent="0.25">
      <c r="A557" s="170">
        <v>43452</v>
      </c>
      <c r="B557" s="116">
        <v>1648.65</v>
      </c>
      <c r="C557" s="116">
        <v>1617.4</v>
      </c>
      <c r="D557" s="116">
        <v>1610</v>
      </c>
      <c r="E557" s="116">
        <v>1636</v>
      </c>
      <c r="F557" s="116">
        <v>1617.4</v>
      </c>
      <c r="G557">
        <v>15437</v>
      </c>
      <c r="H557" s="116"/>
      <c r="I557" s="116"/>
      <c r="L557" s="170">
        <v>43452</v>
      </c>
      <c r="M557" s="116">
        <v>1614.05</v>
      </c>
      <c r="N557" s="116">
        <v>1649.5</v>
      </c>
      <c r="O557" s="116">
        <v>1605.5</v>
      </c>
      <c r="P557" s="116">
        <v>1635</v>
      </c>
      <c r="Q557" s="116">
        <v>1614.05</v>
      </c>
      <c r="R557">
        <v>46583</v>
      </c>
    </row>
    <row r="558" spans="1:18" x14ac:dyDescent="0.25">
      <c r="A558" s="170">
        <v>43453</v>
      </c>
      <c r="B558" s="116">
        <v>1627.2</v>
      </c>
      <c r="C558" s="116">
        <v>1607.1</v>
      </c>
      <c r="D558" s="116">
        <v>1585</v>
      </c>
      <c r="E558" s="116">
        <v>1617.4</v>
      </c>
      <c r="F558" s="116">
        <v>1607.1</v>
      </c>
      <c r="G558">
        <v>7634</v>
      </c>
      <c r="H558" s="116"/>
      <c r="I558" s="116"/>
      <c r="L558" s="170">
        <v>43453</v>
      </c>
      <c r="M558" s="116">
        <v>1609</v>
      </c>
      <c r="N558" s="116">
        <v>1629.9</v>
      </c>
      <c r="O558" s="116">
        <v>1582</v>
      </c>
      <c r="P558" s="116">
        <v>1611</v>
      </c>
      <c r="Q558" s="116">
        <v>1609</v>
      </c>
      <c r="R558">
        <v>59158</v>
      </c>
    </row>
    <row r="559" spans="1:18" x14ac:dyDescent="0.25">
      <c r="A559" s="170">
        <v>43454</v>
      </c>
      <c r="B559" s="116">
        <v>1664.8</v>
      </c>
      <c r="C559" s="116">
        <v>1637.85</v>
      </c>
      <c r="D559" s="116">
        <v>1610.05</v>
      </c>
      <c r="E559" s="116">
        <v>1610.05</v>
      </c>
      <c r="F559" s="116">
        <v>1637.85</v>
      </c>
      <c r="G559">
        <v>12820</v>
      </c>
      <c r="H559" s="116"/>
      <c r="I559" s="116"/>
      <c r="L559" s="170">
        <v>43454</v>
      </c>
      <c r="M559" s="116">
        <v>1636.85</v>
      </c>
      <c r="N559" s="116">
        <v>1664.1</v>
      </c>
      <c r="O559" s="116">
        <v>1614</v>
      </c>
      <c r="P559" s="116">
        <v>1616.8</v>
      </c>
      <c r="Q559" s="116">
        <v>1636.85</v>
      </c>
      <c r="R559">
        <v>118804</v>
      </c>
    </row>
    <row r="560" spans="1:18" x14ac:dyDescent="0.25">
      <c r="A560" s="170">
        <v>43455</v>
      </c>
      <c r="B560" s="116">
        <v>1659</v>
      </c>
      <c r="C560" s="116">
        <v>1646.75</v>
      </c>
      <c r="D560" s="116">
        <v>1616.8</v>
      </c>
      <c r="E560" s="116">
        <v>1642.05</v>
      </c>
      <c r="F560" s="116">
        <v>1646.75</v>
      </c>
      <c r="G560">
        <v>11357</v>
      </c>
      <c r="H560" s="116"/>
      <c r="I560" s="116"/>
      <c r="L560" s="170">
        <v>43455</v>
      </c>
      <c r="M560" s="116">
        <v>1651.8</v>
      </c>
      <c r="N560" s="116">
        <v>1659.9</v>
      </c>
      <c r="O560" s="116">
        <v>1610</v>
      </c>
      <c r="P560" s="116">
        <v>1641.1</v>
      </c>
      <c r="Q560" s="116">
        <v>1651.8</v>
      </c>
      <c r="R560">
        <v>87105</v>
      </c>
    </row>
    <row r="561" spans="1:18" x14ac:dyDescent="0.25">
      <c r="A561" s="170">
        <v>43458</v>
      </c>
      <c r="B561" s="116">
        <v>1697.5</v>
      </c>
      <c r="C561" s="116">
        <v>1681</v>
      </c>
      <c r="D561" s="116">
        <v>1648.85</v>
      </c>
      <c r="E561" s="116">
        <v>1648.85</v>
      </c>
      <c r="F561" s="116">
        <v>1681</v>
      </c>
      <c r="G561">
        <v>10927</v>
      </c>
      <c r="H561" s="116"/>
      <c r="I561" s="116"/>
      <c r="L561" s="170">
        <v>43458</v>
      </c>
      <c r="M561" s="116">
        <v>1687.05</v>
      </c>
      <c r="N561" s="116">
        <v>1699</v>
      </c>
      <c r="O561" s="116">
        <v>1652.3</v>
      </c>
      <c r="P561" s="116">
        <v>1660</v>
      </c>
      <c r="Q561" s="116">
        <v>1687.05</v>
      </c>
      <c r="R561">
        <v>96516</v>
      </c>
    </row>
    <row r="562" spans="1:18" x14ac:dyDescent="0.25">
      <c r="A562" s="170">
        <v>43460</v>
      </c>
      <c r="B562" s="116">
        <v>1706</v>
      </c>
      <c r="C562" s="116">
        <v>1692.3</v>
      </c>
      <c r="D562" s="116">
        <v>1655</v>
      </c>
      <c r="E562" s="116">
        <v>1679</v>
      </c>
      <c r="F562" s="116">
        <v>1692.3</v>
      </c>
      <c r="G562">
        <v>7918</v>
      </c>
      <c r="H562" s="116"/>
      <c r="I562" s="116"/>
      <c r="L562" s="170">
        <v>43460</v>
      </c>
      <c r="M562" s="116">
        <v>1691.55</v>
      </c>
      <c r="N562" s="116">
        <v>1709.9</v>
      </c>
      <c r="O562" s="116">
        <v>1653.25</v>
      </c>
      <c r="P562" s="116">
        <v>1680.55</v>
      </c>
      <c r="Q562" s="116">
        <v>1691.55</v>
      </c>
      <c r="R562">
        <v>77194</v>
      </c>
    </row>
    <row r="563" spans="1:18" x14ac:dyDescent="0.25">
      <c r="A563" s="170">
        <v>43461</v>
      </c>
      <c r="B563" s="116">
        <v>1708</v>
      </c>
      <c r="C563" s="116">
        <v>1684.1</v>
      </c>
      <c r="D563" s="116">
        <v>1678.8</v>
      </c>
      <c r="E563" s="116">
        <v>1691.05</v>
      </c>
      <c r="F563" s="116">
        <v>1684.1</v>
      </c>
      <c r="G563">
        <v>5866</v>
      </c>
      <c r="H563" s="116"/>
      <c r="I563" s="116"/>
      <c r="L563" s="170">
        <v>43461</v>
      </c>
      <c r="M563" s="116">
        <v>1684.65</v>
      </c>
      <c r="N563" s="116">
        <v>1709</v>
      </c>
      <c r="O563" s="116">
        <v>1680</v>
      </c>
      <c r="P563" s="116">
        <v>1692</v>
      </c>
      <c r="Q563" s="116">
        <v>1684.65</v>
      </c>
      <c r="R563">
        <v>50387</v>
      </c>
    </row>
    <row r="564" spans="1:18" x14ac:dyDescent="0.25">
      <c r="A564" s="170">
        <v>43462</v>
      </c>
      <c r="B564" s="116">
        <v>1707</v>
      </c>
      <c r="C564" s="116">
        <v>1700.6</v>
      </c>
      <c r="D564" s="116">
        <v>1664.5</v>
      </c>
      <c r="E564" s="116">
        <v>1697.75</v>
      </c>
      <c r="F564" s="116">
        <v>1700.6</v>
      </c>
      <c r="G564">
        <v>16162</v>
      </c>
      <c r="H564" s="116"/>
      <c r="I564" s="116"/>
      <c r="L564" s="170">
        <v>43462</v>
      </c>
      <c r="M564" s="116">
        <v>1699.45</v>
      </c>
      <c r="N564" s="116">
        <v>1703</v>
      </c>
      <c r="O564" s="116">
        <v>1661.15</v>
      </c>
      <c r="P564" s="116">
        <v>1694.55</v>
      </c>
      <c r="Q564" s="116">
        <v>1699.45</v>
      </c>
      <c r="R564">
        <v>98478</v>
      </c>
    </row>
    <row r="565" spans="1:18" x14ac:dyDescent="0.25">
      <c r="A565" s="170">
        <v>43465</v>
      </c>
      <c r="B565" s="116">
        <v>1737.4</v>
      </c>
      <c r="C565" s="116">
        <v>1711.3</v>
      </c>
      <c r="D565" s="116">
        <v>1700</v>
      </c>
      <c r="E565" s="116">
        <v>1705.55</v>
      </c>
      <c r="F565" s="116">
        <v>1711.3</v>
      </c>
      <c r="G565">
        <v>8835</v>
      </c>
      <c r="H565" s="116"/>
      <c r="I565" s="116"/>
      <c r="L565" s="170">
        <v>43465</v>
      </c>
      <c r="M565" s="116">
        <v>1708.35</v>
      </c>
      <c r="N565" s="116">
        <v>1739.95</v>
      </c>
      <c r="O565" s="116">
        <v>1695</v>
      </c>
      <c r="P565" s="116">
        <v>1715</v>
      </c>
      <c r="Q565" s="116">
        <v>1708.35</v>
      </c>
      <c r="R565">
        <v>212014</v>
      </c>
    </row>
    <row r="566" spans="1:18" x14ac:dyDescent="0.25">
      <c r="A566" s="170">
        <v>43466</v>
      </c>
      <c r="B566" s="116">
        <v>1728.5</v>
      </c>
      <c r="C566" s="116">
        <v>1721.75</v>
      </c>
      <c r="D566" s="116">
        <v>1691</v>
      </c>
      <c r="E566" s="116">
        <v>1720</v>
      </c>
      <c r="F566" s="116">
        <v>1721.75</v>
      </c>
      <c r="G566">
        <v>7407</v>
      </c>
      <c r="H566" s="116"/>
      <c r="I566" s="116"/>
      <c r="L566" s="170">
        <v>43466</v>
      </c>
      <c r="M566" s="116">
        <v>1716.65</v>
      </c>
      <c r="N566" s="116">
        <v>1723.9</v>
      </c>
      <c r="O566" s="116">
        <v>1691.1</v>
      </c>
      <c r="P566" s="116">
        <v>1716.9</v>
      </c>
      <c r="Q566" s="116">
        <v>1716.65</v>
      </c>
      <c r="R566">
        <v>36717</v>
      </c>
    </row>
    <row r="567" spans="1:18" x14ac:dyDescent="0.25">
      <c r="A567" s="170">
        <v>43467</v>
      </c>
      <c r="B567" s="116">
        <v>1729</v>
      </c>
      <c r="C567" s="116">
        <v>1703.75</v>
      </c>
      <c r="D567" s="116">
        <v>1699.05</v>
      </c>
      <c r="E567" s="116">
        <v>1722.7</v>
      </c>
      <c r="F567" s="116">
        <v>1703.75</v>
      </c>
      <c r="G567">
        <v>3773</v>
      </c>
      <c r="H567" s="116"/>
      <c r="I567" s="116"/>
      <c r="L567" s="170">
        <v>43467</v>
      </c>
      <c r="M567" s="116">
        <v>1701.8</v>
      </c>
      <c r="N567" s="116">
        <v>1729.95</v>
      </c>
      <c r="O567" s="116">
        <v>1698.25</v>
      </c>
      <c r="P567" s="116">
        <v>1714.95</v>
      </c>
      <c r="Q567" s="116">
        <v>1701.8</v>
      </c>
      <c r="R567">
        <v>65474</v>
      </c>
    </row>
    <row r="568" spans="1:18" x14ac:dyDescent="0.25">
      <c r="A568" s="170">
        <v>43468</v>
      </c>
      <c r="B568" s="116">
        <v>1727</v>
      </c>
      <c r="C568" s="116">
        <v>1621.9</v>
      </c>
      <c r="D568" s="116">
        <v>1611</v>
      </c>
      <c r="E568" s="116">
        <v>1727</v>
      </c>
      <c r="F568" s="116">
        <v>1621.9</v>
      </c>
      <c r="G568">
        <v>15917</v>
      </c>
      <c r="H568" s="116"/>
      <c r="I568" s="116"/>
      <c r="L568" s="170">
        <v>43468</v>
      </c>
      <c r="M568" s="116">
        <v>1621.85</v>
      </c>
      <c r="N568" s="116">
        <v>1712.25</v>
      </c>
      <c r="O568" s="116">
        <v>1613</v>
      </c>
      <c r="P568" s="116">
        <v>1712.25</v>
      </c>
      <c r="Q568" s="116">
        <v>1621.85</v>
      </c>
      <c r="R568">
        <v>155781</v>
      </c>
    </row>
    <row r="569" spans="1:18" x14ac:dyDescent="0.25">
      <c r="A569" s="170">
        <v>43469</v>
      </c>
      <c r="B569" s="116">
        <v>1648.5</v>
      </c>
      <c r="C569" s="116">
        <v>1618.95</v>
      </c>
      <c r="D569" s="116">
        <v>1589</v>
      </c>
      <c r="E569" s="116">
        <v>1648.5</v>
      </c>
      <c r="F569" s="116">
        <v>1618.95</v>
      </c>
      <c r="G569">
        <v>18601</v>
      </c>
      <c r="H569" s="116"/>
      <c r="I569" s="116"/>
      <c r="L569" s="170">
        <v>43469</v>
      </c>
      <c r="M569" s="116">
        <v>1624</v>
      </c>
      <c r="N569" s="116">
        <v>1641.5</v>
      </c>
      <c r="O569" s="116">
        <v>1590</v>
      </c>
      <c r="P569" s="116">
        <v>1635</v>
      </c>
      <c r="Q569" s="116">
        <v>1624</v>
      </c>
      <c r="R569">
        <v>152819</v>
      </c>
    </row>
    <row r="570" spans="1:18" x14ac:dyDescent="0.25">
      <c r="A570" s="170">
        <v>43472</v>
      </c>
      <c r="B570" s="116">
        <v>1650</v>
      </c>
      <c r="C570" s="116">
        <v>1629.05</v>
      </c>
      <c r="D570" s="116">
        <v>1612.7</v>
      </c>
      <c r="E570" s="116">
        <v>1650</v>
      </c>
      <c r="F570" s="116">
        <v>1629.05</v>
      </c>
      <c r="G570">
        <v>14467</v>
      </c>
      <c r="H570" s="116"/>
      <c r="I570" s="116"/>
      <c r="L570" s="170">
        <v>43472</v>
      </c>
      <c r="M570" s="116">
        <v>1633.45</v>
      </c>
      <c r="N570" s="116">
        <v>1649.9</v>
      </c>
      <c r="O570" s="116">
        <v>1612.1</v>
      </c>
      <c r="P570" s="116">
        <v>1630</v>
      </c>
      <c r="Q570" s="116">
        <v>1633.45</v>
      </c>
      <c r="R570">
        <v>59677</v>
      </c>
    </row>
    <row r="571" spans="1:18" x14ac:dyDescent="0.25">
      <c r="A571" s="170">
        <v>43473</v>
      </c>
      <c r="B571" s="116">
        <v>1670</v>
      </c>
      <c r="C571" s="116">
        <v>1650.05</v>
      </c>
      <c r="D571" s="116">
        <v>1621.85</v>
      </c>
      <c r="E571" s="116">
        <v>1628.95</v>
      </c>
      <c r="F571" s="116">
        <v>1650.05</v>
      </c>
      <c r="G571">
        <v>5868</v>
      </c>
      <c r="H571" s="116"/>
      <c r="I571" s="116"/>
      <c r="L571" s="170">
        <v>43473</v>
      </c>
      <c r="M571" s="116">
        <v>1649.55</v>
      </c>
      <c r="N571" s="116">
        <v>1672</v>
      </c>
      <c r="O571" s="116">
        <v>1621.75</v>
      </c>
      <c r="P571" s="116">
        <v>1648</v>
      </c>
      <c r="Q571" s="116">
        <v>1649.55</v>
      </c>
      <c r="R571">
        <v>108871</v>
      </c>
    </row>
    <row r="572" spans="1:18" x14ac:dyDescent="0.25">
      <c r="A572" s="170">
        <v>43474</v>
      </c>
      <c r="B572" s="116">
        <v>1670</v>
      </c>
      <c r="C572" s="116">
        <v>1643.65</v>
      </c>
      <c r="D572" s="116">
        <v>1636</v>
      </c>
      <c r="E572" s="116">
        <v>1665</v>
      </c>
      <c r="F572" s="116">
        <v>1643.65</v>
      </c>
      <c r="G572">
        <v>9134</v>
      </c>
      <c r="H572" s="116"/>
      <c r="I572" s="116"/>
      <c r="L572" s="170">
        <v>43474</v>
      </c>
      <c r="M572" s="116">
        <v>1644.05</v>
      </c>
      <c r="N572" s="116">
        <v>1670</v>
      </c>
      <c r="O572" s="116">
        <v>1635.75</v>
      </c>
      <c r="P572" s="116">
        <v>1659.95</v>
      </c>
      <c r="Q572" s="116">
        <v>1644.05</v>
      </c>
      <c r="R572">
        <v>98334</v>
      </c>
    </row>
    <row r="573" spans="1:18" x14ac:dyDescent="0.25">
      <c r="A573" s="170">
        <v>43475</v>
      </c>
      <c r="B573" s="116">
        <v>1661.55</v>
      </c>
      <c r="C573" s="116">
        <v>1638.95</v>
      </c>
      <c r="D573" s="116">
        <v>1630.3</v>
      </c>
      <c r="E573" s="116">
        <v>1660</v>
      </c>
      <c r="F573" s="116">
        <v>1638.95</v>
      </c>
      <c r="G573">
        <v>9254</v>
      </c>
      <c r="H573" s="116"/>
      <c r="I573" s="116"/>
      <c r="L573" s="170">
        <v>43475</v>
      </c>
      <c r="M573" s="116">
        <v>1642.45</v>
      </c>
      <c r="N573" s="116">
        <v>1660</v>
      </c>
      <c r="O573" s="116">
        <v>1635.6</v>
      </c>
      <c r="P573" s="116">
        <v>1650.25</v>
      </c>
      <c r="Q573" s="116">
        <v>1642.45</v>
      </c>
      <c r="R573">
        <v>79898</v>
      </c>
    </row>
    <row r="574" spans="1:18" x14ac:dyDescent="0.25">
      <c r="A574" s="170">
        <v>43476</v>
      </c>
      <c r="B574" s="116">
        <v>1657</v>
      </c>
      <c r="C574" s="116">
        <v>1632.35</v>
      </c>
      <c r="D574" s="116">
        <v>1630.15</v>
      </c>
      <c r="E574" s="116">
        <v>1651.95</v>
      </c>
      <c r="F574" s="116">
        <v>1632.35</v>
      </c>
      <c r="G574">
        <v>14426</v>
      </c>
      <c r="H574" s="116"/>
      <c r="I574" s="116"/>
      <c r="L574" s="170">
        <v>43476</v>
      </c>
      <c r="M574" s="116">
        <v>1633.2</v>
      </c>
      <c r="N574" s="116">
        <v>1655</v>
      </c>
      <c r="O574" s="116">
        <v>1630.5</v>
      </c>
      <c r="P574" s="116">
        <v>1644</v>
      </c>
      <c r="Q574" s="116">
        <v>1633.2</v>
      </c>
      <c r="R574">
        <v>54561</v>
      </c>
    </row>
    <row r="575" spans="1:18" x14ac:dyDescent="0.25">
      <c r="A575" s="170">
        <v>43479</v>
      </c>
      <c r="B575" s="116">
        <v>1658</v>
      </c>
      <c r="C575" s="116">
        <v>1651.85</v>
      </c>
      <c r="D575" s="116">
        <v>1625</v>
      </c>
      <c r="E575" s="116">
        <v>1632.05</v>
      </c>
      <c r="F575" s="116">
        <v>1651.85</v>
      </c>
      <c r="G575">
        <v>1714</v>
      </c>
      <c r="H575" s="116"/>
      <c r="I575" s="116"/>
      <c r="L575" s="170">
        <v>43479</v>
      </c>
      <c r="M575" s="116">
        <v>1649.5</v>
      </c>
      <c r="N575" s="116">
        <v>1654.45</v>
      </c>
      <c r="O575" s="116">
        <v>1622</v>
      </c>
      <c r="P575" s="116">
        <v>1647</v>
      </c>
      <c r="Q575" s="116">
        <v>1649.5</v>
      </c>
      <c r="R575">
        <v>28296</v>
      </c>
    </row>
    <row r="576" spans="1:18" x14ac:dyDescent="0.25">
      <c r="A576" s="170">
        <v>43480</v>
      </c>
      <c r="B576" s="116">
        <v>1657</v>
      </c>
      <c r="C576" s="116">
        <v>1651</v>
      </c>
      <c r="D576" s="116">
        <v>1632.8</v>
      </c>
      <c r="E576" s="116">
        <v>1638.1</v>
      </c>
      <c r="F576" s="116">
        <v>1651</v>
      </c>
      <c r="G576">
        <v>15776</v>
      </c>
      <c r="H576" s="116"/>
      <c r="I576" s="116"/>
      <c r="L576" s="170">
        <v>43480</v>
      </c>
      <c r="M576" s="116">
        <v>1649.5</v>
      </c>
      <c r="N576" s="116">
        <v>1657.85</v>
      </c>
      <c r="O576" s="116">
        <v>1632</v>
      </c>
      <c r="P576" s="116">
        <v>1656.9</v>
      </c>
      <c r="Q576" s="116">
        <v>1649.5</v>
      </c>
      <c r="R576">
        <v>39320</v>
      </c>
    </row>
    <row r="577" spans="1:18" x14ac:dyDescent="0.25">
      <c r="A577" s="170">
        <v>43481</v>
      </c>
      <c r="B577" s="116">
        <v>1660.25</v>
      </c>
      <c r="C577" s="116">
        <v>1650.55</v>
      </c>
      <c r="D577" s="116">
        <v>1640</v>
      </c>
      <c r="E577" s="116">
        <v>1651</v>
      </c>
      <c r="F577" s="116">
        <v>1650.55</v>
      </c>
      <c r="G577">
        <v>2922</v>
      </c>
      <c r="H577" s="116"/>
      <c r="I577" s="116"/>
      <c r="L577" s="170">
        <v>43481</v>
      </c>
      <c r="M577" s="116">
        <v>1652</v>
      </c>
      <c r="N577" s="116">
        <v>1660</v>
      </c>
      <c r="O577" s="116">
        <v>1641.1</v>
      </c>
      <c r="P577" s="116">
        <v>1650</v>
      </c>
      <c r="Q577" s="116">
        <v>1652</v>
      </c>
      <c r="R577">
        <v>38566</v>
      </c>
    </row>
    <row r="578" spans="1:18" x14ac:dyDescent="0.25">
      <c r="A578" s="170">
        <v>43482</v>
      </c>
      <c r="B578" s="116">
        <v>1700.6</v>
      </c>
      <c r="C578" s="116">
        <v>1689.45</v>
      </c>
      <c r="D578" s="116">
        <v>1646.65</v>
      </c>
      <c r="E578" s="116">
        <v>1660</v>
      </c>
      <c r="F578" s="116">
        <v>1689.45</v>
      </c>
      <c r="G578">
        <v>24421</v>
      </c>
      <c r="H578" s="116"/>
      <c r="I578" s="116"/>
      <c r="L578" s="170">
        <v>43482</v>
      </c>
      <c r="M578" s="116">
        <v>1693.4</v>
      </c>
      <c r="N578" s="116">
        <v>1698.95</v>
      </c>
      <c r="O578" s="116">
        <v>1643.75</v>
      </c>
      <c r="P578" s="116">
        <v>1670.1</v>
      </c>
      <c r="Q578" s="116">
        <v>1693.4</v>
      </c>
      <c r="R578">
        <v>126255</v>
      </c>
    </row>
    <row r="579" spans="1:18" x14ac:dyDescent="0.25">
      <c r="A579" s="170">
        <v>43483</v>
      </c>
      <c r="B579" s="116">
        <v>1746.95</v>
      </c>
      <c r="C579" s="116">
        <v>1637.35</v>
      </c>
      <c r="D579" s="116">
        <v>1625.4</v>
      </c>
      <c r="E579" s="116">
        <v>1711</v>
      </c>
      <c r="F579" s="116">
        <v>1637.35</v>
      </c>
      <c r="G579">
        <v>60433</v>
      </c>
      <c r="H579" s="116"/>
      <c r="I579" s="116"/>
      <c r="L579" s="170">
        <v>43483</v>
      </c>
      <c r="M579" s="116">
        <v>1641.25</v>
      </c>
      <c r="N579" s="116">
        <v>1757.65</v>
      </c>
      <c r="O579" s="116">
        <v>1630</v>
      </c>
      <c r="P579" s="116">
        <v>1715</v>
      </c>
      <c r="Q579" s="116">
        <v>1641.25</v>
      </c>
      <c r="R579">
        <v>448657</v>
      </c>
    </row>
    <row r="580" spans="1:18" x14ac:dyDescent="0.25">
      <c r="A580" s="170">
        <v>43486</v>
      </c>
      <c r="B580" s="116">
        <v>1664.8</v>
      </c>
      <c r="C580" s="116">
        <v>1656.15</v>
      </c>
      <c r="D580" s="116">
        <v>1621.35</v>
      </c>
      <c r="E580" s="116">
        <v>1637.25</v>
      </c>
      <c r="F580" s="116">
        <v>1656.15</v>
      </c>
      <c r="G580">
        <v>6205</v>
      </c>
      <c r="H580" s="116"/>
      <c r="I580" s="116"/>
      <c r="L580" s="170">
        <v>43486</v>
      </c>
      <c r="M580" s="116">
        <v>1657.9</v>
      </c>
      <c r="N580" s="116">
        <v>1667.8</v>
      </c>
      <c r="O580" s="116">
        <v>1621</v>
      </c>
      <c r="P580" s="116">
        <v>1642</v>
      </c>
      <c r="Q580" s="116">
        <v>1657.9</v>
      </c>
      <c r="R580">
        <v>107446</v>
      </c>
    </row>
    <row r="581" spans="1:18" x14ac:dyDescent="0.25">
      <c r="A581" s="170">
        <v>43487</v>
      </c>
      <c r="B581" s="116">
        <v>1691</v>
      </c>
      <c r="C581" s="116">
        <v>1668.75</v>
      </c>
      <c r="D581" s="116">
        <v>1649.45</v>
      </c>
      <c r="E581" s="116">
        <v>1656.15</v>
      </c>
      <c r="F581" s="116">
        <v>1668.75</v>
      </c>
      <c r="G581">
        <v>19597</v>
      </c>
      <c r="H581" s="116"/>
      <c r="I581" s="116"/>
      <c r="L581" s="170">
        <v>43487</v>
      </c>
      <c r="M581" s="116">
        <v>1666.2</v>
      </c>
      <c r="N581" s="116">
        <v>1692.95</v>
      </c>
      <c r="O581" s="116">
        <v>1647</v>
      </c>
      <c r="P581" s="116">
        <v>1650.2</v>
      </c>
      <c r="Q581" s="116">
        <v>1666.2</v>
      </c>
      <c r="R581">
        <v>84041</v>
      </c>
    </row>
    <row r="582" spans="1:18" x14ac:dyDescent="0.25">
      <c r="A582" s="170">
        <v>43488</v>
      </c>
      <c r="B582" s="116">
        <v>1687.35</v>
      </c>
      <c r="C582" s="116">
        <v>1665.4</v>
      </c>
      <c r="D582" s="116">
        <v>1652.2</v>
      </c>
      <c r="E582" s="116">
        <v>1668.95</v>
      </c>
      <c r="F582" s="116">
        <v>1665.4</v>
      </c>
      <c r="G582">
        <v>6862</v>
      </c>
      <c r="H582" s="116"/>
      <c r="I582" s="116"/>
      <c r="L582" s="170">
        <v>43488</v>
      </c>
      <c r="M582" s="116">
        <v>1669.85</v>
      </c>
      <c r="N582" s="116">
        <v>1689.9</v>
      </c>
      <c r="O582" s="116">
        <v>1650.75</v>
      </c>
      <c r="P582" s="116">
        <v>1667</v>
      </c>
      <c r="Q582" s="116">
        <v>1669.85</v>
      </c>
      <c r="R582">
        <v>64475</v>
      </c>
    </row>
    <row r="583" spans="1:18" x14ac:dyDescent="0.25">
      <c r="A583" s="170">
        <v>43489</v>
      </c>
      <c r="B583" s="116">
        <v>1687.95</v>
      </c>
      <c r="C583" s="116">
        <v>1682.35</v>
      </c>
      <c r="D583" s="116">
        <v>1653.45</v>
      </c>
      <c r="E583" s="116">
        <v>1659.4</v>
      </c>
      <c r="F583" s="116">
        <v>1682.35</v>
      </c>
      <c r="G583">
        <v>7096</v>
      </c>
      <c r="H583" s="116"/>
      <c r="I583" s="116"/>
      <c r="L583" s="170">
        <v>43489</v>
      </c>
      <c r="M583" s="116">
        <v>1680.9</v>
      </c>
      <c r="N583" s="116">
        <v>1686.75</v>
      </c>
      <c r="O583" s="116">
        <v>1656</v>
      </c>
      <c r="P583" s="116">
        <v>1665.95</v>
      </c>
      <c r="Q583" s="116">
        <v>1680.9</v>
      </c>
      <c r="R583">
        <v>48407</v>
      </c>
    </row>
    <row r="584" spans="1:18" x14ac:dyDescent="0.25">
      <c r="A584" s="170">
        <v>43490</v>
      </c>
      <c r="B584" s="116">
        <v>1718.75</v>
      </c>
      <c r="C584" s="116">
        <v>1671.7</v>
      </c>
      <c r="D584" s="116">
        <v>1660</v>
      </c>
      <c r="E584" s="116">
        <v>1666.55</v>
      </c>
      <c r="F584" s="116">
        <v>1671.7</v>
      </c>
      <c r="G584">
        <v>25531</v>
      </c>
      <c r="H584" s="116"/>
      <c r="I584" s="116"/>
      <c r="L584" s="170">
        <v>43490</v>
      </c>
      <c r="M584" s="116">
        <v>1677.65</v>
      </c>
      <c r="N584" s="116">
        <v>1720</v>
      </c>
      <c r="O584" s="116">
        <v>1673</v>
      </c>
      <c r="P584" s="116">
        <v>1676</v>
      </c>
      <c r="Q584" s="116">
        <v>1677.65</v>
      </c>
      <c r="R584">
        <v>106480</v>
      </c>
    </row>
    <row r="585" spans="1:18" x14ac:dyDescent="0.25">
      <c r="A585" s="170">
        <v>43493</v>
      </c>
      <c r="B585" s="116">
        <v>1716.95</v>
      </c>
      <c r="C585" s="116">
        <v>1707.3</v>
      </c>
      <c r="D585" s="116">
        <v>1680</v>
      </c>
      <c r="E585" s="116">
        <v>1684.95</v>
      </c>
      <c r="F585" s="116">
        <v>1707.3</v>
      </c>
      <c r="G585">
        <v>25822</v>
      </c>
      <c r="H585" s="116"/>
      <c r="I585" s="116"/>
      <c r="L585" s="170">
        <v>43493</v>
      </c>
      <c r="M585" s="116">
        <v>1708.75</v>
      </c>
      <c r="N585" s="116">
        <v>1719</v>
      </c>
      <c r="O585" s="116">
        <v>1671.1</v>
      </c>
      <c r="P585" s="116">
        <v>1689.95</v>
      </c>
      <c r="Q585" s="116">
        <v>1708.75</v>
      </c>
      <c r="R585">
        <v>105494</v>
      </c>
    </row>
    <row r="586" spans="1:18" x14ac:dyDescent="0.25">
      <c r="A586" s="170">
        <v>43494</v>
      </c>
      <c r="B586" s="116">
        <v>1719.45</v>
      </c>
      <c r="C586" s="116">
        <v>1689.8</v>
      </c>
      <c r="D586" s="116">
        <v>1674.4</v>
      </c>
      <c r="E586" s="116">
        <v>1708</v>
      </c>
      <c r="F586" s="116">
        <v>1689.8</v>
      </c>
      <c r="G586">
        <v>5701</v>
      </c>
      <c r="H586" s="116"/>
      <c r="I586" s="116"/>
      <c r="L586" s="170">
        <v>43494</v>
      </c>
      <c r="M586" s="116">
        <v>1690.55</v>
      </c>
      <c r="N586" s="116">
        <v>1720</v>
      </c>
      <c r="O586" s="116">
        <v>1675.6</v>
      </c>
      <c r="P586" s="116">
        <v>1700</v>
      </c>
      <c r="Q586" s="116">
        <v>1690.55</v>
      </c>
      <c r="R586">
        <v>93543</v>
      </c>
    </row>
    <row r="587" spans="1:18" x14ac:dyDescent="0.25">
      <c r="A587" s="170">
        <v>43495</v>
      </c>
      <c r="B587" s="116">
        <v>1646</v>
      </c>
      <c r="C587" s="116">
        <v>1621.2</v>
      </c>
      <c r="D587" s="116">
        <v>1617.05</v>
      </c>
      <c r="E587" s="116">
        <v>1638</v>
      </c>
      <c r="F587" s="116">
        <v>1621.2</v>
      </c>
      <c r="G587">
        <v>39181</v>
      </c>
      <c r="H587" s="116"/>
      <c r="I587" s="116"/>
      <c r="L587" s="170">
        <v>43495</v>
      </c>
      <c r="M587" s="116">
        <v>1620.1</v>
      </c>
      <c r="N587" s="116">
        <v>1646.5</v>
      </c>
      <c r="O587" s="116">
        <v>1616.25</v>
      </c>
      <c r="P587" s="116">
        <v>1635</v>
      </c>
      <c r="Q587" s="116">
        <v>1620.1</v>
      </c>
      <c r="R587">
        <v>257267</v>
      </c>
    </row>
    <row r="588" spans="1:18" x14ac:dyDescent="0.25">
      <c r="A588" s="170">
        <v>43496</v>
      </c>
      <c r="B588" s="116">
        <v>1624.15</v>
      </c>
      <c r="C588" s="116">
        <v>1588.1</v>
      </c>
      <c r="D588" s="116">
        <v>1572</v>
      </c>
      <c r="E588" s="116">
        <v>1621.2</v>
      </c>
      <c r="F588" s="116">
        <v>1588.1</v>
      </c>
      <c r="G588">
        <v>34798</v>
      </c>
      <c r="H588" s="116"/>
      <c r="I588" s="116"/>
      <c r="L588" s="170">
        <v>43496</v>
      </c>
      <c r="M588" s="116">
        <v>1585.25</v>
      </c>
      <c r="N588" s="116">
        <v>1624</v>
      </c>
      <c r="O588" s="116">
        <v>1575</v>
      </c>
      <c r="P588" s="116">
        <v>1624</v>
      </c>
      <c r="Q588" s="116">
        <v>1585.25</v>
      </c>
      <c r="R588">
        <v>215895</v>
      </c>
    </row>
    <row r="589" spans="1:18" x14ac:dyDescent="0.25">
      <c r="A589" s="170">
        <v>43497</v>
      </c>
      <c r="B589" s="116">
        <v>1615.35</v>
      </c>
      <c r="C589" s="116">
        <v>1599</v>
      </c>
      <c r="D589" s="116">
        <v>1580.05</v>
      </c>
      <c r="E589" s="116">
        <v>1580.05</v>
      </c>
      <c r="F589" s="116">
        <v>1599</v>
      </c>
      <c r="G589">
        <v>7269</v>
      </c>
      <c r="H589" s="116"/>
      <c r="I589" s="116"/>
      <c r="L589" s="170">
        <v>43497</v>
      </c>
      <c r="M589" s="116">
        <v>1599.6</v>
      </c>
      <c r="N589" s="116">
        <v>1615</v>
      </c>
      <c r="O589" s="116">
        <v>1582</v>
      </c>
      <c r="P589" s="116">
        <v>1582</v>
      </c>
      <c r="Q589" s="116">
        <v>1599.6</v>
      </c>
      <c r="R589">
        <v>80452</v>
      </c>
    </row>
    <row r="590" spans="1:18" x14ac:dyDescent="0.25">
      <c r="A590" s="170">
        <v>43500</v>
      </c>
      <c r="B590" s="116">
        <v>1621.9</v>
      </c>
      <c r="C590" s="116">
        <v>1561.25</v>
      </c>
      <c r="D590" s="116">
        <v>1537</v>
      </c>
      <c r="E590" s="116">
        <v>1621.9</v>
      </c>
      <c r="F590" s="116">
        <v>1561.25</v>
      </c>
      <c r="G590">
        <v>20650</v>
      </c>
      <c r="H590" s="116"/>
      <c r="I590" s="116"/>
      <c r="L590" s="170">
        <v>43500</v>
      </c>
      <c r="M590" s="116">
        <v>1559.15</v>
      </c>
      <c r="N590" s="116">
        <v>1603</v>
      </c>
      <c r="O590" s="116">
        <v>1535</v>
      </c>
      <c r="P590" s="116">
        <v>1599.95</v>
      </c>
      <c r="Q590" s="116">
        <v>1559.15</v>
      </c>
      <c r="R590">
        <v>130453</v>
      </c>
    </row>
    <row r="591" spans="1:18" x14ac:dyDescent="0.25">
      <c r="A591" s="170">
        <v>43501</v>
      </c>
      <c r="B591" s="116">
        <v>1603.95</v>
      </c>
      <c r="C591" s="116">
        <v>1595</v>
      </c>
      <c r="D591" s="116">
        <v>1548</v>
      </c>
      <c r="E591" s="116">
        <v>1560</v>
      </c>
      <c r="F591" s="116">
        <v>1595</v>
      </c>
      <c r="G591">
        <v>30600</v>
      </c>
      <c r="H591" s="116"/>
      <c r="I591" s="116"/>
      <c r="L591" s="170">
        <v>43501</v>
      </c>
      <c r="M591" s="116">
        <v>1595.55</v>
      </c>
      <c r="N591" s="116">
        <v>1604</v>
      </c>
      <c r="O591" s="116">
        <v>1544.3</v>
      </c>
      <c r="P591" s="116">
        <v>1576.8</v>
      </c>
      <c r="Q591" s="116">
        <v>1595.55</v>
      </c>
      <c r="R591">
        <v>157363</v>
      </c>
    </row>
    <row r="592" spans="1:18" x14ac:dyDescent="0.25">
      <c r="A592" s="170">
        <v>43502</v>
      </c>
      <c r="B592" s="116">
        <v>1609.4</v>
      </c>
      <c r="C592" s="116">
        <v>1584.9</v>
      </c>
      <c r="D592" s="116">
        <v>1569</v>
      </c>
      <c r="E592" s="116">
        <v>1600</v>
      </c>
      <c r="F592" s="116">
        <v>1584.9</v>
      </c>
      <c r="G592">
        <v>4160</v>
      </c>
      <c r="H592" s="116"/>
      <c r="I592" s="116"/>
      <c r="L592" s="170">
        <v>43502</v>
      </c>
      <c r="M592" s="116">
        <v>1584.55</v>
      </c>
      <c r="N592" s="116">
        <v>1609.35</v>
      </c>
      <c r="O592" s="116">
        <v>1566.05</v>
      </c>
      <c r="P592" s="116">
        <v>1599</v>
      </c>
      <c r="Q592" s="116">
        <v>1584.55</v>
      </c>
      <c r="R592">
        <v>61681</v>
      </c>
    </row>
    <row r="593" spans="1:18" x14ac:dyDescent="0.25">
      <c r="A593" s="170">
        <v>43503</v>
      </c>
      <c r="B593" s="116">
        <v>1602.95</v>
      </c>
      <c r="C593" s="116">
        <v>1579.8</v>
      </c>
      <c r="D593" s="116">
        <v>1575</v>
      </c>
      <c r="E593" s="116">
        <v>1586.15</v>
      </c>
      <c r="F593" s="116">
        <v>1579.8</v>
      </c>
      <c r="G593">
        <v>6743</v>
      </c>
      <c r="H593" s="116"/>
      <c r="I593" s="116"/>
      <c r="L593" s="170">
        <v>43503</v>
      </c>
      <c r="M593" s="116">
        <v>1577.9</v>
      </c>
      <c r="N593" s="116">
        <v>1604</v>
      </c>
      <c r="O593" s="116">
        <v>1571.2</v>
      </c>
      <c r="P593" s="116">
        <v>1580.5</v>
      </c>
      <c r="Q593" s="116">
        <v>1577.9</v>
      </c>
      <c r="R593">
        <v>74751</v>
      </c>
    </row>
    <row r="594" spans="1:18" x14ac:dyDescent="0.25">
      <c r="A594" s="170">
        <v>43504</v>
      </c>
      <c r="B594" s="116">
        <v>1588</v>
      </c>
      <c r="C594" s="116">
        <v>1560.05</v>
      </c>
      <c r="D594" s="116">
        <v>1552.05</v>
      </c>
      <c r="E594" s="116">
        <v>1575.65</v>
      </c>
      <c r="F594" s="116">
        <v>1560.05</v>
      </c>
      <c r="G594">
        <v>30116</v>
      </c>
      <c r="H594" s="116"/>
      <c r="I594" s="116"/>
      <c r="L594" s="170">
        <v>43504</v>
      </c>
      <c r="M594" s="116">
        <v>1556.7</v>
      </c>
      <c r="N594" s="116">
        <v>1590.4</v>
      </c>
      <c r="O594" s="116">
        <v>1551.35</v>
      </c>
      <c r="P594" s="116">
        <v>1580</v>
      </c>
      <c r="Q594" s="116">
        <v>1556.7</v>
      </c>
      <c r="R594">
        <v>139222</v>
      </c>
    </row>
    <row r="595" spans="1:18" x14ac:dyDescent="0.25">
      <c r="A595" s="170">
        <v>43507</v>
      </c>
      <c r="B595" s="116">
        <v>1560.4</v>
      </c>
      <c r="C595" s="116">
        <v>1533.2</v>
      </c>
      <c r="D595" s="116">
        <v>1506.7</v>
      </c>
      <c r="E595" s="116">
        <v>1559.5</v>
      </c>
      <c r="F595" s="116">
        <v>1533.2</v>
      </c>
      <c r="G595">
        <v>41814</v>
      </c>
      <c r="H595" s="116"/>
      <c r="I595" s="116"/>
      <c r="L595" s="170">
        <v>43507</v>
      </c>
      <c r="M595" s="116">
        <v>1532.35</v>
      </c>
      <c r="N595" s="116">
        <v>1567.95</v>
      </c>
      <c r="O595" s="116">
        <v>1505</v>
      </c>
      <c r="P595" s="116">
        <v>1564</v>
      </c>
      <c r="Q595" s="116">
        <v>1532.35</v>
      </c>
      <c r="R595">
        <v>101126</v>
      </c>
    </row>
    <row r="596" spans="1:18" x14ac:dyDescent="0.25">
      <c r="A596" s="170">
        <v>43508</v>
      </c>
      <c r="B596" s="116">
        <v>1558.05</v>
      </c>
      <c r="C596" s="116">
        <v>1545</v>
      </c>
      <c r="D596" s="116">
        <v>1525.5</v>
      </c>
      <c r="E596" s="116">
        <v>1532</v>
      </c>
      <c r="F596" s="116">
        <v>1545</v>
      </c>
      <c r="G596">
        <v>5656</v>
      </c>
      <c r="H596" s="116"/>
      <c r="I596" s="116"/>
      <c r="L596" s="170">
        <v>43508</v>
      </c>
      <c r="M596" s="116">
        <v>1545.45</v>
      </c>
      <c r="N596" s="116">
        <v>1559</v>
      </c>
      <c r="O596" s="116">
        <v>1526.5</v>
      </c>
      <c r="P596" s="116">
        <v>1550</v>
      </c>
      <c r="Q596" s="116">
        <v>1545.45</v>
      </c>
      <c r="R596">
        <v>35575</v>
      </c>
    </row>
    <row r="597" spans="1:18" x14ac:dyDescent="0.25">
      <c r="A597" s="170">
        <v>43509</v>
      </c>
      <c r="B597" s="116">
        <v>1545</v>
      </c>
      <c r="C597" s="116">
        <v>1513.7</v>
      </c>
      <c r="D597" s="116">
        <v>1510</v>
      </c>
      <c r="E597" s="116">
        <v>1545</v>
      </c>
      <c r="F597" s="116">
        <v>1513.7</v>
      </c>
      <c r="G597">
        <v>4474</v>
      </c>
      <c r="H597" s="116"/>
      <c r="I597" s="116"/>
      <c r="L597" s="170">
        <v>43509</v>
      </c>
      <c r="M597" s="116">
        <v>1512.6</v>
      </c>
      <c r="N597" s="116">
        <v>1535</v>
      </c>
      <c r="O597" s="116">
        <v>1503</v>
      </c>
      <c r="P597" s="116">
        <v>1530</v>
      </c>
      <c r="Q597" s="116">
        <v>1512.6</v>
      </c>
      <c r="R597">
        <v>50692</v>
      </c>
    </row>
    <row r="598" spans="1:18" x14ac:dyDescent="0.25">
      <c r="A598" s="170">
        <v>43510</v>
      </c>
      <c r="B598" s="116">
        <v>1527.9</v>
      </c>
      <c r="C598" s="116">
        <v>1511.45</v>
      </c>
      <c r="D598" s="116">
        <v>1503</v>
      </c>
      <c r="E598" s="116">
        <v>1520</v>
      </c>
      <c r="F598" s="116">
        <v>1511.45</v>
      </c>
      <c r="G598">
        <v>14478</v>
      </c>
      <c r="H598" s="116"/>
      <c r="I598" s="116"/>
      <c r="L598" s="170">
        <v>43510</v>
      </c>
      <c r="M598" s="116">
        <v>1507.85</v>
      </c>
      <c r="N598" s="116">
        <v>1527</v>
      </c>
      <c r="O598" s="116">
        <v>1502.2</v>
      </c>
      <c r="P598" s="116">
        <v>1515</v>
      </c>
      <c r="Q598" s="116">
        <v>1507.85</v>
      </c>
      <c r="R598">
        <v>49356</v>
      </c>
    </row>
    <row r="599" spans="1:18" x14ac:dyDescent="0.25">
      <c r="A599" s="170">
        <v>43511</v>
      </c>
      <c r="B599" s="116">
        <v>1534.7</v>
      </c>
      <c r="C599" s="116">
        <v>1504.3</v>
      </c>
      <c r="D599" s="116">
        <v>1470.55</v>
      </c>
      <c r="E599" s="116">
        <v>1515.75</v>
      </c>
      <c r="F599" s="116">
        <v>1504.3</v>
      </c>
      <c r="G599">
        <v>11379</v>
      </c>
      <c r="H599" s="116"/>
      <c r="I599" s="116"/>
      <c r="L599" s="170">
        <v>43511</v>
      </c>
      <c r="M599" s="116">
        <v>1493.6</v>
      </c>
      <c r="N599" s="116">
        <v>1531</v>
      </c>
      <c r="O599" s="116">
        <v>1475</v>
      </c>
      <c r="P599" s="116">
        <v>1531</v>
      </c>
      <c r="Q599" s="116">
        <v>1493.6</v>
      </c>
      <c r="R599">
        <v>118952</v>
      </c>
    </row>
    <row r="600" spans="1:18" x14ac:dyDescent="0.25">
      <c r="A600" s="170">
        <v>43514</v>
      </c>
      <c r="B600" s="116">
        <v>1492.5</v>
      </c>
      <c r="C600" s="116">
        <v>1466.95</v>
      </c>
      <c r="D600" s="116">
        <v>1459.05</v>
      </c>
      <c r="E600" s="116">
        <v>1472.05</v>
      </c>
      <c r="F600" s="116">
        <v>1466.95</v>
      </c>
      <c r="G600">
        <v>4528</v>
      </c>
      <c r="H600" s="116"/>
      <c r="I600" s="116"/>
      <c r="L600" s="170">
        <v>43514</v>
      </c>
      <c r="M600" s="116">
        <v>1466.95</v>
      </c>
      <c r="N600" s="116">
        <v>1492</v>
      </c>
      <c r="O600" s="116">
        <v>1458</v>
      </c>
      <c r="P600" s="116">
        <v>1475</v>
      </c>
      <c r="Q600" s="116">
        <v>1466.95</v>
      </c>
      <c r="R600">
        <v>86810</v>
      </c>
    </row>
    <row r="601" spans="1:18" x14ac:dyDescent="0.25">
      <c r="A601" s="170">
        <v>43515</v>
      </c>
      <c r="B601" s="116">
        <v>1488.9</v>
      </c>
      <c r="C601" s="116">
        <v>1417.1</v>
      </c>
      <c r="D601" s="116">
        <v>1412.7</v>
      </c>
      <c r="E601" s="116">
        <v>1473</v>
      </c>
      <c r="F601" s="116">
        <v>1417.1</v>
      </c>
      <c r="G601">
        <v>14847</v>
      </c>
      <c r="H601" s="116"/>
      <c r="I601" s="116"/>
      <c r="L601" s="170">
        <v>43515</v>
      </c>
      <c r="M601" s="116">
        <v>1415.6</v>
      </c>
      <c r="N601" s="116">
        <v>1476</v>
      </c>
      <c r="O601" s="116">
        <v>1410</v>
      </c>
      <c r="P601" s="116">
        <v>1476</v>
      </c>
      <c r="Q601" s="116">
        <v>1415.6</v>
      </c>
      <c r="R601">
        <v>223726</v>
      </c>
    </row>
    <row r="602" spans="1:18" x14ac:dyDescent="0.25">
      <c r="A602" s="170">
        <v>43516</v>
      </c>
      <c r="B602" s="116">
        <v>1465.95</v>
      </c>
      <c r="C602" s="116">
        <v>1460.9</v>
      </c>
      <c r="D602" s="116">
        <v>1405</v>
      </c>
      <c r="E602" s="116">
        <v>1433.95</v>
      </c>
      <c r="F602" s="116">
        <v>1460.9</v>
      </c>
      <c r="G602">
        <v>21753</v>
      </c>
      <c r="H602" s="116"/>
      <c r="I602" s="116"/>
      <c r="L602" s="170">
        <v>43516</v>
      </c>
      <c r="M602" s="116">
        <v>1461.15</v>
      </c>
      <c r="N602" s="116">
        <v>1469.7</v>
      </c>
      <c r="O602" s="116">
        <v>1404.9</v>
      </c>
      <c r="P602" s="116">
        <v>1427.65</v>
      </c>
      <c r="Q602" s="116">
        <v>1461.15</v>
      </c>
      <c r="R602">
        <v>215215</v>
      </c>
    </row>
    <row r="603" spans="1:18" x14ac:dyDescent="0.25">
      <c r="A603" s="170">
        <v>43517</v>
      </c>
      <c r="B603" s="116">
        <v>1496.7</v>
      </c>
      <c r="C603" s="116">
        <v>1489.35</v>
      </c>
      <c r="D603" s="116">
        <v>1465.95</v>
      </c>
      <c r="E603" s="116">
        <v>1468.05</v>
      </c>
      <c r="F603" s="116">
        <v>1489.35</v>
      </c>
      <c r="G603">
        <v>4522</v>
      </c>
      <c r="H603" s="116"/>
      <c r="I603" s="116"/>
      <c r="L603" s="170">
        <v>43517</v>
      </c>
      <c r="M603" s="116">
        <v>1486.75</v>
      </c>
      <c r="N603" s="116">
        <v>1495</v>
      </c>
      <c r="O603" s="116">
        <v>1472.2</v>
      </c>
      <c r="P603" s="116">
        <v>1473.3</v>
      </c>
      <c r="Q603" s="116">
        <v>1486.75</v>
      </c>
      <c r="R603">
        <v>161868</v>
      </c>
    </row>
    <row r="604" spans="1:18" x14ac:dyDescent="0.25">
      <c r="A604" s="170">
        <v>43518</v>
      </c>
      <c r="B604" s="116">
        <v>1504</v>
      </c>
      <c r="C604" s="116">
        <v>1490.9</v>
      </c>
      <c r="D604" s="116">
        <v>1486</v>
      </c>
      <c r="E604" s="116">
        <v>1496.05</v>
      </c>
      <c r="F604" s="116">
        <v>1490.9</v>
      </c>
      <c r="G604">
        <v>20807</v>
      </c>
      <c r="H604" s="116"/>
      <c r="I604" s="116"/>
      <c r="L604" s="170">
        <v>43518</v>
      </c>
      <c r="M604" s="116">
        <v>1493.25</v>
      </c>
      <c r="N604" s="116">
        <v>1506.95</v>
      </c>
      <c r="O604" s="116">
        <v>1486.2</v>
      </c>
      <c r="P604" s="116">
        <v>1495</v>
      </c>
      <c r="Q604" s="116">
        <v>1493.25</v>
      </c>
      <c r="R604">
        <v>72677</v>
      </c>
    </row>
    <row r="605" spans="1:18" x14ac:dyDescent="0.25">
      <c r="A605" s="170">
        <v>43521</v>
      </c>
      <c r="B605" s="116">
        <v>1521</v>
      </c>
      <c r="C605" s="116">
        <v>1495.35</v>
      </c>
      <c r="D605" s="116">
        <v>1485</v>
      </c>
      <c r="E605" s="116">
        <v>1504</v>
      </c>
      <c r="F605" s="116">
        <v>1495.35</v>
      </c>
      <c r="G605">
        <v>18868</v>
      </c>
      <c r="H605" s="116"/>
      <c r="I605" s="116"/>
      <c r="L605" s="170">
        <v>43521</v>
      </c>
      <c r="M605" s="116">
        <v>1499.35</v>
      </c>
      <c r="N605" s="116">
        <v>1522</v>
      </c>
      <c r="O605" s="116">
        <v>1481.25</v>
      </c>
      <c r="P605" s="116">
        <v>1503.8</v>
      </c>
      <c r="Q605" s="116">
        <v>1499.35</v>
      </c>
      <c r="R605">
        <v>85738</v>
      </c>
    </row>
    <row r="606" spans="1:18" x14ac:dyDescent="0.25">
      <c r="A606" s="170">
        <v>43522</v>
      </c>
      <c r="B606" s="116">
        <v>1518</v>
      </c>
      <c r="C606" s="116">
        <v>1497.15</v>
      </c>
      <c r="D606" s="116">
        <v>1474.7</v>
      </c>
      <c r="E606" s="116">
        <v>1500</v>
      </c>
      <c r="F606" s="116">
        <v>1497.15</v>
      </c>
      <c r="G606">
        <v>6805</v>
      </c>
      <c r="H606" s="116"/>
      <c r="I606" s="116"/>
      <c r="L606" s="170">
        <v>43522</v>
      </c>
      <c r="M606" s="116">
        <v>1498.9</v>
      </c>
      <c r="N606" s="116">
        <v>1511.7</v>
      </c>
      <c r="O606" s="116">
        <v>1467.25</v>
      </c>
      <c r="P606" s="116">
        <v>1495</v>
      </c>
      <c r="Q606" s="116">
        <v>1498.9</v>
      </c>
      <c r="R606">
        <v>118583</v>
      </c>
    </row>
    <row r="607" spans="1:18" x14ac:dyDescent="0.25">
      <c r="A607" s="170">
        <v>43523</v>
      </c>
      <c r="B607" s="116">
        <v>1518.8</v>
      </c>
      <c r="C607" s="116">
        <v>1504.1</v>
      </c>
      <c r="D607" s="116">
        <v>1492.85</v>
      </c>
      <c r="E607" s="116">
        <v>1510.4</v>
      </c>
      <c r="F607" s="116">
        <v>1504.1</v>
      </c>
      <c r="G607">
        <v>5067</v>
      </c>
      <c r="H607" s="116"/>
      <c r="I607" s="116"/>
      <c r="L607" s="170">
        <v>43523</v>
      </c>
      <c r="M607" s="116">
        <v>1502.9</v>
      </c>
      <c r="N607" s="116">
        <v>1520</v>
      </c>
      <c r="O607" s="116">
        <v>1493.65</v>
      </c>
      <c r="P607" s="116">
        <v>1520</v>
      </c>
      <c r="Q607" s="116">
        <v>1502.9</v>
      </c>
      <c r="R607">
        <v>122891</v>
      </c>
    </row>
    <row r="608" spans="1:18" x14ac:dyDescent="0.25">
      <c r="A608" s="170">
        <v>43524</v>
      </c>
      <c r="B608" s="116">
        <v>1545</v>
      </c>
      <c r="C608" s="116">
        <v>1532.4</v>
      </c>
      <c r="D608" s="116">
        <v>1502.9</v>
      </c>
      <c r="E608" s="116">
        <v>1514</v>
      </c>
      <c r="F608" s="116">
        <v>1532.4</v>
      </c>
      <c r="G608">
        <v>24815</v>
      </c>
      <c r="H608" s="116"/>
      <c r="I608" s="116"/>
      <c r="L608" s="170">
        <v>43524</v>
      </c>
      <c r="M608" s="116">
        <v>1535.75</v>
      </c>
      <c r="N608" s="116">
        <v>1545</v>
      </c>
      <c r="O608" s="116">
        <v>1510</v>
      </c>
      <c r="P608" s="116">
        <v>1512</v>
      </c>
      <c r="Q608" s="116">
        <v>1535.75</v>
      </c>
      <c r="R608">
        <v>82446</v>
      </c>
    </row>
    <row r="609" spans="1:18" x14ac:dyDescent="0.25">
      <c r="A609" s="170">
        <v>43525</v>
      </c>
      <c r="B609" s="116">
        <v>1567.2</v>
      </c>
      <c r="C609" s="116">
        <v>1549.45</v>
      </c>
      <c r="D609" s="116">
        <v>1537.25</v>
      </c>
      <c r="E609" s="116">
        <v>1544</v>
      </c>
      <c r="F609" s="116">
        <v>1549.45</v>
      </c>
      <c r="G609">
        <v>23482</v>
      </c>
      <c r="H609" s="116"/>
      <c r="I609" s="116"/>
      <c r="L609" s="170">
        <v>43525</v>
      </c>
      <c r="M609" s="116">
        <v>1550.8</v>
      </c>
      <c r="N609" s="116">
        <v>1569</v>
      </c>
      <c r="O609" s="116">
        <v>1525.25</v>
      </c>
      <c r="P609" s="116">
        <v>1526.3</v>
      </c>
      <c r="Q609" s="116">
        <v>1550.8</v>
      </c>
      <c r="R609">
        <v>86251</v>
      </c>
    </row>
    <row r="610" spans="1:18" x14ac:dyDescent="0.25">
      <c r="A610" s="170">
        <v>43529</v>
      </c>
      <c r="B610" s="116">
        <v>1565</v>
      </c>
      <c r="C610" s="116">
        <v>1532.8</v>
      </c>
      <c r="D610" s="116">
        <v>1527.1</v>
      </c>
      <c r="E610" s="116">
        <v>1549.45</v>
      </c>
      <c r="F610" s="116">
        <v>1532.8</v>
      </c>
      <c r="G610">
        <v>3751</v>
      </c>
      <c r="H610" s="116"/>
      <c r="I610" s="116"/>
      <c r="L610" s="170">
        <v>43529</v>
      </c>
      <c r="M610" s="116">
        <v>1537.5</v>
      </c>
      <c r="N610" s="116">
        <v>1565.45</v>
      </c>
      <c r="O610" s="116">
        <v>1528</v>
      </c>
      <c r="P610" s="116">
        <v>1551</v>
      </c>
      <c r="Q610" s="116">
        <v>1537.5</v>
      </c>
      <c r="R610">
        <v>48290</v>
      </c>
    </row>
    <row r="611" spans="1:18" x14ac:dyDescent="0.25">
      <c r="A611" s="170">
        <v>43530</v>
      </c>
      <c r="B611" s="116">
        <v>1559</v>
      </c>
      <c r="C611" s="116">
        <v>1540</v>
      </c>
      <c r="D611" s="116">
        <v>1534.1</v>
      </c>
      <c r="E611" s="116">
        <v>1550</v>
      </c>
      <c r="F611" s="116">
        <v>1540</v>
      </c>
      <c r="G611">
        <v>21147</v>
      </c>
      <c r="H611" s="116"/>
      <c r="I611" s="116"/>
      <c r="L611" s="170">
        <v>43530</v>
      </c>
      <c r="M611" s="116">
        <v>1542.95</v>
      </c>
      <c r="N611" s="116">
        <v>1560</v>
      </c>
      <c r="O611" s="116">
        <v>1538</v>
      </c>
      <c r="P611" s="116">
        <v>1538</v>
      </c>
      <c r="Q611" s="116">
        <v>1542.95</v>
      </c>
      <c r="R611">
        <v>58768</v>
      </c>
    </row>
    <row r="612" spans="1:18" x14ac:dyDescent="0.25">
      <c r="A612" s="170">
        <v>43531</v>
      </c>
      <c r="B612" s="116">
        <v>1550</v>
      </c>
      <c r="C612" s="116">
        <v>1527.2</v>
      </c>
      <c r="D612" s="116">
        <v>1522</v>
      </c>
      <c r="E612" s="116">
        <v>1550</v>
      </c>
      <c r="F612" s="116">
        <v>1527.2</v>
      </c>
      <c r="G612">
        <v>20218</v>
      </c>
      <c r="H612" s="116"/>
      <c r="I612" s="116"/>
      <c r="L612" s="170">
        <v>43531</v>
      </c>
      <c r="M612" s="116">
        <v>1530.45</v>
      </c>
      <c r="N612" s="116">
        <v>1555.4</v>
      </c>
      <c r="O612" s="116">
        <v>1525.1</v>
      </c>
      <c r="P612" s="116">
        <v>1545</v>
      </c>
      <c r="Q612" s="116">
        <v>1530.45</v>
      </c>
      <c r="R612">
        <v>81888</v>
      </c>
    </row>
    <row r="613" spans="1:18" x14ac:dyDescent="0.25">
      <c r="A613" s="170">
        <v>43532</v>
      </c>
      <c r="B613" s="116">
        <v>1552</v>
      </c>
      <c r="C613" s="116">
        <v>1542.85</v>
      </c>
      <c r="D613" s="116">
        <v>1522</v>
      </c>
      <c r="E613" s="116">
        <v>1530</v>
      </c>
      <c r="F613" s="116">
        <v>1542.85</v>
      </c>
      <c r="G613">
        <v>16979</v>
      </c>
      <c r="H613" s="116"/>
      <c r="I613" s="116"/>
      <c r="L613" s="170">
        <v>43532</v>
      </c>
      <c r="M613" s="116">
        <v>1543.15</v>
      </c>
      <c r="N613" s="116">
        <v>1554.45</v>
      </c>
      <c r="O613" s="116">
        <v>1520</v>
      </c>
      <c r="P613" s="116">
        <v>1527</v>
      </c>
      <c r="Q613" s="116">
        <v>1543.15</v>
      </c>
      <c r="R613">
        <v>64466</v>
      </c>
    </row>
    <row r="614" spans="1:18" x14ac:dyDescent="0.25">
      <c r="A614" s="170">
        <v>43535</v>
      </c>
      <c r="B614" s="116">
        <v>1560</v>
      </c>
      <c r="C614" s="116">
        <v>1551.15</v>
      </c>
      <c r="D614" s="116">
        <v>1546</v>
      </c>
      <c r="E614" s="116">
        <v>1550</v>
      </c>
      <c r="F614" s="116">
        <v>1551.15</v>
      </c>
      <c r="G614">
        <v>2511</v>
      </c>
      <c r="H614" s="116"/>
      <c r="I614" s="116"/>
      <c r="L614" s="170">
        <v>43535</v>
      </c>
      <c r="M614" s="116">
        <v>1547.55</v>
      </c>
      <c r="N614" s="116">
        <v>1560.25</v>
      </c>
      <c r="O614" s="116">
        <v>1542.8</v>
      </c>
      <c r="P614" s="116">
        <v>1556.85</v>
      </c>
      <c r="Q614" s="116">
        <v>1547.55</v>
      </c>
      <c r="R614">
        <v>56521</v>
      </c>
    </row>
    <row r="615" spans="1:18" x14ac:dyDescent="0.25">
      <c r="A615" s="170">
        <v>43536</v>
      </c>
      <c r="B615" s="116">
        <v>1560</v>
      </c>
      <c r="C615" s="116">
        <v>1547.6</v>
      </c>
      <c r="D615" s="116">
        <v>1535.6</v>
      </c>
      <c r="E615" s="116">
        <v>1555</v>
      </c>
      <c r="F615" s="116">
        <v>1547.6</v>
      </c>
      <c r="G615">
        <v>2222</v>
      </c>
      <c r="H615" s="116"/>
      <c r="I615" s="116"/>
      <c r="L615" s="170">
        <v>43536</v>
      </c>
      <c r="M615" s="116">
        <v>1545.8</v>
      </c>
      <c r="N615" s="116">
        <v>1559.5</v>
      </c>
      <c r="O615" s="116">
        <v>1535</v>
      </c>
      <c r="P615" s="116">
        <v>1547.95</v>
      </c>
      <c r="Q615" s="116">
        <v>1545.8</v>
      </c>
      <c r="R615">
        <v>39223</v>
      </c>
    </row>
    <row r="616" spans="1:18" x14ac:dyDescent="0.25">
      <c r="A616" s="170">
        <v>43537</v>
      </c>
      <c r="B616" s="116">
        <v>1550</v>
      </c>
      <c r="C616" s="116">
        <v>1539.1</v>
      </c>
      <c r="D616" s="116">
        <v>1533.45</v>
      </c>
      <c r="E616" s="116">
        <v>1550</v>
      </c>
      <c r="F616" s="116">
        <v>1539.1</v>
      </c>
      <c r="G616">
        <v>1855</v>
      </c>
      <c r="H616" s="116"/>
      <c r="I616" s="116"/>
      <c r="L616" s="170">
        <v>43537</v>
      </c>
      <c r="M616" s="116">
        <v>1541.15</v>
      </c>
      <c r="N616" s="116">
        <v>1550.05</v>
      </c>
      <c r="O616" s="116">
        <v>1532</v>
      </c>
      <c r="P616" s="116">
        <v>1540</v>
      </c>
      <c r="Q616" s="116">
        <v>1541.15</v>
      </c>
      <c r="R616">
        <v>75210</v>
      </c>
    </row>
    <row r="617" spans="1:18" x14ac:dyDescent="0.25">
      <c r="A617" s="170">
        <v>43538</v>
      </c>
      <c r="B617" s="116">
        <v>1550</v>
      </c>
      <c r="C617" s="116">
        <v>1513.45</v>
      </c>
      <c r="D617" s="116">
        <v>1507</v>
      </c>
      <c r="E617" s="116">
        <v>1550</v>
      </c>
      <c r="F617" s="116">
        <v>1513.45</v>
      </c>
      <c r="G617">
        <v>2477</v>
      </c>
      <c r="H617" s="116"/>
      <c r="I617" s="116"/>
      <c r="L617" s="170">
        <v>43538</v>
      </c>
      <c r="M617" s="116">
        <v>1513.75</v>
      </c>
      <c r="N617" s="116">
        <v>1548</v>
      </c>
      <c r="O617" s="116">
        <v>1506.55</v>
      </c>
      <c r="P617" s="116">
        <v>1548</v>
      </c>
      <c r="Q617" s="116">
        <v>1513.75</v>
      </c>
      <c r="R617">
        <v>63142</v>
      </c>
    </row>
    <row r="618" spans="1:18" x14ac:dyDescent="0.25">
      <c r="A618" s="170">
        <v>43539</v>
      </c>
      <c r="B618" s="116">
        <v>1518</v>
      </c>
      <c r="C618" s="116">
        <v>1502.05</v>
      </c>
      <c r="D618" s="116">
        <v>1494.9</v>
      </c>
      <c r="E618" s="116">
        <v>1510</v>
      </c>
      <c r="F618" s="116">
        <v>1502.05</v>
      </c>
      <c r="G618">
        <v>4409</v>
      </c>
      <c r="H618" s="116"/>
      <c r="I618" s="116"/>
      <c r="L618" s="170">
        <v>43539</v>
      </c>
      <c r="M618" s="116">
        <v>1499.8</v>
      </c>
      <c r="N618" s="116">
        <v>1538</v>
      </c>
      <c r="O618" s="116">
        <v>1495</v>
      </c>
      <c r="P618" s="116">
        <v>1520</v>
      </c>
      <c r="Q618" s="116">
        <v>1499.8</v>
      </c>
      <c r="R618">
        <v>79900</v>
      </c>
    </row>
    <row r="619" spans="1:18" x14ac:dyDescent="0.25">
      <c r="A619" s="170">
        <v>43542</v>
      </c>
      <c r="B619" s="116">
        <v>1515.9</v>
      </c>
      <c r="C619" s="116">
        <v>1490.6</v>
      </c>
      <c r="D619" s="116">
        <v>1478.55</v>
      </c>
      <c r="E619" s="116">
        <v>1510</v>
      </c>
      <c r="F619" s="116">
        <v>1490.6</v>
      </c>
      <c r="G619">
        <v>3906</v>
      </c>
      <c r="H619" s="116"/>
      <c r="I619" s="116"/>
      <c r="L619" s="170">
        <v>43542</v>
      </c>
      <c r="M619" s="116">
        <v>1491.4</v>
      </c>
      <c r="N619" s="116">
        <v>1520</v>
      </c>
      <c r="O619" s="116">
        <v>1477.95</v>
      </c>
      <c r="P619" s="116">
        <v>1520</v>
      </c>
      <c r="Q619" s="116">
        <v>1491.4</v>
      </c>
      <c r="R619">
        <v>29200</v>
      </c>
    </row>
    <row r="620" spans="1:18" x14ac:dyDescent="0.25">
      <c r="A620" s="170">
        <v>43543</v>
      </c>
      <c r="B620" s="116">
        <v>1527</v>
      </c>
      <c r="C620" s="116">
        <v>1486.8</v>
      </c>
      <c r="D620" s="116">
        <v>1473.25</v>
      </c>
      <c r="E620" s="116">
        <v>1496</v>
      </c>
      <c r="F620" s="116">
        <v>1486.8</v>
      </c>
      <c r="G620">
        <v>8785</v>
      </c>
      <c r="H620" s="116"/>
      <c r="I620" s="116"/>
      <c r="L620" s="170">
        <v>43543</v>
      </c>
      <c r="M620" s="116">
        <v>1486.75</v>
      </c>
      <c r="N620" s="116">
        <v>1528.75</v>
      </c>
      <c r="O620" s="116">
        <v>1470.1</v>
      </c>
      <c r="P620" s="116">
        <v>1470.1</v>
      </c>
      <c r="Q620" s="116">
        <v>1486.75</v>
      </c>
      <c r="R620">
        <v>125358</v>
      </c>
    </row>
    <row r="621" spans="1:18" x14ac:dyDescent="0.25">
      <c r="A621" s="170">
        <v>43544</v>
      </c>
      <c r="B621" s="116">
        <v>1526</v>
      </c>
      <c r="C621" s="116">
        <v>1486.75</v>
      </c>
      <c r="D621" s="116">
        <v>1480</v>
      </c>
      <c r="E621" s="116">
        <v>1499.75</v>
      </c>
      <c r="F621" s="116">
        <v>1486.75</v>
      </c>
      <c r="G621">
        <v>17414</v>
      </c>
      <c r="H621" s="116"/>
      <c r="I621" s="116"/>
      <c r="L621" s="170">
        <v>43544</v>
      </c>
      <c r="M621" s="116">
        <v>1487.75</v>
      </c>
      <c r="N621" s="116">
        <v>1529</v>
      </c>
      <c r="O621" s="116">
        <v>1472.85</v>
      </c>
      <c r="P621" s="116">
        <v>1499.45</v>
      </c>
      <c r="Q621" s="116">
        <v>1487.75</v>
      </c>
      <c r="R621">
        <v>127614</v>
      </c>
    </row>
    <row r="622" spans="1:18" x14ac:dyDescent="0.25">
      <c r="A622" s="170">
        <v>43546</v>
      </c>
      <c r="B622" s="116">
        <v>1505</v>
      </c>
      <c r="C622" s="116">
        <v>1488.1</v>
      </c>
      <c r="D622" s="116">
        <v>1482</v>
      </c>
      <c r="E622" s="116">
        <v>1499.1</v>
      </c>
      <c r="F622" s="116">
        <v>1488.1</v>
      </c>
      <c r="G622">
        <v>17530</v>
      </c>
      <c r="H622" s="116"/>
      <c r="I622" s="116"/>
      <c r="L622" s="170">
        <v>43546</v>
      </c>
      <c r="M622" s="116">
        <v>1489.9</v>
      </c>
      <c r="N622" s="116">
        <v>1508.4</v>
      </c>
      <c r="O622" s="116">
        <v>1485</v>
      </c>
      <c r="P622" s="116">
        <v>1489</v>
      </c>
      <c r="Q622" s="116">
        <v>1489.9</v>
      </c>
      <c r="R622">
        <v>48071</v>
      </c>
    </row>
    <row r="623" spans="1:18" x14ac:dyDescent="0.25">
      <c r="A623" s="170">
        <v>43549</v>
      </c>
      <c r="B623" s="116">
        <v>1488</v>
      </c>
      <c r="C623" s="116">
        <v>1446.2</v>
      </c>
      <c r="D623" s="116">
        <v>1433</v>
      </c>
      <c r="E623" s="116">
        <v>1488</v>
      </c>
      <c r="F623" s="116">
        <v>1446.2</v>
      </c>
      <c r="G623">
        <v>23366</v>
      </c>
      <c r="H623" s="116"/>
      <c r="I623" s="116"/>
      <c r="L623" s="170">
        <v>43549</v>
      </c>
      <c r="M623" s="116">
        <v>1441.4</v>
      </c>
      <c r="N623" s="116">
        <v>1482.05</v>
      </c>
      <c r="O623" s="116">
        <v>1429</v>
      </c>
      <c r="P623" s="116">
        <v>1475</v>
      </c>
      <c r="Q623" s="116">
        <v>1441.4</v>
      </c>
      <c r="R623">
        <v>132257</v>
      </c>
    </row>
    <row r="624" spans="1:18" x14ac:dyDescent="0.25">
      <c r="A624" s="170">
        <v>43550</v>
      </c>
      <c r="B624" s="116">
        <v>1467</v>
      </c>
      <c r="C624" s="116">
        <v>1464.1</v>
      </c>
      <c r="D624" s="116">
        <v>1440</v>
      </c>
      <c r="E624" s="116">
        <v>1450</v>
      </c>
      <c r="F624" s="116">
        <v>1464.1</v>
      </c>
      <c r="G624">
        <v>14983</v>
      </c>
      <c r="H624" s="116"/>
      <c r="I624" s="116"/>
      <c r="L624" s="170">
        <v>43550</v>
      </c>
      <c r="M624" s="116">
        <v>1463.1</v>
      </c>
      <c r="N624" s="116">
        <v>1468</v>
      </c>
      <c r="O624" s="116">
        <v>1447.2</v>
      </c>
      <c r="P624" s="116">
        <v>1447.2</v>
      </c>
      <c r="Q624" s="116">
        <v>1463.1</v>
      </c>
      <c r="R624">
        <v>60895</v>
      </c>
    </row>
    <row r="625" spans="1:18" x14ac:dyDescent="0.25">
      <c r="A625" s="170">
        <v>43551</v>
      </c>
      <c r="B625" s="116">
        <v>1490</v>
      </c>
      <c r="C625" s="116">
        <v>1463.45</v>
      </c>
      <c r="D625" s="116">
        <v>1452.5</v>
      </c>
      <c r="E625" s="116">
        <v>1470</v>
      </c>
      <c r="F625" s="116">
        <v>1463.45</v>
      </c>
      <c r="G625">
        <v>4943</v>
      </c>
      <c r="H625" s="116"/>
      <c r="I625" s="116"/>
      <c r="L625" s="170">
        <v>43551</v>
      </c>
      <c r="M625" s="116">
        <v>1465.45</v>
      </c>
      <c r="N625" s="116">
        <v>1489</v>
      </c>
      <c r="O625" s="116">
        <v>1452</v>
      </c>
      <c r="P625" s="116">
        <v>1470</v>
      </c>
      <c r="Q625" s="116">
        <v>1465.45</v>
      </c>
      <c r="R625">
        <v>81711</v>
      </c>
    </row>
    <row r="626" spans="1:18" x14ac:dyDescent="0.25">
      <c r="A626" s="170">
        <v>43552</v>
      </c>
      <c r="B626" s="116">
        <v>1549.9</v>
      </c>
      <c r="C626" s="116">
        <v>1543.45</v>
      </c>
      <c r="D626" s="116">
        <v>1460</v>
      </c>
      <c r="E626" s="116">
        <v>1460</v>
      </c>
      <c r="F626" s="116">
        <v>1543.45</v>
      </c>
      <c r="G626">
        <v>22719</v>
      </c>
      <c r="H626" s="116"/>
      <c r="I626" s="116"/>
      <c r="L626" s="170">
        <v>43552</v>
      </c>
      <c r="M626" s="116">
        <v>1544.85</v>
      </c>
      <c r="N626" s="116">
        <v>1549</v>
      </c>
      <c r="O626" s="116">
        <v>1460</v>
      </c>
      <c r="P626" s="116">
        <v>1460</v>
      </c>
      <c r="Q626" s="116">
        <v>1544.85</v>
      </c>
      <c r="R626">
        <v>147464</v>
      </c>
    </row>
    <row r="627" spans="1:18" x14ac:dyDescent="0.25">
      <c r="A627" s="170">
        <v>43553</v>
      </c>
      <c r="B627" s="116">
        <v>1592.85</v>
      </c>
      <c r="C627" s="116">
        <v>1571.1</v>
      </c>
      <c r="D627" s="116">
        <v>1522.6</v>
      </c>
      <c r="E627" s="116">
        <v>1550.2</v>
      </c>
      <c r="F627" s="116">
        <v>1571.1</v>
      </c>
      <c r="G627">
        <v>16051</v>
      </c>
      <c r="H627" s="116"/>
      <c r="I627" s="116"/>
      <c r="L627" s="170">
        <v>43553</v>
      </c>
      <c r="M627" s="116">
        <v>1572.25</v>
      </c>
      <c r="N627" s="116">
        <v>1599</v>
      </c>
      <c r="O627" s="116">
        <v>1521.6</v>
      </c>
      <c r="P627" s="116">
        <v>1550</v>
      </c>
      <c r="Q627" s="116">
        <v>1572.25</v>
      </c>
      <c r="R627">
        <v>315896</v>
      </c>
    </row>
    <row r="628" spans="1:18" x14ac:dyDescent="0.25">
      <c r="A628" s="170">
        <v>43556</v>
      </c>
      <c r="B628" s="116">
        <v>1613</v>
      </c>
      <c r="C628" s="116">
        <v>1605.1</v>
      </c>
      <c r="D628" s="116">
        <v>1588</v>
      </c>
      <c r="E628" s="116">
        <v>1590</v>
      </c>
      <c r="F628" s="116">
        <v>1605.1</v>
      </c>
      <c r="G628">
        <v>5842</v>
      </c>
      <c r="H628" s="116"/>
      <c r="I628" s="116"/>
      <c r="L628" s="170">
        <v>43556</v>
      </c>
      <c r="M628" s="116">
        <v>1612.05</v>
      </c>
      <c r="N628" s="116">
        <v>1619.1</v>
      </c>
      <c r="O628" s="116">
        <v>1581</v>
      </c>
      <c r="P628" s="116">
        <v>1581</v>
      </c>
      <c r="Q628" s="116">
        <v>1612.05</v>
      </c>
      <c r="R628">
        <v>131735</v>
      </c>
    </row>
    <row r="629" spans="1:18" x14ac:dyDescent="0.25">
      <c r="A629" s="170">
        <v>43557</v>
      </c>
      <c r="B629" s="116">
        <v>1640</v>
      </c>
      <c r="C629" s="116">
        <v>1626.8</v>
      </c>
      <c r="D629" s="116">
        <v>1608.95</v>
      </c>
      <c r="E629" s="116">
        <v>1620</v>
      </c>
      <c r="F629" s="116">
        <v>1626.8</v>
      </c>
      <c r="G629">
        <v>5592</v>
      </c>
      <c r="H629" s="116"/>
      <c r="I629" s="116"/>
      <c r="L629" s="170">
        <v>43557</v>
      </c>
      <c r="M629" s="116">
        <v>1632.35</v>
      </c>
      <c r="N629" s="116">
        <v>1645</v>
      </c>
      <c r="O629" s="116">
        <v>1610</v>
      </c>
      <c r="P629" s="116">
        <v>1623.8</v>
      </c>
      <c r="Q629" s="116">
        <v>1632.35</v>
      </c>
      <c r="R629">
        <v>97134</v>
      </c>
    </row>
    <row r="630" spans="1:18" x14ac:dyDescent="0.25">
      <c r="A630" s="170">
        <v>43558</v>
      </c>
      <c r="B630" s="116">
        <v>1648</v>
      </c>
      <c r="C630" s="116">
        <v>1582.9</v>
      </c>
      <c r="D630" s="116">
        <v>1574.65</v>
      </c>
      <c r="E630" s="116">
        <v>1648</v>
      </c>
      <c r="F630" s="116">
        <v>1582.9</v>
      </c>
      <c r="G630">
        <v>5568</v>
      </c>
      <c r="H630" s="116"/>
      <c r="I630" s="116"/>
      <c r="L630" s="170">
        <v>43558</v>
      </c>
      <c r="M630" s="116">
        <v>1582.2</v>
      </c>
      <c r="N630" s="116">
        <v>1644.95</v>
      </c>
      <c r="O630" s="116">
        <v>1565.05</v>
      </c>
      <c r="P630" s="116">
        <v>1642</v>
      </c>
      <c r="Q630" s="116">
        <v>1582.2</v>
      </c>
      <c r="R630">
        <v>134456</v>
      </c>
    </row>
    <row r="631" spans="1:18" x14ac:dyDescent="0.25">
      <c r="A631" s="170">
        <v>43559</v>
      </c>
      <c r="B631" s="116">
        <v>1614.9</v>
      </c>
      <c r="C631" s="116">
        <v>1582.9</v>
      </c>
      <c r="D631" s="116">
        <v>1573</v>
      </c>
      <c r="E631" s="116">
        <v>1585</v>
      </c>
      <c r="F631" s="116">
        <v>1582.9</v>
      </c>
      <c r="G631">
        <v>18195</v>
      </c>
      <c r="H631" s="116"/>
      <c r="I631" s="116"/>
      <c r="L631" s="170">
        <v>43559</v>
      </c>
      <c r="M631" s="116">
        <v>1584</v>
      </c>
      <c r="N631" s="116">
        <v>1618.15</v>
      </c>
      <c r="O631" s="116">
        <v>1571.25</v>
      </c>
      <c r="P631" s="116">
        <v>1590</v>
      </c>
      <c r="Q631" s="116">
        <v>1584</v>
      </c>
      <c r="R631">
        <v>65547</v>
      </c>
    </row>
    <row r="632" spans="1:18" x14ac:dyDescent="0.25">
      <c r="A632" s="170">
        <v>43560</v>
      </c>
      <c r="B632" s="116">
        <v>1610</v>
      </c>
      <c r="C632" s="116">
        <v>1602.2</v>
      </c>
      <c r="D632" s="116">
        <v>1576.3</v>
      </c>
      <c r="E632" s="116">
        <v>1596.1</v>
      </c>
      <c r="F632" s="116">
        <v>1602.2</v>
      </c>
      <c r="G632">
        <v>3214</v>
      </c>
      <c r="H632" s="116"/>
      <c r="I632" s="116"/>
      <c r="L632" s="170">
        <v>43560</v>
      </c>
      <c r="M632" s="116">
        <v>1608.7</v>
      </c>
      <c r="N632" s="116">
        <v>1616</v>
      </c>
      <c r="O632" s="116">
        <v>1577</v>
      </c>
      <c r="P632" s="116">
        <v>1585</v>
      </c>
      <c r="Q632" s="116">
        <v>1608.7</v>
      </c>
      <c r="R632">
        <v>49652</v>
      </c>
    </row>
    <row r="633" spans="1:18" x14ac:dyDescent="0.25">
      <c r="A633" s="170">
        <v>43563</v>
      </c>
      <c r="B633" s="116">
        <v>1605.55</v>
      </c>
      <c r="C633" s="116">
        <v>1594.85</v>
      </c>
      <c r="D633" s="116">
        <v>1577.85</v>
      </c>
      <c r="E633" s="116">
        <v>1592.1</v>
      </c>
      <c r="F633" s="116">
        <v>1594.85</v>
      </c>
      <c r="G633">
        <v>24720</v>
      </c>
      <c r="H633" s="116"/>
      <c r="I633" s="116"/>
      <c r="L633" s="170">
        <v>43563</v>
      </c>
      <c r="M633" s="116">
        <v>1595.65</v>
      </c>
      <c r="N633" s="116">
        <v>1617</v>
      </c>
      <c r="O633" s="116">
        <v>1576.55</v>
      </c>
      <c r="P633" s="116">
        <v>1617</v>
      </c>
      <c r="Q633" s="116">
        <v>1595.65</v>
      </c>
      <c r="R633">
        <v>31538</v>
      </c>
    </row>
    <row r="634" spans="1:18" x14ac:dyDescent="0.25">
      <c r="A634" s="170">
        <v>43564</v>
      </c>
      <c r="B634" s="116">
        <v>1600</v>
      </c>
      <c r="C634" s="116">
        <v>1586.7</v>
      </c>
      <c r="D634" s="116">
        <v>1563.05</v>
      </c>
      <c r="E634" s="116">
        <v>1585</v>
      </c>
      <c r="F634" s="116">
        <v>1586.7</v>
      </c>
      <c r="G634">
        <v>5045</v>
      </c>
      <c r="H634" s="116"/>
      <c r="I634" s="116"/>
      <c r="L634" s="170">
        <v>43564</v>
      </c>
      <c r="M634" s="116">
        <v>1591.4</v>
      </c>
      <c r="N634" s="116">
        <v>1610</v>
      </c>
      <c r="O634" s="116">
        <v>1561</v>
      </c>
      <c r="P634" s="116">
        <v>1600</v>
      </c>
      <c r="Q634" s="116">
        <v>1591.4</v>
      </c>
      <c r="R634">
        <v>41320</v>
      </c>
    </row>
    <row r="635" spans="1:18" x14ac:dyDescent="0.25">
      <c r="A635" s="170">
        <v>43565</v>
      </c>
      <c r="B635" s="116">
        <v>1610</v>
      </c>
      <c r="C635" s="116">
        <v>1599.75</v>
      </c>
      <c r="D635" s="116">
        <v>1585.05</v>
      </c>
      <c r="E635" s="116">
        <v>1593</v>
      </c>
      <c r="F635" s="116">
        <v>1599.75</v>
      </c>
      <c r="G635">
        <v>2251</v>
      </c>
      <c r="H635" s="116"/>
      <c r="I635" s="116"/>
      <c r="L635" s="170">
        <v>43565</v>
      </c>
      <c r="M635" s="116">
        <v>1601.05</v>
      </c>
      <c r="N635" s="116">
        <v>1611</v>
      </c>
      <c r="O635" s="116">
        <v>1581.05</v>
      </c>
      <c r="P635" s="116">
        <v>1591</v>
      </c>
      <c r="Q635" s="116">
        <v>1601.05</v>
      </c>
      <c r="R635">
        <v>40121</v>
      </c>
    </row>
    <row r="636" spans="1:18" x14ac:dyDescent="0.25">
      <c r="A636" s="170">
        <v>43566</v>
      </c>
      <c r="B636" s="116">
        <v>1647.2</v>
      </c>
      <c r="C636" s="116">
        <v>1629.45</v>
      </c>
      <c r="D636" s="116">
        <v>1601.6</v>
      </c>
      <c r="E636" s="116">
        <v>1605</v>
      </c>
      <c r="F636" s="116">
        <v>1629.45</v>
      </c>
      <c r="G636">
        <v>27803</v>
      </c>
      <c r="H636" s="116"/>
      <c r="I636" s="116"/>
      <c r="L636" s="170">
        <v>43566</v>
      </c>
      <c r="M636" s="116">
        <v>1632.95</v>
      </c>
      <c r="N636" s="116">
        <v>1650</v>
      </c>
      <c r="O636" s="116">
        <v>1601.25</v>
      </c>
      <c r="P636" s="116">
        <v>1616</v>
      </c>
      <c r="Q636" s="116">
        <v>1632.95</v>
      </c>
      <c r="R636">
        <v>135581</v>
      </c>
    </row>
    <row r="637" spans="1:18" x14ac:dyDescent="0.25">
      <c r="A637" s="170">
        <v>43567</v>
      </c>
      <c r="B637" s="116">
        <v>1674</v>
      </c>
      <c r="C637" s="116">
        <v>1649.7</v>
      </c>
      <c r="D637" s="116">
        <v>1628.5</v>
      </c>
      <c r="E637" s="116">
        <v>1642</v>
      </c>
      <c r="F637" s="116">
        <v>1649.7</v>
      </c>
      <c r="G637">
        <v>5169</v>
      </c>
      <c r="H637" s="116"/>
      <c r="I637" s="116"/>
      <c r="L637" s="170">
        <v>43567</v>
      </c>
      <c r="M637" s="116">
        <v>1654.5</v>
      </c>
      <c r="N637" s="116">
        <v>1674</v>
      </c>
      <c r="O637" s="116">
        <v>1630</v>
      </c>
      <c r="P637" s="116">
        <v>1635</v>
      </c>
      <c r="Q637" s="116">
        <v>1654.5</v>
      </c>
      <c r="R637">
        <v>131513</v>
      </c>
    </row>
    <row r="638" spans="1:18" x14ac:dyDescent="0.25">
      <c r="A638" s="170">
        <v>43570</v>
      </c>
      <c r="B638" s="116">
        <v>1700</v>
      </c>
      <c r="C638" s="116">
        <v>1685.65</v>
      </c>
      <c r="D638" s="116">
        <v>1654.5</v>
      </c>
      <c r="E638" s="116">
        <v>1654.5</v>
      </c>
      <c r="F638" s="116">
        <v>1685.65</v>
      </c>
      <c r="G638">
        <v>29803</v>
      </c>
      <c r="H638" s="116"/>
      <c r="I638" s="116"/>
      <c r="L638" s="170">
        <v>43570</v>
      </c>
      <c r="M638" s="116">
        <v>1692.6</v>
      </c>
      <c r="N638" s="116">
        <v>1704</v>
      </c>
      <c r="O638" s="116">
        <v>1655</v>
      </c>
      <c r="P638" s="116">
        <v>1655</v>
      </c>
      <c r="Q638" s="116">
        <v>1692.6</v>
      </c>
      <c r="R638">
        <v>128681</v>
      </c>
    </row>
    <row r="639" spans="1:18" x14ac:dyDescent="0.25">
      <c r="A639" s="170">
        <v>43571</v>
      </c>
      <c r="B639" s="116">
        <v>1710</v>
      </c>
      <c r="C639" s="116">
        <v>1668.25</v>
      </c>
      <c r="D639" s="116">
        <v>1652</v>
      </c>
      <c r="E639" s="116">
        <v>1704.35</v>
      </c>
      <c r="F639" s="116">
        <v>1668.25</v>
      </c>
      <c r="G639">
        <v>4355</v>
      </c>
      <c r="H639" s="116"/>
      <c r="I639" s="116"/>
      <c r="L639" s="170">
        <v>43571</v>
      </c>
      <c r="M639" s="116">
        <v>1664.6</v>
      </c>
      <c r="N639" s="116">
        <v>1714.85</v>
      </c>
      <c r="O639" s="116">
        <v>1650</v>
      </c>
      <c r="P639" s="116">
        <v>1699.6</v>
      </c>
      <c r="Q639" s="116">
        <v>1664.6</v>
      </c>
      <c r="R639">
        <v>71692</v>
      </c>
    </row>
    <row r="640" spans="1:18" x14ac:dyDescent="0.25">
      <c r="A640" s="170">
        <v>43573</v>
      </c>
      <c r="B640" s="116">
        <v>1727</v>
      </c>
      <c r="C640" s="116">
        <v>1679.85</v>
      </c>
      <c r="D640" s="116">
        <v>1673.2</v>
      </c>
      <c r="E640" s="116">
        <v>1690</v>
      </c>
      <c r="F640" s="116">
        <v>1679.85</v>
      </c>
      <c r="G640">
        <v>28104</v>
      </c>
      <c r="H640" s="116"/>
      <c r="I640" s="116"/>
      <c r="L640" s="170">
        <v>43573</v>
      </c>
      <c r="M640" s="116">
        <v>1680.4</v>
      </c>
      <c r="N640" s="116">
        <v>1728</v>
      </c>
      <c r="O640" s="116">
        <v>1674</v>
      </c>
      <c r="P640" s="116">
        <v>1675</v>
      </c>
      <c r="Q640" s="116">
        <v>1680.4</v>
      </c>
      <c r="R640">
        <v>175969</v>
      </c>
    </row>
    <row r="641" spans="1:18" x14ac:dyDescent="0.25">
      <c r="A641" s="170">
        <v>43577</v>
      </c>
      <c r="B641" s="116">
        <v>1708.7</v>
      </c>
      <c r="C641" s="116">
        <v>1671.1</v>
      </c>
      <c r="D641" s="116">
        <v>1661</v>
      </c>
      <c r="E641" s="116">
        <v>1679.85</v>
      </c>
      <c r="F641" s="116">
        <v>1671.1</v>
      </c>
      <c r="G641">
        <v>5332</v>
      </c>
      <c r="H641" s="116"/>
      <c r="I641" s="116"/>
      <c r="L641" s="170">
        <v>43577</v>
      </c>
      <c r="M641" s="116">
        <v>1666.3</v>
      </c>
      <c r="N641" s="116">
        <v>1711.1</v>
      </c>
      <c r="O641" s="116">
        <v>1658.95</v>
      </c>
      <c r="P641" s="116">
        <v>1670</v>
      </c>
      <c r="Q641" s="116">
        <v>1666.3</v>
      </c>
      <c r="R641">
        <v>79060</v>
      </c>
    </row>
    <row r="642" spans="1:18" x14ac:dyDescent="0.25">
      <c r="A642" s="170">
        <v>43578</v>
      </c>
      <c r="B642" s="116">
        <v>1708</v>
      </c>
      <c r="C642" s="116">
        <v>1696.1</v>
      </c>
      <c r="D642" s="116">
        <v>1677.45</v>
      </c>
      <c r="E642" s="116">
        <v>1685</v>
      </c>
      <c r="F642" s="116">
        <v>1696.1</v>
      </c>
      <c r="G642">
        <v>2699</v>
      </c>
      <c r="H642" s="116"/>
      <c r="I642" s="116"/>
      <c r="L642" s="170">
        <v>43578</v>
      </c>
      <c r="M642" s="116">
        <v>1696</v>
      </c>
      <c r="N642" s="116">
        <v>1709.7</v>
      </c>
      <c r="O642" s="116">
        <v>1672.45</v>
      </c>
      <c r="P642" s="116">
        <v>1672.45</v>
      </c>
      <c r="Q642" s="116">
        <v>1696</v>
      </c>
      <c r="R642">
        <v>146234</v>
      </c>
    </row>
    <row r="643" spans="1:18" x14ac:dyDescent="0.25">
      <c r="A643" s="170">
        <v>43579</v>
      </c>
      <c r="B643" s="116">
        <v>1702</v>
      </c>
      <c r="C643" s="116">
        <v>1697.95</v>
      </c>
      <c r="D643" s="116">
        <v>1666.95</v>
      </c>
      <c r="E643" s="116">
        <v>1699.95</v>
      </c>
      <c r="F643" s="116">
        <v>1697.95</v>
      </c>
      <c r="G643">
        <v>3610</v>
      </c>
      <c r="H643" s="116"/>
      <c r="I643" s="116"/>
      <c r="L643" s="170">
        <v>43579</v>
      </c>
      <c r="M643" s="116">
        <v>1695.25</v>
      </c>
      <c r="N643" s="116">
        <v>1706.65</v>
      </c>
      <c r="O643" s="116">
        <v>1666.5</v>
      </c>
      <c r="P643" s="116">
        <v>1703.45</v>
      </c>
      <c r="Q643" s="116">
        <v>1695.25</v>
      </c>
      <c r="R643">
        <v>37140</v>
      </c>
    </row>
    <row r="644" spans="1:18" x14ac:dyDescent="0.25">
      <c r="A644" s="170">
        <v>43580</v>
      </c>
      <c r="B644" s="116">
        <v>1717</v>
      </c>
      <c r="C644" s="116">
        <v>1706.2</v>
      </c>
      <c r="D644" s="116">
        <v>1690.35</v>
      </c>
      <c r="E644" s="116">
        <v>1699.95</v>
      </c>
      <c r="F644" s="116">
        <v>1706.2</v>
      </c>
      <c r="G644">
        <v>3447</v>
      </c>
      <c r="H644" s="116"/>
      <c r="I644" s="116"/>
      <c r="L644" s="170">
        <v>43580</v>
      </c>
      <c r="M644" s="116">
        <v>1711.5</v>
      </c>
      <c r="N644" s="116">
        <v>1720</v>
      </c>
      <c r="O644" s="116">
        <v>1687.55</v>
      </c>
      <c r="P644" s="116">
        <v>1699.75</v>
      </c>
      <c r="Q644" s="116">
        <v>1711.5</v>
      </c>
      <c r="R644">
        <v>120236</v>
      </c>
    </row>
    <row r="645" spans="1:18" x14ac:dyDescent="0.25">
      <c r="A645" s="170">
        <v>43581</v>
      </c>
      <c r="B645" s="116">
        <v>1774.7</v>
      </c>
      <c r="C645" s="116">
        <v>1736.55</v>
      </c>
      <c r="D645" s="116">
        <v>1712.25</v>
      </c>
      <c r="E645" s="116">
        <v>1717</v>
      </c>
      <c r="F645" s="116">
        <v>1736.55</v>
      </c>
      <c r="G645">
        <v>26563</v>
      </c>
      <c r="H645" s="116"/>
      <c r="I645" s="116"/>
      <c r="L645" s="170">
        <v>43581</v>
      </c>
      <c r="M645" s="116">
        <v>1731.7</v>
      </c>
      <c r="N645" s="116">
        <v>1774.95</v>
      </c>
      <c r="O645" s="116">
        <v>1710.45</v>
      </c>
      <c r="P645" s="116">
        <v>1720</v>
      </c>
      <c r="Q645" s="116">
        <v>1731.7</v>
      </c>
      <c r="R645">
        <v>124053</v>
      </c>
    </row>
    <row r="646" spans="1:18" x14ac:dyDescent="0.25">
      <c r="A646" s="170">
        <v>43585</v>
      </c>
      <c r="B646" s="116">
        <v>1759.75</v>
      </c>
      <c r="C646" s="116">
        <v>1737.2</v>
      </c>
      <c r="D646" s="116">
        <v>1704.15</v>
      </c>
      <c r="E646" s="116">
        <v>1745</v>
      </c>
      <c r="F646" s="116">
        <v>1737.2</v>
      </c>
      <c r="G646">
        <v>4984</v>
      </c>
      <c r="H646" s="116"/>
      <c r="I646" s="116"/>
      <c r="L646" s="170">
        <v>43585</v>
      </c>
      <c r="M646" s="116">
        <v>1737.3</v>
      </c>
      <c r="N646" s="116">
        <v>1763.95</v>
      </c>
      <c r="O646" s="116">
        <v>1705</v>
      </c>
      <c r="P646" s="116">
        <v>1738.55</v>
      </c>
      <c r="Q646" s="116">
        <v>1737.3</v>
      </c>
      <c r="R646">
        <v>81793</v>
      </c>
    </row>
    <row r="647" spans="1:18" x14ac:dyDescent="0.25">
      <c r="A647" s="170">
        <v>43587</v>
      </c>
      <c r="B647" s="116">
        <v>1770.3</v>
      </c>
      <c r="C647" s="116">
        <v>1762.85</v>
      </c>
      <c r="D647" s="116">
        <v>1738.75</v>
      </c>
      <c r="E647" s="116">
        <v>1749.75</v>
      </c>
      <c r="F647" s="116">
        <v>1762.85</v>
      </c>
      <c r="G647">
        <v>6706</v>
      </c>
      <c r="H647" s="116"/>
      <c r="I647" s="116"/>
      <c r="L647" s="170">
        <v>43587</v>
      </c>
      <c r="M647" s="116">
        <v>1768.95</v>
      </c>
      <c r="N647" s="116">
        <v>1775</v>
      </c>
      <c r="O647" s="116">
        <v>1737.3</v>
      </c>
      <c r="P647" s="116">
        <v>1738</v>
      </c>
      <c r="Q647" s="116">
        <v>1768.95</v>
      </c>
      <c r="R647">
        <v>91668</v>
      </c>
    </row>
    <row r="648" spans="1:18" x14ac:dyDescent="0.25">
      <c r="A648" s="170">
        <v>43588</v>
      </c>
      <c r="B648" s="116">
        <v>1781.2</v>
      </c>
      <c r="C648" s="116">
        <v>1692.15</v>
      </c>
      <c r="D648" s="116">
        <v>1676.5</v>
      </c>
      <c r="E648" s="116">
        <v>1765</v>
      </c>
      <c r="F648" s="116">
        <v>1692.15</v>
      </c>
      <c r="G648">
        <v>7913</v>
      </c>
      <c r="H648" s="116"/>
      <c r="I648" s="116"/>
      <c r="L648" s="170">
        <v>43588</v>
      </c>
      <c r="M648" s="116">
        <v>1690.9</v>
      </c>
      <c r="N648" s="116">
        <v>1780</v>
      </c>
      <c r="O648" s="116">
        <v>1672.5</v>
      </c>
      <c r="P648" s="116">
        <v>1779</v>
      </c>
      <c r="Q648" s="116">
        <v>1690.9</v>
      </c>
      <c r="R648">
        <v>88762</v>
      </c>
    </row>
    <row r="649" spans="1:18" x14ac:dyDescent="0.25">
      <c r="A649" s="170">
        <v>43591</v>
      </c>
      <c r="B649" s="116">
        <v>1726.5</v>
      </c>
      <c r="C649" s="116">
        <v>1690.5</v>
      </c>
      <c r="D649" s="116">
        <v>1668</v>
      </c>
      <c r="E649" s="116">
        <v>1672</v>
      </c>
      <c r="F649" s="116">
        <v>1690.5</v>
      </c>
      <c r="G649">
        <v>39164</v>
      </c>
      <c r="H649" s="116"/>
      <c r="I649" s="116"/>
      <c r="L649" s="170">
        <v>43591</v>
      </c>
      <c r="M649" s="116">
        <v>1696.95</v>
      </c>
      <c r="N649" s="116">
        <v>1729.8</v>
      </c>
      <c r="O649" s="116">
        <v>1667.25</v>
      </c>
      <c r="P649" s="116">
        <v>1676</v>
      </c>
      <c r="Q649" s="116">
        <v>1696.95</v>
      </c>
      <c r="R649">
        <v>120799</v>
      </c>
    </row>
    <row r="650" spans="1:18" x14ac:dyDescent="0.25">
      <c r="A650" s="170">
        <v>43592</v>
      </c>
      <c r="B650" s="116">
        <v>1738.3</v>
      </c>
      <c r="C650" s="116">
        <v>1679.85</v>
      </c>
      <c r="D650" s="116">
        <v>1669.05</v>
      </c>
      <c r="E650" s="116">
        <v>1710</v>
      </c>
      <c r="F650" s="116">
        <v>1679.85</v>
      </c>
      <c r="G650">
        <v>4778</v>
      </c>
      <c r="H650" s="116"/>
      <c r="I650" s="116"/>
      <c r="L650" s="170">
        <v>43592</v>
      </c>
      <c r="M650" s="116">
        <v>1682.7</v>
      </c>
      <c r="N650" s="116">
        <v>1739.95</v>
      </c>
      <c r="O650" s="116">
        <v>1670</v>
      </c>
      <c r="P650" s="116">
        <v>1710</v>
      </c>
      <c r="Q650" s="116">
        <v>1682.7</v>
      </c>
      <c r="R650">
        <v>77993</v>
      </c>
    </row>
    <row r="651" spans="1:18" x14ac:dyDescent="0.25">
      <c r="A651" s="170">
        <v>43593</v>
      </c>
      <c r="B651" s="116">
        <v>1709.5</v>
      </c>
      <c r="C651" s="116">
        <v>1692.75</v>
      </c>
      <c r="D651" s="116">
        <v>1669</v>
      </c>
      <c r="E651" s="116">
        <v>1670</v>
      </c>
      <c r="F651" s="116">
        <v>1692.75</v>
      </c>
      <c r="G651">
        <v>5292</v>
      </c>
      <c r="H651" s="116"/>
      <c r="I651" s="116"/>
      <c r="L651" s="170">
        <v>43593</v>
      </c>
      <c r="M651" s="116">
        <v>1698</v>
      </c>
      <c r="N651" s="116">
        <v>1715</v>
      </c>
      <c r="O651" s="116">
        <v>1671.1</v>
      </c>
      <c r="P651" s="116">
        <v>1675</v>
      </c>
      <c r="Q651" s="116">
        <v>1698</v>
      </c>
      <c r="R651">
        <v>73519</v>
      </c>
    </row>
    <row r="652" spans="1:18" x14ac:dyDescent="0.25">
      <c r="A652" s="170">
        <v>43594</v>
      </c>
      <c r="B652" s="116">
        <v>1710</v>
      </c>
      <c r="C652" s="116">
        <v>1694.65</v>
      </c>
      <c r="D652" s="116">
        <v>1685.05</v>
      </c>
      <c r="E652" s="116">
        <v>1685.1</v>
      </c>
      <c r="F652" s="116">
        <v>1694.65</v>
      </c>
      <c r="G652">
        <v>7953</v>
      </c>
      <c r="H652" s="116"/>
      <c r="I652" s="116"/>
      <c r="L652" s="170">
        <v>43594</v>
      </c>
      <c r="M652" s="116">
        <v>1694.95</v>
      </c>
      <c r="N652" s="116">
        <v>1710</v>
      </c>
      <c r="O652" s="116">
        <v>1688</v>
      </c>
      <c r="P652" s="116">
        <v>1695</v>
      </c>
      <c r="Q652" s="116">
        <v>1694.95</v>
      </c>
      <c r="R652">
        <v>62306</v>
      </c>
    </row>
    <row r="653" spans="1:18" x14ac:dyDescent="0.25">
      <c r="A653" s="170">
        <v>43595</v>
      </c>
      <c r="B653" s="116">
        <v>1708.4</v>
      </c>
      <c r="C653" s="116">
        <v>1692.75</v>
      </c>
      <c r="D653" s="116">
        <v>1680</v>
      </c>
      <c r="E653" s="116">
        <v>1689.05</v>
      </c>
      <c r="F653" s="116">
        <v>1692.75</v>
      </c>
      <c r="G653">
        <v>2474</v>
      </c>
      <c r="H653" s="116"/>
      <c r="I653" s="116"/>
      <c r="L653" s="170">
        <v>43595</v>
      </c>
      <c r="M653" s="116">
        <v>1695.2</v>
      </c>
      <c r="N653" s="116">
        <v>1709</v>
      </c>
      <c r="O653" s="116">
        <v>1684</v>
      </c>
      <c r="P653" s="116">
        <v>1694.95</v>
      </c>
      <c r="Q653" s="116">
        <v>1695.2</v>
      </c>
      <c r="R653">
        <v>95300</v>
      </c>
    </row>
    <row r="654" spans="1:18" x14ac:dyDescent="0.25">
      <c r="A654" s="170">
        <v>43598</v>
      </c>
      <c r="B654" s="116">
        <v>1712</v>
      </c>
      <c r="C654" s="116">
        <v>1679</v>
      </c>
      <c r="D654" s="116">
        <v>1670.05</v>
      </c>
      <c r="E654" s="116">
        <v>1712</v>
      </c>
      <c r="F654" s="116">
        <v>1679</v>
      </c>
      <c r="G654">
        <v>2530</v>
      </c>
      <c r="H654" s="116"/>
      <c r="I654" s="116"/>
      <c r="L654" s="170">
        <v>43598</v>
      </c>
      <c r="M654" s="116">
        <v>1673.15</v>
      </c>
      <c r="N654" s="116">
        <v>1705</v>
      </c>
      <c r="O654" s="116">
        <v>1665</v>
      </c>
      <c r="P654" s="116">
        <v>1685</v>
      </c>
      <c r="Q654" s="116">
        <v>1673.15</v>
      </c>
      <c r="R654">
        <v>39499</v>
      </c>
    </row>
    <row r="655" spans="1:18" x14ac:dyDescent="0.25">
      <c r="A655" s="170">
        <v>43599</v>
      </c>
      <c r="B655" s="116">
        <v>1695</v>
      </c>
      <c r="C655" s="116">
        <v>1684.25</v>
      </c>
      <c r="D655" s="116">
        <v>1678</v>
      </c>
      <c r="E655" s="116">
        <v>1681.95</v>
      </c>
      <c r="F655" s="116">
        <v>1684.25</v>
      </c>
      <c r="G655">
        <v>17109</v>
      </c>
      <c r="H655" s="116"/>
      <c r="I655" s="116"/>
      <c r="L655" s="170">
        <v>43599</v>
      </c>
      <c r="M655" s="116">
        <v>1683.5</v>
      </c>
      <c r="N655" s="116">
        <v>1697.8</v>
      </c>
      <c r="O655" s="116">
        <v>1670</v>
      </c>
      <c r="P655" s="116">
        <v>1670</v>
      </c>
      <c r="Q655" s="116">
        <v>1683.5</v>
      </c>
      <c r="R655">
        <v>70655</v>
      </c>
    </row>
    <row r="656" spans="1:18" x14ac:dyDescent="0.25">
      <c r="A656" s="170">
        <v>43600</v>
      </c>
      <c r="B656" s="116">
        <v>1703.4</v>
      </c>
      <c r="C656" s="116">
        <v>1686.65</v>
      </c>
      <c r="D656" s="116">
        <v>1680</v>
      </c>
      <c r="E656" s="116">
        <v>1684</v>
      </c>
      <c r="F656" s="116">
        <v>1686.65</v>
      </c>
      <c r="G656">
        <v>1382</v>
      </c>
      <c r="H656" s="116"/>
      <c r="I656" s="116"/>
      <c r="L656" s="170">
        <v>43600</v>
      </c>
      <c r="M656" s="116">
        <v>1688.25</v>
      </c>
      <c r="N656" s="116">
        <v>1704.9</v>
      </c>
      <c r="O656" s="116">
        <v>1682.6</v>
      </c>
      <c r="P656" s="116">
        <v>1696.7</v>
      </c>
      <c r="Q656" s="116">
        <v>1688.25</v>
      </c>
      <c r="R656">
        <v>136177</v>
      </c>
    </row>
    <row r="657" spans="1:18" x14ac:dyDescent="0.25">
      <c r="A657" s="170">
        <v>43601</v>
      </c>
      <c r="B657" s="116">
        <v>1758.95</v>
      </c>
      <c r="C657" s="116">
        <v>1718.05</v>
      </c>
      <c r="D657" s="116">
        <v>1698</v>
      </c>
      <c r="E657" s="116">
        <v>1698</v>
      </c>
      <c r="F657" s="116">
        <v>1718.05</v>
      </c>
      <c r="G657">
        <v>38908</v>
      </c>
      <c r="H657" s="116"/>
      <c r="I657" s="116"/>
      <c r="L657" s="170">
        <v>43601</v>
      </c>
      <c r="M657" s="116">
        <v>1717.95</v>
      </c>
      <c r="N657" s="116">
        <v>1756.9</v>
      </c>
      <c r="O657" s="116">
        <v>1690.2</v>
      </c>
      <c r="P657" s="116">
        <v>1695</v>
      </c>
      <c r="Q657" s="116">
        <v>1717.95</v>
      </c>
      <c r="R657">
        <v>180103</v>
      </c>
    </row>
    <row r="658" spans="1:18" x14ac:dyDescent="0.25">
      <c r="A658" s="170">
        <v>43602</v>
      </c>
      <c r="B658" s="116">
        <v>1765</v>
      </c>
      <c r="C658" s="116">
        <v>1760.05</v>
      </c>
      <c r="D658" s="116">
        <v>1730</v>
      </c>
      <c r="E658" s="116">
        <v>1730</v>
      </c>
      <c r="F658" s="116">
        <v>1760.05</v>
      </c>
      <c r="G658">
        <v>5650</v>
      </c>
      <c r="H658" s="116"/>
      <c r="I658" s="116"/>
      <c r="L658" s="170">
        <v>43602</v>
      </c>
      <c r="M658" s="116">
        <v>1759.05</v>
      </c>
      <c r="N658" s="116">
        <v>1763.95</v>
      </c>
      <c r="O658" s="116">
        <v>1725.85</v>
      </c>
      <c r="P658" s="116">
        <v>1729</v>
      </c>
      <c r="Q658" s="116">
        <v>1759.05</v>
      </c>
      <c r="R658">
        <v>147305</v>
      </c>
    </row>
    <row r="659" spans="1:18" x14ac:dyDescent="0.25">
      <c r="A659" s="170">
        <v>43605</v>
      </c>
      <c r="B659" s="116">
        <v>1817.75</v>
      </c>
      <c r="C659" s="116">
        <v>1775.5</v>
      </c>
      <c r="D659" s="116">
        <v>1753</v>
      </c>
      <c r="E659" s="116">
        <v>1765.2</v>
      </c>
      <c r="F659" s="116">
        <v>1775.5</v>
      </c>
      <c r="G659">
        <v>19756</v>
      </c>
      <c r="H659" s="116"/>
      <c r="I659" s="116"/>
      <c r="L659" s="170">
        <v>43605</v>
      </c>
      <c r="M659" s="116">
        <v>1760.75</v>
      </c>
      <c r="N659" s="116">
        <v>1820</v>
      </c>
      <c r="O659" s="116">
        <v>1750</v>
      </c>
      <c r="P659" s="116">
        <v>1789.05</v>
      </c>
      <c r="Q659" s="116">
        <v>1760.75</v>
      </c>
      <c r="R659">
        <v>201426</v>
      </c>
    </row>
    <row r="660" spans="1:18" x14ac:dyDescent="0.25">
      <c r="A660" s="170">
        <v>43606</v>
      </c>
      <c r="B660" s="116">
        <v>1776.75</v>
      </c>
      <c r="C660" s="116">
        <v>1719.5</v>
      </c>
      <c r="D660" s="116">
        <v>1707</v>
      </c>
      <c r="E660" s="116">
        <v>1767.7</v>
      </c>
      <c r="F660" s="116">
        <v>1719.5</v>
      </c>
      <c r="G660">
        <v>6561</v>
      </c>
      <c r="H660" s="116"/>
      <c r="I660" s="116"/>
      <c r="L660" s="170">
        <v>43606</v>
      </c>
      <c r="M660" s="116">
        <v>1717.75</v>
      </c>
      <c r="N660" s="116">
        <v>1775</v>
      </c>
      <c r="O660" s="116">
        <v>1706.55</v>
      </c>
      <c r="P660" s="116">
        <v>1760</v>
      </c>
      <c r="Q660" s="116">
        <v>1717.75</v>
      </c>
      <c r="R660">
        <v>90104</v>
      </c>
    </row>
    <row r="661" spans="1:18" x14ac:dyDescent="0.25">
      <c r="A661" s="170">
        <v>43607</v>
      </c>
      <c r="B661" s="116">
        <v>1773.25</v>
      </c>
      <c r="C661" s="116">
        <v>1736.65</v>
      </c>
      <c r="D661" s="116">
        <v>1726.05</v>
      </c>
      <c r="E661" s="116">
        <v>1727.4</v>
      </c>
      <c r="F661" s="116">
        <v>1736.65</v>
      </c>
      <c r="G661">
        <v>7939</v>
      </c>
      <c r="H661" s="116"/>
      <c r="I661" s="116"/>
      <c r="L661" s="170">
        <v>43607</v>
      </c>
      <c r="M661" s="116">
        <v>1738.65</v>
      </c>
      <c r="N661" s="116">
        <v>1778.95</v>
      </c>
      <c r="O661" s="116">
        <v>1716.4</v>
      </c>
      <c r="P661" s="116">
        <v>1727</v>
      </c>
      <c r="Q661" s="116">
        <v>1738.65</v>
      </c>
      <c r="R661">
        <v>142135</v>
      </c>
    </row>
    <row r="662" spans="1:18" x14ac:dyDescent="0.25">
      <c r="A662" s="170">
        <v>43608</v>
      </c>
      <c r="B662" s="116">
        <v>1774</v>
      </c>
      <c r="C662" s="116">
        <v>1739.6</v>
      </c>
      <c r="D662" s="116">
        <v>1714.45</v>
      </c>
      <c r="E662" s="116">
        <v>1755.05</v>
      </c>
      <c r="F662" s="116">
        <v>1739.6</v>
      </c>
      <c r="G662">
        <v>5377</v>
      </c>
      <c r="H662" s="116"/>
      <c r="I662" s="116"/>
      <c r="L662" s="170">
        <v>43608</v>
      </c>
      <c r="M662" s="116">
        <v>1744.9</v>
      </c>
      <c r="N662" s="116">
        <v>1779.8</v>
      </c>
      <c r="O662" s="116">
        <v>1713</v>
      </c>
      <c r="P662" s="116">
        <v>1779.8</v>
      </c>
      <c r="Q662" s="116">
        <v>1744.9</v>
      </c>
      <c r="R662">
        <v>132455</v>
      </c>
    </row>
    <row r="663" spans="1:18" x14ac:dyDescent="0.25">
      <c r="A663" s="170">
        <v>43609</v>
      </c>
      <c r="B663" s="116">
        <v>1760</v>
      </c>
      <c r="C663" s="116">
        <v>1732.15</v>
      </c>
      <c r="D663" s="116">
        <v>1728</v>
      </c>
      <c r="E663" s="116">
        <v>1745.55</v>
      </c>
      <c r="F663" s="116">
        <v>1732.15</v>
      </c>
      <c r="G663">
        <v>23469</v>
      </c>
      <c r="H663" s="116"/>
      <c r="I663" s="116"/>
      <c r="L663" s="170">
        <v>43609</v>
      </c>
      <c r="M663" s="116">
        <v>1729.3</v>
      </c>
      <c r="N663" s="116">
        <v>1762.05</v>
      </c>
      <c r="O663" s="116">
        <v>1720.1</v>
      </c>
      <c r="P663" s="116">
        <v>1759.9</v>
      </c>
      <c r="Q663" s="116">
        <v>1729.3</v>
      </c>
      <c r="R663">
        <v>89417</v>
      </c>
    </row>
    <row r="664" spans="1:18" x14ac:dyDescent="0.25">
      <c r="A664" s="170">
        <v>43612</v>
      </c>
      <c r="B664" s="116">
        <v>1758</v>
      </c>
      <c r="C664" s="116">
        <v>1743.9</v>
      </c>
      <c r="D664" s="116">
        <v>1713</v>
      </c>
      <c r="E664" s="116">
        <v>1735</v>
      </c>
      <c r="F664" s="116">
        <v>1743.9</v>
      </c>
      <c r="G664">
        <v>20169</v>
      </c>
      <c r="H664" s="116"/>
      <c r="I664" s="116"/>
      <c r="L664" s="170">
        <v>43612</v>
      </c>
      <c r="M664" s="116">
        <v>1747.15</v>
      </c>
      <c r="N664" s="116">
        <v>1759.9</v>
      </c>
      <c r="O664" s="116">
        <v>1711</v>
      </c>
      <c r="P664" s="116">
        <v>1747.7</v>
      </c>
      <c r="Q664" s="116">
        <v>1747.15</v>
      </c>
      <c r="R664">
        <v>78060</v>
      </c>
    </row>
    <row r="665" spans="1:18" x14ac:dyDescent="0.25">
      <c r="A665" s="170">
        <v>43613</v>
      </c>
      <c r="B665" s="116">
        <v>1800</v>
      </c>
      <c r="C665" s="116">
        <v>1768.3</v>
      </c>
      <c r="D665" s="116">
        <v>1747.2</v>
      </c>
      <c r="E665" s="116">
        <v>1748</v>
      </c>
      <c r="F665" s="116">
        <v>1768.3</v>
      </c>
      <c r="G665">
        <v>13655</v>
      </c>
      <c r="H665" s="116"/>
      <c r="I665" s="116"/>
      <c r="L665" s="170">
        <v>43613</v>
      </c>
      <c r="M665" s="116">
        <v>1773.15</v>
      </c>
      <c r="N665" s="116">
        <v>1799.9</v>
      </c>
      <c r="O665" s="116">
        <v>1748</v>
      </c>
      <c r="P665" s="116">
        <v>1756</v>
      </c>
      <c r="Q665" s="116">
        <v>1773.15</v>
      </c>
      <c r="R665">
        <v>523329</v>
      </c>
    </row>
    <row r="666" spans="1:18" x14ac:dyDescent="0.25">
      <c r="A666" s="170">
        <v>43614</v>
      </c>
      <c r="B666" s="116">
        <v>1767.1</v>
      </c>
      <c r="C666" s="116">
        <v>1737.45</v>
      </c>
      <c r="D666" s="116">
        <v>1730</v>
      </c>
      <c r="E666" s="116">
        <v>1760.15</v>
      </c>
      <c r="F666" s="116">
        <v>1737.45</v>
      </c>
      <c r="G666">
        <v>9653</v>
      </c>
      <c r="H666" s="116"/>
      <c r="I666" s="116"/>
      <c r="L666" s="170">
        <v>43614</v>
      </c>
      <c r="M666" s="116">
        <v>1735.45</v>
      </c>
      <c r="N666" s="116">
        <v>1769.95</v>
      </c>
      <c r="O666" s="116">
        <v>1730.15</v>
      </c>
      <c r="P666" s="116">
        <v>1765</v>
      </c>
      <c r="Q666" s="116">
        <v>1735.45</v>
      </c>
      <c r="R666">
        <v>139240</v>
      </c>
    </row>
    <row r="667" spans="1:18" x14ac:dyDescent="0.25">
      <c r="A667" s="170">
        <v>43615</v>
      </c>
      <c r="B667" s="116">
        <v>1770</v>
      </c>
      <c r="C667" s="116">
        <v>1748.9</v>
      </c>
      <c r="D667" s="116">
        <v>1741.4</v>
      </c>
      <c r="E667" s="116">
        <v>1758</v>
      </c>
      <c r="F667" s="116">
        <v>1748.9</v>
      </c>
      <c r="G667">
        <v>4131</v>
      </c>
      <c r="H667" s="116"/>
      <c r="I667" s="116"/>
      <c r="L667" s="170">
        <v>43615</v>
      </c>
      <c r="M667" s="116">
        <v>1746.7</v>
      </c>
      <c r="N667" s="116">
        <v>1773.45</v>
      </c>
      <c r="O667" s="116">
        <v>1737</v>
      </c>
      <c r="P667" s="116">
        <v>1746</v>
      </c>
      <c r="Q667" s="116">
        <v>1746.7</v>
      </c>
      <c r="R667">
        <v>93768</v>
      </c>
    </row>
    <row r="668" spans="1:18" x14ac:dyDescent="0.25">
      <c r="A668" s="170">
        <v>43616</v>
      </c>
      <c r="B668" s="116">
        <v>1788.6</v>
      </c>
      <c r="C668" s="116">
        <v>1762.25</v>
      </c>
      <c r="D668" s="116">
        <v>1754.95</v>
      </c>
      <c r="E668" s="116">
        <v>1754.95</v>
      </c>
      <c r="F668" s="116">
        <v>1762.25</v>
      </c>
      <c r="G668">
        <v>7001</v>
      </c>
      <c r="H668" s="116"/>
      <c r="I668" s="116"/>
      <c r="L668" s="170">
        <v>43616</v>
      </c>
      <c r="M668" s="116">
        <v>1758.8</v>
      </c>
      <c r="N668" s="116">
        <v>1788.75</v>
      </c>
      <c r="O668" s="116">
        <v>1745</v>
      </c>
      <c r="P668" s="116">
        <v>1745</v>
      </c>
      <c r="Q668" s="116">
        <v>1758.8</v>
      </c>
      <c r="R668">
        <v>104863</v>
      </c>
    </row>
    <row r="669" spans="1:18" x14ac:dyDescent="0.25">
      <c r="A669" s="170">
        <v>43619</v>
      </c>
      <c r="B669" s="116">
        <v>1789</v>
      </c>
      <c r="C669" s="116">
        <v>1723.75</v>
      </c>
      <c r="D669" s="116">
        <v>1715</v>
      </c>
      <c r="E669" s="116">
        <v>1761.8</v>
      </c>
      <c r="F669" s="116">
        <v>1723.75</v>
      </c>
      <c r="G669">
        <v>18517</v>
      </c>
      <c r="H669" s="116"/>
      <c r="I669" s="116"/>
      <c r="L669" s="170">
        <v>43619</v>
      </c>
      <c r="M669" s="116">
        <v>1718.6</v>
      </c>
      <c r="N669" s="116">
        <v>1790</v>
      </c>
      <c r="O669" s="116">
        <v>1714.3</v>
      </c>
      <c r="P669" s="116">
        <v>1754</v>
      </c>
      <c r="Q669" s="116">
        <v>1718.6</v>
      </c>
      <c r="R669">
        <v>187161</v>
      </c>
    </row>
    <row r="670" spans="1:18" x14ac:dyDescent="0.25">
      <c r="A670" s="170">
        <v>43620</v>
      </c>
      <c r="B670" s="116">
        <v>1709.4</v>
      </c>
      <c r="C670" s="116">
        <v>1667.4</v>
      </c>
      <c r="D670" s="116">
        <v>1663</v>
      </c>
      <c r="E670" s="116">
        <v>1699</v>
      </c>
      <c r="F670" s="116">
        <v>1667.4</v>
      </c>
      <c r="G670">
        <v>31475</v>
      </c>
      <c r="H670" s="116"/>
      <c r="I670" s="116"/>
      <c r="L670" s="170">
        <v>43620</v>
      </c>
      <c r="M670" s="116">
        <v>1667.55</v>
      </c>
      <c r="N670" s="116">
        <v>1708.95</v>
      </c>
      <c r="O670" s="116">
        <v>1661.65</v>
      </c>
      <c r="P670" s="116">
        <v>1699</v>
      </c>
      <c r="Q670" s="116">
        <v>1667.55</v>
      </c>
      <c r="R670">
        <v>623200</v>
      </c>
    </row>
    <row r="671" spans="1:18" x14ac:dyDescent="0.25">
      <c r="A671" s="170">
        <v>43622</v>
      </c>
      <c r="B671" s="116">
        <v>1675</v>
      </c>
      <c r="C671" s="116">
        <v>1660.85</v>
      </c>
      <c r="D671" s="116">
        <v>1656.75</v>
      </c>
      <c r="E671" s="116">
        <v>1659.5</v>
      </c>
      <c r="F671" s="116">
        <v>1660.85</v>
      </c>
      <c r="G671">
        <v>27058</v>
      </c>
      <c r="H671" s="116"/>
      <c r="I671" s="116"/>
      <c r="L671" s="170">
        <v>43622</v>
      </c>
      <c r="M671" s="116">
        <v>1659.1</v>
      </c>
      <c r="N671" s="116">
        <v>1674.9</v>
      </c>
      <c r="O671" s="116">
        <v>1655.75</v>
      </c>
      <c r="P671" s="116">
        <v>1663</v>
      </c>
      <c r="Q671" s="116">
        <v>1659.1</v>
      </c>
      <c r="R671">
        <v>392348</v>
      </c>
    </row>
    <row r="672" spans="1:18" x14ac:dyDescent="0.25">
      <c r="A672" s="170">
        <v>43623</v>
      </c>
      <c r="B672" s="116">
        <v>1686.8</v>
      </c>
      <c r="C672" s="116">
        <v>1678.1</v>
      </c>
      <c r="D672" s="116">
        <v>1662.65</v>
      </c>
      <c r="E672" s="116">
        <v>1668</v>
      </c>
      <c r="F672" s="116">
        <v>1678.1</v>
      </c>
      <c r="G672">
        <v>10667</v>
      </c>
      <c r="H672" s="116"/>
      <c r="I672" s="116"/>
      <c r="L672" s="170">
        <v>43623</v>
      </c>
      <c r="M672" s="116">
        <v>1677.65</v>
      </c>
      <c r="N672" s="116">
        <v>1687.25</v>
      </c>
      <c r="O672" s="116">
        <v>1661.95</v>
      </c>
      <c r="P672" s="116">
        <v>1667.5</v>
      </c>
      <c r="Q672" s="116">
        <v>1677.65</v>
      </c>
      <c r="R672">
        <v>182279</v>
      </c>
    </row>
    <row r="673" spans="1:18" x14ac:dyDescent="0.25">
      <c r="A673" s="170">
        <v>43626</v>
      </c>
      <c r="B673" s="116">
        <v>1698.3</v>
      </c>
      <c r="C673" s="116">
        <v>1688.45</v>
      </c>
      <c r="D673" s="116">
        <v>1684.05</v>
      </c>
      <c r="E673" s="116">
        <v>1689.35</v>
      </c>
      <c r="F673" s="116">
        <v>1688.45</v>
      </c>
      <c r="G673">
        <v>5238</v>
      </c>
      <c r="H673" s="116"/>
      <c r="I673" s="116"/>
      <c r="L673" s="170">
        <v>43626</v>
      </c>
      <c r="M673" s="116">
        <v>1688</v>
      </c>
      <c r="N673" s="116">
        <v>1699</v>
      </c>
      <c r="O673" s="116">
        <v>1681.8</v>
      </c>
      <c r="P673" s="116">
        <v>1690</v>
      </c>
      <c r="Q673" s="116">
        <v>1688</v>
      </c>
      <c r="R673">
        <v>105191</v>
      </c>
    </row>
    <row r="674" spans="1:18" x14ac:dyDescent="0.25">
      <c r="A674" s="170">
        <v>43627</v>
      </c>
      <c r="B674" s="116">
        <v>1708.95</v>
      </c>
      <c r="C674" s="116">
        <v>1700.95</v>
      </c>
      <c r="D674" s="116">
        <v>1684</v>
      </c>
      <c r="E674" s="116">
        <v>1693.25</v>
      </c>
      <c r="F674" s="116">
        <v>1700.95</v>
      </c>
      <c r="G674">
        <v>27666</v>
      </c>
      <c r="H674" s="116"/>
      <c r="I674" s="116"/>
      <c r="L674" s="170">
        <v>43627</v>
      </c>
      <c r="M674" s="116">
        <v>1705.05</v>
      </c>
      <c r="N674" s="116">
        <v>1709</v>
      </c>
      <c r="O674" s="116">
        <v>1678</v>
      </c>
      <c r="P674" s="116">
        <v>1690</v>
      </c>
      <c r="Q674" s="116">
        <v>1705.05</v>
      </c>
      <c r="R674">
        <v>89194</v>
      </c>
    </row>
    <row r="675" spans="1:18" x14ac:dyDescent="0.25">
      <c r="A675" s="170">
        <v>43628</v>
      </c>
      <c r="B675" s="116">
        <v>1714.25</v>
      </c>
      <c r="C675" s="116">
        <v>1713.3</v>
      </c>
      <c r="D675" s="116">
        <v>1701.5</v>
      </c>
      <c r="E675" s="116">
        <v>1705</v>
      </c>
      <c r="F675" s="116">
        <v>1713.3</v>
      </c>
      <c r="G675">
        <v>3968</v>
      </c>
      <c r="H675" s="116"/>
      <c r="I675" s="116"/>
      <c r="L675" s="170">
        <v>43628</v>
      </c>
      <c r="M675" s="116">
        <v>1713.3</v>
      </c>
      <c r="N675" s="116">
        <v>1714.9</v>
      </c>
      <c r="O675" s="116">
        <v>1702.05</v>
      </c>
      <c r="P675" s="116">
        <v>1709</v>
      </c>
      <c r="Q675" s="116">
        <v>1713.3</v>
      </c>
      <c r="R675">
        <v>58048</v>
      </c>
    </row>
    <row r="676" spans="1:18" x14ac:dyDescent="0.25">
      <c r="A676" s="170">
        <v>43629</v>
      </c>
      <c r="B676" s="116">
        <v>1748.05</v>
      </c>
      <c r="C676" s="116">
        <v>1735.8</v>
      </c>
      <c r="D676" s="116">
        <v>1708</v>
      </c>
      <c r="E676" s="116">
        <v>1710</v>
      </c>
      <c r="F676" s="116">
        <v>1735.8</v>
      </c>
      <c r="G676">
        <v>7437</v>
      </c>
      <c r="H676" s="116"/>
      <c r="I676" s="116"/>
      <c r="L676" s="170">
        <v>43629</v>
      </c>
      <c r="M676" s="116">
        <v>1738.85</v>
      </c>
      <c r="N676" s="116">
        <v>1748.8</v>
      </c>
      <c r="O676" s="116">
        <v>1707.25</v>
      </c>
      <c r="P676" s="116">
        <v>1713</v>
      </c>
      <c r="Q676" s="116">
        <v>1738.85</v>
      </c>
      <c r="R676">
        <v>136666</v>
      </c>
    </row>
    <row r="677" spans="1:18" x14ac:dyDescent="0.25">
      <c r="A677" s="170">
        <v>43630</v>
      </c>
      <c r="B677" s="116">
        <v>1752</v>
      </c>
      <c r="C677" s="116">
        <v>1732.35</v>
      </c>
      <c r="D677" s="116">
        <v>1730</v>
      </c>
      <c r="E677" s="116">
        <v>1748.05</v>
      </c>
      <c r="F677" s="116">
        <v>1732.35</v>
      </c>
      <c r="G677">
        <v>4862</v>
      </c>
      <c r="H677" s="116"/>
      <c r="I677" s="116"/>
      <c r="L677" s="170">
        <v>43630</v>
      </c>
      <c r="M677" s="116">
        <v>1736.45</v>
      </c>
      <c r="N677" s="116">
        <v>1752</v>
      </c>
      <c r="O677" s="116">
        <v>1730</v>
      </c>
      <c r="P677" s="116">
        <v>1745</v>
      </c>
      <c r="Q677" s="116">
        <v>1736.45</v>
      </c>
      <c r="R677">
        <v>137326</v>
      </c>
    </row>
    <row r="678" spans="1:18" x14ac:dyDescent="0.25">
      <c r="A678" s="170">
        <v>43633</v>
      </c>
      <c r="B678" s="116">
        <v>1740.05</v>
      </c>
      <c r="C678" s="116">
        <v>1723.8</v>
      </c>
      <c r="D678" s="116">
        <v>1713.5</v>
      </c>
      <c r="E678" s="116">
        <v>1713.5</v>
      </c>
      <c r="F678" s="116">
        <v>1723.8</v>
      </c>
      <c r="G678">
        <v>2942</v>
      </c>
      <c r="H678" s="116"/>
      <c r="I678" s="116"/>
      <c r="L678" s="170">
        <v>43633</v>
      </c>
      <c r="M678" s="116">
        <v>1726.6</v>
      </c>
      <c r="N678" s="116">
        <v>1740.1</v>
      </c>
      <c r="O678" s="116">
        <v>1714</v>
      </c>
      <c r="P678" s="116">
        <v>1727</v>
      </c>
      <c r="Q678" s="116">
        <v>1726.6</v>
      </c>
      <c r="R678">
        <v>65642</v>
      </c>
    </row>
    <row r="679" spans="1:18" x14ac:dyDescent="0.25">
      <c r="A679" s="170">
        <v>43634</v>
      </c>
      <c r="B679" s="116">
        <v>1740</v>
      </c>
      <c r="C679" s="116">
        <v>1728.2</v>
      </c>
      <c r="D679" s="116">
        <v>1721.4</v>
      </c>
      <c r="E679" s="116">
        <v>1729.95</v>
      </c>
      <c r="F679" s="116">
        <v>1728.2</v>
      </c>
      <c r="G679">
        <v>1646</v>
      </c>
      <c r="H679" s="116"/>
      <c r="I679" s="116"/>
      <c r="L679" s="170">
        <v>43634</v>
      </c>
      <c r="M679" s="116">
        <v>1726.35</v>
      </c>
      <c r="N679" s="116">
        <v>1739.95</v>
      </c>
      <c r="O679" s="116">
        <v>1721.1</v>
      </c>
      <c r="P679" s="116">
        <v>1721.9</v>
      </c>
      <c r="Q679" s="116">
        <v>1726.35</v>
      </c>
      <c r="R679">
        <v>39660</v>
      </c>
    </row>
    <row r="680" spans="1:18" x14ac:dyDescent="0.25">
      <c r="A680" s="170">
        <v>43635</v>
      </c>
      <c r="B680" s="116">
        <v>1747.95</v>
      </c>
      <c r="C680" s="116">
        <v>1730.65</v>
      </c>
      <c r="D680" s="116">
        <v>1725.15</v>
      </c>
      <c r="E680" s="116">
        <v>1732</v>
      </c>
      <c r="F680" s="116">
        <v>1730.65</v>
      </c>
      <c r="G680">
        <v>2595</v>
      </c>
      <c r="H680" s="116"/>
      <c r="I680" s="116"/>
      <c r="L680" s="170">
        <v>43635</v>
      </c>
      <c r="M680" s="116">
        <v>1736.3</v>
      </c>
      <c r="N680" s="116">
        <v>1746.95</v>
      </c>
      <c r="O680" s="116">
        <v>1725</v>
      </c>
      <c r="P680" s="116">
        <v>1739</v>
      </c>
      <c r="Q680" s="116">
        <v>1736.3</v>
      </c>
      <c r="R680">
        <v>143172</v>
      </c>
    </row>
    <row r="681" spans="1:18" x14ac:dyDescent="0.25">
      <c r="A681" s="170">
        <v>43636</v>
      </c>
      <c r="B681" s="116">
        <v>1726.5</v>
      </c>
      <c r="C681" s="116">
        <v>1713.4</v>
      </c>
      <c r="D681" s="116">
        <v>1699</v>
      </c>
      <c r="E681" s="116">
        <v>1722</v>
      </c>
      <c r="F681" s="116">
        <v>1713.4</v>
      </c>
      <c r="G681">
        <v>4801</v>
      </c>
      <c r="H681" s="116"/>
      <c r="I681" s="116"/>
      <c r="L681" s="170">
        <v>43636</v>
      </c>
      <c r="M681" s="116">
        <v>1712.95</v>
      </c>
      <c r="N681" s="116">
        <v>1730</v>
      </c>
      <c r="O681" s="116">
        <v>1697.15</v>
      </c>
      <c r="P681" s="116">
        <v>1730</v>
      </c>
      <c r="Q681" s="116">
        <v>1712.95</v>
      </c>
      <c r="R681">
        <v>50396</v>
      </c>
    </row>
    <row r="682" spans="1:18" x14ac:dyDescent="0.25">
      <c r="A682" s="170">
        <v>43637</v>
      </c>
      <c r="B682" s="116">
        <v>1738</v>
      </c>
      <c r="C682" s="116">
        <v>1730.6</v>
      </c>
      <c r="D682" s="116">
        <v>1714.2</v>
      </c>
      <c r="E682" s="116">
        <v>1725</v>
      </c>
      <c r="F682" s="116">
        <v>1730.6</v>
      </c>
      <c r="G682">
        <v>20950</v>
      </c>
      <c r="H682" s="116"/>
      <c r="I682" s="116"/>
      <c r="L682" s="170">
        <v>43637</v>
      </c>
      <c r="M682" s="116">
        <v>1730.35</v>
      </c>
      <c r="N682" s="116">
        <v>1738</v>
      </c>
      <c r="O682" s="116">
        <v>1714.35</v>
      </c>
      <c r="P682" s="116">
        <v>1724</v>
      </c>
      <c r="Q682" s="116">
        <v>1730.35</v>
      </c>
      <c r="R682">
        <v>156305</v>
      </c>
    </row>
    <row r="683" spans="1:18" x14ac:dyDescent="0.25">
      <c r="A683" s="170">
        <v>43640</v>
      </c>
      <c r="B683" s="116">
        <v>1755.55</v>
      </c>
      <c r="C683" s="116">
        <v>1751.15</v>
      </c>
      <c r="D683" s="116">
        <v>1727</v>
      </c>
      <c r="E683" s="116">
        <v>1731.6</v>
      </c>
      <c r="F683" s="116">
        <v>1751.15</v>
      </c>
      <c r="G683">
        <v>25833</v>
      </c>
      <c r="H683" s="116"/>
      <c r="I683" s="116"/>
      <c r="L683" s="170">
        <v>43640</v>
      </c>
      <c r="M683" s="116">
        <v>1750.1</v>
      </c>
      <c r="N683" s="116">
        <v>1755.55</v>
      </c>
      <c r="O683" s="116">
        <v>1718.3</v>
      </c>
      <c r="P683" s="116">
        <v>1718.3</v>
      </c>
      <c r="Q683" s="116">
        <v>1750.1</v>
      </c>
      <c r="R683">
        <v>70833</v>
      </c>
    </row>
    <row r="684" spans="1:18" x14ac:dyDescent="0.25">
      <c r="A684" s="170">
        <v>43641</v>
      </c>
      <c r="B684" s="116">
        <v>1725</v>
      </c>
      <c r="C684" s="116">
        <v>1715.35</v>
      </c>
      <c r="D684" s="116">
        <v>1705</v>
      </c>
      <c r="E684" s="116">
        <v>1711</v>
      </c>
      <c r="F684" s="116">
        <v>1715.35</v>
      </c>
      <c r="G684">
        <v>8944</v>
      </c>
      <c r="H684" s="116"/>
      <c r="I684" s="116"/>
      <c r="L684" s="170">
        <v>43641</v>
      </c>
      <c r="M684" s="116">
        <v>1716</v>
      </c>
      <c r="N684" s="116">
        <v>1725.1</v>
      </c>
      <c r="O684" s="116">
        <v>1704</v>
      </c>
      <c r="P684" s="116">
        <v>1707</v>
      </c>
      <c r="Q684" s="116">
        <v>1716</v>
      </c>
      <c r="R684">
        <v>111909</v>
      </c>
    </row>
    <row r="685" spans="1:18" x14ac:dyDescent="0.25">
      <c r="A685" s="170">
        <v>43642</v>
      </c>
      <c r="B685" s="116">
        <v>1739.5</v>
      </c>
      <c r="C685" s="116">
        <v>1735.4</v>
      </c>
      <c r="D685" s="116">
        <v>1722.05</v>
      </c>
      <c r="E685" s="116">
        <v>1723</v>
      </c>
      <c r="F685" s="116">
        <v>1735.4</v>
      </c>
      <c r="G685">
        <v>34888</v>
      </c>
      <c r="H685" s="116"/>
      <c r="I685" s="116"/>
      <c r="L685" s="170">
        <v>43642</v>
      </c>
      <c r="M685" s="116">
        <v>1735.65</v>
      </c>
      <c r="N685" s="116">
        <v>1740</v>
      </c>
      <c r="O685" s="116">
        <v>1720</v>
      </c>
      <c r="P685" s="116">
        <v>1727</v>
      </c>
      <c r="Q685" s="116">
        <v>1735.65</v>
      </c>
      <c r="R685">
        <v>97609</v>
      </c>
    </row>
    <row r="686" spans="1:18" x14ac:dyDescent="0.25">
      <c r="A686" s="170">
        <v>43643</v>
      </c>
      <c r="B686" s="116">
        <v>1778</v>
      </c>
      <c r="C686" s="116">
        <v>1774.45</v>
      </c>
      <c r="D686" s="116">
        <v>1734.35</v>
      </c>
      <c r="E686" s="116">
        <v>1734.35</v>
      </c>
      <c r="F686" s="116">
        <v>1774.45</v>
      </c>
      <c r="G686">
        <v>15837</v>
      </c>
      <c r="H686" s="116"/>
      <c r="I686" s="116"/>
      <c r="L686" s="170">
        <v>43643</v>
      </c>
      <c r="M686" s="116">
        <v>1774.6</v>
      </c>
      <c r="N686" s="116">
        <v>1779</v>
      </c>
      <c r="O686" s="116">
        <v>1732.65</v>
      </c>
      <c r="P686" s="116">
        <v>1733.75</v>
      </c>
      <c r="Q686" s="116">
        <v>1774.6</v>
      </c>
      <c r="R686">
        <v>199800</v>
      </c>
    </row>
    <row r="687" spans="1:18" x14ac:dyDescent="0.25">
      <c r="A687" s="170">
        <v>43644</v>
      </c>
      <c r="B687" s="116">
        <v>1792.7</v>
      </c>
      <c r="C687" s="116">
        <v>1747.3</v>
      </c>
      <c r="D687" s="116">
        <v>1737</v>
      </c>
      <c r="E687" s="116">
        <v>1782.4</v>
      </c>
      <c r="F687" s="116">
        <v>1747.3</v>
      </c>
      <c r="G687">
        <v>27752</v>
      </c>
      <c r="H687" s="116"/>
      <c r="I687" s="116"/>
      <c r="L687" s="170">
        <v>43644</v>
      </c>
      <c r="M687" s="116">
        <v>1745.65</v>
      </c>
      <c r="N687" s="116">
        <v>1794</v>
      </c>
      <c r="O687" s="116">
        <v>1735.9</v>
      </c>
      <c r="P687" s="116">
        <v>1780</v>
      </c>
      <c r="Q687" s="116">
        <v>1745.65</v>
      </c>
      <c r="R687">
        <v>84611</v>
      </c>
    </row>
    <row r="688" spans="1:18" x14ac:dyDescent="0.25">
      <c r="A688" s="170">
        <v>43647</v>
      </c>
      <c r="B688" s="116">
        <v>1767.1</v>
      </c>
      <c r="C688" s="116">
        <v>1738.2</v>
      </c>
      <c r="D688" s="116">
        <v>1733.35</v>
      </c>
      <c r="E688" s="116">
        <v>1747</v>
      </c>
      <c r="F688" s="116">
        <v>1738.2</v>
      </c>
      <c r="G688">
        <v>4782</v>
      </c>
      <c r="H688" s="116"/>
      <c r="I688" s="116"/>
      <c r="L688" s="170">
        <v>43647</v>
      </c>
      <c r="M688" s="116">
        <v>1737.45</v>
      </c>
      <c r="N688" s="116">
        <v>1765</v>
      </c>
      <c r="O688" s="116">
        <v>1732</v>
      </c>
      <c r="P688" s="116">
        <v>1758</v>
      </c>
      <c r="Q688" s="116">
        <v>1737.45</v>
      </c>
      <c r="R688">
        <v>67928</v>
      </c>
    </row>
    <row r="689" spans="1:18" x14ac:dyDescent="0.25">
      <c r="A689" s="170">
        <v>43648</v>
      </c>
      <c r="B689" s="116">
        <v>1768</v>
      </c>
      <c r="C689" s="116">
        <v>1728.45</v>
      </c>
      <c r="D689" s="116">
        <v>1722.35</v>
      </c>
      <c r="E689" s="116">
        <v>1737.25</v>
      </c>
      <c r="F689" s="116">
        <v>1728.45</v>
      </c>
      <c r="G689">
        <v>3460</v>
      </c>
      <c r="H689" s="116"/>
      <c r="I689" s="116"/>
      <c r="L689" s="170">
        <v>43648</v>
      </c>
      <c r="M689" s="116">
        <v>1729.55</v>
      </c>
      <c r="N689" s="116">
        <v>1767.8</v>
      </c>
      <c r="O689" s="116">
        <v>1721</v>
      </c>
      <c r="P689" s="116">
        <v>1745</v>
      </c>
      <c r="Q689" s="116">
        <v>1729.55</v>
      </c>
      <c r="R689">
        <v>108562</v>
      </c>
    </row>
    <row r="690" spans="1:18" x14ac:dyDescent="0.25">
      <c r="A690" s="170">
        <v>43649</v>
      </c>
      <c r="B690" s="116">
        <v>1743</v>
      </c>
      <c r="C690" s="116">
        <v>1726.4</v>
      </c>
      <c r="D690" s="116">
        <v>1721</v>
      </c>
      <c r="E690" s="116">
        <v>1737.95</v>
      </c>
      <c r="F690" s="116">
        <v>1726.4</v>
      </c>
      <c r="G690">
        <v>3214</v>
      </c>
      <c r="H690" s="116"/>
      <c r="I690" s="116"/>
      <c r="L690" s="170">
        <v>43649</v>
      </c>
      <c r="M690" s="116">
        <v>1724.1</v>
      </c>
      <c r="N690" s="116">
        <v>1743.85</v>
      </c>
      <c r="O690" s="116">
        <v>1719</v>
      </c>
      <c r="P690" s="116">
        <v>1721</v>
      </c>
      <c r="Q690" s="116">
        <v>1724.1</v>
      </c>
      <c r="R690">
        <v>82054</v>
      </c>
    </row>
    <row r="691" spans="1:18" x14ac:dyDescent="0.25">
      <c r="A691" s="170">
        <v>43650</v>
      </c>
      <c r="B691" s="116">
        <v>1745</v>
      </c>
      <c r="C691" s="116">
        <v>1698.35</v>
      </c>
      <c r="D691" s="116">
        <v>1682</v>
      </c>
      <c r="E691" s="116">
        <v>1719</v>
      </c>
      <c r="F691" s="116">
        <v>1698.35</v>
      </c>
      <c r="G691">
        <v>19045</v>
      </c>
      <c r="H691" s="116"/>
      <c r="I691" s="116"/>
      <c r="L691" s="170">
        <v>43650</v>
      </c>
      <c r="M691" s="116">
        <v>1698.4</v>
      </c>
      <c r="N691" s="116">
        <v>1729.95</v>
      </c>
      <c r="O691" s="116">
        <v>1680.55</v>
      </c>
      <c r="P691" s="116">
        <v>1720</v>
      </c>
      <c r="Q691" s="116">
        <v>1698.4</v>
      </c>
      <c r="R691">
        <v>168331</v>
      </c>
    </row>
    <row r="692" spans="1:18" x14ac:dyDescent="0.25">
      <c r="A692" s="170">
        <v>43651</v>
      </c>
      <c r="B692" s="116">
        <v>1727.15</v>
      </c>
      <c r="C692" s="116">
        <v>1700.45</v>
      </c>
      <c r="D692" s="116">
        <v>1682.75</v>
      </c>
      <c r="E692" s="116">
        <v>1710</v>
      </c>
      <c r="F692" s="116">
        <v>1700.45</v>
      </c>
      <c r="G692">
        <v>9969</v>
      </c>
      <c r="H692" s="116"/>
      <c r="I692" s="116"/>
      <c r="L692" s="170">
        <v>43651</v>
      </c>
      <c r="M692" s="116">
        <v>1700.55</v>
      </c>
      <c r="N692" s="116">
        <v>1728</v>
      </c>
      <c r="O692" s="116">
        <v>1682.05</v>
      </c>
      <c r="P692" s="116">
        <v>1705.5</v>
      </c>
      <c r="Q692" s="116">
        <v>1700.55</v>
      </c>
      <c r="R692">
        <v>139583</v>
      </c>
    </row>
    <row r="693" spans="1:18" x14ac:dyDescent="0.25">
      <c r="A693" s="170">
        <v>43654</v>
      </c>
      <c r="B693" s="116">
        <v>1699.45</v>
      </c>
      <c r="C693" s="116">
        <v>1640.85</v>
      </c>
      <c r="D693" s="116">
        <v>1615</v>
      </c>
      <c r="E693" s="116">
        <v>1699.45</v>
      </c>
      <c r="F693" s="116">
        <v>1640.85</v>
      </c>
      <c r="G693">
        <v>14710</v>
      </c>
      <c r="H693" s="116"/>
      <c r="I693" s="116"/>
      <c r="L693" s="170">
        <v>43654</v>
      </c>
      <c r="M693" s="116">
        <v>1640.35</v>
      </c>
      <c r="N693" s="116">
        <v>1697</v>
      </c>
      <c r="O693" s="116">
        <v>1614</v>
      </c>
      <c r="P693" s="116">
        <v>1681</v>
      </c>
      <c r="Q693" s="116">
        <v>1640.35</v>
      </c>
      <c r="R693">
        <v>128012</v>
      </c>
    </row>
    <row r="694" spans="1:18" x14ac:dyDescent="0.25">
      <c r="A694" s="170">
        <v>43655</v>
      </c>
      <c r="B694" s="116">
        <v>1679.7</v>
      </c>
      <c r="C694" s="116">
        <v>1656.5</v>
      </c>
      <c r="D694" s="116">
        <v>1630.1</v>
      </c>
      <c r="E694" s="116">
        <v>1630.1</v>
      </c>
      <c r="F694" s="116">
        <v>1656.5</v>
      </c>
      <c r="G694">
        <v>2272</v>
      </c>
      <c r="H694" s="116"/>
      <c r="I694" s="116"/>
      <c r="L694" s="170">
        <v>43655</v>
      </c>
      <c r="M694" s="116">
        <v>1656.4</v>
      </c>
      <c r="N694" s="116">
        <v>1680</v>
      </c>
      <c r="O694" s="116">
        <v>1630</v>
      </c>
      <c r="P694" s="116">
        <v>1642</v>
      </c>
      <c r="Q694" s="116">
        <v>1656.4</v>
      </c>
      <c r="R694">
        <v>58183</v>
      </c>
    </row>
    <row r="695" spans="1:18" x14ac:dyDescent="0.25">
      <c r="A695" s="170">
        <v>43656</v>
      </c>
      <c r="B695" s="116">
        <v>1667.95</v>
      </c>
      <c r="C695" s="116">
        <v>1663.8</v>
      </c>
      <c r="D695" s="116">
        <v>1632.6</v>
      </c>
      <c r="E695" s="116">
        <v>1660</v>
      </c>
      <c r="F695" s="116">
        <v>1663.8</v>
      </c>
      <c r="G695">
        <v>3067</v>
      </c>
      <c r="H695" s="116"/>
      <c r="I695" s="116"/>
      <c r="L695" s="170">
        <v>43656</v>
      </c>
      <c r="M695" s="116">
        <v>1663.9</v>
      </c>
      <c r="N695" s="116">
        <v>1671.9</v>
      </c>
      <c r="O695" s="116">
        <v>1632</v>
      </c>
      <c r="P695" s="116">
        <v>1671.9</v>
      </c>
      <c r="Q695" s="116">
        <v>1663.9</v>
      </c>
      <c r="R695">
        <v>39356</v>
      </c>
    </row>
    <row r="696" spans="1:18" x14ac:dyDescent="0.25">
      <c r="A696" s="170">
        <v>43657</v>
      </c>
      <c r="B696" s="116">
        <v>1663.15</v>
      </c>
      <c r="C696" s="116">
        <v>1630.05</v>
      </c>
      <c r="D696" s="116">
        <v>1625</v>
      </c>
      <c r="E696" s="116">
        <v>1663.15</v>
      </c>
      <c r="F696" s="116">
        <v>1630.05</v>
      </c>
      <c r="G696">
        <v>18229</v>
      </c>
      <c r="H696" s="116"/>
      <c r="I696" s="116"/>
      <c r="L696" s="170">
        <v>43657</v>
      </c>
      <c r="M696" s="116">
        <v>1637.7</v>
      </c>
      <c r="N696" s="116">
        <v>1669.95</v>
      </c>
      <c r="O696" s="116">
        <v>1625</v>
      </c>
      <c r="P696" s="116">
        <v>1669.95</v>
      </c>
      <c r="Q696" s="116">
        <v>1637.7</v>
      </c>
      <c r="R696">
        <v>74016</v>
      </c>
    </row>
    <row r="697" spans="1:18" x14ac:dyDescent="0.25">
      <c r="A697" s="170">
        <v>43658</v>
      </c>
      <c r="B697" s="116">
        <v>1663.9</v>
      </c>
      <c r="C697" s="116">
        <v>1629.5</v>
      </c>
      <c r="D697" s="116">
        <v>1614.85</v>
      </c>
      <c r="E697" s="116">
        <v>1659.95</v>
      </c>
      <c r="F697" s="116">
        <v>1629.5</v>
      </c>
      <c r="G697">
        <v>2205</v>
      </c>
      <c r="H697" s="116"/>
      <c r="I697" s="116"/>
      <c r="L697" s="170">
        <v>43658</v>
      </c>
      <c r="M697" s="116">
        <v>1630.2</v>
      </c>
      <c r="N697" s="116">
        <v>1655</v>
      </c>
      <c r="O697" s="116">
        <v>1614</v>
      </c>
      <c r="P697" s="116">
        <v>1639</v>
      </c>
      <c r="Q697" s="116">
        <v>1630.2</v>
      </c>
      <c r="R697">
        <v>47454</v>
      </c>
    </row>
    <row r="698" spans="1:18" x14ac:dyDescent="0.25">
      <c r="A698" s="170">
        <v>43661</v>
      </c>
      <c r="B698" s="116">
        <v>1645</v>
      </c>
      <c r="C698" s="116">
        <v>1639</v>
      </c>
      <c r="D698" s="116">
        <v>1620</v>
      </c>
      <c r="E698" s="116">
        <v>1633</v>
      </c>
      <c r="F698" s="116">
        <v>1639</v>
      </c>
      <c r="G698">
        <v>2141</v>
      </c>
      <c r="H698" s="116"/>
      <c r="I698" s="116"/>
      <c r="L698" s="170">
        <v>43661</v>
      </c>
      <c r="M698" s="116">
        <v>1641.15</v>
      </c>
      <c r="N698" s="116">
        <v>1646.9</v>
      </c>
      <c r="O698" s="116">
        <v>1619</v>
      </c>
      <c r="P698" s="116">
        <v>1625</v>
      </c>
      <c r="Q698" s="116">
        <v>1641.15</v>
      </c>
      <c r="R698">
        <v>34814</v>
      </c>
    </row>
    <row r="699" spans="1:18" x14ac:dyDescent="0.25">
      <c r="A699" s="170">
        <v>43662</v>
      </c>
      <c r="B699" s="116">
        <v>1668.8</v>
      </c>
      <c r="C699" s="116">
        <v>1655.55</v>
      </c>
      <c r="D699" s="116">
        <v>1634.6</v>
      </c>
      <c r="E699" s="116">
        <v>1653.1</v>
      </c>
      <c r="F699" s="116">
        <v>1655.55</v>
      </c>
      <c r="G699">
        <v>21179</v>
      </c>
      <c r="H699" s="116"/>
      <c r="I699" s="116"/>
      <c r="L699" s="170">
        <v>43662</v>
      </c>
      <c r="M699" s="116">
        <v>1655.7</v>
      </c>
      <c r="N699" s="116">
        <v>1668.55</v>
      </c>
      <c r="O699" s="116">
        <v>1635.05</v>
      </c>
      <c r="P699" s="116">
        <v>1649</v>
      </c>
      <c r="Q699" s="116">
        <v>1655.7</v>
      </c>
      <c r="R699">
        <v>54275</v>
      </c>
    </row>
    <row r="700" spans="1:18" x14ac:dyDescent="0.25">
      <c r="A700" s="170">
        <v>43663</v>
      </c>
      <c r="B700" s="116">
        <v>1667.1</v>
      </c>
      <c r="C700" s="116">
        <v>1663.3</v>
      </c>
      <c r="D700" s="116">
        <v>1635.95</v>
      </c>
      <c r="E700" s="116">
        <v>1654.55</v>
      </c>
      <c r="F700" s="116">
        <v>1663.3</v>
      </c>
      <c r="G700">
        <v>4846</v>
      </c>
      <c r="H700" s="116"/>
      <c r="I700" s="116"/>
      <c r="L700" s="170">
        <v>43663</v>
      </c>
      <c r="M700" s="116">
        <v>1662.85</v>
      </c>
      <c r="N700" s="116">
        <v>1668</v>
      </c>
      <c r="O700" s="116">
        <v>1635.85</v>
      </c>
      <c r="P700" s="116">
        <v>1663.85</v>
      </c>
      <c r="Q700" s="116">
        <v>1662.85</v>
      </c>
      <c r="R700">
        <v>47670</v>
      </c>
    </row>
    <row r="701" spans="1:18" x14ac:dyDescent="0.25">
      <c r="A701" s="170">
        <v>43664</v>
      </c>
      <c r="B701" s="116">
        <v>1664.75</v>
      </c>
      <c r="C701" s="116">
        <v>1661.35</v>
      </c>
      <c r="D701" s="116">
        <v>1640.5</v>
      </c>
      <c r="E701" s="116">
        <v>1654.45</v>
      </c>
      <c r="F701" s="116">
        <v>1661.35</v>
      </c>
      <c r="G701">
        <v>29852</v>
      </c>
      <c r="H701" s="116"/>
      <c r="I701" s="116"/>
      <c r="L701" s="170">
        <v>43664</v>
      </c>
      <c r="M701" s="116">
        <v>1660.45</v>
      </c>
      <c r="N701" s="116">
        <v>1670</v>
      </c>
      <c r="O701" s="116">
        <v>1640</v>
      </c>
      <c r="P701" s="116">
        <v>1670</v>
      </c>
      <c r="Q701" s="116">
        <v>1660.45</v>
      </c>
      <c r="R701">
        <v>39459</v>
      </c>
    </row>
    <row r="702" spans="1:18" x14ac:dyDescent="0.25">
      <c r="A702" s="170">
        <v>43665</v>
      </c>
      <c r="B702" s="116">
        <v>1644.45</v>
      </c>
      <c r="C702" s="116">
        <v>1606.1</v>
      </c>
      <c r="D702" s="116">
        <v>1595</v>
      </c>
      <c r="E702" s="116">
        <v>1640</v>
      </c>
      <c r="F702" s="116">
        <v>1606.1</v>
      </c>
      <c r="G702">
        <v>13765</v>
      </c>
      <c r="H702" s="116"/>
      <c r="I702" s="116"/>
      <c r="L702" s="170">
        <v>43665</v>
      </c>
      <c r="M702" s="116">
        <v>1605.45</v>
      </c>
      <c r="N702" s="116">
        <v>1659.05</v>
      </c>
      <c r="O702" s="116">
        <v>1591.1</v>
      </c>
      <c r="P702" s="116">
        <v>1658</v>
      </c>
      <c r="Q702" s="116">
        <v>1605.45</v>
      </c>
      <c r="R702">
        <v>132636</v>
      </c>
    </row>
    <row r="703" spans="1:18" x14ac:dyDescent="0.25">
      <c r="A703" s="170">
        <v>43668</v>
      </c>
      <c r="B703" s="116">
        <v>1591</v>
      </c>
      <c r="C703" s="116">
        <v>1480.7</v>
      </c>
      <c r="D703" s="116">
        <v>1475</v>
      </c>
      <c r="E703" s="116">
        <v>1591</v>
      </c>
      <c r="F703" s="116">
        <v>1480.7</v>
      </c>
      <c r="G703">
        <v>14975</v>
      </c>
      <c r="H703" s="116"/>
      <c r="I703" s="116"/>
      <c r="L703" s="170">
        <v>43668</v>
      </c>
      <c r="M703" s="116">
        <v>1480.5</v>
      </c>
      <c r="N703" s="116">
        <v>1574.7</v>
      </c>
      <c r="O703" s="116">
        <v>1472.6</v>
      </c>
      <c r="P703" s="116">
        <v>1565.55</v>
      </c>
      <c r="Q703" s="116">
        <v>1480.5</v>
      </c>
      <c r="R703">
        <v>216172</v>
      </c>
    </row>
    <row r="704" spans="1:18" x14ac:dyDescent="0.25">
      <c r="A704" s="170">
        <v>43669</v>
      </c>
      <c r="B704" s="116">
        <v>1492.35</v>
      </c>
      <c r="C704" s="116">
        <v>1454.3</v>
      </c>
      <c r="D704" s="116">
        <v>1435.9</v>
      </c>
      <c r="E704" s="116">
        <v>1480.7</v>
      </c>
      <c r="F704" s="116">
        <v>1454.3</v>
      </c>
      <c r="G704">
        <v>41408</v>
      </c>
      <c r="H704" s="116"/>
      <c r="I704" s="116"/>
      <c r="L704" s="170">
        <v>43669</v>
      </c>
      <c r="M704" s="116">
        <v>1454.2</v>
      </c>
      <c r="N704" s="116">
        <v>1490.1</v>
      </c>
      <c r="O704" s="116">
        <v>1436</v>
      </c>
      <c r="P704" s="116">
        <v>1482</v>
      </c>
      <c r="Q704" s="116">
        <v>1454.2</v>
      </c>
      <c r="R704">
        <v>165446</v>
      </c>
    </row>
    <row r="705" spans="1:18" x14ac:dyDescent="0.25">
      <c r="A705" s="170">
        <v>43670</v>
      </c>
      <c r="B705" s="116">
        <v>1511</v>
      </c>
      <c r="C705" s="116">
        <v>1502.75</v>
      </c>
      <c r="D705" s="116">
        <v>1455.6</v>
      </c>
      <c r="E705" s="116">
        <v>1469.5</v>
      </c>
      <c r="F705" s="116">
        <v>1502.75</v>
      </c>
      <c r="G705">
        <v>5213</v>
      </c>
      <c r="H705" s="116"/>
      <c r="I705" s="116"/>
      <c r="L705" s="170">
        <v>43670</v>
      </c>
      <c r="M705" s="116">
        <v>1501.15</v>
      </c>
      <c r="N705" s="116">
        <v>1514.3</v>
      </c>
      <c r="O705" s="116">
        <v>1454.65</v>
      </c>
      <c r="P705" s="116">
        <v>1469.6</v>
      </c>
      <c r="Q705" s="116">
        <v>1501.15</v>
      </c>
      <c r="R705">
        <v>207712</v>
      </c>
    </row>
    <row r="706" spans="1:18" x14ac:dyDescent="0.25">
      <c r="A706" s="170">
        <v>43671</v>
      </c>
      <c r="B706" s="116">
        <v>1517.5</v>
      </c>
      <c r="C706" s="116">
        <v>1469.8</v>
      </c>
      <c r="D706" s="116">
        <v>1465.1</v>
      </c>
      <c r="E706" s="116">
        <v>1517.5</v>
      </c>
      <c r="F706" s="116">
        <v>1469.8</v>
      </c>
      <c r="G706">
        <v>4262</v>
      </c>
      <c r="H706" s="116"/>
      <c r="I706" s="116"/>
      <c r="L706" s="170">
        <v>43671</v>
      </c>
      <c r="M706" s="116">
        <v>1469.6</v>
      </c>
      <c r="N706" s="116">
        <v>1518.1</v>
      </c>
      <c r="O706" s="116">
        <v>1465</v>
      </c>
      <c r="P706" s="116">
        <v>1510</v>
      </c>
      <c r="Q706" s="116">
        <v>1469.6</v>
      </c>
      <c r="R706">
        <v>108951</v>
      </c>
    </row>
    <row r="707" spans="1:18" x14ac:dyDescent="0.25">
      <c r="A707" s="170">
        <v>43672</v>
      </c>
      <c r="B707" s="116">
        <v>1474.45</v>
      </c>
      <c r="C707" s="116">
        <v>1448</v>
      </c>
      <c r="D707" s="116">
        <v>1442.15</v>
      </c>
      <c r="E707" s="116">
        <v>1466.85</v>
      </c>
      <c r="F707" s="116">
        <v>1448</v>
      </c>
      <c r="G707">
        <v>39312</v>
      </c>
      <c r="H707" s="116"/>
      <c r="I707" s="116"/>
      <c r="L707" s="170">
        <v>43672</v>
      </c>
      <c r="M707" s="116">
        <v>1448.7</v>
      </c>
      <c r="N707" s="116">
        <v>1474.2</v>
      </c>
      <c r="O707" s="116">
        <v>1441.35</v>
      </c>
      <c r="P707" s="116">
        <v>1462</v>
      </c>
      <c r="Q707" s="116">
        <v>1448.7</v>
      </c>
      <c r="R707">
        <v>158953</v>
      </c>
    </row>
    <row r="708" spans="1:18" x14ac:dyDescent="0.25">
      <c r="A708" s="170">
        <v>43675</v>
      </c>
      <c r="B708" s="116">
        <v>1462.8</v>
      </c>
      <c r="C708" s="116">
        <v>1455.95</v>
      </c>
      <c r="D708" s="116">
        <v>1415.5</v>
      </c>
      <c r="E708" s="116">
        <v>1451.45</v>
      </c>
      <c r="F708" s="116">
        <v>1455.95</v>
      </c>
      <c r="G708">
        <v>28093</v>
      </c>
      <c r="H708" s="116"/>
      <c r="I708" s="116"/>
      <c r="L708" s="170">
        <v>43675</v>
      </c>
      <c r="M708" s="116">
        <v>1452.95</v>
      </c>
      <c r="N708" s="116">
        <v>1460</v>
      </c>
      <c r="O708" s="116">
        <v>1414</v>
      </c>
      <c r="P708" s="116">
        <v>1454.95</v>
      </c>
      <c r="Q708" s="116">
        <v>1452.95</v>
      </c>
      <c r="R708">
        <v>107851</v>
      </c>
    </row>
    <row r="709" spans="1:18" x14ac:dyDescent="0.25">
      <c r="A709" s="170">
        <v>43676</v>
      </c>
      <c r="B709" s="116">
        <v>1473.75</v>
      </c>
      <c r="C709" s="116">
        <v>1465.1</v>
      </c>
      <c r="D709" s="116">
        <v>1430.1</v>
      </c>
      <c r="E709" s="116">
        <v>1461</v>
      </c>
      <c r="F709" s="116">
        <v>1465.1</v>
      </c>
      <c r="G709">
        <v>6413</v>
      </c>
      <c r="H709" s="116"/>
      <c r="I709" s="116"/>
      <c r="L709" s="170">
        <v>43676</v>
      </c>
      <c r="M709" s="116">
        <v>1465.6</v>
      </c>
      <c r="N709" s="116">
        <v>1473.25</v>
      </c>
      <c r="O709" s="116">
        <v>1430</v>
      </c>
      <c r="P709" s="116">
        <v>1464.4</v>
      </c>
      <c r="Q709" s="116">
        <v>1465.6</v>
      </c>
      <c r="R709">
        <v>76464</v>
      </c>
    </row>
    <row r="710" spans="1:18" x14ac:dyDescent="0.25">
      <c r="A710" s="170">
        <v>43677</v>
      </c>
      <c r="B710" s="116">
        <v>1467</v>
      </c>
      <c r="C710" s="116">
        <v>1440.2</v>
      </c>
      <c r="D710" s="116">
        <v>1420.05</v>
      </c>
      <c r="E710" s="116">
        <v>1466</v>
      </c>
      <c r="F710" s="116">
        <v>1440.2</v>
      </c>
      <c r="G710">
        <v>4059</v>
      </c>
      <c r="H710" s="116"/>
      <c r="I710" s="116"/>
      <c r="L710" s="170">
        <v>43677</v>
      </c>
      <c r="M710" s="116">
        <v>1441.05</v>
      </c>
      <c r="N710" s="116">
        <v>1472</v>
      </c>
      <c r="O710" s="116">
        <v>1421</v>
      </c>
      <c r="P710" s="116">
        <v>1472</v>
      </c>
      <c r="Q710" s="116">
        <v>1441.05</v>
      </c>
      <c r="R710">
        <v>114164</v>
      </c>
    </row>
    <row r="711" spans="1:18" x14ac:dyDescent="0.25">
      <c r="A711" s="170">
        <v>43678</v>
      </c>
      <c r="B711" s="116">
        <v>1473.8</v>
      </c>
      <c r="C711" s="116">
        <v>1459.95</v>
      </c>
      <c r="D711" s="116">
        <v>1445</v>
      </c>
      <c r="E711" s="116">
        <v>1447.05</v>
      </c>
      <c r="F711" s="116">
        <v>1459.95</v>
      </c>
      <c r="G711">
        <v>3460</v>
      </c>
      <c r="H711" s="116"/>
      <c r="I711" s="116"/>
      <c r="L711" s="170">
        <v>43678</v>
      </c>
      <c r="M711" s="116">
        <v>1459.4</v>
      </c>
      <c r="N711" s="116">
        <v>1473.9</v>
      </c>
      <c r="O711" s="116">
        <v>1441.05</v>
      </c>
      <c r="P711" s="116">
        <v>1441.05</v>
      </c>
      <c r="Q711" s="116">
        <v>1459.4</v>
      </c>
      <c r="R711">
        <v>60194</v>
      </c>
    </row>
    <row r="712" spans="1:18" x14ac:dyDescent="0.25">
      <c r="A712" s="170">
        <v>43679</v>
      </c>
      <c r="B712" s="116">
        <v>1487.2</v>
      </c>
      <c r="C712" s="116">
        <v>1479.1</v>
      </c>
      <c r="D712" s="116">
        <v>1446.5</v>
      </c>
      <c r="E712" s="116">
        <v>1453.5</v>
      </c>
      <c r="F712" s="116">
        <v>1479.1</v>
      </c>
      <c r="G712">
        <v>14257</v>
      </c>
      <c r="H712" s="116"/>
      <c r="I712" s="116"/>
      <c r="L712" s="170">
        <v>43679</v>
      </c>
      <c r="M712" s="116">
        <v>1481.95</v>
      </c>
      <c r="N712" s="116">
        <v>1487.75</v>
      </c>
      <c r="O712" s="116">
        <v>1446.05</v>
      </c>
      <c r="P712" s="116">
        <v>1460</v>
      </c>
      <c r="Q712" s="116">
        <v>1481.95</v>
      </c>
      <c r="R712">
        <v>75082</v>
      </c>
    </row>
    <row r="713" spans="1:18" x14ac:dyDescent="0.25">
      <c r="A713" s="170">
        <v>43682</v>
      </c>
      <c r="B713" s="116">
        <v>1513.05</v>
      </c>
      <c r="C713" s="116">
        <v>1494.65</v>
      </c>
      <c r="D713" s="116">
        <v>1453</v>
      </c>
      <c r="E713" s="116">
        <v>1476</v>
      </c>
      <c r="F713" s="116">
        <v>1494.65</v>
      </c>
      <c r="G713">
        <v>5393</v>
      </c>
      <c r="H713" s="116"/>
      <c r="I713" s="116"/>
      <c r="L713" s="170">
        <v>43682</v>
      </c>
      <c r="M713" s="116">
        <v>1496.35</v>
      </c>
      <c r="N713" s="116">
        <v>1513.5</v>
      </c>
      <c r="O713" s="116">
        <v>1454</v>
      </c>
      <c r="P713" s="116">
        <v>1481.95</v>
      </c>
      <c r="Q713" s="116">
        <v>1496.35</v>
      </c>
      <c r="R713">
        <v>67178</v>
      </c>
    </row>
    <row r="714" spans="1:18" x14ac:dyDescent="0.25">
      <c r="A714" s="170">
        <v>43683</v>
      </c>
      <c r="B714" s="116">
        <v>1527.15</v>
      </c>
      <c r="C714" s="116">
        <v>1519.95</v>
      </c>
      <c r="D714" s="116">
        <v>1493</v>
      </c>
      <c r="E714" s="116">
        <v>1502.9</v>
      </c>
      <c r="F714" s="116">
        <v>1519.95</v>
      </c>
      <c r="G714">
        <v>25196</v>
      </c>
      <c r="H714" s="116"/>
      <c r="I714" s="116"/>
      <c r="L714" s="170">
        <v>43683</v>
      </c>
      <c r="M714" s="116">
        <v>1519.95</v>
      </c>
      <c r="N714" s="116">
        <v>1528</v>
      </c>
      <c r="O714" s="116">
        <v>1492.8</v>
      </c>
      <c r="P714" s="116">
        <v>1499</v>
      </c>
      <c r="Q714" s="116">
        <v>1519.95</v>
      </c>
      <c r="R714">
        <v>88005</v>
      </c>
    </row>
    <row r="715" spans="1:18" x14ac:dyDescent="0.25">
      <c r="A715" s="170">
        <v>43684</v>
      </c>
      <c r="B715" s="116">
        <v>1553.1</v>
      </c>
      <c r="C715" s="116">
        <v>1533.45</v>
      </c>
      <c r="D715" s="116">
        <v>1526.25</v>
      </c>
      <c r="E715" s="116">
        <v>1528.95</v>
      </c>
      <c r="F715" s="116">
        <v>1533.45</v>
      </c>
      <c r="G715">
        <v>2334</v>
      </c>
      <c r="H715" s="116"/>
      <c r="I715" s="116"/>
      <c r="L715" s="170">
        <v>43684</v>
      </c>
      <c r="M715" s="116">
        <v>1534.8</v>
      </c>
      <c r="N715" s="116">
        <v>1554.9</v>
      </c>
      <c r="O715" s="116">
        <v>1518.8</v>
      </c>
      <c r="P715" s="116">
        <v>1529.8</v>
      </c>
      <c r="Q715" s="116">
        <v>1534.8</v>
      </c>
      <c r="R715">
        <v>37255</v>
      </c>
    </row>
    <row r="716" spans="1:18" x14ac:dyDescent="0.25">
      <c r="A716" s="170">
        <v>43685</v>
      </c>
      <c r="B716" s="116">
        <v>1565.4</v>
      </c>
      <c r="C716" s="116">
        <v>1556.7</v>
      </c>
      <c r="D716" s="116">
        <v>1535.8</v>
      </c>
      <c r="E716" s="116">
        <v>1537.7</v>
      </c>
      <c r="F716" s="116">
        <v>1556.7</v>
      </c>
      <c r="G716">
        <v>1156</v>
      </c>
      <c r="H716" s="116"/>
      <c r="I716" s="116"/>
      <c r="L716" s="170">
        <v>43685</v>
      </c>
      <c r="M716" s="116">
        <v>1556.85</v>
      </c>
      <c r="N716" s="116">
        <v>1566.75</v>
      </c>
      <c r="O716" s="116">
        <v>1535.95</v>
      </c>
      <c r="P716" s="116">
        <v>1542.4</v>
      </c>
      <c r="Q716" s="116">
        <v>1556.85</v>
      </c>
      <c r="R716">
        <v>34446</v>
      </c>
    </row>
    <row r="717" spans="1:18" x14ac:dyDescent="0.25">
      <c r="A717" s="170">
        <v>43686</v>
      </c>
      <c r="B717" s="116">
        <v>1589</v>
      </c>
      <c r="C717" s="116">
        <v>1582.2</v>
      </c>
      <c r="D717" s="116">
        <v>1557.05</v>
      </c>
      <c r="E717" s="116">
        <v>1557.05</v>
      </c>
      <c r="F717" s="116">
        <v>1582.2</v>
      </c>
      <c r="G717">
        <v>2997</v>
      </c>
      <c r="H717" s="116"/>
      <c r="I717" s="116"/>
      <c r="L717" s="170">
        <v>43686</v>
      </c>
      <c r="M717" s="116">
        <v>1582.5</v>
      </c>
      <c r="N717" s="116">
        <v>1589.9</v>
      </c>
      <c r="O717" s="116">
        <v>1558.75</v>
      </c>
      <c r="P717" s="116">
        <v>1562</v>
      </c>
      <c r="Q717" s="116">
        <v>1582.5</v>
      </c>
      <c r="R717">
        <v>71622</v>
      </c>
    </row>
    <row r="718" spans="1:18" x14ac:dyDescent="0.25">
      <c r="A718" s="170">
        <v>43690</v>
      </c>
      <c r="B718" s="116">
        <v>1605.4</v>
      </c>
      <c r="C718" s="116">
        <v>1595.45</v>
      </c>
      <c r="D718" s="116">
        <v>1580</v>
      </c>
      <c r="E718" s="116">
        <v>1588</v>
      </c>
      <c r="F718" s="116">
        <v>1595.45</v>
      </c>
      <c r="G718">
        <v>3580</v>
      </c>
      <c r="H718" s="116"/>
      <c r="I718" s="116"/>
      <c r="L718" s="170">
        <v>43690</v>
      </c>
      <c r="M718" s="116">
        <v>1596.55</v>
      </c>
      <c r="N718" s="116">
        <v>1606.35</v>
      </c>
      <c r="O718" s="116">
        <v>1580</v>
      </c>
      <c r="P718" s="116">
        <v>1594</v>
      </c>
      <c r="Q718" s="116">
        <v>1596.55</v>
      </c>
      <c r="R718">
        <v>42494</v>
      </c>
    </row>
    <row r="719" spans="1:18" x14ac:dyDescent="0.25">
      <c r="A719" s="170">
        <v>43691</v>
      </c>
      <c r="B719" s="116">
        <v>1616</v>
      </c>
      <c r="C719" s="116">
        <v>1583.9</v>
      </c>
      <c r="D719" s="116">
        <v>1575</v>
      </c>
      <c r="E719" s="116">
        <v>1595</v>
      </c>
      <c r="F719" s="116">
        <v>1583.9</v>
      </c>
      <c r="G719">
        <v>2001</v>
      </c>
      <c r="H719" s="116"/>
      <c r="I719" s="116"/>
      <c r="L719" s="170">
        <v>43691</v>
      </c>
      <c r="M719" s="116">
        <v>1586.25</v>
      </c>
      <c r="N719" s="116">
        <v>1617</v>
      </c>
      <c r="O719" s="116">
        <v>1575</v>
      </c>
      <c r="P719" s="116">
        <v>1598</v>
      </c>
      <c r="Q719" s="116">
        <v>1586.25</v>
      </c>
      <c r="R719">
        <v>45332</v>
      </c>
    </row>
    <row r="720" spans="1:18" x14ac:dyDescent="0.25">
      <c r="A720" s="170">
        <v>43693</v>
      </c>
      <c r="B720" s="116">
        <v>1602.55</v>
      </c>
      <c r="C720" s="116">
        <v>1572.55</v>
      </c>
      <c r="D720" s="116">
        <v>1568.55</v>
      </c>
      <c r="E720" s="116">
        <v>1580.05</v>
      </c>
      <c r="F720" s="116">
        <v>1572.55</v>
      </c>
      <c r="G720">
        <v>22635</v>
      </c>
      <c r="H720" s="116"/>
      <c r="I720" s="116"/>
      <c r="L720" s="170">
        <v>43693</v>
      </c>
      <c r="M720" s="116">
        <v>1571.55</v>
      </c>
      <c r="N720" s="116">
        <v>1604.75</v>
      </c>
      <c r="O720" s="116">
        <v>1565</v>
      </c>
      <c r="P720" s="116">
        <v>1581</v>
      </c>
      <c r="Q720" s="116">
        <v>1571.55</v>
      </c>
      <c r="R720">
        <v>69701</v>
      </c>
    </row>
    <row r="721" spans="1:18" x14ac:dyDescent="0.25">
      <c r="A721" s="170">
        <v>43696</v>
      </c>
      <c r="B721" s="116">
        <v>1607</v>
      </c>
      <c r="C721" s="116">
        <v>1581.3</v>
      </c>
      <c r="D721" s="116">
        <v>1565.25</v>
      </c>
      <c r="E721" s="116">
        <v>1607</v>
      </c>
      <c r="F721" s="116">
        <v>1581.3</v>
      </c>
      <c r="G721">
        <v>1249</v>
      </c>
      <c r="H721" s="116"/>
      <c r="I721" s="116"/>
      <c r="L721" s="170">
        <v>43696</v>
      </c>
      <c r="M721" s="116">
        <v>1583.2</v>
      </c>
      <c r="N721" s="116">
        <v>1595.95</v>
      </c>
      <c r="O721" s="116">
        <v>1566</v>
      </c>
      <c r="P721" s="116">
        <v>1594</v>
      </c>
      <c r="Q721" s="116">
        <v>1583.2</v>
      </c>
      <c r="R721">
        <v>22049</v>
      </c>
    </row>
    <row r="722" spans="1:18" x14ac:dyDescent="0.25">
      <c r="A722" s="170">
        <v>43697</v>
      </c>
      <c r="B722" s="116">
        <v>1598.6</v>
      </c>
      <c r="C722" s="116">
        <v>1565.4</v>
      </c>
      <c r="D722" s="116">
        <v>1558.2</v>
      </c>
      <c r="E722" s="116">
        <v>1589.95</v>
      </c>
      <c r="F722" s="116">
        <v>1565.4</v>
      </c>
      <c r="G722">
        <v>1624</v>
      </c>
      <c r="H722" s="116"/>
      <c r="I722" s="116"/>
      <c r="L722" s="170">
        <v>43697</v>
      </c>
      <c r="M722" s="116">
        <v>1566</v>
      </c>
      <c r="N722" s="116">
        <v>1598</v>
      </c>
      <c r="O722" s="116">
        <v>1558</v>
      </c>
      <c r="P722" s="116">
        <v>1594</v>
      </c>
      <c r="Q722" s="116">
        <v>1566</v>
      </c>
      <c r="R722">
        <v>31784</v>
      </c>
    </row>
    <row r="723" spans="1:18" x14ac:dyDescent="0.25">
      <c r="A723" s="170">
        <v>43698</v>
      </c>
      <c r="B723" s="116">
        <v>1575.9</v>
      </c>
      <c r="C723" s="116">
        <v>1555.4</v>
      </c>
      <c r="D723" s="116">
        <v>1555</v>
      </c>
      <c r="E723" s="116">
        <v>1575.9</v>
      </c>
      <c r="F723" s="116">
        <v>1555.4</v>
      </c>
      <c r="G723">
        <v>2173</v>
      </c>
      <c r="H723" s="116"/>
      <c r="I723" s="116"/>
      <c r="L723" s="170">
        <v>43698</v>
      </c>
      <c r="M723" s="116">
        <v>1555.6</v>
      </c>
      <c r="N723" s="116">
        <v>1575.8</v>
      </c>
      <c r="O723" s="116">
        <v>1555</v>
      </c>
      <c r="P723" s="116">
        <v>1567</v>
      </c>
      <c r="Q723" s="116">
        <v>1555.6</v>
      </c>
      <c r="R723">
        <v>20121</v>
      </c>
    </row>
    <row r="724" spans="1:18" x14ac:dyDescent="0.25">
      <c r="A724" s="170">
        <v>43699</v>
      </c>
      <c r="B724" s="116">
        <v>1586.9</v>
      </c>
      <c r="C724" s="116">
        <v>1572.65</v>
      </c>
      <c r="D724" s="116">
        <v>1556</v>
      </c>
      <c r="E724" s="116">
        <v>1563.8</v>
      </c>
      <c r="F724" s="116">
        <v>1572.65</v>
      </c>
      <c r="G724">
        <v>3746</v>
      </c>
      <c r="H724" s="116"/>
      <c r="I724" s="116"/>
      <c r="L724" s="170">
        <v>43699</v>
      </c>
      <c r="M724" s="116">
        <v>1572.45</v>
      </c>
      <c r="N724" s="116">
        <v>1587.9</v>
      </c>
      <c r="O724" s="116">
        <v>1555.3</v>
      </c>
      <c r="P724" s="116">
        <v>1561</v>
      </c>
      <c r="Q724" s="116">
        <v>1572.45</v>
      </c>
      <c r="R724">
        <v>89951</v>
      </c>
    </row>
    <row r="725" spans="1:18" x14ac:dyDescent="0.25">
      <c r="A725" s="170">
        <v>43700</v>
      </c>
      <c r="B725" s="116">
        <v>1603</v>
      </c>
      <c r="C725" s="116">
        <v>1584.25</v>
      </c>
      <c r="D725" s="116">
        <v>1569.7</v>
      </c>
      <c r="E725" s="116">
        <v>1570.85</v>
      </c>
      <c r="F725" s="116">
        <v>1584.25</v>
      </c>
      <c r="G725">
        <v>70258</v>
      </c>
      <c r="H725" s="116"/>
      <c r="I725" s="116"/>
      <c r="L725" s="170">
        <v>43700</v>
      </c>
      <c r="M725" s="116">
        <v>1584.85</v>
      </c>
      <c r="N725" s="116">
        <v>1604.8</v>
      </c>
      <c r="O725" s="116">
        <v>1569</v>
      </c>
      <c r="P725" s="116">
        <v>1575.15</v>
      </c>
      <c r="Q725" s="116">
        <v>1584.85</v>
      </c>
      <c r="R725">
        <v>197819</v>
      </c>
    </row>
    <row r="726" spans="1:18" x14ac:dyDescent="0.25">
      <c r="A726" s="170">
        <v>43703</v>
      </c>
      <c r="B726" s="116">
        <v>1625</v>
      </c>
      <c r="C726" s="116">
        <v>1592.1</v>
      </c>
      <c r="D726" s="116">
        <v>1563</v>
      </c>
      <c r="E726" s="116">
        <v>1625</v>
      </c>
      <c r="F726" s="116">
        <v>1592.1</v>
      </c>
      <c r="G726">
        <v>5025</v>
      </c>
      <c r="H726" s="116"/>
      <c r="I726" s="116"/>
      <c r="L726" s="170">
        <v>43703</v>
      </c>
      <c r="M726" s="116">
        <v>1580.15</v>
      </c>
      <c r="N726" s="116">
        <v>1612.35</v>
      </c>
      <c r="O726" s="116">
        <v>1563</v>
      </c>
      <c r="P726" s="116">
        <v>1600</v>
      </c>
      <c r="Q726" s="116">
        <v>1580.15</v>
      </c>
      <c r="R726">
        <v>108737</v>
      </c>
    </row>
    <row r="727" spans="1:18" x14ac:dyDescent="0.25">
      <c r="A727" s="170">
        <v>43704</v>
      </c>
      <c r="B727" s="116">
        <v>1639.25</v>
      </c>
      <c r="C727" s="116">
        <v>1626.8</v>
      </c>
      <c r="D727" s="116">
        <v>1585</v>
      </c>
      <c r="E727" s="116">
        <v>1591.7</v>
      </c>
      <c r="F727" s="116">
        <v>1626.8</v>
      </c>
      <c r="G727">
        <v>2191</v>
      </c>
      <c r="H727" s="116"/>
      <c r="I727" s="116"/>
      <c r="L727" s="170">
        <v>43704</v>
      </c>
      <c r="M727" s="116">
        <v>1627.35</v>
      </c>
      <c r="N727" s="116">
        <v>1640</v>
      </c>
      <c r="O727" s="116">
        <v>1582</v>
      </c>
      <c r="P727" s="116">
        <v>1582</v>
      </c>
      <c r="Q727" s="116">
        <v>1627.35</v>
      </c>
      <c r="R727">
        <v>90799</v>
      </c>
    </row>
    <row r="728" spans="1:18" x14ac:dyDescent="0.25">
      <c r="A728" s="170">
        <v>43705</v>
      </c>
      <c r="B728" s="116">
        <v>1653</v>
      </c>
      <c r="C728" s="116">
        <v>1592.05</v>
      </c>
      <c r="D728" s="116">
        <v>1579.95</v>
      </c>
      <c r="E728" s="116">
        <v>1626.8</v>
      </c>
      <c r="F728" s="116">
        <v>1592.05</v>
      </c>
      <c r="G728">
        <v>31669</v>
      </c>
      <c r="H728" s="116"/>
      <c r="I728" s="116"/>
      <c r="L728" s="170">
        <v>43705</v>
      </c>
      <c r="M728" s="116">
        <v>1591.25</v>
      </c>
      <c r="N728" s="116">
        <v>1654</v>
      </c>
      <c r="O728" s="116">
        <v>1578.55</v>
      </c>
      <c r="P728" s="116">
        <v>1634</v>
      </c>
      <c r="Q728" s="116">
        <v>1591.25</v>
      </c>
      <c r="R728">
        <v>84216</v>
      </c>
    </row>
    <row r="729" spans="1:18" x14ac:dyDescent="0.25">
      <c r="A729" s="170">
        <v>43706</v>
      </c>
      <c r="B729" s="116">
        <v>1614</v>
      </c>
      <c r="C729" s="116">
        <v>1602.4</v>
      </c>
      <c r="D729" s="116">
        <v>1589</v>
      </c>
      <c r="E729" s="116">
        <v>1592.1</v>
      </c>
      <c r="F729" s="116">
        <v>1602.4</v>
      </c>
      <c r="G729">
        <v>29311</v>
      </c>
      <c r="H729" s="116"/>
      <c r="I729" s="116"/>
      <c r="L729" s="170">
        <v>43706</v>
      </c>
      <c r="M729" s="116">
        <v>1601.3</v>
      </c>
      <c r="N729" s="116">
        <v>1615</v>
      </c>
      <c r="O729" s="116">
        <v>1588</v>
      </c>
      <c r="P729" s="116">
        <v>1591.05</v>
      </c>
      <c r="Q729" s="116">
        <v>1601.3</v>
      </c>
      <c r="R729">
        <v>48202</v>
      </c>
    </row>
    <row r="730" spans="1:18" x14ac:dyDescent="0.25">
      <c r="A730" s="170">
        <v>43707</v>
      </c>
      <c r="B730" s="116">
        <v>1637.15</v>
      </c>
      <c r="C730" s="116">
        <v>1620.75</v>
      </c>
      <c r="D730" s="116">
        <v>1608.5</v>
      </c>
      <c r="E730" s="116">
        <v>1611</v>
      </c>
      <c r="F730" s="116">
        <v>1620.75</v>
      </c>
      <c r="G730">
        <v>23343</v>
      </c>
      <c r="H730" s="116"/>
      <c r="I730" s="116"/>
      <c r="L730" s="170">
        <v>43707</v>
      </c>
      <c r="M730" s="116">
        <v>1621.2</v>
      </c>
      <c r="N730" s="116">
        <v>1639</v>
      </c>
      <c r="O730" s="116">
        <v>1607</v>
      </c>
      <c r="P730" s="116">
        <v>1607</v>
      </c>
      <c r="Q730" s="116">
        <v>1621.2</v>
      </c>
      <c r="R730">
        <v>80957</v>
      </c>
    </row>
    <row r="731" spans="1:18" x14ac:dyDescent="0.25">
      <c r="A731" s="170">
        <v>43711</v>
      </c>
      <c r="B731" s="116">
        <v>1640.5</v>
      </c>
      <c r="C731" s="116">
        <v>1627.45</v>
      </c>
      <c r="D731" s="116">
        <v>1610.05</v>
      </c>
      <c r="E731" s="116">
        <v>1610.05</v>
      </c>
      <c r="F731" s="116">
        <v>1627.45</v>
      </c>
      <c r="G731">
        <v>1966</v>
      </c>
      <c r="H731" s="116"/>
      <c r="I731" s="116"/>
      <c r="L731" s="170">
        <v>43711</v>
      </c>
      <c r="M731" s="116">
        <v>1624.35</v>
      </c>
      <c r="N731" s="116">
        <v>1640.6</v>
      </c>
      <c r="O731" s="116">
        <v>1609.55</v>
      </c>
      <c r="P731" s="116">
        <v>1619.9</v>
      </c>
      <c r="Q731" s="116">
        <v>1624.35</v>
      </c>
      <c r="R731">
        <v>49079</v>
      </c>
    </row>
    <row r="732" spans="1:18" x14ac:dyDescent="0.25">
      <c r="A732" s="170">
        <v>43712</v>
      </c>
      <c r="B732" s="116">
        <v>1649.8</v>
      </c>
      <c r="C732" s="116">
        <v>1645.5</v>
      </c>
      <c r="D732" s="116">
        <v>1626.8</v>
      </c>
      <c r="E732" s="116">
        <v>1637</v>
      </c>
      <c r="F732" s="116">
        <v>1645.5</v>
      </c>
      <c r="G732">
        <v>1968</v>
      </c>
      <c r="H732" s="116"/>
      <c r="I732" s="116"/>
      <c r="L732" s="170">
        <v>43712</v>
      </c>
      <c r="M732" s="116">
        <v>1645.85</v>
      </c>
      <c r="N732" s="116">
        <v>1650</v>
      </c>
      <c r="O732" s="116">
        <v>1626</v>
      </c>
      <c r="P732" s="116">
        <v>1627</v>
      </c>
      <c r="Q732" s="116">
        <v>1645.85</v>
      </c>
      <c r="R732">
        <v>59807</v>
      </c>
    </row>
    <row r="733" spans="1:18" x14ac:dyDescent="0.25">
      <c r="A733" s="170">
        <v>43713</v>
      </c>
      <c r="B733" s="116">
        <v>1651.1</v>
      </c>
      <c r="C733" s="116">
        <v>1626.85</v>
      </c>
      <c r="D733" s="116">
        <v>1618.4</v>
      </c>
      <c r="E733" s="116">
        <v>1648.3</v>
      </c>
      <c r="F733" s="116">
        <v>1626.85</v>
      </c>
      <c r="G733">
        <v>2854</v>
      </c>
      <c r="H733" s="116"/>
      <c r="I733" s="116"/>
      <c r="L733" s="170">
        <v>43713</v>
      </c>
      <c r="M733" s="116">
        <v>1626.45</v>
      </c>
      <c r="N733" s="116">
        <v>1652.9</v>
      </c>
      <c r="O733" s="116">
        <v>1618</v>
      </c>
      <c r="P733" s="116">
        <v>1650.05</v>
      </c>
      <c r="Q733" s="116">
        <v>1626.45</v>
      </c>
      <c r="R733">
        <v>59984</v>
      </c>
    </row>
    <row r="734" spans="1:18" x14ac:dyDescent="0.25">
      <c r="A734" s="170">
        <v>43714</v>
      </c>
      <c r="B734" s="116">
        <v>1640.1</v>
      </c>
      <c r="C734" s="116">
        <v>1626.7</v>
      </c>
      <c r="D734" s="116">
        <v>1612.05</v>
      </c>
      <c r="E734" s="116">
        <v>1612.05</v>
      </c>
      <c r="F734" s="116">
        <v>1626.7</v>
      </c>
      <c r="G734">
        <v>54714</v>
      </c>
      <c r="H734" s="116"/>
      <c r="I734" s="116"/>
      <c r="L734" s="170">
        <v>43714</v>
      </c>
      <c r="M734" s="116">
        <v>1625.7</v>
      </c>
      <c r="N734" s="116">
        <v>1642</v>
      </c>
      <c r="O734" s="116">
        <v>1621</v>
      </c>
      <c r="P734" s="116">
        <v>1635.9</v>
      </c>
      <c r="Q734" s="116">
        <v>1625.7</v>
      </c>
      <c r="R734">
        <v>57434</v>
      </c>
    </row>
    <row r="735" spans="1:18" x14ac:dyDescent="0.25">
      <c r="A735" s="170">
        <v>43717</v>
      </c>
      <c r="B735" s="116">
        <v>1641.7</v>
      </c>
      <c r="C735" s="116">
        <v>1635.3</v>
      </c>
      <c r="D735" s="116">
        <v>1621.4</v>
      </c>
      <c r="E735" s="116">
        <v>1624.8</v>
      </c>
      <c r="F735" s="116">
        <v>1635.3</v>
      </c>
      <c r="G735">
        <v>2509</v>
      </c>
      <c r="H735" s="116"/>
      <c r="I735" s="116"/>
      <c r="L735" s="170">
        <v>43717</v>
      </c>
      <c r="M735" s="116">
        <v>1633.7</v>
      </c>
      <c r="N735" s="116">
        <v>1643.95</v>
      </c>
      <c r="O735" s="116">
        <v>1618.35</v>
      </c>
      <c r="P735" s="116">
        <v>1624</v>
      </c>
      <c r="Q735" s="116">
        <v>1633.7</v>
      </c>
      <c r="R735">
        <v>72146</v>
      </c>
    </row>
    <row r="736" spans="1:18" x14ac:dyDescent="0.25">
      <c r="A736" s="170">
        <v>43719</v>
      </c>
      <c r="B736" s="116">
        <v>1641.75</v>
      </c>
      <c r="C736" s="116">
        <v>1621.55</v>
      </c>
      <c r="D736" s="116">
        <v>1617</v>
      </c>
      <c r="E736" s="116">
        <v>1636.25</v>
      </c>
      <c r="F736" s="116">
        <v>1621.55</v>
      </c>
      <c r="G736">
        <v>22874</v>
      </c>
      <c r="H736" s="116"/>
      <c r="I736" s="116"/>
      <c r="L736" s="170">
        <v>43719</v>
      </c>
      <c r="M736" s="116">
        <v>1623.8</v>
      </c>
      <c r="N736" s="116">
        <v>1642.45</v>
      </c>
      <c r="O736" s="116">
        <v>1615</v>
      </c>
      <c r="P736" s="116">
        <v>1630</v>
      </c>
      <c r="Q736" s="116">
        <v>1623.8</v>
      </c>
      <c r="R736">
        <v>77113</v>
      </c>
    </row>
    <row r="737" spans="1:18" x14ac:dyDescent="0.25">
      <c r="A737" s="170">
        <v>43720</v>
      </c>
      <c r="B737" s="116">
        <v>1624</v>
      </c>
      <c r="C737" s="116">
        <v>1576.35</v>
      </c>
      <c r="D737" s="116">
        <v>1573.1</v>
      </c>
      <c r="E737" s="116">
        <v>1623</v>
      </c>
      <c r="F737" s="116">
        <v>1576.35</v>
      </c>
      <c r="G737">
        <v>3834</v>
      </c>
      <c r="H737" s="116"/>
      <c r="I737" s="116"/>
      <c r="L737" s="170">
        <v>43720</v>
      </c>
      <c r="M737" s="116">
        <v>1575.9</v>
      </c>
      <c r="N737" s="116">
        <v>1628.7</v>
      </c>
      <c r="O737" s="116">
        <v>1573.05</v>
      </c>
      <c r="P737" s="116">
        <v>1628.7</v>
      </c>
      <c r="Q737" s="116">
        <v>1575.9</v>
      </c>
      <c r="R737">
        <v>71679</v>
      </c>
    </row>
    <row r="738" spans="1:18" x14ac:dyDescent="0.25">
      <c r="A738" s="170">
        <v>43721</v>
      </c>
      <c r="B738" s="116">
        <v>1604.9</v>
      </c>
      <c r="C738" s="116">
        <v>1600.05</v>
      </c>
      <c r="D738" s="116">
        <v>1563</v>
      </c>
      <c r="E738" s="116">
        <v>1577.05</v>
      </c>
      <c r="F738" s="116">
        <v>1600.05</v>
      </c>
      <c r="G738">
        <v>28799</v>
      </c>
      <c r="H738" s="116"/>
      <c r="I738" s="116"/>
      <c r="L738" s="170">
        <v>43721</v>
      </c>
      <c r="M738" s="116">
        <v>1599.65</v>
      </c>
      <c r="N738" s="116">
        <v>1604</v>
      </c>
      <c r="O738" s="116">
        <v>1563</v>
      </c>
      <c r="P738" s="116">
        <v>1585</v>
      </c>
      <c r="Q738" s="116">
        <v>1599.65</v>
      </c>
      <c r="R738">
        <v>70247</v>
      </c>
    </row>
    <row r="739" spans="1:18" x14ac:dyDescent="0.25">
      <c r="A739" s="170">
        <v>43724</v>
      </c>
      <c r="B739" s="116">
        <v>1637.7</v>
      </c>
      <c r="C739" s="116">
        <v>1621.75</v>
      </c>
      <c r="D739" s="116">
        <v>1583.65</v>
      </c>
      <c r="E739" s="116">
        <v>1584.05</v>
      </c>
      <c r="F739" s="116">
        <v>1621.75</v>
      </c>
      <c r="G739">
        <v>3381</v>
      </c>
      <c r="H739" s="116"/>
      <c r="I739" s="116"/>
      <c r="L739" s="170">
        <v>43724</v>
      </c>
      <c r="M739" s="116">
        <v>1623.05</v>
      </c>
      <c r="N739" s="116">
        <v>1637.95</v>
      </c>
      <c r="O739" s="116">
        <v>1586</v>
      </c>
      <c r="P739" s="116">
        <v>1590</v>
      </c>
      <c r="Q739" s="116">
        <v>1623.05</v>
      </c>
      <c r="R739">
        <v>100861</v>
      </c>
    </row>
    <row r="740" spans="1:18" x14ac:dyDescent="0.25">
      <c r="A740" s="170">
        <v>43725</v>
      </c>
      <c r="B740" s="116">
        <v>1635</v>
      </c>
      <c r="C740" s="116">
        <v>1622.5</v>
      </c>
      <c r="D740" s="116">
        <v>1618.3</v>
      </c>
      <c r="E740" s="116">
        <v>1623.05</v>
      </c>
      <c r="F740" s="116">
        <v>1622.5</v>
      </c>
      <c r="G740">
        <v>2647</v>
      </c>
      <c r="H740" s="116"/>
      <c r="I740" s="116"/>
      <c r="L740" s="170">
        <v>43725</v>
      </c>
      <c r="M740" s="116">
        <v>1624.85</v>
      </c>
      <c r="N740" s="116">
        <v>1637</v>
      </c>
      <c r="O740" s="116">
        <v>1621</v>
      </c>
      <c r="P740" s="116">
        <v>1628.4</v>
      </c>
      <c r="Q740" s="116">
        <v>1624.85</v>
      </c>
      <c r="R740">
        <v>49512</v>
      </c>
    </row>
    <row r="741" spans="1:18" x14ac:dyDescent="0.25">
      <c r="A741" s="170">
        <v>43726</v>
      </c>
      <c r="B741" s="116">
        <v>1622</v>
      </c>
      <c r="C741" s="116">
        <v>1609.45</v>
      </c>
      <c r="D741" s="116">
        <v>1595.2</v>
      </c>
      <c r="E741" s="116">
        <v>1622</v>
      </c>
      <c r="F741" s="116">
        <v>1609.45</v>
      </c>
      <c r="G741">
        <v>21608</v>
      </c>
      <c r="H741" s="116"/>
      <c r="I741" s="116"/>
      <c r="L741" s="170">
        <v>43726</v>
      </c>
      <c r="M741" s="116">
        <v>1612.9</v>
      </c>
      <c r="N741" s="116">
        <v>1631.95</v>
      </c>
      <c r="O741" s="116">
        <v>1595</v>
      </c>
      <c r="P741" s="116">
        <v>1607</v>
      </c>
      <c r="Q741" s="116">
        <v>1612.9</v>
      </c>
      <c r="R741">
        <v>27235</v>
      </c>
    </row>
    <row r="742" spans="1:18" x14ac:dyDescent="0.25">
      <c r="A742" s="170">
        <v>43727</v>
      </c>
      <c r="B742" s="116">
        <v>1600.1</v>
      </c>
      <c r="C742" s="116">
        <v>1581.6</v>
      </c>
      <c r="D742" s="116">
        <v>1573</v>
      </c>
      <c r="E742" s="116">
        <v>1600.1</v>
      </c>
      <c r="F742" s="116">
        <v>1581.6</v>
      </c>
      <c r="G742">
        <v>2637</v>
      </c>
      <c r="H742" s="116"/>
      <c r="I742" s="116"/>
      <c r="L742" s="170">
        <v>43727</v>
      </c>
      <c r="M742" s="116">
        <v>1584.2</v>
      </c>
      <c r="N742" s="116">
        <v>1608</v>
      </c>
      <c r="O742" s="116">
        <v>1572.6</v>
      </c>
      <c r="P742" s="116">
        <v>1608</v>
      </c>
      <c r="Q742" s="116">
        <v>1584.2</v>
      </c>
      <c r="R742">
        <v>31920</v>
      </c>
    </row>
    <row r="743" spans="1:18" x14ac:dyDescent="0.25">
      <c r="A743" s="170">
        <v>43728</v>
      </c>
      <c r="B743" s="116">
        <v>1639</v>
      </c>
      <c r="C743" s="116">
        <v>1617.95</v>
      </c>
      <c r="D743" s="116">
        <v>1581.1</v>
      </c>
      <c r="E743" s="116">
        <v>1597.75</v>
      </c>
      <c r="F743" s="116">
        <v>1617.95</v>
      </c>
      <c r="G743">
        <v>6301</v>
      </c>
      <c r="H743" s="116"/>
      <c r="I743" s="116"/>
      <c r="L743" s="170">
        <v>43728</v>
      </c>
      <c r="M743" s="116">
        <v>1614.95</v>
      </c>
      <c r="N743" s="116">
        <v>1640</v>
      </c>
      <c r="O743" s="116">
        <v>1581</v>
      </c>
      <c r="P743" s="116">
        <v>1609.85</v>
      </c>
      <c r="Q743" s="116">
        <v>1614.95</v>
      </c>
      <c r="R743">
        <v>960494</v>
      </c>
    </row>
    <row r="744" spans="1:18" x14ac:dyDescent="0.25">
      <c r="A744" s="170">
        <v>43731</v>
      </c>
      <c r="B744" s="116">
        <v>1642.8</v>
      </c>
      <c r="C744" s="116">
        <v>1563.2</v>
      </c>
      <c r="D744" s="116">
        <v>1555</v>
      </c>
      <c r="E744" s="116">
        <v>1633.4</v>
      </c>
      <c r="F744" s="116">
        <v>1563.2</v>
      </c>
      <c r="G744">
        <v>12606</v>
      </c>
      <c r="H744" s="116"/>
      <c r="I744" s="116"/>
      <c r="L744" s="170">
        <v>43731</v>
      </c>
      <c r="M744" s="116">
        <v>1563.4</v>
      </c>
      <c r="N744" s="116">
        <v>1643</v>
      </c>
      <c r="O744" s="116">
        <v>1551</v>
      </c>
      <c r="P744" s="116">
        <v>1619</v>
      </c>
      <c r="Q744" s="116">
        <v>1563.4</v>
      </c>
      <c r="R744">
        <v>277558</v>
      </c>
    </row>
    <row r="745" spans="1:18" x14ac:dyDescent="0.25">
      <c r="A745" s="170">
        <v>43732</v>
      </c>
      <c r="B745" s="116">
        <v>1606</v>
      </c>
      <c r="C745" s="116">
        <v>1567.1</v>
      </c>
      <c r="D745" s="116">
        <v>1557.05</v>
      </c>
      <c r="E745" s="116">
        <v>1565.1</v>
      </c>
      <c r="F745" s="116">
        <v>1567.1</v>
      </c>
      <c r="G745">
        <v>4065</v>
      </c>
      <c r="H745" s="116"/>
      <c r="I745" s="116"/>
      <c r="L745" s="170">
        <v>43732</v>
      </c>
      <c r="M745" s="116">
        <v>1564.6</v>
      </c>
      <c r="N745" s="116">
        <v>1604.95</v>
      </c>
      <c r="O745" s="116">
        <v>1556</v>
      </c>
      <c r="P745" s="116">
        <v>1578.6</v>
      </c>
      <c r="Q745" s="116">
        <v>1564.6</v>
      </c>
      <c r="R745">
        <v>44550</v>
      </c>
    </row>
    <row r="746" spans="1:18" x14ac:dyDescent="0.25">
      <c r="A746" s="170">
        <v>43733</v>
      </c>
      <c r="B746" s="116">
        <v>1599.8</v>
      </c>
      <c r="C746" s="116">
        <v>1594.85</v>
      </c>
      <c r="D746" s="116">
        <v>1554.3</v>
      </c>
      <c r="E746" s="116">
        <v>1557.15</v>
      </c>
      <c r="F746" s="116">
        <v>1594.85</v>
      </c>
      <c r="G746">
        <v>22474</v>
      </c>
      <c r="H746" s="116"/>
      <c r="I746" s="116"/>
      <c r="L746" s="170">
        <v>43733</v>
      </c>
      <c r="M746" s="116">
        <v>1591.9</v>
      </c>
      <c r="N746" s="116">
        <v>1603</v>
      </c>
      <c r="O746" s="116">
        <v>1553.2</v>
      </c>
      <c r="P746" s="116">
        <v>1569</v>
      </c>
      <c r="Q746" s="116">
        <v>1591.9</v>
      </c>
      <c r="R746">
        <v>45974</v>
      </c>
    </row>
    <row r="747" spans="1:18" x14ac:dyDescent="0.25">
      <c r="A747" s="170">
        <v>43734</v>
      </c>
      <c r="B747" s="116">
        <v>1609.3</v>
      </c>
      <c r="C747" s="116">
        <v>1601.2</v>
      </c>
      <c r="D747" s="116">
        <v>1596</v>
      </c>
      <c r="E747" s="116">
        <v>1601.05</v>
      </c>
      <c r="F747" s="116">
        <v>1601.2</v>
      </c>
      <c r="G747">
        <v>2337</v>
      </c>
      <c r="H747" s="116"/>
      <c r="I747" s="116"/>
      <c r="L747" s="170">
        <v>43734</v>
      </c>
      <c r="M747" s="116">
        <v>1600.9</v>
      </c>
      <c r="N747" s="116">
        <v>1609.95</v>
      </c>
      <c r="O747" s="116">
        <v>1597</v>
      </c>
      <c r="P747" s="116">
        <v>1597.05</v>
      </c>
      <c r="Q747" s="116">
        <v>1600.9</v>
      </c>
      <c r="R747">
        <v>62794</v>
      </c>
    </row>
    <row r="748" spans="1:18" x14ac:dyDescent="0.25">
      <c r="A748" s="170">
        <v>43735</v>
      </c>
      <c r="B748" s="116">
        <v>1607.05</v>
      </c>
      <c r="C748" s="116">
        <v>1580.9</v>
      </c>
      <c r="D748" s="116">
        <v>1571</v>
      </c>
      <c r="E748" s="116">
        <v>1605</v>
      </c>
      <c r="F748" s="116">
        <v>1580.9</v>
      </c>
      <c r="G748">
        <v>32793</v>
      </c>
      <c r="H748" s="116"/>
      <c r="I748" s="116"/>
      <c r="L748" s="170">
        <v>43735</v>
      </c>
      <c r="M748" s="116">
        <v>1579.3</v>
      </c>
      <c r="N748" s="116">
        <v>1607.7</v>
      </c>
      <c r="O748" s="116">
        <v>1570</v>
      </c>
      <c r="P748" s="116">
        <v>1604.95</v>
      </c>
      <c r="Q748" s="116">
        <v>1579.3</v>
      </c>
      <c r="R748">
        <v>34888</v>
      </c>
    </row>
    <row r="749" spans="1:18" x14ac:dyDescent="0.25">
      <c r="A749" s="170">
        <v>43738</v>
      </c>
      <c r="B749" s="116">
        <v>1598</v>
      </c>
      <c r="C749" s="116">
        <v>1522.9</v>
      </c>
      <c r="D749" s="116">
        <v>1515</v>
      </c>
      <c r="E749" s="116">
        <v>1594.95</v>
      </c>
      <c r="F749" s="116">
        <v>1522.9</v>
      </c>
      <c r="G749">
        <v>21132</v>
      </c>
      <c r="H749" s="116"/>
      <c r="I749" s="116"/>
      <c r="L749" s="170">
        <v>43738</v>
      </c>
      <c r="M749" s="116">
        <v>1522.9</v>
      </c>
      <c r="N749" s="116">
        <v>1610</v>
      </c>
      <c r="O749" s="116">
        <v>1513</v>
      </c>
      <c r="P749" s="116">
        <v>1610</v>
      </c>
      <c r="Q749" s="116">
        <v>1522.9</v>
      </c>
      <c r="R749">
        <v>84120</v>
      </c>
    </row>
    <row r="750" spans="1:18" x14ac:dyDescent="0.25">
      <c r="A750" s="170">
        <v>43739</v>
      </c>
      <c r="B750" s="116">
        <v>1548.8</v>
      </c>
      <c r="C750" s="116">
        <v>1507.35</v>
      </c>
      <c r="D750" s="116">
        <v>1499</v>
      </c>
      <c r="E750" s="116">
        <v>1527</v>
      </c>
      <c r="F750" s="116">
        <v>1507.35</v>
      </c>
      <c r="G750">
        <v>6197</v>
      </c>
      <c r="H750" s="116"/>
      <c r="I750" s="116"/>
      <c r="L750" s="170">
        <v>43739</v>
      </c>
      <c r="M750" s="116">
        <v>1507.6</v>
      </c>
      <c r="N750" s="116">
        <v>1549.8</v>
      </c>
      <c r="O750" s="116">
        <v>1497</v>
      </c>
      <c r="P750" s="116">
        <v>1527</v>
      </c>
      <c r="Q750" s="116">
        <v>1507.6</v>
      </c>
      <c r="R750">
        <v>46399</v>
      </c>
    </row>
    <row r="751" spans="1:18" x14ac:dyDescent="0.25">
      <c r="A751" s="170">
        <v>43741</v>
      </c>
      <c r="B751" s="116">
        <v>1599.6</v>
      </c>
      <c r="C751" s="116">
        <v>1591.35</v>
      </c>
      <c r="D751" s="116">
        <v>1504.25</v>
      </c>
      <c r="E751" s="116">
        <v>1515.3</v>
      </c>
      <c r="F751" s="116">
        <v>1591.35</v>
      </c>
      <c r="G751">
        <v>6897</v>
      </c>
      <c r="H751" s="116"/>
      <c r="I751" s="116"/>
      <c r="L751" s="170">
        <v>43741</v>
      </c>
      <c r="M751" s="116">
        <v>1591.35</v>
      </c>
      <c r="N751" s="116">
        <v>1599</v>
      </c>
      <c r="O751" s="116">
        <v>1500</v>
      </c>
      <c r="P751" s="116">
        <v>1510</v>
      </c>
      <c r="Q751" s="116">
        <v>1591.35</v>
      </c>
      <c r="R751">
        <v>79746</v>
      </c>
    </row>
    <row r="752" spans="1:18" x14ac:dyDescent="0.25">
      <c r="A752" s="170">
        <v>43742</v>
      </c>
      <c r="B752" s="116">
        <v>1621</v>
      </c>
      <c r="C752" s="116">
        <v>1598.45</v>
      </c>
      <c r="D752" s="116">
        <v>1587.65</v>
      </c>
      <c r="E752" s="116">
        <v>1621</v>
      </c>
      <c r="F752" s="116">
        <v>1598.45</v>
      </c>
      <c r="G752">
        <v>3746</v>
      </c>
      <c r="H752" s="116"/>
      <c r="I752" s="116"/>
      <c r="L752" s="170">
        <v>43742</v>
      </c>
      <c r="M752" s="116">
        <v>1597.85</v>
      </c>
      <c r="N752" s="116">
        <v>1624</v>
      </c>
      <c r="O752" s="116">
        <v>1585</v>
      </c>
      <c r="P752" s="116">
        <v>1615</v>
      </c>
      <c r="Q752" s="116">
        <v>1597.85</v>
      </c>
      <c r="R752">
        <v>63820</v>
      </c>
    </row>
    <row r="753" spans="1:18" x14ac:dyDescent="0.25">
      <c r="A753" s="170">
        <v>43745</v>
      </c>
      <c r="B753" s="116">
        <v>1615.55</v>
      </c>
      <c r="C753" s="116">
        <v>1602.9</v>
      </c>
      <c r="D753" s="116">
        <v>1570.3</v>
      </c>
      <c r="E753" s="116">
        <v>1581</v>
      </c>
      <c r="F753" s="116">
        <v>1602.9</v>
      </c>
      <c r="G753">
        <v>1522</v>
      </c>
      <c r="H753" s="116"/>
      <c r="I753" s="116"/>
      <c r="L753" s="170">
        <v>43745</v>
      </c>
      <c r="M753" s="116">
        <v>1603.15</v>
      </c>
      <c r="N753" s="116">
        <v>1615.9</v>
      </c>
      <c r="O753" s="116">
        <v>1570.25</v>
      </c>
      <c r="P753" s="116">
        <v>1592.25</v>
      </c>
      <c r="Q753" s="116">
        <v>1603.15</v>
      </c>
      <c r="R753">
        <v>37380</v>
      </c>
    </row>
    <row r="754" spans="1:18" x14ac:dyDescent="0.25">
      <c r="A754" s="170">
        <v>43747</v>
      </c>
      <c r="B754" s="116">
        <v>1605.8</v>
      </c>
      <c r="C754" s="116">
        <v>1578.15</v>
      </c>
      <c r="D754" s="116">
        <v>1563.95</v>
      </c>
      <c r="E754" s="116">
        <v>1603</v>
      </c>
      <c r="F754" s="116">
        <v>1578.15</v>
      </c>
      <c r="G754">
        <v>2861</v>
      </c>
      <c r="H754" s="116"/>
      <c r="I754" s="116"/>
      <c r="L754" s="170">
        <v>43747</v>
      </c>
      <c r="M754" s="116">
        <v>1577.7</v>
      </c>
      <c r="N754" s="116">
        <v>1620</v>
      </c>
      <c r="O754" s="116">
        <v>1563.3</v>
      </c>
      <c r="P754" s="116">
        <v>1605.15</v>
      </c>
      <c r="Q754" s="116">
        <v>1577.7</v>
      </c>
      <c r="R754">
        <v>33464</v>
      </c>
    </row>
    <row r="755" spans="1:18" x14ac:dyDescent="0.25">
      <c r="A755" s="170">
        <v>43748</v>
      </c>
      <c r="B755" s="116">
        <v>1589.35</v>
      </c>
      <c r="C755" s="116">
        <v>1530.65</v>
      </c>
      <c r="D755" s="116">
        <v>1525</v>
      </c>
      <c r="E755" s="116">
        <v>1579</v>
      </c>
      <c r="F755" s="116">
        <v>1530.65</v>
      </c>
      <c r="G755">
        <v>28579</v>
      </c>
      <c r="H755" s="116"/>
      <c r="I755" s="116"/>
      <c r="L755" s="170">
        <v>43748</v>
      </c>
      <c r="M755" s="116">
        <v>1529.85</v>
      </c>
      <c r="N755" s="116">
        <v>1590.35</v>
      </c>
      <c r="O755" s="116">
        <v>1525.55</v>
      </c>
      <c r="P755" s="116">
        <v>1578</v>
      </c>
      <c r="Q755" s="116">
        <v>1529.85</v>
      </c>
      <c r="R755">
        <v>38163</v>
      </c>
    </row>
    <row r="756" spans="1:18" x14ac:dyDescent="0.25">
      <c r="A756" s="170">
        <v>43749</v>
      </c>
      <c r="B756" s="116">
        <v>1570.15</v>
      </c>
      <c r="C756" s="116">
        <v>1557.7</v>
      </c>
      <c r="D756" s="116">
        <v>1540</v>
      </c>
      <c r="E756" s="116">
        <v>1542.75</v>
      </c>
      <c r="F756" s="116">
        <v>1557.7</v>
      </c>
      <c r="G756">
        <v>32880</v>
      </c>
      <c r="H756" s="116"/>
      <c r="I756" s="116"/>
      <c r="L756" s="170">
        <v>43749</v>
      </c>
      <c r="M756" s="116">
        <v>1559.45</v>
      </c>
      <c r="N756" s="116">
        <v>1570</v>
      </c>
      <c r="O756" s="116">
        <v>1531</v>
      </c>
      <c r="P756" s="116">
        <v>1537.5</v>
      </c>
      <c r="Q756" s="116">
        <v>1559.45</v>
      </c>
      <c r="R756">
        <v>77733</v>
      </c>
    </row>
    <row r="757" spans="1:18" x14ac:dyDescent="0.25">
      <c r="A757" s="170">
        <v>43752</v>
      </c>
      <c r="B757" s="116">
        <v>1560</v>
      </c>
      <c r="C757" s="116">
        <v>1541.25</v>
      </c>
      <c r="D757" s="116">
        <v>1530.1</v>
      </c>
      <c r="E757" s="116">
        <v>1560</v>
      </c>
      <c r="F757" s="116">
        <v>1541.25</v>
      </c>
      <c r="G757">
        <v>1818</v>
      </c>
      <c r="H757" s="116"/>
      <c r="I757" s="116"/>
      <c r="L757" s="170">
        <v>43752</v>
      </c>
      <c r="M757" s="116">
        <v>1541.35</v>
      </c>
      <c r="N757" s="116">
        <v>1569</v>
      </c>
      <c r="O757" s="116">
        <v>1530</v>
      </c>
      <c r="P757" s="116">
        <v>1559.75</v>
      </c>
      <c r="Q757" s="116">
        <v>1541.35</v>
      </c>
      <c r="R757">
        <v>62961</v>
      </c>
    </row>
    <row r="758" spans="1:18" x14ac:dyDescent="0.25">
      <c r="A758" s="170">
        <v>43753</v>
      </c>
      <c r="B758" s="116">
        <v>1561</v>
      </c>
      <c r="C758" s="116">
        <v>1548.8</v>
      </c>
      <c r="D758" s="116">
        <v>1531.75</v>
      </c>
      <c r="E758" s="116">
        <v>1550</v>
      </c>
      <c r="F758" s="116">
        <v>1548.8</v>
      </c>
      <c r="G758">
        <v>3580</v>
      </c>
      <c r="H758" s="116"/>
      <c r="I758" s="116"/>
      <c r="L758" s="170">
        <v>43753</v>
      </c>
      <c r="M758" s="116">
        <v>1548.45</v>
      </c>
      <c r="N758" s="116">
        <v>1563.55</v>
      </c>
      <c r="O758" s="116">
        <v>1532.85</v>
      </c>
      <c r="P758" s="116">
        <v>1550</v>
      </c>
      <c r="Q758" s="116">
        <v>1548.45</v>
      </c>
      <c r="R758">
        <v>33878</v>
      </c>
    </row>
    <row r="759" spans="1:18" x14ac:dyDescent="0.25">
      <c r="A759" s="170">
        <v>43754</v>
      </c>
      <c r="B759" s="116">
        <v>1560.15</v>
      </c>
      <c r="C759" s="116">
        <v>1544</v>
      </c>
      <c r="D759" s="116">
        <v>1542</v>
      </c>
      <c r="E759" s="116">
        <v>1553</v>
      </c>
      <c r="F759" s="116">
        <v>1544</v>
      </c>
      <c r="G759">
        <v>1283</v>
      </c>
      <c r="H759" s="116"/>
      <c r="I759" s="116"/>
      <c r="L759" s="170">
        <v>43754</v>
      </c>
      <c r="M759" s="116">
        <v>1543.55</v>
      </c>
      <c r="N759" s="116">
        <v>1564</v>
      </c>
      <c r="O759" s="116">
        <v>1540.5</v>
      </c>
      <c r="P759" s="116">
        <v>1555</v>
      </c>
      <c r="Q759" s="116">
        <v>1543.55</v>
      </c>
      <c r="R759">
        <v>55807</v>
      </c>
    </row>
    <row r="760" spans="1:18" x14ac:dyDescent="0.25">
      <c r="A760" s="170">
        <v>43755</v>
      </c>
      <c r="B760" s="116">
        <v>1600.3</v>
      </c>
      <c r="C760" s="116">
        <v>1593.25</v>
      </c>
      <c r="D760" s="116">
        <v>1551</v>
      </c>
      <c r="E760" s="116">
        <v>1551</v>
      </c>
      <c r="F760" s="116">
        <v>1593.25</v>
      </c>
      <c r="G760">
        <v>41488</v>
      </c>
      <c r="H760" s="116"/>
      <c r="I760" s="116"/>
      <c r="L760" s="170">
        <v>43755</v>
      </c>
      <c r="M760" s="116">
        <v>1593.3</v>
      </c>
      <c r="N760" s="116">
        <v>1599.95</v>
      </c>
      <c r="O760" s="116">
        <v>1548.15</v>
      </c>
      <c r="P760" s="116">
        <v>1559.95</v>
      </c>
      <c r="Q760" s="116">
        <v>1593.3</v>
      </c>
      <c r="R760">
        <v>47391</v>
      </c>
    </row>
    <row r="761" spans="1:18" x14ac:dyDescent="0.25">
      <c r="A761" s="170">
        <v>43756</v>
      </c>
      <c r="B761" s="116">
        <v>1657</v>
      </c>
      <c r="C761" s="116">
        <v>1644.4</v>
      </c>
      <c r="D761" s="116">
        <v>1593.2</v>
      </c>
      <c r="E761" s="116">
        <v>1595</v>
      </c>
      <c r="F761" s="116">
        <v>1644.4</v>
      </c>
      <c r="G761">
        <v>7026</v>
      </c>
      <c r="H761" s="116"/>
      <c r="I761" s="116"/>
      <c r="L761" s="170">
        <v>43756</v>
      </c>
      <c r="M761" s="116">
        <v>1639.15</v>
      </c>
      <c r="N761" s="116">
        <v>1658</v>
      </c>
      <c r="O761" s="116">
        <v>1577</v>
      </c>
      <c r="P761" s="116">
        <v>1595</v>
      </c>
      <c r="Q761" s="116">
        <v>1639.15</v>
      </c>
      <c r="R761">
        <v>108741</v>
      </c>
    </row>
    <row r="762" spans="1:18" x14ac:dyDescent="0.25">
      <c r="A762" s="170">
        <v>43760</v>
      </c>
      <c r="B762" s="116">
        <v>1625</v>
      </c>
      <c r="C762" s="116">
        <v>1472.6</v>
      </c>
      <c r="D762" s="116">
        <v>1460</v>
      </c>
      <c r="E762" s="116">
        <v>1625</v>
      </c>
      <c r="F762" s="116">
        <v>1472.6</v>
      </c>
      <c r="G762">
        <v>158879</v>
      </c>
      <c r="H762" s="116"/>
      <c r="I762" s="116"/>
      <c r="L762" s="170">
        <v>43760</v>
      </c>
      <c r="M762" s="116">
        <v>1475.05</v>
      </c>
      <c r="N762" s="116">
        <v>1603.3</v>
      </c>
      <c r="O762" s="116">
        <v>1321</v>
      </c>
      <c r="P762" s="116">
        <v>1600</v>
      </c>
      <c r="Q762" s="116">
        <v>1475.05</v>
      </c>
      <c r="R762">
        <v>361675</v>
      </c>
    </row>
    <row r="763" spans="1:18" x14ac:dyDescent="0.25">
      <c r="A763" s="170">
        <v>43761</v>
      </c>
      <c r="B763" s="116">
        <v>1517.25</v>
      </c>
      <c r="C763" s="116">
        <v>1499.9</v>
      </c>
      <c r="D763" s="116">
        <v>1477.5</v>
      </c>
      <c r="E763" s="116">
        <v>1494.85</v>
      </c>
      <c r="F763" s="116">
        <v>1499.9</v>
      </c>
      <c r="G763">
        <v>33050</v>
      </c>
      <c r="H763" s="116"/>
      <c r="I763" s="116"/>
      <c r="L763" s="170">
        <v>43761</v>
      </c>
      <c r="M763" s="116">
        <v>1501.85</v>
      </c>
      <c r="N763" s="116">
        <v>1518</v>
      </c>
      <c r="O763" s="116">
        <v>1478</v>
      </c>
      <c r="P763" s="116">
        <v>1478</v>
      </c>
      <c r="Q763" s="116">
        <v>1501.85</v>
      </c>
      <c r="R763">
        <v>322227</v>
      </c>
    </row>
    <row r="764" spans="1:18" x14ac:dyDescent="0.25">
      <c r="A764" s="170">
        <v>43762</v>
      </c>
      <c r="B764" s="116">
        <v>1511</v>
      </c>
      <c r="C764" s="116">
        <v>1451.75</v>
      </c>
      <c r="D764" s="116">
        <v>1442</v>
      </c>
      <c r="E764" s="116">
        <v>1509.85</v>
      </c>
      <c r="F764" s="116">
        <v>1451.75</v>
      </c>
      <c r="G764">
        <v>28904</v>
      </c>
      <c r="H764" s="116"/>
      <c r="I764" s="116"/>
      <c r="L764" s="170">
        <v>43762</v>
      </c>
      <c r="M764" s="116">
        <v>1456.55</v>
      </c>
      <c r="N764" s="116">
        <v>1516.8</v>
      </c>
      <c r="O764" s="116">
        <v>1443.75</v>
      </c>
      <c r="P764" s="116">
        <v>1509</v>
      </c>
      <c r="Q764" s="116">
        <v>1456.55</v>
      </c>
      <c r="R764">
        <v>228700</v>
      </c>
    </row>
    <row r="765" spans="1:18" x14ac:dyDescent="0.25">
      <c r="A765" s="170">
        <v>43763</v>
      </c>
      <c r="B765" s="116">
        <v>1469.5</v>
      </c>
      <c r="C765" s="116">
        <v>1460.7</v>
      </c>
      <c r="D765" s="116">
        <v>1445</v>
      </c>
      <c r="E765" s="116">
        <v>1456.5</v>
      </c>
      <c r="F765" s="116">
        <v>1460.7</v>
      </c>
      <c r="G765">
        <v>24910</v>
      </c>
      <c r="H765" s="116"/>
      <c r="I765" s="116"/>
      <c r="L765" s="170">
        <v>43763</v>
      </c>
      <c r="M765" s="116">
        <v>1460.35</v>
      </c>
      <c r="N765" s="116">
        <v>1468.4</v>
      </c>
      <c r="O765" s="116">
        <v>1444.1</v>
      </c>
      <c r="P765" s="116">
        <v>1457.85</v>
      </c>
      <c r="Q765" s="116">
        <v>1460.35</v>
      </c>
      <c r="R765">
        <v>111259</v>
      </c>
    </row>
    <row r="766" spans="1:18" x14ac:dyDescent="0.25">
      <c r="A766" s="170">
        <v>43765</v>
      </c>
      <c r="B766" s="116">
        <v>1494</v>
      </c>
      <c r="C766" s="116">
        <v>1488.8</v>
      </c>
      <c r="D766" s="116">
        <v>1476.25</v>
      </c>
      <c r="E766" s="116">
        <v>1479.8</v>
      </c>
      <c r="F766" s="116">
        <v>1488.8</v>
      </c>
      <c r="G766">
        <v>3322</v>
      </c>
      <c r="H766" s="116"/>
      <c r="I766" s="116"/>
      <c r="L766" s="170">
        <v>43765</v>
      </c>
      <c r="M766" s="116">
        <v>1489.05</v>
      </c>
      <c r="N766" s="116">
        <v>1494.8</v>
      </c>
      <c r="O766" s="116">
        <v>1474.85</v>
      </c>
      <c r="P766" s="116">
        <v>1475</v>
      </c>
      <c r="Q766" s="116">
        <v>1489.05</v>
      </c>
      <c r="R766">
        <v>23865</v>
      </c>
    </row>
    <row r="767" spans="1:18" x14ac:dyDescent="0.25">
      <c r="A767" s="170">
        <v>43767</v>
      </c>
      <c r="B767" s="116">
        <v>1490</v>
      </c>
      <c r="C767" s="116">
        <v>1483.2</v>
      </c>
      <c r="D767" s="116">
        <v>1465.55</v>
      </c>
      <c r="E767" s="116">
        <v>1490</v>
      </c>
      <c r="F767" s="116">
        <v>1483.2</v>
      </c>
      <c r="G767">
        <v>3432</v>
      </c>
      <c r="H767" s="116"/>
      <c r="I767" s="116"/>
      <c r="L767" s="170">
        <v>43767</v>
      </c>
      <c r="M767" s="116">
        <v>1483.9</v>
      </c>
      <c r="N767" s="116">
        <v>1497.95</v>
      </c>
      <c r="O767" s="116">
        <v>1465.2</v>
      </c>
      <c r="P767" s="116">
        <v>1490</v>
      </c>
      <c r="Q767" s="116">
        <v>1483.9</v>
      </c>
      <c r="R767">
        <v>60898</v>
      </c>
    </row>
    <row r="768" spans="1:18" x14ac:dyDescent="0.25">
      <c r="A768" s="170">
        <v>43768</v>
      </c>
      <c r="B768" s="116">
        <v>1514.05</v>
      </c>
      <c r="C768" s="116">
        <v>1502.2</v>
      </c>
      <c r="D768" s="116">
        <v>1476.8</v>
      </c>
      <c r="E768" s="116">
        <v>1490</v>
      </c>
      <c r="F768" s="116">
        <v>1502.2</v>
      </c>
      <c r="G768">
        <v>5268</v>
      </c>
      <c r="H768" s="116"/>
      <c r="I768" s="116"/>
      <c r="L768" s="170">
        <v>43768</v>
      </c>
      <c r="M768" s="116">
        <v>1502.65</v>
      </c>
      <c r="N768" s="116">
        <v>1515</v>
      </c>
      <c r="O768" s="116">
        <v>1475.3</v>
      </c>
      <c r="P768" s="116">
        <v>1486.1</v>
      </c>
      <c r="Q768" s="116">
        <v>1502.65</v>
      </c>
      <c r="R768">
        <v>91889</v>
      </c>
    </row>
    <row r="769" spans="1:18" x14ac:dyDescent="0.25">
      <c r="A769" s="170">
        <v>43769</v>
      </c>
      <c r="B769" s="116">
        <v>1510</v>
      </c>
      <c r="C769" s="116">
        <v>1504.25</v>
      </c>
      <c r="D769" s="116">
        <v>1488.75</v>
      </c>
      <c r="E769" s="116">
        <v>1508</v>
      </c>
      <c r="F769" s="116">
        <v>1504.25</v>
      </c>
      <c r="G769">
        <v>3980</v>
      </c>
      <c r="H769" s="116"/>
      <c r="I769" s="116"/>
      <c r="L769" s="170">
        <v>43769</v>
      </c>
      <c r="M769" s="116">
        <v>1503.65</v>
      </c>
      <c r="N769" s="116">
        <v>1509.65</v>
      </c>
      <c r="O769" s="116">
        <v>1488</v>
      </c>
      <c r="P769" s="116">
        <v>1508</v>
      </c>
      <c r="Q769" s="116">
        <v>1503.65</v>
      </c>
      <c r="R769">
        <v>95470</v>
      </c>
    </row>
    <row r="770" spans="1:18" x14ac:dyDescent="0.25">
      <c r="A770" s="170">
        <v>43770</v>
      </c>
      <c r="B770" s="116">
        <v>1511</v>
      </c>
      <c r="C770" s="116">
        <v>1505.25</v>
      </c>
      <c r="D770" s="116">
        <v>1495</v>
      </c>
      <c r="E770" s="116">
        <v>1504.25</v>
      </c>
      <c r="F770" s="116">
        <v>1505.25</v>
      </c>
      <c r="G770">
        <v>4678</v>
      </c>
      <c r="H770" s="116"/>
      <c r="I770" s="116"/>
      <c r="L770" s="170">
        <v>43770</v>
      </c>
      <c r="M770" s="116">
        <v>1505.8</v>
      </c>
      <c r="N770" s="116">
        <v>1511</v>
      </c>
      <c r="O770" s="116">
        <v>1492.55</v>
      </c>
      <c r="P770" s="116">
        <v>1502.9</v>
      </c>
      <c r="Q770" s="116">
        <v>1505.8</v>
      </c>
      <c r="R770">
        <v>65540</v>
      </c>
    </row>
    <row r="771" spans="1:18" x14ac:dyDescent="0.25">
      <c r="A771" s="170">
        <v>43773</v>
      </c>
      <c r="B771" s="116">
        <v>1514</v>
      </c>
      <c r="C771" s="116">
        <v>1500.5</v>
      </c>
      <c r="D771" s="116">
        <v>1498</v>
      </c>
      <c r="E771" s="116">
        <v>1513</v>
      </c>
      <c r="F771" s="116">
        <v>1500.5</v>
      </c>
      <c r="G771">
        <v>4260</v>
      </c>
      <c r="H771" s="116"/>
      <c r="I771" s="116"/>
      <c r="L771" s="170">
        <v>43773</v>
      </c>
      <c r="M771" s="116">
        <v>1500.85</v>
      </c>
      <c r="N771" s="116">
        <v>1515</v>
      </c>
      <c r="O771" s="116">
        <v>1498</v>
      </c>
      <c r="P771" s="116">
        <v>1510</v>
      </c>
      <c r="Q771" s="116">
        <v>1500.85</v>
      </c>
      <c r="R771">
        <v>98881</v>
      </c>
    </row>
    <row r="772" spans="1:18" x14ac:dyDescent="0.25">
      <c r="A772" s="170">
        <v>43774</v>
      </c>
      <c r="B772" s="116">
        <v>1506.8</v>
      </c>
      <c r="C772" s="116">
        <v>1502.05</v>
      </c>
      <c r="D772" s="116">
        <v>1487.5</v>
      </c>
      <c r="E772" s="116">
        <v>1505.85</v>
      </c>
      <c r="F772" s="116">
        <v>1502.05</v>
      </c>
      <c r="G772">
        <v>21756</v>
      </c>
      <c r="H772" s="116"/>
      <c r="I772" s="116"/>
      <c r="L772" s="170">
        <v>43774</v>
      </c>
      <c r="M772" s="116">
        <v>1501.05</v>
      </c>
      <c r="N772" s="116">
        <v>1510</v>
      </c>
      <c r="O772" s="116">
        <v>1489.65</v>
      </c>
      <c r="P772" s="116">
        <v>1502</v>
      </c>
      <c r="Q772" s="116">
        <v>1501.05</v>
      </c>
      <c r="R772">
        <v>125081</v>
      </c>
    </row>
    <row r="773" spans="1:18" x14ac:dyDescent="0.25">
      <c r="A773" s="170">
        <v>43775</v>
      </c>
      <c r="B773" s="116">
        <v>1510</v>
      </c>
      <c r="C773" s="116">
        <v>1453</v>
      </c>
      <c r="D773" s="116">
        <v>1446.1</v>
      </c>
      <c r="E773" s="116">
        <v>1504.55</v>
      </c>
      <c r="F773" s="116">
        <v>1453</v>
      </c>
      <c r="G773">
        <v>8353</v>
      </c>
      <c r="H773" s="116"/>
      <c r="I773" s="116"/>
      <c r="L773" s="170">
        <v>43775</v>
      </c>
      <c r="M773" s="116">
        <v>1452.8</v>
      </c>
      <c r="N773" s="116">
        <v>1510.75</v>
      </c>
      <c r="O773" s="116">
        <v>1445</v>
      </c>
      <c r="P773" s="116">
        <v>1502.9</v>
      </c>
      <c r="Q773" s="116">
        <v>1452.8</v>
      </c>
      <c r="R773">
        <v>137922</v>
      </c>
    </row>
    <row r="774" spans="1:18" x14ac:dyDescent="0.25">
      <c r="A774" s="170">
        <v>43776</v>
      </c>
      <c r="B774" s="116">
        <v>1477</v>
      </c>
      <c r="C774" s="116">
        <v>1463.3</v>
      </c>
      <c r="D774" s="116">
        <v>1453.75</v>
      </c>
      <c r="E774" s="116">
        <v>1456.05</v>
      </c>
      <c r="F774" s="116">
        <v>1463.3</v>
      </c>
      <c r="G774">
        <v>6455</v>
      </c>
      <c r="H774" s="116"/>
      <c r="I774" s="116"/>
      <c r="L774" s="170">
        <v>43776</v>
      </c>
      <c r="M774" s="116">
        <v>1463.85</v>
      </c>
      <c r="N774" s="116">
        <v>1476.9</v>
      </c>
      <c r="O774" s="116">
        <v>1453</v>
      </c>
      <c r="P774" s="116">
        <v>1460</v>
      </c>
      <c r="Q774" s="116">
        <v>1463.85</v>
      </c>
      <c r="R774">
        <v>62297</v>
      </c>
    </row>
    <row r="775" spans="1:18" x14ac:dyDescent="0.25">
      <c r="A775" s="170">
        <v>43777</v>
      </c>
      <c r="B775" s="116">
        <v>1473</v>
      </c>
      <c r="C775" s="116">
        <v>1452.95</v>
      </c>
      <c r="D775" s="116">
        <v>1447.5</v>
      </c>
      <c r="E775" s="116">
        <v>1463.45</v>
      </c>
      <c r="F775" s="116">
        <v>1452.95</v>
      </c>
      <c r="G775">
        <v>2343</v>
      </c>
      <c r="H775" s="116"/>
      <c r="I775" s="116"/>
      <c r="L775" s="170">
        <v>43777</v>
      </c>
      <c r="M775" s="116">
        <v>1454.65</v>
      </c>
      <c r="N775" s="116">
        <v>1474.05</v>
      </c>
      <c r="O775" s="116">
        <v>1447</v>
      </c>
      <c r="P775" s="116">
        <v>1466</v>
      </c>
      <c r="Q775" s="116">
        <v>1454.65</v>
      </c>
      <c r="R775">
        <v>71132</v>
      </c>
    </row>
    <row r="776" spans="1:18" x14ac:dyDescent="0.25">
      <c r="A776" s="170">
        <v>43780</v>
      </c>
      <c r="B776" s="116">
        <v>1458.1</v>
      </c>
      <c r="C776" s="116">
        <v>1448.9</v>
      </c>
      <c r="D776" s="116">
        <v>1443</v>
      </c>
      <c r="E776" s="116">
        <v>1457.45</v>
      </c>
      <c r="F776" s="116">
        <v>1448.9</v>
      </c>
      <c r="G776">
        <v>1889</v>
      </c>
      <c r="H776" s="116"/>
      <c r="I776" s="116"/>
      <c r="L776" s="170">
        <v>43780</v>
      </c>
      <c r="M776" s="116">
        <v>1447.75</v>
      </c>
      <c r="N776" s="116">
        <v>1469</v>
      </c>
      <c r="O776" s="116">
        <v>1441.05</v>
      </c>
      <c r="P776" s="116">
        <v>1455.1</v>
      </c>
      <c r="Q776" s="116">
        <v>1447.75</v>
      </c>
      <c r="R776">
        <v>43105</v>
      </c>
    </row>
    <row r="777" spans="1:18" x14ac:dyDescent="0.25">
      <c r="A777" s="170">
        <v>43782</v>
      </c>
      <c r="B777" s="116">
        <v>1455.6</v>
      </c>
      <c r="C777" s="116">
        <v>1430.25</v>
      </c>
      <c r="D777" s="116">
        <v>1425.5</v>
      </c>
      <c r="E777" s="116">
        <v>1455.6</v>
      </c>
      <c r="F777" s="116">
        <v>1430.25</v>
      </c>
      <c r="G777">
        <v>3694</v>
      </c>
      <c r="H777" s="116"/>
      <c r="I777" s="116"/>
      <c r="L777" s="170">
        <v>43782</v>
      </c>
      <c r="M777" s="116">
        <v>1429.35</v>
      </c>
      <c r="N777" s="116">
        <v>1460</v>
      </c>
      <c r="O777" s="116">
        <v>1425</v>
      </c>
      <c r="P777" s="116">
        <v>1450.05</v>
      </c>
      <c r="Q777" s="116">
        <v>1429.35</v>
      </c>
      <c r="R777">
        <v>100460</v>
      </c>
    </row>
    <row r="778" spans="1:18" x14ac:dyDescent="0.25">
      <c r="A778" s="170">
        <v>43783</v>
      </c>
      <c r="B778" s="116">
        <v>1450</v>
      </c>
      <c r="C778" s="116">
        <v>1413.95</v>
      </c>
      <c r="D778" s="116">
        <v>1395.6</v>
      </c>
      <c r="E778" s="116">
        <v>1440</v>
      </c>
      <c r="F778" s="116">
        <v>1413.95</v>
      </c>
      <c r="G778">
        <v>9298</v>
      </c>
      <c r="H778" s="116"/>
      <c r="I778" s="116"/>
      <c r="L778" s="170">
        <v>43783</v>
      </c>
      <c r="M778" s="116">
        <v>1413.1</v>
      </c>
      <c r="N778" s="116">
        <v>1449.85</v>
      </c>
      <c r="O778" s="116">
        <v>1395</v>
      </c>
      <c r="P778" s="116">
        <v>1438.95</v>
      </c>
      <c r="Q778" s="116">
        <v>1413.1</v>
      </c>
      <c r="R778">
        <v>139271</v>
      </c>
    </row>
    <row r="779" spans="1:18" x14ac:dyDescent="0.25">
      <c r="A779" s="170">
        <v>43784</v>
      </c>
      <c r="B779" s="116">
        <v>1431.9</v>
      </c>
      <c r="C779" s="116">
        <v>1422.8</v>
      </c>
      <c r="D779" s="116">
        <v>1405</v>
      </c>
      <c r="E779" s="116">
        <v>1417.35</v>
      </c>
      <c r="F779" s="116">
        <v>1422.8</v>
      </c>
      <c r="G779">
        <v>6341</v>
      </c>
      <c r="H779" s="116"/>
      <c r="I779" s="116"/>
      <c r="L779" s="170">
        <v>43784</v>
      </c>
      <c r="M779" s="116">
        <v>1421.8</v>
      </c>
      <c r="N779" s="116">
        <v>1432</v>
      </c>
      <c r="O779" s="116">
        <v>1414</v>
      </c>
      <c r="P779" s="116">
        <v>1414.5</v>
      </c>
      <c r="Q779" s="116">
        <v>1421.8</v>
      </c>
      <c r="R779">
        <v>78624</v>
      </c>
    </row>
    <row r="780" spans="1:18" x14ac:dyDescent="0.25">
      <c r="A780" s="170">
        <v>43787</v>
      </c>
      <c r="B780" s="116">
        <v>1435.05</v>
      </c>
      <c r="C780" s="116">
        <v>1431.15</v>
      </c>
      <c r="D780" s="116">
        <v>1399</v>
      </c>
      <c r="E780" s="116">
        <v>1419</v>
      </c>
      <c r="F780" s="116">
        <v>1431.15</v>
      </c>
      <c r="G780">
        <v>26199</v>
      </c>
      <c r="H780" s="116"/>
      <c r="I780" s="116"/>
      <c r="L780" s="170">
        <v>43787</v>
      </c>
      <c r="M780" s="116">
        <v>1430.3</v>
      </c>
      <c r="N780" s="116">
        <v>1435.9</v>
      </c>
      <c r="O780" s="116">
        <v>1398</v>
      </c>
      <c r="P780" s="116">
        <v>1423</v>
      </c>
      <c r="Q780" s="116">
        <v>1430.3</v>
      </c>
      <c r="R780">
        <v>156090</v>
      </c>
    </row>
    <row r="781" spans="1:18" x14ac:dyDescent="0.25">
      <c r="A781" s="170">
        <v>43788</v>
      </c>
      <c r="B781" s="116">
        <v>1434.1</v>
      </c>
      <c r="C781" s="116">
        <v>1419.8</v>
      </c>
      <c r="D781" s="116">
        <v>1414.4</v>
      </c>
      <c r="E781" s="116">
        <v>1434.1</v>
      </c>
      <c r="F781" s="116">
        <v>1419.8</v>
      </c>
      <c r="G781">
        <v>61367</v>
      </c>
      <c r="H781" s="116"/>
      <c r="I781" s="116"/>
      <c r="L781" s="170">
        <v>43788</v>
      </c>
      <c r="M781" s="116">
        <v>1419.05</v>
      </c>
      <c r="N781" s="116">
        <v>1437.5</v>
      </c>
      <c r="O781" s="116">
        <v>1414.5</v>
      </c>
      <c r="P781" s="116">
        <v>1437.5</v>
      </c>
      <c r="Q781" s="116">
        <v>1419.05</v>
      </c>
      <c r="R781">
        <v>198532</v>
      </c>
    </row>
    <row r="782" spans="1:18" x14ac:dyDescent="0.25">
      <c r="A782" s="170">
        <v>43789</v>
      </c>
      <c r="B782" s="116">
        <v>1448.7</v>
      </c>
      <c r="C782" s="116">
        <v>1437.15</v>
      </c>
      <c r="D782" s="116">
        <v>1414</v>
      </c>
      <c r="E782" s="116">
        <v>1423.75</v>
      </c>
      <c r="F782" s="116">
        <v>1437.15</v>
      </c>
      <c r="G782">
        <v>8994</v>
      </c>
      <c r="H782" s="116"/>
      <c r="I782" s="116"/>
      <c r="L782" s="170">
        <v>43789</v>
      </c>
      <c r="M782" s="116">
        <v>1437</v>
      </c>
      <c r="N782" s="116">
        <v>1448</v>
      </c>
      <c r="O782" s="116">
        <v>1411.1</v>
      </c>
      <c r="P782" s="116">
        <v>1427</v>
      </c>
      <c r="Q782" s="116">
        <v>1437</v>
      </c>
      <c r="R782">
        <v>120332</v>
      </c>
    </row>
    <row r="783" spans="1:18" x14ac:dyDescent="0.25">
      <c r="A783" s="170">
        <v>43790</v>
      </c>
      <c r="B783" s="116">
        <v>1450.05</v>
      </c>
      <c r="C783" s="116">
        <v>1443.15</v>
      </c>
      <c r="D783" s="116">
        <v>1421.35</v>
      </c>
      <c r="E783" s="116">
        <v>1445.1</v>
      </c>
      <c r="F783" s="116">
        <v>1443.15</v>
      </c>
      <c r="G783">
        <v>2231</v>
      </c>
      <c r="H783" s="116"/>
      <c r="I783" s="116"/>
      <c r="L783" s="170">
        <v>43790</v>
      </c>
      <c r="M783" s="116">
        <v>1441</v>
      </c>
      <c r="N783" s="116">
        <v>1450</v>
      </c>
      <c r="O783" s="116">
        <v>1421.5</v>
      </c>
      <c r="P783" s="116">
        <v>1447.5</v>
      </c>
      <c r="Q783" s="116">
        <v>1441</v>
      </c>
      <c r="R783">
        <v>133262</v>
      </c>
    </row>
    <row r="784" spans="1:18" x14ac:dyDescent="0.25">
      <c r="A784" s="170">
        <v>43791</v>
      </c>
      <c r="B784" s="116">
        <v>1489</v>
      </c>
      <c r="C784" s="116">
        <v>1467.1</v>
      </c>
      <c r="D784" s="116">
        <v>1448.8</v>
      </c>
      <c r="E784" s="116">
        <v>1450</v>
      </c>
      <c r="F784" s="116">
        <v>1467.1</v>
      </c>
      <c r="G784">
        <v>3694</v>
      </c>
      <c r="H784" s="116"/>
      <c r="I784" s="116"/>
      <c r="L784" s="170">
        <v>43791</v>
      </c>
      <c r="M784" s="116">
        <v>1468.45</v>
      </c>
      <c r="N784" s="116">
        <v>1489.8</v>
      </c>
      <c r="O784" s="116">
        <v>1446.05</v>
      </c>
      <c r="P784" s="116">
        <v>1450</v>
      </c>
      <c r="Q784" s="116">
        <v>1468.45</v>
      </c>
      <c r="R784">
        <v>110942</v>
      </c>
    </row>
    <row r="785" spans="1:18" x14ac:dyDescent="0.25">
      <c r="A785" s="170">
        <v>43794</v>
      </c>
      <c r="B785" s="116">
        <v>1485.05</v>
      </c>
      <c r="C785" s="116">
        <v>1478.1</v>
      </c>
      <c r="D785" s="116">
        <v>1473.5</v>
      </c>
      <c r="E785" s="116">
        <v>1484.75</v>
      </c>
      <c r="F785" s="116">
        <v>1478.1</v>
      </c>
      <c r="G785">
        <v>2402</v>
      </c>
      <c r="H785" s="116"/>
      <c r="I785" s="116"/>
      <c r="L785" s="170">
        <v>43794</v>
      </c>
      <c r="M785" s="116">
        <v>1478.7</v>
      </c>
      <c r="N785" s="116">
        <v>1486.75</v>
      </c>
      <c r="O785" s="116">
        <v>1472</v>
      </c>
      <c r="P785" s="116">
        <v>1484</v>
      </c>
      <c r="Q785" s="116">
        <v>1478.7</v>
      </c>
      <c r="R785">
        <v>70952</v>
      </c>
    </row>
    <row r="786" spans="1:18" x14ac:dyDescent="0.25">
      <c r="A786" s="170">
        <v>43795</v>
      </c>
      <c r="B786" s="116">
        <v>1485.8</v>
      </c>
      <c r="C786" s="116">
        <v>1459.3</v>
      </c>
      <c r="D786" s="116">
        <v>1450.15</v>
      </c>
      <c r="E786" s="116">
        <v>1485</v>
      </c>
      <c r="F786" s="116">
        <v>1459.3</v>
      </c>
      <c r="G786">
        <v>4623</v>
      </c>
      <c r="H786" s="116"/>
      <c r="I786" s="116"/>
      <c r="L786" s="170">
        <v>43795</v>
      </c>
      <c r="M786" s="116">
        <v>1454.25</v>
      </c>
      <c r="N786" s="116">
        <v>1484</v>
      </c>
      <c r="O786" s="116">
        <v>1448</v>
      </c>
      <c r="P786" s="116">
        <v>1479</v>
      </c>
      <c r="Q786" s="116">
        <v>1454.25</v>
      </c>
      <c r="R786">
        <v>149623</v>
      </c>
    </row>
    <row r="787" spans="1:18" x14ac:dyDescent="0.25">
      <c r="A787" s="170">
        <v>43796</v>
      </c>
      <c r="B787" s="116">
        <v>1480.35</v>
      </c>
      <c r="C787" s="116">
        <v>1465.65</v>
      </c>
      <c r="D787" s="116">
        <v>1451.3</v>
      </c>
      <c r="E787" s="116">
        <v>1460</v>
      </c>
      <c r="F787" s="116">
        <v>1465.65</v>
      </c>
      <c r="G787">
        <v>11546</v>
      </c>
      <c r="H787" s="116"/>
      <c r="I787" s="116"/>
      <c r="L787" s="170">
        <v>43796</v>
      </c>
      <c r="M787" s="116">
        <v>1465.75</v>
      </c>
      <c r="N787" s="116">
        <v>1481</v>
      </c>
      <c r="O787" s="116">
        <v>1449</v>
      </c>
      <c r="P787" s="116">
        <v>1454</v>
      </c>
      <c r="Q787" s="116">
        <v>1465.75</v>
      </c>
      <c r="R787">
        <v>32805</v>
      </c>
    </row>
    <row r="788" spans="1:18" x14ac:dyDescent="0.25">
      <c r="A788" s="170">
        <v>43797</v>
      </c>
      <c r="B788" s="116">
        <v>1476.65</v>
      </c>
      <c r="C788" s="116">
        <v>1469.85</v>
      </c>
      <c r="D788" s="116">
        <v>1460.3</v>
      </c>
      <c r="E788" s="116">
        <v>1470</v>
      </c>
      <c r="F788" s="116">
        <v>1469.85</v>
      </c>
      <c r="G788">
        <v>2263</v>
      </c>
      <c r="H788" s="116"/>
      <c r="I788" s="116"/>
      <c r="L788" s="170">
        <v>43797</v>
      </c>
      <c r="M788" s="116">
        <v>1470.85</v>
      </c>
      <c r="N788" s="116">
        <v>1477</v>
      </c>
      <c r="O788" s="116">
        <v>1456.85</v>
      </c>
      <c r="P788" s="116">
        <v>1465</v>
      </c>
      <c r="Q788" s="116">
        <v>1470.85</v>
      </c>
      <c r="R788">
        <v>22331</v>
      </c>
    </row>
    <row r="789" spans="1:18" x14ac:dyDescent="0.25">
      <c r="A789" s="170">
        <v>43798</v>
      </c>
      <c r="B789" s="116">
        <v>1499.5</v>
      </c>
      <c r="C789" s="116">
        <v>1487.65</v>
      </c>
      <c r="D789" s="116">
        <v>1460.25</v>
      </c>
      <c r="E789" s="116">
        <v>1460.25</v>
      </c>
      <c r="F789" s="116">
        <v>1487.65</v>
      </c>
      <c r="G789">
        <v>14238</v>
      </c>
      <c r="H789" s="116"/>
      <c r="I789" s="116"/>
      <c r="L789" s="170">
        <v>43798</v>
      </c>
      <c r="M789" s="116">
        <v>1490.75</v>
      </c>
      <c r="N789" s="116">
        <v>1499</v>
      </c>
      <c r="O789" s="116">
        <v>1459</v>
      </c>
      <c r="P789" s="116">
        <v>1463.9</v>
      </c>
      <c r="Q789" s="116">
        <v>1490.75</v>
      </c>
      <c r="R789">
        <v>63728</v>
      </c>
    </row>
    <row r="790" spans="1:18" x14ac:dyDescent="0.25">
      <c r="A790" s="170">
        <v>43801</v>
      </c>
      <c r="B790" s="116">
        <v>1514</v>
      </c>
      <c r="C790" s="116">
        <v>1473.6</v>
      </c>
      <c r="D790" s="116">
        <v>1468.5</v>
      </c>
      <c r="E790" s="116">
        <v>1514</v>
      </c>
      <c r="F790" s="116">
        <v>1473.6</v>
      </c>
      <c r="G790">
        <v>6017</v>
      </c>
      <c r="H790" s="116"/>
      <c r="I790" s="116"/>
      <c r="L790" s="170">
        <v>43801</v>
      </c>
      <c r="M790" s="116">
        <v>1471.95</v>
      </c>
      <c r="N790" s="116">
        <v>1518</v>
      </c>
      <c r="O790" s="116">
        <v>1468</v>
      </c>
      <c r="P790" s="116">
        <v>1510</v>
      </c>
      <c r="Q790" s="116">
        <v>1471.95</v>
      </c>
      <c r="R790">
        <v>121429</v>
      </c>
    </row>
    <row r="791" spans="1:18" x14ac:dyDescent="0.25">
      <c r="A791" s="170">
        <v>43802</v>
      </c>
      <c r="B791" s="116">
        <v>1482.6</v>
      </c>
      <c r="C791" s="116">
        <v>1462.25</v>
      </c>
      <c r="D791" s="116">
        <v>1450.9</v>
      </c>
      <c r="E791" s="116">
        <v>1482.25</v>
      </c>
      <c r="F791" s="116">
        <v>1462.25</v>
      </c>
      <c r="G791">
        <v>3039</v>
      </c>
      <c r="H791" s="116"/>
      <c r="I791" s="116"/>
      <c r="L791" s="170">
        <v>43802</v>
      </c>
      <c r="M791" s="116">
        <v>1463.45</v>
      </c>
      <c r="N791" s="116">
        <v>1482.95</v>
      </c>
      <c r="O791" s="116">
        <v>1450</v>
      </c>
      <c r="P791" s="116">
        <v>1482.95</v>
      </c>
      <c r="Q791" s="116">
        <v>1463.45</v>
      </c>
      <c r="R791">
        <v>74732</v>
      </c>
    </row>
    <row r="792" spans="1:18" x14ac:dyDescent="0.25">
      <c r="A792" s="170">
        <v>43803</v>
      </c>
      <c r="B792" s="116">
        <v>1484</v>
      </c>
      <c r="C792" s="116">
        <v>1481.3</v>
      </c>
      <c r="D792" s="116">
        <v>1455</v>
      </c>
      <c r="E792" s="116">
        <v>1468.05</v>
      </c>
      <c r="F792" s="116">
        <v>1481.3</v>
      </c>
      <c r="G792">
        <v>1962</v>
      </c>
      <c r="H792" s="116"/>
      <c r="I792" s="116"/>
      <c r="L792" s="170">
        <v>43803</v>
      </c>
      <c r="M792" s="116">
        <v>1482.5</v>
      </c>
      <c r="N792" s="116">
        <v>1486.3</v>
      </c>
      <c r="O792" s="116">
        <v>1450</v>
      </c>
      <c r="P792" s="116">
        <v>1464.95</v>
      </c>
      <c r="Q792" s="116">
        <v>1482.5</v>
      </c>
      <c r="R792">
        <v>111270</v>
      </c>
    </row>
    <row r="793" spans="1:18" x14ac:dyDescent="0.25">
      <c r="A793" s="170">
        <v>43804</v>
      </c>
      <c r="B793" s="116">
        <v>1509</v>
      </c>
      <c r="C793" s="116">
        <v>1488.6</v>
      </c>
      <c r="D793" s="116">
        <v>1470.05</v>
      </c>
      <c r="E793" s="116">
        <v>1490</v>
      </c>
      <c r="F793" s="116">
        <v>1488.6</v>
      </c>
      <c r="G793">
        <v>6305</v>
      </c>
      <c r="H793" s="116"/>
      <c r="I793" s="116"/>
      <c r="L793" s="170">
        <v>43804</v>
      </c>
      <c r="M793" s="116">
        <v>1488.2</v>
      </c>
      <c r="N793" s="116">
        <v>1510</v>
      </c>
      <c r="O793" s="116">
        <v>1469.75</v>
      </c>
      <c r="P793" s="116">
        <v>1491.95</v>
      </c>
      <c r="Q793" s="116">
        <v>1488.2</v>
      </c>
      <c r="R793">
        <v>428948</v>
      </c>
    </row>
    <row r="794" spans="1:18" x14ac:dyDescent="0.25">
      <c r="A794" s="170">
        <v>43805</v>
      </c>
      <c r="B794" s="116">
        <v>1515</v>
      </c>
      <c r="C794" s="116">
        <v>1510.95</v>
      </c>
      <c r="D794" s="116">
        <v>1472.05</v>
      </c>
      <c r="E794" s="116">
        <v>1490.5</v>
      </c>
      <c r="F794" s="116">
        <v>1510.95</v>
      </c>
      <c r="G794">
        <v>3576</v>
      </c>
      <c r="H794" s="116"/>
      <c r="I794" s="116"/>
      <c r="L794" s="170">
        <v>43805</v>
      </c>
      <c r="M794" s="116">
        <v>1510.6</v>
      </c>
      <c r="N794" s="116">
        <v>1519</v>
      </c>
      <c r="O794" s="116">
        <v>1468.95</v>
      </c>
      <c r="P794" s="116">
        <v>1497.8</v>
      </c>
      <c r="Q794" s="116">
        <v>1510.6</v>
      </c>
      <c r="R794">
        <v>76118</v>
      </c>
    </row>
    <row r="795" spans="1:18" x14ac:dyDescent="0.25">
      <c r="A795" s="170">
        <v>43808</v>
      </c>
      <c r="B795" s="116">
        <v>1525</v>
      </c>
      <c r="C795" s="116">
        <v>1498.2</v>
      </c>
      <c r="D795" s="116">
        <v>1482</v>
      </c>
      <c r="E795" s="116">
        <v>1510</v>
      </c>
      <c r="F795" s="116">
        <v>1498.2</v>
      </c>
      <c r="G795">
        <v>5219</v>
      </c>
      <c r="H795" s="116"/>
      <c r="I795" s="116"/>
      <c r="L795" s="170">
        <v>43808</v>
      </c>
      <c r="M795" s="116">
        <v>1500.6</v>
      </c>
      <c r="N795" s="116">
        <v>1527.95</v>
      </c>
      <c r="O795" s="116">
        <v>1482.05</v>
      </c>
      <c r="P795" s="116">
        <v>1514</v>
      </c>
      <c r="Q795" s="116">
        <v>1500.6</v>
      </c>
      <c r="R795">
        <v>100621</v>
      </c>
    </row>
    <row r="796" spans="1:18" x14ac:dyDescent="0.25">
      <c r="A796" s="170">
        <v>43809</v>
      </c>
      <c r="B796" s="116">
        <v>1505</v>
      </c>
      <c r="C796" s="116">
        <v>1481.45</v>
      </c>
      <c r="D796" s="116">
        <v>1466.05</v>
      </c>
      <c r="E796" s="116">
        <v>1495</v>
      </c>
      <c r="F796" s="116">
        <v>1481.45</v>
      </c>
      <c r="G796">
        <v>17850</v>
      </c>
      <c r="H796" s="116"/>
      <c r="I796" s="116"/>
      <c r="L796" s="170">
        <v>43809</v>
      </c>
      <c r="M796" s="116">
        <v>1480.85</v>
      </c>
      <c r="N796" s="116">
        <v>1506.3</v>
      </c>
      <c r="O796" s="116">
        <v>1465.1</v>
      </c>
      <c r="P796" s="116">
        <v>1500.6</v>
      </c>
      <c r="Q796" s="116">
        <v>1480.85</v>
      </c>
      <c r="R796">
        <v>54237</v>
      </c>
    </row>
    <row r="797" spans="1:18" x14ac:dyDescent="0.25">
      <c r="A797" s="170">
        <v>43810</v>
      </c>
      <c r="B797" s="116">
        <v>1502</v>
      </c>
      <c r="C797" s="116">
        <v>1498.65</v>
      </c>
      <c r="D797" s="116">
        <v>1471.05</v>
      </c>
      <c r="E797" s="116">
        <v>1480</v>
      </c>
      <c r="F797" s="116">
        <v>1498.65</v>
      </c>
      <c r="G797">
        <v>57625</v>
      </c>
      <c r="H797" s="116"/>
      <c r="I797" s="116"/>
      <c r="L797" s="170">
        <v>43810</v>
      </c>
      <c r="M797" s="116">
        <v>1495.05</v>
      </c>
      <c r="N797" s="116">
        <v>1503</v>
      </c>
      <c r="O797" s="116">
        <v>1470.15</v>
      </c>
      <c r="P797" s="116">
        <v>1470.15</v>
      </c>
      <c r="Q797" s="116">
        <v>1495.05</v>
      </c>
      <c r="R797">
        <v>62441</v>
      </c>
    </row>
    <row r="798" spans="1:18" x14ac:dyDescent="0.25">
      <c r="A798" s="170">
        <v>43811</v>
      </c>
      <c r="B798" s="116">
        <v>1507.15</v>
      </c>
      <c r="C798" s="116">
        <v>1500.75</v>
      </c>
      <c r="D798" s="116">
        <v>1466.1</v>
      </c>
      <c r="E798" s="116">
        <v>1496</v>
      </c>
      <c r="F798" s="116">
        <v>1500.75</v>
      </c>
      <c r="G798">
        <v>26822</v>
      </c>
      <c r="H798" s="116"/>
      <c r="I798" s="116"/>
      <c r="L798" s="170">
        <v>43811</v>
      </c>
      <c r="M798" s="116">
        <v>1502.5</v>
      </c>
      <c r="N798" s="116">
        <v>1510</v>
      </c>
      <c r="O798" s="116">
        <v>1466</v>
      </c>
      <c r="P798" s="116">
        <v>1500.2</v>
      </c>
      <c r="Q798" s="116">
        <v>1502.5</v>
      </c>
      <c r="R798">
        <v>97851</v>
      </c>
    </row>
    <row r="799" spans="1:18" x14ac:dyDescent="0.25">
      <c r="A799" s="170">
        <v>43812</v>
      </c>
      <c r="B799" s="116">
        <v>1524.75</v>
      </c>
      <c r="C799" s="116">
        <v>1520.55</v>
      </c>
      <c r="D799" s="116">
        <v>1499.95</v>
      </c>
      <c r="E799" s="116">
        <v>1500</v>
      </c>
      <c r="F799" s="116">
        <v>1520.55</v>
      </c>
      <c r="G799">
        <v>8636</v>
      </c>
      <c r="H799" s="116"/>
      <c r="I799" s="116"/>
      <c r="L799" s="170">
        <v>43812</v>
      </c>
      <c r="M799" s="116">
        <v>1520.45</v>
      </c>
      <c r="N799" s="116">
        <v>1526</v>
      </c>
      <c r="O799" s="116">
        <v>1497</v>
      </c>
      <c r="P799" s="116">
        <v>1502</v>
      </c>
      <c r="Q799" s="116">
        <v>1520.45</v>
      </c>
      <c r="R799">
        <v>74209</v>
      </c>
    </row>
    <row r="800" spans="1:18" x14ac:dyDescent="0.25">
      <c r="A800" s="170">
        <v>43815</v>
      </c>
      <c r="B800" s="116">
        <v>1529</v>
      </c>
      <c r="C800" s="116">
        <v>1518.2</v>
      </c>
      <c r="D800" s="116">
        <v>1505</v>
      </c>
      <c r="E800" s="116">
        <v>1520.55</v>
      </c>
      <c r="F800" s="116">
        <v>1518.2</v>
      </c>
      <c r="G800">
        <v>3063</v>
      </c>
      <c r="H800" s="116"/>
      <c r="I800" s="116"/>
      <c r="L800" s="170">
        <v>43815</v>
      </c>
      <c r="M800" s="116">
        <v>1516.85</v>
      </c>
      <c r="N800" s="116">
        <v>1529.9</v>
      </c>
      <c r="O800" s="116">
        <v>1503.5</v>
      </c>
      <c r="P800" s="116">
        <v>1527.95</v>
      </c>
      <c r="Q800" s="116">
        <v>1516.85</v>
      </c>
      <c r="R800">
        <v>180842</v>
      </c>
    </row>
    <row r="801" spans="1:18" x14ac:dyDescent="0.25">
      <c r="A801" s="170">
        <v>43816</v>
      </c>
      <c r="B801" s="116">
        <v>1521.15</v>
      </c>
      <c r="C801" s="116">
        <v>1498.85</v>
      </c>
      <c r="D801" s="116">
        <v>1486</v>
      </c>
      <c r="E801" s="116">
        <v>1521.15</v>
      </c>
      <c r="F801" s="116">
        <v>1498.85</v>
      </c>
      <c r="G801">
        <v>35364</v>
      </c>
      <c r="H801" s="116"/>
      <c r="I801" s="116"/>
      <c r="L801" s="170">
        <v>43816</v>
      </c>
      <c r="M801" s="116">
        <v>1499.1</v>
      </c>
      <c r="N801" s="116">
        <v>1523.9</v>
      </c>
      <c r="O801" s="116">
        <v>1486.35</v>
      </c>
      <c r="P801" s="116">
        <v>1516.85</v>
      </c>
      <c r="Q801" s="116">
        <v>1499.1</v>
      </c>
      <c r="R801">
        <v>76729</v>
      </c>
    </row>
    <row r="802" spans="1:18" x14ac:dyDescent="0.25">
      <c r="A802" s="170">
        <v>43817</v>
      </c>
      <c r="B802" s="116">
        <v>1517</v>
      </c>
      <c r="C802" s="116">
        <v>1498.75</v>
      </c>
      <c r="D802" s="116">
        <v>1492.5</v>
      </c>
      <c r="E802" s="116">
        <v>1517</v>
      </c>
      <c r="F802" s="116">
        <v>1498.75</v>
      </c>
      <c r="G802">
        <v>1402</v>
      </c>
      <c r="H802" s="116"/>
      <c r="I802" s="116"/>
      <c r="L802" s="170">
        <v>43817</v>
      </c>
      <c r="M802" s="116">
        <v>1498.15</v>
      </c>
      <c r="N802" s="116">
        <v>1513.95</v>
      </c>
      <c r="O802" s="116">
        <v>1490.05</v>
      </c>
      <c r="P802" s="116">
        <v>1513.95</v>
      </c>
      <c r="Q802" s="116">
        <v>1498.15</v>
      </c>
      <c r="R802">
        <v>87798</v>
      </c>
    </row>
    <row r="803" spans="1:18" x14ac:dyDescent="0.25">
      <c r="A803" s="170">
        <v>43818</v>
      </c>
      <c r="B803" s="116">
        <v>1515</v>
      </c>
      <c r="C803" s="116">
        <v>1493.65</v>
      </c>
      <c r="D803" s="116">
        <v>1489.8</v>
      </c>
      <c r="E803" s="116">
        <v>1499.7</v>
      </c>
      <c r="F803" s="116">
        <v>1493.65</v>
      </c>
      <c r="G803">
        <v>1734</v>
      </c>
      <c r="H803" s="116"/>
      <c r="I803" s="116"/>
      <c r="L803" s="170">
        <v>43818</v>
      </c>
      <c r="M803" s="116">
        <v>1492.95</v>
      </c>
      <c r="N803" s="116">
        <v>1516.55</v>
      </c>
      <c r="O803" s="116">
        <v>1489.05</v>
      </c>
      <c r="P803" s="116">
        <v>1498.15</v>
      </c>
      <c r="Q803" s="116">
        <v>1492.95</v>
      </c>
      <c r="R803">
        <v>67536</v>
      </c>
    </row>
    <row r="804" spans="1:18" x14ac:dyDescent="0.25">
      <c r="A804" s="170">
        <v>43819</v>
      </c>
      <c r="B804" s="116">
        <v>1499.85</v>
      </c>
      <c r="C804" s="116">
        <v>1469.35</v>
      </c>
      <c r="D804" s="116">
        <v>1465.05</v>
      </c>
      <c r="E804" s="116">
        <v>1495</v>
      </c>
      <c r="F804" s="116">
        <v>1469.35</v>
      </c>
      <c r="G804">
        <v>4116</v>
      </c>
      <c r="H804" s="116"/>
      <c r="I804" s="116"/>
      <c r="L804" s="170">
        <v>43819</v>
      </c>
      <c r="M804" s="116">
        <v>1468.65</v>
      </c>
      <c r="N804" s="116">
        <v>1498.95</v>
      </c>
      <c r="O804" s="116">
        <v>1464.1</v>
      </c>
      <c r="P804" s="116">
        <v>1493</v>
      </c>
      <c r="Q804" s="116">
        <v>1468.65</v>
      </c>
      <c r="R804">
        <v>86979</v>
      </c>
    </row>
    <row r="805" spans="1:18" x14ac:dyDescent="0.25">
      <c r="A805" s="170">
        <v>43822</v>
      </c>
      <c r="B805" s="116">
        <v>1497.8</v>
      </c>
      <c r="C805" s="116">
        <v>1473.4</v>
      </c>
      <c r="D805" s="116">
        <v>1465.1</v>
      </c>
      <c r="E805" s="116">
        <v>1471.5</v>
      </c>
      <c r="F805" s="116">
        <v>1473.4</v>
      </c>
      <c r="G805">
        <v>5385</v>
      </c>
      <c r="H805" s="116"/>
      <c r="I805" s="116"/>
      <c r="L805" s="170">
        <v>43822</v>
      </c>
      <c r="M805" s="116">
        <v>1469.2</v>
      </c>
      <c r="N805" s="116">
        <v>1499.8</v>
      </c>
      <c r="O805" s="116">
        <v>1464.85</v>
      </c>
      <c r="P805" s="116">
        <v>1476</v>
      </c>
      <c r="Q805" s="116">
        <v>1469.2</v>
      </c>
      <c r="R805">
        <v>84497</v>
      </c>
    </row>
    <row r="806" spans="1:18" x14ac:dyDescent="0.25">
      <c r="A806" s="170">
        <v>43823</v>
      </c>
      <c r="B806" s="116">
        <v>1506</v>
      </c>
      <c r="C806" s="116">
        <v>1480.2</v>
      </c>
      <c r="D806" s="116">
        <v>1474.2</v>
      </c>
      <c r="E806" s="116">
        <v>1474.4</v>
      </c>
      <c r="F806" s="116">
        <v>1480.2</v>
      </c>
      <c r="G806">
        <v>6660</v>
      </c>
      <c r="H806" s="116"/>
      <c r="I806" s="116"/>
      <c r="L806" s="170">
        <v>43823</v>
      </c>
      <c r="M806" s="116">
        <v>1478.25</v>
      </c>
      <c r="N806" s="116">
        <v>1505</v>
      </c>
      <c r="O806" s="116">
        <v>1468.8</v>
      </c>
      <c r="P806" s="116">
        <v>1469.2</v>
      </c>
      <c r="Q806" s="116">
        <v>1478.25</v>
      </c>
      <c r="R806">
        <v>118178</v>
      </c>
    </row>
    <row r="807" spans="1:18" x14ac:dyDescent="0.25">
      <c r="A807" s="170">
        <v>43825</v>
      </c>
      <c r="B807" s="116">
        <v>1495.55</v>
      </c>
      <c r="C807" s="116">
        <v>1483.7</v>
      </c>
      <c r="D807" s="116">
        <v>1477.6</v>
      </c>
      <c r="E807" s="116">
        <v>1490.5</v>
      </c>
      <c r="F807" s="116">
        <v>1483.7</v>
      </c>
      <c r="G807">
        <v>1371</v>
      </c>
      <c r="H807" s="116"/>
      <c r="I807" s="116"/>
      <c r="L807" s="170">
        <v>43825</v>
      </c>
      <c r="M807" s="116">
        <v>1485.5</v>
      </c>
      <c r="N807" s="116">
        <v>1500</v>
      </c>
      <c r="O807" s="116">
        <v>1477.05</v>
      </c>
      <c r="P807" s="116">
        <v>1500</v>
      </c>
      <c r="Q807" s="116">
        <v>1485.5</v>
      </c>
      <c r="R807">
        <v>174683</v>
      </c>
    </row>
    <row r="808" spans="1:18" x14ac:dyDescent="0.25">
      <c r="A808" s="170">
        <v>43826</v>
      </c>
      <c r="B808" s="116">
        <v>1489.15</v>
      </c>
      <c r="C808" s="116">
        <v>1478.65</v>
      </c>
      <c r="D808" s="116">
        <v>1470.85</v>
      </c>
      <c r="E808" s="116">
        <v>1487.75</v>
      </c>
      <c r="F808" s="116">
        <v>1478.65</v>
      </c>
      <c r="G808">
        <v>1124</v>
      </c>
      <c r="H808" s="116"/>
      <c r="I808" s="116"/>
      <c r="L808" s="170">
        <v>43826</v>
      </c>
      <c r="M808" s="116">
        <v>1478.95</v>
      </c>
      <c r="N808" s="116">
        <v>1493.25</v>
      </c>
      <c r="O808" s="116">
        <v>1470.1</v>
      </c>
      <c r="P808" s="116">
        <v>1490</v>
      </c>
      <c r="Q808" s="116">
        <v>1478.95</v>
      </c>
      <c r="R808">
        <v>89120</v>
      </c>
    </row>
    <row r="809" spans="1:18" x14ac:dyDescent="0.25">
      <c r="A809" s="170">
        <v>43829</v>
      </c>
      <c r="B809" s="116">
        <v>1484</v>
      </c>
      <c r="C809" s="116">
        <v>1477.25</v>
      </c>
      <c r="D809" s="116">
        <v>1460</v>
      </c>
      <c r="E809" s="116">
        <v>1460</v>
      </c>
      <c r="F809" s="116">
        <v>1477.25</v>
      </c>
      <c r="G809">
        <v>1236</v>
      </c>
      <c r="H809" s="116"/>
      <c r="I809" s="116"/>
      <c r="L809" s="170">
        <v>43829</v>
      </c>
      <c r="M809" s="116">
        <v>1479.65</v>
      </c>
      <c r="N809" s="116">
        <v>1488.95</v>
      </c>
      <c r="O809" s="116">
        <v>1470</v>
      </c>
      <c r="P809" s="116">
        <v>1479.95</v>
      </c>
      <c r="Q809" s="116">
        <v>1479.65</v>
      </c>
      <c r="R809">
        <v>114655</v>
      </c>
    </row>
    <row r="810" spans="1:18" x14ac:dyDescent="0.25">
      <c r="A810" s="170">
        <v>43830</v>
      </c>
      <c r="B810" s="116">
        <v>1487.5</v>
      </c>
      <c r="C810" s="116">
        <v>1465.6</v>
      </c>
      <c r="D810" s="116">
        <v>1461.05</v>
      </c>
      <c r="E810" s="116">
        <v>1478.95</v>
      </c>
      <c r="F810" s="116">
        <v>1465.6</v>
      </c>
      <c r="G810">
        <v>2543</v>
      </c>
      <c r="H810" s="116"/>
      <c r="I810" s="116"/>
      <c r="L810" s="170">
        <v>43830</v>
      </c>
      <c r="M810" s="116">
        <v>1468.45</v>
      </c>
      <c r="N810" s="116">
        <v>1489</v>
      </c>
      <c r="O810" s="116">
        <v>1460.5</v>
      </c>
      <c r="P810" s="116">
        <v>1476</v>
      </c>
      <c r="Q810" s="116">
        <v>1468.45</v>
      </c>
      <c r="R810">
        <v>72244</v>
      </c>
    </row>
    <row r="811" spans="1:18" x14ac:dyDescent="0.25">
      <c r="A811" s="170">
        <v>43831</v>
      </c>
      <c r="B811" s="116">
        <v>1497.8</v>
      </c>
      <c r="C811" s="116">
        <v>1492.6</v>
      </c>
      <c r="D811" s="116">
        <v>1473.8</v>
      </c>
      <c r="E811" s="116">
        <v>1476.4</v>
      </c>
      <c r="F811" s="116">
        <v>1492.6</v>
      </c>
      <c r="G811">
        <v>2257</v>
      </c>
      <c r="H811" s="116"/>
      <c r="I811" s="116"/>
      <c r="L811" s="170">
        <v>43831</v>
      </c>
      <c r="M811" s="116">
        <v>1493.8</v>
      </c>
      <c r="N811" s="116">
        <v>1500.75</v>
      </c>
      <c r="O811" s="116">
        <v>1470</v>
      </c>
      <c r="P811" s="116">
        <v>1475</v>
      </c>
      <c r="Q811" s="116">
        <v>1493.8</v>
      </c>
      <c r="R811">
        <v>81809</v>
      </c>
    </row>
    <row r="812" spans="1:18" x14ac:dyDescent="0.25">
      <c r="A812" s="170">
        <v>43832</v>
      </c>
      <c r="B812" s="116">
        <v>1515</v>
      </c>
      <c r="C812" s="116">
        <v>1509.45</v>
      </c>
      <c r="D812" s="116">
        <v>1482</v>
      </c>
      <c r="E812" s="116">
        <v>1500</v>
      </c>
      <c r="F812" s="116">
        <v>1509.45</v>
      </c>
      <c r="G812">
        <v>2619</v>
      </c>
      <c r="H812" s="116"/>
      <c r="I812" s="116"/>
      <c r="L812" s="170">
        <v>43832</v>
      </c>
      <c r="M812" s="116">
        <v>1513.2</v>
      </c>
      <c r="N812" s="116">
        <v>1525</v>
      </c>
      <c r="O812" s="116">
        <v>1483</v>
      </c>
      <c r="P812" s="116">
        <v>1483</v>
      </c>
      <c r="Q812" s="116">
        <v>1513.2</v>
      </c>
      <c r="R812">
        <v>69666</v>
      </c>
    </row>
    <row r="813" spans="1:18" x14ac:dyDescent="0.25">
      <c r="A813" s="170">
        <v>43833</v>
      </c>
      <c r="B813" s="116">
        <v>1524.9</v>
      </c>
      <c r="C813" s="116">
        <v>1508.65</v>
      </c>
      <c r="D813" s="116">
        <v>1502.8</v>
      </c>
      <c r="E813" s="116">
        <v>1518</v>
      </c>
      <c r="F813" s="116">
        <v>1508.65</v>
      </c>
      <c r="G813">
        <v>1751</v>
      </c>
      <c r="H813" s="116"/>
      <c r="I813" s="116"/>
      <c r="L813" s="170">
        <v>43833</v>
      </c>
      <c r="M813" s="116">
        <v>1510.6</v>
      </c>
      <c r="N813" s="116">
        <v>1524.95</v>
      </c>
      <c r="O813" s="116">
        <v>1502.85</v>
      </c>
      <c r="P813" s="116">
        <v>1519.95</v>
      </c>
      <c r="Q813" s="116">
        <v>1510.6</v>
      </c>
      <c r="R813">
        <v>41244</v>
      </c>
    </row>
    <row r="814" spans="1:18" x14ac:dyDescent="0.25">
      <c r="A814" s="170">
        <v>43836</v>
      </c>
      <c r="B814" s="116">
        <v>1519.95</v>
      </c>
      <c r="C814" s="116">
        <v>1510.7</v>
      </c>
      <c r="D814" s="116">
        <v>1479.15</v>
      </c>
      <c r="E814" s="116">
        <v>1505.5</v>
      </c>
      <c r="F814" s="116">
        <v>1510.7</v>
      </c>
      <c r="G814">
        <v>3704</v>
      </c>
      <c r="H814" s="116"/>
      <c r="I814" s="116"/>
      <c r="L814" s="170">
        <v>43836</v>
      </c>
      <c r="M814" s="116">
        <v>1509.55</v>
      </c>
      <c r="N814" s="116">
        <v>1521</v>
      </c>
      <c r="O814" s="116">
        <v>1477.05</v>
      </c>
      <c r="P814" s="116">
        <v>1509.9</v>
      </c>
      <c r="Q814" s="116">
        <v>1509.55</v>
      </c>
      <c r="R814">
        <v>59718</v>
      </c>
    </row>
    <row r="815" spans="1:18" x14ac:dyDescent="0.25">
      <c r="A815" s="170">
        <v>43837</v>
      </c>
      <c r="B815" s="116">
        <v>1522</v>
      </c>
      <c r="C815" s="116">
        <v>1518.55</v>
      </c>
      <c r="D815" s="116">
        <v>1495.95</v>
      </c>
      <c r="E815" s="116">
        <v>1510</v>
      </c>
      <c r="F815" s="116">
        <v>1518.55</v>
      </c>
      <c r="G815">
        <v>1239</v>
      </c>
      <c r="H815" s="116"/>
      <c r="I815" s="116"/>
      <c r="L815" s="170">
        <v>43837</v>
      </c>
      <c r="M815" s="116">
        <v>1516.35</v>
      </c>
      <c r="N815" s="116">
        <v>1524</v>
      </c>
      <c r="O815" s="116">
        <v>1493.75</v>
      </c>
      <c r="P815" s="116">
        <v>1510.35</v>
      </c>
      <c r="Q815" s="116">
        <v>1516.35</v>
      </c>
      <c r="R815">
        <v>57942</v>
      </c>
    </row>
    <row r="816" spans="1:18" x14ac:dyDescent="0.25">
      <c r="A816" s="170">
        <v>43838</v>
      </c>
      <c r="B816" s="116">
        <v>1552.8</v>
      </c>
      <c r="C816" s="116">
        <v>1536.55</v>
      </c>
      <c r="D816" s="116">
        <v>1499.15</v>
      </c>
      <c r="E816" s="116">
        <v>1500</v>
      </c>
      <c r="F816" s="116">
        <v>1536.55</v>
      </c>
      <c r="G816">
        <v>6630</v>
      </c>
      <c r="H816" s="116"/>
      <c r="I816" s="116"/>
      <c r="L816" s="170">
        <v>43838</v>
      </c>
      <c r="M816" s="116">
        <v>1537.75</v>
      </c>
      <c r="N816" s="116">
        <v>1554.8</v>
      </c>
      <c r="O816" s="116">
        <v>1498.1</v>
      </c>
      <c r="P816" s="116">
        <v>1503.5</v>
      </c>
      <c r="Q816" s="116">
        <v>1537.75</v>
      </c>
      <c r="R816">
        <v>112220</v>
      </c>
    </row>
    <row r="817" spans="1:18" x14ac:dyDescent="0.25">
      <c r="A817" s="170">
        <v>43839</v>
      </c>
      <c r="B817" s="116">
        <v>1555.4</v>
      </c>
      <c r="C817" s="116">
        <v>1549.35</v>
      </c>
      <c r="D817" s="116">
        <v>1536.6</v>
      </c>
      <c r="E817" s="116">
        <v>1539.9</v>
      </c>
      <c r="F817" s="116">
        <v>1549.35</v>
      </c>
      <c r="G817">
        <v>1935</v>
      </c>
      <c r="H817" s="116"/>
      <c r="I817" s="116"/>
      <c r="L817" s="170">
        <v>43839</v>
      </c>
      <c r="M817" s="116">
        <v>1551.4</v>
      </c>
      <c r="N817" s="116">
        <v>1555.95</v>
      </c>
      <c r="O817" s="116">
        <v>1536.7</v>
      </c>
      <c r="P817" s="116">
        <v>1545</v>
      </c>
      <c r="Q817" s="116">
        <v>1551.4</v>
      </c>
      <c r="R817">
        <v>74313</v>
      </c>
    </row>
    <row r="818" spans="1:18" x14ac:dyDescent="0.25">
      <c r="A818" s="170">
        <v>43840</v>
      </c>
      <c r="B818" s="116">
        <v>1575.6</v>
      </c>
      <c r="C818" s="116">
        <v>1558.45</v>
      </c>
      <c r="D818" s="116">
        <v>1545.7</v>
      </c>
      <c r="E818" s="116">
        <v>1555</v>
      </c>
      <c r="F818" s="116">
        <v>1558.45</v>
      </c>
      <c r="G818">
        <v>3877</v>
      </c>
      <c r="H818" s="116"/>
      <c r="I818" s="116"/>
      <c r="L818" s="170">
        <v>43840</v>
      </c>
      <c r="M818" s="116">
        <v>1560.9</v>
      </c>
      <c r="N818" s="116">
        <v>1578</v>
      </c>
      <c r="O818" s="116">
        <v>1545.6</v>
      </c>
      <c r="P818" s="116">
        <v>1554.9</v>
      </c>
      <c r="Q818" s="116">
        <v>1560.9</v>
      </c>
      <c r="R818">
        <v>55261</v>
      </c>
    </row>
    <row r="819" spans="1:18" x14ac:dyDescent="0.25">
      <c r="A819" s="170">
        <v>43843</v>
      </c>
      <c r="B819" s="116">
        <v>1574.6</v>
      </c>
      <c r="C819" s="116">
        <v>1564.05</v>
      </c>
      <c r="D819" s="116">
        <v>1553.8</v>
      </c>
      <c r="E819" s="116">
        <v>1570.25</v>
      </c>
      <c r="F819" s="116">
        <v>1564.05</v>
      </c>
      <c r="G819">
        <v>4060</v>
      </c>
      <c r="H819" s="116"/>
      <c r="I819" s="116"/>
      <c r="L819" s="170">
        <v>43843</v>
      </c>
      <c r="M819" s="116">
        <v>1562.35</v>
      </c>
      <c r="N819" s="116">
        <v>1575</v>
      </c>
      <c r="O819" s="116">
        <v>1552.4</v>
      </c>
      <c r="P819" s="116">
        <v>1569.9</v>
      </c>
      <c r="Q819" s="116">
        <v>1562.35</v>
      </c>
      <c r="R819">
        <v>84927</v>
      </c>
    </row>
    <row r="820" spans="1:18" x14ac:dyDescent="0.25">
      <c r="A820" s="170">
        <v>43844</v>
      </c>
      <c r="B820" s="116">
        <v>1591.5</v>
      </c>
      <c r="C820" s="116">
        <v>1589.25</v>
      </c>
      <c r="D820" s="116">
        <v>1552.2</v>
      </c>
      <c r="E820" s="116">
        <v>1552.2</v>
      </c>
      <c r="F820" s="116">
        <v>1589.25</v>
      </c>
      <c r="G820">
        <v>2997</v>
      </c>
      <c r="H820" s="116"/>
      <c r="I820" s="116"/>
      <c r="L820" s="170">
        <v>43844</v>
      </c>
      <c r="M820" s="116">
        <v>1589.85</v>
      </c>
      <c r="N820" s="116">
        <v>1595</v>
      </c>
      <c r="O820" s="116">
        <v>1554.95</v>
      </c>
      <c r="P820" s="116">
        <v>1562.35</v>
      </c>
      <c r="Q820" s="116">
        <v>1589.85</v>
      </c>
      <c r="R820">
        <v>65177</v>
      </c>
    </row>
    <row r="821" spans="1:18" x14ac:dyDescent="0.25">
      <c r="A821" s="170">
        <v>43845</v>
      </c>
      <c r="B821" s="116">
        <v>1624</v>
      </c>
      <c r="C821" s="116">
        <v>1599.7</v>
      </c>
      <c r="D821" s="116">
        <v>1583</v>
      </c>
      <c r="E821" s="116">
        <v>1595.4</v>
      </c>
      <c r="F821" s="116">
        <v>1599.7</v>
      </c>
      <c r="G821">
        <v>18118</v>
      </c>
      <c r="H821" s="116"/>
      <c r="I821" s="116"/>
      <c r="L821" s="170">
        <v>43845</v>
      </c>
      <c r="M821" s="116">
        <v>1601.45</v>
      </c>
      <c r="N821" s="116">
        <v>1625</v>
      </c>
      <c r="O821" s="116">
        <v>1582</v>
      </c>
      <c r="P821" s="116">
        <v>1588.8</v>
      </c>
      <c r="Q821" s="116">
        <v>1601.45</v>
      </c>
      <c r="R821">
        <v>102724</v>
      </c>
    </row>
    <row r="822" spans="1:18" x14ac:dyDescent="0.25">
      <c r="A822" s="170">
        <v>43846</v>
      </c>
      <c r="B822" s="116">
        <v>1658.95</v>
      </c>
      <c r="C822" s="116">
        <v>1653.8</v>
      </c>
      <c r="D822" s="116">
        <v>1593.05</v>
      </c>
      <c r="E822" s="116">
        <v>1593.05</v>
      </c>
      <c r="F822" s="116">
        <v>1653.8</v>
      </c>
      <c r="G822">
        <v>6353</v>
      </c>
      <c r="H822" s="116"/>
      <c r="I822" s="116"/>
      <c r="L822" s="170">
        <v>43846</v>
      </c>
      <c r="M822" s="116">
        <v>1655.65</v>
      </c>
      <c r="N822" s="116">
        <v>1666</v>
      </c>
      <c r="O822" s="116">
        <v>1606</v>
      </c>
      <c r="P822" s="116">
        <v>1606</v>
      </c>
      <c r="Q822" s="116">
        <v>1655.65</v>
      </c>
      <c r="R822">
        <v>189001</v>
      </c>
    </row>
    <row r="823" spans="1:18" x14ac:dyDescent="0.25">
      <c r="A823" s="170">
        <v>43847</v>
      </c>
      <c r="B823" s="116">
        <v>1671.2</v>
      </c>
      <c r="C823" s="116">
        <v>1634.8</v>
      </c>
      <c r="D823" s="116">
        <v>1620</v>
      </c>
      <c r="E823" s="116">
        <v>1660.6</v>
      </c>
      <c r="F823" s="116">
        <v>1634.8</v>
      </c>
      <c r="G823">
        <v>6352</v>
      </c>
      <c r="H823" s="116"/>
      <c r="I823" s="116"/>
      <c r="L823" s="170">
        <v>43847</v>
      </c>
      <c r="M823" s="116">
        <v>1642.65</v>
      </c>
      <c r="N823" s="116">
        <v>1673.9</v>
      </c>
      <c r="O823" s="116">
        <v>1623.3</v>
      </c>
      <c r="P823" s="116">
        <v>1662</v>
      </c>
      <c r="Q823" s="116">
        <v>1642.65</v>
      </c>
      <c r="R823">
        <v>115600</v>
      </c>
    </row>
    <row r="824" spans="1:18" x14ac:dyDescent="0.25">
      <c r="A824" s="170">
        <v>43850</v>
      </c>
      <c r="B824" s="116">
        <v>1642.6</v>
      </c>
      <c r="C824" s="116">
        <v>1626.6</v>
      </c>
      <c r="D824" s="116">
        <v>1605.65</v>
      </c>
      <c r="E824" s="116">
        <v>1642</v>
      </c>
      <c r="F824" s="116">
        <v>1626.6</v>
      </c>
      <c r="G824">
        <v>4562</v>
      </c>
      <c r="H824" s="116"/>
      <c r="I824" s="116"/>
      <c r="L824" s="170">
        <v>43850</v>
      </c>
      <c r="M824" s="116">
        <v>1627.8</v>
      </c>
      <c r="N824" s="116">
        <v>1644</v>
      </c>
      <c r="O824" s="116">
        <v>1605.1</v>
      </c>
      <c r="P824" s="116">
        <v>1642</v>
      </c>
      <c r="Q824" s="116">
        <v>1627.8</v>
      </c>
      <c r="R824">
        <v>180467</v>
      </c>
    </row>
    <row r="825" spans="1:18" x14ac:dyDescent="0.25">
      <c r="A825" s="170">
        <v>43851</v>
      </c>
      <c r="B825" s="116">
        <v>1630</v>
      </c>
      <c r="C825" s="116">
        <v>1627.6</v>
      </c>
      <c r="D825" s="116">
        <v>1608</v>
      </c>
      <c r="E825" s="116">
        <v>1626</v>
      </c>
      <c r="F825" s="116">
        <v>1627.6</v>
      </c>
      <c r="G825">
        <v>2856</v>
      </c>
      <c r="H825" s="116"/>
      <c r="I825" s="116"/>
      <c r="L825" s="170">
        <v>43851</v>
      </c>
      <c r="M825" s="116">
        <v>1626.1</v>
      </c>
      <c r="N825" s="116">
        <v>1630</v>
      </c>
      <c r="O825" s="116">
        <v>1606.85</v>
      </c>
      <c r="P825" s="116">
        <v>1624</v>
      </c>
      <c r="Q825" s="116">
        <v>1626.1</v>
      </c>
      <c r="R825">
        <v>123496</v>
      </c>
    </row>
    <row r="826" spans="1:18" x14ac:dyDescent="0.25">
      <c r="A826" s="170">
        <v>43852</v>
      </c>
      <c r="B826" s="116">
        <v>1650</v>
      </c>
      <c r="C826" s="116">
        <v>1630.25</v>
      </c>
      <c r="D826" s="116">
        <v>1622.3</v>
      </c>
      <c r="E826" s="116">
        <v>1627.95</v>
      </c>
      <c r="F826" s="116">
        <v>1630.25</v>
      </c>
      <c r="G826">
        <v>1619</v>
      </c>
      <c r="H826" s="116"/>
      <c r="I826" s="116"/>
      <c r="L826" s="170">
        <v>43852</v>
      </c>
      <c r="M826" s="116">
        <v>1633.05</v>
      </c>
      <c r="N826" s="116">
        <v>1650.8</v>
      </c>
      <c r="O826" s="116">
        <v>1621.2</v>
      </c>
      <c r="P826" s="116">
        <v>1625</v>
      </c>
      <c r="Q826" s="116">
        <v>1633.05</v>
      </c>
      <c r="R826">
        <v>47182</v>
      </c>
    </row>
    <row r="827" spans="1:18" x14ac:dyDescent="0.25">
      <c r="A827" s="170">
        <v>43853</v>
      </c>
      <c r="B827" s="116">
        <v>1748</v>
      </c>
      <c r="C827" s="116">
        <v>1726.85</v>
      </c>
      <c r="D827" s="116">
        <v>1640</v>
      </c>
      <c r="E827" s="116">
        <v>1640</v>
      </c>
      <c r="F827" s="116">
        <v>1726.85</v>
      </c>
      <c r="G827">
        <v>37210</v>
      </c>
      <c r="H827" s="116"/>
      <c r="I827" s="116"/>
      <c r="L827" s="170">
        <v>43853</v>
      </c>
      <c r="M827" s="116">
        <v>1724.55</v>
      </c>
      <c r="N827" s="116">
        <v>1748</v>
      </c>
      <c r="O827" s="116">
        <v>1630</v>
      </c>
      <c r="P827" s="116">
        <v>1630</v>
      </c>
      <c r="Q827" s="116">
        <v>1724.55</v>
      </c>
      <c r="R827">
        <v>296507</v>
      </c>
    </row>
    <row r="828" spans="1:18" x14ac:dyDescent="0.25">
      <c r="A828" s="170">
        <v>43854</v>
      </c>
      <c r="B828" s="116">
        <v>1739.9</v>
      </c>
      <c r="C828" s="116">
        <v>1734.05</v>
      </c>
      <c r="D828" s="116">
        <v>1695.8</v>
      </c>
      <c r="E828" s="116">
        <v>1727</v>
      </c>
      <c r="F828" s="116">
        <v>1734.05</v>
      </c>
      <c r="G828">
        <v>6952</v>
      </c>
      <c r="H828" s="116"/>
      <c r="I828" s="116"/>
      <c r="L828" s="170">
        <v>43854</v>
      </c>
      <c r="M828" s="116">
        <v>1734.3</v>
      </c>
      <c r="N828" s="116">
        <v>1739</v>
      </c>
      <c r="O828" s="116">
        <v>1696.25</v>
      </c>
      <c r="P828" s="116">
        <v>1724.55</v>
      </c>
      <c r="Q828" s="116">
        <v>1734.3</v>
      </c>
      <c r="R828">
        <v>80890</v>
      </c>
    </row>
    <row r="829" spans="1:18" x14ac:dyDescent="0.25">
      <c r="A829" s="170">
        <v>43857</v>
      </c>
      <c r="B829" s="116">
        <v>1780</v>
      </c>
      <c r="C829" s="116">
        <v>1739.55</v>
      </c>
      <c r="D829" s="116">
        <v>1725</v>
      </c>
      <c r="E829" s="116">
        <v>1727</v>
      </c>
      <c r="F829" s="116">
        <v>1739.55</v>
      </c>
      <c r="G829">
        <v>5716</v>
      </c>
      <c r="H829" s="116"/>
      <c r="I829" s="116"/>
      <c r="L829" s="170">
        <v>43857</v>
      </c>
      <c r="M829" s="116">
        <v>1739.15</v>
      </c>
      <c r="N829" s="116">
        <v>1780</v>
      </c>
      <c r="O829" s="116">
        <v>1711</v>
      </c>
      <c r="P829" s="116">
        <v>1711</v>
      </c>
      <c r="Q829" s="116">
        <v>1739.15</v>
      </c>
      <c r="R829">
        <v>105045</v>
      </c>
    </row>
    <row r="830" spans="1:18" x14ac:dyDescent="0.25">
      <c r="A830" s="170">
        <v>43858</v>
      </c>
      <c r="B830" s="116">
        <v>1766</v>
      </c>
      <c r="C830" s="116">
        <v>1690.55</v>
      </c>
      <c r="D830" s="116">
        <v>1671.75</v>
      </c>
      <c r="E830" s="116">
        <v>1740</v>
      </c>
      <c r="F830" s="116">
        <v>1690.55</v>
      </c>
      <c r="G830">
        <v>7117</v>
      </c>
      <c r="H830" s="116"/>
      <c r="I830" s="116"/>
      <c r="L830" s="170">
        <v>43858</v>
      </c>
      <c r="M830" s="116">
        <v>1693.3</v>
      </c>
      <c r="N830" s="116">
        <v>1767</v>
      </c>
      <c r="O830" s="116">
        <v>1670.75</v>
      </c>
      <c r="P830" s="116">
        <v>1739</v>
      </c>
      <c r="Q830" s="116">
        <v>1693.3</v>
      </c>
      <c r="R830">
        <v>103398</v>
      </c>
    </row>
    <row r="831" spans="1:18" x14ac:dyDescent="0.25">
      <c r="A831" s="170">
        <v>43859</v>
      </c>
      <c r="B831" s="116">
        <v>1749.95</v>
      </c>
      <c r="C831" s="116">
        <v>1728.15</v>
      </c>
      <c r="D831" s="116">
        <v>1705</v>
      </c>
      <c r="E831" s="116">
        <v>1719</v>
      </c>
      <c r="F831" s="116">
        <v>1728.15</v>
      </c>
      <c r="G831">
        <v>6740</v>
      </c>
      <c r="H831" s="116"/>
      <c r="I831" s="116"/>
      <c r="L831" s="170">
        <v>43859</v>
      </c>
      <c r="M831" s="116">
        <v>1728.85</v>
      </c>
      <c r="N831" s="116">
        <v>1749</v>
      </c>
      <c r="O831" s="116">
        <v>1705.3</v>
      </c>
      <c r="P831" s="116">
        <v>1718.85</v>
      </c>
      <c r="Q831" s="116">
        <v>1728.85</v>
      </c>
      <c r="R831">
        <v>73418</v>
      </c>
    </row>
    <row r="832" spans="1:18" x14ac:dyDescent="0.25">
      <c r="A832" s="170">
        <v>43860</v>
      </c>
      <c r="B832" s="116">
        <v>1731.85</v>
      </c>
      <c r="C832" s="116">
        <v>1690.05</v>
      </c>
      <c r="D832" s="116">
        <v>1681.6</v>
      </c>
      <c r="E832" s="116">
        <v>1727</v>
      </c>
      <c r="F832" s="116">
        <v>1690.05</v>
      </c>
      <c r="G832">
        <v>21464</v>
      </c>
      <c r="H832" s="116"/>
      <c r="I832" s="116"/>
      <c r="L832" s="170">
        <v>43860</v>
      </c>
      <c r="M832" s="116">
        <v>1689.15</v>
      </c>
      <c r="N832" s="116">
        <v>1741</v>
      </c>
      <c r="O832" s="116">
        <v>1681</v>
      </c>
      <c r="P832" s="116">
        <v>1729.95</v>
      </c>
      <c r="Q832" s="116">
        <v>1689.15</v>
      </c>
      <c r="R832">
        <v>49040</v>
      </c>
    </row>
    <row r="833" spans="1:18" x14ac:dyDescent="0.25">
      <c r="A833" s="170">
        <v>43861</v>
      </c>
      <c r="B833" s="116">
        <v>1697.8</v>
      </c>
      <c r="C833" s="116">
        <v>1679.2</v>
      </c>
      <c r="D833" s="116">
        <v>1653.8</v>
      </c>
      <c r="E833" s="116">
        <v>1696.75</v>
      </c>
      <c r="F833" s="116">
        <v>1679.2</v>
      </c>
      <c r="G833">
        <v>2293</v>
      </c>
      <c r="H833" s="116"/>
      <c r="I833" s="116"/>
      <c r="L833" s="170">
        <v>43861</v>
      </c>
      <c r="M833" s="116">
        <v>1679.25</v>
      </c>
      <c r="N833" s="116">
        <v>1697.95</v>
      </c>
      <c r="O833" s="116">
        <v>1651.1</v>
      </c>
      <c r="P833" s="116">
        <v>1690</v>
      </c>
      <c r="Q833" s="116">
        <v>1679.25</v>
      </c>
      <c r="R833">
        <v>39962</v>
      </c>
    </row>
    <row r="834" spans="1:18" x14ac:dyDescent="0.25">
      <c r="A834" s="170">
        <v>43862</v>
      </c>
      <c r="B834" s="116">
        <v>1686.15</v>
      </c>
      <c r="C834" s="116">
        <v>1665.3</v>
      </c>
      <c r="D834" s="116">
        <v>1657.55</v>
      </c>
      <c r="E834" s="116">
        <v>1670.75</v>
      </c>
      <c r="F834" s="116">
        <v>1665.3</v>
      </c>
      <c r="G834">
        <v>2383</v>
      </c>
      <c r="H834" s="116"/>
      <c r="I834" s="116"/>
      <c r="L834" s="170">
        <v>43862</v>
      </c>
      <c r="M834" s="116">
        <v>1666.05</v>
      </c>
      <c r="N834" s="116">
        <v>1685</v>
      </c>
      <c r="O834" s="116">
        <v>1660</v>
      </c>
      <c r="P834" s="116">
        <v>1678</v>
      </c>
      <c r="Q834" s="116">
        <v>1666.05</v>
      </c>
      <c r="R834">
        <v>26063</v>
      </c>
    </row>
    <row r="835" spans="1:18" x14ac:dyDescent="0.25">
      <c r="A835" s="170">
        <v>43864</v>
      </c>
      <c r="B835" s="116">
        <v>1689.95</v>
      </c>
      <c r="C835" s="116">
        <v>1633.3</v>
      </c>
      <c r="D835" s="116">
        <v>1626.8</v>
      </c>
      <c r="E835" s="116">
        <v>1658.25</v>
      </c>
      <c r="F835" s="116">
        <v>1633.3</v>
      </c>
      <c r="G835">
        <v>43559</v>
      </c>
      <c r="H835" s="116"/>
      <c r="I835" s="116"/>
      <c r="L835" s="170">
        <v>43864</v>
      </c>
      <c r="M835" s="116">
        <v>1640.9</v>
      </c>
      <c r="N835" s="116">
        <v>1693.5</v>
      </c>
      <c r="O835" s="116">
        <v>1628.05</v>
      </c>
      <c r="P835" s="116">
        <v>1636</v>
      </c>
      <c r="Q835" s="116">
        <v>1640.9</v>
      </c>
      <c r="R835">
        <v>186441</v>
      </c>
    </row>
    <row r="836" spans="1:18" x14ac:dyDescent="0.25">
      <c r="A836" s="170">
        <v>43865</v>
      </c>
      <c r="B836" s="116">
        <v>1709.95</v>
      </c>
      <c r="C836" s="116">
        <v>1697.8</v>
      </c>
      <c r="D836" s="116">
        <v>1640</v>
      </c>
      <c r="E836" s="116">
        <v>1644.5</v>
      </c>
      <c r="F836" s="116">
        <v>1697.8</v>
      </c>
      <c r="G836">
        <v>12884</v>
      </c>
      <c r="H836" s="116"/>
      <c r="I836" s="116"/>
      <c r="L836" s="170">
        <v>43865</v>
      </c>
      <c r="M836" s="116">
        <v>1699.85</v>
      </c>
      <c r="N836" s="116">
        <v>1714.9</v>
      </c>
      <c r="O836" s="116">
        <v>1635.3</v>
      </c>
      <c r="P836" s="116">
        <v>1648</v>
      </c>
      <c r="Q836" s="116">
        <v>1699.85</v>
      </c>
      <c r="R836">
        <v>155685</v>
      </c>
    </row>
    <row r="837" spans="1:18" x14ac:dyDescent="0.25">
      <c r="A837" s="170">
        <v>43866</v>
      </c>
      <c r="B837" s="116">
        <v>1710.1</v>
      </c>
      <c r="C837" s="116">
        <v>1694</v>
      </c>
      <c r="D837" s="116">
        <v>1680.5</v>
      </c>
      <c r="E837" s="116">
        <v>1698</v>
      </c>
      <c r="F837" s="116">
        <v>1694</v>
      </c>
      <c r="G837">
        <v>3062</v>
      </c>
      <c r="H837" s="116"/>
      <c r="I837" s="116"/>
      <c r="L837" s="170">
        <v>43866</v>
      </c>
      <c r="M837" s="116">
        <v>1695</v>
      </c>
      <c r="N837" s="116">
        <v>1714.95</v>
      </c>
      <c r="O837" s="116">
        <v>1680</v>
      </c>
      <c r="P837" s="116">
        <v>1691.1</v>
      </c>
      <c r="Q837" s="116">
        <v>1695</v>
      </c>
      <c r="R837">
        <v>208326</v>
      </c>
    </row>
    <row r="838" spans="1:18" x14ac:dyDescent="0.25">
      <c r="A838" s="170">
        <v>43867</v>
      </c>
      <c r="B838" s="116">
        <v>1710</v>
      </c>
      <c r="C838" s="116">
        <v>1670.2</v>
      </c>
      <c r="D838" s="116">
        <v>1662</v>
      </c>
      <c r="E838" s="116">
        <v>1694</v>
      </c>
      <c r="F838" s="116">
        <v>1670.2</v>
      </c>
      <c r="G838">
        <v>1023</v>
      </c>
      <c r="H838" s="116"/>
      <c r="I838" s="116"/>
      <c r="L838" s="170">
        <v>43867</v>
      </c>
      <c r="M838" s="116">
        <v>1672.2</v>
      </c>
      <c r="N838" s="116">
        <v>1708.75</v>
      </c>
      <c r="O838" s="116">
        <v>1660</v>
      </c>
      <c r="P838" s="116">
        <v>1687</v>
      </c>
      <c r="Q838" s="116">
        <v>1672.2</v>
      </c>
      <c r="R838">
        <v>178931</v>
      </c>
    </row>
    <row r="839" spans="1:18" x14ac:dyDescent="0.25">
      <c r="A839" s="170">
        <v>43868</v>
      </c>
      <c r="B839" s="116">
        <v>1694</v>
      </c>
      <c r="C839" s="116">
        <v>1685.85</v>
      </c>
      <c r="D839" s="116">
        <v>1659.1</v>
      </c>
      <c r="E839" s="116">
        <v>1680.25</v>
      </c>
      <c r="F839" s="116">
        <v>1685.85</v>
      </c>
      <c r="G839">
        <v>3316</v>
      </c>
      <c r="H839" s="116"/>
      <c r="I839" s="116"/>
      <c r="L839" s="170">
        <v>43868</v>
      </c>
      <c r="M839" s="116">
        <v>1687.85</v>
      </c>
      <c r="N839" s="116">
        <v>1695</v>
      </c>
      <c r="O839" s="116">
        <v>1658</v>
      </c>
      <c r="P839" s="116">
        <v>1668.2</v>
      </c>
      <c r="Q839" s="116">
        <v>1687.85</v>
      </c>
      <c r="R839">
        <v>73168</v>
      </c>
    </row>
    <row r="840" spans="1:18" x14ac:dyDescent="0.25">
      <c r="A840" s="170">
        <v>43871</v>
      </c>
      <c r="B840" s="116">
        <v>1704.95</v>
      </c>
      <c r="C840" s="116">
        <v>1682.15</v>
      </c>
      <c r="D840" s="116">
        <v>1669.25</v>
      </c>
      <c r="E840" s="116">
        <v>1699.5</v>
      </c>
      <c r="F840" s="116">
        <v>1682.15</v>
      </c>
      <c r="G840">
        <v>2212</v>
      </c>
      <c r="H840" s="116"/>
      <c r="I840" s="116"/>
      <c r="L840" s="170">
        <v>43871</v>
      </c>
      <c r="M840" s="116">
        <v>1683.15</v>
      </c>
      <c r="N840" s="116">
        <v>1705</v>
      </c>
      <c r="O840" s="116">
        <v>1671.1</v>
      </c>
      <c r="P840" s="116">
        <v>1699</v>
      </c>
      <c r="Q840" s="116">
        <v>1683.15</v>
      </c>
      <c r="R840">
        <v>169682</v>
      </c>
    </row>
    <row r="841" spans="1:18" x14ac:dyDescent="0.25">
      <c r="A841" s="170">
        <v>43872</v>
      </c>
      <c r="B841" s="116">
        <v>1701.9</v>
      </c>
      <c r="C841" s="116">
        <v>1693.25</v>
      </c>
      <c r="D841" s="116">
        <v>1673.7</v>
      </c>
      <c r="E841" s="116">
        <v>1696.75</v>
      </c>
      <c r="F841" s="116">
        <v>1693.25</v>
      </c>
      <c r="G841">
        <v>1495</v>
      </c>
      <c r="H841" s="116"/>
      <c r="I841" s="116"/>
      <c r="L841" s="170">
        <v>43872</v>
      </c>
      <c r="M841" s="116">
        <v>1696.7</v>
      </c>
      <c r="N841" s="116">
        <v>1705</v>
      </c>
      <c r="O841" s="116">
        <v>1674.1</v>
      </c>
      <c r="P841" s="116">
        <v>1695</v>
      </c>
      <c r="Q841" s="116">
        <v>1696.7</v>
      </c>
      <c r="R841">
        <v>64164</v>
      </c>
    </row>
    <row r="842" spans="1:18" x14ac:dyDescent="0.25">
      <c r="A842" s="170">
        <v>43873</v>
      </c>
      <c r="B842" s="116">
        <v>1705</v>
      </c>
      <c r="C842" s="116">
        <v>1686.2</v>
      </c>
      <c r="D842" s="116">
        <v>1681</v>
      </c>
      <c r="E842" s="116">
        <v>1705</v>
      </c>
      <c r="F842" s="116">
        <v>1686.2</v>
      </c>
      <c r="G842">
        <v>3822</v>
      </c>
      <c r="H842" s="116"/>
      <c r="I842" s="116"/>
      <c r="L842" s="170">
        <v>43873</v>
      </c>
      <c r="M842" s="116">
        <v>1685.95</v>
      </c>
      <c r="N842" s="116">
        <v>1707</v>
      </c>
      <c r="O842" s="116">
        <v>1682.5</v>
      </c>
      <c r="P842" s="116">
        <v>1700</v>
      </c>
      <c r="Q842" s="116">
        <v>1685.95</v>
      </c>
      <c r="R842">
        <v>49645</v>
      </c>
    </row>
    <row r="843" spans="1:18" x14ac:dyDescent="0.25">
      <c r="A843" s="170">
        <v>43874</v>
      </c>
      <c r="B843" s="116">
        <v>1695.25</v>
      </c>
      <c r="C843" s="116">
        <v>1683.3</v>
      </c>
      <c r="D843" s="116">
        <v>1667.25</v>
      </c>
      <c r="E843" s="116">
        <v>1691.25</v>
      </c>
      <c r="F843" s="116">
        <v>1683.3</v>
      </c>
      <c r="G843">
        <v>958</v>
      </c>
      <c r="H843" s="116"/>
      <c r="I843" s="116"/>
      <c r="L843" s="170">
        <v>43874</v>
      </c>
      <c r="M843" s="116">
        <v>1682</v>
      </c>
      <c r="N843" s="116">
        <v>1699.8</v>
      </c>
      <c r="O843" s="116">
        <v>1665.65</v>
      </c>
      <c r="P843" s="116">
        <v>1699.8</v>
      </c>
      <c r="Q843" s="116">
        <v>1682</v>
      </c>
      <c r="R843">
        <v>39138</v>
      </c>
    </row>
    <row r="844" spans="1:18" x14ac:dyDescent="0.25">
      <c r="A844" s="170">
        <v>43875</v>
      </c>
      <c r="B844" s="116">
        <v>1695</v>
      </c>
      <c r="C844" s="116">
        <v>1672.7</v>
      </c>
      <c r="D844" s="116">
        <v>1670.1</v>
      </c>
      <c r="E844" s="116">
        <v>1694</v>
      </c>
      <c r="F844" s="116">
        <v>1672.7</v>
      </c>
      <c r="G844">
        <v>1684</v>
      </c>
      <c r="H844" s="116"/>
      <c r="I844" s="116"/>
      <c r="L844" s="170">
        <v>43875</v>
      </c>
      <c r="M844" s="116">
        <v>1673.85</v>
      </c>
      <c r="N844" s="116">
        <v>1697</v>
      </c>
      <c r="O844" s="116">
        <v>1670</v>
      </c>
      <c r="P844" s="116">
        <v>1697</v>
      </c>
      <c r="Q844" s="116">
        <v>1673.85</v>
      </c>
      <c r="R844">
        <v>35005</v>
      </c>
    </row>
    <row r="845" spans="1:18" x14ac:dyDescent="0.25">
      <c r="A845" s="170">
        <v>43878</v>
      </c>
      <c r="B845" s="116">
        <v>1745.8</v>
      </c>
      <c r="C845" s="116">
        <v>1713.3</v>
      </c>
      <c r="D845" s="116">
        <v>1673.55</v>
      </c>
      <c r="E845" s="116">
        <v>1685.75</v>
      </c>
      <c r="F845" s="116">
        <v>1713.3</v>
      </c>
      <c r="G845">
        <v>6490</v>
      </c>
      <c r="H845" s="116"/>
      <c r="I845" s="116"/>
      <c r="L845" s="170">
        <v>43878</v>
      </c>
      <c r="M845" s="116">
        <v>1712</v>
      </c>
      <c r="N845" s="116">
        <v>1744</v>
      </c>
      <c r="O845" s="116">
        <v>1670</v>
      </c>
      <c r="P845" s="116">
        <v>1670</v>
      </c>
      <c r="Q845" s="116">
        <v>1712</v>
      </c>
      <c r="R845">
        <v>131252</v>
      </c>
    </row>
    <row r="846" spans="1:18" x14ac:dyDescent="0.25">
      <c r="A846" s="170">
        <v>43879</v>
      </c>
      <c r="B846" s="116">
        <v>1727</v>
      </c>
      <c r="C846" s="116">
        <v>1691.25</v>
      </c>
      <c r="D846" s="116">
        <v>1666</v>
      </c>
      <c r="E846" s="116">
        <v>1717</v>
      </c>
      <c r="F846" s="116">
        <v>1691.25</v>
      </c>
      <c r="G846">
        <v>2480</v>
      </c>
      <c r="H846" s="116"/>
      <c r="I846" s="116"/>
      <c r="L846" s="170">
        <v>43879</v>
      </c>
      <c r="M846" s="116">
        <v>1690.75</v>
      </c>
      <c r="N846" s="116">
        <v>1730</v>
      </c>
      <c r="O846" s="116">
        <v>1665</v>
      </c>
      <c r="P846" s="116">
        <v>1713</v>
      </c>
      <c r="Q846" s="116">
        <v>1690.75</v>
      </c>
      <c r="R846">
        <v>59519</v>
      </c>
    </row>
    <row r="847" spans="1:18" x14ac:dyDescent="0.25">
      <c r="A847" s="170">
        <v>43880</v>
      </c>
      <c r="B847" s="116">
        <v>1745</v>
      </c>
      <c r="C847" s="116">
        <v>1728.65</v>
      </c>
      <c r="D847" s="116">
        <v>1692</v>
      </c>
      <c r="E847" s="116">
        <v>1699.5</v>
      </c>
      <c r="F847" s="116">
        <v>1728.65</v>
      </c>
      <c r="G847">
        <v>14864</v>
      </c>
      <c r="H847" s="116"/>
      <c r="I847" s="116"/>
      <c r="L847" s="170">
        <v>43880</v>
      </c>
      <c r="M847" s="116">
        <v>1729.35</v>
      </c>
      <c r="N847" s="116">
        <v>1744</v>
      </c>
      <c r="O847" s="116">
        <v>1690</v>
      </c>
      <c r="P847" s="116">
        <v>1690</v>
      </c>
      <c r="Q847" s="116">
        <v>1729.35</v>
      </c>
      <c r="R847">
        <v>148419</v>
      </c>
    </row>
    <row r="848" spans="1:18" x14ac:dyDescent="0.25">
      <c r="A848" s="170">
        <v>43881</v>
      </c>
      <c r="B848" s="116">
        <v>1751</v>
      </c>
      <c r="C848" s="116">
        <v>1740.9</v>
      </c>
      <c r="D848" s="116">
        <v>1726.45</v>
      </c>
      <c r="E848" s="116">
        <v>1727</v>
      </c>
      <c r="F848" s="116">
        <v>1740.9</v>
      </c>
      <c r="G848">
        <v>2049</v>
      </c>
      <c r="H848" s="116"/>
      <c r="I848" s="116"/>
      <c r="L848" s="170">
        <v>43881</v>
      </c>
      <c r="M848" s="116">
        <v>1743</v>
      </c>
      <c r="N848" s="116">
        <v>1751</v>
      </c>
      <c r="O848" s="116">
        <v>1724.2</v>
      </c>
      <c r="P848" s="116">
        <v>1742</v>
      </c>
      <c r="Q848" s="116">
        <v>1743</v>
      </c>
      <c r="R848">
        <v>63353</v>
      </c>
    </row>
    <row r="849" spans="1:18" x14ac:dyDescent="0.25">
      <c r="A849" s="170">
        <v>43885</v>
      </c>
      <c r="B849" s="116">
        <v>1775</v>
      </c>
      <c r="C849" s="116">
        <v>1712.8</v>
      </c>
      <c r="D849" s="116">
        <v>1701.15</v>
      </c>
      <c r="E849" s="116">
        <v>1750</v>
      </c>
      <c r="F849" s="116">
        <v>1712.8</v>
      </c>
      <c r="G849">
        <v>4339</v>
      </c>
      <c r="H849" s="116"/>
      <c r="I849" s="116"/>
      <c r="L849" s="170">
        <v>43885</v>
      </c>
      <c r="M849" s="116">
        <v>1711.9</v>
      </c>
      <c r="N849" s="116">
        <v>1778</v>
      </c>
      <c r="O849" s="116">
        <v>1700</v>
      </c>
      <c r="P849" s="116">
        <v>1745.1</v>
      </c>
      <c r="Q849" s="116">
        <v>1711.9</v>
      </c>
      <c r="R849">
        <v>97590</v>
      </c>
    </row>
    <row r="850" spans="1:18" x14ac:dyDescent="0.25">
      <c r="A850" s="170">
        <v>43886</v>
      </c>
      <c r="B850" s="116">
        <v>1724.6</v>
      </c>
      <c r="C850" s="116">
        <v>1683.05</v>
      </c>
      <c r="D850" s="116">
        <v>1680</v>
      </c>
      <c r="E850" s="116">
        <v>1710.5</v>
      </c>
      <c r="F850" s="116">
        <v>1683.05</v>
      </c>
      <c r="G850">
        <v>11509</v>
      </c>
      <c r="H850" s="116"/>
      <c r="I850" s="116"/>
      <c r="L850" s="170">
        <v>43886</v>
      </c>
      <c r="M850" s="116">
        <v>1684.5</v>
      </c>
      <c r="N850" s="116">
        <v>1725</v>
      </c>
      <c r="O850" s="116">
        <v>1678</v>
      </c>
      <c r="P850" s="116">
        <v>1705</v>
      </c>
      <c r="Q850" s="116">
        <v>1684.5</v>
      </c>
      <c r="R850">
        <v>61270</v>
      </c>
    </row>
    <row r="851" spans="1:18" x14ac:dyDescent="0.25">
      <c r="A851" s="170">
        <v>43887</v>
      </c>
      <c r="B851" s="116">
        <v>1706.9</v>
      </c>
      <c r="C851" s="116">
        <v>1678.7</v>
      </c>
      <c r="D851" s="116">
        <v>1673.55</v>
      </c>
      <c r="E851" s="116">
        <v>1675</v>
      </c>
      <c r="F851" s="116">
        <v>1678.7</v>
      </c>
      <c r="G851">
        <v>1580</v>
      </c>
      <c r="H851" s="116"/>
      <c r="I851" s="116"/>
      <c r="L851" s="170">
        <v>43887</v>
      </c>
      <c r="M851" s="116">
        <v>1680</v>
      </c>
      <c r="N851" s="116">
        <v>1709</v>
      </c>
      <c r="O851" s="116">
        <v>1673</v>
      </c>
      <c r="P851" s="116">
        <v>1683</v>
      </c>
      <c r="Q851" s="116">
        <v>1680</v>
      </c>
      <c r="R851">
        <v>89708</v>
      </c>
    </row>
    <row r="852" spans="1:18" x14ac:dyDescent="0.25">
      <c r="A852" s="170">
        <v>43888</v>
      </c>
      <c r="B852" s="116">
        <v>1683.7</v>
      </c>
      <c r="C852" s="116">
        <v>1670.9</v>
      </c>
      <c r="D852" s="116">
        <v>1665</v>
      </c>
      <c r="E852" s="116">
        <v>1680.25</v>
      </c>
      <c r="F852" s="116">
        <v>1670.9</v>
      </c>
      <c r="G852">
        <v>16806</v>
      </c>
      <c r="H852" s="116"/>
      <c r="I852" s="116"/>
      <c r="L852" s="170">
        <v>43888</v>
      </c>
      <c r="M852" s="116">
        <v>1674.85</v>
      </c>
      <c r="N852" s="116">
        <v>1688.5</v>
      </c>
      <c r="O852" s="116">
        <v>1661.3</v>
      </c>
      <c r="P852" s="116">
        <v>1679.95</v>
      </c>
      <c r="Q852" s="116">
        <v>1674.85</v>
      </c>
      <c r="R852">
        <v>70451</v>
      </c>
    </row>
    <row r="853" spans="1:18" x14ac:dyDescent="0.25">
      <c r="A853" s="170">
        <v>43889</v>
      </c>
      <c r="B853" s="116">
        <v>1666</v>
      </c>
      <c r="C853" s="116">
        <v>1626.75</v>
      </c>
      <c r="D853" s="116">
        <v>1580</v>
      </c>
      <c r="E853" s="116">
        <v>1659.85</v>
      </c>
      <c r="F853" s="116">
        <v>1626.75</v>
      </c>
      <c r="G853">
        <v>3633</v>
      </c>
      <c r="H853" s="116"/>
      <c r="I853" s="116"/>
      <c r="L853" s="170">
        <v>43889</v>
      </c>
      <c r="M853" s="116">
        <v>1620.85</v>
      </c>
      <c r="N853" s="116">
        <v>1668.2</v>
      </c>
      <c r="O853" s="116">
        <v>1576.3</v>
      </c>
      <c r="P853" s="116">
        <v>1653</v>
      </c>
      <c r="Q853" s="116">
        <v>1620.85</v>
      </c>
      <c r="R853">
        <v>152354</v>
      </c>
    </row>
    <row r="854" spans="1:18" x14ac:dyDescent="0.25">
      <c r="A854" s="170">
        <v>43892</v>
      </c>
      <c r="B854" s="116">
        <v>1692</v>
      </c>
      <c r="C854" s="116">
        <v>1658.3</v>
      </c>
      <c r="D854" s="116">
        <v>1618.55</v>
      </c>
      <c r="E854" s="116">
        <v>1651.95</v>
      </c>
      <c r="F854" s="116">
        <v>1658.3</v>
      </c>
      <c r="G854">
        <v>3785</v>
      </c>
      <c r="H854" s="116"/>
      <c r="I854" s="116"/>
      <c r="L854" s="170">
        <v>43892</v>
      </c>
      <c r="M854" s="116">
        <v>1657.7</v>
      </c>
      <c r="N854" s="116">
        <v>1691.7</v>
      </c>
      <c r="O854" s="116">
        <v>1619.75</v>
      </c>
      <c r="P854" s="116">
        <v>1644.35</v>
      </c>
      <c r="Q854" s="116">
        <v>1657.7</v>
      </c>
      <c r="R854">
        <v>74645</v>
      </c>
    </row>
    <row r="855" spans="1:18" x14ac:dyDescent="0.25">
      <c r="A855" s="170">
        <v>43893</v>
      </c>
      <c r="B855" s="116">
        <v>1708</v>
      </c>
      <c r="C855" s="116">
        <v>1656.25</v>
      </c>
      <c r="D855" s="116">
        <v>1614.3</v>
      </c>
      <c r="E855" s="116">
        <v>1672</v>
      </c>
      <c r="F855" s="116">
        <v>1656.25</v>
      </c>
      <c r="G855">
        <v>2107</v>
      </c>
      <c r="H855" s="116"/>
      <c r="I855" s="116"/>
      <c r="L855" s="170">
        <v>43893</v>
      </c>
      <c r="M855" s="116">
        <v>1675.6</v>
      </c>
      <c r="N855" s="116">
        <v>1708.95</v>
      </c>
      <c r="O855" s="116">
        <v>1619.95</v>
      </c>
      <c r="P855" s="116">
        <v>1672.15</v>
      </c>
      <c r="Q855" s="116">
        <v>1675.6</v>
      </c>
      <c r="R855">
        <v>134954</v>
      </c>
    </row>
    <row r="856" spans="1:18" x14ac:dyDescent="0.25">
      <c r="A856" s="170">
        <v>43894</v>
      </c>
      <c r="B856" s="116">
        <v>1677.45</v>
      </c>
      <c r="C856" s="116">
        <v>1645.85</v>
      </c>
      <c r="D856" s="116">
        <v>1636</v>
      </c>
      <c r="E856" s="116">
        <v>1677.45</v>
      </c>
      <c r="F856" s="116">
        <v>1645.85</v>
      </c>
      <c r="G856">
        <v>2447</v>
      </c>
      <c r="H856" s="116"/>
      <c r="I856" s="116"/>
      <c r="L856" s="170">
        <v>43894</v>
      </c>
      <c r="M856" s="116">
        <v>1648.9</v>
      </c>
      <c r="N856" s="116">
        <v>1678.3</v>
      </c>
      <c r="O856" s="116">
        <v>1635.15</v>
      </c>
      <c r="P856" s="116">
        <v>1670</v>
      </c>
      <c r="Q856" s="116">
        <v>1648.9</v>
      </c>
      <c r="R856">
        <v>54181</v>
      </c>
    </row>
    <row r="857" spans="1:18" x14ac:dyDescent="0.25">
      <c r="A857" s="170">
        <v>43895</v>
      </c>
      <c r="B857" s="116">
        <v>1661</v>
      </c>
      <c r="C857" s="116">
        <v>1636.25</v>
      </c>
      <c r="D857" s="116">
        <v>1624.65</v>
      </c>
      <c r="E857" s="116">
        <v>1653.8</v>
      </c>
      <c r="F857" s="116">
        <v>1636.25</v>
      </c>
      <c r="G857">
        <v>798</v>
      </c>
      <c r="H857" s="116"/>
      <c r="I857" s="116"/>
      <c r="L857" s="170">
        <v>43895</v>
      </c>
      <c r="M857" s="116">
        <v>1638.5</v>
      </c>
      <c r="N857" s="116">
        <v>1665.25</v>
      </c>
      <c r="O857" s="116">
        <v>1621.5</v>
      </c>
      <c r="P857" s="116">
        <v>1663</v>
      </c>
      <c r="Q857" s="116">
        <v>1638.5</v>
      </c>
      <c r="R857">
        <v>49153</v>
      </c>
    </row>
    <row r="858" spans="1:18" x14ac:dyDescent="0.25">
      <c r="A858" s="170">
        <v>43896</v>
      </c>
      <c r="B858" s="116">
        <v>1669.25</v>
      </c>
      <c r="C858" s="116">
        <v>1650.7</v>
      </c>
      <c r="D858" s="116">
        <v>1580.85</v>
      </c>
      <c r="E858" s="116">
        <v>1625</v>
      </c>
      <c r="F858" s="116">
        <v>1650.7</v>
      </c>
      <c r="G858">
        <v>3215</v>
      </c>
      <c r="H858" s="116"/>
      <c r="I858" s="116"/>
      <c r="L858" s="170">
        <v>43896</v>
      </c>
      <c r="M858" s="116">
        <v>1651.3</v>
      </c>
      <c r="N858" s="116">
        <v>1669</v>
      </c>
      <c r="O858" s="116">
        <v>1576.65</v>
      </c>
      <c r="P858" s="116">
        <v>1620</v>
      </c>
      <c r="Q858" s="116">
        <v>1651.3</v>
      </c>
      <c r="R858">
        <v>69486</v>
      </c>
    </row>
    <row r="859" spans="1:18" x14ac:dyDescent="0.25">
      <c r="A859" s="170">
        <v>43899</v>
      </c>
      <c r="B859" s="116">
        <v>1635</v>
      </c>
      <c r="C859" s="116">
        <v>1529.35</v>
      </c>
      <c r="D859" s="116">
        <v>1521</v>
      </c>
      <c r="E859" s="116">
        <v>1635</v>
      </c>
      <c r="F859" s="116">
        <v>1529.35</v>
      </c>
      <c r="G859">
        <v>5051</v>
      </c>
      <c r="H859" s="116"/>
      <c r="I859" s="116"/>
      <c r="L859" s="170">
        <v>43899</v>
      </c>
      <c r="M859" s="116">
        <v>1528.75</v>
      </c>
      <c r="N859" s="116">
        <v>1633.65</v>
      </c>
      <c r="O859" s="116">
        <v>1520</v>
      </c>
      <c r="P859" s="116">
        <v>1620</v>
      </c>
      <c r="Q859" s="116">
        <v>1528.75</v>
      </c>
      <c r="R859">
        <v>135360</v>
      </c>
    </row>
    <row r="860" spans="1:18" x14ac:dyDescent="0.25">
      <c r="A860" s="170">
        <v>43901</v>
      </c>
      <c r="B860" s="116">
        <v>1569.95</v>
      </c>
      <c r="C860" s="116">
        <v>1533.85</v>
      </c>
      <c r="D860" s="116">
        <v>1505</v>
      </c>
      <c r="E860" s="116">
        <v>1569.95</v>
      </c>
      <c r="F860" s="116">
        <v>1533.85</v>
      </c>
      <c r="G860">
        <v>1795</v>
      </c>
      <c r="H860" s="116"/>
      <c r="I860" s="116"/>
      <c r="L860" s="170">
        <v>43901</v>
      </c>
      <c r="M860" s="116">
        <v>1535.5</v>
      </c>
      <c r="N860" s="116">
        <v>1560</v>
      </c>
      <c r="O860" s="116">
        <v>1503.55</v>
      </c>
      <c r="P860" s="116">
        <v>1549.35</v>
      </c>
      <c r="Q860" s="116">
        <v>1535.5</v>
      </c>
      <c r="R860">
        <v>62857</v>
      </c>
    </row>
    <row r="861" spans="1:18" x14ac:dyDescent="0.25">
      <c r="A861" s="170">
        <v>43902</v>
      </c>
      <c r="B861" s="116">
        <v>1504</v>
      </c>
      <c r="C861" s="116">
        <v>1419.3</v>
      </c>
      <c r="D861" s="116">
        <v>1355.9</v>
      </c>
      <c r="E861" s="116">
        <v>1504</v>
      </c>
      <c r="F861" s="116">
        <v>1419.3</v>
      </c>
      <c r="G861">
        <v>6235</v>
      </c>
      <c r="H861" s="116"/>
      <c r="I861" s="116"/>
      <c r="L861" s="170">
        <v>43902</v>
      </c>
      <c r="M861" s="116">
        <v>1416.1</v>
      </c>
      <c r="N861" s="116">
        <v>1499.35</v>
      </c>
      <c r="O861" s="116">
        <v>1352.95</v>
      </c>
      <c r="P861" s="116">
        <v>1490.55</v>
      </c>
      <c r="Q861" s="116">
        <v>1416.1</v>
      </c>
      <c r="R861">
        <v>108161</v>
      </c>
    </row>
    <row r="862" spans="1:18" x14ac:dyDescent="0.25">
      <c r="A862" s="170">
        <v>43903</v>
      </c>
      <c r="B862" s="116">
        <v>1437.1</v>
      </c>
      <c r="C862" s="116">
        <v>1411.7</v>
      </c>
      <c r="D862" s="116">
        <v>1160</v>
      </c>
      <c r="E862" s="116">
        <v>1321</v>
      </c>
      <c r="F862" s="116">
        <v>1411.7</v>
      </c>
      <c r="G862">
        <v>8836</v>
      </c>
      <c r="H862" s="116"/>
      <c r="I862" s="116"/>
      <c r="L862" s="170">
        <v>43903</v>
      </c>
      <c r="M862" s="116">
        <v>1411.95</v>
      </c>
      <c r="N862" s="116">
        <v>1445</v>
      </c>
      <c r="O862" s="116">
        <v>1132.9000000000001</v>
      </c>
      <c r="P862" s="116">
        <v>1253.25</v>
      </c>
      <c r="Q862" s="116">
        <v>1411.95</v>
      </c>
      <c r="R862">
        <v>120547</v>
      </c>
    </row>
    <row r="863" spans="1:18" x14ac:dyDescent="0.25">
      <c r="A863" s="170">
        <v>43906</v>
      </c>
      <c r="B863" s="116">
        <v>1399</v>
      </c>
      <c r="C863" s="116">
        <v>1274.3</v>
      </c>
      <c r="D863" s="116">
        <v>1250</v>
      </c>
      <c r="E863" s="116">
        <v>1399</v>
      </c>
      <c r="F863" s="116">
        <v>1274.3</v>
      </c>
      <c r="G863">
        <v>7115</v>
      </c>
      <c r="H863" s="116"/>
      <c r="I863" s="116"/>
      <c r="L863" s="170">
        <v>43906</v>
      </c>
      <c r="M863" s="116">
        <v>1272.5999999999999</v>
      </c>
      <c r="N863" s="116">
        <v>1409.8</v>
      </c>
      <c r="O863" s="116">
        <v>1252</v>
      </c>
      <c r="P863" s="116">
        <v>1409.8</v>
      </c>
      <c r="Q863" s="116">
        <v>1272.5999999999999</v>
      </c>
      <c r="R863">
        <v>131102</v>
      </c>
    </row>
    <row r="864" spans="1:18" x14ac:dyDescent="0.25">
      <c r="A864" s="170">
        <v>43907</v>
      </c>
      <c r="B864" s="116">
        <v>1281.5</v>
      </c>
      <c r="C864" s="116">
        <v>1236.8499999999999</v>
      </c>
      <c r="D864" s="116">
        <v>1210</v>
      </c>
      <c r="E864" s="116">
        <v>1251</v>
      </c>
      <c r="F864" s="116">
        <v>1236.8499999999999</v>
      </c>
      <c r="G864">
        <v>8851</v>
      </c>
      <c r="H864" s="116"/>
      <c r="I864" s="116"/>
      <c r="L864" s="170">
        <v>43907</v>
      </c>
      <c r="M864" s="116">
        <v>1236.05</v>
      </c>
      <c r="N864" s="116">
        <v>1280.0999999999999</v>
      </c>
      <c r="O864" s="116">
        <v>1206.05</v>
      </c>
      <c r="P864" s="116">
        <v>1258</v>
      </c>
      <c r="Q864" s="116">
        <v>1236.05</v>
      </c>
      <c r="R864">
        <v>131904</v>
      </c>
    </row>
    <row r="865" spans="1:18" x14ac:dyDescent="0.25">
      <c r="A865" s="170">
        <v>43908</v>
      </c>
      <c r="B865" s="116">
        <v>1279</v>
      </c>
      <c r="C865" s="116">
        <v>1155.0999999999999</v>
      </c>
      <c r="D865" s="116">
        <v>1113</v>
      </c>
      <c r="E865" s="116">
        <v>1279</v>
      </c>
      <c r="F865" s="116">
        <v>1155.0999999999999</v>
      </c>
      <c r="G865">
        <v>7379</v>
      </c>
      <c r="H865" s="116"/>
      <c r="I865" s="116"/>
      <c r="L865" s="170">
        <v>43908</v>
      </c>
      <c r="M865" s="116">
        <v>1155.2</v>
      </c>
      <c r="N865" s="116">
        <v>1274.8</v>
      </c>
      <c r="O865" s="116">
        <v>1111</v>
      </c>
      <c r="P865" s="116">
        <v>1260</v>
      </c>
      <c r="Q865" s="116">
        <v>1155.2</v>
      </c>
      <c r="R865">
        <v>118477</v>
      </c>
    </row>
    <row r="866" spans="1:18" x14ac:dyDescent="0.25">
      <c r="A866" s="170">
        <v>43909</v>
      </c>
      <c r="B866" s="116">
        <v>1247.2</v>
      </c>
      <c r="C866" s="116">
        <v>1182.5</v>
      </c>
      <c r="D866" s="116">
        <v>1010.1</v>
      </c>
      <c r="E866" s="116">
        <v>1100</v>
      </c>
      <c r="F866" s="116">
        <v>1182.5</v>
      </c>
      <c r="G866">
        <v>6546</v>
      </c>
      <c r="H866" s="116"/>
      <c r="I866" s="116"/>
      <c r="L866" s="170">
        <v>43909</v>
      </c>
      <c r="M866" s="116">
        <v>1188.0999999999999</v>
      </c>
      <c r="N866" s="116">
        <v>1249</v>
      </c>
      <c r="O866" s="116">
        <v>1041.05</v>
      </c>
      <c r="P866" s="116">
        <v>1075.55</v>
      </c>
      <c r="Q866" s="116">
        <v>1188.0999999999999</v>
      </c>
      <c r="R866">
        <v>176489</v>
      </c>
    </row>
    <row r="867" spans="1:18" x14ac:dyDescent="0.25">
      <c r="A867" s="170">
        <v>43910</v>
      </c>
      <c r="B867" s="116">
        <v>1267.95</v>
      </c>
      <c r="C867" s="116">
        <v>1240.45</v>
      </c>
      <c r="D867" s="116">
        <v>1152.5</v>
      </c>
      <c r="E867" s="116">
        <v>1210.05</v>
      </c>
      <c r="F867" s="116">
        <v>1240.45</v>
      </c>
      <c r="G867">
        <v>7785</v>
      </c>
      <c r="H867" s="116"/>
      <c r="I867" s="116"/>
      <c r="L867" s="170">
        <v>43910</v>
      </c>
      <c r="M867" s="116">
        <v>1233.8499999999999</v>
      </c>
      <c r="N867" s="116">
        <v>1269</v>
      </c>
      <c r="O867" s="116">
        <v>1155.05</v>
      </c>
      <c r="P867" s="116">
        <v>1212</v>
      </c>
      <c r="Q867" s="116">
        <v>1233.8499999999999</v>
      </c>
      <c r="R867">
        <v>147417</v>
      </c>
    </row>
    <row r="868" spans="1:18" x14ac:dyDescent="0.25">
      <c r="A868" s="170">
        <v>43913</v>
      </c>
      <c r="B868" s="116">
        <v>1219</v>
      </c>
      <c r="C868" s="116">
        <v>1020.6</v>
      </c>
      <c r="D868" s="116">
        <v>995</v>
      </c>
      <c r="E868" s="116">
        <v>1152</v>
      </c>
      <c r="F868" s="116">
        <v>1020.6</v>
      </c>
      <c r="G868">
        <v>5596</v>
      </c>
      <c r="H868" s="116"/>
      <c r="I868" s="116"/>
      <c r="L868" s="170">
        <v>43913</v>
      </c>
      <c r="M868" s="116">
        <v>1018.25</v>
      </c>
      <c r="N868" s="116">
        <v>1149.95</v>
      </c>
      <c r="O868" s="116">
        <v>995</v>
      </c>
      <c r="P868" s="116">
        <v>1050</v>
      </c>
      <c r="Q868" s="116">
        <v>1018.25</v>
      </c>
      <c r="R868">
        <v>84748</v>
      </c>
    </row>
    <row r="869" spans="1:18" x14ac:dyDescent="0.25">
      <c r="A869" s="170">
        <v>43914</v>
      </c>
      <c r="B869" s="116">
        <v>1194</v>
      </c>
      <c r="C869" s="116">
        <v>1146.2</v>
      </c>
      <c r="D869" s="116">
        <v>1027</v>
      </c>
      <c r="E869" s="116">
        <v>1039</v>
      </c>
      <c r="F869" s="116">
        <v>1146.2</v>
      </c>
      <c r="G869">
        <v>4454</v>
      </c>
      <c r="H869" s="116"/>
      <c r="I869" s="116"/>
      <c r="L869" s="170">
        <v>43914</v>
      </c>
      <c r="M869" s="116">
        <v>1153.3499999999999</v>
      </c>
      <c r="N869" s="116">
        <v>1195</v>
      </c>
      <c r="O869" s="116">
        <v>1026.3499999999999</v>
      </c>
      <c r="P869" s="116">
        <v>1031.05</v>
      </c>
      <c r="Q869" s="116">
        <v>1153.3499999999999</v>
      </c>
      <c r="R869">
        <v>129924</v>
      </c>
    </row>
    <row r="870" spans="1:18" x14ac:dyDescent="0.25">
      <c r="A870" s="170">
        <v>43915</v>
      </c>
      <c r="B870" s="116">
        <v>1188.8499999999999</v>
      </c>
      <c r="C870" s="116">
        <v>1159.8499999999999</v>
      </c>
      <c r="D870" s="116">
        <v>1103.1500000000001</v>
      </c>
      <c r="E870" s="116">
        <v>1103.1500000000001</v>
      </c>
      <c r="F870" s="116">
        <v>1159.8499999999999</v>
      </c>
      <c r="G870">
        <v>2359</v>
      </c>
      <c r="H870" s="116"/>
      <c r="I870" s="116"/>
      <c r="L870" s="170">
        <v>43915</v>
      </c>
      <c r="M870" s="116">
        <v>1160.45</v>
      </c>
      <c r="N870" s="116">
        <v>1179</v>
      </c>
      <c r="O870" s="116">
        <v>1103</v>
      </c>
      <c r="P870" s="116">
        <v>1103</v>
      </c>
      <c r="Q870" s="116">
        <v>1160.45</v>
      </c>
      <c r="R870">
        <v>147901</v>
      </c>
    </row>
    <row r="871" spans="1:18" x14ac:dyDescent="0.25">
      <c r="A871" s="170">
        <v>43916</v>
      </c>
      <c r="B871" s="116">
        <v>1179</v>
      </c>
      <c r="C871" s="116">
        <v>1099.8</v>
      </c>
      <c r="D871" s="116">
        <v>1080</v>
      </c>
      <c r="E871" s="116">
        <v>1178.8499999999999</v>
      </c>
      <c r="F871" s="116">
        <v>1099.8</v>
      </c>
      <c r="G871">
        <v>5513</v>
      </c>
      <c r="H871" s="116"/>
      <c r="I871" s="116"/>
      <c r="L871" s="170">
        <v>43916</v>
      </c>
      <c r="M871" s="116">
        <v>1100.25</v>
      </c>
      <c r="N871" s="116">
        <v>1189</v>
      </c>
      <c r="O871" s="116">
        <v>1070</v>
      </c>
      <c r="P871" s="116">
        <v>1189</v>
      </c>
      <c r="Q871" s="116">
        <v>1100.25</v>
      </c>
      <c r="R871">
        <v>206300</v>
      </c>
    </row>
    <row r="872" spans="1:18" x14ac:dyDescent="0.25">
      <c r="A872" s="170">
        <v>43917</v>
      </c>
      <c r="B872" s="116">
        <v>1194</v>
      </c>
      <c r="C872" s="116">
        <v>1179.9000000000001</v>
      </c>
      <c r="D872" s="116">
        <v>1064.25</v>
      </c>
      <c r="E872" s="116">
        <v>1134.8499999999999</v>
      </c>
      <c r="F872" s="116">
        <v>1179.9000000000001</v>
      </c>
      <c r="G872">
        <v>7579</v>
      </c>
      <c r="H872" s="116"/>
      <c r="I872" s="116"/>
      <c r="L872" s="170">
        <v>43917</v>
      </c>
      <c r="M872" s="116">
        <v>1174.9000000000001</v>
      </c>
      <c r="N872" s="116">
        <v>1200</v>
      </c>
      <c r="O872" s="116">
        <v>1060.1500000000001</v>
      </c>
      <c r="P872" s="116">
        <v>1120</v>
      </c>
      <c r="Q872" s="116">
        <v>1174.9000000000001</v>
      </c>
      <c r="R872">
        <v>203780</v>
      </c>
    </row>
    <row r="873" spans="1:18" x14ac:dyDescent="0.25">
      <c r="A873" s="170">
        <v>43920</v>
      </c>
      <c r="B873" s="116">
        <v>1200</v>
      </c>
      <c r="C873" s="116">
        <v>1162.9000000000001</v>
      </c>
      <c r="D873" s="116">
        <v>1108</v>
      </c>
      <c r="E873" s="116">
        <v>1164.95</v>
      </c>
      <c r="F873" s="116">
        <v>1162.9000000000001</v>
      </c>
      <c r="G873">
        <v>2967</v>
      </c>
      <c r="H873" s="116"/>
      <c r="I873" s="116"/>
      <c r="L873" s="170">
        <v>43920</v>
      </c>
      <c r="M873" s="116">
        <v>1173.5999999999999</v>
      </c>
      <c r="N873" s="116">
        <v>1185</v>
      </c>
      <c r="O873" s="116">
        <v>1096.75</v>
      </c>
      <c r="P873" s="116">
        <v>1141</v>
      </c>
      <c r="Q873" s="116">
        <v>1173.5999999999999</v>
      </c>
      <c r="R873">
        <v>131422</v>
      </c>
    </row>
    <row r="874" spans="1:18" x14ac:dyDescent="0.25">
      <c r="A874" s="170">
        <v>43921</v>
      </c>
      <c r="B874" s="116">
        <v>1184.3499999999999</v>
      </c>
      <c r="C874" s="116">
        <v>1162.4000000000001</v>
      </c>
      <c r="D874" s="116">
        <v>1132.25</v>
      </c>
      <c r="E874" s="116">
        <v>1180</v>
      </c>
      <c r="F874" s="116">
        <v>1162.4000000000001</v>
      </c>
      <c r="G874">
        <v>4960</v>
      </c>
      <c r="H874" s="116"/>
      <c r="I874" s="116"/>
      <c r="L874" s="170">
        <v>43921</v>
      </c>
      <c r="M874" s="116">
        <v>1161.25</v>
      </c>
      <c r="N874" s="116">
        <v>1185</v>
      </c>
      <c r="O874" s="116">
        <v>1129.25</v>
      </c>
      <c r="P874" s="116">
        <v>1175</v>
      </c>
      <c r="Q874" s="116">
        <v>1161.25</v>
      </c>
      <c r="R874">
        <v>173325</v>
      </c>
    </row>
    <row r="875" spans="1:18" x14ac:dyDescent="0.25">
      <c r="A875" s="170">
        <v>43922</v>
      </c>
      <c r="B875" s="116">
        <v>1229.25</v>
      </c>
      <c r="C875" s="116">
        <v>1182.2</v>
      </c>
      <c r="D875" s="116">
        <v>1110</v>
      </c>
      <c r="E875" s="116">
        <v>1160.1500000000001</v>
      </c>
      <c r="F875" s="116">
        <v>1182.2</v>
      </c>
      <c r="G875">
        <v>4597</v>
      </c>
      <c r="H875" s="116"/>
      <c r="I875" s="116"/>
      <c r="L875" s="170">
        <v>43922</v>
      </c>
      <c r="M875" s="116">
        <v>1181.0999999999999</v>
      </c>
      <c r="N875" s="116">
        <v>1235</v>
      </c>
      <c r="O875" s="116">
        <v>1109</v>
      </c>
      <c r="P875" s="116">
        <v>1170.25</v>
      </c>
      <c r="Q875" s="116">
        <v>1181.0999999999999</v>
      </c>
      <c r="R875">
        <v>309547</v>
      </c>
    </row>
    <row r="876" spans="1:18" x14ac:dyDescent="0.25">
      <c r="A876" s="170">
        <v>43924</v>
      </c>
      <c r="B876" s="116">
        <v>1193.05</v>
      </c>
      <c r="C876" s="116">
        <v>1106.6500000000001</v>
      </c>
      <c r="D876" s="116">
        <v>1086.25</v>
      </c>
      <c r="E876" s="116">
        <v>1193.05</v>
      </c>
      <c r="F876" s="116">
        <v>1106.6500000000001</v>
      </c>
      <c r="G876">
        <v>6663</v>
      </c>
      <c r="H876" s="116"/>
      <c r="I876" s="116"/>
      <c r="L876" s="170">
        <v>43924</v>
      </c>
      <c r="M876" s="116">
        <v>1107.5999999999999</v>
      </c>
      <c r="N876" s="116">
        <v>1181.0999999999999</v>
      </c>
      <c r="O876" s="116">
        <v>1085</v>
      </c>
      <c r="P876" s="116">
        <v>1181.0999999999999</v>
      </c>
      <c r="Q876" s="116">
        <v>1107.5999999999999</v>
      </c>
      <c r="R876">
        <v>345971</v>
      </c>
    </row>
    <row r="877" spans="1:18" x14ac:dyDescent="0.25">
      <c r="A877" s="170">
        <v>43928</v>
      </c>
      <c r="B877" s="116">
        <v>1150</v>
      </c>
      <c r="C877" s="116">
        <v>1104.5</v>
      </c>
      <c r="D877" s="116">
        <v>1100</v>
      </c>
      <c r="E877" s="116">
        <v>1150</v>
      </c>
      <c r="F877" s="116">
        <v>1104.5</v>
      </c>
      <c r="G877">
        <v>3879</v>
      </c>
      <c r="H877" s="116"/>
      <c r="I877" s="116"/>
      <c r="L877" s="170">
        <v>43928</v>
      </c>
      <c r="M877" s="116">
        <v>1108.75</v>
      </c>
      <c r="N877" s="116">
        <v>1149.55</v>
      </c>
      <c r="O877" s="116">
        <v>1097.05</v>
      </c>
      <c r="P877" s="116">
        <v>1148</v>
      </c>
      <c r="Q877" s="116">
        <v>1108.75</v>
      </c>
      <c r="R877">
        <v>247179</v>
      </c>
    </row>
    <row r="878" spans="1:18" x14ac:dyDescent="0.25">
      <c r="A878" s="170">
        <v>43929</v>
      </c>
      <c r="B878" s="116">
        <v>1151.1500000000001</v>
      </c>
      <c r="C878" s="116">
        <v>1105.05</v>
      </c>
      <c r="D878" s="116">
        <v>1102</v>
      </c>
      <c r="E878" s="116">
        <v>1103</v>
      </c>
      <c r="F878" s="116">
        <v>1105.05</v>
      </c>
      <c r="G878">
        <v>2988</v>
      </c>
      <c r="H878" s="116"/>
      <c r="I878" s="116"/>
      <c r="L878" s="170">
        <v>43929</v>
      </c>
      <c r="M878" s="116">
        <v>1104.5</v>
      </c>
      <c r="N878" s="116">
        <v>1147.95</v>
      </c>
      <c r="O878" s="116">
        <v>1100</v>
      </c>
      <c r="P878" s="116">
        <v>1116.95</v>
      </c>
      <c r="Q878" s="116">
        <v>1104.5</v>
      </c>
      <c r="R878">
        <v>89214</v>
      </c>
    </row>
    <row r="879" spans="1:18" x14ac:dyDescent="0.25">
      <c r="A879" s="170">
        <v>43930</v>
      </c>
      <c r="B879" s="116">
        <v>1193.3499999999999</v>
      </c>
      <c r="C879" s="116">
        <v>1179.9000000000001</v>
      </c>
      <c r="D879" s="116">
        <v>1117</v>
      </c>
      <c r="E879" s="116">
        <v>1143</v>
      </c>
      <c r="F879" s="116">
        <v>1179.9000000000001</v>
      </c>
      <c r="G879">
        <v>6858</v>
      </c>
      <c r="H879" s="116"/>
      <c r="I879" s="116"/>
      <c r="L879" s="170">
        <v>43930</v>
      </c>
      <c r="M879" s="116">
        <v>1173.8499999999999</v>
      </c>
      <c r="N879" s="116">
        <v>1193</v>
      </c>
      <c r="O879" s="116">
        <v>1115</v>
      </c>
      <c r="P879" s="116">
        <v>1130</v>
      </c>
      <c r="Q879" s="116">
        <v>1173.8499999999999</v>
      </c>
      <c r="R879">
        <v>181800</v>
      </c>
    </row>
    <row r="880" spans="1:18" x14ac:dyDescent="0.25">
      <c r="A880" s="170">
        <v>43934</v>
      </c>
      <c r="B880" s="116">
        <v>1210</v>
      </c>
      <c r="C880" s="116">
        <v>1153.5999999999999</v>
      </c>
      <c r="D880" s="116">
        <v>1126</v>
      </c>
      <c r="E880" s="116">
        <v>1210</v>
      </c>
      <c r="F880" s="116">
        <v>1153.5999999999999</v>
      </c>
      <c r="G880">
        <v>3251</v>
      </c>
      <c r="H880" s="116"/>
      <c r="I880" s="116"/>
      <c r="L880" s="170">
        <v>43934</v>
      </c>
      <c r="M880" s="116">
        <v>1155.8499999999999</v>
      </c>
      <c r="N880" s="116">
        <v>1195</v>
      </c>
      <c r="O880" s="116">
        <v>1125</v>
      </c>
      <c r="P880" s="116">
        <v>1195</v>
      </c>
      <c r="Q880" s="116">
        <v>1155.8499999999999</v>
      </c>
      <c r="R880">
        <v>97383</v>
      </c>
    </row>
    <row r="881" spans="1:18" x14ac:dyDescent="0.25">
      <c r="A881" s="170">
        <v>43936</v>
      </c>
      <c r="B881" s="116">
        <v>1240.1500000000001</v>
      </c>
      <c r="C881" s="116">
        <v>1213.05</v>
      </c>
      <c r="D881" s="116">
        <v>1160.45</v>
      </c>
      <c r="E881" s="116">
        <v>1178.8499999999999</v>
      </c>
      <c r="F881" s="116">
        <v>1213.05</v>
      </c>
      <c r="G881">
        <v>5143</v>
      </c>
      <c r="H881" s="116"/>
      <c r="I881" s="116"/>
      <c r="L881" s="170">
        <v>43936</v>
      </c>
      <c r="M881" s="116">
        <v>1214.8499999999999</v>
      </c>
      <c r="N881" s="116">
        <v>1240</v>
      </c>
      <c r="O881" s="116">
        <v>1158</v>
      </c>
      <c r="P881" s="116">
        <v>1200</v>
      </c>
      <c r="Q881" s="116">
        <v>1214.8499999999999</v>
      </c>
      <c r="R881">
        <v>144427</v>
      </c>
    </row>
    <row r="882" spans="1:18" x14ac:dyDescent="0.25">
      <c r="A882" s="170">
        <v>43937</v>
      </c>
      <c r="B882" s="116">
        <v>1234.1500000000001</v>
      </c>
      <c r="C882" s="116">
        <v>1224.95</v>
      </c>
      <c r="D882" s="116">
        <v>1201.75</v>
      </c>
      <c r="E882" s="116">
        <v>1204.5</v>
      </c>
      <c r="F882" s="116">
        <v>1224.95</v>
      </c>
      <c r="G882">
        <v>6368</v>
      </c>
      <c r="H882" s="116"/>
      <c r="I882" s="116"/>
      <c r="L882" s="170">
        <v>43937</v>
      </c>
      <c r="M882" s="116">
        <v>1225.3</v>
      </c>
      <c r="N882" s="116">
        <v>1235</v>
      </c>
      <c r="O882" s="116">
        <v>1194.75</v>
      </c>
      <c r="P882" s="116">
        <v>1207.5</v>
      </c>
      <c r="Q882" s="116">
        <v>1225.3</v>
      </c>
      <c r="R882">
        <v>115869</v>
      </c>
    </row>
    <row r="883" spans="1:18" x14ac:dyDescent="0.25">
      <c r="A883" s="170">
        <v>43938</v>
      </c>
      <c r="B883" s="116">
        <v>1300</v>
      </c>
      <c r="C883" s="116">
        <v>1261.45</v>
      </c>
      <c r="D883" s="116">
        <v>1218.25</v>
      </c>
      <c r="E883" s="116">
        <v>1224</v>
      </c>
      <c r="F883" s="116">
        <v>1261.45</v>
      </c>
      <c r="G883">
        <v>8992</v>
      </c>
      <c r="H883" s="116"/>
      <c r="I883" s="116"/>
      <c r="L883" s="170">
        <v>43938</v>
      </c>
      <c r="M883" s="116">
        <v>1260.1500000000001</v>
      </c>
      <c r="N883" s="116">
        <v>1270</v>
      </c>
      <c r="O883" s="116">
        <v>1215.0999999999999</v>
      </c>
      <c r="P883" s="116">
        <v>1242</v>
      </c>
      <c r="Q883" s="116">
        <v>1260.1500000000001</v>
      </c>
      <c r="R883">
        <v>103971</v>
      </c>
    </row>
    <row r="884" spans="1:18" x14ac:dyDescent="0.25">
      <c r="A884" s="170">
        <v>43941</v>
      </c>
      <c r="B884" s="116">
        <v>1291.9000000000001</v>
      </c>
      <c r="C884" s="116">
        <v>1274.4000000000001</v>
      </c>
      <c r="D884" s="116">
        <v>1244.3</v>
      </c>
      <c r="E884" s="116">
        <v>1290</v>
      </c>
      <c r="F884" s="116">
        <v>1274.4000000000001</v>
      </c>
      <c r="G884">
        <v>4139</v>
      </c>
      <c r="H884" s="116"/>
      <c r="I884" s="116"/>
      <c r="L884" s="170">
        <v>43941</v>
      </c>
      <c r="M884" s="116">
        <v>1274.95</v>
      </c>
      <c r="N884" s="116">
        <v>1295</v>
      </c>
      <c r="O884" s="116">
        <v>1253.3499999999999</v>
      </c>
      <c r="P884" s="116">
        <v>1270</v>
      </c>
      <c r="Q884" s="116">
        <v>1274.95</v>
      </c>
      <c r="R884">
        <v>298622</v>
      </c>
    </row>
    <row r="885" spans="1:18" x14ac:dyDescent="0.25">
      <c r="A885" s="170">
        <v>43942</v>
      </c>
      <c r="B885" s="116">
        <v>1272</v>
      </c>
      <c r="C885" s="116">
        <v>1213.5</v>
      </c>
      <c r="D885" s="116">
        <v>1206</v>
      </c>
      <c r="E885" s="116">
        <v>1272</v>
      </c>
      <c r="F885" s="116">
        <v>1213.5</v>
      </c>
      <c r="G885">
        <v>2416</v>
      </c>
      <c r="H885" s="116"/>
      <c r="I885" s="116"/>
      <c r="L885" s="170">
        <v>43942</v>
      </c>
      <c r="M885" s="116">
        <v>1214.5</v>
      </c>
      <c r="N885" s="116">
        <v>1261</v>
      </c>
      <c r="O885" s="116">
        <v>1205.0999999999999</v>
      </c>
      <c r="P885" s="116">
        <v>1261</v>
      </c>
      <c r="Q885" s="116">
        <v>1214.5</v>
      </c>
      <c r="R885">
        <v>97184</v>
      </c>
    </row>
    <row r="886" spans="1:18" x14ac:dyDescent="0.25">
      <c r="A886" s="170">
        <v>43943</v>
      </c>
      <c r="B886" s="116">
        <v>1222.5</v>
      </c>
      <c r="C886" s="116">
        <v>1180.2</v>
      </c>
      <c r="D886" s="116">
        <v>1170.3499999999999</v>
      </c>
      <c r="E886" s="116">
        <v>1221.25</v>
      </c>
      <c r="F886" s="116">
        <v>1180.2</v>
      </c>
      <c r="G886">
        <v>2705</v>
      </c>
      <c r="H886" s="116"/>
      <c r="I886" s="116"/>
      <c r="L886" s="170">
        <v>43943</v>
      </c>
      <c r="M886" s="116">
        <v>1178.5999999999999</v>
      </c>
      <c r="N886" s="116">
        <v>1224.7</v>
      </c>
      <c r="O886" s="116">
        <v>1170.05</v>
      </c>
      <c r="P886" s="116">
        <v>1220</v>
      </c>
      <c r="Q886" s="116">
        <v>1178.5999999999999</v>
      </c>
      <c r="R886">
        <v>168580</v>
      </c>
    </row>
    <row r="887" spans="1:18" x14ac:dyDescent="0.25">
      <c r="A887" s="170">
        <v>43944</v>
      </c>
      <c r="B887" s="116">
        <v>1190.5999999999999</v>
      </c>
      <c r="C887" s="116">
        <v>1159.6500000000001</v>
      </c>
      <c r="D887" s="116">
        <v>1149</v>
      </c>
      <c r="E887" s="116">
        <v>1190.5999999999999</v>
      </c>
      <c r="F887" s="116">
        <v>1159.6500000000001</v>
      </c>
      <c r="G887">
        <v>11907</v>
      </c>
      <c r="H887" s="116"/>
      <c r="I887" s="116"/>
      <c r="L887" s="170">
        <v>43944</v>
      </c>
      <c r="M887" s="116">
        <v>1158.8499999999999</v>
      </c>
      <c r="N887" s="116">
        <v>1188.4000000000001</v>
      </c>
      <c r="O887" s="116">
        <v>1148.5999999999999</v>
      </c>
      <c r="P887" s="116">
        <v>1178.5999999999999</v>
      </c>
      <c r="Q887" s="116">
        <v>1158.8499999999999</v>
      </c>
      <c r="R887">
        <v>140574</v>
      </c>
    </row>
    <row r="888" spans="1:18" x14ac:dyDescent="0.25">
      <c r="A888" s="170">
        <v>43945</v>
      </c>
      <c r="B888" s="116">
        <v>1166</v>
      </c>
      <c r="C888" s="116">
        <v>1157</v>
      </c>
      <c r="D888" s="116">
        <v>1143</v>
      </c>
      <c r="E888" s="116">
        <v>1162</v>
      </c>
      <c r="F888" s="116">
        <v>1157</v>
      </c>
      <c r="G888">
        <v>8659</v>
      </c>
      <c r="H888" s="116"/>
      <c r="I888" s="116"/>
      <c r="L888" s="170">
        <v>43945</v>
      </c>
      <c r="M888" s="116">
        <v>1155.3</v>
      </c>
      <c r="N888" s="116">
        <v>1167.45</v>
      </c>
      <c r="O888" s="116">
        <v>1142</v>
      </c>
      <c r="P888" s="116">
        <v>1160</v>
      </c>
      <c r="Q888" s="116">
        <v>1155.3</v>
      </c>
      <c r="R888">
        <v>131324</v>
      </c>
    </row>
    <row r="889" spans="1:18" x14ac:dyDescent="0.25">
      <c r="A889" s="170">
        <v>43948</v>
      </c>
      <c r="B889" s="116">
        <v>1190.3499999999999</v>
      </c>
      <c r="C889" s="116">
        <v>1179.5</v>
      </c>
      <c r="D889" s="116">
        <v>1154.4000000000001</v>
      </c>
      <c r="E889" s="116">
        <v>1175</v>
      </c>
      <c r="F889" s="116">
        <v>1179.5</v>
      </c>
      <c r="G889">
        <v>4247</v>
      </c>
      <c r="H889" s="116"/>
      <c r="I889" s="116"/>
      <c r="L889" s="170">
        <v>43948</v>
      </c>
      <c r="M889" s="116">
        <v>1176.55</v>
      </c>
      <c r="N889" s="116">
        <v>1192</v>
      </c>
      <c r="O889" s="116">
        <v>1152.8499999999999</v>
      </c>
      <c r="P889" s="116">
        <v>1175.25</v>
      </c>
      <c r="Q889" s="116">
        <v>1176.55</v>
      </c>
      <c r="R889">
        <v>105337</v>
      </c>
    </row>
    <row r="890" spans="1:18" x14ac:dyDescent="0.25">
      <c r="A890" s="170">
        <v>43949</v>
      </c>
      <c r="B890" s="116">
        <v>1194.95</v>
      </c>
      <c r="C890" s="116">
        <v>1154.25</v>
      </c>
      <c r="D890" s="116">
        <v>1138</v>
      </c>
      <c r="E890" s="116">
        <v>1194.95</v>
      </c>
      <c r="F890" s="116">
        <v>1154.25</v>
      </c>
      <c r="G890">
        <v>2297</v>
      </c>
      <c r="H890" s="116"/>
      <c r="I890" s="116"/>
      <c r="L890" s="170">
        <v>43949</v>
      </c>
      <c r="M890" s="116">
        <v>1153.75</v>
      </c>
      <c r="N890" s="116">
        <v>1190.55</v>
      </c>
      <c r="O890" s="116">
        <v>1137</v>
      </c>
      <c r="P890" s="116">
        <v>1188.95</v>
      </c>
      <c r="Q890" s="116">
        <v>1153.75</v>
      </c>
      <c r="R890">
        <v>96509</v>
      </c>
    </row>
    <row r="891" spans="1:18" x14ac:dyDescent="0.25">
      <c r="A891" s="170">
        <v>43950</v>
      </c>
      <c r="B891" s="116">
        <v>1184.4000000000001</v>
      </c>
      <c r="C891" s="116">
        <v>1162.2</v>
      </c>
      <c r="D891" s="116">
        <v>1148.05</v>
      </c>
      <c r="E891" s="116">
        <v>1159</v>
      </c>
      <c r="F891" s="116">
        <v>1162.2</v>
      </c>
      <c r="G891">
        <v>3689</v>
      </c>
      <c r="H891" s="116"/>
      <c r="I891" s="116"/>
      <c r="L891" s="170">
        <v>43950</v>
      </c>
      <c r="M891" s="116">
        <v>1161.55</v>
      </c>
      <c r="N891" s="116">
        <v>1184.05</v>
      </c>
      <c r="O891" s="116">
        <v>1147.05</v>
      </c>
      <c r="P891" s="116">
        <v>1151.05</v>
      </c>
      <c r="Q891" s="116">
        <v>1161.55</v>
      </c>
      <c r="R891">
        <v>117670</v>
      </c>
    </row>
    <row r="892" spans="1:18" x14ac:dyDescent="0.25">
      <c r="A892" s="170">
        <v>43951</v>
      </c>
      <c r="B892" s="116">
        <v>1252</v>
      </c>
      <c r="C892" s="116">
        <v>1233.95</v>
      </c>
      <c r="D892" s="116">
        <v>1161</v>
      </c>
      <c r="E892" s="116">
        <v>1180</v>
      </c>
      <c r="F892" s="116">
        <v>1233.95</v>
      </c>
      <c r="G892">
        <v>7673</v>
      </c>
      <c r="H892" s="116"/>
      <c r="I892" s="116"/>
      <c r="L892" s="170">
        <v>43951</v>
      </c>
      <c r="M892" s="116">
        <v>1235.25</v>
      </c>
      <c r="N892" s="116">
        <v>1253.5999999999999</v>
      </c>
      <c r="O892" s="116">
        <v>1161.0999999999999</v>
      </c>
      <c r="P892" s="116">
        <v>1185</v>
      </c>
      <c r="Q892" s="116">
        <v>1235.25</v>
      </c>
      <c r="R892">
        <v>327649</v>
      </c>
    </row>
    <row r="893" spans="1:18" x14ac:dyDescent="0.25">
      <c r="A893" s="170">
        <v>43955</v>
      </c>
      <c r="B893" s="116">
        <v>1238</v>
      </c>
      <c r="C893" s="116">
        <v>1190.25</v>
      </c>
      <c r="D893" s="116">
        <v>1168.75</v>
      </c>
      <c r="E893" s="116">
        <v>1225</v>
      </c>
      <c r="F893" s="116">
        <v>1190.25</v>
      </c>
      <c r="G893">
        <v>4857</v>
      </c>
      <c r="H893" s="116"/>
      <c r="I893" s="116"/>
      <c r="L893" s="170">
        <v>43955</v>
      </c>
      <c r="M893" s="116">
        <v>1185.75</v>
      </c>
      <c r="N893" s="116">
        <v>1210</v>
      </c>
      <c r="O893" s="116">
        <v>1168.05</v>
      </c>
      <c r="P893" s="116">
        <v>1200</v>
      </c>
      <c r="Q893" s="116">
        <v>1185.75</v>
      </c>
      <c r="R893">
        <v>67529</v>
      </c>
    </row>
    <row r="894" spans="1:18" x14ac:dyDescent="0.25">
      <c r="A894" s="170">
        <v>43956</v>
      </c>
      <c r="B894" s="116">
        <v>1210.7</v>
      </c>
      <c r="C894" s="116">
        <v>1173.1500000000001</v>
      </c>
      <c r="D894" s="116">
        <v>1170.25</v>
      </c>
      <c r="E894" s="116">
        <v>1210.7</v>
      </c>
      <c r="F894" s="116">
        <v>1173.1500000000001</v>
      </c>
      <c r="G894">
        <v>2123</v>
      </c>
      <c r="H894" s="116"/>
      <c r="I894" s="116"/>
      <c r="L894" s="170">
        <v>43956</v>
      </c>
      <c r="M894" s="116">
        <v>1176.2</v>
      </c>
      <c r="N894" s="116">
        <v>1215.6500000000001</v>
      </c>
      <c r="O894" s="116">
        <v>1174.0999999999999</v>
      </c>
      <c r="P894" s="116">
        <v>1204</v>
      </c>
      <c r="Q894" s="116">
        <v>1176.2</v>
      </c>
      <c r="R894">
        <v>46069</v>
      </c>
    </row>
    <row r="895" spans="1:18" x14ac:dyDescent="0.25">
      <c r="A895" s="170">
        <v>43957</v>
      </c>
      <c r="B895" s="116">
        <v>1228.8</v>
      </c>
      <c r="C895" s="116">
        <v>1191.3499999999999</v>
      </c>
      <c r="D895" s="116">
        <v>1178</v>
      </c>
      <c r="E895" s="116">
        <v>1179.05</v>
      </c>
      <c r="F895" s="116">
        <v>1191.3499999999999</v>
      </c>
      <c r="G895">
        <v>4231</v>
      </c>
      <c r="H895" s="116"/>
      <c r="I895" s="116"/>
      <c r="L895" s="170">
        <v>43957</v>
      </c>
      <c r="M895" s="116">
        <v>1189.25</v>
      </c>
      <c r="N895" s="116">
        <v>1214</v>
      </c>
      <c r="O895" s="116">
        <v>1176.5</v>
      </c>
      <c r="P895" s="116">
        <v>1192</v>
      </c>
      <c r="Q895" s="116">
        <v>1189.25</v>
      </c>
      <c r="R895">
        <v>51164</v>
      </c>
    </row>
    <row r="896" spans="1:18" x14ac:dyDescent="0.25">
      <c r="A896" s="170">
        <v>43958</v>
      </c>
      <c r="B896" s="116">
        <v>1207.9000000000001</v>
      </c>
      <c r="C896" s="116">
        <v>1189.25</v>
      </c>
      <c r="D896" s="116">
        <v>1164.05</v>
      </c>
      <c r="E896" s="116">
        <v>1198.9000000000001</v>
      </c>
      <c r="F896" s="116">
        <v>1189.25</v>
      </c>
      <c r="G896">
        <v>2514</v>
      </c>
      <c r="H896" s="116"/>
      <c r="I896" s="116"/>
      <c r="L896" s="170">
        <v>43958</v>
      </c>
      <c r="M896" s="116">
        <v>1185.5</v>
      </c>
      <c r="N896" s="116">
        <v>1208.8</v>
      </c>
      <c r="O896" s="116">
        <v>1162.2</v>
      </c>
      <c r="P896" s="116">
        <v>1190</v>
      </c>
      <c r="Q896" s="116">
        <v>1185.5</v>
      </c>
      <c r="R896">
        <v>107133</v>
      </c>
    </row>
    <row r="897" spans="1:18" x14ac:dyDescent="0.25">
      <c r="A897" s="170">
        <v>43959</v>
      </c>
      <c r="B897" s="116">
        <v>1204.05</v>
      </c>
      <c r="C897" s="116">
        <v>1168.45</v>
      </c>
      <c r="D897" s="116">
        <v>1160</v>
      </c>
      <c r="E897" s="116">
        <v>1193.5</v>
      </c>
      <c r="F897" s="116">
        <v>1168.45</v>
      </c>
      <c r="G897">
        <v>2165</v>
      </c>
      <c r="H897" s="116"/>
      <c r="I897" s="116"/>
      <c r="L897" s="170">
        <v>43959</v>
      </c>
      <c r="M897" s="116">
        <v>1167.4000000000001</v>
      </c>
      <c r="N897" s="116">
        <v>1206.95</v>
      </c>
      <c r="O897" s="116">
        <v>1162.0999999999999</v>
      </c>
      <c r="P897" s="116">
        <v>1198</v>
      </c>
      <c r="Q897" s="116">
        <v>1167.4000000000001</v>
      </c>
      <c r="R897">
        <v>80776</v>
      </c>
    </row>
    <row r="898" spans="1:18" x14ac:dyDescent="0.25">
      <c r="A898" s="170">
        <v>43962</v>
      </c>
      <c r="B898" s="116">
        <v>1225</v>
      </c>
      <c r="C898" s="116">
        <v>1179.3499999999999</v>
      </c>
      <c r="D898" s="116">
        <v>1175</v>
      </c>
      <c r="E898" s="116">
        <v>1179.75</v>
      </c>
      <c r="F898" s="116">
        <v>1179.3499999999999</v>
      </c>
      <c r="G898">
        <v>3877</v>
      </c>
      <c r="H898" s="116"/>
      <c r="I898" s="116"/>
      <c r="L898" s="170">
        <v>43962</v>
      </c>
      <c r="M898" s="116">
        <v>1179.5</v>
      </c>
      <c r="N898" s="116">
        <v>1201</v>
      </c>
      <c r="O898" s="116">
        <v>1172.0999999999999</v>
      </c>
      <c r="P898" s="116">
        <v>1172.0999999999999</v>
      </c>
      <c r="Q898" s="116">
        <v>1179.5</v>
      </c>
      <c r="R898">
        <v>91224</v>
      </c>
    </row>
    <row r="899" spans="1:18" x14ac:dyDescent="0.25">
      <c r="A899" s="170">
        <v>43963</v>
      </c>
      <c r="B899" s="116">
        <v>1171</v>
      </c>
      <c r="C899" s="116">
        <v>1129.0999999999999</v>
      </c>
      <c r="D899" s="116">
        <v>1125.25</v>
      </c>
      <c r="E899" s="116">
        <v>1171</v>
      </c>
      <c r="F899" s="116">
        <v>1129.0999999999999</v>
      </c>
      <c r="G899">
        <v>6317</v>
      </c>
      <c r="H899" s="116"/>
      <c r="I899" s="116"/>
      <c r="L899" s="170">
        <v>43963</v>
      </c>
      <c r="M899" s="116">
        <v>1128.8499999999999</v>
      </c>
      <c r="N899" s="116">
        <v>1179</v>
      </c>
      <c r="O899" s="116">
        <v>1125</v>
      </c>
      <c r="P899" s="116">
        <v>1179</v>
      </c>
      <c r="Q899" s="116">
        <v>1128.8499999999999</v>
      </c>
      <c r="R899">
        <v>152864</v>
      </c>
    </row>
    <row r="900" spans="1:18" x14ac:dyDescent="0.25">
      <c r="A900" s="170">
        <v>43964</v>
      </c>
      <c r="B900" s="116">
        <v>1169</v>
      </c>
      <c r="C900" s="116">
        <v>1100.25</v>
      </c>
      <c r="D900" s="116">
        <v>1096.2</v>
      </c>
      <c r="E900" s="116">
        <v>1169</v>
      </c>
      <c r="F900" s="116">
        <v>1100.25</v>
      </c>
      <c r="G900">
        <v>10840</v>
      </c>
      <c r="H900" s="116"/>
      <c r="I900" s="116"/>
      <c r="L900" s="170">
        <v>43964</v>
      </c>
      <c r="M900" s="116">
        <v>1101.2</v>
      </c>
      <c r="N900" s="116">
        <v>1159.7</v>
      </c>
      <c r="O900" s="116">
        <v>1098</v>
      </c>
      <c r="P900" s="116">
        <v>1159.7</v>
      </c>
      <c r="Q900" s="116">
        <v>1101.2</v>
      </c>
      <c r="R900">
        <v>216823</v>
      </c>
    </row>
    <row r="901" spans="1:18" x14ac:dyDescent="0.25">
      <c r="A901" s="170">
        <v>43965</v>
      </c>
      <c r="B901" s="116">
        <v>1122.0999999999999</v>
      </c>
      <c r="C901" s="116">
        <v>1114.6500000000001</v>
      </c>
      <c r="D901" s="116">
        <v>1093.95</v>
      </c>
      <c r="E901" s="116">
        <v>1107</v>
      </c>
      <c r="F901" s="116">
        <v>1114.6500000000001</v>
      </c>
      <c r="G901">
        <v>3175</v>
      </c>
      <c r="H901" s="116"/>
      <c r="I901" s="116"/>
      <c r="L901" s="170">
        <v>43965</v>
      </c>
      <c r="M901" s="116">
        <v>1113.95</v>
      </c>
      <c r="N901" s="116">
        <v>1123.8499999999999</v>
      </c>
      <c r="O901" s="116">
        <v>1090.3</v>
      </c>
      <c r="P901" s="116">
        <v>1101.2</v>
      </c>
      <c r="Q901" s="116">
        <v>1113.95</v>
      </c>
      <c r="R901">
        <v>117960</v>
      </c>
    </row>
    <row r="902" spans="1:18" x14ac:dyDescent="0.25">
      <c r="A902" s="170">
        <v>43966</v>
      </c>
      <c r="B902" s="116">
        <v>1123</v>
      </c>
      <c r="C902" s="116">
        <v>1068.9000000000001</v>
      </c>
      <c r="D902" s="116">
        <v>1066.45</v>
      </c>
      <c r="E902" s="116">
        <v>1120</v>
      </c>
      <c r="F902" s="116">
        <v>1068.9000000000001</v>
      </c>
      <c r="G902">
        <v>10959</v>
      </c>
      <c r="H902" s="116"/>
      <c r="I902" s="116"/>
      <c r="L902" s="170">
        <v>43966</v>
      </c>
      <c r="M902" s="116">
        <v>1068.4000000000001</v>
      </c>
      <c r="N902" s="116">
        <v>1126</v>
      </c>
      <c r="O902" s="116">
        <v>1065.5</v>
      </c>
      <c r="P902" s="116">
        <v>1126</v>
      </c>
      <c r="Q902" s="116">
        <v>1068.4000000000001</v>
      </c>
      <c r="R902">
        <v>198464</v>
      </c>
    </row>
    <row r="903" spans="1:18" x14ac:dyDescent="0.25">
      <c r="A903" s="170">
        <v>43969</v>
      </c>
      <c r="B903" s="116">
        <v>1137.45</v>
      </c>
      <c r="C903" s="116">
        <v>1106.8499999999999</v>
      </c>
      <c r="D903" s="116">
        <v>1091.5</v>
      </c>
      <c r="E903" s="116">
        <v>1100</v>
      </c>
      <c r="F903" s="116">
        <v>1106.8499999999999</v>
      </c>
      <c r="G903">
        <v>10738</v>
      </c>
      <c r="H903" s="116"/>
      <c r="I903" s="116"/>
      <c r="L903" s="170">
        <v>43969</v>
      </c>
      <c r="M903" s="116">
        <v>1107.6500000000001</v>
      </c>
      <c r="N903" s="116">
        <v>1140</v>
      </c>
      <c r="O903" s="116">
        <v>1090</v>
      </c>
      <c r="P903" s="116">
        <v>1105</v>
      </c>
      <c r="Q903" s="116">
        <v>1107.6500000000001</v>
      </c>
      <c r="R903">
        <v>443312</v>
      </c>
    </row>
    <row r="904" spans="1:18" x14ac:dyDescent="0.25">
      <c r="A904" s="170">
        <v>43970</v>
      </c>
      <c r="B904" s="116">
        <v>1150</v>
      </c>
      <c r="C904" s="116">
        <v>1126.0999999999999</v>
      </c>
      <c r="D904" s="116">
        <v>1106.8499999999999</v>
      </c>
      <c r="E904" s="116">
        <v>1119.95</v>
      </c>
      <c r="F904" s="116">
        <v>1126.0999999999999</v>
      </c>
      <c r="G904">
        <v>5643</v>
      </c>
      <c r="H904" s="116"/>
      <c r="I904" s="116"/>
      <c r="L904" s="170">
        <v>43970</v>
      </c>
      <c r="M904" s="116">
        <v>1125</v>
      </c>
      <c r="N904" s="116">
        <v>1145.8499999999999</v>
      </c>
      <c r="O904" s="116">
        <v>1115</v>
      </c>
      <c r="P904" s="116">
        <v>1118.8</v>
      </c>
      <c r="Q904" s="116">
        <v>1125</v>
      </c>
      <c r="R904">
        <v>194672</v>
      </c>
    </row>
    <row r="905" spans="1:18" x14ac:dyDescent="0.25">
      <c r="A905" s="170">
        <v>43971</v>
      </c>
      <c r="B905" s="116">
        <v>1174.25</v>
      </c>
      <c r="C905" s="116">
        <v>1159.0999999999999</v>
      </c>
      <c r="D905" s="116">
        <v>1134.95</v>
      </c>
      <c r="E905" s="116">
        <v>1136</v>
      </c>
      <c r="F905" s="116">
        <v>1159.0999999999999</v>
      </c>
      <c r="G905">
        <v>5941</v>
      </c>
      <c r="H905" s="116"/>
      <c r="I905" s="116"/>
      <c r="L905" s="170">
        <v>43971</v>
      </c>
      <c r="M905" s="116">
        <v>1160</v>
      </c>
      <c r="N905" s="116">
        <v>1175</v>
      </c>
      <c r="O905" s="116">
        <v>1135</v>
      </c>
      <c r="P905" s="116">
        <v>1143</v>
      </c>
      <c r="Q905" s="116">
        <v>1160</v>
      </c>
      <c r="R905">
        <v>196273</v>
      </c>
    </row>
    <row r="906" spans="1:18" x14ac:dyDescent="0.25">
      <c r="A906" s="170">
        <v>43972</v>
      </c>
      <c r="B906" s="116">
        <v>1170</v>
      </c>
      <c r="C906" s="116">
        <v>1126.05</v>
      </c>
      <c r="D906" s="116">
        <v>1123</v>
      </c>
      <c r="E906" s="116">
        <v>1170</v>
      </c>
      <c r="F906" s="116">
        <v>1126.05</v>
      </c>
      <c r="G906">
        <v>4405</v>
      </c>
      <c r="H906" s="116"/>
      <c r="I906" s="116"/>
      <c r="L906" s="170">
        <v>43972</v>
      </c>
      <c r="M906" s="116">
        <v>1125.3499999999999</v>
      </c>
      <c r="N906" s="116">
        <v>1168.95</v>
      </c>
      <c r="O906" s="116">
        <v>1121.55</v>
      </c>
      <c r="P906" s="116">
        <v>1168.4000000000001</v>
      </c>
      <c r="Q906" s="116">
        <v>1125.3499999999999</v>
      </c>
      <c r="R906">
        <v>96163</v>
      </c>
    </row>
    <row r="907" spans="1:18" x14ac:dyDescent="0.25">
      <c r="A907" s="170">
        <v>43973</v>
      </c>
      <c r="B907" s="116">
        <v>1144</v>
      </c>
      <c r="C907" s="116">
        <v>1121.7</v>
      </c>
      <c r="D907" s="116">
        <v>1090</v>
      </c>
      <c r="E907" s="116">
        <v>1144</v>
      </c>
      <c r="F907" s="116">
        <v>1121.7</v>
      </c>
      <c r="G907">
        <v>5805</v>
      </c>
      <c r="H907" s="116"/>
      <c r="I907" s="116"/>
      <c r="L907" s="170">
        <v>43973</v>
      </c>
      <c r="M907" s="116">
        <v>1122.6500000000001</v>
      </c>
      <c r="N907" s="116">
        <v>1141.45</v>
      </c>
      <c r="O907" s="116">
        <v>1088.0999999999999</v>
      </c>
      <c r="P907" s="116">
        <v>1130</v>
      </c>
      <c r="Q907" s="116">
        <v>1122.6500000000001</v>
      </c>
      <c r="R907">
        <v>68582</v>
      </c>
    </row>
    <row r="908" spans="1:18" x14ac:dyDescent="0.25">
      <c r="A908" s="170">
        <v>43977</v>
      </c>
      <c r="B908" s="116">
        <v>1145.0999999999999</v>
      </c>
      <c r="C908" s="116">
        <v>1135.25</v>
      </c>
      <c r="D908" s="116">
        <v>1123.05</v>
      </c>
      <c r="E908" s="116">
        <v>1123.05</v>
      </c>
      <c r="F908" s="116">
        <v>1135.25</v>
      </c>
      <c r="G908">
        <v>2188</v>
      </c>
      <c r="H908" s="116"/>
      <c r="I908" s="116"/>
      <c r="L908" s="170">
        <v>43977</v>
      </c>
      <c r="M908" s="116">
        <v>1137.55</v>
      </c>
      <c r="N908" s="116">
        <v>1146</v>
      </c>
      <c r="O908" s="116">
        <v>1124</v>
      </c>
      <c r="P908" s="116">
        <v>1124.05</v>
      </c>
      <c r="Q908" s="116">
        <v>1137.55</v>
      </c>
      <c r="R908">
        <v>58622</v>
      </c>
    </row>
    <row r="909" spans="1:18" x14ac:dyDescent="0.25">
      <c r="A909" s="170">
        <v>43978</v>
      </c>
      <c r="B909" s="116">
        <v>1150</v>
      </c>
      <c r="C909" s="116">
        <v>1122.3499999999999</v>
      </c>
      <c r="D909" s="116">
        <v>1116.5</v>
      </c>
      <c r="E909" s="116">
        <v>1150</v>
      </c>
      <c r="F909" s="116">
        <v>1122.3499999999999</v>
      </c>
      <c r="G909">
        <v>1615</v>
      </c>
      <c r="H909" s="116"/>
      <c r="I909" s="116"/>
      <c r="L909" s="170">
        <v>43978</v>
      </c>
      <c r="M909" s="116">
        <v>1121.6500000000001</v>
      </c>
      <c r="N909" s="116">
        <v>1143.8499999999999</v>
      </c>
      <c r="O909" s="116">
        <v>1115.45</v>
      </c>
      <c r="P909" s="116">
        <v>1141</v>
      </c>
      <c r="Q909" s="116">
        <v>1121.6500000000001</v>
      </c>
      <c r="R909">
        <v>71847</v>
      </c>
    </row>
    <row r="910" spans="1:18" x14ac:dyDescent="0.25">
      <c r="A910" s="170">
        <v>43979</v>
      </c>
      <c r="B910" s="116">
        <v>1135</v>
      </c>
      <c r="C910" s="116">
        <v>1130.95</v>
      </c>
      <c r="D910" s="116">
        <v>1122</v>
      </c>
      <c r="E910" s="116">
        <v>1135</v>
      </c>
      <c r="F910" s="116">
        <v>1130.95</v>
      </c>
      <c r="G910">
        <v>2369</v>
      </c>
      <c r="H910" s="116"/>
      <c r="I910" s="116"/>
      <c r="L910" s="170">
        <v>43979</v>
      </c>
      <c r="M910" s="116">
        <v>1129.8</v>
      </c>
      <c r="N910" s="116">
        <v>1137.2</v>
      </c>
      <c r="O910" s="116">
        <v>1121.3499999999999</v>
      </c>
      <c r="P910" s="116">
        <v>1133.3</v>
      </c>
      <c r="Q910" s="116">
        <v>1129.8</v>
      </c>
      <c r="R910">
        <v>45405</v>
      </c>
    </row>
    <row r="911" spans="1:18" x14ac:dyDescent="0.25">
      <c r="A911" s="170">
        <v>43980</v>
      </c>
      <c r="B911" s="116">
        <v>1190</v>
      </c>
      <c r="C911" s="116">
        <v>1166.8</v>
      </c>
      <c r="D911" s="116">
        <v>1128.25</v>
      </c>
      <c r="E911" s="116">
        <v>1133.55</v>
      </c>
      <c r="F911" s="116">
        <v>1166.8</v>
      </c>
      <c r="G911">
        <v>5568</v>
      </c>
      <c r="H911" s="116"/>
      <c r="I911" s="116"/>
      <c r="L911" s="170">
        <v>43980</v>
      </c>
      <c r="M911" s="116">
        <v>1171.3</v>
      </c>
      <c r="N911" s="116">
        <v>1191</v>
      </c>
      <c r="O911" s="116">
        <v>1125</v>
      </c>
      <c r="P911" s="116">
        <v>1125</v>
      </c>
      <c r="Q911" s="116">
        <v>1171.3</v>
      </c>
      <c r="R911">
        <v>177649</v>
      </c>
    </row>
    <row r="912" spans="1:18" x14ac:dyDescent="0.25">
      <c r="A912" s="170">
        <v>43983</v>
      </c>
      <c r="B912" s="116">
        <v>1206.2</v>
      </c>
      <c r="C912" s="116">
        <v>1187.2</v>
      </c>
      <c r="D912" s="116">
        <v>1166</v>
      </c>
      <c r="E912" s="116">
        <v>1190</v>
      </c>
      <c r="F912" s="116">
        <v>1187.2</v>
      </c>
      <c r="G912">
        <v>7630</v>
      </c>
      <c r="H912" s="116"/>
      <c r="I912" s="116"/>
      <c r="L912" s="170">
        <v>43983</v>
      </c>
      <c r="M912" s="116">
        <v>1188.2</v>
      </c>
      <c r="N912" s="116">
        <v>1207</v>
      </c>
      <c r="O912" s="116">
        <v>1166</v>
      </c>
      <c r="P912" s="116">
        <v>1182.05</v>
      </c>
      <c r="Q912" s="116">
        <v>1188.2</v>
      </c>
      <c r="R912">
        <v>153012</v>
      </c>
    </row>
    <row r="913" spans="1:18" x14ac:dyDescent="0.25">
      <c r="A913" s="170">
        <v>43984</v>
      </c>
      <c r="B913" s="116">
        <v>1227</v>
      </c>
      <c r="C913" s="116">
        <v>1203.5999999999999</v>
      </c>
      <c r="D913" s="116">
        <v>1178.6500000000001</v>
      </c>
      <c r="E913" s="116">
        <v>1184</v>
      </c>
      <c r="F913" s="116">
        <v>1203.5999999999999</v>
      </c>
      <c r="G913">
        <v>6934</v>
      </c>
      <c r="H913" s="116"/>
      <c r="I913" s="116"/>
      <c r="L913" s="170">
        <v>43984</v>
      </c>
      <c r="M913" s="116">
        <v>1204.2</v>
      </c>
      <c r="N913" s="116">
        <v>1233</v>
      </c>
      <c r="O913" s="116">
        <v>1176.5</v>
      </c>
      <c r="P913" s="116">
        <v>1193</v>
      </c>
      <c r="Q913" s="116">
        <v>1204.2</v>
      </c>
      <c r="R913">
        <v>159984</v>
      </c>
    </row>
    <row r="914" spans="1:18" x14ac:dyDescent="0.25">
      <c r="A914" s="170">
        <v>43985</v>
      </c>
      <c r="B914" s="116">
        <v>1238.25</v>
      </c>
      <c r="C914" s="116">
        <v>1230.55</v>
      </c>
      <c r="D914" s="116">
        <v>1210.55</v>
      </c>
      <c r="E914" s="116">
        <v>1224.8</v>
      </c>
      <c r="F914" s="116">
        <v>1230.55</v>
      </c>
      <c r="G914">
        <v>4674</v>
      </c>
      <c r="H914" s="116"/>
      <c r="I914" s="116"/>
      <c r="L914" s="170">
        <v>43985</v>
      </c>
      <c r="M914" s="116">
        <v>1230.5</v>
      </c>
      <c r="N914" s="116">
        <v>1238.5</v>
      </c>
      <c r="O914" s="116">
        <v>1208.25</v>
      </c>
      <c r="P914" s="116">
        <v>1225</v>
      </c>
      <c r="Q914" s="116">
        <v>1230.5</v>
      </c>
      <c r="R914">
        <v>80446</v>
      </c>
    </row>
    <row r="915" spans="1:18" x14ac:dyDescent="0.25">
      <c r="A915" s="170">
        <v>43986</v>
      </c>
      <c r="B915" s="116">
        <v>1294.45</v>
      </c>
      <c r="C915" s="116">
        <v>1277.4000000000001</v>
      </c>
      <c r="D915" s="116">
        <v>1227.05</v>
      </c>
      <c r="E915" s="116">
        <v>1237.5</v>
      </c>
      <c r="F915" s="116">
        <v>1277.4000000000001</v>
      </c>
      <c r="G915">
        <v>11790</v>
      </c>
      <c r="H915" s="116"/>
      <c r="I915" s="116"/>
      <c r="L915" s="170">
        <v>43986</v>
      </c>
      <c r="M915" s="116">
        <v>1279.0999999999999</v>
      </c>
      <c r="N915" s="116">
        <v>1294.9000000000001</v>
      </c>
      <c r="O915" s="116">
        <v>1226.45</v>
      </c>
      <c r="P915" s="116">
        <v>1232</v>
      </c>
      <c r="Q915" s="116">
        <v>1279.0999999999999</v>
      </c>
      <c r="R915">
        <v>195538</v>
      </c>
    </row>
    <row r="916" spans="1:18" x14ac:dyDescent="0.25">
      <c r="A916" s="170">
        <v>43987</v>
      </c>
      <c r="B916" s="116">
        <v>1338.95</v>
      </c>
      <c r="C916" s="116">
        <v>1331.5</v>
      </c>
      <c r="D916" s="116">
        <v>1289.55</v>
      </c>
      <c r="E916" s="116">
        <v>1296</v>
      </c>
      <c r="F916" s="116">
        <v>1331.5</v>
      </c>
      <c r="G916">
        <v>7280</v>
      </c>
      <c r="H916" s="116"/>
      <c r="I916" s="116"/>
      <c r="L916" s="170">
        <v>43987</v>
      </c>
      <c r="M916" s="116">
        <v>1331.35</v>
      </c>
      <c r="N916" s="116">
        <v>1339.05</v>
      </c>
      <c r="O916" s="116">
        <v>1286.3</v>
      </c>
      <c r="P916" s="116">
        <v>1291</v>
      </c>
      <c r="Q916" s="116">
        <v>1331.35</v>
      </c>
      <c r="R916">
        <v>142174</v>
      </c>
    </row>
    <row r="917" spans="1:18" x14ac:dyDescent="0.25">
      <c r="A917" s="170">
        <v>43990</v>
      </c>
      <c r="B917" s="116">
        <v>1359</v>
      </c>
      <c r="C917" s="116">
        <v>1329.25</v>
      </c>
      <c r="D917" s="116">
        <v>1320.15</v>
      </c>
      <c r="E917" s="116">
        <v>1341.45</v>
      </c>
      <c r="F917" s="116">
        <v>1329.25</v>
      </c>
      <c r="G917">
        <v>4197</v>
      </c>
      <c r="H917" s="116"/>
      <c r="I917" s="116"/>
      <c r="L917" s="170">
        <v>43990</v>
      </c>
      <c r="M917" s="116">
        <v>1329.75</v>
      </c>
      <c r="N917" s="116">
        <v>1359.95</v>
      </c>
      <c r="O917" s="116">
        <v>1317.15</v>
      </c>
      <c r="P917" s="116">
        <v>1345</v>
      </c>
      <c r="Q917" s="116">
        <v>1329.75</v>
      </c>
      <c r="R917">
        <v>251109</v>
      </c>
    </row>
    <row r="918" spans="1:18" x14ac:dyDescent="0.25">
      <c r="A918" s="170">
        <v>43991</v>
      </c>
      <c r="B918" s="116">
        <v>1390.5</v>
      </c>
      <c r="C918" s="116">
        <v>1364.35</v>
      </c>
      <c r="D918" s="116">
        <v>1331.1</v>
      </c>
      <c r="E918" s="116">
        <v>1344</v>
      </c>
      <c r="F918" s="116">
        <v>1364.35</v>
      </c>
      <c r="G918">
        <v>5836</v>
      </c>
      <c r="H918" s="116"/>
      <c r="I918" s="116"/>
      <c r="L918" s="170">
        <v>43991</v>
      </c>
      <c r="M918" s="116">
        <v>1365.8</v>
      </c>
      <c r="N918" s="116">
        <v>1391.1</v>
      </c>
      <c r="O918" s="116">
        <v>1330</v>
      </c>
      <c r="P918" s="116">
        <v>1339.75</v>
      </c>
      <c r="Q918" s="116">
        <v>1365.8</v>
      </c>
      <c r="R918">
        <v>184176</v>
      </c>
    </row>
    <row r="919" spans="1:18" x14ac:dyDescent="0.25">
      <c r="A919" s="170">
        <v>43992</v>
      </c>
      <c r="B919" s="116">
        <v>1415.3</v>
      </c>
      <c r="C919" s="116">
        <v>1343.6</v>
      </c>
      <c r="D919" s="116">
        <v>1325.5</v>
      </c>
      <c r="E919" s="116">
        <v>1373</v>
      </c>
      <c r="F919" s="116">
        <v>1343.6</v>
      </c>
      <c r="G919">
        <v>2013</v>
      </c>
      <c r="H919" s="116"/>
      <c r="I919" s="116"/>
      <c r="L919" s="170">
        <v>43992</v>
      </c>
      <c r="M919" s="116">
        <v>1338.9</v>
      </c>
      <c r="N919" s="116">
        <v>1385</v>
      </c>
      <c r="O919" s="116">
        <v>1325</v>
      </c>
      <c r="P919" s="116">
        <v>1379</v>
      </c>
      <c r="Q919" s="116">
        <v>1338.9</v>
      </c>
      <c r="R919">
        <v>39804</v>
      </c>
    </row>
    <row r="920" spans="1:18" x14ac:dyDescent="0.25">
      <c r="A920" s="170">
        <v>43993</v>
      </c>
      <c r="B920" s="116">
        <v>1365</v>
      </c>
      <c r="C920" s="116">
        <v>1316.25</v>
      </c>
      <c r="D920" s="116">
        <v>1306.05</v>
      </c>
      <c r="E920" s="116">
        <v>1350</v>
      </c>
      <c r="F920" s="116">
        <v>1316.25</v>
      </c>
      <c r="G920">
        <v>4206</v>
      </c>
      <c r="H920" s="116"/>
      <c r="I920" s="116"/>
      <c r="L920" s="170">
        <v>43993</v>
      </c>
      <c r="M920" s="116">
        <v>1317.75</v>
      </c>
      <c r="N920" s="116">
        <v>1365</v>
      </c>
      <c r="O920" s="116">
        <v>1305.25</v>
      </c>
      <c r="P920" s="116">
        <v>1339.95</v>
      </c>
      <c r="Q920" s="116">
        <v>1317.75</v>
      </c>
      <c r="R920">
        <v>76200</v>
      </c>
    </row>
    <row r="921" spans="1:18" x14ac:dyDescent="0.25">
      <c r="A921" s="170">
        <v>43994</v>
      </c>
      <c r="B921" s="116">
        <v>1355</v>
      </c>
      <c r="C921" s="116">
        <v>1342.25</v>
      </c>
      <c r="D921" s="116">
        <v>1256.5</v>
      </c>
      <c r="E921" s="116">
        <v>1317</v>
      </c>
      <c r="F921" s="116">
        <v>1342.25</v>
      </c>
      <c r="G921">
        <v>2785</v>
      </c>
      <c r="H921" s="116"/>
      <c r="I921" s="116"/>
      <c r="L921" s="170">
        <v>43994</v>
      </c>
      <c r="M921" s="116">
        <v>1339.1</v>
      </c>
      <c r="N921" s="116">
        <v>1354</v>
      </c>
      <c r="O921" s="116">
        <v>1254</v>
      </c>
      <c r="P921" s="116">
        <v>1260</v>
      </c>
      <c r="Q921" s="116">
        <v>1339.1</v>
      </c>
      <c r="R921">
        <v>174306</v>
      </c>
    </row>
    <row r="922" spans="1:18" x14ac:dyDescent="0.25">
      <c r="A922" s="170">
        <v>43997</v>
      </c>
      <c r="B922" s="116">
        <v>1357</v>
      </c>
      <c r="C922" s="116">
        <v>1309.1500000000001</v>
      </c>
      <c r="D922" s="116">
        <v>1304</v>
      </c>
      <c r="E922" s="116">
        <v>1340</v>
      </c>
      <c r="F922" s="116">
        <v>1309.1500000000001</v>
      </c>
      <c r="G922">
        <v>1621</v>
      </c>
      <c r="H922" s="116"/>
      <c r="I922" s="116"/>
      <c r="L922" s="170">
        <v>43997</v>
      </c>
      <c r="M922" s="116">
        <v>1309.5999999999999</v>
      </c>
      <c r="N922" s="116">
        <v>1358.05</v>
      </c>
      <c r="O922" s="116">
        <v>1303</v>
      </c>
      <c r="P922" s="116">
        <v>1348</v>
      </c>
      <c r="Q922" s="116">
        <v>1309.5999999999999</v>
      </c>
      <c r="R922">
        <v>83363</v>
      </c>
    </row>
    <row r="923" spans="1:18" x14ac:dyDescent="0.25">
      <c r="A923" s="170">
        <v>43998</v>
      </c>
      <c r="B923" s="116">
        <v>1347.15</v>
      </c>
      <c r="C923" s="116">
        <v>1311.15</v>
      </c>
      <c r="D923" s="116">
        <v>1283</v>
      </c>
      <c r="E923" s="116">
        <v>1336.5</v>
      </c>
      <c r="F923" s="116">
        <v>1311.15</v>
      </c>
      <c r="G923">
        <v>2248</v>
      </c>
      <c r="H923" s="116"/>
      <c r="I923" s="116"/>
      <c r="L923" s="170">
        <v>43998</v>
      </c>
      <c r="M923" s="116">
        <v>1311.2</v>
      </c>
      <c r="N923" s="116">
        <v>1344.9</v>
      </c>
      <c r="O923" s="116">
        <v>1280</v>
      </c>
      <c r="P923" s="116">
        <v>1329.95</v>
      </c>
      <c r="Q923" s="116">
        <v>1311.2</v>
      </c>
      <c r="R923">
        <v>85808</v>
      </c>
    </row>
    <row r="924" spans="1:18" x14ac:dyDescent="0.25">
      <c r="A924" s="170">
        <v>43999</v>
      </c>
      <c r="B924" s="116">
        <v>1324.45</v>
      </c>
      <c r="C924" s="116">
        <v>1314.9</v>
      </c>
      <c r="D924" s="116">
        <v>1288.95</v>
      </c>
      <c r="E924" s="116">
        <v>1306.25</v>
      </c>
      <c r="F924" s="116">
        <v>1314.9</v>
      </c>
      <c r="G924">
        <v>1846</v>
      </c>
      <c r="H924" s="116"/>
      <c r="I924" s="116"/>
      <c r="L924" s="170">
        <v>43999</v>
      </c>
      <c r="M924" s="116">
        <v>1317.5</v>
      </c>
      <c r="N924" s="116">
        <v>1329</v>
      </c>
      <c r="O924" s="116">
        <v>1291.0999999999999</v>
      </c>
      <c r="P924" s="116">
        <v>1296.5</v>
      </c>
      <c r="Q924" s="116">
        <v>1317.5</v>
      </c>
      <c r="R924">
        <v>58739</v>
      </c>
    </row>
    <row r="925" spans="1:18" x14ac:dyDescent="0.25">
      <c r="A925" s="170">
        <v>44000</v>
      </c>
      <c r="B925" s="116">
        <v>1344.95</v>
      </c>
      <c r="C925" s="116">
        <v>1335.55</v>
      </c>
      <c r="D925" s="116">
        <v>1305</v>
      </c>
      <c r="E925" s="116">
        <v>1319.8</v>
      </c>
      <c r="F925" s="116">
        <v>1335.55</v>
      </c>
      <c r="G925">
        <v>3469</v>
      </c>
      <c r="H925" s="116"/>
      <c r="I925" s="116"/>
      <c r="L925" s="170">
        <v>44000</v>
      </c>
      <c r="M925" s="116">
        <v>1334.5</v>
      </c>
      <c r="N925" s="116">
        <v>1345</v>
      </c>
      <c r="O925" s="116">
        <v>1301.5</v>
      </c>
      <c r="P925" s="116">
        <v>1318.2</v>
      </c>
      <c r="Q925" s="116">
        <v>1334.5</v>
      </c>
      <c r="R925">
        <v>81363</v>
      </c>
    </row>
    <row r="926" spans="1:18" x14ac:dyDescent="0.25">
      <c r="A926" s="170">
        <v>44001</v>
      </c>
      <c r="B926" s="116">
        <v>1350</v>
      </c>
      <c r="C926" s="116">
        <v>1344.3</v>
      </c>
      <c r="D926" s="116">
        <v>1320.05</v>
      </c>
      <c r="E926" s="116">
        <v>1346.8</v>
      </c>
      <c r="F926" s="116">
        <v>1344.3</v>
      </c>
      <c r="G926">
        <v>4803</v>
      </c>
      <c r="H926" s="116"/>
      <c r="I926" s="116"/>
      <c r="L926" s="170">
        <v>44001</v>
      </c>
      <c r="M926" s="116">
        <v>1343.05</v>
      </c>
      <c r="N926" s="116">
        <v>1351.95</v>
      </c>
      <c r="O926" s="116">
        <v>1320.6</v>
      </c>
      <c r="P926" s="116">
        <v>1341</v>
      </c>
      <c r="Q926" s="116">
        <v>1343.05</v>
      </c>
      <c r="R926">
        <v>77745</v>
      </c>
    </row>
    <row r="927" spans="1:18" x14ac:dyDescent="0.25">
      <c r="A927" s="170">
        <v>44004</v>
      </c>
      <c r="B927" s="116">
        <v>1353</v>
      </c>
      <c r="C927" s="116">
        <v>1300.7</v>
      </c>
      <c r="D927" s="116">
        <v>1294.45</v>
      </c>
      <c r="E927" s="116">
        <v>1340.95</v>
      </c>
      <c r="F927" s="116">
        <v>1300.7</v>
      </c>
      <c r="G927">
        <v>5446</v>
      </c>
      <c r="H927" s="116"/>
      <c r="I927" s="116"/>
      <c r="L927" s="170">
        <v>44004</v>
      </c>
      <c r="M927" s="116">
        <v>1299.7</v>
      </c>
      <c r="N927" s="116">
        <v>1352.35</v>
      </c>
      <c r="O927" s="116">
        <v>1295</v>
      </c>
      <c r="P927" s="116">
        <v>1343</v>
      </c>
      <c r="Q927" s="116">
        <v>1299.7</v>
      </c>
      <c r="R927">
        <v>102245</v>
      </c>
    </row>
    <row r="928" spans="1:18" x14ac:dyDescent="0.25">
      <c r="A928" s="170">
        <v>44005</v>
      </c>
      <c r="B928" s="116">
        <v>1310</v>
      </c>
      <c r="C928" s="116">
        <v>1297.1500000000001</v>
      </c>
      <c r="D928" s="116">
        <v>1280</v>
      </c>
      <c r="E928" s="116">
        <v>1303</v>
      </c>
      <c r="F928" s="116">
        <v>1297.1500000000001</v>
      </c>
      <c r="G928">
        <v>5924</v>
      </c>
      <c r="H928" s="116"/>
      <c r="I928" s="116"/>
      <c r="L928" s="170">
        <v>44005</v>
      </c>
      <c r="M928" s="116">
        <v>1297.4000000000001</v>
      </c>
      <c r="N928" s="116">
        <v>1312.95</v>
      </c>
      <c r="O928" s="116">
        <v>1280</v>
      </c>
      <c r="P928" s="116">
        <v>1301</v>
      </c>
      <c r="Q928" s="116">
        <v>1297.4000000000001</v>
      </c>
      <c r="R928">
        <v>126514</v>
      </c>
    </row>
    <row r="929" spans="1:18" x14ac:dyDescent="0.25">
      <c r="A929" s="170">
        <v>44006</v>
      </c>
      <c r="B929" s="116">
        <v>1306</v>
      </c>
      <c r="C929" s="116">
        <v>1280.3</v>
      </c>
      <c r="D929" s="116">
        <v>1274.7</v>
      </c>
      <c r="E929" s="116">
        <v>1305</v>
      </c>
      <c r="F929" s="116">
        <v>1280.3</v>
      </c>
      <c r="G929">
        <v>2448</v>
      </c>
      <c r="H929" s="116"/>
      <c r="I929" s="116"/>
      <c r="L929" s="170">
        <v>44006</v>
      </c>
      <c r="M929" s="116">
        <v>1281.3499999999999</v>
      </c>
      <c r="N929" s="116">
        <v>1308.5</v>
      </c>
      <c r="O929" s="116">
        <v>1275</v>
      </c>
      <c r="P929" s="116">
        <v>1308.5</v>
      </c>
      <c r="Q929" s="116">
        <v>1281.3499999999999</v>
      </c>
      <c r="R929">
        <v>90317</v>
      </c>
    </row>
    <row r="930" spans="1:18" x14ac:dyDescent="0.25">
      <c r="A930" s="170">
        <v>44007</v>
      </c>
      <c r="B930" s="116">
        <v>1285.8</v>
      </c>
      <c r="C930" s="116">
        <v>1260.9000000000001</v>
      </c>
      <c r="D930" s="116">
        <v>1240</v>
      </c>
      <c r="E930" s="116">
        <v>1275.9000000000001</v>
      </c>
      <c r="F930" s="116">
        <v>1260.9000000000001</v>
      </c>
      <c r="G930">
        <v>2904</v>
      </c>
      <c r="H930" s="116"/>
      <c r="I930" s="116"/>
      <c r="L930" s="170">
        <v>44007</v>
      </c>
      <c r="M930" s="116">
        <v>1261.1500000000001</v>
      </c>
      <c r="N930" s="116">
        <v>1290</v>
      </c>
      <c r="O930" s="116">
        <v>1238.8</v>
      </c>
      <c r="P930" s="116">
        <v>1280</v>
      </c>
      <c r="Q930" s="116">
        <v>1261.1500000000001</v>
      </c>
      <c r="R930">
        <v>87621</v>
      </c>
    </row>
    <row r="931" spans="1:18" x14ac:dyDescent="0.25">
      <c r="A931" s="170">
        <v>44008</v>
      </c>
      <c r="B931" s="116">
        <v>1327.7</v>
      </c>
      <c r="C931" s="116">
        <v>1294.95</v>
      </c>
      <c r="D931" s="116">
        <v>1268.5</v>
      </c>
      <c r="E931" s="116">
        <v>1270</v>
      </c>
      <c r="F931" s="116">
        <v>1294.95</v>
      </c>
      <c r="G931">
        <v>9242</v>
      </c>
      <c r="H931" s="116"/>
      <c r="I931" s="116"/>
      <c r="L931" s="170">
        <v>44008</v>
      </c>
      <c r="M931" s="116">
        <v>1296.5</v>
      </c>
      <c r="N931" s="116">
        <v>1328.95</v>
      </c>
      <c r="O931" s="116">
        <v>1265.55</v>
      </c>
      <c r="P931" s="116">
        <v>1270</v>
      </c>
      <c r="Q931" s="116">
        <v>1296.5</v>
      </c>
      <c r="R931">
        <v>263469</v>
      </c>
    </row>
    <row r="932" spans="1:18" x14ac:dyDescent="0.25">
      <c r="A932" s="170">
        <v>44011</v>
      </c>
      <c r="B932" s="116">
        <v>1317</v>
      </c>
      <c r="C932" s="116">
        <v>1295.6500000000001</v>
      </c>
      <c r="D932" s="116">
        <v>1275</v>
      </c>
      <c r="E932" s="116">
        <v>1308.3</v>
      </c>
      <c r="F932" s="116">
        <v>1295.6500000000001</v>
      </c>
      <c r="G932">
        <v>3548</v>
      </c>
      <c r="H932" s="116"/>
      <c r="I932" s="116"/>
      <c r="L932" s="170">
        <v>44011</v>
      </c>
      <c r="M932" s="116">
        <v>1296.8499999999999</v>
      </c>
      <c r="N932" s="116">
        <v>1318</v>
      </c>
      <c r="O932" s="116">
        <v>1275</v>
      </c>
      <c r="P932" s="116">
        <v>1297</v>
      </c>
      <c r="Q932" s="116">
        <v>1296.8499999999999</v>
      </c>
      <c r="R932">
        <v>90756</v>
      </c>
    </row>
    <row r="933" spans="1:18" x14ac:dyDescent="0.25">
      <c r="A933" s="170">
        <v>44012</v>
      </c>
      <c r="B933" s="116">
        <v>1308.75</v>
      </c>
      <c r="C933" s="116">
        <v>1284.2</v>
      </c>
      <c r="D933" s="116">
        <v>1280</v>
      </c>
      <c r="E933" s="116">
        <v>1308.75</v>
      </c>
      <c r="F933" s="116">
        <v>1284.2</v>
      </c>
      <c r="G933">
        <v>2240</v>
      </c>
      <c r="H933" s="116"/>
      <c r="I933" s="116"/>
      <c r="L933" s="170">
        <v>44012</v>
      </c>
      <c r="M933" s="116">
        <v>1283.05</v>
      </c>
      <c r="N933" s="116">
        <v>1315</v>
      </c>
      <c r="O933" s="116">
        <v>1280</v>
      </c>
      <c r="P933" s="116">
        <v>1315</v>
      </c>
      <c r="Q933" s="116">
        <v>1283.05</v>
      </c>
      <c r="R933">
        <v>61584</v>
      </c>
    </row>
    <row r="934" spans="1:18" x14ac:dyDescent="0.25">
      <c r="A934" s="170">
        <v>44013</v>
      </c>
      <c r="B934" s="116">
        <v>1305.95</v>
      </c>
      <c r="C934" s="116">
        <v>1299.3499999999999</v>
      </c>
      <c r="D934" s="116">
        <v>1267.0999999999999</v>
      </c>
      <c r="E934" s="116">
        <v>1283.55</v>
      </c>
      <c r="F934" s="116">
        <v>1299.3499999999999</v>
      </c>
      <c r="G934">
        <v>3553</v>
      </c>
      <c r="H934" s="116"/>
      <c r="I934" s="116"/>
      <c r="L934" s="170">
        <v>44013</v>
      </c>
      <c r="M934" s="116">
        <v>1298.7</v>
      </c>
      <c r="N934" s="116">
        <v>1306.55</v>
      </c>
      <c r="O934" s="116">
        <v>1265</v>
      </c>
      <c r="P934" s="116">
        <v>1288</v>
      </c>
      <c r="Q934" s="116">
        <v>1298.7</v>
      </c>
      <c r="R934">
        <v>206827</v>
      </c>
    </row>
    <row r="935" spans="1:18" x14ac:dyDescent="0.25">
      <c r="A935" s="170">
        <v>44014</v>
      </c>
      <c r="B935" s="116">
        <v>1308.55</v>
      </c>
      <c r="C935" s="116">
        <v>1297.55</v>
      </c>
      <c r="D935" s="116">
        <v>1287</v>
      </c>
      <c r="E935" s="116">
        <v>1292</v>
      </c>
      <c r="F935" s="116">
        <v>1297.55</v>
      </c>
      <c r="G935">
        <v>3544</v>
      </c>
      <c r="H935" s="116"/>
      <c r="I935" s="116"/>
      <c r="L935" s="170">
        <v>44014</v>
      </c>
      <c r="M935" s="116">
        <v>1297.7</v>
      </c>
      <c r="N935" s="116">
        <v>1309.3</v>
      </c>
      <c r="O935" s="116">
        <v>1285</v>
      </c>
      <c r="P935" s="116">
        <v>1298.7</v>
      </c>
      <c r="Q935" s="116">
        <v>1297.7</v>
      </c>
      <c r="R935">
        <v>258938</v>
      </c>
    </row>
    <row r="936" spans="1:18" x14ac:dyDescent="0.25">
      <c r="A936" s="170">
        <v>44015</v>
      </c>
      <c r="B936" s="116">
        <v>1308</v>
      </c>
      <c r="C936" s="116">
        <v>1294.5999999999999</v>
      </c>
      <c r="D936" s="116">
        <v>1251.5</v>
      </c>
      <c r="E936" s="116">
        <v>1251.5</v>
      </c>
      <c r="F936" s="116">
        <v>1294.5999999999999</v>
      </c>
      <c r="G936">
        <v>5042</v>
      </c>
      <c r="H936" s="116"/>
      <c r="I936" s="116"/>
      <c r="L936" s="170">
        <v>44015</v>
      </c>
      <c r="M936" s="116">
        <v>1295.0999999999999</v>
      </c>
      <c r="N936" s="116">
        <v>1306</v>
      </c>
      <c r="O936" s="116">
        <v>1290.0999999999999</v>
      </c>
      <c r="P936" s="116">
        <v>1304</v>
      </c>
      <c r="Q936" s="116">
        <v>1295.0999999999999</v>
      </c>
      <c r="R936">
        <v>64345</v>
      </c>
    </row>
    <row r="937" spans="1:18" x14ac:dyDescent="0.25">
      <c r="A937" s="170">
        <v>44018</v>
      </c>
      <c r="B937" s="116">
        <v>1315</v>
      </c>
      <c r="C937" s="116">
        <v>1300.95</v>
      </c>
      <c r="D937" s="116">
        <v>1296</v>
      </c>
      <c r="E937" s="116">
        <v>1309</v>
      </c>
      <c r="F937" s="116">
        <v>1300.95</v>
      </c>
      <c r="G937">
        <v>4278</v>
      </c>
      <c r="H937" s="116"/>
      <c r="I937" s="116"/>
      <c r="L937" s="170">
        <v>44018</v>
      </c>
      <c r="M937" s="116">
        <v>1299.8</v>
      </c>
      <c r="N937" s="116">
        <v>1315</v>
      </c>
      <c r="O937" s="116">
        <v>1295</v>
      </c>
      <c r="P937" s="116">
        <v>1306</v>
      </c>
      <c r="Q937" s="116">
        <v>1299.8</v>
      </c>
      <c r="R937">
        <v>59898</v>
      </c>
    </row>
    <row r="938" spans="1:18" x14ac:dyDescent="0.25">
      <c r="A938" s="170">
        <v>44019</v>
      </c>
      <c r="B938" s="116">
        <v>1367.4</v>
      </c>
      <c r="C938" s="116">
        <v>1350.1</v>
      </c>
      <c r="D938" s="116">
        <v>1282</v>
      </c>
      <c r="E938" s="116">
        <v>1282</v>
      </c>
      <c r="F938" s="116">
        <v>1350.1</v>
      </c>
      <c r="G938">
        <v>28901</v>
      </c>
      <c r="H938" s="116"/>
      <c r="I938" s="116"/>
      <c r="L938" s="170">
        <v>44019</v>
      </c>
      <c r="M938" s="116">
        <v>1349.8</v>
      </c>
      <c r="N938" s="116">
        <v>1367.4</v>
      </c>
      <c r="O938" s="116">
        <v>1298.25</v>
      </c>
      <c r="P938" s="116">
        <v>1308.7</v>
      </c>
      <c r="Q938" s="116">
        <v>1349.8</v>
      </c>
      <c r="R938">
        <v>331568</v>
      </c>
    </row>
    <row r="939" spans="1:18" x14ac:dyDescent="0.25">
      <c r="A939" s="170">
        <v>44020</v>
      </c>
      <c r="B939" s="116">
        <v>1392.6</v>
      </c>
      <c r="C939" s="116">
        <v>1389.45</v>
      </c>
      <c r="D939" s="116">
        <v>1337</v>
      </c>
      <c r="E939" s="116">
        <v>1345</v>
      </c>
      <c r="F939" s="116">
        <v>1389.45</v>
      </c>
      <c r="G939">
        <v>14493</v>
      </c>
      <c r="H939" s="116"/>
      <c r="I939" s="116"/>
      <c r="L939" s="170">
        <v>44020</v>
      </c>
      <c r="M939" s="116">
        <v>1390.05</v>
      </c>
      <c r="N939" s="116">
        <v>1394</v>
      </c>
      <c r="O939" s="116">
        <v>1336</v>
      </c>
      <c r="P939" s="116">
        <v>1336.75</v>
      </c>
      <c r="Q939" s="116">
        <v>1390.05</v>
      </c>
      <c r="R939">
        <v>297262</v>
      </c>
    </row>
    <row r="940" spans="1:18" x14ac:dyDescent="0.25">
      <c r="A940" s="170">
        <v>44021</v>
      </c>
      <c r="B940" s="116">
        <v>1429.8</v>
      </c>
      <c r="C940" s="116">
        <v>1406.5</v>
      </c>
      <c r="D940" s="116">
        <v>1398</v>
      </c>
      <c r="E940" s="116">
        <v>1398.4</v>
      </c>
      <c r="F940" s="116">
        <v>1406.5</v>
      </c>
      <c r="G940">
        <v>9113</v>
      </c>
      <c r="H940" s="116"/>
      <c r="I940" s="116"/>
      <c r="L940" s="170">
        <v>44021</v>
      </c>
      <c r="M940" s="116">
        <v>1406.3</v>
      </c>
      <c r="N940" s="116">
        <v>1430</v>
      </c>
      <c r="O940" s="116">
        <v>1397</v>
      </c>
      <c r="P940" s="116">
        <v>1399</v>
      </c>
      <c r="Q940" s="116">
        <v>1406.3</v>
      </c>
      <c r="R940">
        <v>240767</v>
      </c>
    </row>
    <row r="941" spans="1:18" x14ac:dyDescent="0.25">
      <c r="A941" s="170">
        <v>44022</v>
      </c>
      <c r="B941" s="116">
        <v>1439</v>
      </c>
      <c r="C941" s="116">
        <v>1412</v>
      </c>
      <c r="D941" s="116">
        <v>1389.3</v>
      </c>
      <c r="E941" s="116">
        <v>1404.9</v>
      </c>
      <c r="F941" s="116">
        <v>1412</v>
      </c>
      <c r="G941">
        <v>7378</v>
      </c>
      <c r="H941" s="116"/>
      <c r="I941" s="116"/>
      <c r="L941" s="170">
        <v>44022</v>
      </c>
      <c r="M941" s="116">
        <v>1411.7</v>
      </c>
      <c r="N941" s="116">
        <v>1439.9</v>
      </c>
      <c r="O941" s="116">
        <v>1390</v>
      </c>
      <c r="P941" s="116">
        <v>1400</v>
      </c>
      <c r="Q941" s="116">
        <v>1411.7</v>
      </c>
      <c r="R941">
        <v>99164</v>
      </c>
    </row>
    <row r="942" spans="1:18" x14ac:dyDescent="0.25">
      <c r="A942" s="170">
        <v>44025</v>
      </c>
      <c r="B942" s="116">
        <v>1456.8</v>
      </c>
      <c r="C942" s="116">
        <v>1437.45</v>
      </c>
      <c r="D942" s="116">
        <v>1413.15</v>
      </c>
      <c r="E942" s="116">
        <v>1413.15</v>
      </c>
      <c r="F942" s="116">
        <v>1437.45</v>
      </c>
      <c r="G942">
        <v>20171</v>
      </c>
      <c r="H942" s="116"/>
      <c r="I942" s="116"/>
      <c r="L942" s="170">
        <v>44025</v>
      </c>
      <c r="M942" s="116">
        <v>1439</v>
      </c>
      <c r="N942" s="116">
        <v>1457.1</v>
      </c>
      <c r="O942" s="116">
        <v>1420.05</v>
      </c>
      <c r="P942" s="116">
        <v>1429</v>
      </c>
      <c r="Q942" s="116">
        <v>1439</v>
      </c>
      <c r="R942">
        <v>153471</v>
      </c>
    </row>
    <row r="943" spans="1:18" x14ac:dyDescent="0.25">
      <c r="A943" s="170">
        <v>44026</v>
      </c>
      <c r="B943" s="116">
        <v>1465</v>
      </c>
      <c r="C943" s="116">
        <v>1439</v>
      </c>
      <c r="D943" s="116">
        <v>1423.5</v>
      </c>
      <c r="E943" s="116">
        <v>1437.5</v>
      </c>
      <c r="F943" s="116">
        <v>1439</v>
      </c>
      <c r="G943">
        <v>4087</v>
      </c>
      <c r="H943" s="116"/>
      <c r="I943" s="116"/>
      <c r="L943" s="170">
        <v>44026</v>
      </c>
      <c r="M943" s="116">
        <v>1439.25</v>
      </c>
      <c r="N943" s="116">
        <v>1467.5</v>
      </c>
      <c r="O943" s="116">
        <v>1425</v>
      </c>
      <c r="P943" s="116">
        <v>1444.3</v>
      </c>
      <c r="Q943" s="116">
        <v>1439.25</v>
      </c>
      <c r="R943">
        <v>177879</v>
      </c>
    </row>
    <row r="944" spans="1:18" x14ac:dyDescent="0.25">
      <c r="A944" s="170">
        <v>44027</v>
      </c>
      <c r="B944" s="116">
        <v>1475</v>
      </c>
      <c r="C944" s="116">
        <v>1460.75</v>
      </c>
      <c r="D944" s="116">
        <v>1440</v>
      </c>
      <c r="E944" s="116">
        <v>1444</v>
      </c>
      <c r="F944" s="116">
        <v>1460.75</v>
      </c>
      <c r="G944">
        <v>7338</v>
      </c>
      <c r="H944" s="116"/>
      <c r="I944" s="116"/>
      <c r="L944" s="170">
        <v>44027</v>
      </c>
      <c r="M944" s="116">
        <v>1460.3</v>
      </c>
      <c r="N944" s="116">
        <v>1476</v>
      </c>
      <c r="O944" s="116">
        <v>1436.05</v>
      </c>
      <c r="P944" s="116">
        <v>1450.25</v>
      </c>
      <c r="Q944" s="116">
        <v>1460.3</v>
      </c>
      <c r="R944">
        <v>128640</v>
      </c>
    </row>
    <row r="945" spans="1:18" x14ac:dyDescent="0.25">
      <c r="A945" s="170">
        <v>44028</v>
      </c>
      <c r="B945" s="116">
        <v>1515</v>
      </c>
      <c r="C945" s="116">
        <v>1439.2</v>
      </c>
      <c r="D945" s="116">
        <v>1427.4</v>
      </c>
      <c r="E945" s="116">
        <v>1465</v>
      </c>
      <c r="F945" s="116">
        <v>1439.2</v>
      </c>
      <c r="G945">
        <v>16335</v>
      </c>
      <c r="H945" s="116"/>
      <c r="I945" s="116"/>
      <c r="L945" s="170">
        <v>44028</v>
      </c>
      <c r="M945" s="116">
        <v>1441.7</v>
      </c>
      <c r="N945" s="116">
        <v>1517.95</v>
      </c>
      <c r="O945" s="116">
        <v>1428</v>
      </c>
      <c r="P945" s="116">
        <v>1480</v>
      </c>
      <c r="Q945" s="116">
        <v>1441.7</v>
      </c>
      <c r="R945">
        <v>268125</v>
      </c>
    </row>
    <row r="946" spans="1:18" x14ac:dyDescent="0.25">
      <c r="A946" s="170">
        <v>44029</v>
      </c>
      <c r="B946" s="116">
        <v>1410</v>
      </c>
      <c r="C946" s="116">
        <v>1379</v>
      </c>
      <c r="D946" s="116">
        <v>1325</v>
      </c>
      <c r="E946" s="116">
        <v>1392.15</v>
      </c>
      <c r="F946" s="116">
        <v>1379</v>
      </c>
      <c r="G946">
        <v>42433</v>
      </c>
      <c r="H946" s="116"/>
      <c r="I946" s="116"/>
      <c r="L946" s="170">
        <v>44029</v>
      </c>
      <c r="M946" s="116">
        <v>1380.6</v>
      </c>
      <c r="N946" s="116">
        <v>1404.75</v>
      </c>
      <c r="O946" s="116">
        <v>1341.15</v>
      </c>
      <c r="P946" s="116">
        <v>1386</v>
      </c>
      <c r="Q946" s="116">
        <v>1380.6</v>
      </c>
      <c r="R946">
        <v>526150</v>
      </c>
    </row>
    <row r="947" spans="1:18" x14ac:dyDescent="0.25">
      <c r="A947" s="170">
        <v>44032</v>
      </c>
      <c r="B947" s="116">
        <v>1414.5</v>
      </c>
      <c r="C947" s="116">
        <v>1409.95</v>
      </c>
      <c r="D947" s="116">
        <v>1342</v>
      </c>
      <c r="E947" s="116">
        <v>1342</v>
      </c>
      <c r="F947" s="116">
        <v>1409.95</v>
      </c>
      <c r="G947">
        <v>8256</v>
      </c>
      <c r="H947" s="116"/>
      <c r="I947" s="116"/>
      <c r="L947" s="170">
        <v>44032</v>
      </c>
      <c r="M947" s="116">
        <v>1410.35</v>
      </c>
      <c r="N947" s="116">
        <v>1415.2</v>
      </c>
      <c r="O947" s="116">
        <v>1351.25</v>
      </c>
      <c r="P947" s="116">
        <v>1360</v>
      </c>
      <c r="Q947" s="116">
        <v>1410.35</v>
      </c>
      <c r="R947">
        <v>158841</v>
      </c>
    </row>
    <row r="948" spans="1:18" x14ac:dyDescent="0.25">
      <c r="A948" s="170">
        <v>44033</v>
      </c>
      <c r="B948" s="116">
        <v>1458.95</v>
      </c>
      <c r="C948" s="116">
        <v>1441.65</v>
      </c>
      <c r="D948" s="116">
        <v>1414.9</v>
      </c>
      <c r="E948" s="116">
        <v>1414.9</v>
      </c>
      <c r="F948" s="116">
        <v>1441.65</v>
      </c>
      <c r="G948">
        <v>5380</v>
      </c>
      <c r="H948" s="116"/>
      <c r="I948" s="116"/>
      <c r="L948" s="170">
        <v>44033</v>
      </c>
      <c r="M948" s="116">
        <v>1443.2</v>
      </c>
      <c r="N948" s="116">
        <v>1460</v>
      </c>
      <c r="O948" s="116">
        <v>1410.35</v>
      </c>
      <c r="P948" s="116">
        <v>1410.35</v>
      </c>
      <c r="Q948" s="116">
        <v>1443.2</v>
      </c>
      <c r="R948">
        <v>133910</v>
      </c>
    </row>
    <row r="949" spans="1:18" x14ac:dyDescent="0.25">
      <c r="A949" s="170">
        <v>44034</v>
      </c>
      <c r="B949" s="116">
        <v>1468</v>
      </c>
      <c r="C949" s="116">
        <v>1415.2</v>
      </c>
      <c r="D949" s="116">
        <v>1407.25</v>
      </c>
      <c r="E949" s="116">
        <v>1468</v>
      </c>
      <c r="F949" s="116">
        <v>1415.2</v>
      </c>
      <c r="G949">
        <v>2820</v>
      </c>
      <c r="H949" s="116"/>
      <c r="I949" s="116"/>
      <c r="L949" s="170">
        <v>44034</v>
      </c>
      <c r="M949" s="116">
        <v>1415.9</v>
      </c>
      <c r="N949" s="116">
        <v>1439.95</v>
      </c>
      <c r="O949" s="116">
        <v>1406</v>
      </c>
      <c r="P949" s="116">
        <v>1410</v>
      </c>
      <c r="Q949" s="116">
        <v>1415.9</v>
      </c>
      <c r="R949">
        <v>63678</v>
      </c>
    </row>
    <row r="950" spans="1:18" x14ac:dyDescent="0.25">
      <c r="A950" s="170">
        <v>44035</v>
      </c>
      <c r="B950" s="116">
        <v>1431.3</v>
      </c>
      <c r="C950" s="116">
        <v>1402.3</v>
      </c>
      <c r="D950" s="116">
        <v>1390</v>
      </c>
      <c r="E950" s="116">
        <v>1415.2</v>
      </c>
      <c r="F950" s="116">
        <v>1402.3</v>
      </c>
      <c r="G950">
        <v>2842</v>
      </c>
      <c r="H950" s="116"/>
      <c r="I950" s="116"/>
      <c r="L950" s="170">
        <v>44035</v>
      </c>
      <c r="M950" s="116">
        <v>1399.4</v>
      </c>
      <c r="N950" s="116">
        <v>1432.8</v>
      </c>
      <c r="O950" s="116">
        <v>1389.35</v>
      </c>
      <c r="P950" s="116">
        <v>1415</v>
      </c>
      <c r="Q950" s="116">
        <v>1399.4</v>
      </c>
      <c r="R950">
        <v>87516</v>
      </c>
    </row>
    <row r="951" spans="1:18" x14ac:dyDescent="0.25">
      <c r="A951" s="170">
        <v>44036</v>
      </c>
      <c r="B951" s="116">
        <v>1450.3</v>
      </c>
      <c r="C951" s="116">
        <v>1440.6</v>
      </c>
      <c r="D951" s="116">
        <v>1381.65</v>
      </c>
      <c r="E951" s="116">
        <v>1392.25</v>
      </c>
      <c r="F951" s="116">
        <v>1440.6</v>
      </c>
      <c r="G951">
        <v>9517</v>
      </c>
      <c r="H951" s="116"/>
      <c r="I951" s="116"/>
      <c r="L951" s="170">
        <v>44036</v>
      </c>
      <c r="M951" s="116">
        <v>1439.5</v>
      </c>
      <c r="N951" s="116">
        <v>1449.4</v>
      </c>
      <c r="O951" s="116">
        <v>1380.45</v>
      </c>
      <c r="P951" s="116">
        <v>1397.95</v>
      </c>
      <c r="Q951" s="116">
        <v>1439.5</v>
      </c>
      <c r="R951">
        <v>338325</v>
      </c>
    </row>
    <row r="952" spans="1:18" x14ac:dyDescent="0.25">
      <c r="A952" s="170">
        <v>44039</v>
      </c>
      <c r="B952" s="116">
        <v>1458.5</v>
      </c>
      <c r="C952" s="116">
        <v>1433.25</v>
      </c>
      <c r="D952" s="116">
        <v>1402.7</v>
      </c>
      <c r="E952" s="116">
        <v>1412.05</v>
      </c>
      <c r="F952" s="116">
        <v>1433.25</v>
      </c>
      <c r="G952">
        <v>8352</v>
      </c>
      <c r="H952" s="116"/>
      <c r="I952" s="116"/>
      <c r="L952" s="170">
        <v>44039</v>
      </c>
      <c r="M952" s="116">
        <v>1432.85</v>
      </c>
      <c r="N952" s="116">
        <v>1457.85</v>
      </c>
      <c r="O952" s="116">
        <v>1405</v>
      </c>
      <c r="P952" s="116">
        <v>1439.5</v>
      </c>
      <c r="Q952" s="116">
        <v>1432.85</v>
      </c>
      <c r="R952">
        <v>168367</v>
      </c>
    </row>
    <row r="953" spans="1:18" x14ac:dyDescent="0.25">
      <c r="A953" s="170">
        <v>44040</v>
      </c>
      <c r="B953" s="116">
        <v>1470.1</v>
      </c>
      <c r="C953" s="116">
        <v>1453.85</v>
      </c>
      <c r="D953" s="116">
        <v>1434.85</v>
      </c>
      <c r="E953" s="116">
        <v>1445.8</v>
      </c>
      <c r="F953" s="116">
        <v>1453.85</v>
      </c>
      <c r="G953">
        <v>8442</v>
      </c>
      <c r="H953" s="116"/>
      <c r="I953" s="116"/>
      <c r="L953" s="170">
        <v>44040</v>
      </c>
      <c r="M953" s="116">
        <v>1455.3</v>
      </c>
      <c r="N953" s="116">
        <v>1472</v>
      </c>
      <c r="O953" s="116">
        <v>1435</v>
      </c>
      <c r="P953" s="116">
        <v>1435</v>
      </c>
      <c r="Q953" s="116">
        <v>1455.3</v>
      </c>
      <c r="R953">
        <v>92342</v>
      </c>
    </row>
    <row r="954" spans="1:18" x14ac:dyDescent="0.25">
      <c r="A954" s="170">
        <v>44041</v>
      </c>
      <c r="B954" s="116">
        <v>1522.95</v>
      </c>
      <c r="C954" s="116">
        <v>1492.3</v>
      </c>
      <c r="D954" s="116">
        <v>1447.65</v>
      </c>
      <c r="E954" s="116">
        <v>1459</v>
      </c>
      <c r="F954" s="116">
        <v>1492.3</v>
      </c>
      <c r="G954">
        <v>7581</v>
      </c>
      <c r="H954" s="116"/>
      <c r="I954" s="116"/>
      <c r="L954" s="170">
        <v>44041</v>
      </c>
      <c r="M954" s="116">
        <v>1493.65</v>
      </c>
      <c r="N954" s="116">
        <v>1523</v>
      </c>
      <c r="O954" s="116">
        <v>1445</v>
      </c>
      <c r="P954" s="116">
        <v>1455.3</v>
      </c>
      <c r="Q954" s="116">
        <v>1493.65</v>
      </c>
      <c r="R954">
        <v>319851</v>
      </c>
    </row>
    <row r="955" spans="1:18" x14ac:dyDescent="0.25">
      <c r="A955" s="170">
        <v>44042</v>
      </c>
      <c r="B955" s="116">
        <v>1528</v>
      </c>
      <c r="C955" s="116">
        <v>1506.5</v>
      </c>
      <c r="D955" s="116">
        <v>1493.3</v>
      </c>
      <c r="E955" s="116">
        <v>1504.25</v>
      </c>
      <c r="F955" s="116">
        <v>1506.5</v>
      </c>
      <c r="G955">
        <v>4053</v>
      </c>
      <c r="H955" s="116"/>
      <c r="I955" s="116"/>
      <c r="L955" s="170">
        <v>44042</v>
      </c>
      <c r="M955" s="116">
        <v>1504.15</v>
      </c>
      <c r="N955" s="116">
        <v>1530</v>
      </c>
      <c r="O955" s="116">
        <v>1493.1</v>
      </c>
      <c r="P955" s="116">
        <v>1505</v>
      </c>
      <c r="Q955" s="116">
        <v>1504.15</v>
      </c>
      <c r="R955">
        <v>241608</v>
      </c>
    </row>
    <row r="956" spans="1:18" x14ac:dyDescent="0.25">
      <c r="A956" s="170">
        <v>44043</v>
      </c>
      <c r="B956" s="116">
        <v>1520</v>
      </c>
      <c r="C956" s="116">
        <v>1509.65</v>
      </c>
      <c r="D956" s="116">
        <v>1472.6</v>
      </c>
      <c r="E956" s="116">
        <v>1515</v>
      </c>
      <c r="F956" s="116">
        <v>1509.65</v>
      </c>
      <c r="G956">
        <v>6178</v>
      </c>
      <c r="H956" s="116"/>
      <c r="I956" s="116"/>
      <c r="L956" s="170">
        <v>44043</v>
      </c>
      <c r="M956" s="116">
        <v>1511.35</v>
      </c>
      <c r="N956" s="116">
        <v>1524</v>
      </c>
      <c r="O956" s="116">
        <v>1473.5</v>
      </c>
      <c r="P956" s="116">
        <v>1524</v>
      </c>
      <c r="Q956" s="116">
        <v>1511.35</v>
      </c>
      <c r="R956">
        <v>231823</v>
      </c>
    </row>
    <row r="957" spans="1:18" x14ac:dyDescent="0.25">
      <c r="A957" s="170">
        <v>44046</v>
      </c>
      <c r="B957" s="116">
        <v>1543</v>
      </c>
      <c r="C957" s="116">
        <v>1534.05</v>
      </c>
      <c r="D957" s="116">
        <v>1509.9</v>
      </c>
      <c r="E957" s="116">
        <v>1516</v>
      </c>
      <c r="F957" s="116">
        <v>1534.05</v>
      </c>
      <c r="G957">
        <v>4426</v>
      </c>
      <c r="H957" s="116"/>
      <c r="I957" s="116"/>
      <c r="L957" s="170">
        <v>44046</v>
      </c>
      <c r="M957" s="116">
        <v>1534.95</v>
      </c>
      <c r="N957" s="116">
        <v>1544</v>
      </c>
      <c r="O957" s="116">
        <v>1500</v>
      </c>
      <c r="P957" s="116">
        <v>1500</v>
      </c>
      <c r="Q957" s="116">
        <v>1534.95</v>
      </c>
      <c r="R957">
        <v>78531</v>
      </c>
    </row>
    <row r="958" spans="1:18" x14ac:dyDescent="0.25">
      <c r="A958" s="170">
        <v>44047</v>
      </c>
      <c r="B958" s="116">
        <v>1568.35</v>
      </c>
      <c r="C958" s="116">
        <v>1518.5</v>
      </c>
      <c r="D958" s="116">
        <v>1511.1</v>
      </c>
      <c r="E958" s="116">
        <v>1540</v>
      </c>
      <c r="F958" s="116">
        <v>1518.5</v>
      </c>
      <c r="G958">
        <v>3235</v>
      </c>
      <c r="H958" s="116"/>
      <c r="I958" s="116"/>
      <c r="L958" s="170">
        <v>44047</v>
      </c>
      <c r="M958" s="116">
        <v>1517.6</v>
      </c>
      <c r="N958" s="116">
        <v>1588.95</v>
      </c>
      <c r="O958" s="116">
        <v>1511</v>
      </c>
      <c r="P958" s="116">
        <v>1550</v>
      </c>
      <c r="Q958" s="116">
        <v>1517.6</v>
      </c>
      <c r="R958">
        <v>73143</v>
      </c>
    </row>
    <row r="959" spans="1:18" x14ac:dyDescent="0.25">
      <c r="A959" s="170">
        <v>44048</v>
      </c>
      <c r="B959" s="116">
        <v>1538.3</v>
      </c>
      <c r="C959" s="116">
        <v>1531.95</v>
      </c>
      <c r="D959" s="116">
        <v>1506.45</v>
      </c>
      <c r="E959" s="116">
        <v>1528.95</v>
      </c>
      <c r="F959" s="116">
        <v>1531.95</v>
      </c>
      <c r="G959">
        <v>4202</v>
      </c>
      <c r="H959" s="116"/>
      <c r="I959" s="116"/>
      <c r="L959" s="170">
        <v>44048</v>
      </c>
      <c r="M959" s="116">
        <v>1532.65</v>
      </c>
      <c r="N959" s="116">
        <v>1538</v>
      </c>
      <c r="O959" s="116">
        <v>1506.5</v>
      </c>
      <c r="P959" s="116">
        <v>1529.65</v>
      </c>
      <c r="Q959" s="116">
        <v>1532.65</v>
      </c>
      <c r="R959">
        <v>98893</v>
      </c>
    </row>
    <row r="960" spans="1:18" x14ac:dyDescent="0.25">
      <c r="A960" s="170">
        <v>44049</v>
      </c>
      <c r="B960" s="116">
        <v>1564</v>
      </c>
      <c r="C960" s="116">
        <v>1562.6</v>
      </c>
      <c r="D960" s="116">
        <v>1531.95</v>
      </c>
      <c r="E960" s="116">
        <v>1532.5</v>
      </c>
      <c r="F960" s="116">
        <v>1562.6</v>
      </c>
      <c r="G960">
        <v>3142</v>
      </c>
      <c r="H960" s="116"/>
      <c r="I960" s="116"/>
      <c r="L960" s="170">
        <v>44049</v>
      </c>
      <c r="M960" s="116">
        <v>1561.85</v>
      </c>
      <c r="N960" s="116">
        <v>1564.95</v>
      </c>
      <c r="O960" s="116">
        <v>1530.5</v>
      </c>
      <c r="P960" s="116">
        <v>1539.65</v>
      </c>
      <c r="Q960" s="116">
        <v>1561.85</v>
      </c>
      <c r="R960">
        <v>74729</v>
      </c>
    </row>
    <row r="961" spans="1:18" x14ac:dyDescent="0.25">
      <c r="A961" s="170">
        <v>44050</v>
      </c>
      <c r="B961" s="116">
        <v>1625</v>
      </c>
      <c r="C961" s="116">
        <v>1594</v>
      </c>
      <c r="D961" s="116">
        <v>1546.2</v>
      </c>
      <c r="E961" s="116">
        <v>1565</v>
      </c>
      <c r="F961" s="116">
        <v>1594</v>
      </c>
      <c r="G961">
        <v>8963</v>
      </c>
      <c r="H961" s="116"/>
      <c r="I961" s="116"/>
      <c r="L961" s="170">
        <v>44050</v>
      </c>
      <c r="M961" s="116">
        <v>1592.95</v>
      </c>
      <c r="N961" s="116">
        <v>1625</v>
      </c>
      <c r="O961" s="116">
        <v>1550</v>
      </c>
      <c r="P961" s="116">
        <v>1563</v>
      </c>
      <c r="Q961" s="116">
        <v>1592.95</v>
      </c>
      <c r="R961">
        <v>263861</v>
      </c>
    </row>
    <row r="962" spans="1:18" x14ac:dyDescent="0.25">
      <c r="A962" s="170">
        <v>44053</v>
      </c>
      <c r="B962" s="116">
        <v>1635</v>
      </c>
      <c r="C962" s="116">
        <v>1629.8</v>
      </c>
      <c r="D962" s="116">
        <v>1596.3</v>
      </c>
      <c r="E962" s="116">
        <v>1604.95</v>
      </c>
      <c r="F962" s="116">
        <v>1629.8</v>
      </c>
      <c r="G962">
        <v>6161</v>
      </c>
      <c r="H962" s="116"/>
      <c r="I962" s="116"/>
      <c r="L962" s="170">
        <v>44053</v>
      </c>
      <c r="M962" s="116">
        <v>1630.2</v>
      </c>
      <c r="N962" s="116">
        <v>1636.95</v>
      </c>
      <c r="O962" s="116">
        <v>1594.7</v>
      </c>
      <c r="P962" s="116">
        <v>1604</v>
      </c>
      <c r="Q962" s="116">
        <v>1630.2</v>
      </c>
      <c r="R962">
        <v>85839</v>
      </c>
    </row>
    <row r="963" spans="1:18" x14ac:dyDescent="0.25">
      <c r="A963" s="170">
        <v>44054</v>
      </c>
      <c r="B963" s="116">
        <v>1652.5</v>
      </c>
      <c r="C963" s="116">
        <v>1592.9</v>
      </c>
      <c r="D963" s="116">
        <v>1583.95</v>
      </c>
      <c r="E963" s="116">
        <v>1648.1</v>
      </c>
      <c r="F963" s="116">
        <v>1592.9</v>
      </c>
      <c r="G963">
        <v>4232</v>
      </c>
      <c r="H963" s="116"/>
      <c r="I963" s="116"/>
      <c r="L963" s="170">
        <v>44054</v>
      </c>
      <c r="M963" s="116">
        <v>1589.75</v>
      </c>
      <c r="N963" s="116">
        <v>1653</v>
      </c>
      <c r="O963" s="116">
        <v>1581.65</v>
      </c>
      <c r="P963" s="116">
        <v>1630.2</v>
      </c>
      <c r="Q963" s="116">
        <v>1589.75</v>
      </c>
      <c r="R963">
        <v>176501</v>
      </c>
    </row>
    <row r="964" spans="1:18" x14ac:dyDescent="0.25">
      <c r="A964" s="170">
        <v>44055</v>
      </c>
      <c r="B964" s="116">
        <v>1585.9</v>
      </c>
      <c r="C964" s="116">
        <v>1568.1</v>
      </c>
      <c r="D964" s="116">
        <v>1551.55</v>
      </c>
      <c r="E964" s="116">
        <v>1580</v>
      </c>
      <c r="F964" s="116">
        <v>1568.1</v>
      </c>
      <c r="G964">
        <v>33090</v>
      </c>
      <c r="H964" s="116"/>
      <c r="I964" s="116"/>
      <c r="L964" s="170">
        <v>44055</v>
      </c>
      <c r="M964" s="116">
        <v>1569.15</v>
      </c>
      <c r="N964" s="116">
        <v>1597.95</v>
      </c>
      <c r="O964" s="116">
        <v>1552.8</v>
      </c>
      <c r="P964" s="116">
        <v>1589.75</v>
      </c>
      <c r="Q964" s="116">
        <v>1569.15</v>
      </c>
      <c r="R964">
        <v>159308</v>
      </c>
    </row>
    <row r="965" spans="1:18" x14ac:dyDescent="0.25">
      <c r="A965" s="170">
        <v>44056</v>
      </c>
      <c r="B965" s="116">
        <v>1605.55</v>
      </c>
      <c r="C965" s="116">
        <v>1595</v>
      </c>
      <c r="D965" s="116">
        <v>1575.85</v>
      </c>
      <c r="E965" s="116">
        <v>1580</v>
      </c>
      <c r="F965" s="116">
        <v>1595</v>
      </c>
      <c r="G965">
        <v>1580</v>
      </c>
      <c r="H965" s="116"/>
      <c r="I965" s="116"/>
      <c r="L965" s="170">
        <v>44056</v>
      </c>
      <c r="M965" s="116">
        <v>1594.7</v>
      </c>
      <c r="N965" s="116">
        <v>1606.95</v>
      </c>
      <c r="O965" s="116">
        <v>1575</v>
      </c>
      <c r="P965" s="116">
        <v>1575</v>
      </c>
      <c r="Q965" s="116">
        <v>1594.7</v>
      </c>
      <c r="R965">
        <v>112222</v>
      </c>
    </row>
    <row r="966" spans="1:18" x14ac:dyDescent="0.25">
      <c r="A966" s="170">
        <v>44057</v>
      </c>
      <c r="B966" s="116">
        <v>1618.15</v>
      </c>
      <c r="C966" s="116">
        <v>1563</v>
      </c>
      <c r="D966" s="116">
        <v>1555</v>
      </c>
      <c r="E966" s="116">
        <v>1596.1</v>
      </c>
      <c r="F966" s="116">
        <v>1563</v>
      </c>
      <c r="G966">
        <v>3123</v>
      </c>
      <c r="H966" s="116"/>
      <c r="I966" s="116"/>
      <c r="L966" s="170">
        <v>44057</v>
      </c>
      <c r="M966" s="116">
        <v>1564.9</v>
      </c>
      <c r="N966" s="116">
        <v>1617.1</v>
      </c>
      <c r="O966" s="116">
        <v>1551.05</v>
      </c>
      <c r="P966" s="116">
        <v>1585</v>
      </c>
      <c r="Q966" s="116">
        <v>1564.9</v>
      </c>
      <c r="R966">
        <v>39865</v>
      </c>
    </row>
    <row r="967" spans="1:18" x14ac:dyDescent="0.25">
      <c r="A967" s="170">
        <v>44060</v>
      </c>
      <c r="B967" s="116">
        <v>1574.05</v>
      </c>
      <c r="C967" s="116">
        <v>1545.85</v>
      </c>
      <c r="D967" s="116">
        <v>1527.8</v>
      </c>
      <c r="E967" s="116">
        <v>1574.05</v>
      </c>
      <c r="F967" s="116">
        <v>1545.85</v>
      </c>
      <c r="G967">
        <v>1835</v>
      </c>
      <c r="H967" s="116"/>
      <c r="I967" s="116"/>
      <c r="L967" s="170">
        <v>44060</v>
      </c>
      <c r="M967" s="116">
        <v>1545.2</v>
      </c>
      <c r="N967" s="116">
        <v>1588</v>
      </c>
      <c r="O967" s="116">
        <v>1526.8</v>
      </c>
      <c r="P967" s="116">
        <v>1570</v>
      </c>
      <c r="Q967" s="116">
        <v>1545.2</v>
      </c>
      <c r="R967">
        <v>44095</v>
      </c>
    </row>
    <row r="968" spans="1:18" x14ac:dyDescent="0.25">
      <c r="A968" s="170">
        <v>44061</v>
      </c>
      <c r="B968" s="116">
        <v>1593.8</v>
      </c>
      <c r="C968" s="116">
        <v>1587.5</v>
      </c>
      <c r="D968" s="116">
        <v>1545.2</v>
      </c>
      <c r="E968" s="116">
        <v>1545.2</v>
      </c>
      <c r="F968" s="116">
        <v>1587.5</v>
      </c>
      <c r="G968">
        <v>4800</v>
      </c>
      <c r="H968" s="116"/>
      <c r="I968" s="116"/>
      <c r="L968" s="170">
        <v>44061</v>
      </c>
      <c r="M968" s="116">
        <v>1588.2</v>
      </c>
      <c r="N968" s="116">
        <v>1594</v>
      </c>
      <c r="O968" s="116">
        <v>1545.05</v>
      </c>
      <c r="P968" s="116">
        <v>1545.05</v>
      </c>
      <c r="Q968" s="116">
        <v>1588.2</v>
      </c>
      <c r="R968">
        <v>69345</v>
      </c>
    </row>
    <row r="969" spans="1:18" x14ac:dyDescent="0.25">
      <c r="A969" s="170">
        <v>44062</v>
      </c>
      <c r="B969" s="116">
        <v>1605</v>
      </c>
      <c r="C969" s="116">
        <v>1598.7</v>
      </c>
      <c r="D969" s="116">
        <v>1590</v>
      </c>
      <c r="E969" s="116">
        <v>1594.6</v>
      </c>
      <c r="F969" s="116">
        <v>1598.7</v>
      </c>
      <c r="G969">
        <v>2867</v>
      </c>
      <c r="H969" s="116"/>
      <c r="I969" s="116"/>
      <c r="L969" s="170">
        <v>44062</v>
      </c>
      <c r="M969" s="116">
        <v>1600.2</v>
      </c>
      <c r="N969" s="116">
        <v>1606.5</v>
      </c>
      <c r="O969" s="116">
        <v>1589</v>
      </c>
      <c r="P969" s="116">
        <v>1590</v>
      </c>
      <c r="Q969" s="116">
        <v>1600.2</v>
      </c>
      <c r="R969">
        <v>37075</v>
      </c>
    </row>
    <row r="970" spans="1:18" x14ac:dyDescent="0.25">
      <c r="A970" s="170">
        <v>44063</v>
      </c>
      <c r="B970" s="116">
        <v>1613.9</v>
      </c>
      <c r="C970" s="116">
        <v>1581.05</v>
      </c>
      <c r="D970" s="116">
        <v>1566.05</v>
      </c>
      <c r="E970" s="116">
        <v>1595</v>
      </c>
      <c r="F970" s="116">
        <v>1581.05</v>
      </c>
      <c r="G970">
        <v>2525</v>
      </c>
      <c r="H970" s="116"/>
      <c r="I970" s="116"/>
      <c r="L970" s="170">
        <v>44063</v>
      </c>
      <c r="M970" s="116">
        <v>1580.65</v>
      </c>
      <c r="N970" s="116">
        <v>1615</v>
      </c>
      <c r="O970" s="116">
        <v>1565</v>
      </c>
      <c r="P970" s="116">
        <v>1590</v>
      </c>
      <c r="Q970" s="116">
        <v>1580.65</v>
      </c>
      <c r="R970">
        <v>52330</v>
      </c>
    </row>
    <row r="971" spans="1:18" x14ac:dyDescent="0.25">
      <c r="A971" s="170">
        <v>44064</v>
      </c>
      <c r="B971" s="116">
        <v>1611.9</v>
      </c>
      <c r="C971" s="116">
        <v>1603.05</v>
      </c>
      <c r="D971" s="116">
        <v>1576.7</v>
      </c>
      <c r="E971" s="116">
        <v>1581.85</v>
      </c>
      <c r="F971" s="116">
        <v>1603.05</v>
      </c>
      <c r="G971">
        <v>4063</v>
      </c>
      <c r="H971" s="116"/>
      <c r="I971" s="116"/>
      <c r="L971" s="170">
        <v>44064</v>
      </c>
      <c r="M971" s="116">
        <v>1604.55</v>
      </c>
      <c r="N971" s="116">
        <v>1612.7</v>
      </c>
      <c r="O971" s="116">
        <v>1573.55</v>
      </c>
      <c r="P971" s="116">
        <v>1581.1</v>
      </c>
      <c r="Q971" s="116">
        <v>1604.55</v>
      </c>
      <c r="R971">
        <v>93949</v>
      </c>
    </row>
    <row r="972" spans="1:18" x14ac:dyDescent="0.25">
      <c r="A972" s="170">
        <v>44067</v>
      </c>
      <c r="B972" s="116">
        <v>1631.7</v>
      </c>
      <c r="C972" s="116">
        <v>1579.75</v>
      </c>
      <c r="D972" s="116">
        <v>1574.35</v>
      </c>
      <c r="E972" s="116">
        <v>1629</v>
      </c>
      <c r="F972" s="116">
        <v>1579.75</v>
      </c>
      <c r="G972">
        <v>6936</v>
      </c>
      <c r="H972" s="116"/>
      <c r="I972" s="116"/>
      <c r="L972" s="170">
        <v>44067</v>
      </c>
      <c r="M972" s="116">
        <v>1579.55</v>
      </c>
      <c r="N972" s="116">
        <v>1631.9</v>
      </c>
      <c r="O972" s="116">
        <v>1574.9</v>
      </c>
      <c r="P972" s="116">
        <v>1612</v>
      </c>
      <c r="Q972" s="116">
        <v>1579.55</v>
      </c>
      <c r="R972">
        <v>164561</v>
      </c>
    </row>
    <row r="973" spans="1:18" x14ac:dyDescent="0.25">
      <c r="A973" s="170">
        <v>44068</v>
      </c>
      <c r="B973" s="116">
        <v>1592.35</v>
      </c>
      <c r="C973" s="116">
        <v>1538.25</v>
      </c>
      <c r="D973" s="116">
        <v>1520</v>
      </c>
      <c r="E973" s="116">
        <v>1590.75</v>
      </c>
      <c r="F973" s="116">
        <v>1538.25</v>
      </c>
      <c r="G973">
        <v>6925</v>
      </c>
      <c r="H973" s="116"/>
      <c r="I973" s="116"/>
      <c r="L973" s="170">
        <v>44068</v>
      </c>
      <c r="M973" s="116">
        <v>1545</v>
      </c>
      <c r="N973" s="116">
        <v>1596.9</v>
      </c>
      <c r="O973" s="116">
        <v>1518.65</v>
      </c>
      <c r="P973" s="116">
        <v>1596.9</v>
      </c>
      <c r="Q973" s="116">
        <v>1545</v>
      </c>
      <c r="R973">
        <v>122085</v>
      </c>
    </row>
    <row r="974" spans="1:18" x14ac:dyDescent="0.25">
      <c r="A974" s="170">
        <v>44069</v>
      </c>
      <c r="B974" s="116">
        <v>1554.8</v>
      </c>
      <c r="C974" s="116">
        <v>1541.85</v>
      </c>
      <c r="D974" s="116">
        <v>1522</v>
      </c>
      <c r="E974" s="116">
        <v>1554</v>
      </c>
      <c r="F974" s="116">
        <v>1541.85</v>
      </c>
      <c r="G974">
        <v>3092</v>
      </c>
      <c r="H974" s="116"/>
      <c r="I974" s="116"/>
      <c r="L974" s="170">
        <v>44069</v>
      </c>
      <c r="M974" s="116">
        <v>1540.55</v>
      </c>
      <c r="N974" s="116">
        <v>1559</v>
      </c>
      <c r="O974" s="116">
        <v>1521.2</v>
      </c>
      <c r="P974" s="116">
        <v>1559</v>
      </c>
      <c r="Q974" s="116">
        <v>1540.55</v>
      </c>
      <c r="R974">
        <v>89903</v>
      </c>
    </row>
    <row r="975" spans="1:18" x14ac:dyDescent="0.25">
      <c r="A975" s="170">
        <v>44070</v>
      </c>
      <c r="B975" s="116">
        <v>1562</v>
      </c>
      <c r="C975" s="116">
        <v>1537.85</v>
      </c>
      <c r="D975" s="116">
        <v>1530.4</v>
      </c>
      <c r="E975" s="116">
        <v>1554.75</v>
      </c>
      <c r="F975" s="116">
        <v>1537.85</v>
      </c>
      <c r="G975">
        <v>4356</v>
      </c>
      <c r="H975" s="116"/>
      <c r="I975" s="116"/>
      <c r="L975" s="170">
        <v>44070</v>
      </c>
      <c r="M975" s="116">
        <v>1538.05</v>
      </c>
      <c r="N975" s="116">
        <v>1564.5</v>
      </c>
      <c r="O975" s="116">
        <v>1530</v>
      </c>
      <c r="P975" s="116">
        <v>1549</v>
      </c>
      <c r="Q975" s="116">
        <v>1538.05</v>
      </c>
      <c r="R975">
        <v>77022</v>
      </c>
    </row>
    <row r="976" spans="1:18" x14ac:dyDescent="0.25">
      <c r="A976" s="170">
        <v>44071</v>
      </c>
      <c r="B976" s="116">
        <v>1555</v>
      </c>
      <c r="C976" s="116">
        <v>1534.1</v>
      </c>
      <c r="D976" s="116">
        <v>1525</v>
      </c>
      <c r="E976" s="116">
        <v>1533</v>
      </c>
      <c r="F976" s="116">
        <v>1534.1</v>
      </c>
      <c r="G976">
        <v>1947</v>
      </c>
      <c r="H976" s="116"/>
      <c r="I976" s="116"/>
      <c r="L976" s="170">
        <v>44071</v>
      </c>
      <c r="M976" s="116">
        <v>1534.65</v>
      </c>
      <c r="N976" s="116">
        <v>1559</v>
      </c>
      <c r="O976" s="116">
        <v>1525.05</v>
      </c>
      <c r="P976" s="116">
        <v>1544.5</v>
      </c>
      <c r="Q976" s="116">
        <v>1534.65</v>
      </c>
      <c r="R976">
        <v>81092</v>
      </c>
    </row>
    <row r="977" spans="1:18" x14ac:dyDescent="0.25">
      <c r="A977" s="170">
        <v>44074</v>
      </c>
      <c r="B977" s="116">
        <v>1585</v>
      </c>
      <c r="C977" s="116">
        <v>1563</v>
      </c>
      <c r="D977" s="116">
        <v>1502.05</v>
      </c>
      <c r="E977" s="116">
        <v>1550.25</v>
      </c>
      <c r="F977" s="116">
        <v>1563</v>
      </c>
      <c r="G977">
        <v>4725</v>
      </c>
      <c r="H977" s="116"/>
      <c r="I977" s="116"/>
      <c r="L977" s="170">
        <v>44074</v>
      </c>
      <c r="M977" s="116">
        <v>1565.15</v>
      </c>
      <c r="N977" s="116">
        <v>1585</v>
      </c>
      <c r="O977" s="116">
        <v>1508</v>
      </c>
      <c r="P977" s="116">
        <v>1540</v>
      </c>
      <c r="Q977" s="116">
        <v>1565.15</v>
      </c>
      <c r="R977">
        <v>105158</v>
      </c>
    </row>
    <row r="978" spans="1:18" x14ac:dyDescent="0.25">
      <c r="A978" s="170">
        <v>44075</v>
      </c>
      <c r="B978" s="116">
        <v>1584.25</v>
      </c>
      <c r="C978" s="116">
        <v>1534.55</v>
      </c>
      <c r="D978" s="116">
        <v>1515.75</v>
      </c>
      <c r="E978" s="116">
        <v>1575.7</v>
      </c>
      <c r="F978" s="116">
        <v>1534.55</v>
      </c>
      <c r="G978">
        <v>2274</v>
      </c>
      <c r="H978" s="116"/>
      <c r="I978" s="116"/>
      <c r="L978" s="170">
        <v>44075</v>
      </c>
      <c r="M978" s="116">
        <v>1534.5</v>
      </c>
      <c r="N978" s="116">
        <v>1585</v>
      </c>
      <c r="O978" s="116">
        <v>1512</v>
      </c>
      <c r="P978" s="116">
        <v>1585</v>
      </c>
      <c r="Q978" s="116">
        <v>1534.5</v>
      </c>
      <c r="R978">
        <v>99425</v>
      </c>
    </row>
    <row r="979" spans="1:18" x14ac:dyDescent="0.25">
      <c r="A979" s="170">
        <v>44076</v>
      </c>
      <c r="B979" s="116">
        <v>1563</v>
      </c>
      <c r="C979" s="116">
        <v>1529.3</v>
      </c>
      <c r="D979" s="116">
        <v>1515.8</v>
      </c>
      <c r="E979" s="116">
        <v>1538.85</v>
      </c>
      <c r="F979" s="116">
        <v>1529.3</v>
      </c>
      <c r="G979">
        <v>2602</v>
      </c>
      <c r="H979" s="116"/>
      <c r="I979" s="116"/>
      <c r="L979" s="170">
        <v>44076</v>
      </c>
      <c r="M979" s="116">
        <v>1528.9</v>
      </c>
      <c r="N979" s="116">
        <v>1563.7</v>
      </c>
      <c r="O979" s="116">
        <v>1515.15</v>
      </c>
      <c r="P979" s="116">
        <v>1549.15</v>
      </c>
      <c r="Q979" s="116">
        <v>1528.9</v>
      </c>
      <c r="R979">
        <v>133326</v>
      </c>
    </row>
    <row r="980" spans="1:18" x14ac:dyDescent="0.25">
      <c r="A980" s="170">
        <v>44077</v>
      </c>
      <c r="B980" s="116">
        <v>1609.9</v>
      </c>
      <c r="C980" s="116">
        <v>1580.25</v>
      </c>
      <c r="D980" s="116">
        <v>1536</v>
      </c>
      <c r="E980" s="116">
        <v>1536</v>
      </c>
      <c r="F980" s="116">
        <v>1580.25</v>
      </c>
      <c r="G980">
        <v>11393</v>
      </c>
      <c r="H980" s="116"/>
      <c r="I980" s="116"/>
      <c r="L980" s="170">
        <v>44077</v>
      </c>
      <c r="M980" s="116">
        <v>1577.7</v>
      </c>
      <c r="N980" s="116">
        <v>1612</v>
      </c>
      <c r="O980" s="116">
        <v>1536.5</v>
      </c>
      <c r="P980" s="116">
        <v>1539.9</v>
      </c>
      <c r="Q980" s="116">
        <v>1577.7</v>
      </c>
      <c r="R980">
        <v>179444</v>
      </c>
    </row>
    <row r="981" spans="1:18" x14ac:dyDescent="0.25">
      <c r="A981" s="170">
        <v>44078</v>
      </c>
      <c r="B981" s="116">
        <v>1581.45</v>
      </c>
      <c r="C981" s="116">
        <v>1562.8</v>
      </c>
      <c r="D981" s="116">
        <v>1510</v>
      </c>
      <c r="E981" s="116">
        <v>1510</v>
      </c>
      <c r="F981" s="116">
        <v>1562.8</v>
      </c>
      <c r="G981">
        <v>5273</v>
      </c>
      <c r="H981" s="116"/>
      <c r="I981" s="116"/>
      <c r="L981" s="170">
        <v>44078</v>
      </c>
      <c r="M981" s="116">
        <v>1563</v>
      </c>
      <c r="N981" s="116">
        <v>1582.5</v>
      </c>
      <c r="O981" s="116">
        <v>1538.75</v>
      </c>
      <c r="P981" s="116">
        <v>1545</v>
      </c>
      <c r="Q981" s="116">
        <v>1563</v>
      </c>
      <c r="R981">
        <v>54814</v>
      </c>
    </row>
    <row r="982" spans="1:18" x14ac:dyDescent="0.25">
      <c r="A982" s="170">
        <v>44081</v>
      </c>
      <c r="B982" s="116">
        <v>1573.85</v>
      </c>
      <c r="C982" s="116">
        <v>1520.1</v>
      </c>
      <c r="D982" s="116">
        <v>1515</v>
      </c>
      <c r="E982" s="116">
        <v>1573.85</v>
      </c>
      <c r="F982" s="116">
        <v>1520.1</v>
      </c>
      <c r="G982">
        <v>14272</v>
      </c>
      <c r="H982" s="116"/>
      <c r="I982" s="116"/>
      <c r="L982" s="170">
        <v>44081</v>
      </c>
      <c r="M982" s="116">
        <v>1520.85</v>
      </c>
      <c r="N982" s="116">
        <v>1576.25</v>
      </c>
      <c r="O982" s="116">
        <v>1515</v>
      </c>
      <c r="P982" s="116">
        <v>1560.2</v>
      </c>
      <c r="Q982" s="116">
        <v>1520.85</v>
      </c>
      <c r="R982">
        <v>230276</v>
      </c>
    </row>
    <row r="983" spans="1:18" x14ac:dyDescent="0.25">
      <c r="A983" s="170">
        <v>44082</v>
      </c>
      <c r="B983" s="116">
        <v>1531.35</v>
      </c>
      <c r="C983" s="116">
        <v>1499.35</v>
      </c>
      <c r="D983" s="116">
        <v>1496.3</v>
      </c>
      <c r="E983" s="116">
        <v>1528.45</v>
      </c>
      <c r="F983" s="116">
        <v>1499.35</v>
      </c>
      <c r="G983">
        <v>2478</v>
      </c>
      <c r="H983" s="116"/>
      <c r="I983" s="116"/>
      <c r="L983" s="170">
        <v>44082</v>
      </c>
      <c r="M983" s="116">
        <v>1499.95</v>
      </c>
      <c r="N983" s="116">
        <v>1530</v>
      </c>
      <c r="O983" s="116">
        <v>1497</v>
      </c>
      <c r="P983" s="116">
        <v>1520.85</v>
      </c>
      <c r="Q983" s="116">
        <v>1499.95</v>
      </c>
      <c r="R983">
        <v>113469</v>
      </c>
    </row>
    <row r="984" spans="1:18" x14ac:dyDescent="0.25">
      <c r="A984" s="170">
        <v>44083</v>
      </c>
      <c r="B984" s="116">
        <v>1512.95</v>
      </c>
      <c r="C984" s="116">
        <v>1493.8</v>
      </c>
      <c r="D984" s="116">
        <v>1465.1</v>
      </c>
      <c r="E984" s="116">
        <v>1490</v>
      </c>
      <c r="F984" s="116">
        <v>1493.8</v>
      </c>
      <c r="G984">
        <v>2660</v>
      </c>
      <c r="H984" s="116"/>
      <c r="I984" s="116"/>
      <c r="L984" s="170">
        <v>44083</v>
      </c>
      <c r="M984" s="116">
        <v>1491.1</v>
      </c>
      <c r="N984" s="116">
        <v>1513.65</v>
      </c>
      <c r="O984" s="116">
        <v>1464.1</v>
      </c>
      <c r="P984" s="116">
        <v>1484.95</v>
      </c>
      <c r="Q984" s="116">
        <v>1491.1</v>
      </c>
      <c r="R984">
        <v>83095</v>
      </c>
    </row>
    <row r="985" spans="1:18" x14ac:dyDescent="0.25">
      <c r="A985" s="170">
        <v>44084</v>
      </c>
      <c r="B985" s="116">
        <v>1517.95</v>
      </c>
      <c r="C985" s="116">
        <v>1498.1</v>
      </c>
      <c r="D985" s="116">
        <v>1486.55</v>
      </c>
      <c r="E985" s="116">
        <v>1507</v>
      </c>
      <c r="F985" s="116">
        <v>1498.1</v>
      </c>
      <c r="G985">
        <v>2458</v>
      </c>
      <c r="H985" s="116"/>
      <c r="I985" s="116"/>
      <c r="L985" s="170">
        <v>44084</v>
      </c>
      <c r="M985" s="116">
        <v>1497.5</v>
      </c>
      <c r="N985" s="116">
        <v>1519.65</v>
      </c>
      <c r="O985" s="116">
        <v>1487.7</v>
      </c>
      <c r="P985" s="116">
        <v>1492</v>
      </c>
      <c r="Q985" s="116">
        <v>1497.5</v>
      </c>
      <c r="R985">
        <v>48443</v>
      </c>
    </row>
    <row r="986" spans="1:18" x14ac:dyDescent="0.25">
      <c r="A986" s="170">
        <v>44085</v>
      </c>
      <c r="B986" s="116">
        <v>1539.85</v>
      </c>
      <c r="C986" s="116">
        <v>1519.7</v>
      </c>
      <c r="D986" s="116">
        <v>1473</v>
      </c>
      <c r="E986" s="116">
        <v>1499.8</v>
      </c>
      <c r="F986" s="116">
        <v>1519.7</v>
      </c>
      <c r="G986">
        <v>4025</v>
      </c>
      <c r="H986" s="116"/>
      <c r="I986" s="116"/>
      <c r="L986" s="170">
        <v>44085</v>
      </c>
      <c r="M986" s="116">
        <v>1524.2</v>
      </c>
      <c r="N986" s="116">
        <v>1540</v>
      </c>
      <c r="O986" s="116">
        <v>1473.65</v>
      </c>
      <c r="P986" s="116">
        <v>1506</v>
      </c>
      <c r="Q986" s="116">
        <v>1524.2</v>
      </c>
      <c r="R986">
        <v>97579</v>
      </c>
    </row>
    <row r="987" spans="1:18" x14ac:dyDescent="0.25">
      <c r="A987" s="170">
        <v>44088</v>
      </c>
      <c r="B987" s="116">
        <v>1611</v>
      </c>
      <c r="C987" s="116">
        <v>1593.7</v>
      </c>
      <c r="D987" s="116">
        <v>1536.65</v>
      </c>
      <c r="E987" s="116">
        <v>1538</v>
      </c>
      <c r="F987" s="116">
        <v>1593.7</v>
      </c>
      <c r="G987">
        <v>6580</v>
      </c>
      <c r="H987" s="116"/>
      <c r="I987" s="116"/>
      <c r="L987" s="170">
        <v>44088</v>
      </c>
      <c r="M987" s="116">
        <v>1592.65</v>
      </c>
      <c r="N987" s="116">
        <v>1613.8</v>
      </c>
      <c r="O987" s="116">
        <v>1528</v>
      </c>
      <c r="P987" s="116">
        <v>1528</v>
      </c>
      <c r="Q987" s="116">
        <v>1592.65</v>
      </c>
      <c r="R987">
        <v>218018</v>
      </c>
    </row>
    <row r="988" spans="1:18" x14ac:dyDescent="0.25">
      <c r="A988" s="170">
        <v>44089</v>
      </c>
      <c r="B988" s="116">
        <v>1640</v>
      </c>
      <c r="C988" s="116">
        <v>1616.2</v>
      </c>
      <c r="D988" s="116">
        <v>1601</v>
      </c>
      <c r="E988" s="116">
        <v>1605</v>
      </c>
      <c r="F988" s="116">
        <v>1616.2</v>
      </c>
      <c r="G988">
        <v>6195</v>
      </c>
      <c r="H988" s="116"/>
      <c r="I988" s="116"/>
      <c r="L988" s="170">
        <v>44089</v>
      </c>
      <c r="M988" s="116">
        <v>1618.9</v>
      </c>
      <c r="N988" s="116">
        <v>1640.5</v>
      </c>
      <c r="O988" s="116">
        <v>1604</v>
      </c>
      <c r="P988" s="116">
        <v>1609.45</v>
      </c>
      <c r="Q988" s="116">
        <v>1618.9</v>
      </c>
      <c r="R988">
        <v>137389</v>
      </c>
    </row>
    <row r="989" spans="1:18" x14ac:dyDescent="0.25">
      <c r="A989" s="170">
        <v>44090</v>
      </c>
      <c r="B989" s="116">
        <v>1667.5</v>
      </c>
      <c r="C989" s="116">
        <v>1645.85</v>
      </c>
      <c r="D989" s="116">
        <v>1626.6</v>
      </c>
      <c r="E989" s="116">
        <v>1647</v>
      </c>
      <c r="F989" s="116">
        <v>1645.85</v>
      </c>
      <c r="G989">
        <v>4249</v>
      </c>
      <c r="H989" s="116"/>
      <c r="I989" s="116"/>
      <c r="L989" s="170">
        <v>44090</v>
      </c>
      <c r="M989" s="116">
        <v>1646.2</v>
      </c>
      <c r="N989" s="116">
        <v>1669.9</v>
      </c>
      <c r="O989" s="116">
        <v>1625</v>
      </c>
      <c r="P989" s="116">
        <v>1631.35</v>
      </c>
      <c r="Q989" s="116">
        <v>1646.2</v>
      </c>
      <c r="R989">
        <v>87116</v>
      </c>
    </row>
    <row r="990" spans="1:18" x14ac:dyDescent="0.25">
      <c r="A990" s="170">
        <v>44091</v>
      </c>
      <c r="B990" s="116">
        <v>1697.5</v>
      </c>
      <c r="C990" s="116">
        <v>1666.7</v>
      </c>
      <c r="D990" s="116">
        <v>1626.05</v>
      </c>
      <c r="E990" s="116">
        <v>1652</v>
      </c>
      <c r="F990" s="116">
        <v>1666.7</v>
      </c>
      <c r="G990">
        <v>4657</v>
      </c>
      <c r="H990" s="116"/>
      <c r="I990" s="116"/>
      <c r="L990" s="170">
        <v>44091</v>
      </c>
      <c r="M990" s="116">
        <v>1668.05</v>
      </c>
      <c r="N990" s="116">
        <v>1697.85</v>
      </c>
      <c r="O990" s="116">
        <v>1617</v>
      </c>
      <c r="P990" s="116">
        <v>1641</v>
      </c>
      <c r="Q990" s="116">
        <v>1668.05</v>
      </c>
      <c r="R990">
        <v>119311</v>
      </c>
    </row>
    <row r="991" spans="1:18" x14ac:dyDescent="0.25">
      <c r="A991" s="170">
        <v>44092</v>
      </c>
      <c r="B991" s="116">
        <v>1680.05</v>
      </c>
      <c r="C991" s="116">
        <v>1672.55</v>
      </c>
      <c r="D991" s="116">
        <v>1639</v>
      </c>
      <c r="E991" s="116">
        <v>1672.65</v>
      </c>
      <c r="F991" s="116">
        <v>1672.55</v>
      </c>
      <c r="G991">
        <v>2205</v>
      </c>
      <c r="H991" s="116"/>
      <c r="I991" s="116"/>
      <c r="L991" s="170">
        <v>44092</v>
      </c>
      <c r="M991" s="116">
        <v>1673.05</v>
      </c>
      <c r="N991" s="116">
        <v>1687</v>
      </c>
      <c r="O991" s="116">
        <v>1638</v>
      </c>
      <c r="P991" s="116">
        <v>1670</v>
      </c>
      <c r="Q991" s="116">
        <v>1673.05</v>
      </c>
      <c r="R991">
        <v>58677</v>
      </c>
    </row>
    <row r="992" spans="1:18" x14ac:dyDescent="0.25">
      <c r="A992" s="170">
        <v>44095</v>
      </c>
      <c r="B992" s="116">
        <v>1684.4</v>
      </c>
      <c r="C992" s="116">
        <v>1663.55</v>
      </c>
      <c r="D992" s="116">
        <v>1661.7</v>
      </c>
      <c r="E992" s="116">
        <v>1668.05</v>
      </c>
      <c r="F992" s="116">
        <v>1663.55</v>
      </c>
      <c r="G992">
        <v>26916</v>
      </c>
      <c r="H992" s="116"/>
      <c r="I992" s="116"/>
      <c r="L992" s="170">
        <v>44095</v>
      </c>
      <c r="M992" s="116">
        <v>1665</v>
      </c>
      <c r="N992" s="116">
        <v>1683.9</v>
      </c>
      <c r="O992" s="116">
        <v>1663</v>
      </c>
      <c r="P992" s="116">
        <v>1666</v>
      </c>
      <c r="Q992" s="116">
        <v>1665</v>
      </c>
      <c r="R992">
        <v>758774</v>
      </c>
    </row>
    <row r="993" spans="1:18" x14ac:dyDescent="0.25">
      <c r="A993" s="170">
        <v>44096</v>
      </c>
      <c r="B993" s="116">
        <v>1670</v>
      </c>
      <c r="C993" s="116">
        <v>1629.8</v>
      </c>
      <c r="D993" s="116">
        <v>1579.25</v>
      </c>
      <c r="E993" s="116">
        <v>1670</v>
      </c>
      <c r="F993" s="116">
        <v>1629.8</v>
      </c>
      <c r="G993">
        <v>4953</v>
      </c>
      <c r="H993" s="116"/>
      <c r="I993" s="116"/>
      <c r="L993" s="170">
        <v>44096</v>
      </c>
      <c r="M993" s="116">
        <v>1628.25</v>
      </c>
      <c r="N993" s="116">
        <v>1670</v>
      </c>
      <c r="O993" s="116">
        <v>1575</v>
      </c>
      <c r="P993" s="116">
        <v>1670</v>
      </c>
      <c r="Q993" s="116">
        <v>1628.25</v>
      </c>
      <c r="R993">
        <v>136652</v>
      </c>
    </row>
    <row r="994" spans="1:18" x14ac:dyDescent="0.25">
      <c r="A994" s="170">
        <v>44097</v>
      </c>
      <c r="B994" s="116">
        <v>1685.75</v>
      </c>
      <c r="C994" s="116">
        <v>1620.45</v>
      </c>
      <c r="D994" s="116">
        <v>1613.05</v>
      </c>
      <c r="E994" s="116">
        <v>1675</v>
      </c>
      <c r="F994" s="116">
        <v>1620.45</v>
      </c>
      <c r="G994">
        <v>4732</v>
      </c>
      <c r="H994" s="116"/>
      <c r="I994" s="116"/>
      <c r="L994" s="170">
        <v>44097</v>
      </c>
      <c r="M994" s="116">
        <v>1625.1</v>
      </c>
      <c r="N994" s="116">
        <v>1685.3</v>
      </c>
      <c r="O994" s="116">
        <v>1612</v>
      </c>
      <c r="P994" s="116">
        <v>1674.8</v>
      </c>
      <c r="Q994" s="116">
        <v>1625.1</v>
      </c>
      <c r="R994">
        <v>224952</v>
      </c>
    </row>
    <row r="995" spans="1:18" x14ac:dyDescent="0.25">
      <c r="A995" s="170">
        <v>44098</v>
      </c>
      <c r="B995" s="116">
        <v>1616.35</v>
      </c>
      <c r="C995" s="116">
        <v>1595.4</v>
      </c>
      <c r="D995" s="116">
        <v>1574.9</v>
      </c>
      <c r="E995" s="116">
        <v>1605.95</v>
      </c>
      <c r="F995" s="116">
        <v>1595.4</v>
      </c>
      <c r="G995">
        <v>3028</v>
      </c>
      <c r="H995" s="116"/>
      <c r="I995" s="116"/>
      <c r="L995" s="170">
        <v>44098</v>
      </c>
      <c r="M995" s="116">
        <v>1598.95</v>
      </c>
      <c r="N995" s="116">
        <v>1619.95</v>
      </c>
      <c r="O995" s="116">
        <v>1573.3</v>
      </c>
      <c r="P995" s="116">
        <v>1609.95</v>
      </c>
      <c r="Q995" s="116">
        <v>1598.95</v>
      </c>
      <c r="R995">
        <v>98907</v>
      </c>
    </row>
    <row r="996" spans="1:18" x14ac:dyDescent="0.25">
      <c r="A996" s="170">
        <v>44099</v>
      </c>
      <c r="B996" s="116">
        <v>1609.75</v>
      </c>
      <c r="C996" s="116">
        <v>1586.4</v>
      </c>
      <c r="D996" s="116">
        <v>1562.8</v>
      </c>
      <c r="E996" s="116">
        <v>1608.65</v>
      </c>
      <c r="F996" s="116">
        <v>1586.4</v>
      </c>
      <c r="G996">
        <v>5745</v>
      </c>
      <c r="H996" s="116"/>
      <c r="I996" s="116"/>
      <c r="L996" s="170">
        <v>44099</v>
      </c>
      <c r="M996" s="116">
        <v>1591.2</v>
      </c>
      <c r="N996" s="116">
        <v>1615</v>
      </c>
      <c r="O996" s="116">
        <v>1561</v>
      </c>
      <c r="P996" s="116">
        <v>1600</v>
      </c>
      <c r="Q996" s="116">
        <v>1591.2</v>
      </c>
      <c r="R996">
        <v>314574</v>
      </c>
    </row>
    <row r="997" spans="1:18" x14ac:dyDescent="0.25">
      <c r="A997" s="170">
        <v>44102</v>
      </c>
      <c r="B997" s="116">
        <v>1650</v>
      </c>
      <c r="C997" s="116">
        <v>1642.9</v>
      </c>
      <c r="D997" s="116">
        <v>1608</v>
      </c>
      <c r="E997" s="116">
        <v>1610</v>
      </c>
      <c r="F997" s="116">
        <v>1642.9</v>
      </c>
      <c r="G997">
        <v>10571</v>
      </c>
      <c r="H997" s="116"/>
      <c r="I997" s="116"/>
      <c r="L997" s="170">
        <v>44102</v>
      </c>
      <c r="M997" s="116">
        <v>1641.3</v>
      </c>
      <c r="N997" s="116">
        <v>1649.8</v>
      </c>
      <c r="O997" s="116">
        <v>1599</v>
      </c>
      <c r="P997" s="116">
        <v>1599</v>
      </c>
      <c r="Q997" s="116">
        <v>1641.3</v>
      </c>
      <c r="R997">
        <v>81066</v>
      </c>
    </row>
    <row r="998" spans="1:18" x14ac:dyDescent="0.25">
      <c r="A998" s="170">
        <v>44103</v>
      </c>
      <c r="B998" s="116">
        <v>1663.9</v>
      </c>
      <c r="C998" s="116">
        <v>1627.95</v>
      </c>
      <c r="D998" s="116">
        <v>1619.15</v>
      </c>
      <c r="E998" s="116">
        <v>1650</v>
      </c>
      <c r="F998" s="116">
        <v>1627.95</v>
      </c>
      <c r="G998">
        <v>8524</v>
      </c>
      <c r="H998" s="116"/>
      <c r="I998" s="116"/>
      <c r="L998" s="170">
        <v>44103</v>
      </c>
      <c r="M998" s="116">
        <v>1629.8</v>
      </c>
      <c r="N998" s="116">
        <v>1665</v>
      </c>
      <c r="O998" s="116">
        <v>1620</v>
      </c>
      <c r="P998" s="116">
        <v>1649</v>
      </c>
      <c r="Q998" s="116">
        <v>1629.8</v>
      </c>
      <c r="R998">
        <v>199797</v>
      </c>
    </row>
    <row r="999" spans="1:18" x14ac:dyDescent="0.25">
      <c r="A999" s="170">
        <v>44104</v>
      </c>
      <c r="B999" s="116">
        <v>1630.3</v>
      </c>
      <c r="C999" s="116">
        <v>1615.9</v>
      </c>
      <c r="D999" s="116">
        <v>1605</v>
      </c>
      <c r="E999" s="116">
        <v>1622.4</v>
      </c>
      <c r="F999" s="116">
        <v>1615.9</v>
      </c>
      <c r="G999">
        <v>2908</v>
      </c>
      <c r="H999" s="116"/>
      <c r="I999" s="116"/>
      <c r="L999" s="170">
        <v>44104</v>
      </c>
      <c r="M999" s="116">
        <v>1618.05</v>
      </c>
      <c r="N999" s="116">
        <v>1635</v>
      </c>
      <c r="O999" s="116">
        <v>1601.3</v>
      </c>
      <c r="P999" s="116">
        <v>1635</v>
      </c>
      <c r="Q999" s="116">
        <v>1618.05</v>
      </c>
      <c r="R999">
        <v>168498</v>
      </c>
    </row>
    <row r="1000" spans="1:18" x14ac:dyDescent="0.25">
      <c r="A1000" s="170">
        <v>44105</v>
      </c>
      <c r="B1000" s="116">
        <v>1648</v>
      </c>
      <c r="C1000" s="116">
        <v>1586.65</v>
      </c>
      <c r="D1000" s="116">
        <v>1582.85</v>
      </c>
      <c r="E1000" s="116">
        <v>1648</v>
      </c>
      <c r="F1000" s="116">
        <v>1586.65</v>
      </c>
      <c r="G1000">
        <v>3914</v>
      </c>
      <c r="H1000" s="116"/>
      <c r="I1000" s="116"/>
      <c r="L1000" s="170">
        <v>44105</v>
      </c>
      <c r="M1000" s="116">
        <v>1586.95</v>
      </c>
      <c r="N1000" s="116">
        <v>1635.85</v>
      </c>
      <c r="O1000" s="116">
        <v>1580.5</v>
      </c>
      <c r="P1000" s="116">
        <v>1620</v>
      </c>
      <c r="Q1000" s="116">
        <v>1586.95</v>
      </c>
      <c r="R1000">
        <v>191025</v>
      </c>
    </row>
    <row r="1001" spans="1:18" x14ac:dyDescent="0.25">
      <c r="A1001" s="170">
        <v>44109</v>
      </c>
      <c r="B1001" s="116">
        <v>1609.8</v>
      </c>
      <c r="C1001" s="116">
        <v>1589.5</v>
      </c>
      <c r="D1001" s="116">
        <v>1575.1</v>
      </c>
      <c r="E1001" s="116">
        <v>1609.8</v>
      </c>
      <c r="F1001" s="116">
        <v>1589.5</v>
      </c>
      <c r="G1001">
        <v>1355</v>
      </c>
      <c r="H1001" s="116"/>
      <c r="I1001" s="116"/>
      <c r="L1001" s="170">
        <v>44109</v>
      </c>
      <c r="M1001" s="116">
        <v>1588.8</v>
      </c>
      <c r="N1001" s="116">
        <v>1609.9</v>
      </c>
      <c r="O1001" s="116">
        <v>1574.05</v>
      </c>
      <c r="P1001" s="116">
        <v>1602</v>
      </c>
      <c r="Q1001" s="116">
        <v>1588.8</v>
      </c>
      <c r="R1001">
        <v>294527</v>
      </c>
    </row>
    <row r="1002" spans="1:18" x14ac:dyDescent="0.25">
      <c r="A1002" s="170">
        <v>44110</v>
      </c>
      <c r="B1002" s="116">
        <v>1628</v>
      </c>
      <c r="C1002" s="116">
        <v>1614.2</v>
      </c>
      <c r="D1002" s="116">
        <v>1600.2</v>
      </c>
      <c r="E1002" s="116">
        <v>1612.05</v>
      </c>
      <c r="F1002" s="116">
        <v>1614.2</v>
      </c>
      <c r="G1002">
        <v>5446</v>
      </c>
      <c r="H1002" s="116"/>
      <c r="I1002" s="116"/>
      <c r="L1002" s="170">
        <v>44110</v>
      </c>
      <c r="M1002" s="116">
        <v>1614.5</v>
      </c>
      <c r="N1002" s="116">
        <v>1628.6</v>
      </c>
      <c r="O1002" s="116">
        <v>1603.05</v>
      </c>
      <c r="P1002" s="116">
        <v>1604</v>
      </c>
      <c r="Q1002" s="116">
        <v>1614.5</v>
      </c>
      <c r="R1002">
        <v>56944</v>
      </c>
    </row>
    <row r="1003" spans="1:18" x14ac:dyDescent="0.25">
      <c r="A1003" s="170">
        <v>44111</v>
      </c>
      <c r="B1003" s="116">
        <v>1625.2</v>
      </c>
      <c r="C1003" s="116">
        <v>1601.85</v>
      </c>
      <c r="D1003" s="116">
        <v>1595.3</v>
      </c>
      <c r="E1003" s="116">
        <v>1607</v>
      </c>
      <c r="F1003" s="116">
        <v>1601.85</v>
      </c>
      <c r="G1003">
        <v>1618</v>
      </c>
      <c r="H1003" s="116"/>
      <c r="I1003" s="116"/>
      <c r="L1003" s="170">
        <v>44111</v>
      </c>
      <c r="M1003" s="116">
        <v>1599.9</v>
      </c>
      <c r="N1003" s="116">
        <v>1628</v>
      </c>
      <c r="O1003" s="116">
        <v>1565</v>
      </c>
      <c r="P1003" s="116">
        <v>1622.7</v>
      </c>
      <c r="Q1003" s="116">
        <v>1599.9</v>
      </c>
      <c r="R1003">
        <v>58763</v>
      </c>
    </row>
    <row r="1004" spans="1:18" x14ac:dyDescent="0.25">
      <c r="A1004" s="170">
        <v>44112</v>
      </c>
      <c r="B1004" s="116">
        <v>1674.5</v>
      </c>
      <c r="C1004" s="116">
        <v>1636.3</v>
      </c>
      <c r="D1004" s="116">
        <v>1616.8</v>
      </c>
      <c r="E1004" s="116">
        <v>1616.8</v>
      </c>
      <c r="F1004" s="116">
        <v>1636.3</v>
      </c>
      <c r="G1004">
        <v>13830</v>
      </c>
      <c r="H1004" s="116"/>
      <c r="I1004" s="116"/>
      <c r="L1004" s="170">
        <v>44112</v>
      </c>
      <c r="M1004" s="116">
        <v>1631.95</v>
      </c>
      <c r="N1004" s="116">
        <v>1676</v>
      </c>
      <c r="O1004" s="116">
        <v>1620.25</v>
      </c>
      <c r="P1004" s="116">
        <v>1639</v>
      </c>
      <c r="Q1004" s="116">
        <v>1631.95</v>
      </c>
      <c r="R1004">
        <v>493401</v>
      </c>
    </row>
    <row r="1005" spans="1:18" x14ac:dyDescent="0.25">
      <c r="A1005" s="170">
        <v>44113</v>
      </c>
      <c r="B1005" s="116">
        <v>1673.5</v>
      </c>
      <c r="C1005" s="116">
        <v>1627.4</v>
      </c>
      <c r="D1005" s="116">
        <v>1613.5</v>
      </c>
      <c r="E1005" s="116">
        <v>1647.9</v>
      </c>
      <c r="F1005" s="116">
        <v>1627.4</v>
      </c>
      <c r="G1005">
        <v>7979</v>
      </c>
      <c r="H1005" s="116"/>
      <c r="I1005" s="116"/>
      <c r="L1005" s="170">
        <v>44113</v>
      </c>
      <c r="M1005" s="116">
        <v>1630.05</v>
      </c>
      <c r="N1005" s="116">
        <v>1674</v>
      </c>
      <c r="O1005" s="116">
        <v>1614</v>
      </c>
      <c r="P1005" s="116">
        <v>1642</v>
      </c>
      <c r="Q1005" s="116">
        <v>1630.05</v>
      </c>
      <c r="R1005">
        <v>136185</v>
      </c>
    </row>
    <row r="1006" spans="1:18" x14ac:dyDescent="0.25">
      <c r="A1006" s="170">
        <v>44116</v>
      </c>
      <c r="B1006" s="116">
        <v>1667.8</v>
      </c>
      <c r="C1006" s="116">
        <v>1651.7</v>
      </c>
      <c r="D1006" s="116">
        <v>1629.45</v>
      </c>
      <c r="E1006" s="116">
        <v>1635.45</v>
      </c>
      <c r="F1006" s="116">
        <v>1651.7</v>
      </c>
      <c r="G1006">
        <v>6667</v>
      </c>
      <c r="H1006" s="116"/>
      <c r="I1006" s="116"/>
      <c r="L1006" s="170">
        <v>44116</v>
      </c>
      <c r="M1006" s="116">
        <v>1647.9</v>
      </c>
      <c r="N1006" s="116">
        <v>1670</v>
      </c>
      <c r="O1006" s="116">
        <v>1626</v>
      </c>
      <c r="P1006" s="116">
        <v>1634</v>
      </c>
      <c r="Q1006" s="116">
        <v>1647.9</v>
      </c>
      <c r="R1006">
        <v>228438</v>
      </c>
    </row>
    <row r="1007" spans="1:18" x14ac:dyDescent="0.25">
      <c r="A1007" s="170">
        <v>44117</v>
      </c>
      <c r="B1007" s="116">
        <v>1879</v>
      </c>
      <c r="C1007" s="116">
        <v>1809.45</v>
      </c>
      <c r="D1007" s="116">
        <v>1648.95</v>
      </c>
      <c r="E1007" s="116">
        <v>1648.95</v>
      </c>
      <c r="F1007" s="116">
        <v>1809.45</v>
      </c>
      <c r="G1007">
        <v>101229</v>
      </c>
      <c r="H1007" s="116"/>
      <c r="I1007" s="116"/>
      <c r="L1007" s="170">
        <v>44117</v>
      </c>
      <c r="M1007" s="116">
        <v>1809.95</v>
      </c>
      <c r="N1007" s="116">
        <v>1879.4</v>
      </c>
      <c r="O1007" s="116">
        <v>1646.9</v>
      </c>
      <c r="P1007" s="116">
        <v>1646.95</v>
      </c>
      <c r="Q1007" s="116">
        <v>1809.95</v>
      </c>
      <c r="R1007">
        <v>1800324</v>
      </c>
    </row>
    <row r="1008" spans="1:18" x14ac:dyDescent="0.25">
      <c r="A1008" s="170">
        <v>44118</v>
      </c>
      <c r="B1008" s="116">
        <v>1858.25</v>
      </c>
      <c r="C1008" s="116">
        <v>1786.1</v>
      </c>
      <c r="D1008" s="116">
        <v>1751</v>
      </c>
      <c r="E1008" s="116">
        <v>1798</v>
      </c>
      <c r="F1008" s="116">
        <v>1786.1</v>
      </c>
      <c r="G1008">
        <v>35140</v>
      </c>
      <c r="H1008" s="116"/>
      <c r="I1008" s="116"/>
      <c r="L1008" s="170">
        <v>44118</v>
      </c>
      <c r="M1008" s="116">
        <v>1792.95</v>
      </c>
      <c r="N1008" s="116">
        <v>1858.25</v>
      </c>
      <c r="O1008" s="116">
        <v>1751</v>
      </c>
      <c r="P1008" s="116">
        <v>1792.9</v>
      </c>
      <c r="Q1008" s="116">
        <v>1792.95</v>
      </c>
      <c r="R1008">
        <v>902383</v>
      </c>
    </row>
    <row r="1009" spans="1:18" x14ac:dyDescent="0.25">
      <c r="A1009" s="170">
        <v>44119</v>
      </c>
      <c r="B1009" s="116">
        <v>1832.2</v>
      </c>
      <c r="C1009" s="116">
        <v>1737.2</v>
      </c>
      <c r="D1009" s="116">
        <v>1713.85</v>
      </c>
      <c r="E1009" s="116">
        <v>1800</v>
      </c>
      <c r="F1009" s="116">
        <v>1737.2</v>
      </c>
      <c r="G1009">
        <v>15383</v>
      </c>
      <c r="H1009" s="116"/>
      <c r="I1009" s="116"/>
      <c r="L1009" s="170">
        <v>44119</v>
      </c>
      <c r="M1009" s="116">
        <v>1738.85</v>
      </c>
      <c r="N1009" s="116">
        <v>1832.75</v>
      </c>
      <c r="O1009" s="116">
        <v>1712.55</v>
      </c>
      <c r="P1009" s="116">
        <v>1799.95</v>
      </c>
      <c r="Q1009" s="116">
        <v>1738.85</v>
      </c>
      <c r="R1009">
        <v>361799</v>
      </c>
    </row>
    <row r="1010" spans="1:18" x14ac:dyDescent="0.25">
      <c r="A1010" s="170">
        <v>44120</v>
      </c>
      <c r="B1010" s="116">
        <v>1762.95</v>
      </c>
      <c r="C1010" s="116">
        <v>1728.8</v>
      </c>
      <c r="D1010" s="116">
        <v>1708</v>
      </c>
      <c r="E1010" s="116">
        <v>1740.95</v>
      </c>
      <c r="F1010" s="116">
        <v>1728.8</v>
      </c>
      <c r="G1010">
        <v>6702</v>
      </c>
      <c r="H1010" s="116"/>
      <c r="I1010" s="116"/>
      <c r="L1010" s="170">
        <v>44120</v>
      </c>
      <c r="M1010" s="116">
        <v>1727.95</v>
      </c>
      <c r="N1010" s="116">
        <v>1764.95</v>
      </c>
      <c r="O1010" s="116">
        <v>1705.6</v>
      </c>
      <c r="P1010" s="116">
        <v>1750</v>
      </c>
      <c r="Q1010" s="116">
        <v>1727.95</v>
      </c>
      <c r="R1010">
        <v>205114</v>
      </c>
    </row>
    <row r="1011" spans="1:18" x14ac:dyDescent="0.25">
      <c r="A1011" s="170">
        <v>44123</v>
      </c>
      <c r="B1011" s="116">
        <v>1779.8</v>
      </c>
      <c r="C1011" s="116">
        <v>1750.55</v>
      </c>
      <c r="D1011" s="116">
        <v>1693.95</v>
      </c>
      <c r="E1011" s="116">
        <v>1745.25</v>
      </c>
      <c r="F1011" s="116">
        <v>1750.55</v>
      </c>
      <c r="G1011">
        <v>13622</v>
      </c>
      <c r="H1011" s="116"/>
      <c r="I1011" s="116"/>
      <c r="L1011" s="170">
        <v>44123</v>
      </c>
      <c r="M1011" s="116">
        <v>1754.1</v>
      </c>
      <c r="N1011" s="116">
        <v>1780</v>
      </c>
      <c r="O1011" s="116">
        <v>1694.2</v>
      </c>
      <c r="P1011" s="116">
        <v>1745</v>
      </c>
      <c r="Q1011" s="116">
        <v>1754.1</v>
      </c>
      <c r="R1011">
        <v>165271</v>
      </c>
    </row>
    <row r="1012" spans="1:18" x14ac:dyDescent="0.25">
      <c r="A1012" s="170">
        <v>44124</v>
      </c>
      <c r="B1012" s="116">
        <v>1797.6</v>
      </c>
      <c r="C1012" s="116">
        <v>1748.55</v>
      </c>
      <c r="D1012" s="116">
        <v>1744.5</v>
      </c>
      <c r="E1012" s="116">
        <v>1755.5</v>
      </c>
      <c r="F1012" s="116">
        <v>1748.55</v>
      </c>
      <c r="G1012">
        <v>8499</v>
      </c>
      <c r="H1012" s="116"/>
      <c r="I1012" s="116"/>
      <c r="L1012" s="170">
        <v>44124</v>
      </c>
      <c r="M1012" s="116">
        <v>1749.8</v>
      </c>
      <c r="N1012" s="116">
        <v>1796.65</v>
      </c>
      <c r="O1012" s="116">
        <v>1744.1</v>
      </c>
      <c r="P1012" s="116">
        <v>1754</v>
      </c>
      <c r="Q1012" s="116">
        <v>1749.8</v>
      </c>
      <c r="R1012">
        <v>469825</v>
      </c>
    </row>
    <row r="1013" spans="1:18" x14ac:dyDescent="0.25">
      <c r="A1013" s="170">
        <v>44125</v>
      </c>
      <c r="B1013" s="116">
        <v>1754.55</v>
      </c>
      <c r="C1013" s="116">
        <v>1698.25</v>
      </c>
      <c r="D1013" s="116">
        <v>1682.55</v>
      </c>
      <c r="E1013" s="116">
        <v>1754.55</v>
      </c>
      <c r="F1013" s="116">
        <v>1698.25</v>
      </c>
      <c r="G1013">
        <v>7717</v>
      </c>
      <c r="H1013" s="116"/>
      <c r="I1013" s="116"/>
      <c r="L1013" s="170">
        <v>44125</v>
      </c>
      <c r="M1013" s="116">
        <v>1697.55</v>
      </c>
      <c r="N1013" s="116">
        <v>1751.05</v>
      </c>
      <c r="O1013" s="116">
        <v>1681.45</v>
      </c>
      <c r="P1013" s="116">
        <v>1750</v>
      </c>
      <c r="Q1013" s="116">
        <v>1697.55</v>
      </c>
      <c r="R1013">
        <v>261893</v>
      </c>
    </row>
    <row r="1014" spans="1:18" x14ac:dyDescent="0.25">
      <c r="A1014" s="170">
        <v>44126</v>
      </c>
      <c r="B1014" s="116">
        <v>1764.8</v>
      </c>
      <c r="C1014" s="116">
        <v>1749.05</v>
      </c>
      <c r="D1014" s="116">
        <v>1692.1</v>
      </c>
      <c r="E1014" s="116">
        <v>1692.1</v>
      </c>
      <c r="F1014" s="116">
        <v>1749.05</v>
      </c>
      <c r="G1014">
        <v>10532</v>
      </c>
      <c r="H1014" s="116"/>
      <c r="I1014" s="116"/>
      <c r="L1014" s="170">
        <v>44126</v>
      </c>
      <c r="M1014" s="116">
        <v>1747.8</v>
      </c>
      <c r="N1014" s="116">
        <v>1764.7</v>
      </c>
      <c r="O1014" s="116">
        <v>1694.45</v>
      </c>
      <c r="P1014" s="116">
        <v>1703.95</v>
      </c>
      <c r="Q1014" s="116">
        <v>1747.8</v>
      </c>
      <c r="R1014">
        <v>216466</v>
      </c>
    </row>
    <row r="1015" spans="1:18" x14ac:dyDescent="0.25">
      <c r="A1015" s="170">
        <v>44127</v>
      </c>
      <c r="B1015" s="116">
        <v>1772.95</v>
      </c>
      <c r="C1015" s="116">
        <v>1735.1</v>
      </c>
      <c r="D1015" s="116">
        <v>1726.05</v>
      </c>
      <c r="E1015" s="116">
        <v>1755</v>
      </c>
      <c r="F1015" s="116">
        <v>1735.1</v>
      </c>
      <c r="G1015">
        <v>5469</v>
      </c>
      <c r="H1015" s="116"/>
      <c r="I1015" s="116"/>
      <c r="L1015" s="170">
        <v>44127</v>
      </c>
      <c r="M1015" s="116">
        <v>1733.95</v>
      </c>
      <c r="N1015" s="116">
        <v>1773</v>
      </c>
      <c r="O1015" s="116">
        <v>1720</v>
      </c>
      <c r="P1015" s="116">
        <v>1763.2</v>
      </c>
      <c r="Q1015" s="116">
        <v>1733.95</v>
      </c>
      <c r="R1015">
        <v>77686</v>
      </c>
    </row>
    <row r="1016" spans="1:18" x14ac:dyDescent="0.25">
      <c r="A1016" s="170">
        <v>44130</v>
      </c>
      <c r="B1016" s="116">
        <v>1796</v>
      </c>
      <c r="C1016" s="116">
        <v>1752.65</v>
      </c>
      <c r="D1016" s="116">
        <v>1725</v>
      </c>
      <c r="E1016" s="116">
        <v>1736</v>
      </c>
      <c r="F1016" s="116">
        <v>1752.65</v>
      </c>
      <c r="G1016">
        <v>10708</v>
      </c>
      <c r="H1016" s="116"/>
      <c r="I1016" s="116"/>
      <c r="L1016" s="170">
        <v>44130</v>
      </c>
      <c r="M1016" s="116">
        <v>1751.85</v>
      </c>
      <c r="N1016" s="116">
        <v>1796.9</v>
      </c>
      <c r="O1016" s="116">
        <v>1723.45</v>
      </c>
      <c r="P1016" s="116">
        <v>1746.2</v>
      </c>
      <c r="Q1016" s="116">
        <v>1751.85</v>
      </c>
      <c r="R1016">
        <v>190348</v>
      </c>
    </row>
    <row r="1017" spans="1:18" x14ac:dyDescent="0.25">
      <c r="A1017" s="170">
        <v>44131</v>
      </c>
      <c r="B1017" s="116">
        <v>1765</v>
      </c>
      <c r="C1017" s="116">
        <v>1758.6</v>
      </c>
      <c r="D1017" s="116">
        <v>1720.35</v>
      </c>
      <c r="E1017" s="116">
        <v>1751.45</v>
      </c>
      <c r="F1017" s="116">
        <v>1758.6</v>
      </c>
      <c r="G1017">
        <v>7599</v>
      </c>
      <c r="H1017" s="116"/>
      <c r="I1017" s="116"/>
      <c r="L1017" s="170">
        <v>44131</v>
      </c>
      <c r="M1017" s="116">
        <v>1754.5</v>
      </c>
      <c r="N1017" s="116">
        <v>1767.7</v>
      </c>
      <c r="O1017" s="116">
        <v>1720</v>
      </c>
      <c r="P1017" s="116">
        <v>1742</v>
      </c>
      <c r="Q1017" s="116">
        <v>1754.5</v>
      </c>
      <c r="R1017">
        <v>81742</v>
      </c>
    </row>
    <row r="1018" spans="1:18" x14ac:dyDescent="0.25">
      <c r="A1018" s="170">
        <v>44132</v>
      </c>
      <c r="B1018" s="116">
        <v>1783</v>
      </c>
      <c r="C1018" s="116">
        <v>1757.8</v>
      </c>
      <c r="D1018" s="116">
        <v>1729</v>
      </c>
      <c r="E1018" s="116">
        <v>1740.3</v>
      </c>
      <c r="F1018" s="116">
        <v>1757.8</v>
      </c>
      <c r="G1018">
        <v>8512</v>
      </c>
      <c r="H1018" s="116"/>
      <c r="I1018" s="116"/>
      <c r="L1018" s="170">
        <v>44132</v>
      </c>
      <c r="M1018" s="116">
        <v>1755.05</v>
      </c>
      <c r="N1018" s="116">
        <v>1784.2</v>
      </c>
      <c r="O1018" s="116">
        <v>1729.5</v>
      </c>
      <c r="P1018" s="116">
        <v>1761</v>
      </c>
      <c r="Q1018" s="116">
        <v>1755.05</v>
      </c>
      <c r="R1018">
        <v>111345</v>
      </c>
    </row>
    <row r="1019" spans="1:18" x14ac:dyDescent="0.25">
      <c r="A1019" s="170">
        <v>44133</v>
      </c>
      <c r="B1019" s="116">
        <v>1740</v>
      </c>
      <c r="C1019" s="116">
        <v>1694.45</v>
      </c>
      <c r="D1019" s="116">
        <v>1684.45</v>
      </c>
      <c r="E1019" s="116">
        <v>1721</v>
      </c>
      <c r="F1019" s="116">
        <v>1694.45</v>
      </c>
      <c r="G1019">
        <v>4390</v>
      </c>
      <c r="H1019" s="116"/>
      <c r="I1019" s="116"/>
      <c r="L1019" s="170">
        <v>44133</v>
      </c>
      <c r="M1019" s="116">
        <v>1698.05</v>
      </c>
      <c r="N1019" s="116">
        <v>1744</v>
      </c>
      <c r="O1019" s="116">
        <v>1685</v>
      </c>
      <c r="P1019" s="116">
        <v>1740</v>
      </c>
      <c r="Q1019" s="116">
        <v>1698.05</v>
      </c>
      <c r="R1019">
        <v>187575</v>
      </c>
    </row>
    <row r="1020" spans="1:18" x14ac:dyDescent="0.25">
      <c r="A1020" s="170">
        <v>44134</v>
      </c>
      <c r="B1020" s="116">
        <v>1723.15</v>
      </c>
      <c r="C1020" s="116">
        <v>1667.2</v>
      </c>
      <c r="D1020" s="116">
        <v>1653.5</v>
      </c>
      <c r="E1020" s="116">
        <v>1696</v>
      </c>
      <c r="F1020" s="116">
        <v>1667.2</v>
      </c>
      <c r="G1020">
        <v>3322</v>
      </c>
      <c r="H1020" s="116"/>
      <c r="I1020" s="116"/>
      <c r="L1020" s="170">
        <v>44134</v>
      </c>
      <c r="M1020" s="116">
        <v>1667.35</v>
      </c>
      <c r="N1020" s="116">
        <v>1723.65</v>
      </c>
      <c r="O1020" s="116">
        <v>1651.3</v>
      </c>
      <c r="P1020" s="116">
        <v>1699.9</v>
      </c>
      <c r="Q1020" s="116">
        <v>1667.35</v>
      </c>
      <c r="R1020">
        <v>85112</v>
      </c>
    </row>
    <row r="1021" spans="1:18" x14ac:dyDescent="0.25">
      <c r="A1021" s="170">
        <v>44137</v>
      </c>
      <c r="B1021" s="116">
        <v>1697.95</v>
      </c>
      <c r="C1021" s="116">
        <v>1623.35</v>
      </c>
      <c r="D1021" s="116">
        <v>1604.2</v>
      </c>
      <c r="E1021" s="116">
        <v>1697.95</v>
      </c>
      <c r="F1021" s="116">
        <v>1623.35</v>
      </c>
      <c r="G1021">
        <v>2161</v>
      </c>
      <c r="H1021" s="116"/>
      <c r="I1021" s="116"/>
      <c r="L1021" s="170">
        <v>44137</v>
      </c>
      <c r="M1021" s="116">
        <v>1620.75</v>
      </c>
      <c r="N1021" s="116">
        <v>1679.25</v>
      </c>
      <c r="O1021" s="116">
        <v>1605</v>
      </c>
      <c r="P1021" s="116">
        <v>1679.25</v>
      </c>
      <c r="Q1021" s="116">
        <v>1620.75</v>
      </c>
      <c r="R1021">
        <v>87958</v>
      </c>
    </row>
    <row r="1022" spans="1:18" x14ac:dyDescent="0.25">
      <c r="A1022" s="170">
        <v>44138</v>
      </c>
      <c r="B1022" s="116">
        <v>1658</v>
      </c>
      <c r="C1022" s="116">
        <v>1634.05</v>
      </c>
      <c r="D1022" s="116">
        <v>1614.55</v>
      </c>
      <c r="E1022" s="116">
        <v>1636.55</v>
      </c>
      <c r="F1022" s="116">
        <v>1634.05</v>
      </c>
      <c r="G1022">
        <v>4153</v>
      </c>
      <c r="H1022" s="116"/>
      <c r="I1022" s="116"/>
      <c r="L1022" s="170">
        <v>44138</v>
      </c>
      <c r="M1022" s="116">
        <v>1635.2</v>
      </c>
      <c r="N1022" s="116">
        <v>1659</v>
      </c>
      <c r="O1022" s="116">
        <v>1615</v>
      </c>
      <c r="P1022" s="116">
        <v>1640.25</v>
      </c>
      <c r="Q1022" s="116">
        <v>1635.2</v>
      </c>
      <c r="R1022">
        <v>112006</v>
      </c>
    </row>
    <row r="1023" spans="1:18" x14ac:dyDescent="0.25">
      <c r="A1023" s="170">
        <v>44139</v>
      </c>
      <c r="B1023" s="116">
        <v>1745.25</v>
      </c>
      <c r="C1023" s="116">
        <v>1731.75</v>
      </c>
      <c r="D1023" s="116">
        <v>1602</v>
      </c>
      <c r="E1023" s="116">
        <v>1602</v>
      </c>
      <c r="F1023" s="116">
        <v>1731.75</v>
      </c>
      <c r="G1023">
        <v>6826</v>
      </c>
      <c r="H1023" s="116"/>
      <c r="I1023" s="116"/>
      <c r="L1023" s="170">
        <v>44139</v>
      </c>
      <c r="M1023" s="116">
        <v>1729.35</v>
      </c>
      <c r="N1023" s="116">
        <v>1747.15</v>
      </c>
      <c r="O1023" s="116">
        <v>1622</v>
      </c>
      <c r="P1023" s="116">
        <v>1625</v>
      </c>
      <c r="Q1023" s="116">
        <v>1729.35</v>
      </c>
      <c r="R1023">
        <v>185747</v>
      </c>
    </row>
    <row r="1024" spans="1:18" x14ac:dyDescent="0.25">
      <c r="A1024" s="170">
        <v>44140</v>
      </c>
      <c r="B1024" s="116">
        <v>1747.8</v>
      </c>
      <c r="C1024" s="116">
        <v>1695.85</v>
      </c>
      <c r="D1024" s="116">
        <v>1686.8</v>
      </c>
      <c r="E1024" s="116">
        <v>1735</v>
      </c>
      <c r="F1024" s="116">
        <v>1695.85</v>
      </c>
      <c r="G1024">
        <v>3760</v>
      </c>
      <c r="H1024" s="116"/>
      <c r="I1024" s="116"/>
      <c r="L1024" s="170">
        <v>44140</v>
      </c>
      <c r="M1024" s="116">
        <v>1696.7</v>
      </c>
      <c r="N1024" s="116">
        <v>1749.8</v>
      </c>
      <c r="O1024" s="116">
        <v>1687</v>
      </c>
      <c r="P1024" s="116">
        <v>1736.25</v>
      </c>
      <c r="Q1024" s="116">
        <v>1696.7</v>
      </c>
      <c r="R1024">
        <v>82532</v>
      </c>
    </row>
    <row r="1025" spans="1:18" x14ac:dyDescent="0.25">
      <c r="A1025" s="170">
        <v>44141</v>
      </c>
      <c r="B1025" s="116">
        <v>1715.1</v>
      </c>
      <c r="C1025" s="116">
        <v>1690.05</v>
      </c>
      <c r="D1025" s="116">
        <v>1683.95</v>
      </c>
      <c r="E1025" s="116">
        <v>1687</v>
      </c>
      <c r="F1025" s="116">
        <v>1690.05</v>
      </c>
      <c r="G1025">
        <v>2038</v>
      </c>
      <c r="H1025" s="116"/>
      <c r="I1025" s="116"/>
      <c r="L1025" s="170">
        <v>44141</v>
      </c>
      <c r="M1025" s="116">
        <v>1691.15</v>
      </c>
      <c r="N1025" s="116">
        <v>1718.35</v>
      </c>
      <c r="O1025" s="116">
        <v>1685</v>
      </c>
      <c r="P1025" s="116">
        <v>1697</v>
      </c>
      <c r="Q1025" s="116">
        <v>1691.15</v>
      </c>
      <c r="R1025">
        <v>42838</v>
      </c>
    </row>
    <row r="1026" spans="1:18" x14ac:dyDescent="0.25">
      <c r="A1026" s="170">
        <v>44144</v>
      </c>
      <c r="B1026" s="116">
        <v>1727</v>
      </c>
      <c r="C1026" s="116">
        <v>1719.3</v>
      </c>
      <c r="D1026" s="116">
        <v>1682</v>
      </c>
      <c r="E1026" s="116">
        <v>1716.25</v>
      </c>
      <c r="F1026" s="116">
        <v>1719.3</v>
      </c>
      <c r="G1026">
        <v>2994</v>
      </c>
      <c r="H1026" s="116"/>
      <c r="I1026" s="116"/>
      <c r="L1026" s="170">
        <v>44144</v>
      </c>
      <c r="M1026" s="116">
        <v>1720.2</v>
      </c>
      <c r="N1026" s="116">
        <v>1728.3</v>
      </c>
      <c r="O1026" s="116">
        <v>1681.15</v>
      </c>
      <c r="P1026" s="116">
        <v>1702.25</v>
      </c>
      <c r="Q1026" s="116">
        <v>1720.2</v>
      </c>
      <c r="R1026">
        <v>94225</v>
      </c>
    </row>
    <row r="1027" spans="1:18" x14ac:dyDescent="0.25">
      <c r="A1027" s="170">
        <v>44145</v>
      </c>
      <c r="B1027" s="116">
        <v>1740</v>
      </c>
      <c r="C1027" s="116">
        <v>1671.8</v>
      </c>
      <c r="D1027" s="116">
        <v>1646</v>
      </c>
      <c r="E1027" s="116">
        <v>1740</v>
      </c>
      <c r="F1027" s="116">
        <v>1671.8</v>
      </c>
      <c r="G1027">
        <v>4460</v>
      </c>
      <c r="H1027" s="116"/>
      <c r="I1027" s="116"/>
      <c r="L1027" s="170">
        <v>44145</v>
      </c>
      <c r="M1027" s="116">
        <v>1671.35</v>
      </c>
      <c r="N1027" s="116">
        <v>1721</v>
      </c>
      <c r="O1027" s="116">
        <v>1645</v>
      </c>
      <c r="P1027" s="116">
        <v>1721</v>
      </c>
      <c r="Q1027" s="116">
        <v>1671.35</v>
      </c>
      <c r="R1027">
        <v>84570</v>
      </c>
    </row>
    <row r="1028" spans="1:18" x14ac:dyDescent="0.25">
      <c r="A1028" s="170">
        <v>44146</v>
      </c>
      <c r="B1028" s="116">
        <v>1704.8</v>
      </c>
      <c r="C1028" s="116">
        <v>1651.55</v>
      </c>
      <c r="D1028" s="116">
        <v>1628.6</v>
      </c>
      <c r="E1028" s="116">
        <v>1661</v>
      </c>
      <c r="F1028" s="116">
        <v>1651.55</v>
      </c>
      <c r="G1028">
        <v>6663</v>
      </c>
      <c r="H1028" s="116"/>
      <c r="I1028" s="116"/>
      <c r="L1028" s="170">
        <v>44146</v>
      </c>
      <c r="M1028" s="116">
        <v>1651.65</v>
      </c>
      <c r="N1028" s="116">
        <v>1704.9</v>
      </c>
      <c r="O1028" s="116">
        <v>1627.05</v>
      </c>
      <c r="P1028" s="116">
        <v>1661</v>
      </c>
      <c r="Q1028" s="116">
        <v>1651.65</v>
      </c>
      <c r="R1028">
        <v>130265</v>
      </c>
    </row>
    <row r="1029" spans="1:18" x14ac:dyDescent="0.25">
      <c r="A1029" s="170">
        <v>44147</v>
      </c>
      <c r="B1029" s="116">
        <v>1691.95</v>
      </c>
      <c r="C1029" s="116">
        <v>1665.65</v>
      </c>
      <c r="D1029" s="116">
        <v>1644.5</v>
      </c>
      <c r="E1029" s="116">
        <v>1650</v>
      </c>
      <c r="F1029" s="116">
        <v>1665.65</v>
      </c>
      <c r="G1029">
        <v>3470</v>
      </c>
      <c r="H1029" s="116"/>
      <c r="I1029" s="116"/>
      <c r="L1029" s="170">
        <v>44147</v>
      </c>
      <c r="M1029" s="116">
        <v>1666.2</v>
      </c>
      <c r="N1029" s="116">
        <v>1691.25</v>
      </c>
      <c r="O1029" s="116">
        <v>1644</v>
      </c>
      <c r="P1029" s="116">
        <v>1651.65</v>
      </c>
      <c r="Q1029" s="116">
        <v>1666.2</v>
      </c>
      <c r="R1029">
        <v>149838</v>
      </c>
    </row>
    <row r="1030" spans="1:18" x14ac:dyDescent="0.25">
      <c r="A1030" s="170">
        <v>44148</v>
      </c>
      <c r="B1030" s="116">
        <v>1717</v>
      </c>
      <c r="C1030" s="116">
        <v>1708.95</v>
      </c>
      <c r="D1030" s="116">
        <v>1670</v>
      </c>
      <c r="E1030" s="116">
        <v>1670</v>
      </c>
      <c r="F1030" s="116">
        <v>1708.95</v>
      </c>
      <c r="G1030">
        <v>2547</v>
      </c>
      <c r="H1030" s="116"/>
      <c r="I1030" s="116"/>
      <c r="L1030" s="170">
        <v>44148</v>
      </c>
      <c r="M1030" s="116">
        <v>1709.9</v>
      </c>
      <c r="N1030" s="116">
        <v>1717.4</v>
      </c>
      <c r="O1030" s="116">
        <v>1666</v>
      </c>
      <c r="P1030" s="116">
        <v>1672</v>
      </c>
      <c r="Q1030" s="116">
        <v>1709.9</v>
      </c>
      <c r="R1030">
        <v>71580</v>
      </c>
    </row>
    <row r="1031" spans="1:18" x14ac:dyDescent="0.25">
      <c r="A1031" s="170">
        <v>44149</v>
      </c>
      <c r="B1031" s="116">
        <v>1726.05</v>
      </c>
      <c r="C1031" s="116">
        <v>1719.95</v>
      </c>
      <c r="D1031" s="116">
        <v>1715</v>
      </c>
      <c r="E1031" s="116">
        <v>1720</v>
      </c>
      <c r="F1031" s="116">
        <v>1719.95</v>
      </c>
      <c r="G1031">
        <v>1087</v>
      </c>
      <c r="H1031" s="116"/>
      <c r="I1031" s="116"/>
      <c r="L1031" s="170">
        <v>44149</v>
      </c>
      <c r="M1031" s="116">
        <v>1717.25</v>
      </c>
      <c r="N1031" s="116">
        <v>1726.25</v>
      </c>
      <c r="O1031" s="116">
        <v>1713</v>
      </c>
      <c r="P1031" s="116">
        <v>1719.95</v>
      </c>
      <c r="Q1031" s="116">
        <v>1717.25</v>
      </c>
      <c r="R1031">
        <v>13339</v>
      </c>
    </row>
    <row r="1032" spans="1:18" x14ac:dyDescent="0.25">
      <c r="A1032" s="170">
        <v>44152</v>
      </c>
      <c r="B1032" s="116">
        <v>1731</v>
      </c>
      <c r="C1032" s="116">
        <v>1696.85</v>
      </c>
      <c r="D1032" s="116">
        <v>1688.5</v>
      </c>
      <c r="E1032" s="116">
        <v>1717.1</v>
      </c>
      <c r="F1032" s="116">
        <v>1696.85</v>
      </c>
      <c r="G1032">
        <v>4054</v>
      </c>
      <c r="H1032" s="116"/>
      <c r="I1032" s="116"/>
      <c r="L1032" s="170">
        <v>44152</v>
      </c>
      <c r="M1032" s="116">
        <v>1698.95</v>
      </c>
      <c r="N1032" s="116">
        <v>1732</v>
      </c>
      <c r="O1032" s="116">
        <v>1690</v>
      </c>
      <c r="P1032" s="116">
        <v>1717.25</v>
      </c>
      <c r="Q1032" s="116">
        <v>1698.95</v>
      </c>
      <c r="R1032">
        <v>92688</v>
      </c>
    </row>
    <row r="1033" spans="1:18" x14ac:dyDescent="0.25">
      <c r="A1033" s="170">
        <v>44153</v>
      </c>
      <c r="B1033" s="116">
        <v>1725</v>
      </c>
      <c r="C1033" s="116">
        <v>1690.75</v>
      </c>
      <c r="D1033" s="116">
        <v>1681</v>
      </c>
      <c r="E1033" s="116">
        <v>1681</v>
      </c>
      <c r="F1033" s="116">
        <v>1690.75</v>
      </c>
      <c r="G1033">
        <v>2013</v>
      </c>
      <c r="H1033" s="116"/>
      <c r="I1033" s="116"/>
      <c r="L1033" s="170">
        <v>44153</v>
      </c>
      <c r="M1033" s="116">
        <v>1690.75</v>
      </c>
      <c r="N1033" s="116">
        <v>1726.05</v>
      </c>
      <c r="O1033" s="116">
        <v>1682.65</v>
      </c>
      <c r="P1033" s="116">
        <v>1698</v>
      </c>
      <c r="Q1033" s="116">
        <v>1690.75</v>
      </c>
      <c r="R1033">
        <v>66017</v>
      </c>
    </row>
    <row r="1034" spans="1:18" x14ac:dyDescent="0.25">
      <c r="A1034" s="170">
        <v>44154</v>
      </c>
      <c r="B1034" s="116">
        <v>1708</v>
      </c>
      <c r="C1034" s="116">
        <v>1669.3</v>
      </c>
      <c r="D1034" s="116">
        <v>1661</v>
      </c>
      <c r="E1034" s="116">
        <v>1708</v>
      </c>
      <c r="F1034" s="116">
        <v>1669.3</v>
      </c>
      <c r="G1034">
        <v>3667</v>
      </c>
      <c r="H1034" s="116"/>
      <c r="I1034" s="116"/>
      <c r="L1034" s="170">
        <v>44154</v>
      </c>
      <c r="M1034" s="116">
        <v>1670</v>
      </c>
      <c r="N1034" s="116">
        <v>1696.85</v>
      </c>
      <c r="O1034" s="116">
        <v>1663</v>
      </c>
      <c r="P1034" s="116">
        <v>1690</v>
      </c>
      <c r="Q1034" s="116">
        <v>1670</v>
      </c>
      <c r="R1034">
        <v>45627</v>
      </c>
    </row>
    <row r="1035" spans="1:18" x14ac:dyDescent="0.25">
      <c r="A1035" s="170">
        <v>44155</v>
      </c>
      <c r="B1035" s="116">
        <v>1703.9</v>
      </c>
      <c r="C1035" s="116">
        <v>1661.3</v>
      </c>
      <c r="D1035" s="116">
        <v>1654</v>
      </c>
      <c r="E1035" s="116">
        <v>1665</v>
      </c>
      <c r="F1035" s="116">
        <v>1661.3</v>
      </c>
      <c r="G1035">
        <v>4207</v>
      </c>
      <c r="H1035" s="116"/>
      <c r="I1035" s="116"/>
      <c r="L1035" s="170">
        <v>44155</v>
      </c>
      <c r="M1035" s="116">
        <v>1659.15</v>
      </c>
      <c r="N1035" s="116">
        <v>1705</v>
      </c>
      <c r="O1035" s="116">
        <v>1653</v>
      </c>
      <c r="P1035" s="116">
        <v>1670</v>
      </c>
      <c r="Q1035" s="116">
        <v>1659.15</v>
      </c>
      <c r="R1035">
        <v>112246</v>
      </c>
    </row>
    <row r="1036" spans="1:18" x14ac:dyDescent="0.25">
      <c r="A1036" s="170">
        <v>44158</v>
      </c>
      <c r="B1036" s="116">
        <v>1700</v>
      </c>
      <c r="C1036" s="116">
        <v>1692.5</v>
      </c>
      <c r="D1036" s="116">
        <v>1645</v>
      </c>
      <c r="E1036" s="116">
        <v>1682.25</v>
      </c>
      <c r="F1036" s="116">
        <v>1692.5</v>
      </c>
      <c r="G1036">
        <v>8878</v>
      </c>
      <c r="H1036" s="116"/>
      <c r="I1036" s="116"/>
      <c r="L1036" s="170">
        <v>44158</v>
      </c>
      <c r="M1036" s="116">
        <v>1688.4</v>
      </c>
      <c r="N1036" s="116">
        <v>1703</v>
      </c>
      <c r="O1036" s="116">
        <v>1645</v>
      </c>
      <c r="P1036" s="116">
        <v>1672.75</v>
      </c>
      <c r="Q1036" s="116">
        <v>1688.4</v>
      </c>
      <c r="R1036">
        <v>155088</v>
      </c>
    </row>
    <row r="1037" spans="1:18" x14ac:dyDescent="0.25">
      <c r="A1037" s="170">
        <v>44159</v>
      </c>
      <c r="B1037" s="116">
        <v>1711</v>
      </c>
      <c r="C1037" s="116">
        <v>1690.15</v>
      </c>
      <c r="D1037" s="116">
        <v>1681</v>
      </c>
      <c r="E1037" s="116">
        <v>1681</v>
      </c>
      <c r="F1037" s="116">
        <v>1690.15</v>
      </c>
      <c r="G1037">
        <v>6584</v>
      </c>
      <c r="H1037" s="116"/>
      <c r="I1037" s="116"/>
      <c r="L1037" s="170">
        <v>44159</v>
      </c>
      <c r="M1037" s="116">
        <v>1692.2</v>
      </c>
      <c r="N1037" s="116">
        <v>1713.9</v>
      </c>
      <c r="O1037" s="116">
        <v>1681.05</v>
      </c>
      <c r="P1037" s="116">
        <v>1700</v>
      </c>
      <c r="Q1037" s="116">
        <v>1692.2</v>
      </c>
      <c r="R1037">
        <v>262740</v>
      </c>
    </row>
    <row r="1038" spans="1:18" x14ac:dyDescent="0.25">
      <c r="A1038" s="170">
        <v>44160</v>
      </c>
      <c r="B1038" s="116">
        <v>1705.9</v>
      </c>
      <c r="C1038" s="116">
        <v>1694.35</v>
      </c>
      <c r="D1038" s="116">
        <v>1672</v>
      </c>
      <c r="E1038" s="116">
        <v>1690.1</v>
      </c>
      <c r="F1038" s="116">
        <v>1694.35</v>
      </c>
      <c r="G1038">
        <v>2204</v>
      </c>
      <c r="H1038" s="116"/>
      <c r="I1038" s="116"/>
      <c r="L1038" s="170">
        <v>44160</v>
      </c>
      <c r="M1038" s="116">
        <v>1695.05</v>
      </c>
      <c r="N1038" s="116">
        <v>1705</v>
      </c>
      <c r="O1038" s="116">
        <v>1671.45</v>
      </c>
      <c r="P1038" s="116">
        <v>1700</v>
      </c>
      <c r="Q1038" s="116">
        <v>1695.05</v>
      </c>
      <c r="R1038">
        <v>128420</v>
      </c>
    </row>
    <row r="1039" spans="1:18" x14ac:dyDescent="0.25">
      <c r="A1039" s="170">
        <v>44161</v>
      </c>
      <c r="B1039" s="116">
        <v>1744.5</v>
      </c>
      <c r="C1039" s="116">
        <v>1705.5</v>
      </c>
      <c r="D1039" s="116">
        <v>1684.35</v>
      </c>
      <c r="E1039" s="116">
        <v>1695.45</v>
      </c>
      <c r="F1039" s="116">
        <v>1705.5</v>
      </c>
      <c r="G1039">
        <v>7480</v>
      </c>
      <c r="H1039" s="116"/>
      <c r="I1039" s="116"/>
      <c r="L1039" s="170">
        <v>44161</v>
      </c>
      <c r="M1039" s="116">
        <v>1706.85</v>
      </c>
      <c r="N1039" s="116">
        <v>1742</v>
      </c>
      <c r="O1039" s="116">
        <v>1683.2</v>
      </c>
      <c r="P1039" s="116">
        <v>1697</v>
      </c>
      <c r="Q1039" s="116">
        <v>1706.85</v>
      </c>
      <c r="R1039">
        <v>149694</v>
      </c>
    </row>
    <row r="1040" spans="1:18" x14ac:dyDescent="0.25">
      <c r="A1040" s="170">
        <v>44162</v>
      </c>
      <c r="B1040" s="116">
        <v>1735.4</v>
      </c>
      <c r="C1040" s="116">
        <v>1724</v>
      </c>
      <c r="D1040" s="116">
        <v>1702.2</v>
      </c>
      <c r="E1040" s="116">
        <v>1718.8</v>
      </c>
      <c r="F1040" s="116">
        <v>1724</v>
      </c>
      <c r="G1040">
        <v>3093</v>
      </c>
      <c r="H1040" s="116"/>
      <c r="I1040" s="116"/>
      <c r="L1040" s="170">
        <v>44162</v>
      </c>
      <c r="M1040" s="116">
        <v>1723.2</v>
      </c>
      <c r="N1040" s="116">
        <v>1736.8</v>
      </c>
      <c r="O1040" s="116">
        <v>1703.35</v>
      </c>
      <c r="P1040" s="116">
        <v>1725</v>
      </c>
      <c r="Q1040" s="116">
        <v>1723.2</v>
      </c>
      <c r="R1040">
        <v>83890</v>
      </c>
    </row>
    <row r="1041" spans="1:18" x14ac:dyDescent="0.25">
      <c r="A1041" s="170">
        <v>44166</v>
      </c>
      <c r="B1041" s="116">
        <v>1773</v>
      </c>
      <c r="C1041" s="116">
        <v>1769.55</v>
      </c>
      <c r="D1041" s="116">
        <v>1725</v>
      </c>
      <c r="E1041" s="116">
        <v>1739.95</v>
      </c>
      <c r="F1041" s="116">
        <v>1769.55</v>
      </c>
      <c r="G1041">
        <v>9733</v>
      </c>
      <c r="H1041" s="116"/>
      <c r="I1041" s="116"/>
      <c r="L1041" s="170">
        <v>44166</v>
      </c>
      <c r="M1041" s="116">
        <v>1770.3</v>
      </c>
      <c r="N1041" s="116">
        <v>1774</v>
      </c>
      <c r="O1041" s="116">
        <v>1718.35</v>
      </c>
      <c r="P1041" s="116">
        <v>1726</v>
      </c>
      <c r="Q1041" s="116">
        <v>1770.3</v>
      </c>
      <c r="R1041">
        <v>212886</v>
      </c>
    </row>
    <row r="1042" spans="1:18" x14ac:dyDescent="0.25">
      <c r="A1042" s="170">
        <v>44167</v>
      </c>
      <c r="B1042" s="116">
        <v>1802.25</v>
      </c>
      <c r="C1042" s="116">
        <v>1783.5</v>
      </c>
      <c r="D1042" s="116">
        <v>1755.2</v>
      </c>
      <c r="E1042" s="116">
        <v>1800</v>
      </c>
      <c r="F1042" s="116">
        <v>1783.5</v>
      </c>
      <c r="G1042">
        <v>6747</v>
      </c>
      <c r="H1042" s="116"/>
      <c r="I1042" s="116"/>
      <c r="L1042" s="170">
        <v>44167</v>
      </c>
      <c r="M1042" s="116">
        <v>1785.15</v>
      </c>
      <c r="N1042" s="116">
        <v>1801.55</v>
      </c>
      <c r="O1042" s="116">
        <v>1753.25</v>
      </c>
      <c r="P1042" s="116">
        <v>1780</v>
      </c>
      <c r="Q1042" s="116">
        <v>1785.15</v>
      </c>
      <c r="R1042">
        <v>173651</v>
      </c>
    </row>
    <row r="1043" spans="1:18" x14ac:dyDescent="0.25">
      <c r="A1043" s="170">
        <v>44168</v>
      </c>
      <c r="B1043" s="116">
        <v>1786.1</v>
      </c>
      <c r="C1043" s="116">
        <v>1775.65</v>
      </c>
      <c r="D1043" s="116">
        <v>1764.8</v>
      </c>
      <c r="E1043" s="116">
        <v>1786.1</v>
      </c>
      <c r="F1043" s="116">
        <v>1775.65</v>
      </c>
      <c r="G1043">
        <v>1910</v>
      </c>
      <c r="H1043" s="116"/>
      <c r="I1043" s="116"/>
      <c r="L1043" s="170">
        <v>44168</v>
      </c>
      <c r="M1043" s="116">
        <v>1772.7</v>
      </c>
      <c r="N1043" s="116">
        <v>1795</v>
      </c>
      <c r="O1043" s="116">
        <v>1765</v>
      </c>
      <c r="P1043" s="116">
        <v>1794.1</v>
      </c>
      <c r="Q1043" s="116">
        <v>1772.7</v>
      </c>
      <c r="R1043">
        <v>106066</v>
      </c>
    </row>
    <row r="1044" spans="1:18" x14ac:dyDescent="0.25">
      <c r="A1044" s="170">
        <v>44169</v>
      </c>
      <c r="B1044" s="116">
        <v>1819.95</v>
      </c>
      <c r="C1044" s="116">
        <v>1802.35</v>
      </c>
      <c r="D1044" s="116">
        <v>1767.4</v>
      </c>
      <c r="E1044" s="116">
        <v>1777</v>
      </c>
      <c r="F1044" s="116">
        <v>1802.35</v>
      </c>
      <c r="G1044">
        <v>8945</v>
      </c>
      <c r="H1044" s="116"/>
      <c r="I1044" s="116"/>
      <c r="L1044" s="170">
        <v>44169</v>
      </c>
      <c r="M1044" s="116">
        <v>1802.3</v>
      </c>
      <c r="N1044" s="116">
        <v>1820</v>
      </c>
      <c r="O1044" s="116">
        <v>1765.05</v>
      </c>
      <c r="P1044" s="116">
        <v>1789</v>
      </c>
      <c r="Q1044" s="116">
        <v>1802.3</v>
      </c>
      <c r="R1044">
        <v>124701</v>
      </c>
    </row>
    <row r="1045" spans="1:18" x14ac:dyDescent="0.25">
      <c r="A1045" s="170">
        <v>44172</v>
      </c>
      <c r="B1045" s="116">
        <v>1852</v>
      </c>
      <c r="C1045" s="116">
        <v>1838.25</v>
      </c>
      <c r="D1045" s="116">
        <v>1802.4</v>
      </c>
      <c r="E1045" s="116">
        <v>1802.4</v>
      </c>
      <c r="F1045" s="116">
        <v>1838.25</v>
      </c>
      <c r="G1045">
        <v>13085</v>
      </c>
      <c r="H1045" s="116"/>
      <c r="I1045" s="116"/>
      <c r="L1045" s="170">
        <v>44172</v>
      </c>
      <c r="M1045" s="116">
        <v>1839.05</v>
      </c>
      <c r="N1045" s="116">
        <v>1854</v>
      </c>
      <c r="O1045" s="116">
        <v>1801.05</v>
      </c>
      <c r="P1045" s="116">
        <v>1815</v>
      </c>
      <c r="Q1045" s="116">
        <v>1839.05</v>
      </c>
      <c r="R1045">
        <v>211424</v>
      </c>
    </row>
    <row r="1046" spans="1:18" x14ac:dyDescent="0.25">
      <c r="A1046" s="170">
        <v>44173</v>
      </c>
      <c r="B1046" s="116">
        <v>1860.5</v>
      </c>
      <c r="C1046" s="116">
        <v>1810.05</v>
      </c>
      <c r="D1046" s="116">
        <v>1801</v>
      </c>
      <c r="E1046" s="116">
        <v>1860.5</v>
      </c>
      <c r="F1046" s="116">
        <v>1810.05</v>
      </c>
      <c r="G1046">
        <v>5184</v>
      </c>
      <c r="H1046" s="116"/>
      <c r="I1046" s="116"/>
      <c r="L1046" s="170">
        <v>44173</v>
      </c>
      <c r="M1046" s="116">
        <v>1810</v>
      </c>
      <c r="N1046" s="116">
        <v>1850</v>
      </c>
      <c r="O1046" s="116">
        <v>1800</v>
      </c>
      <c r="P1046" s="116">
        <v>1848.15</v>
      </c>
      <c r="Q1046" s="116">
        <v>1810</v>
      </c>
      <c r="R1046">
        <v>141840</v>
      </c>
    </row>
    <row r="1047" spans="1:18" x14ac:dyDescent="0.25">
      <c r="A1047" s="170">
        <v>44174</v>
      </c>
      <c r="B1047" s="116">
        <v>1848</v>
      </c>
      <c r="C1047" s="116">
        <v>1840.05</v>
      </c>
      <c r="D1047" s="116">
        <v>1813.7</v>
      </c>
      <c r="E1047" s="116">
        <v>1814.35</v>
      </c>
      <c r="F1047" s="116">
        <v>1840.05</v>
      </c>
      <c r="G1047">
        <v>5926</v>
      </c>
      <c r="H1047" s="116"/>
      <c r="I1047" s="116"/>
      <c r="L1047" s="170">
        <v>44174</v>
      </c>
      <c r="M1047" s="116">
        <v>1840.15</v>
      </c>
      <c r="N1047" s="116">
        <v>1848</v>
      </c>
      <c r="O1047" s="116">
        <v>1812.9</v>
      </c>
      <c r="P1047" s="116">
        <v>1819.05</v>
      </c>
      <c r="Q1047" s="116">
        <v>1840.15</v>
      </c>
      <c r="R1047">
        <v>121946</v>
      </c>
    </row>
    <row r="1048" spans="1:18" x14ac:dyDescent="0.25">
      <c r="A1048" s="170">
        <v>44175</v>
      </c>
      <c r="B1048" s="116">
        <v>1883.45</v>
      </c>
      <c r="C1048" s="116">
        <v>1848.25</v>
      </c>
      <c r="D1048" s="116">
        <v>1813.05</v>
      </c>
      <c r="E1048" s="116">
        <v>1850</v>
      </c>
      <c r="F1048" s="116">
        <v>1848.25</v>
      </c>
      <c r="G1048">
        <v>8489</v>
      </c>
      <c r="H1048" s="116"/>
      <c r="I1048" s="116"/>
      <c r="L1048" s="170">
        <v>44175</v>
      </c>
      <c r="M1048" s="116">
        <v>1848.7</v>
      </c>
      <c r="N1048" s="116">
        <v>1890</v>
      </c>
      <c r="O1048" s="116">
        <v>1810.1</v>
      </c>
      <c r="P1048" s="116">
        <v>1848</v>
      </c>
      <c r="Q1048" s="116">
        <v>1848.7</v>
      </c>
      <c r="R1048">
        <v>351071</v>
      </c>
    </row>
    <row r="1049" spans="1:18" x14ac:dyDescent="0.25">
      <c r="A1049" s="170">
        <v>44176</v>
      </c>
      <c r="B1049" s="116">
        <v>1855.45</v>
      </c>
      <c r="C1049" s="116">
        <v>1845.3</v>
      </c>
      <c r="D1049" s="116">
        <v>1830</v>
      </c>
      <c r="E1049" s="116">
        <v>1849.95</v>
      </c>
      <c r="F1049" s="116">
        <v>1845.3</v>
      </c>
      <c r="G1049">
        <v>3372</v>
      </c>
      <c r="H1049" s="116"/>
      <c r="I1049" s="116"/>
      <c r="L1049" s="170">
        <v>44176</v>
      </c>
      <c r="M1049" s="116">
        <v>1846.2</v>
      </c>
      <c r="N1049" s="116">
        <v>1854</v>
      </c>
      <c r="O1049" s="116">
        <v>1826.55</v>
      </c>
      <c r="P1049" s="116">
        <v>1848</v>
      </c>
      <c r="Q1049" s="116">
        <v>1846.2</v>
      </c>
      <c r="R1049">
        <v>114528</v>
      </c>
    </row>
    <row r="1050" spans="1:18" x14ac:dyDescent="0.25">
      <c r="A1050" s="170">
        <v>44179</v>
      </c>
      <c r="B1050" s="116">
        <v>1854</v>
      </c>
      <c r="C1050" s="116">
        <v>1820.25</v>
      </c>
      <c r="D1050" s="116">
        <v>1810</v>
      </c>
      <c r="E1050" s="116">
        <v>1854</v>
      </c>
      <c r="F1050" s="116">
        <v>1820.25</v>
      </c>
      <c r="G1050">
        <v>2681</v>
      </c>
      <c r="H1050" s="116"/>
      <c r="I1050" s="116"/>
      <c r="L1050" s="170">
        <v>44179</v>
      </c>
      <c r="M1050" s="116">
        <v>1817.6</v>
      </c>
      <c r="N1050" s="116">
        <v>1849.9</v>
      </c>
      <c r="O1050" s="116">
        <v>1803</v>
      </c>
      <c r="P1050" s="116">
        <v>1848</v>
      </c>
      <c r="Q1050" s="116">
        <v>1817.6</v>
      </c>
      <c r="R1050">
        <v>78014</v>
      </c>
    </row>
    <row r="1051" spans="1:18" x14ac:dyDescent="0.25">
      <c r="A1051" s="170">
        <v>44180</v>
      </c>
      <c r="B1051" s="116">
        <v>1849.95</v>
      </c>
      <c r="C1051" s="116">
        <v>1831.6</v>
      </c>
      <c r="D1051" s="116">
        <v>1826.5</v>
      </c>
      <c r="E1051" s="116">
        <v>1830</v>
      </c>
      <c r="F1051" s="116">
        <v>1831.6</v>
      </c>
      <c r="G1051">
        <v>6825</v>
      </c>
      <c r="H1051" s="116"/>
      <c r="I1051" s="116"/>
      <c r="L1051" s="170">
        <v>44180</v>
      </c>
      <c r="M1051" s="116">
        <v>1830.5</v>
      </c>
      <c r="N1051" s="116">
        <v>1850</v>
      </c>
      <c r="O1051" s="116">
        <v>1826</v>
      </c>
      <c r="P1051" s="116">
        <v>1830</v>
      </c>
      <c r="Q1051" s="116">
        <v>1830.5</v>
      </c>
      <c r="R1051">
        <v>302304</v>
      </c>
    </row>
    <row r="1052" spans="1:18" x14ac:dyDescent="0.25">
      <c r="A1052" s="170">
        <v>44181</v>
      </c>
      <c r="B1052" s="116">
        <v>1850</v>
      </c>
      <c r="C1052" s="116">
        <v>1840.75</v>
      </c>
      <c r="D1052" s="116">
        <v>1829.15</v>
      </c>
      <c r="E1052" s="116">
        <v>1831.6</v>
      </c>
      <c r="F1052" s="116">
        <v>1840.75</v>
      </c>
      <c r="G1052">
        <v>8856</v>
      </c>
      <c r="H1052" s="116"/>
      <c r="I1052" s="116"/>
      <c r="L1052" s="170">
        <v>44181</v>
      </c>
      <c r="M1052" s="116">
        <v>1842.4</v>
      </c>
      <c r="N1052" s="116">
        <v>1850</v>
      </c>
      <c r="O1052" s="116">
        <v>1831</v>
      </c>
      <c r="P1052" s="116">
        <v>1836</v>
      </c>
      <c r="Q1052" s="116">
        <v>1842.4</v>
      </c>
      <c r="R1052">
        <v>286219</v>
      </c>
    </row>
    <row r="1053" spans="1:18" x14ac:dyDescent="0.25">
      <c r="A1053" s="170">
        <v>44182</v>
      </c>
      <c r="B1053" s="116">
        <v>2000</v>
      </c>
      <c r="C1053" s="116">
        <v>1963.85</v>
      </c>
      <c r="D1053" s="116">
        <v>1839.75</v>
      </c>
      <c r="E1053" s="116">
        <v>1845</v>
      </c>
      <c r="F1053" s="116">
        <v>1963.85</v>
      </c>
      <c r="G1053">
        <v>46693</v>
      </c>
      <c r="H1053" s="116"/>
      <c r="I1053" s="116"/>
      <c r="L1053" s="170">
        <v>44182</v>
      </c>
      <c r="M1053" s="116">
        <v>1962.45</v>
      </c>
      <c r="N1053" s="116">
        <v>2000</v>
      </c>
      <c r="O1053" s="116">
        <v>1836</v>
      </c>
      <c r="P1053" s="116">
        <v>1848</v>
      </c>
      <c r="Q1053" s="116">
        <v>1962.45</v>
      </c>
      <c r="R1053">
        <v>942988</v>
      </c>
    </row>
    <row r="1054" spans="1:18" x14ac:dyDescent="0.25">
      <c r="A1054" s="170">
        <v>44183</v>
      </c>
      <c r="B1054" s="116">
        <v>2343</v>
      </c>
      <c r="C1054" s="116">
        <v>2207.65</v>
      </c>
      <c r="D1054" s="116">
        <v>1976</v>
      </c>
      <c r="E1054" s="116">
        <v>1976</v>
      </c>
      <c r="F1054" s="116">
        <v>2207.65</v>
      </c>
      <c r="G1054">
        <v>194853</v>
      </c>
      <c r="H1054" s="116"/>
      <c r="I1054" s="116"/>
      <c r="L1054" s="170">
        <v>44183</v>
      </c>
      <c r="M1054" s="116">
        <v>2203.65</v>
      </c>
      <c r="N1054" s="116">
        <v>2348</v>
      </c>
      <c r="O1054" s="116">
        <v>1974</v>
      </c>
      <c r="P1054" s="116">
        <v>1975</v>
      </c>
      <c r="Q1054" s="116">
        <v>2203.65</v>
      </c>
      <c r="R1054">
        <v>3490757</v>
      </c>
    </row>
    <row r="1055" spans="1:18" x14ac:dyDescent="0.25">
      <c r="A1055" s="170">
        <v>44186</v>
      </c>
      <c r="B1055" s="116">
        <v>2324.4</v>
      </c>
      <c r="C1055" s="116">
        <v>2155.0500000000002</v>
      </c>
      <c r="D1055" s="116">
        <v>1968.05</v>
      </c>
      <c r="E1055" s="116">
        <v>2200</v>
      </c>
      <c r="F1055" s="116">
        <v>2155.0500000000002</v>
      </c>
      <c r="G1055">
        <v>79737</v>
      </c>
      <c r="H1055" s="116"/>
      <c r="I1055" s="116"/>
      <c r="L1055" s="170">
        <v>44186</v>
      </c>
      <c r="M1055" s="116">
        <v>2157</v>
      </c>
      <c r="N1055" s="116">
        <v>2325</v>
      </c>
      <c r="O1055" s="116">
        <v>1970</v>
      </c>
      <c r="P1055" s="116">
        <v>2209.15</v>
      </c>
      <c r="Q1055" s="116">
        <v>2157</v>
      </c>
      <c r="R1055">
        <v>1025313</v>
      </c>
    </row>
    <row r="1056" spans="1:18" x14ac:dyDescent="0.25">
      <c r="A1056" s="170">
        <v>44187</v>
      </c>
      <c r="B1056" s="116">
        <v>2315.1999999999998</v>
      </c>
      <c r="C1056" s="116">
        <v>2247.85</v>
      </c>
      <c r="D1056" s="116">
        <v>2058.4499999999998</v>
      </c>
      <c r="E1056" s="116">
        <v>2155.1</v>
      </c>
      <c r="F1056" s="116">
        <v>2247.85</v>
      </c>
      <c r="G1056">
        <v>59230</v>
      </c>
      <c r="H1056" s="116"/>
      <c r="I1056" s="116"/>
      <c r="L1056" s="170">
        <v>44187</v>
      </c>
      <c r="M1056" s="116">
        <v>2248.25</v>
      </c>
      <c r="N1056" s="116">
        <v>2315</v>
      </c>
      <c r="O1056" s="116">
        <v>2056</v>
      </c>
      <c r="P1056" s="116">
        <v>2160</v>
      </c>
      <c r="Q1056" s="116">
        <v>2248.25</v>
      </c>
      <c r="R1056">
        <v>841321</v>
      </c>
    </row>
    <row r="1057" spans="1:18" x14ac:dyDescent="0.25">
      <c r="A1057" s="170">
        <v>44188</v>
      </c>
      <c r="B1057" s="116">
        <v>2348.5</v>
      </c>
      <c r="C1057" s="116">
        <v>2321.9499999999998</v>
      </c>
      <c r="D1057" s="116">
        <v>2232.8000000000002</v>
      </c>
      <c r="E1057" s="116">
        <v>2263</v>
      </c>
      <c r="F1057" s="116">
        <v>2321.9499999999998</v>
      </c>
      <c r="G1057">
        <v>37276</v>
      </c>
      <c r="H1057" s="116"/>
      <c r="I1057" s="116"/>
      <c r="L1057" s="170">
        <v>44188</v>
      </c>
      <c r="M1057" s="116">
        <v>2319.15</v>
      </c>
      <c r="N1057" s="116">
        <v>2348.1999999999998</v>
      </c>
      <c r="O1057" s="116">
        <v>2231</v>
      </c>
      <c r="P1057" s="116">
        <v>2268</v>
      </c>
      <c r="Q1057" s="116">
        <v>2319.15</v>
      </c>
      <c r="R1057">
        <v>699438</v>
      </c>
    </row>
    <row r="1058" spans="1:18" x14ac:dyDescent="0.25">
      <c r="A1058" s="170">
        <v>44189</v>
      </c>
      <c r="B1058" s="116">
        <v>2387.5</v>
      </c>
      <c r="C1058" s="116">
        <v>2345.8000000000002</v>
      </c>
      <c r="D1058" s="116">
        <v>2284.1999999999998</v>
      </c>
      <c r="E1058" s="116">
        <v>2335</v>
      </c>
      <c r="F1058" s="116">
        <v>2345.8000000000002</v>
      </c>
      <c r="G1058">
        <v>40187</v>
      </c>
      <c r="H1058" s="116"/>
      <c r="I1058" s="116"/>
      <c r="L1058" s="170">
        <v>44189</v>
      </c>
      <c r="M1058" s="116">
        <v>2348.65</v>
      </c>
      <c r="N1058" s="116">
        <v>2390</v>
      </c>
      <c r="O1058" s="116">
        <v>2285.35</v>
      </c>
      <c r="P1058" s="116">
        <v>2333.9499999999998</v>
      </c>
      <c r="Q1058" s="116">
        <v>2348.65</v>
      </c>
      <c r="R1058">
        <v>372973</v>
      </c>
    </row>
    <row r="1059" spans="1:18" x14ac:dyDescent="0.25">
      <c r="A1059" s="170">
        <v>44193</v>
      </c>
      <c r="B1059" s="116">
        <v>2419.9</v>
      </c>
      <c r="C1059" s="116">
        <v>2392</v>
      </c>
      <c r="D1059" s="116">
        <v>2307</v>
      </c>
      <c r="E1059" s="116">
        <v>2346</v>
      </c>
      <c r="F1059" s="116">
        <v>2392</v>
      </c>
      <c r="G1059">
        <v>11350</v>
      </c>
      <c r="H1059" s="116"/>
      <c r="I1059" s="116"/>
      <c r="L1059" s="170">
        <v>44193</v>
      </c>
      <c r="M1059" s="116">
        <v>2389</v>
      </c>
      <c r="N1059" s="116">
        <v>2420</v>
      </c>
      <c r="O1059" s="116">
        <v>2301.4499999999998</v>
      </c>
      <c r="P1059" s="116">
        <v>2358.3000000000002</v>
      </c>
      <c r="Q1059" s="116">
        <v>2389</v>
      </c>
      <c r="R1059">
        <v>330232</v>
      </c>
    </row>
    <row r="1060" spans="1:18" x14ac:dyDescent="0.25">
      <c r="A1060" s="170">
        <v>44194</v>
      </c>
      <c r="B1060" s="116">
        <v>2435.1999999999998</v>
      </c>
      <c r="C1060" s="116">
        <v>2368.5</v>
      </c>
      <c r="D1060" s="116">
        <v>2333.15</v>
      </c>
      <c r="E1060" s="116">
        <v>2392</v>
      </c>
      <c r="F1060" s="116">
        <v>2368.5</v>
      </c>
      <c r="G1060">
        <v>18635</v>
      </c>
      <c r="H1060" s="116"/>
      <c r="I1060" s="116"/>
      <c r="L1060" s="170">
        <v>44194</v>
      </c>
      <c r="M1060" s="116">
        <v>2371.1</v>
      </c>
      <c r="N1060" s="116">
        <v>2434</v>
      </c>
      <c r="O1060" s="116">
        <v>2354.5500000000002</v>
      </c>
      <c r="P1060" s="116">
        <v>2391</v>
      </c>
      <c r="Q1060" s="116">
        <v>2371.1</v>
      </c>
      <c r="R1060">
        <v>175440</v>
      </c>
    </row>
    <row r="1061" spans="1:18" x14ac:dyDescent="0.25">
      <c r="A1061" s="170">
        <v>44195</v>
      </c>
      <c r="B1061" s="116">
        <v>2409</v>
      </c>
      <c r="C1061" s="116">
        <v>2336.6</v>
      </c>
      <c r="D1061" s="116">
        <v>2280</v>
      </c>
      <c r="E1061" s="116">
        <v>2409</v>
      </c>
      <c r="F1061" s="116">
        <v>2336.6</v>
      </c>
      <c r="G1061">
        <v>11434</v>
      </c>
      <c r="H1061" s="116"/>
      <c r="I1061" s="116"/>
      <c r="L1061" s="170">
        <v>44195</v>
      </c>
      <c r="M1061" s="116">
        <v>2338.65</v>
      </c>
      <c r="N1061" s="116">
        <v>2384.5500000000002</v>
      </c>
      <c r="O1061" s="116">
        <v>2310</v>
      </c>
      <c r="P1061" s="116">
        <v>2372.1</v>
      </c>
      <c r="Q1061" s="116">
        <v>2338.65</v>
      </c>
      <c r="R1061">
        <v>225448</v>
      </c>
    </row>
    <row r="1062" spans="1:18" x14ac:dyDescent="0.25">
      <c r="A1062" s="170">
        <v>44196</v>
      </c>
      <c r="B1062" s="116">
        <v>2381</v>
      </c>
      <c r="C1062" s="116">
        <v>2338.8000000000002</v>
      </c>
      <c r="D1062" s="116">
        <v>2334.0500000000002</v>
      </c>
      <c r="E1062" s="116">
        <v>2361.9499999999998</v>
      </c>
      <c r="F1062" s="116">
        <v>2338.8000000000002</v>
      </c>
      <c r="G1062">
        <v>6356</v>
      </c>
      <c r="H1062" s="116"/>
      <c r="I1062" s="116"/>
      <c r="L1062" s="170">
        <v>44196</v>
      </c>
      <c r="M1062" s="116">
        <v>2339.6</v>
      </c>
      <c r="N1062" s="116">
        <v>2381</v>
      </c>
      <c r="O1062" s="116">
        <v>2335</v>
      </c>
      <c r="P1062" s="116">
        <v>2342.1999999999998</v>
      </c>
      <c r="Q1062" s="116">
        <v>2339.6</v>
      </c>
      <c r="R1062">
        <v>109447</v>
      </c>
    </row>
    <row r="1063" spans="1:18" x14ac:dyDescent="0.25">
      <c r="A1063" s="170">
        <v>44197</v>
      </c>
      <c r="B1063" s="116">
        <v>2424</v>
      </c>
      <c r="C1063" s="116">
        <v>2411.35</v>
      </c>
      <c r="D1063" s="116">
        <v>2350</v>
      </c>
      <c r="E1063" s="116">
        <v>2350</v>
      </c>
      <c r="F1063" s="116">
        <v>2411.35</v>
      </c>
      <c r="G1063">
        <v>8056</v>
      </c>
      <c r="H1063" s="116"/>
      <c r="I1063" s="116"/>
      <c r="L1063" s="170">
        <v>44197</v>
      </c>
      <c r="M1063" s="116">
        <v>2409.5</v>
      </c>
      <c r="N1063" s="116">
        <v>2425</v>
      </c>
      <c r="O1063" s="116">
        <v>2340.6</v>
      </c>
      <c r="P1063" s="116">
        <v>2340.6</v>
      </c>
      <c r="Q1063" s="116">
        <v>2409.5</v>
      </c>
      <c r="R1063">
        <v>132789</v>
      </c>
    </row>
    <row r="1064" spans="1:18" x14ac:dyDescent="0.25">
      <c r="A1064" s="170">
        <v>44200</v>
      </c>
      <c r="B1064" s="116">
        <v>2465.9</v>
      </c>
      <c r="C1064" s="116">
        <v>2453.0500000000002</v>
      </c>
      <c r="D1064" s="116">
        <v>2413</v>
      </c>
      <c r="E1064" s="116">
        <v>2449</v>
      </c>
      <c r="F1064" s="116">
        <v>2453.0500000000002</v>
      </c>
      <c r="G1064">
        <v>10573</v>
      </c>
      <c r="H1064" s="116"/>
      <c r="I1064" s="116"/>
      <c r="L1064" s="170">
        <v>44200</v>
      </c>
      <c r="M1064" s="116">
        <v>2451.65</v>
      </c>
      <c r="N1064" s="116">
        <v>2464</v>
      </c>
      <c r="O1064" s="116">
        <v>2415.75</v>
      </c>
      <c r="P1064" s="116">
        <v>2429</v>
      </c>
      <c r="Q1064" s="116">
        <v>2451.65</v>
      </c>
      <c r="R1064">
        <v>158049</v>
      </c>
    </row>
    <row r="1065" spans="1:18" x14ac:dyDescent="0.25">
      <c r="A1065" s="170">
        <v>44201</v>
      </c>
      <c r="B1065" s="116">
        <v>2550</v>
      </c>
      <c r="C1065" s="116">
        <v>2505.9</v>
      </c>
      <c r="D1065" s="116">
        <v>2400</v>
      </c>
      <c r="E1065" s="116">
        <v>2450.25</v>
      </c>
      <c r="F1065" s="116">
        <v>2505.9</v>
      </c>
      <c r="G1065">
        <v>17136</v>
      </c>
      <c r="H1065" s="116"/>
      <c r="I1065" s="116"/>
      <c r="L1065" s="170">
        <v>44201</v>
      </c>
      <c r="M1065" s="116">
        <v>2504</v>
      </c>
      <c r="N1065" s="116">
        <v>2550</v>
      </c>
      <c r="O1065" s="116">
        <v>2395.15</v>
      </c>
      <c r="P1065" s="116">
        <v>2450</v>
      </c>
      <c r="Q1065" s="116">
        <v>2504</v>
      </c>
      <c r="R1065">
        <v>305277</v>
      </c>
    </row>
    <row r="1066" spans="1:18" x14ac:dyDescent="0.25">
      <c r="A1066" s="170">
        <v>44202</v>
      </c>
      <c r="B1066" s="116">
        <v>2619</v>
      </c>
      <c r="C1066" s="116">
        <v>2496.9</v>
      </c>
      <c r="D1066" s="116">
        <v>2412.5500000000002</v>
      </c>
      <c r="E1066" s="116">
        <v>2510</v>
      </c>
      <c r="F1066" s="116">
        <v>2496.9</v>
      </c>
      <c r="G1066">
        <v>25204</v>
      </c>
      <c r="H1066" s="116"/>
      <c r="I1066" s="116"/>
      <c r="L1066" s="170">
        <v>44202</v>
      </c>
      <c r="M1066" s="116">
        <v>2492.35</v>
      </c>
      <c r="N1066" s="116">
        <v>2620</v>
      </c>
      <c r="O1066" s="116">
        <v>2415</v>
      </c>
      <c r="P1066" s="116">
        <v>2528</v>
      </c>
      <c r="Q1066" s="116">
        <v>2492.35</v>
      </c>
      <c r="R1066">
        <v>335490</v>
      </c>
    </row>
    <row r="1067" spans="1:18" x14ac:dyDescent="0.25">
      <c r="A1067" s="170">
        <v>44203</v>
      </c>
      <c r="B1067" s="116">
        <v>2612</v>
      </c>
      <c r="C1067" s="116">
        <v>2393.5500000000002</v>
      </c>
      <c r="D1067" s="116">
        <v>2380</v>
      </c>
      <c r="E1067" s="116">
        <v>2612</v>
      </c>
      <c r="F1067" s="116">
        <v>2393.5500000000002</v>
      </c>
      <c r="G1067">
        <v>19240</v>
      </c>
      <c r="H1067" s="116"/>
      <c r="I1067" s="116"/>
      <c r="L1067" s="170">
        <v>44203</v>
      </c>
      <c r="M1067" s="116">
        <v>2393.5500000000002</v>
      </c>
      <c r="N1067" s="116">
        <v>2530</v>
      </c>
      <c r="O1067" s="116">
        <v>2380</v>
      </c>
      <c r="P1067" s="116">
        <v>2530</v>
      </c>
      <c r="Q1067" s="116">
        <v>2393.5500000000002</v>
      </c>
      <c r="R1067">
        <v>255804</v>
      </c>
    </row>
    <row r="1068" spans="1:18" x14ac:dyDescent="0.25">
      <c r="A1068" s="170">
        <v>44204</v>
      </c>
      <c r="B1068" s="116">
        <v>2470</v>
      </c>
      <c r="C1068" s="116">
        <v>2455.3000000000002</v>
      </c>
      <c r="D1068" s="116">
        <v>2408.1999999999998</v>
      </c>
      <c r="E1068" s="116">
        <v>2415</v>
      </c>
      <c r="F1068" s="116">
        <v>2455.3000000000002</v>
      </c>
      <c r="G1068">
        <v>12184</v>
      </c>
      <c r="H1068" s="116"/>
      <c r="I1068" s="116"/>
      <c r="L1068" s="170">
        <v>44204</v>
      </c>
      <c r="M1068" s="116">
        <v>2456.4</v>
      </c>
      <c r="N1068" s="116">
        <v>2470</v>
      </c>
      <c r="O1068" s="116">
        <v>2407.9499999999998</v>
      </c>
      <c r="P1068" s="116">
        <v>2409</v>
      </c>
      <c r="Q1068" s="116">
        <v>2456.4</v>
      </c>
      <c r="R1068">
        <v>162434</v>
      </c>
    </row>
    <row r="1069" spans="1:18" x14ac:dyDescent="0.25">
      <c r="A1069" s="170">
        <v>44207</v>
      </c>
      <c r="B1069" s="116">
        <v>2542.65</v>
      </c>
      <c r="C1069" s="116">
        <v>2519.65</v>
      </c>
      <c r="D1069" s="116">
        <v>2467.15</v>
      </c>
      <c r="E1069" s="116">
        <v>2497.35</v>
      </c>
      <c r="F1069" s="116">
        <v>2519.65</v>
      </c>
      <c r="G1069">
        <v>8699</v>
      </c>
      <c r="H1069" s="116"/>
      <c r="I1069" s="116"/>
      <c r="L1069" s="170">
        <v>44207</v>
      </c>
      <c r="M1069" s="116">
        <v>2522.5</v>
      </c>
      <c r="N1069" s="116">
        <v>2544</v>
      </c>
      <c r="O1069" s="116">
        <v>2464</v>
      </c>
      <c r="P1069" s="116">
        <v>2482.5</v>
      </c>
      <c r="Q1069" s="116">
        <v>2522.5</v>
      </c>
      <c r="R1069">
        <v>280362</v>
      </c>
    </row>
    <row r="1070" spans="1:18" x14ac:dyDescent="0.25">
      <c r="A1070" s="170">
        <v>44208</v>
      </c>
      <c r="B1070" s="116">
        <v>2607</v>
      </c>
      <c r="C1070" s="116">
        <v>2506.35</v>
      </c>
      <c r="D1070" s="116">
        <v>2476.5</v>
      </c>
      <c r="E1070" s="116">
        <v>2543.85</v>
      </c>
      <c r="F1070" s="116">
        <v>2506.35</v>
      </c>
      <c r="G1070">
        <v>130208</v>
      </c>
      <c r="H1070" s="116"/>
      <c r="I1070" s="116"/>
      <c r="L1070" s="170">
        <v>44208</v>
      </c>
      <c r="M1070" s="116">
        <v>2501.35</v>
      </c>
      <c r="N1070" s="116">
        <v>2610</v>
      </c>
      <c r="O1070" s="116">
        <v>2477</v>
      </c>
      <c r="P1070" s="116">
        <v>2535.1999999999998</v>
      </c>
      <c r="Q1070" s="116">
        <v>2501.35</v>
      </c>
      <c r="R1070">
        <v>402780</v>
      </c>
    </row>
    <row r="1071" spans="1:18" x14ac:dyDescent="0.25">
      <c r="A1071" s="170">
        <v>44209</v>
      </c>
      <c r="B1071" s="116">
        <v>2625</v>
      </c>
      <c r="C1071" s="116">
        <v>2600.35</v>
      </c>
      <c r="D1071" s="116">
        <v>2509.15</v>
      </c>
      <c r="E1071" s="116">
        <v>2525</v>
      </c>
      <c r="F1071" s="116">
        <v>2600.35</v>
      </c>
      <c r="G1071">
        <v>34471</v>
      </c>
      <c r="H1071" s="116"/>
      <c r="I1071" s="116"/>
      <c r="L1071" s="170">
        <v>44209</v>
      </c>
      <c r="M1071" s="116">
        <v>2595.15</v>
      </c>
      <c r="N1071" s="116">
        <v>2625</v>
      </c>
      <c r="O1071" s="116">
        <v>2499.9</v>
      </c>
      <c r="P1071" s="116">
        <v>2520.0500000000002</v>
      </c>
      <c r="Q1071" s="116">
        <v>2595.15</v>
      </c>
      <c r="R1071">
        <v>398522</v>
      </c>
    </row>
    <row r="1072" spans="1:18" x14ac:dyDescent="0.25">
      <c r="A1072" s="170">
        <v>44210</v>
      </c>
      <c r="B1072" s="116">
        <v>2719.9</v>
      </c>
      <c r="C1072" s="116">
        <v>2685.05</v>
      </c>
      <c r="D1072" s="116">
        <v>2611.25</v>
      </c>
      <c r="E1072" s="116">
        <v>2621</v>
      </c>
      <c r="F1072" s="116">
        <v>2685.05</v>
      </c>
      <c r="G1072">
        <v>30479</v>
      </c>
      <c r="H1072" s="116"/>
      <c r="I1072" s="116"/>
      <c r="L1072" s="170">
        <v>44210</v>
      </c>
      <c r="M1072" s="116">
        <v>2686.5</v>
      </c>
      <c r="N1072" s="116">
        <v>2720</v>
      </c>
      <c r="O1072" s="116">
        <v>2620</v>
      </c>
      <c r="P1072" s="116">
        <v>2624</v>
      </c>
      <c r="Q1072" s="116">
        <v>2686.5</v>
      </c>
      <c r="R1072">
        <v>497984</v>
      </c>
    </row>
    <row r="1073" spans="1:18" x14ac:dyDescent="0.25">
      <c r="A1073" s="170">
        <v>44211</v>
      </c>
      <c r="B1073" s="116">
        <v>2780</v>
      </c>
      <c r="C1073" s="116">
        <v>2520.4</v>
      </c>
      <c r="D1073" s="116">
        <v>2492</v>
      </c>
      <c r="E1073" s="116">
        <v>2780</v>
      </c>
      <c r="F1073" s="116">
        <v>2520.4</v>
      </c>
      <c r="G1073">
        <v>22582</v>
      </c>
      <c r="H1073" s="116"/>
      <c r="I1073" s="116"/>
      <c r="L1073" s="170">
        <v>44211</v>
      </c>
      <c r="M1073" s="116">
        <v>2518.25</v>
      </c>
      <c r="N1073" s="116">
        <v>2748.95</v>
      </c>
      <c r="O1073" s="116">
        <v>2490</v>
      </c>
      <c r="P1073" s="116">
        <v>2729</v>
      </c>
      <c r="Q1073" s="116">
        <v>2518.25</v>
      </c>
      <c r="R1073">
        <v>404561</v>
      </c>
    </row>
    <row r="1074" spans="1:18" x14ac:dyDescent="0.25">
      <c r="A1074" s="170">
        <v>44214</v>
      </c>
      <c r="B1074" s="116">
        <v>2550.6</v>
      </c>
      <c r="C1074" s="116">
        <v>2375.9499999999998</v>
      </c>
      <c r="D1074" s="116">
        <v>2346.3000000000002</v>
      </c>
      <c r="E1074" s="116">
        <v>2520.4</v>
      </c>
      <c r="F1074" s="116">
        <v>2375.9499999999998</v>
      </c>
      <c r="G1074">
        <v>35244</v>
      </c>
      <c r="H1074" s="116"/>
      <c r="I1074" s="116"/>
      <c r="L1074" s="170">
        <v>44214</v>
      </c>
      <c r="M1074" s="116">
        <v>2375.85</v>
      </c>
      <c r="N1074" s="116">
        <v>2549</v>
      </c>
      <c r="O1074" s="116">
        <v>2340</v>
      </c>
      <c r="P1074" s="116">
        <v>2532</v>
      </c>
      <c r="Q1074" s="116">
        <v>2375.85</v>
      </c>
      <c r="R1074">
        <v>281309</v>
      </c>
    </row>
    <row r="1075" spans="1:18" x14ac:dyDescent="0.25">
      <c r="A1075" s="170">
        <v>44215</v>
      </c>
      <c r="B1075" s="116">
        <v>2624</v>
      </c>
      <c r="C1075" s="116">
        <v>2577.6</v>
      </c>
      <c r="D1075" s="116">
        <v>2378.5</v>
      </c>
      <c r="E1075" s="116">
        <v>2406.4</v>
      </c>
      <c r="F1075" s="116">
        <v>2577.6</v>
      </c>
      <c r="G1075">
        <v>132312</v>
      </c>
      <c r="H1075" s="116"/>
      <c r="I1075" s="116"/>
      <c r="L1075" s="170">
        <v>44215</v>
      </c>
      <c r="M1075" s="116">
        <v>2576.85</v>
      </c>
      <c r="N1075" s="116">
        <v>2622.95</v>
      </c>
      <c r="O1075" s="116">
        <v>2305</v>
      </c>
      <c r="P1075" s="116">
        <v>2410</v>
      </c>
      <c r="Q1075" s="116">
        <v>2576.85</v>
      </c>
      <c r="R1075">
        <v>969850</v>
      </c>
    </row>
    <row r="1076" spans="1:18" x14ac:dyDescent="0.25">
      <c r="A1076" s="170">
        <v>44216</v>
      </c>
      <c r="B1076" s="116">
        <v>2684</v>
      </c>
      <c r="C1076" s="116">
        <v>2662.55</v>
      </c>
      <c r="D1076" s="116">
        <v>2580</v>
      </c>
      <c r="E1076" s="116">
        <v>2588</v>
      </c>
      <c r="F1076" s="116">
        <v>2662.55</v>
      </c>
      <c r="G1076">
        <v>34256</v>
      </c>
      <c r="H1076" s="116"/>
      <c r="I1076" s="116"/>
      <c r="L1076" s="170">
        <v>44216</v>
      </c>
      <c r="M1076" s="116">
        <v>2658</v>
      </c>
      <c r="N1076" s="116">
        <v>2684</v>
      </c>
      <c r="O1076" s="116">
        <v>2584</v>
      </c>
      <c r="P1076" s="116">
        <v>2589</v>
      </c>
      <c r="Q1076" s="116">
        <v>2658</v>
      </c>
      <c r="R1076">
        <v>460981</v>
      </c>
    </row>
    <row r="1077" spans="1:18" x14ac:dyDescent="0.25">
      <c r="A1077" s="170">
        <v>44217</v>
      </c>
      <c r="B1077" s="116">
        <v>2660</v>
      </c>
      <c r="C1077" s="116">
        <v>2527.9</v>
      </c>
      <c r="D1077" s="116">
        <v>2416.6</v>
      </c>
      <c r="E1077" s="116">
        <v>2660</v>
      </c>
      <c r="F1077" s="116">
        <v>2527.9</v>
      </c>
      <c r="G1077">
        <v>66501</v>
      </c>
      <c r="H1077" s="116"/>
      <c r="I1077" s="116"/>
      <c r="L1077" s="170">
        <v>44217</v>
      </c>
      <c r="M1077" s="116">
        <v>2523.5</v>
      </c>
      <c r="N1077" s="116">
        <v>2664</v>
      </c>
      <c r="O1077" s="116">
        <v>2500</v>
      </c>
      <c r="P1077" s="116">
        <v>2664</v>
      </c>
      <c r="Q1077" s="116">
        <v>2523.5</v>
      </c>
      <c r="R1077">
        <v>665978</v>
      </c>
    </row>
    <row r="1078" spans="1:18" x14ac:dyDescent="0.25">
      <c r="A1078" s="170">
        <v>44218</v>
      </c>
      <c r="B1078" s="116">
        <v>2563</v>
      </c>
      <c r="C1078" s="116">
        <v>2402.6</v>
      </c>
      <c r="D1078" s="116">
        <v>2390</v>
      </c>
      <c r="E1078" s="116">
        <v>2563</v>
      </c>
      <c r="F1078" s="116">
        <v>2402.6</v>
      </c>
      <c r="G1078">
        <v>19195</v>
      </c>
      <c r="H1078" s="116"/>
      <c r="I1078" s="116"/>
      <c r="L1078" s="170">
        <v>44218</v>
      </c>
      <c r="M1078" s="116">
        <v>2401.9499999999998</v>
      </c>
      <c r="N1078" s="116">
        <v>2541.5</v>
      </c>
      <c r="O1078" s="116">
        <v>2390.0500000000002</v>
      </c>
      <c r="P1078" s="116">
        <v>2540</v>
      </c>
      <c r="Q1078" s="116">
        <v>2401.9499999999998</v>
      </c>
      <c r="R1078">
        <v>243959</v>
      </c>
    </row>
    <row r="1079" spans="1:18" x14ac:dyDescent="0.25">
      <c r="A1079" s="170">
        <v>44221</v>
      </c>
      <c r="B1079" s="116">
        <v>2480</v>
      </c>
      <c r="C1079" s="116">
        <v>2342.25</v>
      </c>
      <c r="D1079" s="116">
        <v>2301.4</v>
      </c>
      <c r="E1079" s="116">
        <v>2447</v>
      </c>
      <c r="F1079" s="116">
        <v>2342.25</v>
      </c>
      <c r="G1079">
        <v>20923</v>
      </c>
      <c r="H1079" s="116"/>
      <c r="I1079" s="116"/>
      <c r="L1079" s="170">
        <v>44221</v>
      </c>
      <c r="M1079" s="116">
        <v>2348.6</v>
      </c>
      <c r="N1079" s="116">
        <v>2469.75</v>
      </c>
      <c r="O1079" s="116">
        <v>2301</v>
      </c>
      <c r="P1079" s="116">
        <v>2439.9</v>
      </c>
      <c r="Q1079" s="116">
        <v>2348.6</v>
      </c>
      <c r="R1079">
        <v>165013</v>
      </c>
    </row>
    <row r="1080" spans="1:18" x14ac:dyDescent="0.25">
      <c r="A1080" s="170">
        <v>44223</v>
      </c>
      <c r="B1080" s="116">
        <v>2550</v>
      </c>
      <c r="C1080" s="116">
        <v>2473.0500000000002</v>
      </c>
      <c r="D1080" s="116">
        <v>2354.1999999999998</v>
      </c>
      <c r="E1080" s="116">
        <v>2398</v>
      </c>
      <c r="F1080" s="116">
        <v>2473.0500000000002</v>
      </c>
      <c r="G1080">
        <v>26180</v>
      </c>
      <c r="H1080" s="116"/>
      <c r="I1080" s="116"/>
      <c r="L1080" s="170">
        <v>44223</v>
      </c>
      <c r="M1080" s="116">
        <v>2471.6999999999998</v>
      </c>
      <c r="N1080" s="116">
        <v>2550</v>
      </c>
      <c r="O1080" s="116">
        <v>2356.35</v>
      </c>
      <c r="P1080" s="116">
        <v>2359</v>
      </c>
      <c r="Q1080" s="116">
        <v>2471.6999999999998</v>
      </c>
      <c r="R1080">
        <v>705571</v>
      </c>
    </row>
    <row r="1081" spans="1:18" x14ac:dyDescent="0.25">
      <c r="A1081" s="170">
        <v>44224</v>
      </c>
      <c r="B1081" s="116">
        <v>2549.15</v>
      </c>
      <c r="C1081" s="116">
        <v>2424.3000000000002</v>
      </c>
      <c r="D1081" s="116">
        <v>2382</v>
      </c>
      <c r="E1081" s="116">
        <v>2455</v>
      </c>
      <c r="F1081" s="116">
        <v>2424.3000000000002</v>
      </c>
      <c r="G1081">
        <v>20756</v>
      </c>
      <c r="H1081" s="116"/>
      <c r="I1081" s="116"/>
      <c r="L1081" s="170">
        <v>44224</v>
      </c>
      <c r="M1081" s="116">
        <v>2421.1</v>
      </c>
      <c r="N1081" s="116">
        <v>2550</v>
      </c>
      <c r="O1081" s="116">
        <v>2380.0500000000002</v>
      </c>
      <c r="P1081" s="116">
        <v>2454</v>
      </c>
      <c r="Q1081" s="116">
        <v>2421.1</v>
      </c>
      <c r="R1081">
        <v>290010</v>
      </c>
    </row>
    <row r="1082" spans="1:18" x14ac:dyDescent="0.25">
      <c r="A1082" s="170">
        <v>44225</v>
      </c>
      <c r="B1082" s="116">
        <v>2494.5</v>
      </c>
      <c r="C1082" s="116">
        <v>2428.9499999999998</v>
      </c>
      <c r="D1082" s="116">
        <v>2403.6</v>
      </c>
      <c r="E1082" s="116">
        <v>2467</v>
      </c>
      <c r="F1082" s="116">
        <v>2428.9499999999998</v>
      </c>
      <c r="G1082">
        <v>11249</v>
      </c>
      <c r="H1082" s="116"/>
      <c r="I1082" s="116"/>
      <c r="L1082" s="170">
        <v>44225</v>
      </c>
      <c r="M1082" s="116">
        <v>2433.9</v>
      </c>
      <c r="N1082" s="116">
        <v>2494</v>
      </c>
      <c r="O1082" s="116">
        <v>2396.15</v>
      </c>
      <c r="P1082" s="116">
        <v>2450</v>
      </c>
      <c r="Q1082" s="116">
        <v>2433.9</v>
      </c>
      <c r="R1082">
        <v>287578</v>
      </c>
    </row>
    <row r="1083" spans="1:18" x14ac:dyDescent="0.25">
      <c r="A1083" s="170">
        <v>44228</v>
      </c>
      <c r="B1083" s="116">
        <v>2486.3000000000002</v>
      </c>
      <c r="C1083" s="116">
        <v>2474.8000000000002</v>
      </c>
      <c r="D1083" s="116">
        <v>2419</v>
      </c>
      <c r="E1083" s="116">
        <v>2469</v>
      </c>
      <c r="F1083" s="116">
        <v>2474.8000000000002</v>
      </c>
      <c r="G1083">
        <v>10402</v>
      </c>
      <c r="H1083" s="116"/>
      <c r="I1083" s="116"/>
      <c r="L1083" s="170">
        <v>44228</v>
      </c>
      <c r="M1083" s="116">
        <v>2476.1999999999998</v>
      </c>
      <c r="N1083" s="116">
        <v>2485.0500000000002</v>
      </c>
      <c r="O1083" s="116">
        <v>2410</v>
      </c>
      <c r="P1083" s="116">
        <v>2455</v>
      </c>
      <c r="Q1083" s="116">
        <v>2476.1999999999998</v>
      </c>
      <c r="R1083">
        <v>159035</v>
      </c>
    </row>
    <row r="1084" spans="1:18" x14ac:dyDescent="0.25">
      <c r="A1084" s="170">
        <v>44229</v>
      </c>
      <c r="B1084" s="116">
        <v>2557.25</v>
      </c>
      <c r="C1084" s="116">
        <v>2548.3000000000002</v>
      </c>
      <c r="D1084" s="116">
        <v>2488.6</v>
      </c>
      <c r="E1084" s="116">
        <v>2520</v>
      </c>
      <c r="F1084" s="116">
        <v>2548.3000000000002</v>
      </c>
      <c r="G1084">
        <v>9050</v>
      </c>
      <c r="H1084" s="116"/>
      <c r="I1084" s="116"/>
      <c r="L1084" s="170">
        <v>44229</v>
      </c>
      <c r="M1084" s="116">
        <v>2549.6</v>
      </c>
      <c r="N1084" s="116">
        <v>2558.5500000000002</v>
      </c>
      <c r="O1084" s="116">
        <v>2487.4</v>
      </c>
      <c r="P1084" s="116">
        <v>2550</v>
      </c>
      <c r="Q1084" s="116">
        <v>2549.6</v>
      </c>
      <c r="R1084">
        <v>227466</v>
      </c>
    </row>
    <row r="1085" spans="1:18" x14ac:dyDescent="0.25">
      <c r="A1085" s="170">
        <v>44230</v>
      </c>
      <c r="B1085" s="116">
        <v>2630</v>
      </c>
      <c r="C1085" s="116">
        <v>2564.0500000000002</v>
      </c>
      <c r="D1085" s="116">
        <v>2529</v>
      </c>
      <c r="E1085" s="116">
        <v>2575</v>
      </c>
      <c r="F1085" s="116">
        <v>2564.0500000000002</v>
      </c>
      <c r="G1085">
        <v>11492</v>
      </c>
      <c r="H1085" s="116"/>
      <c r="I1085" s="116"/>
      <c r="L1085" s="170">
        <v>44230</v>
      </c>
      <c r="M1085" s="116">
        <v>2565.9</v>
      </c>
      <c r="N1085" s="116">
        <v>2630.9</v>
      </c>
      <c r="O1085" s="116">
        <v>2518.0500000000002</v>
      </c>
      <c r="P1085" s="116">
        <v>2555</v>
      </c>
      <c r="Q1085" s="116">
        <v>2565.9</v>
      </c>
      <c r="R1085">
        <v>239517</v>
      </c>
    </row>
    <row r="1086" spans="1:18" x14ac:dyDescent="0.25">
      <c r="A1086" s="170">
        <v>44231</v>
      </c>
      <c r="B1086" s="116">
        <v>2644.4</v>
      </c>
      <c r="C1086" s="116">
        <v>2615.85</v>
      </c>
      <c r="D1086" s="116">
        <v>2500</v>
      </c>
      <c r="E1086" s="116">
        <v>2584</v>
      </c>
      <c r="F1086" s="116">
        <v>2615.85</v>
      </c>
      <c r="G1086">
        <v>9881</v>
      </c>
      <c r="H1086" s="116"/>
      <c r="I1086" s="116"/>
      <c r="L1086" s="170">
        <v>44231</v>
      </c>
      <c r="M1086" s="116">
        <v>2618.9</v>
      </c>
      <c r="N1086" s="116">
        <v>2649</v>
      </c>
      <c r="O1086" s="116">
        <v>2560.0500000000002</v>
      </c>
      <c r="P1086" s="116">
        <v>2580.1999999999998</v>
      </c>
      <c r="Q1086" s="116">
        <v>2618.9</v>
      </c>
      <c r="R1086">
        <v>217992</v>
      </c>
    </row>
    <row r="1087" spans="1:18" x14ac:dyDescent="0.25">
      <c r="A1087" s="170">
        <v>44232</v>
      </c>
      <c r="B1087" s="116">
        <v>2760</v>
      </c>
      <c r="C1087" s="116">
        <v>2726.55</v>
      </c>
      <c r="D1087" s="116">
        <v>2618.1</v>
      </c>
      <c r="E1087" s="116">
        <v>2649</v>
      </c>
      <c r="F1087" s="116">
        <v>2726.55</v>
      </c>
      <c r="G1087">
        <v>24367</v>
      </c>
      <c r="H1087" s="116"/>
      <c r="I1087" s="116"/>
      <c r="L1087" s="170">
        <v>44232</v>
      </c>
      <c r="M1087" s="116">
        <v>2727.65</v>
      </c>
      <c r="N1087" s="116">
        <v>2760</v>
      </c>
      <c r="O1087" s="116">
        <v>2620.0500000000002</v>
      </c>
      <c r="P1087" s="116">
        <v>2624</v>
      </c>
      <c r="Q1087" s="116">
        <v>2727.65</v>
      </c>
      <c r="R1087">
        <v>345565</v>
      </c>
    </row>
    <row r="1088" spans="1:18" x14ac:dyDescent="0.25">
      <c r="A1088" s="170">
        <v>44235</v>
      </c>
      <c r="B1088" s="116">
        <v>2754</v>
      </c>
      <c r="C1088" s="116">
        <v>2700.85</v>
      </c>
      <c r="D1088" s="116">
        <v>2661.75</v>
      </c>
      <c r="E1088" s="116">
        <v>2754</v>
      </c>
      <c r="F1088" s="116">
        <v>2700.85</v>
      </c>
      <c r="G1088">
        <v>18397</v>
      </c>
      <c r="H1088" s="116"/>
      <c r="I1088" s="116"/>
      <c r="L1088" s="170">
        <v>44235</v>
      </c>
      <c r="M1088" s="116">
        <v>2700.55</v>
      </c>
      <c r="N1088" s="116">
        <v>2738.6</v>
      </c>
      <c r="O1088" s="116">
        <v>2660.3</v>
      </c>
      <c r="P1088" s="116">
        <v>2738.6</v>
      </c>
      <c r="Q1088" s="116">
        <v>2700.55</v>
      </c>
      <c r="R1088">
        <v>193514</v>
      </c>
    </row>
    <row r="1089" spans="1:18" x14ac:dyDescent="0.25">
      <c r="A1089" s="170">
        <v>44236</v>
      </c>
      <c r="B1089" s="116">
        <v>2724</v>
      </c>
      <c r="C1089" s="116">
        <v>2666.65</v>
      </c>
      <c r="D1089" s="116">
        <v>2653.75</v>
      </c>
      <c r="E1089" s="116">
        <v>2724</v>
      </c>
      <c r="F1089" s="116">
        <v>2666.65</v>
      </c>
      <c r="G1089">
        <v>11488</v>
      </c>
      <c r="H1089" s="116"/>
      <c r="I1089" s="116"/>
      <c r="L1089" s="170">
        <v>44236</v>
      </c>
      <c r="M1089" s="116">
        <v>2668.7</v>
      </c>
      <c r="N1089" s="116">
        <v>2720</v>
      </c>
      <c r="O1089" s="116">
        <v>2652</v>
      </c>
      <c r="P1089" s="116">
        <v>2702.45</v>
      </c>
      <c r="Q1089" s="116">
        <v>2668.7</v>
      </c>
      <c r="R1089">
        <v>104489</v>
      </c>
    </row>
    <row r="1090" spans="1:18" x14ac:dyDescent="0.25">
      <c r="A1090" s="170">
        <v>44237</v>
      </c>
      <c r="B1090" s="116">
        <v>2698</v>
      </c>
      <c r="C1090" s="116">
        <v>2621.45</v>
      </c>
      <c r="D1090" s="116">
        <v>2565.85</v>
      </c>
      <c r="E1090" s="116">
        <v>2698</v>
      </c>
      <c r="F1090" s="116">
        <v>2621.45</v>
      </c>
      <c r="G1090">
        <v>9864</v>
      </c>
      <c r="H1090" s="116"/>
      <c r="I1090" s="116"/>
      <c r="L1090" s="170">
        <v>44237</v>
      </c>
      <c r="M1090" s="116">
        <v>2622.15</v>
      </c>
      <c r="N1090" s="116">
        <v>2689</v>
      </c>
      <c r="O1090" s="116">
        <v>2565</v>
      </c>
      <c r="P1090" s="116">
        <v>2680</v>
      </c>
      <c r="Q1090" s="116">
        <v>2622.15</v>
      </c>
      <c r="R1090">
        <v>168571</v>
      </c>
    </row>
    <row r="1091" spans="1:18" x14ac:dyDescent="0.25">
      <c r="A1091" s="170">
        <v>44238</v>
      </c>
      <c r="B1091" s="116">
        <v>2660</v>
      </c>
      <c r="C1091" s="116">
        <v>2581.1999999999998</v>
      </c>
      <c r="D1091" s="116">
        <v>2572.85</v>
      </c>
      <c r="E1091" s="116">
        <v>2660</v>
      </c>
      <c r="F1091" s="116">
        <v>2581.1999999999998</v>
      </c>
      <c r="G1091">
        <v>5753</v>
      </c>
      <c r="H1091" s="116"/>
      <c r="I1091" s="116"/>
      <c r="L1091" s="170">
        <v>44238</v>
      </c>
      <c r="M1091" s="116">
        <v>2580.65</v>
      </c>
      <c r="N1091" s="116">
        <v>2640</v>
      </c>
      <c r="O1091" s="116">
        <v>2575</v>
      </c>
      <c r="P1091" s="116">
        <v>2622.15</v>
      </c>
      <c r="Q1091" s="116">
        <v>2580.65</v>
      </c>
      <c r="R1091">
        <v>102348</v>
      </c>
    </row>
    <row r="1092" spans="1:18" x14ac:dyDescent="0.25">
      <c r="A1092" s="170">
        <v>44239</v>
      </c>
      <c r="B1092" s="116">
        <v>2612.9</v>
      </c>
      <c r="C1092" s="116">
        <v>2600.9</v>
      </c>
      <c r="D1092" s="116">
        <v>2566.0500000000002</v>
      </c>
      <c r="E1092" s="116">
        <v>2610</v>
      </c>
      <c r="F1092" s="116">
        <v>2600.9</v>
      </c>
      <c r="G1092">
        <v>6040</v>
      </c>
      <c r="H1092" s="116"/>
      <c r="I1092" s="116"/>
      <c r="L1092" s="170">
        <v>44239</v>
      </c>
      <c r="M1092" s="116">
        <v>2599.9</v>
      </c>
      <c r="N1092" s="116">
        <v>2611.9499999999998</v>
      </c>
      <c r="O1092" s="116">
        <v>2567</v>
      </c>
      <c r="P1092" s="116">
        <v>2590</v>
      </c>
      <c r="Q1092" s="116">
        <v>2599.9</v>
      </c>
      <c r="R1092">
        <v>65750</v>
      </c>
    </row>
    <row r="1093" spans="1:18" x14ac:dyDescent="0.25">
      <c r="A1093" s="170">
        <v>44242</v>
      </c>
      <c r="B1093" s="116">
        <v>2638</v>
      </c>
      <c r="C1093" s="116">
        <v>2586.75</v>
      </c>
      <c r="D1093" s="116">
        <v>2577</v>
      </c>
      <c r="E1093" s="116">
        <v>2600.9</v>
      </c>
      <c r="F1093" s="116">
        <v>2586.75</v>
      </c>
      <c r="G1093">
        <v>6086</v>
      </c>
      <c r="H1093" s="116"/>
      <c r="I1093" s="116"/>
      <c r="L1093" s="170">
        <v>44242</v>
      </c>
      <c r="M1093" s="116">
        <v>2586.5</v>
      </c>
      <c r="N1093" s="116">
        <v>2639</v>
      </c>
      <c r="O1093" s="116">
        <v>2567</v>
      </c>
      <c r="P1093" s="116">
        <v>2619.9</v>
      </c>
      <c r="Q1093" s="116">
        <v>2586.5</v>
      </c>
      <c r="R1093">
        <v>85374</v>
      </c>
    </row>
    <row r="1094" spans="1:18" x14ac:dyDescent="0.25">
      <c r="A1094" s="170">
        <v>44243</v>
      </c>
      <c r="B1094" s="116">
        <v>2681.35</v>
      </c>
      <c r="C1094" s="116">
        <v>2660.5</v>
      </c>
      <c r="D1094" s="116">
        <v>2586.5</v>
      </c>
      <c r="E1094" s="116">
        <v>2617</v>
      </c>
      <c r="F1094" s="116">
        <v>2660.5</v>
      </c>
      <c r="G1094">
        <v>14788</v>
      </c>
      <c r="H1094" s="116"/>
      <c r="I1094" s="116"/>
      <c r="L1094" s="170">
        <v>44243</v>
      </c>
      <c r="M1094" s="116">
        <v>2660.3</v>
      </c>
      <c r="N1094" s="116">
        <v>2679</v>
      </c>
      <c r="O1094" s="116">
        <v>2586.1</v>
      </c>
      <c r="P1094" s="116">
        <v>2595</v>
      </c>
      <c r="Q1094" s="116">
        <v>2660.3</v>
      </c>
      <c r="R1094">
        <v>225924</v>
      </c>
    </row>
    <row r="1095" spans="1:18" x14ac:dyDescent="0.25">
      <c r="A1095" s="170">
        <v>44244</v>
      </c>
      <c r="B1095" s="116">
        <v>2689.45</v>
      </c>
      <c r="C1095" s="116">
        <v>2660.6</v>
      </c>
      <c r="D1095" s="116">
        <v>2621.1</v>
      </c>
      <c r="E1095" s="116">
        <v>2655.1</v>
      </c>
      <c r="F1095" s="116">
        <v>2660.6</v>
      </c>
      <c r="G1095">
        <v>7851</v>
      </c>
      <c r="H1095" s="116"/>
      <c r="I1095" s="116"/>
      <c r="L1095" s="170">
        <v>44244</v>
      </c>
      <c r="M1095" s="116">
        <v>2667.1</v>
      </c>
      <c r="N1095" s="116">
        <v>2690</v>
      </c>
      <c r="O1095" s="116">
        <v>2622.4</v>
      </c>
      <c r="P1095" s="116">
        <v>2672</v>
      </c>
      <c r="Q1095" s="116">
        <v>2667.1</v>
      </c>
      <c r="R1095">
        <v>192162</v>
      </c>
    </row>
    <row r="1096" spans="1:18" x14ac:dyDescent="0.25">
      <c r="A1096" s="170">
        <v>44245</v>
      </c>
      <c r="B1096" s="116">
        <v>2697</v>
      </c>
      <c r="C1096" s="116">
        <v>2655.25</v>
      </c>
      <c r="D1096" s="116">
        <v>2622.1</v>
      </c>
      <c r="E1096" s="116">
        <v>2697</v>
      </c>
      <c r="F1096" s="116">
        <v>2655.25</v>
      </c>
      <c r="G1096">
        <v>5926</v>
      </c>
      <c r="H1096" s="116"/>
      <c r="I1096" s="116"/>
      <c r="L1096" s="170">
        <v>44245</v>
      </c>
      <c r="M1096" s="116">
        <v>2658.65</v>
      </c>
      <c r="N1096" s="116">
        <v>2680</v>
      </c>
      <c r="O1096" s="116">
        <v>2620.1</v>
      </c>
      <c r="P1096" s="116">
        <v>2667.1</v>
      </c>
      <c r="Q1096" s="116">
        <v>2658.65</v>
      </c>
      <c r="R1096">
        <v>113384</v>
      </c>
    </row>
    <row r="1097" spans="1:18" x14ac:dyDescent="0.25">
      <c r="A1097" s="170">
        <v>44246</v>
      </c>
      <c r="B1097" s="116">
        <v>2675.25</v>
      </c>
      <c r="C1097" s="116">
        <v>2636.15</v>
      </c>
      <c r="D1097" s="116">
        <v>2579</v>
      </c>
      <c r="E1097" s="116">
        <v>2654.95</v>
      </c>
      <c r="F1097" s="116">
        <v>2636.15</v>
      </c>
      <c r="G1097">
        <v>3057</v>
      </c>
      <c r="H1097" s="116"/>
      <c r="I1097" s="116"/>
      <c r="L1097" s="170">
        <v>44246</v>
      </c>
      <c r="M1097" s="116">
        <v>2643.05</v>
      </c>
      <c r="N1097" s="116">
        <v>2675</v>
      </c>
      <c r="O1097" s="116">
        <v>2576.85</v>
      </c>
      <c r="P1097" s="116">
        <v>2642</v>
      </c>
      <c r="Q1097" s="116">
        <v>2643.05</v>
      </c>
      <c r="R1097">
        <v>91922</v>
      </c>
    </row>
    <row r="1098" spans="1:18" x14ac:dyDescent="0.25">
      <c r="A1098" s="170">
        <v>44249</v>
      </c>
      <c r="B1098" s="116">
        <v>2668</v>
      </c>
      <c r="C1098" s="116">
        <v>2540</v>
      </c>
      <c r="D1098" s="116">
        <v>2521</v>
      </c>
      <c r="E1098" s="116">
        <v>2668</v>
      </c>
      <c r="F1098" s="116">
        <v>2540</v>
      </c>
      <c r="G1098">
        <v>5943</v>
      </c>
      <c r="H1098" s="116"/>
      <c r="I1098" s="116"/>
      <c r="L1098" s="170">
        <v>44249</v>
      </c>
      <c r="M1098" s="116">
        <v>2536.65</v>
      </c>
      <c r="N1098" s="116">
        <v>2649.4</v>
      </c>
      <c r="O1098" s="116">
        <v>2520</v>
      </c>
      <c r="P1098" s="116">
        <v>2630</v>
      </c>
      <c r="Q1098" s="116">
        <v>2536.65</v>
      </c>
      <c r="R1098">
        <v>107952</v>
      </c>
    </row>
    <row r="1099" spans="1:18" x14ac:dyDescent="0.25">
      <c r="A1099" s="170">
        <v>44250</v>
      </c>
      <c r="B1099" s="116">
        <v>2556.4499999999998</v>
      </c>
      <c r="C1099" s="116">
        <v>2460.4499999999998</v>
      </c>
      <c r="D1099" s="116">
        <v>2442</v>
      </c>
      <c r="E1099" s="116">
        <v>2549.9</v>
      </c>
      <c r="F1099" s="116">
        <v>2460.4499999999998</v>
      </c>
      <c r="G1099">
        <v>8963</v>
      </c>
      <c r="H1099" s="116"/>
      <c r="I1099" s="116"/>
      <c r="L1099" s="170">
        <v>44250</v>
      </c>
      <c r="M1099" s="116">
        <v>2460.35</v>
      </c>
      <c r="N1099" s="116">
        <v>2558</v>
      </c>
      <c r="O1099" s="116">
        <v>2441</v>
      </c>
      <c r="P1099" s="116">
        <v>2540.1999999999998</v>
      </c>
      <c r="Q1099" s="116">
        <v>2460.35</v>
      </c>
      <c r="R1099">
        <v>131281</v>
      </c>
    </row>
    <row r="1100" spans="1:18" x14ac:dyDescent="0.25">
      <c r="A1100" s="170">
        <v>44251</v>
      </c>
      <c r="B1100" s="116">
        <v>2507</v>
      </c>
      <c r="C1100" s="116">
        <v>2497.1999999999998</v>
      </c>
      <c r="D1100" s="116">
        <v>2402.1999999999998</v>
      </c>
      <c r="E1100" s="116">
        <v>2470</v>
      </c>
      <c r="F1100" s="116">
        <v>2497.1999999999998</v>
      </c>
      <c r="G1100">
        <v>17435</v>
      </c>
      <c r="H1100" s="116"/>
      <c r="I1100" s="116"/>
      <c r="L1100" s="170">
        <v>44251</v>
      </c>
      <c r="M1100" s="116">
        <v>2495.0500000000002</v>
      </c>
      <c r="N1100" s="116">
        <v>2504.9</v>
      </c>
      <c r="O1100" s="116">
        <v>2459.8000000000002</v>
      </c>
      <c r="P1100" s="116">
        <v>2460</v>
      </c>
      <c r="Q1100" s="116">
        <v>2495.0500000000002</v>
      </c>
      <c r="R1100">
        <v>50034</v>
      </c>
    </row>
    <row r="1101" spans="1:18" x14ac:dyDescent="0.25">
      <c r="A1101" s="170">
        <v>44252</v>
      </c>
      <c r="B1101" s="116">
        <v>2644</v>
      </c>
      <c r="C1101" s="116">
        <v>2620.4499999999998</v>
      </c>
      <c r="D1101" s="116">
        <v>2509.85</v>
      </c>
      <c r="E1101" s="116">
        <v>2543</v>
      </c>
      <c r="F1101" s="116">
        <v>2620.4499999999998</v>
      </c>
      <c r="G1101">
        <v>14296</v>
      </c>
      <c r="H1101" s="116"/>
      <c r="I1101" s="116"/>
      <c r="L1101" s="170">
        <v>44252</v>
      </c>
      <c r="M1101" s="116">
        <v>2620.85</v>
      </c>
      <c r="N1101" s="116">
        <v>2644</v>
      </c>
      <c r="O1101" s="116">
        <v>2505.35</v>
      </c>
      <c r="P1101" s="116">
        <v>2514</v>
      </c>
      <c r="Q1101" s="116">
        <v>2620.85</v>
      </c>
      <c r="R1101">
        <v>221412</v>
      </c>
    </row>
    <row r="1102" spans="1:18" x14ac:dyDescent="0.25">
      <c r="A1102" s="170">
        <v>44253</v>
      </c>
      <c r="B1102" s="116">
        <v>2629.95</v>
      </c>
      <c r="C1102" s="116">
        <v>2566.6</v>
      </c>
      <c r="D1102" s="116">
        <v>2538.75</v>
      </c>
      <c r="E1102" s="116">
        <v>2629.95</v>
      </c>
      <c r="F1102" s="116">
        <v>2566.6</v>
      </c>
      <c r="G1102">
        <v>6036</v>
      </c>
      <c r="H1102" s="116"/>
      <c r="I1102" s="116"/>
      <c r="L1102" s="170">
        <v>44253</v>
      </c>
      <c r="M1102" s="116">
        <v>2567.6999999999998</v>
      </c>
      <c r="N1102" s="116">
        <v>2613.85</v>
      </c>
      <c r="O1102" s="116">
        <v>2530.4</v>
      </c>
      <c r="P1102" s="116">
        <v>2600</v>
      </c>
      <c r="Q1102" s="116">
        <v>2567.6999999999998</v>
      </c>
      <c r="R1102">
        <v>153140</v>
      </c>
    </row>
    <row r="1103" spans="1:18" x14ac:dyDescent="0.25">
      <c r="A1103" s="170">
        <v>44256</v>
      </c>
      <c r="B1103" s="116">
        <v>2626.6</v>
      </c>
      <c r="C1103" s="116">
        <v>2576.5</v>
      </c>
      <c r="D1103" s="116">
        <v>2570.5</v>
      </c>
      <c r="E1103" s="116">
        <v>2605</v>
      </c>
      <c r="F1103" s="116">
        <v>2576.5</v>
      </c>
      <c r="G1103">
        <v>3831</v>
      </c>
      <c r="H1103" s="116"/>
      <c r="I1103" s="116"/>
      <c r="L1103" s="170">
        <v>44256</v>
      </c>
      <c r="M1103" s="116">
        <v>2578.0500000000002</v>
      </c>
      <c r="N1103" s="116">
        <v>2626</v>
      </c>
      <c r="O1103" s="116">
        <v>2570</v>
      </c>
      <c r="P1103" s="116">
        <v>2589.5</v>
      </c>
      <c r="Q1103" s="116">
        <v>2578.0500000000002</v>
      </c>
      <c r="R1103">
        <v>94565</v>
      </c>
    </row>
    <row r="1104" spans="1:18" x14ac:dyDescent="0.25">
      <c r="A1104" s="170">
        <v>44257</v>
      </c>
      <c r="B1104" s="116">
        <v>2761</v>
      </c>
      <c r="C1104" s="116">
        <v>2735.05</v>
      </c>
      <c r="D1104" s="116">
        <v>2560</v>
      </c>
      <c r="E1104" s="116">
        <v>2560</v>
      </c>
      <c r="F1104" s="116">
        <v>2735.05</v>
      </c>
      <c r="G1104">
        <v>16182</v>
      </c>
      <c r="H1104" s="116"/>
      <c r="I1104" s="116"/>
      <c r="L1104" s="170">
        <v>44257</v>
      </c>
      <c r="M1104" s="116">
        <v>2729.8</v>
      </c>
      <c r="N1104" s="116">
        <v>2760.4</v>
      </c>
      <c r="O1104" s="116">
        <v>2565</v>
      </c>
      <c r="P1104" s="116">
        <v>2575</v>
      </c>
      <c r="Q1104" s="116">
        <v>2729.8</v>
      </c>
      <c r="R1104">
        <v>385403</v>
      </c>
    </row>
    <row r="1105" spans="1:18" x14ac:dyDescent="0.25">
      <c r="A1105" s="170">
        <v>44258</v>
      </c>
      <c r="B1105" s="116">
        <v>2805</v>
      </c>
      <c r="C1105" s="116">
        <v>2707.6</v>
      </c>
      <c r="D1105" s="116">
        <v>2681.95</v>
      </c>
      <c r="E1105" s="116">
        <v>2749.95</v>
      </c>
      <c r="F1105" s="116">
        <v>2707.6</v>
      </c>
      <c r="G1105">
        <v>22718</v>
      </c>
      <c r="H1105" s="116"/>
      <c r="I1105" s="116"/>
      <c r="L1105" s="170">
        <v>44258</v>
      </c>
      <c r="M1105" s="116">
        <v>2712.35</v>
      </c>
      <c r="N1105" s="116">
        <v>2807.6</v>
      </c>
      <c r="O1105" s="116">
        <v>2682.6</v>
      </c>
      <c r="P1105" s="116">
        <v>2730</v>
      </c>
      <c r="Q1105" s="116">
        <v>2712.35</v>
      </c>
      <c r="R1105">
        <v>551997</v>
      </c>
    </row>
    <row r="1106" spans="1:18" x14ac:dyDescent="0.25">
      <c r="A1106" s="170">
        <v>44259</v>
      </c>
      <c r="B1106" s="116">
        <v>2765.15</v>
      </c>
      <c r="C1106" s="116">
        <v>2687.75</v>
      </c>
      <c r="D1106" s="116">
        <v>2665.25</v>
      </c>
      <c r="E1106" s="116">
        <v>2690</v>
      </c>
      <c r="F1106" s="116">
        <v>2687.75</v>
      </c>
      <c r="G1106">
        <v>7077</v>
      </c>
      <c r="H1106" s="116"/>
      <c r="I1106" s="116"/>
      <c r="L1106" s="170">
        <v>44259</v>
      </c>
      <c r="M1106" s="116">
        <v>2688.8</v>
      </c>
      <c r="N1106" s="116">
        <v>2765</v>
      </c>
      <c r="O1106" s="116">
        <v>2654</v>
      </c>
      <c r="P1106" s="116">
        <v>2654</v>
      </c>
      <c r="Q1106" s="116">
        <v>2688.8</v>
      </c>
      <c r="R1106">
        <v>240482</v>
      </c>
    </row>
    <row r="1107" spans="1:18" x14ac:dyDescent="0.25">
      <c r="A1107" s="170">
        <v>44260</v>
      </c>
      <c r="B1107" s="116">
        <v>2721.75</v>
      </c>
      <c r="C1107" s="116">
        <v>2626.25</v>
      </c>
      <c r="D1107" s="116">
        <v>2613</v>
      </c>
      <c r="E1107" s="116">
        <v>2721</v>
      </c>
      <c r="F1107" s="116">
        <v>2626.25</v>
      </c>
      <c r="G1107">
        <v>4711</v>
      </c>
      <c r="H1107" s="116"/>
      <c r="I1107" s="116"/>
      <c r="L1107" s="170">
        <v>44260</v>
      </c>
      <c r="M1107" s="116">
        <v>2622.65</v>
      </c>
      <c r="N1107" s="116">
        <v>2721</v>
      </c>
      <c r="O1107" s="116">
        <v>2610</v>
      </c>
      <c r="P1107" s="116">
        <v>2695</v>
      </c>
      <c r="Q1107" s="116">
        <v>2622.65</v>
      </c>
      <c r="R1107">
        <v>109462</v>
      </c>
    </row>
    <row r="1108" spans="1:18" x14ac:dyDescent="0.25">
      <c r="A1108" s="170">
        <v>44263</v>
      </c>
      <c r="B1108" s="116">
        <v>2761</v>
      </c>
      <c r="C1108" s="116">
        <v>2713.1</v>
      </c>
      <c r="D1108" s="116">
        <v>2619.0500000000002</v>
      </c>
      <c r="E1108" s="116">
        <v>2698.95</v>
      </c>
      <c r="F1108" s="116">
        <v>2713.1</v>
      </c>
      <c r="G1108">
        <v>18078</v>
      </c>
      <c r="H1108" s="116"/>
      <c r="I1108" s="116"/>
      <c r="L1108" s="170">
        <v>44263</v>
      </c>
      <c r="M1108" s="116">
        <v>2715.25</v>
      </c>
      <c r="N1108" s="116">
        <v>2763</v>
      </c>
      <c r="O1108" s="116">
        <v>2616.65</v>
      </c>
      <c r="P1108" s="116">
        <v>2638</v>
      </c>
      <c r="Q1108" s="116">
        <v>2715.25</v>
      </c>
      <c r="R1108">
        <v>387249</v>
      </c>
    </row>
    <row r="1109" spans="1:18" x14ac:dyDescent="0.25">
      <c r="A1109" s="170">
        <v>44264</v>
      </c>
      <c r="B1109" s="116">
        <v>2768.5</v>
      </c>
      <c r="C1109" s="116">
        <v>2733.8</v>
      </c>
      <c r="D1109" s="116">
        <v>2629</v>
      </c>
      <c r="E1109" s="116">
        <v>2744.8</v>
      </c>
      <c r="F1109" s="116">
        <v>2733.8</v>
      </c>
      <c r="G1109">
        <v>6224</v>
      </c>
      <c r="H1109" s="116"/>
      <c r="I1109" s="116"/>
      <c r="L1109" s="170">
        <v>44264</v>
      </c>
      <c r="M1109" s="116">
        <v>2740.3</v>
      </c>
      <c r="N1109" s="116">
        <v>2770</v>
      </c>
      <c r="O1109" s="116">
        <v>2630.1</v>
      </c>
      <c r="P1109" s="116">
        <v>2731.9</v>
      </c>
      <c r="Q1109" s="116">
        <v>2740.3</v>
      </c>
      <c r="R1109">
        <v>215554</v>
      </c>
    </row>
    <row r="1110" spans="1:18" x14ac:dyDescent="0.25">
      <c r="A1110" s="170">
        <v>44265</v>
      </c>
      <c r="B1110" s="116">
        <v>2850</v>
      </c>
      <c r="C1110" s="116">
        <v>2757.15</v>
      </c>
      <c r="D1110" s="116">
        <v>2743</v>
      </c>
      <c r="E1110" s="116">
        <v>2786.25</v>
      </c>
      <c r="F1110" s="116">
        <v>2757.15</v>
      </c>
      <c r="G1110">
        <v>20836</v>
      </c>
      <c r="H1110" s="116"/>
      <c r="I1110" s="116"/>
      <c r="L1110" s="170">
        <v>44265</v>
      </c>
      <c r="M1110" s="116">
        <v>2759.95</v>
      </c>
      <c r="N1110" s="116">
        <v>2852.25</v>
      </c>
      <c r="O1110" s="116">
        <v>2740.1</v>
      </c>
      <c r="P1110" s="116">
        <v>2785</v>
      </c>
      <c r="Q1110" s="116">
        <v>2759.95</v>
      </c>
      <c r="R1110">
        <v>745642</v>
      </c>
    </row>
    <row r="1111" spans="1:18" x14ac:dyDescent="0.25">
      <c r="A1111" s="170">
        <v>44267</v>
      </c>
      <c r="B1111" s="116">
        <v>2812.65</v>
      </c>
      <c r="C1111" s="116">
        <v>2741.75</v>
      </c>
      <c r="D1111" s="116">
        <v>2725.8</v>
      </c>
      <c r="E1111" s="116">
        <v>2798.5</v>
      </c>
      <c r="F1111" s="116">
        <v>2741.75</v>
      </c>
      <c r="G1111">
        <v>15309</v>
      </c>
      <c r="H1111" s="116"/>
      <c r="I1111" s="116"/>
      <c r="L1111" s="170">
        <v>44267</v>
      </c>
      <c r="M1111" s="116">
        <v>2741.75</v>
      </c>
      <c r="N1111" s="116">
        <v>2810</v>
      </c>
      <c r="O1111" s="116">
        <v>2726</v>
      </c>
      <c r="P1111" s="116">
        <v>2781</v>
      </c>
      <c r="Q1111" s="116">
        <v>2741.75</v>
      </c>
      <c r="R1111">
        <v>263969</v>
      </c>
    </row>
    <row r="1112" spans="1:18" x14ac:dyDescent="0.25">
      <c r="A1112" s="170">
        <v>44270</v>
      </c>
      <c r="B1112" s="116">
        <v>2790</v>
      </c>
      <c r="C1112" s="116">
        <v>2733.9</v>
      </c>
      <c r="D1112" s="116">
        <v>2685.05</v>
      </c>
      <c r="E1112" s="116">
        <v>2762</v>
      </c>
      <c r="F1112" s="116">
        <v>2733.9</v>
      </c>
      <c r="G1112">
        <v>8809</v>
      </c>
      <c r="H1112" s="116"/>
      <c r="I1112" s="116"/>
      <c r="L1112" s="170">
        <v>44270</v>
      </c>
      <c r="M1112" s="116">
        <v>2734.7</v>
      </c>
      <c r="N1112" s="116">
        <v>2790</v>
      </c>
      <c r="O1112" s="116">
        <v>2682</v>
      </c>
      <c r="P1112" s="116">
        <v>2764</v>
      </c>
      <c r="Q1112" s="116">
        <v>2734.7</v>
      </c>
      <c r="R1112">
        <v>236512</v>
      </c>
    </row>
    <row r="1113" spans="1:18" x14ac:dyDescent="0.25">
      <c r="A1113" s="170">
        <v>44271</v>
      </c>
      <c r="B1113" s="116">
        <v>2858.35</v>
      </c>
      <c r="C1113" s="116">
        <v>2776.8</v>
      </c>
      <c r="D1113" s="116">
        <v>2755</v>
      </c>
      <c r="E1113" s="116">
        <v>2778</v>
      </c>
      <c r="F1113" s="116">
        <v>2776.8</v>
      </c>
      <c r="G1113">
        <v>11840</v>
      </c>
      <c r="H1113" s="116"/>
      <c r="I1113" s="116"/>
      <c r="L1113" s="170">
        <v>44271</v>
      </c>
      <c r="M1113" s="116">
        <v>2780.9</v>
      </c>
      <c r="N1113" s="116">
        <v>2858.15</v>
      </c>
      <c r="O1113" s="116">
        <v>2752</v>
      </c>
      <c r="P1113" s="116">
        <v>2758.55</v>
      </c>
      <c r="Q1113" s="116">
        <v>2780.9</v>
      </c>
      <c r="R1113">
        <v>429895</v>
      </c>
    </row>
    <row r="1114" spans="1:18" x14ac:dyDescent="0.25">
      <c r="A1114" s="170">
        <v>44272</v>
      </c>
      <c r="B1114" s="116">
        <v>2790</v>
      </c>
      <c r="C1114" s="116">
        <v>2588.1999999999998</v>
      </c>
      <c r="D1114" s="116">
        <v>2556.5</v>
      </c>
      <c r="E1114" s="116">
        <v>2790</v>
      </c>
      <c r="F1114" s="116">
        <v>2588.1999999999998</v>
      </c>
      <c r="G1114">
        <v>18340</v>
      </c>
      <c r="H1114" s="116"/>
      <c r="I1114" s="116"/>
      <c r="L1114" s="170">
        <v>44272</v>
      </c>
      <c r="M1114" s="116">
        <v>2589.4499999999998</v>
      </c>
      <c r="N1114" s="116">
        <v>2795</v>
      </c>
      <c r="O1114" s="116">
        <v>2557.9</v>
      </c>
      <c r="P1114" s="116">
        <v>2794.95</v>
      </c>
      <c r="Q1114" s="116">
        <v>2589.4499999999998</v>
      </c>
      <c r="R1114">
        <v>727509</v>
      </c>
    </row>
    <row r="1115" spans="1:18" x14ac:dyDescent="0.25">
      <c r="A1115" s="170">
        <v>44273</v>
      </c>
      <c r="B1115" s="116">
        <v>2665</v>
      </c>
      <c r="C1115" s="116">
        <v>2550.5</v>
      </c>
      <c r="D1115" s="116">
        <v>2475.85</v>
      </c>
      <c r="E1115" s="116">
        <v>2665</v>
      </c>
      <c r="F1115" s="116">
        <v>2550.5</v>
      </c>
      <c r="G1115">
        <v>16733</v>
      </c>
      <c r="H1115" s="116"/>
      <c r="I1115" s="116"/>
      <c r="L1115" s="170">
        <v>44273</v>
      </c>
      <c r="M1115" s="116">
        <v>2549</v>
      </c>
      <c r="N1115" s="116">
        <v>2664.95</v>
      </c>
      <c r="O1115" s="116">
        <v>2475</v>
      </c>
      <c r="P1115" s="116">
        <v>2639</v>
      </c>
      <c r="Q1115" s="116">
        <v>2549</v>
      </c>
      <c r="R1115">
        <v>841707</v>
      </c>
    </row>
    <row r="1116" spans="1:18" x14ac:dyDescent="0.25">
      <c r="A1116" s="170">
        <v>44274</v>
      </c>
      <c r="B1116" s="116">
        <v>2635</v>
      </c>
      <c r="C1116" s="116">
        <v>2591.3000000000002</v>
      </c>
      <c r="D1116" s="116">
        <v>2500.0500000000002</v>
      </c>
      <c r="E1116" s="116">
        <v>2531</v>
      </c>
      <c r="F1116" s="116">
        <v>2591.3000000000002</v>
      </c>
      <c r="G1116">
        <v>25812</v>
      </c>
      <c r="H1116" s="116"/>
      <c r="I1116" s="116"/>
      <c r="L1116" s="170">
        <v>44274</v>
      </c>
      <c r="M1116" s="116">
        <v>2592.4</v>
      </c>
      <c r="N1116" s="116">
        <v>2637.6</v>
      </c>
      <c r="O1116" s="116">
        <v>2501</v>
      </c>
      <c r="P1116" s="116">
        <v>2552.25</v>
      </c>
      <c r="Q1116" s="116">
        <v>2592.4</v>
      </c>
      <c r="R1116">
        <v>473949</v>
      </c>
    </row>
    <row r="1117" spans="1:18" x14ac:dyDescent="0.25">
      <c r="A1117" s="170">
        <v>44277</v>
      </c>
      <c r="B1117" s="116">
        <v>2630.85</v>
      </c>
      <c r="C1117" s="116">
        <v>2597.1</v>
      </c>
      <c r="D1117" s="116">
        <v>2578.65</v>
      </c>
      <c r="E1117" s="116">
        <v>2599.9</v>
      </c>
      <c r="F1117" s="116">
        <v>2597.1</v>
      </c>
      <c r="G1117">
        <v>5702</v>
      </c>
      <c r="H1117" s="116"/>
      <c r="I1117" s="116"/>
      <c r="L1117" s="170">
        <v>44277</v>
      </c>
      <c r="M1117" s="116">
        <v>2596.35</v>
      </c>
      <c r="N1117" s="116">
        <v>2632</v>
      </c>
      <c r="O1117" s="116">
        <v>2583.1999999999998</v>
      </c>
      <c r="P1117" s="116">
        <v>2585</v>
      </c>
      <c r="Q1117" s="116">
        <v>2596.35</v>
      </c>
      <c r="R1117">
        <v>205762</v>
      </c>
    </row>
    <row r="1118" spans="1:18" x14ac:dyDescent="0.25">
      <c r="A1118" s="170">
        <v>44278</v>
      </c>
      <c r="B1118" s="116">
        <v>2658.85</v>
      </c>
      <c r="C1118" s="116">
        <v>2579.9499999999998</v>
      </c>
      <c r="D1118" s="116">
        <v>2560.5</v>
      </c>
      <c r="E1118" s="116">
        <v>2648.95</v>
      </c>
      <c r="F1118" s="116">
        <v>2579.9499999999998</v>
      </c>
      <c r="G1118">
        <v>24842</v>
      </c>
      <c r="H1118" s="116"/>
      <c r="I1118" s="116"/>
      <c r="L1118" s="170">
        <v>44278</v>
      </c>
      <c r="M1118" s="116">
        <v>2571.15</v>
      </c>
      <c r="N1118" s="116">
        <v>2658.8</v>
      </c>
      <c r="O1118" s="116">
        <v>2559.6</v>
      </c>
      <c r="P1118" s="116">
        <v>2614.8000000000002</v>
      </c>
      <c r="Q1118" s="116">
        <v>2571.15</v>
      </c>
      <c r="R1118">
        <v>284502</v>
      </c>
    </row>
    <row r="1119" spans="1:18" x14ac:dyDescent="0.25">
      <c r="A1119" s="170">
        <v>44279</v>
      </c>
      <c r="B1119" s="116">
        <v>2587.8000000000002</v>
      </c>
      <c r="C1119" s="116">
        <v>2498.9</v>
      </c>
      <c r="D1119" s="116">
        <v>2491.0500000000002</v>
      </c>
      <c r="E1119" s="116">
        <v>2550.0500000000002</v>
      </c>
      <c r="F1119" s="116">
        <v>2498.9</v>
      </c>
      <c r="G1119">
        <v>11374</v>
      </c>
      <c r="H1119" s="116"/>
      <c r="I1119" s="116"/>
      <c r="L1119" s="170">
        <v>44279</v>
      </c>
      <c r="M1119" s="116">
        <v>2498.6</v>
      </c>
      <c r="N1119" s="116">
        <v>2586.65</v>
      </c>
      <c r="O1119" s="116">
        <v>2490</v>
      </c>
      <c r="P1119" s="116">
        <v>2570</v>
      </c>
      <c r="Q1119" s="116">
        <v>2498.6</v>
      </c>
      <c r="R1119">
        <v>277955</v>
      </c>
    </row>
    <row r="1120" spans="1:18" x14ac:dyDescent="0.25">
      <c r="A1120" s="170">
        <v>44280</v>
      </c>
      <c r="B1120" s="116">
        <v>2542.0500000000002</v>
      </c>
      <c r="C1120" s="116">
        <v>2495.1999999999998</v>
      </c>
      <c r="D1120" s="116">
        <v>2482.15</v>
      </c>
      <c r="E1120" s="116">
        <v>2500</v>
      </c>
      <c r="F1120" s="116">
        <v>2495.1999999999998</v>
      </c>
      <c r="G1120">
        <v>11859</v>
      </c>
      <c r="H1120" s="116"/>
      <c r="I1120" s="116"/>
      <c r="L1120" s="170">
        <v>44280</v>
      </c>
      <c r="M1120" s="116">
        <v>2492.5500000000002</v>
      </c>
      <c r="N1120" s="116">
        <v>2545</v>
      </c>
      <c r="O1120" s="116">
        <v>2480.0500000000002</v>
      </c>
      <c r="P1120" s="116">
        <v>2510</v>
      </c>
      <c r="Q1120" s="116">
        <v>2492.5500000000002</v>
      </c>
      <c r="R1120">
        <v>224277</v>
      </c>
    </row>
    <row r="1121" spans="1:18" x14ac:dyDescent="0.25">
      <c r="A1121" s="170">
        <v>44281</v>
      </c>
      <c r="B1121" s="116">
        <v>2568.5</v>
      </c>
      <c r="C1121" s="116">
        <v>2550.1999999999998</v>
      </c>
      <c r="D1121" s="116">
        <v>2508.1</v>
      </c>
      <c r="E1121" s="116">
        <v>2530</v>
      </c>
      <c r="F1121" s="116">
        <v>2550.1999999999998</v>
      </c>
      <c r="G1121">
        <v>5103</v>
      </c>
      <c r="H1121" s="116"/>
      <c r="I1121" s="116"/>
      <c r="L1121" s="170">
        <v>44281</v>
      </c>
      <c r="M1121" s="116">
        <v>2548.65</v>
      </c>
      <c r="N1121" s="116">
        <v>2569</v>
      </c>
      <c r="O1121" s="116">
        <v>2505</v>
      </c>
      <c r="P1121" s="116">
        <v>2535.8000000000002</v>
      </c>
      <c r="Q1121" s="116">
        <v>2548.65</v>
      </c>
      <c r="R1121">
        <v>108930</v>
      </c>
    </row>
    <row r="1122" spans="1:18" x14ac:dyDescent="0.25">
      <c r="A1122" s="170">
        <v>44285</v>
      </c>
      <c r="B1122" s="116">
        <v>2658</v>
      </c>
      <c r="C1122" s="116">
        <v>2641.35</v>
      </c>
      <c r="D1122" s="116">
        <v>2551.65</v>
      </c>
      <c r="E1122" s="116">
        <v>2580</v>
      </c>
      <c r="F1122" s="116">
        <v>2641.35</v>
      </c>
      <c r="G1122">
        <v>11977</v>
      </c>
      <c r="H1122" s="116"/>
      <c r="I1122" s="116"/>
      <c r="L1122" s="170">
        <v>44285</v>
      </c>
      <c r="M1122" s="116">
        <v>2640.65</v>
      </c>
      <c r="N1122" s="116">
        <v>2656</v>
      </c>
      <c r="O1122" s="116">
        <v>2550</v>
      </c>
      <c r="P1122" s="116">
        <v>2590</v>
      </c>
      <c r="Q1122" s="116">
        <v>2640.65</v>
      </c>
      <c r="R1122">
        <v>268490</v>
      </c>
    </row>
    <row r="1123" spans="1:18" x14ac:dyDescent="0.25">
      <c r="A1123" s="170">
        <v>44286</v>
      </c>
      <c r="B1123" s="116">
        <v>2719.4</v>
      </c>
      <c r="C1123" s="116">
        <v>2654.8</v>
      </c>
      <c r="D1123" s="116">
        <v>2628.85</v>
      </c>
      <c r="E1123" s="116">
        <v>2673</v>
      </c>
      <c r="F1123" s="116">
        <v>2654.8</v>
      </c>
      <c r="G1123">
        <v>21693</v>
      </c>
      <c r="H1123" s="116"/>
      <c r="I1123" s="116"/>
      <c r="L1123" s="170">
        <v>44286</v>
      </c>
      <c r="M1123" s="116">
        <v>2653.9</v>
      </c>
      <c r="N1123" s="116">
        <v>2720</v>
      </c>
      <c r="O1123" s="116">
        <v>2630.35</v>
      </c>
      <c r="P1123" s="116">
        <v>2658.05</v>
      </c>
      <c r="Q1123" s="116">
        <v>2653.9</v>
      </c>
      <c r="R1123">
        <v>338229</v>
      </c>
    </row>
    <row r="1124" spans="1:18" x14ac:dyDescent="0.25">
      <c r="A1124" s="170">
        <v>44287</v>
      </c>
      <c r="B1124" s="116">
        <v>2756</v>
      </c>
      <c r="C1124" s="116">
        <v>2722.3</v>
      </c>
      <c r="D1124" s="116">
        <v>2626.25</v>
      </c>
      <c r="E1124" s="116">
        <v>2660.05</v>
      </c>
      <c r="F1124" s="116">
        <v>2722.3</v>
      </c>
      <c r="G1124">
        <v>48581</v>
      </c>
      <c r="H1124" s="116"/>
      <c r="I1124" s="116"/>
      <c r="L1124" s="170">
        <v>44287</v>
      </c>
      <c r="M1124" s="116">
        <v>2720.6</v>
      </c>
      <c r="N1124" s="116">
        <v>2757.6</v>
      </c>
      <c r="O1124" s="116">
        <v>2679</v>
      </c>
      <c r="P1124" s="116">
        <v>2679.95</v>
      </c>
      <c r="Q1124" s="116">
        <v>2720.6</v>
      </c>
      <c r="R1124">
        <v>312036</v>
      </c>
    </row>
    <row r="1125" spans="1:18" x14ac:dyDescent="0.25">
      <c r="A1125" s="170">
        <v>44291</v>
      </c>
      <c r="B1125" s="116">
        <v>2794.6</v>
      </c>
      <c r="C1125" s="116">
        <v>2758.35</v>
      </c>
      <c r="D1125" s="116">
        <v>2683.6</v>
      </c>
      <c r="E1125" s="116">
        <v>2722</v>
      </c>
      <c r="F1125" s="116">
        <v>2758.35</v>
      </c>
      <c r="G1125">
        <v>27150</v>
      </c>
      <c r="H1125" s="116"/>
      <c r="I1125" s="116"/>
      <c r="L1125" s="170">
        <v>44291</v>
      </c>
      <c r="M1125" s="116">
        <v>2760</v>
      </c>
      <c r="N1125" s="116">
        <v>2794.8</v>
      </c>
      <c r="O1125" s="116">
        <v>2687</v>
      </c>
      <c r="P1125" s="116">
        <v>2731.45</v>
      </c>
      <c r="Q1125" s="116">
        <v>2760</v>
      </c>
      <c r="R1125">
        <v>376273</v>
      </c>
    </row>
    <row r="1126" spans="1:18" x14ac:dyDescent="0.25">
      <c r="A1126" s="170">
        <v>44292</v>
      </c>
      <c r="B1126" s="116">
        <v>2795</v>
      </c>
      <c r="C1126" s="116">
        <v>2742.05</v>
      </c>
      <c r="D1126" s="116">
        <v>2727</v>
      </c>
      <c r="E1126" s="116">
        <v>2771</v>
      </c>
      <c r="F1126" s="116">
        <v>2742.05</v>
      </c>
      <c r="G1126">
        <v>8755</v>
      </c>
      <c r="H1126" s="116"/>
      <c r="I1126" s="116"/>
      <c r="L1126" s="170">
        <v>44292</v>
      </c>
      <c r="M1126" s="116">
        <v>2745.85</v>
      </c>
      <c r="N1126" s="116">
        <v>2791.75</v>
      </c>
      <c r="O1126" s="116">
        <v>2725</v>
      </c>
      <c r="P1126" s="116">
        <v>2786</v>
      </c>
      <c r="Q1126" s="116">
        <v>2745.85</v>
      </c>
      <c r="R1126">
        <v>248421</v>
      </c>
    </row>
    <row r="1127" spans="1:18" x14ac:dyDescent="0.25">
      <c r="A1127" s="170">
        <v>44293</v>
      </c>
      <c r="B1127" s="116">
        <v>2867.85</v>
      </c>
      <c r="C1127" s="116">
        <v>2845.55</v>
      </c>
      <c r="D1127" s="116">
        <v>2721.1</v>
      </c>
      <c r="E1127" s="116">
        <v>2776.55</v>
      </c>
      <c r="F1127" s="116">
        <v>2845.55</v>
      </c>
      <c r="G1127">
        <v>28216</v>
      </c>
      <c r="H1127" s="116"/>
      <c r="I1127" s="116"/>
      <c r="L1127" s="170">
        <v>44293</v>
      </c>
      <c r="M1127" s="116">
        <v>2840.75</v>
      </c>
      <c r="N1127" s="116">
        <v>2869</v>
      </c>
      <c r="O1127" s="116">
        <v>2719.5</v>
      </c>
      <c r="P1127" s="116">
        <v>2758.95</v>
      </c>
      <c r="Q1127" s="116">
        <v>2840.75</v>
      </c>
      <c r="R1127">
        <v>365936</v>
      </c>
    </row>
    <row r="1128" spans="1:18" x14ac:dyDescent="0.25">
      <c r="A1128" s="170">
        <v>44294</v>
      </c>
      <c r="B1128" s="116">
        <v>2926</v>
      </c>
      <c r="C1128" s="116">
        <v>2870.7</v>
      </c>
      <c r="D1128" s="116">
        <v>2784.95</v>
      </c>
      <c r="E1128" s="116">
        <v>2861</v>
      </c>
      <c r="F1128" s="116">
        <v>2870.7</v>
      </c>
      <c r="G1128">
        <v>31149</v>
      </c>
      <c r="H1128" s="116"/>
      <c r="I1128" s="116"/>
      <c r="L1128" s="170">
        <v>44294</v>
      </c>
      <c r="M1128" s="116">
        <v>2867.15</v>
      </c>
      <c r="N1128" s="116">
        <v>2928</v>
      </c>
      <c r="O1128" s="116">
        <v>2810</v>
      </c>
      <c r="P1128" s="116">
        <v>2864.75</v>
      </c>
      <c r="Q1128" s="116">
        <v>2867.15</v>
      </c>
      <c r="R1128">
        <v>527189</v>
      </c>
    </row>
    <row r="1129" spans="1:18" x14ac:dyDescent="0.25">
      <c r="A1129" s="170">
        <v>44295</v>
      </c>
      <c r="B1129" s="116">
        <v>3062.45</v>
      </c>
      <c r="C1129" s="116">
        <v>2912.25</v>
      </c>
      <c r="D1129" s="116">
        <v>2874.3</v>
      </c>
      <c r="E1129" s="116">
        <v>2881</v>
      </c>
      <c r="F1129" s="116">
        <v>2912.25</v>
      </c>
      <c r="G1129">
        <v>49980</v>
      </c>
      <c r="H1129" s="116"/>
      <c r="I1129" s="116"/>
      <c r="L1129" s="170">
        <v>44295</v>
      </c>
      <c r="M1129" s="116">
        <v>2911.85</v>
      </c>
      <c r="N1129" s="116">
        <v>3062.15</v>
      </c>
      <c r="O1129" s="116">
        <v>2873</v>
      </c>
      <c r="P1129" s="116">
        <v>2878</v>
      </c>
      <c r="Q1129" s="116">
        <v>2911.85</v>
      </c>
      <c r="R1129">
        <v>1182422</v>
      </c>
    </row>
    <row r="1130" spans="1:18" x14ac:dyDescent="0.25">
      <c r="A1130" s="170">
        <v>44298</v>
      </c>
      <c r="B1130" s="116">
        <v>2900</v>
      </c>
      <c r="C1130" s="116">
        <v>2839.8</v>
      </c>
      <c r="D1130" s="116">
        <v>2736.05</v>
      </c>
      <c r="E1130" s="116">
        <v>2890</v>
      </c>
      <c r="F1130" s="116">
        <v>2839.8</v>
      </c>
      <c r="G1130">
        <v>33849</v>
      </c>
      <c r="H1130" s="116"/>
      <c r="I1130" s="116"/>
      <c r="L1130" s="170">
        <v>44298</v>
      </c>
      <c r="M1130" s="116">
        <v>2838.7</v>
      </c>
      <c r="N1130" s="116">
        <v>2909.85</v>
      </c>
      <c r="O1130" s="116">
        <v>2737</v>
      </c>
      <c r="P1130" s="116">
        <v>2909.85</v>
      </c>
      <c r="Q1130" s="116">
        <v>2838.7</v>
      </c>
      <c r="R1130">
        <v>450892</v>
      </c>
    </row>
    <row r="1131" spans="1:18" x14ac:dyDescent="0.25">
      <c r="A1131" s="170">
        <v>44299</v>
      </c>
      <c r="B1131" s="116">
        <v>2881.8</v>
      </c>
      <c r="C1131" s="116">
        <v>2689.05</v>
      </c>
      <c r="D1131" s="116">
        <v>2675</v>
      </c>
      <c r="E1131" s="116">
        <v>2805</v>
      </c>
      <c r="F1131" s="116">
        <v>2689.05</v>
      </c>
      <c r="G1131">
        <v>29244</v>
      </c>
      <c r="H1131" s="116"/>
      <c r="I1131" s="116"/>
      <c r="L1131" s="170">
        <v>44299</v>
      </c>
      <c r="M1131" s="116">
        <v>2689.35</v>
      </c>
      <c r="N1131" s="116">
        <v>2880.6</v>
      </c>
      <c r="O1131" s="116">
        <v>2673.15</v>
      </c>
      <c r="P1131" s="116">
        <v>2828.7</v>
      </c>
      <c r="Q1131" s="116">
        <v>2689.35</v>
      </c>
      <c r="R1131">
        <v>452777</v>
      </c>
    </row>
    <row r="1132" spans="1:18" x14ac:dyDescent="0.25">
      <c r="A1132" s="170">
        <v>44301</v>
      </c>
      <c r="B1132" s="116">
        <v>2789.45</v>
      </c>
      <c r="C1132" s="116">
        <v>2754.8</v>
      </c>
      <c r="D1132" s="116">
        <v>2645.1</v>
      </c>
      <c r="E1132" s="116">
        <v>2700</v>
      </c>
      <c r="F1132" s="116">
        <v>2754.8</v>
      </c>
      <c r="G1132">
        <v>15068</v>
      </c>
      <c r="H1132" s="116"/>
      <c r="I1132" s="116"/>
      <c r="L1132" s="170">
        <v>44301</v>
      </c>
      <c r="M1132" s="116">
        <v>2756.85</v>
      </c>
      <c r="N1132" s="116">
        <v>2787.65</v>
      </c>
      <c r="O1132" s="116">
        <v>2643.85</v>
      </c>
      <c r="P1132" s="116">
        <v>2703.5</v>
      </c>
      <c r="Q1132" s="116">
        <v>2756.85</v>
      </c>
      <c r="R1132">
        <v>441352</v>
      </c>
    </row>
    <row r="1133" spans="1:18" x14ac:dyDescent="0.25">
      <c r="A1133" s="170">
        <v>44302</v>
      </c>
      <c r="B1133" s="116">
        <v>2788</v>
      </c>
      <c r="C1133" s="116">
        <v>2723.65</v>
      </c>
      <c r="D1133" s="116">
        <v>2712.15</v>
      </c>
      <c r="E1133" s="116">
        <v>2788</v>
      </c>
      <c r="F1133" s="116">
        <v>2723.65</v>
      </c>
      <c r="G1133">
        <v>9087</v>
      </c>
      <c r="H1133" s="116"/>
      <c r="I1133" s="116"/>
      <c r="L1133" s="170">
        <v>44302</v>
      </c>
      <c r="M1133" s="116">
        <v>2725.55</v>
      </c>
      <c r="N1133" s="116">
        <v>2784.85</v>
      </c>
      <c r="O1133" s="116">
        <v>2711</v>
      </c>
      <c r="P1133" s="116">
        <v>2759.6</v>
      </c>
      <c r="Q1133" s="116">
        <v>2725.55</v>
      </c>
      <c r="R1133">
        <v>236366</v>
      </c>
    </row>
    <row r="1134" spans="1:18" x14ac:dyDescent="0.25">
      <c r="A1134" s="170">
        <v>44305</v>
      </c>
      <c r="B1134" s="116">
        <v>2782.5</v>
      </c>
      <c r="C1134" s="116">
        <v>2687.65</v>
      </c>
      <c r="D1134" s="116">
        <v>2660.1</v>
      </c>
      <c r="E1134" s="116">
        <v>2720</v>
      </c>
      <c r="F1134" s="116">
        <v>2687.65</v>
      </c>
      <c r="G1134">
        <v>11791</v>
      </c>
      <c r="H1134" s="116"/>
      <c r="I1134" s="116"/>
      <c r="L1134" s="170">
        <v>44305</v>
      </c>
      <c r="M1134" s="116">
        <v>2686.95</v>
      </c>
      <c r="N1134" s="116">
        <v>2784</v>
      </c>
      <c r="O1134" s="116">
        <v>2655</v>
      </c>
      <c r="P1134" s="116">
        <v>2680</v>
      </c>
      <c r="Q1134" s="116">
        <v>2686.95</v>
      </c>
      <c r="R1134">
        <v>368259</v>
      </c>
    </row>
    <row r="1135" spans="1:18" x14ac:dyDescent="0.25">
      <c r="A1135" s="170">
        <v>44306</v>
      </c>
      <c r="B1135" s="116">
        <v>2724</v>
      </c>
      <c r="C1135" s="116">
        <v>2609.25</v>
      </c>
      <c r="D1135" s="116">
        <v>2596.6999999999998</v>
      </c>
      <c r="E1135" s="116">
        <v>2717</v>
      </c>
      <c r="F1135" s="116">
        <v>2609.25</v>
      </c>
      <c r="G1135">
        <v>20825</v>
      </c>
      <c r="H1135" s="116"/>
      <c r="I1135" s="116"/>
      <c r="L1135" s="170">
        <v>44306</v>
      </c>
      <c r="M1135" s="116">
        <v>2608.65</v>
      </c>
      <c r="N1135" s="116">
        <v>2748.9</v>
      </c>
      <c r="O1135" s="116">
        <v>2595</v>
      </c>
      <c r="P1135" s="116">
        <v>2690.95</v>
      </c>
      <c r="Q1135" s="116">
        <v>2608.65</v>
      </c>
      <c r="R1135">
        <v>442373</v>
      </c>
    </row>
    <row r="1136" spans="1:18" x14ac:dyDescent="0.25">
      <c r="A1136" s="170">
        <v>44308</v>
      </c>
      <c r="B1136" s="116">
        <v>2644.15</v>
      </c>
      <c r="C1136" s="116">
        <v>2552.3000000000002</v>
      </c>
      <c r="D1136" s="116">
        <v>2548</v>
      </c>
      <c r="E1136" s="116">
        <v>2609</v>
      </c>
      <c r="F1136" s="116">
        <v>2552.3000000000002</v>
      </c>
      <c r="G1136">
        <v>15817</v>
      </c>
      <c r="H1136" s="116"/>
      <c r="I1136" s="116"/>
      <c r="L1136" s="170">
        <v>44308</v>
      </c>
      <c r="M1136" s="116">
        <v>2551.6999999999998</v>
      </c>
      <c r="N1136" s="116">
        <v>2642.45</v>
      </c>
      <c r="O1136" s="116">
        <v>2546.5</v>
      </c>
      <c r="P1136" s="116">
        <v>2590</v>
      </c>
      <c r="Q1136" s="116">
        <v>2551.6999999999998</v>
      </c>
      <c r="R1136">
        <v>404082</v>
      </c>
    </row>
    <row r="1137" spans="1:18" x14ac:dyDescent="0.25">
      <c r="A1137" s="170">
        <v>44309</v>
      </c>
      <c r="B1137" s="116">
        <v>2665</v>
      </c>
      <c r="C1137" s="116">
        <v>2639.75</v>
      </c>
      <c r="D1137" s="116">
        <v>2526</v>
      </c>
      <c r="E1137" s="116">
        <v>2526</v>
      </c>
      <c r="F1137" s="116">
        <v>2639.75</v>
      </c>
      <c r="G1137">
        <v>20621</v>
      </c>
      <c r="H1137" s="116"/>
      <c r="I1137" s="116"/>
      <c r="L1137" s="170">
        <v>44309</v>
      </c>
      <c r="M1137" s="116">
        <v>2642.7</v>
      </c>
      <c r="N1137" s="116">
        <v>2666</v>
      </c>
      <c r="O1137" s="116">
        <v>2543.0500000000002</v>
      </c>
      <c r="P1137" s="116">
        <v>2553</v>
      </c>
      <c r="Q1137" s="116">
        <v>2642.7</v>
      </c>
      <c r="R1137">
        <v>497800</v>
      </c>
    </row>
    <row r="1138" spans="1:18" x14ac:dyDescent="0.25">
      <c r="A1138" s="170">
        <v>44312</v>
      </c>
      <c r="B1138" s="116">
        <v>2681.95</v>
      </c>
      <c r="C1138" s="116">
        <v>2620.5</v>
      </c>
      <c r="D1138" s="116">
        <v>2608.9</v>
      </c>
      <c r="E1138" s="116">
        <v>2665</v>
      </c>
      <c r="F1138" s="116">
        <v>2620.5</v>
      </c>
      <c r="G1138">
        <v>6234</v>
      </c>
      <c r="H1138" s="116"/>
      <c r="I1138" s="116"/>
      <c r="L1138" s="170">
        <v>44312</v>
      </c>
      <c r="M1138" s="116">
        <v>2620.9</v>
      </c>
      <c r="N1138" s="116">
        <v>2685</v>
      </c>
      <c r="O1138" s="116">
        <v>2606.9499999999998</v>
      </c>
      <c r="P1138" s="116">
        <v>2660</v>
      </c>
      <c r="Q1138" s="116">
        <v>2620.9</v>
      </c>
      <c r="R1138">
        <v>178170</v>
      </c>
    </row>
    <row r="1139" spans="1:18" x14ac:dyDescent="0.25">
      <c r="A1139" s="170">
        <v>44313</v>
      </c>
      <c r="B1139" s="116">
        <v>2664.4</v>
      </c>
      <c r="C1139" s="116">
        <v>2593.5</v>
      </c>
      <c r="D1139" s="116">
        <v>2584</v>
      </c>
      <c r="E1139" s="116">
        <v>2664.4</v>
      </c>
      <c r="F1139" s="116">
        <v>2593.5</v>
      </c>
      <c r="G1139">
        <v>9043</v>
      </c>
      <c r="H1139" s="116"/>
      <c r="I1139" s="116"/>
      <c r="L1139" s="170">
        <v>44313</v>
      </c>
      <c r="M1139" s="116">
        <v>2592.65</v>
      </c>
      <c r="N1139" s="116">
        <v>2628.95</v>
      </c>
      <c r="O1139" s="116">
        <v>2583.5500000000002</v>
      </c>
      <c r="P1139" s="116">
        <v>2620.5</v>
      </c>
      <c r="Q1139" s="116">
        <v>2592.65</v>
      </c>
      <c r="R1139">
        <v>221458</v>
      </c>
    </row>
    <row r="1140" spans="1:18" x14ac:dyDescent="0.25">
      <c r="A1140" s="170">
        <v>44314</v>
      </c>
      <c r="B1140" s="116">
        <v>2663</v>
      </c>
      <c r="C1140" s="116">
        <v>2624.4</v>
      </c>
      <c r="D1140" s="116">
        <v>2605</v>
      </c>
      <c r="E1140" s="116">
        <v>2605</v>
      </c>
      <c r="F1140" s="116">
        <v>2624.4</v>
      </c>
      <c r="G1140">
        <v>11891</v>
      </c>
      <c r="H1140" s="116"/>
      <c r="I1140" s="116"/>
      <c r="L1140" s="170">
        <v>44314</v>
      </c>
      <c r="M1140" s="116">
        <v>2624.4</v>
      </c>
      <c r="N1140" s="116">
        <v>2665</v>
      </c>
      <c r="O1140" s="116">
        <v>2607</v>
      </c>
      <c r="P1140" s="116">
        <v>2607</v>
      </c>
      <c r="Q1140" s="116">
        <v>2624.4</v>
      </c>
      <c r="R1140">
        <v>207582</v>
      </c>
    </row>
    <row r="1141" spans="1:18" x14ac:dyDescent="0.25">
      <c r="A1141" s="170">
        <v>44315</v>
      </c>
      <c r="B1141" s="116">
        <v>2665.55</v>
      </c>
      <c r="C1141" s="116">
        <v>2626.4</v>
      </c>
      <c r="D1141" s="116">
        <v>2615.1999999999998</v>
      </c>
      <c r="E1141" s="116">
        <v>2628.1</v>
      </c>
      <c r="F1141" s="116">
        <v>2626.4</v>
      </c>
      <c r="G1141">
        <v>3456</v>
      </c>
      <c r="H1141" s="116"/>
      <c r="I1141" s="116"/>
      <c r="L1141" s="170">
        <v>44315</v>
      </c>
      <c r="M1141" s="116">
        <v>2628.15</v>
      </c>
      <c r="N1141" s="116">
        <v>2665</v>
      </c>
      <c r="O1141" s="116">
        <v>2611</v>
      </c>
      <c r="P1141" s="116">
        <v>2640</v>
      </c>
      <c r="Q1141" s="116">
        <v>2628.15</v>
      </c>
      <c r="R1141">
        <v>146831</v>
      </c>
    </row>
    <row r="1142" spans="1:18" x14ac:dyDescent="0.25">
      <c r="A1142" s="170">
        <v>44316</v>
      </c>
      <c r="B1142" s="116">
        <v>2766.45</v>
      </c>
      <c r="C1142" s="116">
        <v>2730.35</v>
      </c>
      <c r="D1142" s="116">
        <v>2603.6</v>
      </c>
      <c r="E1142" s="116">
        <v>2636.65</v>
      </c>
      <c r="F1142" s="116">
        <v>2730.35</v>
      </c>
      <c r="G1142">
        <v>14938</v>
      </c>
      <c r="H1142" s="116"/>
      <c r="I1142" s="116"/>
      <c r="L1142" s="170">
        <v>44316</v>
      </c>
      <c r="M1142" s="116">
        <v>2728.9</v>
      </c>
      <c r="N1142" s="116">
        <v>2766.7</v>
      </c>
      <c r="O1142" s="116">
        <v>2605.65</v>
      </c>
      <c r="P1142" s="116">
        <v>2611</v>
      </c>
      <c r="Q1142" s="116">
        <v>2728.9</v>
      </c>
      <c r="R1142">
        <v>562025</v>
      </c>
    </row>
    <row r="1143" spans="1:18" x14ac:dyDescent="0.25">
      <c r="A1143" s="170">
        <v>44319</v>
      </c>
      <c r="B1143" s="116">
        <v>2817.6</v>
      </c>
      <c r="C1143" s="116">
        <v>2796.9</v>
      </c>
      <c r="D1143" s="116">
        <v>2640.6</v>
      </c>
      <c r="E1143" s="116">
        <v>2749</v>
      </c>
      <c r="F1143" s="116">
        <v>2796.9</v>
      </c>
      <c r="G1143">
        <v>36012</v>
      </c>
      <c r="H1143" s="116"/>
      <c r="I1143" s="116"/>
      <c r="L1143" s="170">
        <v>44319</v>
      </c>
      <c r="M1143" s="116">
        <v>2797.4</v>
      </c>
      <c r="N1143" s="116">
        <v>2820</v>
      </c>
      <c r="O1143" s="116">
        <v>2640</v>
      </c>
      <c r="P1143" s="116">
        <v>2730</v>
      </c>
      <c r="Q1143" s="116">
        <v>2797.4</v>
      </c>
      <c r="R1143">
        <v>572400</v>
      </c>
    </row>
    <row r="1144" spans="1:18" x14ac:dyDescent="0.25">
      <c r="A1144" s="170">
        <v>44320</v>
      </c>
      <c r="B1144" s="116">
        <v>2700</v>
      </c>
      <c r="C1144" s="116">
        <v>2575.6999999999998</v>
      </c>
      <c r="D1144" s="116">
        <v>2560</v>
      </c>
      <c r="E1144" s="116">
        <v>2700</v>
      </c>
      <c r="F1144" s="116">
        <v>2575.6999999999998</v>
      </c>
      <c r="G1144">
        <v>60040</v>
      </c>
      <c r="H1144" s="116"/>
      <c r="I1144" s="116"/>
      <c r="L1144" s="170">
        <v>44320</v>
      </c>
      <c r="M1144" s="116">
        <v>2575.5</v>
      </c>
      <c r="N1144" s="116">
        <v>2690</v>
      </c>
      <c r="O1144" s="116">
        <v>2557.8000000000002</v>
      </c>
      <c r="P1144" s="116">
        <v>2690</v>
      </c>
      <c r="Q1144" s="116">
        <v>2575.5</v>
      </c>
      <c r="R1144">
        <v>1559787</v>
      </c>
    </row>
    <row r="1145" spans="1:18" x14ac:dyDescent="0.25">
      <c r="A1145" s="170">
        <v>44321</v>
      </c>
      <c r="B1145" s="116">
        <v>2619</v>
      </c>
      <c r="C1145" s="116">
        <v>2568.65</v>
      </c>
      <c r="D1145" s="116">
        <v>2560</v>
      </c>
      <c r="E1145" s="116">
        <v>2619</v>
      </c>
      <c r="F1145" s="116">
        <v>2568.65</v>
      </c>
      <c r="G1145">
        <v>21834</v>
      </c>
      <c r="H1145" s="116"/>
      <c r="I1145" s="116"/>
      <c r="L1145" s="170">
        <v>44321</v>
      </c>
      <c r="M1145" s="116">
        <v>2567.85</v>
      </c>
      <c r="N1145" s="116">
        <v>2620</v>
      </c>
      <c r="O1145" s="116">
        <v>2560</v>
      </c>
      <c r="P1145" s="116">
        <v>2602</v>
      </c>
      <c r="Q1145" s="116">
        <v>2567.85</v>
      </c>
      <c r="R1145">
        <v>351009</v>
      </c>
    </row>
    <row r="1146" spans="1:18" x14ac:dyDescent="0.25">
      <c r="A1146" s="170">
        <v>44322</v>
      </c>
      <c r="B1146" s="116">
        <v>2594.9499999999998</v>
      </c>
      <c r="C1146" s="116">
        <v>2549</v>
      </c>
      <c r="D1146" s="116">
        <v>2486.3000000000002</v>
      </c>
      <c r="E1146" s="116">
        <v>2594.9499999999998</v>
      </c>
      <c r="F1146" s="116">
        <v>2549</v>
      </c>
      <c r="G1146">
        <v>46519</v>
      </c>
      <c r="H1146" s="116"/>
      <c r="I1146" s="116"/>
      <c r="L1146" s="170">
        <v>44322</v>
      </c>
      <c r="M1146" s="116">
        <v>2549.15</v>
      </c>
      <c r="N1146" s="116">
        <v>2592</v>
      </c>
      <c r="O1146" s="116">
        <v>2485</v>
      </c>
      <c r="P1146" s="116">
        <v>2588</v>
      </c>
      <c r="Q1146" s="116">
        <v>2549.15</v>
      </c>
      <c r="R1146">
        <v>612140</v>
      </c>
    </row>
    <row r="1147" spans="1:18" x14ac:dyDescent="0.25">
      <c r="A1147" s="170">
        <v>44323</v>
      </c>
      <c r="B1147" s="116">
        <v>2581.3000000000002</v>
      </c>
      <c r="C1147" s="116">
        <v>2523.3000000000002</v>
      </c>
      <c r="D1147" s="116">
        <v>2512</v>
      </c>
      <c r="E1147" s="116">
        <v>2581.3000000000002</v>
      </c>
      <c r="F1147" s="116">
        <v>2523.3000000000002</v>
      </c>
      <c r="G1147">
        <v>11776</v>
      </c>
      <c r="H1147" s="116"/>
      <c r="I1147" s="116"/>
      <c r="L1147" s="170">
        <v>44323</v>
      </c>
      <c r="M1147" s="116">
        <v>2521.4</v>
      </c>
      <c r="N1147" s="116">
        <v>2575</v>
      </c>
      <c r="O1147" s="116">
        <v>2510.3000000000002</v>
      </c>
      <c r="P1147" s="116">
        <v>2555.5</v>
      </c>
      <c r="Q1147" s="116">
        <v>2521.4</v>
      </c>
      <c r="R1147">
        <v>215711</v>
      </c>
    </row>
    <row r="1148" spans="1:18" x14ac:dyDescent="0.25">
      <c r="A1148" s="170">
        <v>44326</v>
      </c>
      <c r="B1148" s="116">
        <v>2560</v>
      </c>
      <c r="C1148" s="116">
        <v>2504.5</v>
      </c>
      <c r="D1148" s="116">
        <v>2492.4</v>
      </c>
      <c r="E1148" s="116">
        <v>2560</v>
      </c>
      <c r="F1148" s="116">
        <v>2504.5</v>
      </c>
      <c r="G1148">
        <v>18447</v>
      </c>
      <c r="H1148" s="116"/>
      <c r="I1148" s="116"/>
      <c r="L1148" s="170">
        <v>44326</v>
      </c>
      <c r="M1148" s="116">
        <v>2505.85</v>
      </c>
      <c r="N1148" s="116">
        <v>2533</v>
      </c>
      <c r="O1148" s="116">
        <v>2492.1</v>
      </c>
      <c r="P1148" s="116">
        <v>2533</v>
      </c>
      <c r="Q1148" s="116">
        <v>2505.85</v>
      </c>
      <c r="R1148">
        <v>336123</v>
      </c>
    </row>
    <row r="1149" spans="1:18" x14ac:dyDescent="0.25">
      <c r="A1149" s="170">
        <v>44327</v>
      </c>
      <c r="B1149" s="116">
        <v>2585</v>
      </c>
      <c r="C1149" s="116">
        <v>2532.5</v>
      </c>
      <c r="D1149" s="116">
        <v>2476.4</v>
      </c>
      <c r="E1149" s="116">
        <v>2508.6999999999998</v>
      </c>
      <c r="F1149" s="116">
        <v>2532.5</v>
      </c>
      <c r="G1149">
        <v>17233</v>
      </c>
      <c r="H1149" s="116"/>
      <c r="I1149" s="116"/>
      <c r="L1149" s="170">
        <v>44327</v>
      </c>
      <c r="M1149" s="116">
        <v>2530.4499999999998</v>
      </c>
      <c r="N1149" s="116">
        <v>2585</v>
      </c>
      <c r="O1149" s="116">
        <v>2476.0500000000002</v>
      </c>
      <c r="P1149" s="116">
        <v>2500</v>
      </c>
      <c r="Q1149" s="116">
        <v>2530.4499999999998</v>
      </c>
      <c r="R1149">
        <v>448830</v>
      </c>
    </row>
    <row r="1150" spans="1:18" x14ac:dyDescent="0.25">
      <c r="A1150" s="170">
        <v>44328</v>
      </c>
      <c r="B1150" s="116">
        <v>2599.1</v>
      </c>
      <c r="C1150" s="116">
        <v>2537.6</v>
      </c>
      <c r="D1150" s="116">
        <v>2528</v>
      </c>
      <c r="E1150" s="116">
        <v>2533</v>
      </c>
      <c r="F1150" s="116">
        <v>2537.6</v>
      </c>
      <c r="G1150">
        <v>16374</v>
      </c>
      <c r="H1150" s="116"/>
      <c r="I1150" s="116"/>
      <c r="L1150" s="170">
        <v>44328</v>
      </c>
      <c r="M1150" s="116">
        <v>2538.5</v>
      </c>
      <c r="N1150" s="116">
        <v>2599</v>
      </c>
      <c r="O1150" s="116">
        <v>2528</v>
      </c>
      <c r="P1150" s="116">
        <v>2528.1999999999998</v>
      </c>
      <c r="Q1150" s="116">
        <v>2538.5</v>
      </c>
      <c r="R1150">
        <v>322548</v>
      </c>
    </row>
    <row r="1151" spans="1:18" x14ac:dyDescent="0.25">
      <c r="A1151" s="170">
        <v>44330</v>
      </c>
      <c r="B1151" s="116">
        <v>2581.9</v>
      </c>
      <c r="C1151" s="116">
        <v>2540.8000000000002</v>
      </c>
      <c r="D1151" s="116">
        <v>2532.5</v>
      </c>
      <c r="E1151" s="116">
        <v>2540</v>
      </c>
      <c r="F1151" s="116">
        <v>2540.8000000000002</v>
      </c>
      <c r="G1151">
        <v>7563</v>
      </c>
      <c r="H1151" s="116"/>
      <c r="I1151" s="116"/>
      <c r="L1151" s="170">
        <v>44330</v>
      </c>
      <c r="M1151" s="116">
        <v>2539.5500000000002</v>
      </c>
      <c r="N1151" s="116">
        <v>2583</v>
      </c>
      <c r="O1151" s="116">
        <v>2531.5500000000002</v>
      </c>
      <c r="P1151" s="116">
        <v>2550</v>
      </c>
      <c r="Q1151" s="116">
        <v>2539.5500000000002</v>
      </c>
      <c r="R1151">
        <v>138909</v>
      </c>
    </row>
    <row r="1152" spans="1:18" x14ac:dyDescent="0.25">
      <c r="A1152" s="170">
        <v>44333</v>
      </c>
      <c r="B1152" s="116">
        <v>2579.1</v>
      </c>
      <c r="C1152" s="116">
        <v>2565.6</v>
      </c>
      <c r="D1152" s="116">
        <v>2519</v>
      </c>
      <c r="E1152" s="116">
        <v>2560.5</v>
      </c>
      <c r="F1152" s="116">
        <v>2565.6</v>
      </c>
      <c r="G1152">
        <v>13676</v>
      </c>
      <c r="H1152" s="116"/>
      <c r="I1152" s="116"/>
      <c r="L1152" s="170">
        <v>44333</v>
      </c>
      <c r="M1152" s="116">
        <v>2566.65</v>
      </c>
      <c r="N1152" s="116">
        <v>2579.9499999999998</v>
      </c>
      <c r="O1152" s="116">
        <v>2517.25</v>
      </c>
      <c r="P1152" s="116">
        <v>2572</v>
      </c>
      <c r="Q1152" s="116">
        <v>2566.65</v>
      </c>
      <c r="R1152">
        <v>142850</v>
      </c>
    </row>
    <row r="1153" spans="1:18" x14ac:dyDescent="0.25">
      <c r="A1153" s="170">
        <v>44334</v>
      </c>
      <c r="B1153" s="116">
        <v>2651.65</v>
      </c>
      <c r="C1153" s="116">
        <v>2641.85</v>
      </c>
      <c r="D1153" s="116">
        <v>2560.65</v>
      </c>
      <c r="E1153" s="116">
        <v>2560.65</v>
      </c>
      <c r="F1153" s="116">
        <v>2641.85</v>
      </c>
      <c r="G1153">
        <v>12927</v>
      </c>
      <c r="H1153" s="116"/>
      <c r="I1153" s="116"/>
      <c r="L1153" s="170">
        <v>44334</v>
      </c>
      <c r="M1153" s="116">
        <v>2640.4</v>
      </c>
      <c r="N1153" s="116">
        <v>2650.95</v>
      </c>
      <c r="O1153" s="116">
        <v>2560</v>
      </c>
      <c r="P1153" s="116">
        <v>2584</v>
      </c>
      <c r="Q1153" s="116">
        <v>2640.4</v>
      </c>
      <c r="R1153">
        <v>316147</v>
      </c>
    </row>
    <row r="1154" spans="1:18" x14ac:dyDescent="0.25">
      <c r="A1154" s="170">
        <v>44335</v>
      </c>
      <c r="B1154" s="116">
        <v>2669.85</v>
      </c>
      <c r="C1154" s="116">
        <v>2635.4</v>
      </c>
      <c r="D1154" s="116">
        <v>2627</v>
      </c>
      <c r="E1154" s="116">
        <v>2627</v>
      </c>
      <c r="F1154" s="116">
        <v>2635.4</v>
      </c>
      <c r="G1154">
        <v>20800</v>
      </c>
      <c r="H1154" s="116"/>
      <c r="I1154" s="116"/>
      <c r="L1154" s="170">
        <v>44335</v>
      </c>
      <c r="M1154" s="116">
        <v>2638.25</v>
      </c>
      <c r="N1154" s="116">
        <v>2669.7</v>
      </c>
      <c r="O1154" s="116">
        <v>2630.95</v>
      </c>
      <c r="P1154" s="116">
        <v>2645</v>
      </c>
      <c r="Q1154" s="116">
        <v>2638.25</v>
      </c>
      <c r="R1154">
        <v>155644</v>
      </c>
    </row>
    <row r="1155" spans="1:18" x14ac:dyDescent="0.25">
      <c r="A1155" s="170">
        <v>44336</v>
      </c>
      <c r="B1155" s="116">
        <v>2664.95</v>
      </c>
      <c r="C1155" s="116">
        <v>2611.85</v>
      </c>
      <c r="D1155" s="116">
        <v>2600</v>
      </c>
      <c r="E1155" s="116">
        <v>2650.9</v>
      </c>
      <c r="F1155" s="116">
        <v>2611.85</v>
      </c>
      <c r="G1155">
        <v>6019</v>
      </c>
      <c r="H1155" s="116"/>
      <c r="I1155" s="116"/>
      <c r="L1155" s="170">
        <v>44336</v>
      </c>
      <c r="M1155" s="116">
        <v>2610.8000000000002</v>
      </c>
      <c r="N1155" s="116">
        <v>2664</v>
      </c>
      <c r="O1155" s="116">
        <v>2599.1999999999998</v>
      </c>
      <c r="P1155" s="116">
        <v>2635.4</v>
      </c>
      <c r="Q1155" s="116">
        <v>2610.8000000000002</v>
      </c>
      <c r="R1155">
        <v>97601</v>
      </c>
    </row>
    <row r="1156" spans="1:18" x14ac:dyDescent="0.25">
      <c r="A1156" s="170">
        <v>44337</v>
      </c>
      <c r="B1156" s="116">
        <v>2653</v>
      </c>
      <c r="C1156" s="116">
        <v>2624.5</v>
      </c>
      <c r="D1156" s="116">
        <v>2610</v>
      </c>
      <c r="E1156" s="116">
        <v>2650</v>
      </c>
      <c r="F1156" s="116">
        <v>2624.5</v>
      </c>
      <c r="G1156">
        <v>10680</v>
      </c>
      <c r="H1156" s="116"/>
      <c r="I1156" s="116"/>
      <c r="L1156" s="170">
        <v>44337</v>
      </c>
      <c r="M1156" s="116">
        <v>2624.25</v>
      </c>
      <c r="N1156" s="116">
        <v>2654.65</v>
      </c>
      <c r="O1156" s="116">
        <v>2610.25</v>
      </c>
      <c r="P1156" s="116">
        <v>2627.2</v>
      </c>
      <c r="Q1156" s="116">
        <v>2624.25</v>
      </c>
      <c r="R1156">
        <v>131585</v>
      </c>
    </row>
    <row r="1157" spans="1:18" x14ac:dyDescent="0.25">
      <c r="A1157" s="170">
        <v>44340</v>
      </c>
      <c r="B1157" s="116">
        <v>2646.4</v>
      </c>
      <c r="C1157" s="116">
        <v>2588.3000000000002</v>
      </c>
      <c r="D1157" s="116">
        <v>2585</v>
      </c>
      <c r="E1157" s="116">
        <v>2630</v>
      </c>
      <c r="F1157" s="116">
        <v>2588.3000000000002</v>
      </c>
      <c r="G1157">
        <v>11986</v>
      </c>
      <c r="H1157" s="116"/>
      <c r="I1157" s="116"/>
      <c r="L1157" s="170">
        <v>44340</v>
      </c>
      <c r="M1157" s="116">
        <v>2588.1</v>
      </c>
      <c r="N1157" s="116">
        <v>2648</v>
      </c>
      <c r="O1157" s="116">
        <v>2585</v>
      </c>
      <c r="P1157" s="116">
        <v>2640</v>
      </c>
      <c r="Q1157" s="116">
        <v>2588.1</v>
      </c>
      <c r="R1157">
        <v>122409</v>
      </c>
    </row>
    <row r="1158" spans="1:18" x14ac:dyDescent="0.25">
      <c r="A1158" s="170">
        <v>44341</v>
      </c>
      <c r="B1158" s="116">
        <v>2630</v>
      </c>
      <c r="C1158" s="116">
        <v>2616.85</v>
      </c>
      <c r="D1158" s="116">
        <v>2590</v>
      </c>
      <c r="E1158" s="116">
        <v>2590</v>
      </c>
      <c r="F1158" s="116">
        <v>2616.85</v>
      </c>
      <c r="G1158">
        <v>11100</v>
      </c>
      <c r="H1158" s="116"/>
      <c r="I1158" s="116"/>
      <c r="L1158" s="170">
        <v>44341</v>
      </c>
      <c r="M1158" s="116">
        <v>2616.9</v>
      </c>
      <c r="N1158" s="116">
        <v>2631</v>
      </c>
      <c r="O1158" s="116">
        <v>2592.5</v>
      </c>
      <c r="P1158" s="116">
        <v>2600.1999999999998</v>
      </c>
      <c r="Q1158" s="116">
        <v>2616.9</v>
      </c>
      <c r="R1158">
        <v>183201</v>
      </c>
    </row>
    <row r="1159" spans="1:18" x14ac:dyDescent="0.25">
      <c r="A1159" s="170">
        <v>44342</v>
      </c>
      <c r="B1159" s="116">
        <v>2717</v>
      </c>
      <c r="C1159" s="116">
        <v>2703.25</v>
      </c>
      <c r="D1159" s="116">
        <v>2613.65</v>
      </c>
      <c r="E1159" s="116">
        <v>2628.95</v>
      </c>
      <c r="F1159" s="116">
        <v>2703.25</v>
      </c>
      <c r="G1159">
        <v>15456</v>
      </c>
      <c r="H1159" s="116"/>
      <c r="I1159" s="116"/>
      <c r="L1159" s="170">
        <v>44342</v>
      </c>
      <c r="M1159" s="116">
        <v>2704.15</v>
      </c>
      <c r="N1159" s="116">
        <v>2715</v>
      </c>
      <c r="O1159" s="116">
        <v>2610.65</v>
      </c>
      <c r="P1159" s="116">
        <v>2630</v>
      </c>
      <c r="Q1159" s="116">
        <v>2704.15</v>
      </c>
      <c r="R1159">
        <v>364185</v>
      </c>
    </row>
    <row r="1160" spans="1:18" x14ac:dyDescent="0.25">
      <c r="A1160" s="170">
        <v>44343</v>
      </c>
      <c r="B1160" s="116">
        <v>2750</v>
      </c>
      <c r="C1160" s="116">
        <v>2715.05</v>
      </c>
      <c r="D1160" s="116">
        <v>2680</v>
      </c>
      <c r="E1160" s="116">
        <v>2720.15</v>
      </c>
      <c r="F1160" s="116">
        <v>2715.05</v>
      </c>
      <c r="G1160">
        <v>22667</v>
      </c>
      <c r="H1160" s="116"/>
      <c r="I1160" s="116"/>
      <c r="L1160" s="170">
        <v>44343</v>
      </c>
      <c r="M1160" s="116">
        <v>2725.45</v>
      </c>
      <c r="N1160" s="116">
        <v>2751.95</v>
      </c>
      <c r="O1160" s="116">
        <v>2678.45</v>
      </c>
      <c r="P1160" s="116">
        <v>2714</v>
      </c>
      <c r="Q1160" s="116">
        <v>2725.45</v>
      </c>
      <c r="R1160">
        <v>343826</v>
      </c>
    </row>
    <row r="1161" spans="1:18" x14ac:dyDescent="0.25">
      <c r="A1161" s="170">
        <v>44344</v>
      </c>
      <c r="B1161" s="116">
        <v>2745</v>
      </c>
      <c r="C1161" s="116">
        <v>2702.8</v>
      </c>
      <c r="D1161" s="116">
        <v>2693.25</v>
      </c>
      <c r="E1161" s="116">
        <v>2721</v>
      </c>
      <c r="F1161" s="116">
        <v>2702.8</v>
      </c>
      <c r="G1161">
        <v>5579</v>
      </c>
      <c r="H1161" s="116"/>
      <c r="I1161" s="116"/>
      <c r="L1161" s="170">
        <v>44344</v>
      </c>
      <c r="M1161" s="116">
        <v>2705.25</v>
      </c>
      <c r="N1161" s="116">
        <v>2747.9</v>
      </c>
      <c r="O1161" s="116">
        <v>2694</v>
      </c>
      <c r="P1161" s="116">
        <v>2735</v>
      </c>
      <c r="Q1161" s="116">
        <v>2705.25</v>
      </c>
      <c r="R1161">
        <v>98747</v>
      </c>
    </row>
    <row r="1162" spans="1:18" x14ac:dyDescent="0.25">
      <c r="A1162" s="170">
        <v>44347</v>
      </c>
      <c r="B1162" s="116">
        <v>2742.2</v>
      </c>
      <c r="C1162" s="116">
        <v>2709.95</v>
      </c>
      <c r="D1162" s="116">
        <v>2698.5</v>
      </c>
      <c r="E1162" s="116">
        <v>2700</v>
      </c>
      <c r="F1162" s="116">
        <v>2709.95</v>
      </c>
      <c r="G1162">
        <v>5832</v>
      </c>
      <c r="H1162" s="116"/>
      <c r="I1162" s="116"/>
      <c r="L1162" s="170">
        <v>44347</v>
      </c>
      <c r="M1162" s="116">
        <v>2710.85</v>
      </c>
      <c r="N1162" s="116">
        <v>2743.65</v>
      </c>
      <c r="O1162" s="116">
        <v>2696.4</v>
      </c>
      <c r="P1162" s="116">
        <v>2705</v>
      </c>
      <c r="Q1162" s="116">
        <v>2710.85</v>
      </c>
      <c r="R1162">
        <v>121822</v>
      </c>
    </row>
    <row r="1163" spans="1:18" x14ac:dyDescent="0.25">
      <c r="A1163" s="170">
        <v>44348</v>
      </c>
      <c r="B1163" s="116">
        <v>2748.7</v>
      </c>
      <c r="C1163" s="116">
        <v>2685.5</v>
      </c>
      <c r="D1163" s="116">
        <v>2675.8</v>
      </c>
      <c r="E1163" s="116">
        <v>2700.1</v>
      </c>
      <c r="F1163" s="116">
        <v>2685.5</v>
      </c>
      <c r="G1163">
        <v>3364</v>
      </c>
      <c r="H1163" s="116"/>
      <c r="I1163" s="116"/>
      <c r="L1163" s="170">
        <v>44348</v>
      </c>
      <c r="M1163" s="116">
        <v>2687</v>
      </c>
      <c r="N1163" s="116">
        <v>2730.9</v>
      </c>
      <c r="O1163" s="116">
        <v>2676</v>
      </c>
      <c r="P1163" s="116">
        <v>2712</v>
      </c>
      <c r="Q1163" s="116">
        <v>2687</v>
      </c>
      <c r="R1163">
        <v>101899</v>
      </c>
    </row>
    <row r="1164" spans="1:18" x14ac:dyDescent="0.25">
      <c r="A1164" s="170">
        <v>44349</v>
      </c>
      <c r="B1164" s="116">
        <v>2701</v>
      </c>
      <c r="C1164" s="116">
        <v>2667.55</v>
      </c>
      <c r="D1164" s="116">
        <v>2647.75</v>
      </c>
      <c r="E1164" s="116">
        <v>2680.1</v>
      </c>
      <c r="F1164" s="116">
        <v>2667.55</v>
      </c>
      <c r="G1164">
        <v>4103</v>
      </c>
      <c r="H1164" s="116"/>
      <c r="I1164" s="116"/>
      <c r="L1164" s="170">
        <v>44349</v>
      </c>
      <c r="M1164" s="116">
        <v>2668.6</v>
      </c>
      <c r="N1164" s="116">
        <v>2704.15</v>
      </c>
      <c r="O1164" s="116">
        <v>2649.35</v>
      </c>
      <c r="P1164" s="116">
        <v>2699</v>
      </c>
      <c r="Q1164" s="116">
        <v>2668.6</v>
      </c>
      <c r="R1164">
        <v>129201</v>
      </c>
    </row>
    <row r="1165" spans="1:18" x14ac:dyDescent="0.25">
      <c r="A1165" s="170">
        <v>44350</v>
      </c>
      <c r="B1165" s="116">
        <v>2709.15</v>
      </c>
      <c r="C1165" s="116">
        <v>2701.7</v>
      </c>
      <c r="D1165" s="116">
        <v>2676.15</v>
      </c>
      <c r="E1165" s="116">
        <v>2689</v>
      </c>
      <c r="F1165" s="116">
        <v>2701.7</v>
      </c>
      <c r="G1165">
        <v>3752</v>
      </c>
      <c r="H1165" s="116"/>
      <c r="I1165" s="116"/>
      <c r="L1165" s="170">
        <v>44350</v>
      </c>
      <c r="M1165" s="116">
        <v>2701.65</v>
      </c>
      <c r="N1165" s="116">
        <v>2709.75</v>
      </c>
      <c r="O1165" s="116">
        <v>2667</v>
      </c>
      <c r="P1165" s="116">
        <v>2667</v>
      </c>
      <c r="Q1165" s="116">
        <v>2701.65</v>
      </c>
      <c r="R1165">
        <v>145050</v>
      </c>
    </row>
    <row r="1166" spans="1:18" x14ac:dyDescent="0.25">
      <c r="A1166" s="170">
        <v>44351</v>
      </c>
      <c r="B1166" s="116">
        <v>2779.1</v>
      </c>
      <c r="C1166" s="116">
        <v>2719.85</v>
      </c>
      <c r="D1166" s="116">
        <v>2689.4</v>
      </c>
      <c r="E1166" s="116">
        <v>2700</v>
      </c>
      <c r="F1166" s="116">
        <v>2719.85</v>
      </c>
      <c r="G1166">
        <v>28137</v>
      </c>
      <c r="H1166" s="116"/>
      <c r="I1166" s="116"/>
      <c r="L1166" s="170">
        <v>44351</v>
      </c>
      <c r="M1166" s="116">
        <v>2720.9</v>
      </c>
      <c r="N1166" s="116">
        <v>2779.5</v>
      </c>
      <c r="O1166" s="116">
        <v>2688</v>
      </c>
      <c r="P1166" s="116">
        <v>2704</v>
      </c>
      <c r="Q1166" s="116">
        <v>2720.9</v>
      </c>
      <c r="R1166">
        <v>432106</v>
      </c>
    </row>
    <row r="1167" spans="1:18" x14ac:dyDescent="0.25">
      <c r="A1167" s="170">
        <v>44354</v>
      </c>
      <c r="B1167" s="116">
        <v>2805.2</v>
      </c>
      <c r="C1167" s="116">
        <v>2778.85</v>
      </c>
      <c r="D1167" s="116">
        <v>2734.95</v>
      </c>
      <c r="E1167" s="116">
        <v>2745</v>
      </c>
      <c r="F1167" s="116">
        <v>2778.85</v>
      </c>
      <c r="G1167">
        <v>13008</v>
      </c>
      <c r="H1167" s="116"/>
      <c r="I1167" s="116"/>
      <c r="L1167" s="170">
        <v>44354</v>
      </c>
      <c r="M1167" s="116">
        <v>2776.95</v>
      </c>
      <c r="N1167" s="116">
        <v>2805</v>
      </c>
      <c r="O1167" s="116">
        <v>2730</v>
      </c>
      <c r="P1167" s="116">
        <v>2730</v>
      </c>
      <c r="Q1167" s="116">
        <v>2776.95</v>
      </c>
      <c r="R1167">
        <v>447386</v>
      </c>
    </row>
    <row r="1168" spans="1:18" x14ac:dyDescent="0.25">
      <c r="A1168" s="170">
        <v>44355</v>
      </c>
      <c r="B1168" s="116">
        <v>2824.5</v>
      </c>
      <c r="C1168" s="116">
        <v>2783</v>
      </c>
      <c r="D1168" s="116">
        <v>2758.05</v>
      </c>
      <c r="E1168" s="116">
        <v>2794</v>
      </c>
      <c r="F1168" s="116">
        <v>2783</v>
      </c>
      <c r="G1168">
        <v>23247</v>
      </c>
      <c r="H1168" s="116"/>
      <c r="I1168" s="116"/>
      <c r="L1168" s="170">
        <v>44355</v>
      </c>
      <c r="M1168" s="116">
        <v>2784.3</v>
      </c>
      <c r="N1168" s="116">
        <v>2825</v>
      </c>
      <c r="O1168" s="116">
        <v>2758</v>
      </c>
      <c r="P1168" s="116">
        <v>2775</v>
      </c>
      <c r="Q1168" s="116">
        <v>2784.3</v>
      </c>
      <c r="R1168">
        <v>320952</v>
      </c>
    </row>
    <row r="1169" spans="1:18" x14ac:dyDescent="0.25">
      <c r="A1169" s="170">
        <v>44356</v>
      </c>
      <c r="B1169" s="116">
        <v>2837.7</v>
      </c>
      <c r="C1169" s="116">
        <v>2738.8</v>
      </c>
      <c r="D1169" s="116">
        <v>2716.95</v>
      </c>
      <c r="E1169" s="116">
        <v>2795</v>
      </c>
      <c r="F1169" s="116">
        <v>2738.8</v>
      </c>
      <c r="G1169">
        <v>7951</v>
      </c>
      <c r="H1169" s="116"/>
      <c r="I1169" s="116"/>
      <c r="L1169" s="170">
        <v>44356</v>
      </c>
      <c r="M1169" s="116">
        <v>2738.6</v>
      </c>
      <c r="N1169" s="116">
        <v>2838</v>
      </c>
      <c r="O1169" s="116">
        <v>2715</v>
      </c>
      <c r="P1169" s="116">
        <v>2786</v>
      </c>
      <c r="Q1169" s="116">
        <v>2738.6</v>
      </c>
      <c r="R1169">
        <v>303668</v>
      </c>
    </row>
    <row r="1170" spans="1:18" x14ac:dyDescent="0.25">
      <c r="A1170" s="170">
        <v>44357</v>
      </c>
      <c r="B1170" s="116">
        <v>2849</v>
      </c>
      <c r="C1170" s="116">
        <v>2808.65</v>
      </c>
      <c r="D1170" s="116">
        <v>2742</v>
      </c>
      <c r="E1170" s="116">
        <v>2768.05</v>
      </c>
      <c r="F1170" s="116">
        <v>2808.65</v>
      </c>
      <c r="G1170">
        <v>22168</v>
      </c>
      <c r="H1170" s="116"/>
      <c r="I1170" s="116"/>
      <c r="L1170" s="170">
        <v>44357</v>
      </c>
      <c r="M1170" s="116">
        <v>2810</v>
      </c>
      <c r="N1170" s="116">
        <v>2850</v>
      </c>
      <c r="O1170" s="116">
        <v>2742.6</v>
      </c>
      <c r="P1170" s="116">
        <v>2748.8</v>
      </c>
      <c r="Q1170" s="116">
        <v>2810</v>
      </c>
      <c r="R1170">
        <v>412940</v>
      </c>
    </row>
    <row r="1171" spans="1:18" x14ac:dyDescent="0.25">
      <c r="A1171" s="170">
        <v>44358</v>
      </c>
      <c r="B1171" s="116">
        <v>2884.75</v>
      </c>
      <c r="C1171" s="116">
        <v>2874.5</v>
      </c>
      <c r="D1171" s="116">
        <v>2805.2</v>
      </c>
      <c r="E1171" s="116">
        <v>2808.65</v>
      </c>
      <c r="F1171" s="116">
        <v>2874.5</v>
      </c>
      <c r="G1171">
        <v>15062</v>
      </c>
      <c r="H1171" s="116"/>
      <c r="I1171" s="116"/>
      <c r="L1171" s="170">
        <v>44358</v>
      </c>
      <c r="M1171" s="116">
        <v>2873.8</v>
      </c>
      <c r="N1171" s="116">
        <v>2885</v>
      </c>
      <c r="O1171" s="116">
        <v>2806.9</v>
      </c>
      <c r="P1171" s="116">
        <v>2815</v>
      </c>
      <c r="Q1171" s="116">
        <v>2873.8</v>
      </c>
      <c r="R1171">
        <v>437383</v>
      </c>
    </row>
    <row r="1172" spans="1:18" x14ac:dyDescent="0.25">
      <c r="A1172" s="170">
        <v>44361</v>
      </c>
      <c r="B1172" s="116">
        <v>2910.95</v>
      </c>
      <c r="C1172" s="116">
        <v>2864.95</v>
      </c>
      <c r="D1172" s="116">
        <v>2805.05</v>
      </c>
      <c r="E1172" s="116">
        <v>2900</v>
      </c>
      <c r="F1172" s="116">
        <v>2864.95</v>
      </c>
      <c r="G1172">
        <v>16042</v>
      </c>
      <c r="H1172" s="116"/>
      <c r="I1172" s="116"/>
      <c r="L1172" s="170">
        <v>44361</v>
      </c>
      <c r="M1172" s="116">
        <v>2863.25</v>
      </c>
      <c r="N1172" s="116">
        <v>2910</v>
      </c>
      <c r="O1172" s="116">
        <v>2806</v>
      </c>
      <c r="P1172" s="116">
        <v>2897.6</v>
      </c>
      <c r="Q1172" s="116">
        <v>2863.25</v>
      </c>
      <c r="R1172">
        <v>287819</v>
      </c>
    </row>
    <row r="1173" spans="1:18" x14ac:dyDescent="0.25">
      <c r="A1173" s="170">
        <v>44362</v>
      </c>
      <c r="B1173" s="116">
        <v>2881.75</v>
      </c>
      <c r="C1173" s="116">
        <v>2861.5</v>
      </c>
      <c r="D1173" s="116">
        <v>2843.05</v>
      </c>
      <c r="E1173" s="116">
        <v>2846</v>
      </c>
      <c r="F1173" s="116">
        <v>2861.5</v>
      </c>
      <c r="G1173">
        <v>40056</v>
      </c>
      <c r="H1173" s="116"/>
      <c r="I1173" s="116"/>
      <c r="L1173" s="170">
        <v>44362</v>
      </c>
      <c r="M1173" s="116">
        <v>2859.45</v>
      </c>
      <c r="N1173" s="116">
        <v>2882</v>
      </c>
      <c r="O1173" s="116">
        <v>2843.2</v>
      </c>
      <c r="P1173" s="116">
        <v>2860</v>
      </c>
      <c r="Q1173" s="116">
        <v>2859.45</v>
      </c>
      <c r="R1173">
        <v>155077</v>
      </c>
    </row>
    <row r="1174" spans="1:18" x14ac:dyDescent="0.25">
      <c r="A1174" s="170">
        <v>44363</v>
      </c>
      <c r="B1174" s="116">
        <v>2899</v>
      </c>
      <c r="C1174" s="116">
        <v>2844.35</v>
      </c>
      <c r="D1174" s="116">
        <v>2835</v>
      </c>
      <c r="E1174" s="116">
        <v>2862</v>
      </c>
      <c r="F1174" s="116">
        <v>2844.35</v>
      </c>
      <c r="G1174">
        <v>14041</v>
      </c>
      <c r="H1174" s="116"/>
      <c r="I1174" s="116"/>
      <c r="L1174" s="170">
        <v>44363</v>
      </c>
      <c r="M1174" s="116">
        <v>2844.55</v>
      </c>
      <c r="N1174" s="116">
        <v>2899.8</v>
      </c>
      <c r="O1174" s="116">
        <v>2835</v>
      </c>
      <c r="P1174" s="116">
        <v>2862</v>
      </c>
      <c r="Q1174" s="116">
        <v>2844.55</v>
      </c>
      <c r="R1174">
        <v>146522</v>
      </c>
    </row>
    <row r="1175" spans="1:18" x14ac:dyDescent="0.25">
      <c r="A1175" s="170">
        <v>44364</v>
      </c>
      <c r="B1175" s="116">
        <v>2854.05</v>
      </c>
      <c r="C1175" s="116">
        <v>2808.75</v>
      </c>
      <c r="D1175" s="116">
        <v>2752.25</v>
      </c>
      <c r="E1175" s="116">
        <v>2842.2</v>
      </c>
      <c r="F1175" s="116">
        <v>2808.75</v>
      </c>
      <c r="G1175">
        <v>18567</v>
      </c>
      <c r="H1175" s="116"/>
      <c r="I1175" s="116"/>
      <c r="L1175" s="170">
        <v>44364</v>
      </c>
      <c r="M1175" s="116">
        <v>2808.2</v>
      </c>
      <c r="N1175" s="116">
        <v>2855.55</v>
      </c>
      <c r="O1175" s="116">
        <v>2753.85</v>
      </c>
      <c r="P1175" s="116">
        <v>2835</v>
      </c>
      <c r="Q1175" s="116">
        <v>2808.2</v>
      </c>
      <c r="R1175">
        <v>136929</v>
      </c>
    </row>
    <row r="1176" spans="1:18" x14ac:dyDescent="0.25">
      <c r="A1176" s="170">
        <v>44365</v>
      </c>
      <c r="B1176" s="116">
        <v>2872.95</v>
      </c>
      <c r="C1176" s="116">
        <v>2793.35</v>
      </c>
      <c r="D1176" s="116">
        <v>2735.7</v>
      </c>
      <c r="E1176" s="116">
        <v>2835</v>
      </c>
      <c r="F1176" s="116">
        <v>2793.35</v>
      </c>
      <c r="G1176">
        <v>19132</v>
      </c>
      <c r="H1176" s="116"/>
      <c r="I1176" s="116"/>
      <c r="L1176" s="170">
        <v>44365</v>
      </c>
      <c r="M1176" s="116">
        <v>2794.6</v>
      </c>
      <c r="N1176" s="116">
        <v>2874</v>
      </c>
      <c r="O1176" s="116">
        <v>2734.15</v>
      </c>
      <c r="P1176" s="116">
        <v>2835.55</v>
      </c>
      <c r="Q1176" s="116">
        <v>2794.6</v>
      </c>
      <c r="R1176">
        <v>227143</v>
      </c>
    </row>
    <row r="1177" spans="1:18" x14ac:dyDescent="0.25">
      <c r="A1177" s="170">
        <v>44368</v>
      </c>
      <c r="B1177" s="116">
        <v>2814.25</v>
      </c>
      <c r="C1177" s="116">
        <v>2804</v>
      </c>
      <c r="D1177" s="116">
        <v>2719.8</v>
      </c>
      <c r="E1177" s="116">
        <v>2794</v>
      </c>
      <c r="F1177" s="116">
        <v>2804</v>
      </c>
      <c r="G1177">
        <v>8072</v>
      </c>
      <c r="H1177" s="116"/>
      <c r="I1177" s="116"/>
      <c r="L1177" s="170">
        <v>44368</v>
      </c>
      <c r="M1177" s="116">
        <v>2806.55</v>
      </c>
      <c r="N1177" s="116">
        <v>2817.15</v>
      </c>
      <c r="O1177" s="116">
        <v>2720</v>
      </c>
      <c r="P1177" s="116">
        <v>2770</v>
      </c>
      <c r="Q1177" s="116">
        <v>2806.55</v>
      </c>
      <c r="R1177">
        <v>113232</v>
      </c>
    </row>
    <row r="1178" spans="1:18" x14ac:dyDescent="0.25">
      <c r="A1178" s="170">
        <v>44369</v>
      </c>
      <c r="B1178" s="116">
        <v>2841.8</v>
      </c>
      <c r="C1178" s="116">
        <v>2823.4</v>
      </c>
      <c r="D1178" s="116">
        <v>2816.75</v>
      </c>
      <c r="E1178" s="116">
        <v>2829.7</v>
      </c>
      <c r="F1178" s="116">
        <v>2823.4</v>
      </c>
      <c r="G1178">
        <v>15476</v>
      </c>
      <c r="H1178" s="116"/>
      <c r="I1178" s="116"/>
      <c r="L1178" s="170">
        <v>44369</v>
      </c>
      <c r="M1178" s="116">
        <v>2824.25</v>
      </c>
      <c r="N1178" s="116">
        <v>2842</v>
      </c>
      <c r="O1178" s="116">
        <v>2815</v>
      </c>
      <c r="P1178" s="116">
        <v>2821.55</v>
      </c>
      <c r="Q1178" s="116">
        <v>2824.25</v>
      </c>
      <c r="R1178">
        <v>91464</v>
      </c>
    </row>
    <row r="1179" spans="1:18" x14ac:dyDescent="0.25">
      <c r="A1179" s="170">
        <v>44370</v>
      </c>
      <c r="B1179" s="116">
        <v>2852.85</v>
      </c>
      <c r="C1179" s="116">
        <v>2825.55</v>
      </c>
      <c r="D1179" s="116">
        <v>2820.6</v>
      </c>
      <c r="E1179" s="116">
        <v>2833.15</v>
      </c>
      <c r="F1179" s="116">
        <v>2825.55</v>
      </c>
      <c r="G1179">
        <v>3579</v>
      </c>
      <c r="H1179" s="116"/>
      <c r="I1179" s="116"/>
      <c r="L1179" s="170">
        <v>44370</v>
      </c>
      <c r="M1179" s="116">
        <v>2825.2</v>
      </c>
      <c r="N1179" s="116">
        <v>2855</v>
      </c>
      <c r="O1179" s="116">
        <v>2820</v>
      </c>
      <c r="P1179" s="116">
        <v>2826.8</v>
      </c>
      <c r="Q1179" s="116">
        <v>2825.2</v>
      </c>
      <c r="R1179">
        <v>133258</v>
      </c>
    </row>
    <row r="1180" spans="1:18" x14ac:dyDescent="0.25">
      <c r="A1180" s="170">
        <v>44371</v>
      </c>
      <c r="B1180" s="116">
        <v>2929.7</v>
      </c>
      <c r="C1180" s="116">
        <v>2854.55</v>
      </c>
      <c r="D1180" s="116">
        <v>2827.45</v>
      </c>
      <c r="E1180" s="116">
        <v>2828.55</v>
      </c>
      <c r="F1180" s="116">
        <v>2854.55</v>
      </c>
      <c r="G1180">
        <v>18774</v>
      </c>
      <c r="H1180" s="116"/>
      <c r="I1180" s="116"/>
      <c r="L1180" s="170">
        <v>44371</v>
      </c>
      <c r="M1180" s="116">
        <v>2854.65</v>
      </c>
      <c r="N1180" s="116">
        <v>2930.9</v>
      </c>
      <c r="O1180" s="116">
        <v>2825.95</v>
      </c>
      <c r="P1180" s="116">
        <v>2830.8</v>
      </c>
      <c r="Q1180" s="116">
        <v>2854.65</v>
      </c>
      <c r="R1180">
        <v>436302</v>
      </c>
    </row>
    <row r="1181" spans="1:18" x14ac:dyDescent="0.25">
      <c r="A1181" s="170">
        <v>44372</v>
      </c>
      <c r="B1181" s="116">
        <v>2977.35</v>
      </c>
      <c r="C1181" s="116">
        <v>2926.15</v>
      </c>
      <c r="D1181" s="116">
        <v>2866.75</v>
      </c>
      <c r="E1181" s="116">
        <v>2887.8</v>
      </c>
      <c r="F1181" s="116">
        <v>2926.15</v>
      </c>
      <c r="G1181">
        <v>25067</v>
      </c>
      <c r="H1181" s="116"/>
      <c r="I1181" s="116"/>
      <c r="L1181" s="170">
        <v>44372</v>
      </c>
      <c r="M1181" s="116">
        <v>2927.05</v>
      </c>
      <c r="N1181" s="116">
        <v>2978</v>
      </c>
      <c r="O1181" s="116">
        <v>2865.1</v>
      </c>
      <c r="P1181" s="116">
        <v>2889.9</v>
      </c>
      <c r="Q1181" s="116">
        <v>2927.05</v>
      </c>
      <c r="R1181">
        <v>431984</v>
      </c>
    </row>
    <row r="1182" spans="1:18" x14ac:dyDescent="0.25">
      <c r="A1182" s="170">
        <v>44375</v>
      </c>
      <c r="B1182" s="116">
        <v>2969</v>
      </c>
      <c r="C1182" s="116">
        <v>2886</v>
      </c>
      <c r="D1182" s="116">
        <v>2877.5</v>
      </c>
      <c r="E1182" s="116">
        <v>2969</v>
      </c>
      <c r="F1182" s="116">
        <v>2886</v>
      </c>
      <c r="G1182">
        <v>5266</v>
      </c>
      <c r="H1182" s="116"/>
      <c r="I1182" s="116"/>
      <c r="L1182" s="170">
        <v>44375</v>
      </c>
      <c r="M1182" s="116">
        <v>2885.45</v>
      </c>
      <c r="N1182" s="116">
        <v>2950</v>
      </c>
      <c r="O1182" s="116">
        <v>2875.55</v>
      </c>
      <c r="P1182" s="116">
        <v>2950</v>
      </c>
      <c r="Q1182" s="116">
        <v>2885.45</v>
      </c>
      <c r="R1182">
        <v>117878</v>
      </c>
    </row>
    <row r="1183" spans="1:18" x14ac:dyDescent="0.25">
      <c r="A1183" s="170">
        <v>44376</v>
      </c>
      <c r="B1183" s="116">
        <v>2921.4</v>
      </c>
      <c r="C1183" s="116">
        <v>2892.5</v>
      </c>
      <c r="D1183" s="116">
        <v>2860</v>
      </c>
      <c r="E1183" s="116">
        <v>2887</v>
      </c>
      <c r="F1183" s="116">
        <v>2892.5</v>
      </c>
      <c r="G1183">
        <v>7552</v>
      </c>
      <c r="H1183" s="116"/>
      <c r="I1183" s="116"/>
      <c r="L1183" s="170">
        <v>44376</v>
      </c>
      <c r="M1183" s="116">
        <v>2892.75</v>
      </c>
      <c r="N1183" s="116">
        <v>2923.05</v>
      </c>
      <c r="O1183" s="116">
        <v>2860.35</v>
      </c>
      <c r="P1183" s="116">
        <v>2887.8</v>
      </c>
      <c r="Q1183" s="116">
        <v>2892.75</v>
      </c>
      <c r="R1183">
        <v>129858</v>
      </c>
    </row>
    <row r="1184" spans="1:18" x14ac:dyDescent="0.25">
      <c r="A1184" s="170">
        <v>44377</v>
      </c>
      <c r="B1184" s="116">
        <v>2941.35</v>
      </c>
      <c r="C1184" s="116">
        <v>2903.45</v>
      </c>
      <c r="D1184" s="116">
        <v>2888</v>
      </c>
      <c r="E1184" s="116">
        <v>2890.15</v>
      </c>
      <c r="F1184" s="116">
        <v>2903.45</v>
      </c>
      <c r="G1184">
        <v>6290</v>
      </c>
      <c r="H1184" s="116"/>
      <c r="I1184" s="116"/>
      <c r="L1184" s="170">
        <v>44377</v>
      </c>
      <c r="M1184" s="116">
        <v>2903.1</v>
      </c>
      <c r="N1184" s="116">
        <v>2942</v>
      </c>
      <c r="O1184" s="116">
        <v>2886</v>
      </c>
      <c r="P1184" s="116">
        <v>2908</v>
      </c>
      <c r="Q1184" s="116">
        <v>2903.1</v>
      </c>
      <c r="R1184">
        <v>139672</v>
      </c>
    </row>
    <row r="1185" spans="1:18" x14ac:dyDescent="0.25">
      <c r="A1185" s="170">
        <v>44378</v>
      </c>
      <c r="B1185" s="116">
        <v>2924.75</v>
      </c>
      <c r="C1185" s="116">
        <v>2890.75</v>
      </c>
      <c r="D1185" s="116">
        <v>2867.2</v>
      </c>
      <c r="E1185" s="116">
        <v>2889.55</v>
      </c>
      <c r="F1185" s="116">
        <v>2890.75</v>
      </c>
      <c r="G1185">
        <v>6758</v>
      </c>
      <c r="H1185" s="116"/>
      <c r="I1185" s="116"/>
      <c r="L1185" s="170">
        <v>44378</v>
      </c>
      <c r="M1185" s="116">
        <v>2892.6</v>
      </c>
      <c r="N1185" s="116">
        <v>2924</v>
      </c>
      <c r="O1185" s="116">
        <v>2867.5</v>
      </c>
      <c r="P1185" s="116">
        <v>2909</v>
      </c>
      <c r="Q1185" s="116">
        <v>2892.6</v>
      </c>
      <c r="R1185">
        <v>102743</v>
      </c>
    </row>
    <row r="1186" spans="1:18" x14ac:dyDescent="0.25">
      <c r="A1186" s="170">
        <v>44379</v>
      </c>
      <c r="B1186" s="116">
        <v>2927.3</v>
      </c>
      <c r="C1186" s="116">
        <v>2877.95</v>
      </c>
      <c r="D1186" s="116">
        <v>2869</v>
      </c>
      <c r="E1186" s="116">
        <v>2909</v>
      </c>
      <c r="F1186" s="116">
        <v>2877.95</v>
      </c>
      <c r="G1186">
        <v>5964</v>
      </c>
      <c r="H1186" s="116"/>
      <c r="I1186" s="116"/>
      <c r="L1186" s="170">
        <v>44379</v>
      </c>
      <c r="M1186" s="116">
        <v>2877.2</v>
      </c>
      <c r="N1186" s="116">
        <v>2926.7</v>
      </c>
      <c r="O1186" s="116">
        <v>2868.6</v>
      </c>
      <c r="P1186" s="116">
        <v>2913</v>
      </c>
      <c r="Q1186" s="116">
        <v>2877.2</v>
      </c>
      <c r="R1186">
        <v>106510</v>
      </c>
    </row>
    <row r="1187" spans="1:18" x14ac:dyDescent="0.25">
      <c r="A1187" s="170">
        <v>44382</v>
      </c>
      <c r="B1187" s="116">
        <v>2932.95</v>
      </c>
      <c r="C1187" s="116">
        <v>2896.95</v>
      </c>
      <c r="D1187" s="116">
        <v>2880</v>
      </c>
      <c r="E1187" s="116">
        <v>2890</v>
      </c>
      <c r="F1187" s="116">
        <v>2896.95</v>
      </c>
      <c r="G1187">
        <v>9170</v>
      </c>
      <c r="H1187" s="116"/>
      <c r="I1187" s="116"/>
      <c r="L1187" s="170">
        <v>44382</v>
      </c>
      <c r="M1187" s="116">
        <v>2899.9</v>
      </c>
      <c r="N1187" s="116">
        <v>2932</v>
      </c>
      <c r="O1187" s="116">
        <v>2879.45</v>
      </c>
      <c r="P1187" s="116">
        <v>2890</v>
      </c>
      <c r="Q1187" s="116">
        <v>2899.9</v>
      </c>
      <c r="R1187">
        <v>148662</v>
      </c>
    </row>
    <row r="1188" spans="1:18" x14ac:dyDescent="0.25">
      <c r="A1188" s="170">
        <v>44383</v>
      </c>
      <c r="B1188" s="116">
        <v>2961</v>
      </c>
      <c r="C1188" s="116">
        <v>2901.3</v>
      </c>
      <c r="D1188" s="116">
        <v>2883.6</v>
      </c>
      <c r="E1188" s="116">
        <v>2889.65</v>
      </c>
      <c r="F1188" s="116">
        <v>2901.3</v>
      </c>
      <c r="G1188">
        <v>7255</v>
      </c>
      <c r="H1188" s="116"/>
      <c r="I1188" s="116"/>
      <c r="L1188" s="170">
        <v>44383</v>
      </c>
      <c r="M1188" s="116">
        <v>2893.5</v>
      </c>
      <c r="N1188" s="116">
        <v>2962.65</v>
      </c>
      <c r="O1188" s="116">
        <v>2881.15</v>
      </c>
      <c r="P1188" s="116">
        <v>2918</v>
      </c>
      <c r="Q1188" s="116">
        <v>2893.5</v>
      </c>
      <c r="R1188">
        <v>216360</v>
      </c>
    </row>
    <row r="1189" spans="1:18" x14ac:dyDescent="0.25">
      <c r="A1189" s="170">
        <v>44384</v>
      </c>
      <c r="B1189" s="116">
        <v>2932</v>
      </c>
      <c r="C1189" s="116">
        <v>2916.9</v>
      </c>
      <c r="D1189" s="116">
        <v>2850</v>
      </c>
      <c r="E1189" s="116">
        <v>2915</v>
      </c>
      <c r="F1189" s="116">
        <v>2916.9</v>
      </c>
      <c r="G1189">
        <v>56635</v>
      </c>
      <c r="H1189" s="116"/>
      <c r="I1189" s="116"/>
      <c r="L1189" s="170">
        <v>44384</v>
      </c>
      <c r="M1189" s="116">
        <v>2921.75</v>
      </c>
      <c r="N1189" s="116">
        <v>2935.25</v>
      </c>
      <c r="O1189" s="116">
        <v>2850</v>
      </c>
      <c r="P1189" s="116">
        <v>2909</v>
      </c>
      <c r="Q1189" s="116">
        <v>2921.75</v>
      </c>
      <c r="R1189">
        <v>159510</v>
      </c>
    </row>
    <row r="1190" spans="1:18" x14ac:dyDescent="0.25">
      <c r="A1190" s="170">
        <v>44385</v>
      </c>
      <c r="B1190" s="116">
        <v>2985</v>
      </c>
      <c r="C1190" s="116">
        <v>2961.65</v>
      </c>
      <c r="D1190" s="116">
        <v>2908.75</v>
      </c>
      <c r="E1190" s="116">
        <v>2929</v>
      </c>
      <c r="F1190" s="116">
        <v>2961.65</v>
      </c>
      <c r="G1190">
        <v>10036</v>
      </c>
      <c r="H1190" s="116"/>
      <c r="I1190" s="116"/>
      <c r="L1190" s="170">
        <v>44385</v>
      </c>
      <c r="M1190" s="116">
        <v>2963.7</v>
      </c>
      <c r="N1190" s="116">
        <v>2987</v>
      </c>
      <c r="O1190" s="116">
        <v>2909.45</v>
      </c>
      <c r="P1190" s="116">
        <v>2917.25</v>
      </c>
      <c r="Q1190" s="116">
        <v>2963.7</v>
      </c>
      <c r="R1190">
        <v>299987</v>
      </c>
    </row>
    <row r="1191" spans="1:18" x14ac:dyDescent="0.25">
      <c r="A1191" s="170">
        <v>44386</v>
      </c>
      <c r="B1191" s="116">
        <v>2988.2</v>
      </c>
      <c r="C1191" s="116">
        <v>2953.9</v>
      </c>
      <c r="D1191" s="116">
        <v>2925.65</v>
      </c>
      <c r="E1191" s="116">
        <v>2979.7</v>
      </c>
      <c r="F1191" s="116">
        <v>2953.9</v>
      </c>
      <c r="G1191">
        <v>7529</v>
      </c>
      <c r="H1191" s="116"/>
      <c r="I1191" s="116"/>
      <c r="L1191" s="170">
        <v>44386</v>
      </c>
      <c r="M1191" s="116">
        <v>2954</v>
      </c>
      <c r="N1191" s="116">
        <v>2986.85</v>
      </c>
      <c r="O1191" s="116">
        <v>2927.05</v>
      </c>
      <c r="P1191" s="116">
        <v>2967.5</v>
      </c>
      <c r="Q1191" s="116">
        <v>2954</v>
      </c>
      <c r="R1191">
        <v>211729</v>
      </c>
    </row>
    <row r="1192" spans="1:18" x14ac:dyDescent="0.25">
      <c r="A1192" s="170">
        <v>44389</v>
      </c>
      <c r="B1192" s="116">
        <v>3001.25</v>
      </c>
      <c r="C1192" s="116">
        <v>2919</v>
      </c>
      <c r="D1192" s="116">
        <v>2910</v>
      </c>
      <c r="E1192" s="116">
        <v>2974.9</v>
      </c>
      <c r="F1192" s="116">
        <v>2919</v>
      </c>
      <c r="G1192">
        <v>7359</v>
      </c>
      <c r="H1192" s="116"/>
      <c r="I1192" s="116"/>
      <c r="L1192" s="170">
        <v>44389</v>
      </c>
      <c r="M1192" s="116">
        <v>2917.55</v>
      </c>
      <c r="N1192" s="116">
        <v>3005</v>
      </c>
      <c r="O1192" s="116">
        <v>2909</v>
      </c>
      <c r="P1192" s="116">
        <v>2962</v>
      </c>
      <c r="Q1192" s="116">
        <v>2917.55</v>
      </c>
      <c r="R1192">
        <v>228624</v>
      </c>
    </row>
    <row r="1193" spans="1:18" x14ac:dyDescent="0.25">
      <c r="A1193" s="170">
        <v>44390</v>
      </c>
      <c r="B1193" s="116">
        <v>2948.6</v>
      </c>
      <c r="C1193" s="116">
        <v>2829.2</v>
      </c>
      <c r="D1193" s="116">
        <v>2808.9</v>
      </c>
      <c r="E1193" s="116">
        <v>2948.6</v>
      </c>
      <c r="F1193" s="116">
        <v>2829.2</v>
      </c>
      <c r="G1193">
        <v>15298</v>
      </c>
      <c r="H1193" s="116"/>
      <c r="I1193" s="116"/>
      <c r="L1193" s="170">
        <v>44390</v>
      </c>
      <c r="M1193" s="116">
        <v>2829.35</v>
      </c>
      <c r="N1193" s="116">
        <v>2939.9</v>
      </c>
      <c r="O1193" s="116">
        <v>2811.05</v>
      </c>
      <c r="P1193" s="116">
        <v>2928.1</v>
      </c>
      <c r="Q1193" s="116">
        <v>2829.35</v>
      </c>
      <c r="R1193">
        <v>249402</v>
      </c>
    </row>
    <row r="1194" spans="1:18" x14ac:dyDescent="0.25">
      <c r="A1194" s="170">
        <v>44391</v>
      </c>
      <c r="B1194" s="116">
        <v>2934</v>
      </c>
      <c r="C1194" s="116">
        <v>2910.25</v>
      </c>
      <c r="D1194" s="116">
        <v>2801.2</v>
      </c>
      <c r="E1194" s="116">
        <v>2830.15</v>
      </c>
      <c r="F1194" s="116">
        <v>2910.25</v>
      </c>
      <c r="G1194">
        <v>23241</v>
      </c>
      <c r="H1194" s="116"/>
      <c r="I1194" s="116"/>
      <c r="L1194" s="170">
        <v>44391</v>
      </c>
      <c r="M1194" s="116">
        <v>2910.95</v>
      </c>
      <c r="N1194" s="116">
        <v>2935</v>
      </c>
      <c r="O1194" s="116">
        <v>2801</v>
      </c>
      <c r="P1194" s="116">
        <v>2836.05</v>
      </c>
      <c r="Q1194" s="116">
        <v>2910.95</v>
      </c>
      <c r="R1194">
        <v>586862</v>
      </c>
    </row>
    <row r="1195" spans="1:18" x14ac:dyDescent="0.25">
      <c r="A1195" s="170">
        <v>44392</v>
      </c>
      <c r="B1195" s="116">
        <v>3492.25</v>
      </c>
      <c r="C1195" s="116">
        <v>3465.65</v>
      </c>
      <c r="D1195" s="116">
        <v>3100.2</v>
      </c>
      <c r="E1195" s="116">
        <v>3100.2</v>
      </c>
      <c r="F1195" s="116">
        <v>3465.65</v>
      </c>
      <c r="G1195">
        <v>190157</v>
      </c>
      <c r="H1195" s="116"/>
      <c r="I1195" s="116"/>
      <c r="L1195" s="170">
        <v>44392</v>
      </c>
      <c r="M1195" s="116">
        <v>3461.25</v>
      </c>
      <c r="N1195" s="116">
        <v>3493</v>
      </c>
      <c r="O1195" s="116">
        <v>3116</v>
      </c>
      <c r="P1195" s="116">
        <v>3145</v>
      </c>
      <c r="Q1195" s="116">
        <v>3461.25</v>
      </c>
      <c r="R1195">
        <v>5851312</v>
      </c>
    </row>
    <row r="1196" spans="1:18" x14ac:dyDescent="0.25">
      <c r="A1196" s="170">
        <v>44393</v>
      </c>
      <c r="B1196" s="116">
        <v>3492</v>
      </c>
      <c r="C1196" s="116">
        <v>3399.15</v>
      </c>
      <c r="D1196" s="116">
        <v>3337.9</v>
      </c>
      <c r="E1196" s="116">
        <v>3462</v>
      </c>
      <c r="F1196" s="116">
        <v>3399.15</v>
      </c>
      <c r="G1196">
        <v>89916</v>
      </c>
      <c r="H1196" s="116"/>
      <c r="I1196" s="116"/>
      <c r="L1196" s="170">
        <v>44393</v>
      </c>
      <c r="M1196" s="116">
        <v>3396.7</v>
      </c>
      <c r="N1196" s="116">
        <v>3493.4</v>
      </c>
      <c r="O1196" s="116">
        <v>3345</v>
      </c>
      <c r="P1196" s="116">
        <v>3457</v>
      </c>
      <c r="Q1196" s="116">
        <v>3396.7</v>
      </c>
      <c r="R1196">
        <v>1601152</v>
      </c>
    </row>
    <row r="1197" spans="1:18" x14ac:dyDescent="0.25">
      <c r="A1197" s="170">
        <v>44396</v>
      </c>
      <c r="B1197" s="116">
        <v>3478.25</v>
      </c>
      <c r="C1197" s="116">
        <v>3398.4</v>
      </c>
      <c r="D1197" s="116">
        <v>3337</v>
      </c>
      <c r="E1197" s="116">
        <v>3396.7</v>
      </c>
      <c r="F1197" s="116">
        <v>3398.4</v>
      </c>
      <c r="G1197">
        <v>35691</v>
      </c>
      <c r="H1197" s="116"/>
      <c r="I1197" s="116"/>
      <c r="L1197" s="170">
        <v>44396</v>
      </c>
      <c r="M1197" s="116">
        <v>3398.5</v>
      </c>
      <c r="N1197" s="116">
        <v>3477.8</v>
      </c>
      <c r="O1197" s="116">
        <v>3346.25</v>
      </c>
      <c r="P1197" s="116">
        <v>3370</v>
      </c>
      <c r="Q1197" s="116">
        <v>3398.5</v>
      </c>
      <c r="R1197">
        <v>589670</v>
      </c>
    </row>
    <row r="1198" spans="1:18" x14ac:dyDescent="0.25">
      <c r="A1198" s="170">
        <v>44397</v>
      </c>
      <c r="B1198" s="116">
        <v>3431.85</v>
      </c>
      <c r="C1198" s="116">
        <v>3402</v>
      </c>
      <c r="D1198" s="116">
        <v>3376.55</v>
      </c>
      <c r="E1198" s="116">
        <v>3400</v>
      </c>
      <c r="F1198" s="116">
        <v>3402</v>
      </c>
      <c r="G1198">
        <v>22704</v>
      </c>
      <c r="H1198" s="116"/>
      <c r="I1198" s="116"/>
      <c r="L1198" s="170">
        <v>44397</v>
      </c>
      <c r="M1198" s="116">
        <v>3404.6</v>
      </c>
      <c r="N1198" s="116">
        <v>3434.95</v>
      </c>
      <c r="O1198" s="116">
        <v>3374</v>
      </c>
      <c r="P1198" s="116">
        <v>3395</v>
      </c>
      <c r="Q1198" s="116">
        <v>3404.6</v>
      </c>
      <c r="R1198">
        <v>506448</v>
      </c>
    </row>
    <row r="1199" spans="1:18" x14ac:dyDescent="0.25">
      <c r="A1199" s="170">
        <v>44399</v>
      </c>
      <c r="B1199" s="116">
        <v>3568.95</v>
      </c>
      <c r="C1199" s="116">
        <v>3527.5</v>
      </c>
      <c r="D1199" s="116">
        <v>3417</v>
      </c>
      <c r="E1199" s="116">
        <v>3425</v>
      </c>
      <c r="F1199" s="116">
        <v>3527.5</v>
      </c>
      <c r="G1199">
        <v>40346</v>
      </c>
      <c r="H1199" s="116"/>
      <c r="I1199" s="116"/>
      <c r="L1199" s="170">
        <v>44399</v>
      </c>
      <c r="M1199" s="116">
        <v>3530.15</v>
      </c>
      <c r="N1199" s="116">
        <v>3568.9</v>
      </c>
      <c r="O1199" s="116">
        <v>3409</v>
      </c>
      <c r="P1199" s="116">
        <v>3410</v>
      </c>
      <c r="Q1199" s="116">
        <v>3530.15</v>
      </c>
      <c r="R1199">
        <v>1025908</v>
      </c>
    </row>
    <row r="1200" spans="1:18" x14ac:dyDescent="0.25">
      <c r="A1200" s="170">
        <v>44400</v>
      </c>
      <c r="B1200" s="116">
        <v>3579.75</v>
      </c>
      <c r="C1200" s="116">
        <v>3495.95</v>
      </c>
      <c r="D1200" s="116">
        <v>3476.9</v>
      </c>
      <c r="E1200" s="116">
        <v>3539.9</v>
      </c>
      <c r="F1200" s="116">
        <v>3495.95</v>
      </c>
      <c r="G1200">
        <v>10952</v>
      </c>
      <c r="H1200" s="116"/>
      <c r="I1200" s="116"/>
      <c r="L1200" s="170">
        <v>44400</v>
      </c>
      <c r="M1200" s="116">
        <v>3496.2</v>
      </c>
      <c r="N1200" s="116">
        <v>3580</v>
      </c>
      <c r="O1200" s="116">
        <v>3476.55</v>
      </c>
      <c r="P1200" s="116">
        <v>3531</v>
      </c>
      <c r="Q1200" s="116">
        <v>3496.2</v>
      </c>
      <c r="R1200">
        <v>249878</v>
      </c>
    </row>
    <row r="1201" spans="1:18" x14ac:dyDescent="0.25">
      <c r="A1201" s="170">
        <v>44403</v>
      </c>
      <c r="B1201" s="116">
        <v>3496</v>
      </c>
      <c r="C1201" s="116">
        <v>3441.15</v>
      </c>
      <c r="D1201" s="116">
        <v>3431.15</v>
      </c>
      <c r="E1201" s="116">
        <v>3496</v>
      </c>
      <c r="F1201" s="116">
        <v>3441.15</v>
      </c>
      <c r="G1201">
        <v>7852</v>
      </c>
      <c r="H1201" s="116"/>
      <c r="I1201" s="116"/>
      <c r="L1201" s="170">
        <v>44403</v>
      </c>
      <c r="M1201" s="116">
        <v>3443.35</v>
      </c>
      <c r="N1201" s="116">
        <v>3495</v>
      </c>
      <c r="O1201" s="116">
        <v>3429.6</v>
      </c>
      <c r="P1201" s="116">
        <v>3490</v>
      </c>
      <c r="Q1201" s="116">
        <v>3443.35</v>
      </c>
      <c r="R1201">
        <v>210277</v>
      </c>
    </row>
    <row r="1202" spans="1:18" x14ac:dyDescent="0.25">
      <c r="A1202" s="170">
        <v>44404</v>
      </c>
      <c r="B1202" s="116">
        <v>3559.95</v>
      </c>
      <c r="C1202" s="116">
        <v>3495.25</v>
      </c>
      <c r="D1202" s="116">
        <v>3470.15</v>
      </c>
      <c r="E1202" s="116">
        <v>3482.8</v>
      </c>
      <c r="F1202" s="116">
        <v>3495.25</v>
      </c>
      <c r="G1202">
        <v>14700</v>
      </c>
      <c r="H1202" s="116"/>
      <c r="I1202" s="116"/>
      <c r="L1202" s="170">
        <v>44404</v>
      </c>
      <c r="M1202" s="116">
        <v>3495.75</v>
      </c>
      <c r="N1202" s="116">
        <v>3562.05</v>
      </c>
      <c r="O1202" s="116">
        <v>3467.85</v>
      </c>
      <c r="P1202" s="116">
        <v>3468.95</v>
      </c>
      <c r="Q1202" s="116">
        <v>3495.75</v>
      </c>
      <c r="R1202">
        <v>462826</v>
      </c>
    </row>
    <row r="1203" spans="1:18" x14ac:dyDescent="0.25">
      <c r="A1203" s="170">
        <v>44405</v>
      </c>
      <c r="B1203" s="116">
        <v>3525</v>
      </c>
      <c r="C1203" s="116">
        <v>3480.45</v>
      </c>
      <c r="D1203" s="116">
        <v>3442.2</v>
      </c>
      <c r="E1203" s="116">
        <v>3525</v>
      </c>
      <c r="F1203" s="116">
        <v>3480.45</v>
      </c>
      <c r="G1203">
        <v>12209</v>
      </c>
      <c r="H1203" s="116"/>
      <c r="I1203" s="116"/>
      <c r="L1203" s="170">
        <v>44405</v>
      </c>
      <c r="M1203" s="116">
        <v>3483.3</v>
      </c>
      <c r="N1203" s="116">
        <v>3521.35</v>
      </c>
      <c r="O1203" s="116">
        <v>3440</v>
      </c>
      <c r="P1203" s="116">
        <v>3505</v>
      </c>
      <c r="Q1203" s="116">
        <v>3483.3</v>
      </c>
      <c r="R1203">
        <v>149510</v>
      </c>
    </row>
    <row r="1204" spans="1:18" x14ac:dyDescent="0.25">
      <c r="A1204" s="170">
        <v>44406</v>
      </c>
      <c r="B1204" s="116">
        <v>3818.2</v>
      </c>
      <c r="C1204" s="116">
        <v>3680.55</v>
      </c>
      <c r="D1204" s="116">
        <v>3450.9</v>
      </c>
      <c r="E1204" s="116">
        <v>3528</v>
      </c>
      <c r="F1204" s="116">
        <v>3680.55</v>
      </c>
      <c r="G1204">
        <v>44338</v>
      </c>
      <c r="H1204" s="116"/>
      <c r="I1204" s="116"/>
      <c r="L1204" s="170">
        <v>44406</v>
      </c>
      <c r="M1204" s="116">
        <v>3682.7</v>
      </c>
      <c r="N1204" s="116">
        <v>3818</v>
      </c>
      <c r="O1204" s="116">
        <v>3454.3</v>
      </c>
      <c r="P1204" s="116">
        <v>3520</v>
      </c>
      <c r="Q1204" s="116">
        <v>3682.7</v>
      </c>
      <c r="R1204">
        <v>852256</v>
      </c>
    </row>
    <row r="1205" spans="1:18" x14ac:dyDescent="0.25">
      <c r="A1205" s="170">
        <v>44407</v>
      </c>
      <c r="B1205" s="116">
        <v>3765.85</v>
      </c>
      <c r="C1205" s="116">
        <v>3710.25</v>
      </c>
      <c r="D1205" s="116">
        <v>3655.45</v>
      </c>
      <c r="E1205" s="116">
        <v>3688</v>
      </c>
      <c r="F1205" s="116">
        <v>3710.25</v>
      </c>
      <c r="G1205">
        <v>20368</v>
      </c>
      <c r="H1205" s="116"/>
      <c r="I1205" s="116"/>
      <c r="L1205" s="170">
        <v>44407</v>
      </c>
      <c r="M1205" s="116">
        <v>3706.2</v>
      </c>
      <c r="N1205" s="116">
        <v>3768.05</v>
      </c>
      <c r="O1205" s="116">
        <v>3651</v>
      </c>
      <c r="P1205" s="116">
        <v>3669.7</v>
      </c>
      <c r="Q1205" s="116">
        <v>3706.2</v>
      </c>
      <c r="R1205">
        <v>290673</v>
      </c>
    </row>
    <row r="1206" spans="1:18" x14ac:dyDescent="0.25">
      <c r="A1206" s="170">
        <v>44410</v>
      </c>
      <c r="B1206" s="116">
        <v>3759.9</v>
      </c>
      <c r="C1206" s="116">
        <v>3649.75</v>
      </c>
      <c r="D1206" s="116">
        <v>3638.1</v>
      </c>
      <c r="E1206" s="116">
        <v>3744</v>
      </c>
      <c r="F1206" s="116">
        <v>3649.75</v>
      </c>
      <c r="G1206">
        <v>12241</v>
      </c>
      <c r="H1206" s="116"/>
      <c r="I1206" s="116"/>
      <c r="L1206" s="170">
        <v>44410</v>
      </c>
      <c r="M1206" s="116">
        <v>3647.75</v>
      </c>
      <c r="N1206" s="116">
        <v>3769.95</v>
      </c>
      <c r="O1206" s="116">
        <v>3639.45</v>
      </c>
      <c r="P1206" s="116">
        <v>3744</v>
      </c>
      <c r="Q1206" s="116">
        <v>3647.75</v>
      </c>
      <c r="R1206">
        <v>205443</v>
      </c>
    </row>
    <row r="1207" spans="1:18" x14ac:dyDescent="0.25">
      <c r="A1207" s="170">
        <v>44411</v>
      </c>
      <c r="B1207" s="116">
        <v>3678.2</v>
      </c>
      <c r="C1207" s="116">
        <v>3642.85</v>
      </c>
      <c r="D1207" s="116">
        <v>3617</v>
      </c>
      <c r="E1207" s="116">
        <v>3649.3</v>
      </c>
      <c r="F1207" s="116">
        <v>3642.85</v>
      </c>
      <c r="G1207">
        <v>6671</v>
      </c>
      <c r="H1207" s="116"/>
      <c r="I1207" s="116"/>
      <c r="L1207" s="170">
        <v>44411</v>
      </c>
      <c r="M1207" s="116">
        <v>3641.7</v>
      </c>
      <c r="N1207" s="116">
        <v>3675</v>
      </c>
      <c r="O1207" s="116">
        <v>3615</v>
      </c>
      <c r="P1207" s="116">
        <v>3675</v>
      </c>
      <c r="Q1207" s="116">
        <v>3641.7</v>
      </c>
      <c r="R1207">
        <v>121770</v>
      </c>
    </row>
    <row r="1208" spans="1:18" x14ac:dyDescent="0.25">
      <c r="A1208" s="170">
        <v>44412</v>
      </c>
      <c r="B1208" s="116">
        <v>3679.95</v>
      </c>
      <c r="C1208" s="116">
        <v>3634.45</v>
      </c>
      <c r="D1208" s="116">
        <v>3590.05</v>
      </c>
      <c r="E1208" s="116">
        <v>3645</v>
      </c>
      <c r="F1208" s="116">
        <v>3634.45</v>
      </c>
      <c r="G1208">
        <v>12426</v>
      </c>
      <c r="H1208" s="116"/>
      <c r="I1208" s="116"/>
      <c r="L1208" s="170">
        <v>44412</v>
      </c>
      <c r="M1208" s="116">
        <v>3635.15</v>
      </c>
      <c r="N1208" s="116">
        <v>3680</v>
      </c>
      <c r="O1208" s="116">
        <v>3589.2</v>
      </c>
      <c r="P1208" s="116">
        <v>3668</v>
      </c>
      <c r="Q1208" s="116">
        <v>3635.15</v>
      </c>
      <c r="R1208">
        <v>165220</v>
      </c>
    </row>
    <row r="1209" spans="1:18" x14ac:dyDescent="0.25">
      <c r="A1209" s="170">
        <v>44413</v>
      </c>
      <c r="B1209" s="116">
        <v>3779.55</v>
      </c>
      <c r="C1209" s="116">
        <v>3680.6</v>
      </c>
      <c r="D1209" s="116">
        <v>3625</v>
      </c>
      <c r="E1209" s="116">
        <v>3656.45</v>
      </c>
      <c r="F1209" s="116">
        <v>3680.6</v>
      </c>
      <c r="G1209">
        <v>20831</v>
      </c>
      <c r="H1209" s="116"/>
      <c r="I1209" s="116"/>
      <c r="L1209" s="170">
        <v>44413</v>
      </c>
      <c r="M1209" s="116">
        <v>3681.55</v>
      </c>
      <c r="N1209" s="116">
        <v>3778.9</v>
      </c>
      <c r="O1209" s="116">
        <v>3624</v>
      </c>
      <c r="P1209" s="116">
        <v>3631.05</v>
      </c>
      <c r="Q1209" s="116">
        <v>3681.55</v>
      </c>
      <c r="R1209">
        <v>507100</v>
      </c>
    </row>
    <row r="1210" spans="1:18" x14ac:dyDescent="0.25">
      <c r="A1210" s="170">
        <v>44414</v>
      </c>
      <c r="B1210" s="116">
        <v>3750</v>
      </c>
      <c r="C1210" s="116">
        <v>3694.95</v>
      </c>
      <c r="D1210" s="116">
        <v>3661.65</v>
      </c>
      <c r="E1210" s="116">
        <v>3714.3</v>
      </c>
      <c r="F1210" s="116">
        <v>3694.95</v>
      </c>
      <c r="G1210">
        <v>10699</v>
      </c>
      <c r="H1210" s="116"/>
      <c r="I1210" s="116"/>
      <c r="L1210" s="170">
        <v>44414</v>
      </c>
      <c r="M1210" s="116">
        <v>3697.3</v>
      </c>
      <c r="N1210" s="116">
        <v>3751.5</v>
      </c>
      <c r="O1210" s="116">
        <v>3656</v>
      </c>
      <c r="P1210" s="116">
        <v>3699.95</v>
      </c>
      <c r="Q1210" s="116">
        <v>3697.3</v>
      </c>
      <c r="R1210">
        <v>159858</v>
      </c>
    </row>
    <row r="1211" spans="1:18" x14ac:dyDescent="0.25">
      <c r="A1211" s="170">
        <v>44417</v>
      </c>
      <c r="B1211" s="116">
        <v>3789.5</v>
      </c>
      <c r="C1211" s="116">
        <v>3693.25</v>
      </c>
      <c r="D1211" s="116">
        <v>3657.3</v>
      </c>
      <c r="E1211" s="116">
        <v>3718.25</v>
      </c>
      <c r="F1211" s="116">
        <v>3693.25</v>
      </c>
      <c r="G1211">
        <v>22005</v>
      </c>
      <c r="H1211" s="116"/>
      <c r="I1211" s="116"/>
      <c r="L1211" s="170">
        <v>44417</v>
      </c>
      <c r="M1211" s="116">
        <v>3694.7</v>
      </c>
      <c r="N1211" s="116">
        <v>3789</v>
      </c>
      <c r="O1211" s="116">
        <v>3657.05</v>
      </c>
      <c r="P1211" s="116">
        <v>3733.35</v>
      </c>
      <c r="Q1211" s="116">
        <v>3694.7</v>
      </c>
      <c r="R1211">
        <v>203481</v>
      </c>
    </row>
    <row r="1212" spans="1:18" x14ac:dyDescent="0.25">
      <c r="A1212" s="170">
        <v>44418</v>
      </c>
      <c r="B1212" s="116">
        <v>3784.6</v>
      </c>
      <c r="C1212" s="116">
        <v>3700.9</v>
      </c>
      <c r="D1212" s="116">
        <v>3679.05</v>
      </c>
      <c r="E1212" s="116">
        <v>3740</v>
      </c>
      <c r="F1212" s="116">
        <v>3700.9</v>
      </c>
      <c r="G1212">
        <v>11553</v>
      </c>
      <c r="H1212" s="116"/>
      <c r="I1212" s="116"/>
      <c r="L1212" s="170">
        <v>44418</v>
      </c>
      <c r="M1212" s="116">
        <v>3695.65</v>
      </c>
      <c r="N1212" s="116">
        <v>3785</v>
      </c>
      <c r="O1212" s="116">
        <v>3675.7</v>
      </c>
      <c r="P1212" s="116">
        <v>3721.35</v>
      </c>
      <c r="Q1212" s="116">
        <v>3695.65</v>
      </c>
      <c r="R1212">
        <v>271069</v>
      </c>
    </row>
    <row r="1213" spans="1:18" x14ac:dyDescent="0.25">
      <c r="A1213" s="170">
        <v>44419</v>
      </c>
      <c r="B1213" s="116">
        <v>3740</v>
      </c>
      <c r="C1213" s="116">
        <v>3656.5</v>
      </c>
      <c r="D1213" s="116">
        <v>3515.55</v>
      </c>
      <c r="E1213" s="116">
        <v>3722</v>
      </c>
      <c r="F1213" s="116">
        <v>3656.5</v>
      </c>
      <c r="G1213">
        <v>24230</v>
      </c>
      <c r="H1213" s="116"/>
      <c r="I1213" s="116"/>
      <c r="L1213" s="170">
        <v>44419</v>
      </c>
      <c r="M1213" s="116">
        <v>3659.25</v>
      </c>
      <c r="N1213" s="116">
        <v>3745</v>
      </c>
      <c r="O1213" s="116">
        <v>3507.2</v>
      </c>
      <c r="P1213" s="116">
        <v>3722.4</v>
      </c>
      <c r="Q1213" s="116">
        <v>3659.25</v>
      </c>
      <c r="R1213">
        <v>290215</v>
      </c>
    </row>
    <row r="1214" spans="1:18" x14ac:dyDescent="0.25">
      <c r="A1214" s="170">
        <v>44420</v>
      </c>
      <c r="B1214" s="116">
        <v>3733.8</v>
      </c>
      <c r="C1214" s="116">
        <v>3661.45</v>
      </c>
      <c r="D1214" s="116">
        <v>3643</v>
      </c>
      <c r="E1214" s="116">
        <v>3656</v>
      </c>
      <c r="F1214" s="116">
        <v>3661.45</v>
      </c>
      <c r="G1214">
        <v>11143</v>
      </c>
      <c r="H1214" s="116"/>
      <c r="I1214" s="116"/>
      <c r="L1214" s="170">
        <v>44420</v>
      </c>
      <c r="M1214" s="116">
        <v>3659.3</v>
      </c>
      <c r="N1214" s="116">
        <v>3733</v>
      </c>
      <c r="O1214" s="116">
        <v>3640.4</v>
      </c>
      <c r="P1214" s="116">
        <v>3662.5</v>
      </c>
      <c r="Q1214" s="116">
        <v>3659.3</v>
      </c>
      <c r="R1214">
        <v>269765</v>
      </c>
    </row>
    <row r="1215" spans="1:18" x14ac:dyDescent="0.25">
      <c r="A1215" s="170">
        <v>44421</v>
      </c>
      <c r="B1215" s="116">
        <v>3729.25</v>
      </c>
      <c r="C1215" s="116">
        <v>3696.1</v>
      </c>
      <c r="D1215" s="116">
        <v>3667.1</v>
      </c>
      <c r="E1215" s="116">
        <v>3667.1</v>
      </c>
      <c r="F1215" s="116">
        <v>3696.1</v>
      </c>
      <c r="G1215">
        <v>10723</v>
      </c>
      <c r="H1215" s="116"/>
      <c r="I1215" s="116"/>
      <c r="L1215" s="170">
        <v>44421</v>
      </c>
      <c r="M1215" s="116">
        <v>3697.45</v>
      </c>
      <c r="N1215" s="116">
        <v>3733.45</v>
      </c>
      <c r="O1215" s="116">
        <v>3673.75</v>
      </c>
      <c r="P1215" s="116">
        <v>3683.7</v>
      </c>
      <c r="Q1215" s="116">
        <v>3697.45</v>
      </c>
      <c r="R1215">
        <v>177675</v>
      </c>
    </row>
    <row r="1216" spans="1:18" x14ac:dyDescent="0.25">
      <c r="A1216" s="170">
        <v>44424</v>
      </c>
      <c r="B1216" s="116">
        <v>3715.25</v>
      </c>
      <c r="C1216" s="116">
        <v>3675.3</v>
      </c>
      <c r="D1216" s="116">
        <v>3664.5</v>
      </c>
      <c r="E1216" s="116">
        <v>3697</v>
      </c>
      <c r="F1216" s="116">
        <v>3675.3</v>
      </c>
      <c r="G1216">
        <v>3885</v>
      </c>
      <c r="H1216" s="116"/>
      <c r="I1216" s="116"/>
      <c r="L1216" s="170">
        <v>44424</v>
      </c>
      <c r="M1216" s="116">
        <v>3675.05</v>
      </c>
      <c r="N1216" s="116">
        <v>3725</v>
      </c>
      <c r="O1216" s="116">
        <v>3655.5</v>
      </c>
      <c r="P1216" s="116">
        <v>3680.1</v>
      </c>
      <c r="Q1216" s="116">
        <v>3675.05</v>
      </c>
      <c r="R1216">
        <v>94408</v>
      </c>
    </row>
    <row r="1217" spans="1:18" x14ac:dyDescent="0.25">
      <c r="A1217" s="170">
        <v>44425</v>
      </c>
      <c r="B1217" s="116">
        <v>3853.7</v>
      </c>
      <c r="C1217" s="116">
        <v>3832.3</v>
      </c>
      <c r="D1217" s="116">
        <v>3655.9</v>
      </c>
      <c r="E1217" s="116">
        <v>3671.15</v>
      </c>
      <c r="F1217" s="116">
        <v>3832.3</v>
      </c>
      <c r="G1217">
        <v>38956</v>
      </c>
      <c r="H1217" s="116"/>
      <c r="I1217" s="116"/>
      <c r="L1217" s="170">
        <v>44425</v>
      </c>
      <c r="M1217" s="116">
        <v>3825.35</v>
      </c>
      <c r="N1217" s="116">
        <v>3854</v>
      </c>
      <c r="O1217" s="116">
        <v>3655</v>
      </c>
      <c r="P1217" s="116">
        <v>3675</v>
      </c>
      <c r="Q1217" s="116">
        <v>3825.35</v>
      </c>
      <c r="R1217">
        <v>836277</v>
      </c>
    </row>
    <row r="1218" spans="1:18" x14ac:dyDescent="0.25">
      <c r="A1218" s="170">
        <v>44426</v>
      </c>
      <c r="B1218" s="116">
        <v>3897</v>
      </c>
      <c r="C1218" s="116">
        <v>3822.75</v>
      </c>
      <c r="D1218" s="116">
        <v>3794.5</v>
      </c>
      <c r="E1218" s="116">
        <v>3855</v>
      </c>
      <c r="F1218" s="116">
        <v>3822.75</v>
      </c>
      <c r="G1218">
        <v>27657</v>
      </c>
      <c r="H1218" s="116"/>
      <c r="I1218" s="116"/>
      <c r="L1218" s="170">
        <v>44426</v>
      </c>
      <c r="M1218" s="116">
        <v>3824</v>
      </c>
      <c r="N1218" s="116">
        <v>3898</v>
      </c>
      <c r="O1218" s="116">
        <v>3791.25</v>
      </c>
      <c r="P1218" s="116">
        <v>3865.25</v>
      </c>
      <c r="Q1218" s="116">
        <v>3824</v>
      </c>
      <c r="R1218">
        <v>510610</v>
      </c>
    </row>
    <row r="1219" spans="1:18" x14ac:dyDescent="0.25">
      <c r="A1219" s="170">
        <v>44428</v>
      </c>
      <c r="B1219" s="116">
        <v>3950</v>
      </c>
      <c r="C1219" s="116">
        <v>3860.3</v>
      </c>
      <c r="D1219" s="116">
        <v>3755.95</v>
      </c>
      <c r="E1219" s="116">
        <v>3870</v>
      </c>
      <c r="F1219" s="116">
        <v>3860.3</v>
      </c>
      <c r="G1219">
        <v>31258</v>
      </c>
      <c r="H1219" s="116"/>
      <c r="I1219" s="116"/>
      <c r="L1219" s="170">
        <v>44428</v>
      </c>
      <c r="M1219" s="116">
        <v>3864.55</v>
      </c>
      <c r="N1219" s="116">
        <v>3951</v>
      </c>
      <c r="O1219" s="116">
        <v>3755.15</v>
      </c>
      <c r="P1219" s="116">
        <v>3817</v>
      </c>
      <c r="Q1219" s="116">
        <v>3864.55</v>
      </c>
      <c r="R1219">
        <v>706683</v>
      </c>
    </row>
    <row r="1220" spans="1:18" x14ac:dyDescent="0.25">
      <c r="A1220" s="170">
        <v>44431</v>
      </c>
      <c r="B1220" s="116">
        <v>3980</v>
      </c>
      <c r="C1220" s="116">
        <v>3922.05</v>
      </c>
      <c r="D1220" s="116">
        <v>3875</v>
      </c>
      <c r="E1220" s="116">
        <v>3888</v>
      </c>
      <c r="F1220" s="116">
        <v>3922.05</v>
      </c>
      <c r="G1220">
        <v>24009</v>
      </c>
      <c r="H1220" s="116"/>
      <c r="I1220" s="116"/>
      <c r="L1220" s="170">
        <v>44431</v>
      </c>
      <c r="M1220" s="116">
        <v>3921.55</v>
      </c>
      <c r="N1220" s="116">
        <v>3980</v>
      </c>
      <c r="O1220" s="116">
        <v>3871</v>
      </c>
      <c r="P1220" s="116">
        <v>3907</v>
      </c>
      <c r="Q1220" s="116">
        <v>3921.55</v>
      </c>
      <c r="R1220">
        <v>680922</v>
      </c>
    </row>
    <row r="1221" spans="1:18" x14ac:dyDescent="0.25">
      <c r="A1221" s="170">
        <v>44432</v>
      </c>
      <c r="B1221" s="116">
        <v>3964.1</v>
      </c>
      <c r="C1221" s="116">
        <v>3823.8</v>
      </c>
      <c r="D1221" s="116">
        <v>3810</v>
      </c>
      <c r="E1221" s="116">
        <v>3945</v>
      </c>
      <c r="F1221" s="116">
        <v>3823.8</v>
      </c>
      <c r="G1221">
        <v>22909</v>
      </c>
      <c r="H1221" s="116"/>
      <c r="I1221" s="116"/>
      <c r="L1221" s="170">
        <v>44432</v>
      </c>
      <c r="M1221" s="116">
        <v>3823.85</v>
      </c>
      <c r="N1221" s="116">
        <v>3964</v>
      </c>
      <c r="O1221" s="116">
        <v>3810</v>
      </c>
      <c r="P1221" s="116">
        <v>3951</v>
      </c>
      <c r="Q1221" s="116">
        <v>3823.85</v>
      </c>
      <c r="R1221">
        <v>365953</v>
      </c>
    </row>
    <row r="1222" spans="1:18" x14ac:dyDescent="0.25">
      <c r="A1222" s="170">
        <v>44433</v>
      </c>
      <c r="B1222" s="116">
        <v>3929.95</v>
      </c>
      <c r="C1222" s="116">
        <v>3849.8</v>
      </c>
      <c r="D1222" s="116">
        <v>3815</v>
      </c>
      <c r="E1222" s="116">
        <v>3824</v>
      </c>
      <c r="F1222" s="116">
        <v>3849.8</v>
      </c>
      <c r="G1222">
        <v>10756</v>
      </c>
      <c r="H1222" s="116"/>
      <c r="I1222" s="116"/>
      <c r="L1222" s="170">
        <v>44433</v>
      </c>
      <c r="M1222" s="116">
        <v>3854.5</v>
      </c>
      <c r="N1222" s="116">
        <v>3924.05</v>
      </c>
      <c r="O1222" s="116">
        <v>3820</v>
      </c>
      <c r="P1222" s="116">
        <v>3848.95</v>
      </c>
      <c r="Q1222" s="116">
        <v>3854.5</v>
      </c>
      <c r="R1222">
        <v>316815</v>
      </c>
    </row>
    <row r="1223" spans="1:18" x14ac:dyDescent="0.25">
      <c r="A1223" s="170">
        <v>44434</v>
      </c>
      <c r="B1223" s="116">
        <v>3974.85</v>
      </c>
      <c r="C1223" s="116">
        <v>3855.1</v>
      </c>
      <c r="D1223" s="116">
        <v>3810</v>
      </c>
      <c r="E1223" s="116">
        <v>3872</v>
      </c>
      <c r="F1223" s="116">
        <v>3855.1</v>
      </c>
      <c r="G1223">
        <v>17037</v>
      </c>
      <c r="H1223" s="116"/>
      <c r="I1223" s="116"/>
      <c r="L1223" s="170">
        <v>44434</v>
      </c>
      <c r="M1223" s="116">
        <v>3854.8</v>
      </c>
      <c r="N1223" s="116">
        <v>3974.25</v>
      </c>
      <c r="O1223" s="116">
        <v>3807.7</v>
      </c>
      <c r="P1223" s="116">
        <v>3902</v>
      </c>
      <c r="Q1223" s="116">
        <v>3854.8</v>
      </c>
      <c r="R1223">
        <v>554552</v>
      </c>
    </row>
    <row r="1224" spans="1:18" x14ac:dyDescent="0.25">
      <c r="A1224" s="170">
        <v>44435</v>
      </c>
      <c r="B1224" s="116">
        <v>3988.1</v>
      </c>
      <c r="C1224" s="116">
        <v>3976.25</v>
      </c>
      <c r="D1224" s="116">
        <v>3827.2</v>
      </c>
      <c r="E1224" s="116">
        <v>3827.2</v>
      </c>
      <c r="F1224" s="116">
        <v>3976.25</v>
      </c>
      <c r="G1224">
        <v>24864</v>
      </c>
      <c r="H1224" s="116"/>
      <c r="I1224" s="116"/>
      <c r="L1224" s="170">
        <v>44435</v>
      </c>
      <c r="M1224" s="116">
        <v>3974.2</v>
      </c>
      <c r="N1224" s="116">
        <v>3988</v>
      </c>
      <c r="O1224" s="116">
        <v>3831.65</v>
      </c>
      <c r="P1224" s="116">
        <v>3878</v>
      </c>
      <c r="Q1224" s="116">
        <v>3974.2</v>
      </c>
      <c r="R1224">
        <v>464167</v>
      </c>
    </row>
    <row r="1225" spans="1:18" x14ac:dyDescent="0.25">
      <c r="A1225" s="170">
        <v>44438</v>
      </c>
      <c r="B1225" s="116">
        <v>4024</v>
      </c>
      <c r="C1225" s="116">
        <v>3909.7</v>
      </c>
      <c r="D1225" s="116">
        <v>3900.05</v>
      </c>
      <c r="E1225" s="116">
        <v>3986</v>
      </c>
      <c r="F1225" s="116">
        <v>3909.7</v>
      </c>
      <c r="G1225">
        <v>26700</v>
      </c>
      <c r="H1225" s="116"/>
      <c r="I1225" s="116"/>
      <c r="L1225" s="170">
        <v>44438</v>
      </c>
      <c r="M1225" s="116">
        <v>3908.95</v>
      </c>
      <c r="N1225" s="116">
        <v>4025</v>
      </c>
      <c r="O1225" s="116">
        <v>3903</v>
      </c>
      <c r="P1225" s="116">
        <v>3990</v>
      </c>
      <c r="Q1225" s="116">
        <v>3908.95</v>
      </c>
      <c r="R1225">
        <v>299983</v>
      </c>
    </row>
    <row r="1226" spans="1:18" x14ac:dyDescent="0.25">
      <c r="A1226" s="170">
        <v>44439</v>
      </c>
      <c r="B1226" s="116">
        <v>3962.95</v>
      </c>
      <c r="C1226" s="116">
        <v>3920.15</v>
      </c>
      <c r="D1226" s="116">
        <v>3900.95</v>
      </c>
      <c r="E1226" s="116">
        <v>3903</v>
      </c>
      <c r="F1226" s="116">
        <v>3920.15</v>
      </c>
      <c r="G1226">
        <v>10025</v>
      </c>
      <c r="H1226" s="116"/>
      <c r="I1226" s="116"/>
      <c r="L1226" s="170">
        <v>44439</v>
      </c>
      <c r="M1226" s="116">
        <v>3919.55</v>
      </c>
      <c r="N1226" s="116">
        <v>3963.95</v>
      </c>
      <c r="O1226" s="116">
        <v>3899.1</v>
      </c>
      <c r="P1226" s="116">
        <v>3925.05</v>
      </c>
      <c r="Q1226" s="116">
        <v>3919.55</v>
      </c>
      <c r="R1226">
        <v>199497</v>
      </c>
    </row>
    <row r="1227" spans="1:18" x14ac:dyDescent="0.25">
      <c r="A1227" s="170">
        <v>44440</v>
      </c>
      <c r="B1227" s="116">
        <v>3951.4</v>
      </c>
      <c r="C1227" s="116">
        <v>3901.2</v>
      </c>
      <c r="D1227" s="116">
        <v>3861</v>
      </c>
      <c r="E1227" s="116">
        <v>3935</v>
      </c>
      <c r="F1227" s="116">
        <v>3901.2</v>
      </c>
      <c r="G1227">
        <v>9976</v>
      </c>
      <c r="H1227" s="116"/>
      <c r="I1227" s="116"/>
      <c r="L1227" s="170">
        <v>44440</v>
      </c>
      <c r="M1227" s="116">
        <v>3901.8</v>
      </c>
      <c r="N1227" s="116">
        <v>3953.95</v>
      </c>
      <c r="O1227" s="116">
        <v>3859.3</v>
      </c>
      <c r="P1227" s="116">
        <v>3942</v>
      </c>
      <c r="Q1227" s="116">
        <v>3901.8</v>
      </c>
      <c r="R1227">
        <v>186733</v>
      </c>
    </row>
    <row r="1228" spans="1:18" x14ac:dyDescent="0.25">
      <c r="A1228" s="170">
        <v>44441</v>
      </c>
      <c r="B1228" s="116">
        <v>4068.7</v>
      </c>
      <c r="C1228" s="116">
        <v>4050.85</v>
      </c>
      <c r="D1228" s="116">
        <v>3894.45</v>
      </c>
      <c r="E1228" s="116">
        <v>3938</v>
      </c>
      <c r="F1228" s="116">
        <v>4050.85</v>
      </c>
      <c r="G1228">
        <v>11807</v>
      </c>
      <c r="H1228" s="116"/>
      <c r="I1228" s="116"/>
      <c r="L1228" s="170">
        <v>44441</v>
      </c>
      <c r="M1228" s="116">
        <v>4046.85</v>
      </c>
      <c r="N1228" s="116">
        <v>4068</v>
      </c>
      <c r="O1228" s="116">
        <v>3891.05</v>
      </c>
      <c r="P1228" s="116">
        <v>3905.1</v>
      </c>
      <c r="Q1228" s="116">
        <v>4046.85</v>
      </c>
      <c r="R1228">
        <v>423455</v>
      </c>
    </row>
    <row r="1229" spans="1:18" x14ac:dyDescent="0.25">
      <c r="A1229" s="170">
        <v>44442</v>
      </c>
      <c r="B1229" s="116">
        <v>4436</v>
      </c>
      <c r="C1229" s="116">
        <v>4340.3</v>
      </c>
      <c r="D1229" s="116">
        <v>4099.75</v>
      </c>
      <c r="E1229" s="116">
        <v>4100</v>
      </c>
      <c r="F1229" s="116">
        <v>4340.3</v>
      </c>
      <c r="G1229">
        <v>75976</v>
      </c>
      <c r="H1229" s="116"/>
      <c r="I1229" s="116"/>
      <c r="L1229" s="170">
        <v>44442</v>
      </c>
      <c r="M1229" s="116">
        <v>4339.2</v>
      </c>
      <c r="N1229" s="116">
        <v>4437.3</v>
      </c>
      <c r="O1229" s="116">
        <v>4099</v>
      </c>
      <c r="P1229" s="116">
        <v>4100</v>
      </c>
      <c r="Q1229" s="116">
        <v>4339.2</v>
      </c>
      <c r="R1229">
        <v>2038511</v>
      </c>
    </row>
    <row r="1230" spans="1:18" x14ac:dyDescent="0.25">
      <c r="A1230" s="170">
        <v>44445</v>
      </c>
      <c r="B1230" s="116">
        <v>4414</v>
      </c>
      <c r="C1230" s="116">
        <v>4344.1000000000004</v>
      </c>
      <c r="D1230" s="116">
        <v>4300</v>
      </c>
      <c r="E1230" s="116">
        <v>4350</v>
      </c>
      <c r="F1230" s="116">
        <v>4344.1000000000004</v>
      </c>
      <c r="G1230">
        <v>21715</v>
      </c>
      <c r="H1230" s="116"/>
      <c r="I1230" s="116"/>
      <c r="L1230" s="170">
        <v>44445</v>
      </c>
      <c r="M1230" s="116">
        <v>4343.05</v>
      </c>
      <c r="N1230" s="116">
        <v>4415</v>
      </c>
      <c r="O1230" s="116">
        <v>4300.25</v>
      </c>
      <c r="P1230" s="116">
        <v>4350.8999999999996</v>
      </c>
      <c r="Q1230" s="116">
        <v>4343.05</v>
      </c>
      <c r="R1230">
        <v>379275</v>
      </c>
    </row>
    <row r="1231" spans="1:18" x14ac:dyDescent="0.25">
      <c r="A1231" s="170">
        <v>44446</v>
      </c>
      <c r="B1231" s="116">
        <v>4365.8999999999996</v>
      </c>
      <c r="C1231" s="116">
        <v>4311.5</v>
      </c>
      <c r="D1231" s="116">
        <v>4266.8</v>
      </c>
      <c r="E1231" s="116">
        <v>4344</v>
      </c>
      <c r="F1231" s="116">
        <v>4311.5</v>
      </c>
      <c r="G1231">
        <v>12191</v>
      </c>
      <c r="H1231" s="116"/>
      <c r="I1231" s="116"/>
      <c r="L1231" s="170">
        <v>44446</v>
      </c>
      <c r="M1231" s="116">
        <v>4312.55</v>
      </c>
      <c r="N1231" s="116">
        <v>4370</v>
      </c>
      <c r="O1231" s="116">
        <v>4265.7</v>
      </c>
      <c r="P1231" s="116">
        <v>4347</v>
      </c>
      <c r="Q1231" s="116">
        <v>4312.55</v>
      </c>
      <c r="R1231">
        <v>233358</v>
      </c>
    </row>
    <row r="1232" spans="1:18" x14ac:dyDescent="0.25">
      <c r="A1232" s="170">
        <v>44447</v>
      </c>
      <c r="B1232" s="116">
        <v>4361.1000000000004</v>
      </c>
      <c r="C1232" s="116">
        <v>4339.8500000000004</v>
      </c>
      <c r="D1232" s="116">
        <v>4266</v>
      </c>
      <c r="E1232" s="116">
        <v>4315</v>
      </c>
      <c r="F1232" s="116">
        <v>4339.8500000000004</v>
      </c>
      <c r="G1232">
        <v>8852</v>
      </c>
      <c r="H1232" s="116"/>
      <c r="I1232" s="116"/>
      <c r="L1232" s="170">
        <v>44447</v>
      </c>
      <c r="M1232" s="116">
        <v>4336.8</v>
      </c>
      <c r="N1232" s="116">
        <v>4363.8500000000004</v>
      </c>
      <c r="O1232" s="116">
        <v>4265.25</v>
      </c>
      <c r="P1232" s="116">
        <v>4329</v>
      </c>
      <c r="Q1232" s="116">
        <v>4336.8</v>
      </c>
      <c r="R1232">
        <v>268213</v>
      </c>
    </row>
    <row r="1233" spans="1:18" x14ac:dyDescent="0.25">
      <c r="A1233" s="170">
        <v>44448</v>
      </c>
      <c r="B1233" s="116">
        <v>4381.95</v>
      </c>
      <c r="C1233" s="116">
        <v>4306.7</v>
      </c>
      <c r="D1233" s="116">
        <v>4290</v>
      </c>
      <c r="E1233" s="116">
        <v>4350</v>
      </c>
      <c r="F1233" s="116">
        <v>4306.7</v>
      </c>
      <c r="G1233">
        <v>13761</v>
      </c>
      <c r="H1233" s="116"/>
      <c r="I1233" s="116"/>
      <c r="L1233" s="170">
        <v>44448</v>
      </c>
      <c r="M1233" s="116">
        <v>4315.3</v>
      </c>
      <c r="N1233" s="116">
        <v>4382</v>
      </c>
      <c r="O1233" s="116">
        <v>4291</v>
      </c>
      <c r="P1233" s="116">
        <v>4345</v>
      </c>
      <c r="Q1233" s="116">
        <v>4315.3</v>
      </c>
      <c r="R1233">
        <v>193439</v>
      </c>
    </row>
    <row r="1234" spans="1:18" x14ac:dyDescent="0.25">
      <c r="A1234" s="170">
        <v>44452</v>
      </c>
      <c r="B1234" s="116">
        <v>4453.3</v>
      </c>
      <c r="C1234" s="116">
        <v>4372.8999999999996</v>
      </c>
      <c r="D1234" s="116">
        <v>4304.3999999999996</v>
      </c>
      <c r="E1234" s="116">
        <v>4310</v>
      </c>
      <c r="F1234" s="116">
        <v>4372.8999999999996</v>
      </c>
      <c r="G1234">
        <v>11448</v>
      </c>
      <c r="H1234" s="116"/>
      <c r="I1234" s="116"/>
      <c r="L1234" s="170">
        <v>44452</v>
      </c>
      <c r="M1234" s="116">
        <v>4373.25</v>
      </c>
      <c r="N1234" s="116">
        <v>4454</v>
      </c>
      <c r="O1234" s="116">
        <v>4300</v>
      </c>
      <c r="P1234" s="116">
        <v>4315</v>
      </c>
      <c r="Q1234" s="116">
        <v>4373.25</v>
      </c>
      <c r="R1234">
        <v>349200</v>
      </c>
    </row>
    <row r="1235" spans="1:18" x14ac:dyDescent="0.25">
      <c r="A1235" s="170">
        <v>44453</v>
      </c>
      <c r="B1235" s="116">
        <v>4556</v>
      </c>
      <c r="C1235" s="116">
        <v>4546.3999999999996</v>
      </c>
      <c r="D1235" s="116">
        <v>4372.8999999999996</v>
      </c>
      <c r="E1235" s="116">
        <v>4385</v>
      </c>
      <c r="F1235" s="116">
        <v>4546.3999999999996</v>
      </c>
      <c r="G1235">
        <v>14776</v>
      </c>
      <c r="H1235" s="116"/>
      <c r="I1235" s="116"/>
      <c r="L1235" s="170">
        <v>44453</v>
      </c>
      <c r="M1235" s="116">
        <v>4544</v>
      </c>
      <c r="N1235" s="116">
        <v>4556.25</v>
      </c>
      <c r="O1235" s="116">
        <v>4368.5</v>
      </c>
      <c r="P1235" s="116">
        <v>4396.95</v>
      </c>
      <c r="Q1235" s="116">
        <v>4544</v>
      </c>
      <c r="R1235">
        <v>648024</v>
      </c>
    </row>
    <row r="1236" spans="1:18" x14ac:dyDescent="0.25">
      <c r="A1236" s="170">
        <v>44454</v>
      </c>
      <c r="B1236" s="116">
        <v>4631.8500000000004</v>
      </c>
      <c r="C1236" s="116">
        <v>4573.2</v>
      </c>
      <c r="D1236" s="116">
        <v>4505.3999999999996</v>
      </c>
      <c r="E1236" s="116">
        <v>4569</v>
      </c>
      <c r="F1236" s="116">
        <v>4573.2</v>
      </c>
      <c r="G1236">
        <v>14634</v>
      </c>
      <c r="H1236" s="116"/>
      <c r="I1236" s="116"/>
      <c r="L1236" s="170">
        <v>44454</v>
      </c>
      <c r="M1236" s="116">
        <v>4577.7</v>
      </c>
      <c r="N1236" s="116">
        <v>4634.8</v>
      </c>
      <c r="O1236" s="116">
        <v>4503.3999999999996</v>
      </c>
      <c r="P1236" s="116">
        <v>4566.45</v>
      </c>
      <c r="Q1236" s="116">
        <v>4577.7</v>
      </c>
      <c r="R1236">
        <v>339379</v>
      </c>
    </row>
    <row r="1237" spans="1:18" x14ac:dyDescent="0.25">
      <c r="A1237" s="170">
        <v>44455</v>
      </c>
      <c r="B1237" s="116">
        <v>4616.3999999999996</v>
      </c>
      <c r="C1237" s="116">
        <v>4581.6499999999996</v>
      </c>
      <c r="D1237" s="116">
        <v>4522.1499999999996</v>
      </c>
      <c r="E1237" s="116">
        <v>4614.45</v>
      </c>
      <c r="F1237" s="116">
        <v>4581.6499999999996</v>
      </c>
      <c r="G1237">
        <v>421946</v>
      </c>
      <c r="H1237" s="116"/>
      <c r="I1237" s="116"/>
      <c r="L1237" s="170">
        <v>44455</v>
      </c>
      <c r="M1237" s="116">
        <v>4577.5</v>
      </c>
      <c r="N1237" s="116">
        <v>4620.6000000000004</v>
      </c>
      <c r="O1237" s="116">
        <v>4520.05</v>
      </c>
      <c r="P1237" s="116">
        <v>4607</v>
      </c>
      <c r="Q1237" s="116">
        <v>4577.5</v>
      </c>
      <c r="R1237">
        <v>253863</v>
      </c>
    </row>
    <row r="1238" spans="1:18" x14ac:dyDescent="0.25">
      <c r="A1238" s="170">
        <v>44456</v>
      </c>
      <c r="B1238" s="116">
        <v>4605</v>
      </c>
      <c r="C1238" s="116">
        <v>4556.8500000000004</v>
      </c>
      <c r="D1238" s="116">
        <v>4488.8999999999996</v>
      </c>
      <c r="E1238" s="116">
        <v>4580</v>
      </c>
      <c r="F1238" s="116">
        <v>4556.8500000000004</v>
      </c>
      <c r="G1238">
        <v>19904</v>
      </c>
      <c r="H1238" s="116"/>
      <c r="I1238" s="116"/>
      <c r="L1238" s="170">
        <v>44456</v>
      </c>
      <c r="M1238" s="116">
        <v>4558.7</v>
      </c>
      <c r="N1238" s="116">
        <v>4606.2</v>
      </c>
      <c r="O1238" s="116">
        <v>4488.8500000000004</v>
      </c>
      <c r="P1238" s="116">
        <v>4577</v>
      </c>
      <c r="Q1238" s="116">
        <v>4558.7</v>
      </c>
      <c r="R1238">
        <v>429406</v>
      </c>
    </row>
    <row r="1239" spans="1:18" x14ac:dyDescent="0.25">
      <c r="A1239" s="170">
        <v>44459</v>
      </c>
      <c r="B1239" s="116">
        <v>4630</v>
      </c>
      <c r="C1239" s="116">
        <v>4451.8</v>
      </c>
      <c r="D1239" s="116">
        <v>4424.75</v>
      </c>
      <c r="E1239" s="116">
        <v>4556.8500000000004</v>
      </c>
      <c r="F1239" s="116">
        <v>4451.8</v>
      </c>
      <c r="G1239">
        <v>11283</v>
      </c>
      <c r="H1239" s="116"/>
      <c r="I1239" s="116"/>
      <c r="L1239" s="170">
        <v>44459</v>
      </c>
      <c r="M1239" s="116">
        <v>4452.6499999999996</v>
      </c>
      <c r="N1239" s="116">
        <v>4633.8999999999996</v>
      </c>
      <c r="O1239" s="116">
        <v>4421.1499999999996</v>
      </c>
      <c r="P1239" s="116">
        <v>4537</v>
      </c>
      <c r="Q1239" s="116">
        <v>4452.6499999999996</v>
      </c>
      <c r="R1239">
        <v>263233</v>
      </c>
    </row>
    <row r="1240" spans="1:18" x14ac:dyDescent="0.25">
      <c r="A1240" s="170">
        <v>44460</v>
      </c>
      <c r="B1240" s="116">
        <v>4597.45</v>
      </c>
      <c r="C1240" s="116">
        <v>4588.25</v>
      </c>
      <c r="D1240" s="116">
        <v>4447.2</v>
      </c>
      <c r="E1240" s="116">
        <v>4452</v>
      </c>
      <c r="F1240" s="116">
        <v>4588.25</v>
      </c>
      <c r="G1240">
        <v>13380</v>
      </c>
      <c r="H1240" s="116"/>
      <c r="I1240" s="116"/>
      <c r="L1240" s="170">
        <v>44460</v>
      </c>
      <c r="M1240" s="116">
        <v>4574.8</v>
      </c>
      <c r="N1240" s="116">
        <v>4598.8500000000004</v>
      </c>
      <c r="O1240" s="116">
        <v>4445</v>
      </c>
      <c r="P1240" s="116">
        <v>4455</v>
      </c>
      <c r="Q1240" s="116">
        <v>4574.8</v>
      </c>
      <c r="R1240">
        <v>294054</v>
      </c>
    </row>
    <row r="1241" spans="1:18" x14ac:dyDescent="0.25">
      <c r="A1241" s="170">
        <v>44461</v>
      </c>
      <c r="B1241" s="116">
        <v>4745</v>
      </c>
      <c r="C1241" s="116">
        <v>4682.95</v>
      </c>
      <c r="D1241" s="116">
        <v>4601.05</v>
      </c>
      <c r="E1241" s="116">
        <v>4650</v>
      </c>
      <c r="F1241" s="116">
        <v>4682.95</v>
      </c>
      <c r="G1241">
        <v>25486</v>
      </c>
      <c r="H1241" s="116"/>
      <c r="I1241" s="116"/>
      <c r="L1241" s="170">
        <v>44461</v>
      </c>
      <c r="M1241" s="116">
        <v>4682.3</v>
      </c>
      <c r="N1241" s="116">
        <v>4746.8</v>
      </c>
      <c r="O1241" s="116">
        <v>4603</v>
      </c>
      <c r="P1241" s="116">
        <v>4607.3</v>
      </c>
      <c r="Q1241" s="116">
        <v>4682.3</v>
      </c>
      <c r="R1241">
        <v>485646</v>
      </c>
    </row>
    <row r="1242" spans="1:18" x14ac:dyDescent="0.25">
      <c r="A1242" s="170">
        <v>44462</v>
      </c>
      <c r="B1242" s="116">
        <v>4798.45</v>
      </c>
      <c r="C1242" s="116">
        <v>4766.3999999999996</v>
      </c>
      <c r="D1242" s="116">
        <v>4653</v>
      </c>
      <c r="E1242" s="116">
        <v>4755</v>
      </c>
      <c r="F1242" s="116">
        <v>4766.3999999999996</v>
      </c>
      <c r="G1242">
        <v>13122</v>
      </c>
      <c r="H1242" s="116"/>
      <c r="I1242" s="116"/>
      <c r="L1242" s="170">
        <v>44462</v>
      </c>
      <c r="M1242" s="116">
        <v>4772</v>
      </c>
      <c r="N1242" s="116">
        <v>4796.45</v>
      </c>
      <c r="O1242" s="116">
        <v>4650</v>
      </c>
      <c r="P1242" s="116">
        <v>4722.8999999999996</v>
      </c>
      <c r="Q1242" s="116">
        <v>4772</v>
      </c>
      <c r="R1242">
        <v>246422</v>
      </c>
    </row>
    <row r="1243" spans="1:18" x14ac:dyDescent="0.25">
      <c r="A1243" s="170">
        <v>44463</v>
      </c>
      <c r="B1243" s="116">
        <v>5000</v>
      </c>
      <c r="C1243" s="116">
        <v>4851.95</v>
      </c>
      <c r="D1243" s="116">
        <v>4812</v>
      </c>
      <c r="E1243" s="116">
        <v>4840</v>
      </c>
      <c r="F1243" s="116">
        <v>4851.95</v>
      </c>
      <c r="G1243">
        <v>32311</v>
      </c>
      <c r="H1243" s="116"/>
      <c r="I1243" s="116"/>
      <c r="L1243" s="170">
        <v>44463</v>
      </c>
      <c r="M1243" s="116">
        <v>4848.5</v>
      </c>
      <c r="N1243" s="116">
        <v>5000</v>
      </c>
      <c r="O1243" s="116">
        <v>4804.95</v>
      </c>
      <c r="P1243" s="116">
        <v>4832</v>
      </c>
      <c r="Q1243" s="116">
        <v>4848.5</v>
      </c>
      <c r="R1243">
        <v>705428</v>
      </c>
    </row>
    <row r="1244" spans="1:18" x14ac:dyDescent="0.25">
      <c r="A1244" s="170">
        <v>44466</v>
      </c>
      <c r="B1244" s="116">
        <v>4924.1000000000004</v>
      </c>
      <c r="C1244" s="116">
        <v>4740.2</v>
      </c>
      <c r="D1244" s="116">
        <v>4681.25</v>
      </c>
      <c r="E1244" s="116">
        <v>4910</v>
      </c>
      <c r="F1244" s="116">
        <v>4740.2</v>
      </c>
      <c r="G1244">
        <v>26419</v>
      </c>
      <c r="H1244" s="116"/>
      <c r="I1244" s="116"/>
      <c r="L1244" s="170">
        <v>44466</v>
      </c>
      <c r="M1244" s="116">
        <v>4742.75</v>
      </c>
      <c r="N1244" s="116">
        <v>4930</v>
      </c>
      <c r="O1244" s="116">
        <v>4677.05</v>
      </c>
      <c r="P1244" s="116">
        <v>4910.6000000000004</v>
      </c>
      <c r="Q1244" s="116">
        <v>4742.75</v>
      </c>
      <c r="R1244">
        <v>308278</v>
      </c>
    </row>
    <row r="1245" spans="1:18" x14ac:dyDescent="0.25">
      <c r="A1245" s="170">
        <v>44467</v>
      </c>
      <c r="B1245" s="116">
        <v>4761.95</v>
      </c>
      <c r="C1245" s="116">
        <v>4607.1499999999996</v>
      </c>
      <c r="D1245" s="116">
        <v>4491.8999999999996</v>
      </c>
      <c r="E1245" s="116">
        <v>4761.95</v>
      </c>
      <c r="F1245" s="116">
        <v>4607.1499999999996</v>
      </c>
      <c r="G1245">
        <v>15305</v>
      </c>
      <c r="H1245" s="116"/>
      <c r="I1245" s="116"/>
      <c r="L1245" s="170">
        <v>44467</v>
      </c>
      <c r="M1245" s="116">
        <v>4608.05</v>
      </c>
      <c r="N1245" s="116">
        <v>4767.7</v>
      </c>
      <c r="O1245" s="116">
        <v>4490</v>
      </c>
      <c r="P1245" s="116">
        <v>4746</v>
      </c>
      <c r="Q1245" s="116">
        <v>4608.05</v>
      </c>
      <c r="R1245">
        <v>319970</v>
      </c>
    </row>
    <row r="1246" spans="1:18" x14ac:dyDescent="0.25">
      <c r="A1246" s="170">
        <v>44468</v>
      </c>
      <c r="B1246" s="116">
        <v>4894.5</v>
      </c>
      <c r="C1246" s="116">
        <v>4789.7</v>
      </c>
      <c r="D1246" s="116">
        <v>4508</v>
      </c>
      <c r="E1246" s="116">
        <v>4581</v>
      </c>
      <c r="F1246" s="116">
        <v>4789.7</v>
      </c>
      <c r="G1246">
        <v>22106</v>
      </c>
      <c r="H1246" s="116"/>
      <c r="I1246" s="116"/>
      <c r="L1246" s="170">
        <v>44468</v>
      </c>
      <c r="M1246" s="116">
        <v>4785.8</v>
      </c>
      <c r="N1246" s="116">
        <v>4898</v>
      </c>
      <c r="O1246" s="116">
        <v>4511.2</v>
      </c>
      <c r="P1246" s="116">
        <v>4570</v>
      </c>
      <c r="Q1246" s="116">
        <v>4785.8</v>
      </c>
      <c r="R1246">
        <v>931712</v>
      </c>
    </row>
    <row r="1247" spans="1:18" x14ac:dyDescent="0.25">
      <c r="A1247" s="170">
        <v>44469</v>
      </c>
      <c r="B1247" s="116">
        <v>4797.8999999999996</v>
      </c>
      <c r="C1247" s="116">
        <v>4696.2</v>
      </c>
      <c r="D1247" s="116">
        <v>4621.3</v>
      </c>
      <c r="E1247" s="116">
        <v>4797.8999999999996</v>
      </c>
      <c r="F1247" s="116">
        <v>4696.2</v>
      </c>
      <c r="G1247">
        <v>14137</v>
      </c>
      <c r="H1247" s="116"/>
      <c r="I1247" s="116"/>
      <c r="L1247" s="170">
        <v>44469</v>
      </c>
      <c r="M1247" s="116">
        <v>4697.55</v>
      </c>
      <c r="N1247" s="116">
        <v>4783.05</v>
      </c>
      <c r="O1247" s="116">
        <v>4620</v>
      </c>
      <c r="P1247" s="116">
        <v>4779</v>
      </c>
      <c r="Q1247" s="116">
        <v>4697.55</v>
      </c>
      <c r="R1247">
        <v>330842</v>
      </c>
    </row>
    <row r="1248" spans="1:18" x14ac:dyDescent="0.25">
      <c r="A1248" s="170">
        <v>44470</v>
      </c>
      <c r="B1248" s="116">
        <v>4699</v>
      </c>
      <c r="C1248" s="116">
        <v>4645.05</v>
      </c>
      <c r="D1248" s="116">
        <v>4607.3</v>
      </c>
      <c r="E1248" s="116">
        <v>4699</v>
      </c>
      <c r="F1248" s="116">
        <v>4645.05</v>
      </c>
      <c r="G1248">
        <v>6696</v>
      </c>
      <c r="H1248" s="116"/>
      <c r="I1248" s="116"/>
      <c r="L1248" s="170">
        <v>44470</v>
      </c>
      <c r="M1248" s="116">
        <v>4644.3500000000004</v>
      </c>
      <c r="N1248" s="116">
        <v>4692.1000000000004</v>
      </c>
      <c r="O1248" s="116">
        <v>4605</v>
      </c>
      <c r="P1248" s="116">
        <v>4684</v>
      </c>
      <c r="Q1248" s="116">
        <v>4644.3500000000004</v>
      </c>
      <c r="R1248">
        <v>152674</v>
      </c>
    </row>
    <row r="1249" spans="1:18" x14ac:dyDescent="0.25">
      <c r="A1249" s="170">
        <v>44473</v>
      </c>
      <c r="B1249" s="116">
        <v>4720.55</v>
      </c>
      <c r="C1249" s="116">
        <v>4626.7</v>
      </c>
      <c r="D1249" s="116">
        <v>4615</v>
      </c>
      <c r="E1249" s="116">
        <v>4684</v>
      </c>
      <c r="F1249" s="116">
        <v>4626.7</v>
      </c>
      <c r="G1249">
        <v>8889</v>
      </c>
      <c r="H1249" s="116"/>
      <c r="I1249" s="116"/>
      <c r="L1249" s="170">
        <v>44473</v>
      </c>
      <c r="M1249" s="116">
        <v>4624.1499999999996</v>
      </c>
      <c r="N1249" s="116">
        <v>4720.3999999999996</v>
      </c>
      <c r="O1249" s="116">
        <v>4613.95</v>
      </c>
      <c r="P1249" s="116">
        <v>4673.8500000000004</v>
      </c>
      <c r="Q1249" s="116">
        <v>4624.1499999999996</v>
      </c>
      <c r="R1249">
        <v>214399</v>
      </c>
    </row>
    <row r="1250" spans="1:18" x14ac:dyDescent="0.25">
      <c r="A1250" s="170">
        <v>44474</v>
      </c>
      <c r="B1250" s="116">
        <v>4680</v>
      </c>
      <c r="C1250" s="116">
        <v>4667.3999999999996</v>
      </c>
      <c r="D1250" s="116">
        <v>4521</v>
      </c>
      <c r="E1250" s="116">
        <v>4630</v>
      </c>
      <c r="F1250" s="116">
        <v>4667.3999999999996</v>
      </c>
      <c r="G1250">
        <v>11656</v>
      </c>
      <c r="H1250" s="116"/>
      <c r="I1250" s="116"/>
      <c r="L1250" s="170">
        <v>44474</v>
      </c>
      <c r="M1250" s="116">
        <v>4667.2</v>
      </c>
      <c r="N1250" s="116">
        <v>4682.5</v>
      </c>
      <c r="O1250" s="116">
        <v>4520</v>
      </c>
      <c r="P1250" s="116">
        <v>4625</v>
      </c>
      <c r="Q1250" s="116">
        <v>4667.2</v>
      </c>
      <c r="R1250">
        <v>389078</v>
      </c>
    </row>
    <row r="1251" spans="1:18" x14ac:dyDescent="0.25">
      <c r="A1251" s="170">
        <v>44475</v>
      </c>
      <c r="B1251" s="116">
        <v>4715.3</v>
      </c>
      <c r="C1251" s="116">
        <v>4594.1000000000004</v>
      </c>
      <c r="D1251" s="116">
        <v>4575.8500000000004</v>
      </c>
      <c r="E1251" s="116">
        <v>4680</v>
      </c>
      <c r="F1251" s="116">
        <v>4594.1000000000004</v>
      </c>
      <c r="G1251">
        <v>6937</v>
      </c>
      <c r="H1251" s="116"/>
      <c r="I1251" s="116"/>
      <c r="L1251" s="170">
        <v>44475</v>
      </c>
      <c r="M1251" s="116">
        <v>4594.3999999999996</v>
      </c>
      <c r="N1251" s="116">
        <v>4707.7</v>
      </c>
      <c r="O1251" s="116">
        <v>4575.05</v>
      </c>
      <c r="P1251" s="116">
        <v>4666</v>
      </c>
      <c r="Q1251" s="116">
        <v>4594.3999999999996</v>
      </c>
      <c r="R1251">
        <v>178247</v>
      </c>
    </row>
    <row r="1252" spans="1:18" x14ac:dyDescent="0.25">
      <c r="A1252" s="170">
        <v>44476</v>
      </c>
      <c r="B1252" s="116">
        <v>4740.7</v>
      </c>
      <c r="C1252" s="116">
        <v>4684.1499999999996</v>
      </c>
      <c r="D1252" s="116">
        <v>4611.25</v>
      </c>
      <c r="E1252" s="116">
        <v>4611.25</v>
      </c>
      <c r="F1252" s="116">
        <v>4684.1499999999996</v>
      </c>
      <c r="G1252">
        <v>8916</v>
      </c>
      <c r="H1252" s="116"/>
      <c r="I1252" s="116"/>
      <c r="L1252" s="170">
        <v>44476</v>
      </c>
      <c r="M1252" s="116">
        <v>4688.95</v>
      </c>
      <c r="N1252" s="116">
        <v>4741</v>
      </c>
      <c r="O1252" s="116">
        <v>4624.05</v>
      </c>
      <c r="P1252" s="116">
        <v>4629</v>
      </c>
      <c r="Q1252" s="116">
        <v>4688.95</v>
      </c>
      <c r="R1252">
        <v>304174</v>
      </c>
    </row>
    <row r="1253" spans="1:18" x14ac:dyDescent="0.25">
      <c r="A1253" s="170">
        <v>44477</v>
      </c>
      <c r="B1253" s="116">
        <v>4830.3999999999996</v>
      </c>
      <c r="C1253" s="116">
        <v>4778.6499999999996</v>
      </c>
      <c r="D1253" s="116">
        <v>4612.1000000000004</v>
      </c>
      <c r="E1253" s="116">
        <v>4740</v>
      </c>
      <c r="F1253" s="116">
        <v>4778.6499999999996</v>
      </c>
      <c r="G1253">
        <v>11452</v>
      </c>
      <c r="H1253" s="116"/>
      <c r="I1253" s="116"/>
      <c r="L1253" s="170">
        <v>44477</v>
      </c>
      <c r="M1253" s="116">
        <v>4785.3</v>
      </c>
      <c r="N1253" s="116">
        <v>4834.8999999999996</v>
      </c>
      <c r="O1253" s="116">
        <v>4688</v>
      </c>
      <c r="P1253" s="116">
        <v>4727</v>
      </c>
      <c r="Q1253" s="116">
        <v>4785.3</v>
      </c>
      <c r="R1253">
        <v>327843</v>
      </c>
    </row>
    <row r="1254" spans="1:18" x14ac:dyDescent="0.25">
      <c r="A1254" s="170">
        <v>44480</v>
      </c>
      <c r="B1254" s="116">
        <v>4783.25</v>
      </c>
      <c r="C1254" s="116">
        <v>4686.05</v>
      </c>
      <c r="D1254" s="116">
        <v>4490.6499999999996</v>
      </c>
      <c r="E1254" s="116">
        <v>4783.25</v>
      </c>
      <c r="F1254" s="116">
        <v>4686.05</v>
      </c>
      <c r="G1254">
        <v>14178</v>
      </c>
      <c r="H1254" s="116"/>
      <c r="I1254" s="116"/>
      <c r="L1254" s="170">
        <v>44480</v>
      </c>
      <c r="M1254" s="116">
        <v>4688.1499999999996</v>
      </c>
      <c r="N1254" s="116">
        <v>4760</v>
      </c>
      <c r="O1254" s="116">
        <v>4490</v>
      </c>
      <c r="P1254" s="116">
        <v>4750</v>
      </c>
      <c r="Q1254" s="116">
        <v>4688.1499999999996</v>
      </c>
      <c r="R1254">
        <v>365554</v>
      </c>
    </row>
    <row r="1255" spans="1:18" x14ac:dyDescent="0.25">
      <c r="A1255" s="170">
        <v>44481</v>
      </c>
      <c r="B1255" s="116">
        <v>4740.55</v>
      </c>
      <c r="C1255" s="116">
        <v>4614.45</v>
      </c>
      <c r="D1255" s="116">
        <v>4566.5</v>
      </c>
      <c r="E1255" s="116">
        <v>4715.95</v>
      </c>
      <c r="F1255" s="116">
        <v>4614.45</v>
      </c>
      <c r="G1255">
        <v>16543</v>
      </c>
      <c r="H1255" s="116"/>
      <c r="I1255" s="116"/>
      <c r="L1255" s="170">
        <v>44481</v>
      </c>
      <c r="M1255" s="116">
        <v>4615.3</v>
      </c>
      <c r="N1255" s="116">
        <v>4740.95</v>
      </c>
      <c r="O1255" s="116">
        <v>4565.1000000000004</v>
      </c>
      <c r="P1255" s="116">
        <v>4688</v>
      </c>
      <c r="Q1255" s="116">
        <v>4615.3</v>
      </c>
      <c r="R1255">
        <v>323312</v>
      </c>
    </row>
    <row r="1256" spans="1:18" x14ac:dyDescent="0.25">
      <c r="A1256" s="170">
        <v>44482</v>
      </c>
      <c r="B1256" s="116">
        <v>4700</v>
      </c>
      <c r="C1256" s="116">
        <v>4691.05</v>
      </c>
      <c r="D1256" s="116">
        <v>4619.6000000000004</v>
      </c>
      <c r="E1256" s="116">
        <v>4666.45</v>
      </c>
      <c r="F1256" s="116">
        <v>4691.05</v>
      </c>
      <c r="G1256">
        <v>3663</v>
      </c>
      <c r="H1256" s="116"/>
      <c r="I1256" s="116"/>
      <c r="L1256" s="170">
        <v>44482</v>
      </c>
      <c r="M1256" s="116">
        <v>4692.75</v>
      </c>
      <c r="N1256" s="116">
        <v>4702.8500000000004</v>
      </c>
      <c r="O1256" s="116">
        <v>4618.95</v>
      </c>
      <c r="P1256" s="116">
        <v>4634</v>
      </c>
      <c r="Q1256" s="116">
        <v>4692.75</v>
      </c>
      <c r="R1256">
        <v>157783</v>
      </c>
    </row>
    <row r="1257" spans="1:18" x14ac:dyDescent="0.25">
      <c r="A1257" s="170">
        <v>44483</v>
      </c>
      <c r="B1257" s="116">
        <v>4977.3500000000004</v>
      </c>
      <c r="C1257" s="116">
        <v>4818.7</v>
      </c>
      <c r="D1257" s="116">
        <v>4727.05</v>
      </c>
      <c r="E1257" s="116">
        <v>4800</v>
      </c>
      <c r="F1257" s="116">
        <v>4818.7</v>
      </c>
      <c r="G1257">
        <v>24799</v>
      </c>
      <c r="H1257" s="116"/>
      <c r="I1257" s="116"/>
      <c r="L1257" s="170">
        <v>44483</v>
      </c>
      <c r="M1257" s="116">
        <v>4817.05</v>
      </c>
      <c r="N1257" s="116">
        <v>4979.95</v>
      </c>
      <c r="O1257" s="116">
        <v>4722.8500000000004</v>
      </c>
      <c r="P1257" s="116">
        <v>4801</v>
      </c>
      <c r="Q1257" s="116">
        <v>4817.05</v>
      </c>
      <c r="R1257">
        <v>648320</v>
      </c>
    </row>
    <row r="1258" spans="1:18" x14ac:dyDescent="0.25">
      <c r="A1258" s="170">
        <v>44487</v>
      </c>
      <c r="B1258" s="116">
        <v>4989.3999999999996</v>
      </c>
      <c r="C1258" s="116">
        <v>4854.8500000000004</v>
      </c>
      <c r="D1258" s="116">
        <v>4802.5</v>
      </c>
      <c r="E1258" s="116">
        <v>4860</v>
      </c>
      <c r="F1258" s="116">
        <v>4854.8500000000004</v>
      </c>
      <c r="G1258">
        <v>19193</v>
      </c>
      <c r="H1258" s="116"/>
      <c r="I1258" s="116"/>
      <c r="L1258" s="170">
        <v>44487</v>
      </c>
      <c r="M1258" s="116">
        <v>4851.6499999999996</v>
      </c>
      <c r="N1258" s="116">
        <v>4990.5</v>
      </c>
      <c r="O1258" s="116">
        <v>4800</v>
      </c>
      <c r="P1258" s="116">
        <v>4900</v>
      </c>
      <c r="Q1258" s="116">
        <v>4851.6499999999996</v>
      </c>
      <c r="R1258">
        <v>316877</v>
      </c>
    </row>
    <row r="1259" spans="1:18" x14ac:dyDescent="0.25">
      <c r="A1259" s="170">
        <v>44488</v>
      </c>
      <c r="B1259" s="116">
        <v>5469.2</v>
      </c>
      <c r="C1259" s="116">
        <v>5123.3999999999996</v>
      </c>
      <c r="D1259" s="116">
        <v>4990.3999999999996</v>
      </c>
      <c r="E1259" s="116">
        <v>5000</v>
      </c>
      <c r="F1259" s="116">
        <v>5123.3999999999996</v>
      </c>
      <c r="G1259">
        <v>97772</v>
      </c>
      <c r="H1259" s="116"/>
      <c r="I1259" s="116"/>
      <c r="L1259" s="170">
        <v>44488</v>
      </c>
      <c r="M1259" s="116">
        <v>5131.5</v>
      </c>
      <c r="N1259" s="116">
        <v>5548.7</v>
      </c>
      <c r="O1259" s="116">
        <v>4992.5</v>
      </c>
      <c r="P1259" s="116">
        <v>5045</v>
      </c>
      <c r="Q1259" s="116">
        <v>5131.5</v>
      </c>
      <c r="R1259">
        <v>1853899</v>
      </c>
    </row>
    <row r="1260" spans="1:18" x14ac:dyDescent="0.25">
      <c r="A1260" s="170">
        <v>44489</v>
      </c>
      <c r="B1260" s="116">
        <v>5405</v>
      </c>
      <c r="C1260" s="116">
        <v>4957.75</v>
      </c>
      <c r="D1260" s="116">
        <v>4635.6499999999996</v>
      </c>
      <c r="E1260" s="116">
        <v>5405</v>
      </c>
      <c r="F1260" s="116">
        <v>4957.75</v>
      </c>
      <c r="G1260">
        <v>92068</v>
      </c>
      <c r="H1260" s="116"/>
      <c r="I1260" s="116"/>
      <c r="L1260" s="170">
        <v>44489</v>
      </c>
      <c r="M1260" s="116">
        <v>4953.3</v>
      </c>
      <c r="N1260" s="116">
        <v>5374</v>
      </c>
      <c r="O1260" s="116">
        <v>4623.25</v>
      </c>
      <c r="P1260" s="116">
        <v>5374</v>
      </c>
      <c r="Q1260" s="116">
        <v>4953.3</v>
      </c>
      <c r="R1260">
        <v>1934946</v>
      </c>
    </row>
    <row r="1261" spans="1:18" x14ac:dyDescent="0.25">
      <c r="A1261" s="170">
        <v>44490</v>
      </c>
      <c r="B1261" s="116">
        <v>5040.1499999999996</v>
      </c>
      <c r="C1261" s="116">
        <v>4730.95</v>
      </c>
      <c r="D1261" s="116">
        <v>4577.05</v>
      </c>
      <c r="E1261" s="116">
        <v>5025</v>
      </c>
      <c r="F1261" s="116">
        <v>4730.95</v>
      </c>
      <c r="G1261">
        <v>73293</v>
      </c>
      <c r="H1261" s="116"/>
      <c r="I1261" s="116"/>
      <c r="L1261" s="170">
        <v>44490</v>
      </c>
      <c r="M1261" s="116">
        <v>4726.2</v>
      </c>
      <c r="N1261" s="116">
        <v>5052</v>
      </c>
      <c r="O1261" s="116">
        <v>4575</v>
      </c>
      <c r="P1261" s="116">
        <v>4998.8999999999996</v>
      </c>
      <c r="Q1261" s="116">
        <v>4726.2</v>
      </c>
      <c r="R1261">
        <v>831845</v>
      </c>
    </row>
    <row r="1262" spans="1:18" x14ac:dyDescent="0.25">
      <c r="A1262" s="170">
        <v>44491</v>
      </c>
      <c r="B1262" s="116">
        <v>4859.1499999999996</v>
      </c>
      <c r="C1262" s="116">
        <v>4577.8</v>
      </c>
      <c r="D1262" s="116">
        <v>4550</v>
      </c>
      <c r="E1262" s="116">
        <v>4819</v>
      </c>
      <c r="F1262" s="116">
        <v>4577.8</v>
      </c>
      <c r="G1262">
        <v>40934</v>
      </c>
      <c r="H1262" s="116"/>
      <c r="I1262" s="116"/>
      <c r="L1262" s="170">
        <v>44491</v>
      </c>
      <c r="M1262" s="116">
        <v>4577.95</v>
      </c>
      <c r="N1262" s="116">
        <v>4860</v>
      </c>
      <c r="O1262" s="116">
        <v>4550</v>
      </c>
      <c r="P1262" s="116">
        <v>4751.2</v>
      </c>
      <c r="Q1262" s="116">
        <v>4577.95</v>
      </c>
      <c r="R1262">
        <v>487137</v>
      </c>
    </row>
    <row r="1263" spans="1:18" x14ac:dyDescent="0.25">
      <c r="A1263" s="170">
        <v>44494</v>
      </c>
      <c r="B1263" s="116">
        <v>4609.7</v>
      </c>
      <c r="C1263" s="116">
        <v>4519.95</v>
      </c>
      <c r="D1263" s="116">
        <v>4335.1000000000004</v>
      </c>
      <c r="E1263" s="116">
        <v>4585</v>
      </c>
      <c r="F1263" s="116">
        <v>4519.95</v>
      </c>
      <c r="G1263">
        <v>15019</v>
      </c>
      <c r="H1263" s="116"/>
      <c r="I1263" s="116"/>
      <c r="L1263" s="170">
        <v>44494</v>
      </c>
      <c r="M1263" s="116">
        <v>4523.05</v>
      </c>
      <c r="N1263" s="116">
        <v>4613</v>
      </c>
      <c r="O1263" s="116">
        <v>4335</v>
      </c>
      <c r="P1263" s="116">
        <v>4613</v>
      </c>
      <c r="Q1263" s="116">
        <v>4523.05</v>
      </c>
      <c r="R1263">
        <v>403898</v>
      </c>
    </row>
    <row r="1264" spans="1:18" x14ac:dyDescent="0.25">
      <c r="A1264" s="170">
        <v>44495</v>
      </c>
      <c r="B1264" s="116">
        <v>4708.75</v>
      </c>
      <c r="C1264" s="116">
        <v>4564.8999999999996</v>
      </c>
      <c r="D1264" s="116">
        <v>4491.05</v>
      </c>
      <c r="E1264" s="116">
        <v>4536</v>
      </c>
      <c r="F1264" s="116">
        <v>4564.8999999999996</v>
      </c>
      <c r="G1264">
        <v>19639</v>
      </c>
      <c r="H1264" s="116"/>
      <c r="I1264" s="116"/>
      <c r="L1264" s="170">
        <v>44495</v>
      </c>
      <c r="M1264" s="116">
        <v>4564.8500000000004</v>
      </c>
      <c r="N1264" s="116">
        <v>4715</v>
      </c>
      <c r="O1264" s="116">
        <v>4487.2</v>
      </c>
      <c r="P1264" s="116">
        <v>4535.8</v>
      </c>
      <c r="Q1264" s="116">
        <v>4564.8500000000004</v>
      </c>
      <c r="R1264">
        <v>428624</v>
      </c>
    </row>
    <row r="1265" spans="1:18" x14ac:dyDescent="0.25">
      <c r="A1265" s="170">
        <v>44496</v>
      </c>
      <c r="B1265" s="116">
        <v>4728.3</v>
      </c>
      <c r="C1265" s="116">
        <v>4693.7</v>
      </c>
      <c r="D1265" s="116">
        <v>4570</v>
      </c>
      <c r="E1265" s="116">
        <v>4570</v>
      </c>
      <c r="F1265" s="116">
        <v>4693.7</v>
      </c>
      <c r="G1265">
        <v>9227</v>
      </c>
      <c r="H1265" s="116"/>
      <c r="I1265" s="116"/>
      <c r="L1265" s="170">
        <v>44496</v>
      </c>
      <c r="M1265" s="116">
        <v>4695</v>
      </c>
      <c r="N1265" s="116">
        <v>4727.8500000000004</v>
      </c>
      <c r="O1265" s="116">
        <v>4570.05</v>
      </c>
      <c r="P1265" s="116">
        <v>4588.8999999999996</v>
      </c>
      <c r="Q1265" s="116">
        <v>4695</v>
      </c>
      <c r="R1265">
        <v>263228</v>
      </c>
    </row>
    <row r="1266" spans="1:18" x14ac:dyDescent="0.25">
      <c r="A1266" s="170">
        <v>44497</v>
      </c>
      <c r="B1266" s="116">
        <v>4752</v>
      </c>
      <c r="C1266" s="116">
        <v>4682.95</v>
      </c>
      <c r="D1266" s="116">
        <v>4626.1000000000004</v>
      </c>
      <c r="E1266" s="116">
        <v>4702</v>
      </c>
      <c r="F1266" s="116">
        <v>4682.95</v>
      </c>
      <c r="G1266">
        <v>15184</v>
      </c>
      <c r="H1266" s="116"/>
      <c r="I1266" s="116"/>
      <c r="L1266" s="170">
        <v>44497</v>
      </c>
      <c r="M1266" s="116">
        <v>4661.8999999999996</v>
      </c>
      <c r="N1266" s="116">
        <v>4757</v>
      </c>
      <c r="O1266" s="116">
        <v>4625.05</v>
      </c>
      <c r="P1266" s="116">
        <v>4718.3999999999996</v>
      </c>
      <c r="Q1266" s="116">
        <v>4661.8999999999996</v>
      </c>
      <c r="R1266">
        <v>354147</v>
      </c>
    </row>
    <row r="1267" spans="1:18" x14ac:dyDescent="0.25">
      <c r="A1267" s="170">
        <v>44498</v>
      </c>
      <c r="B1267" s="116">
        <v>4743.8</v>
      </c>
      <c r="C1267" s="116">
        <v>4721.8</v>
      </c>
      <c r="D1267" s="116">
        <v>4540.05</v>
      </c>
      <c r="E1267" s="116">
        <v>4660</v>
      </c>
      <c r="F1267" s="116">
        <v>4721.8</v>
      </c>
      <c r="G1267">
        <v>16640</v>
      </c>
      <c r="H1267" s="116"/>
      <c r="I1267" s="116"/>
      <c r="L1267" s="170">
        <v>44498</v>
      </c>
      <c r="M1267" s="116">
        <v>4725</v>
      </c>
      <c r="N1267" s="116">
        <v>4747.8500000000004</v>
      </c>
      <c r="O1267" s="116">
        <v>4540</v>
      </c>
      <c r="P1267" s="116">
        <v>4628</v>
      </c>
      <c r="Q1267" s="116">
        <v>4725</v>
      </c>
      <c r="R1267">
        <v>275124</v>
      </c>
    </row>
    <row r="1268" spans="1:18" x14ac:dyDescent="0.25">
      <c r="A1268" s="170">
        <v>44501</v>
      </c>
      <c r="B1268" s="116">
        <v>4931.45</v>
      </c>
      <c r="C1268" s="116">
        <v>4917.3999999999996</v>
      </c>
      <c r="D1268" s="116">
        <v>4725</v>
      </c>
      <c r="E1268" s="116">
        <v>4725</v>
      </c>
      <c r="F1268" s="116">
        <v>4917.3999999999996</v>
      </c>
      <c r="G1268">
        <v>9971</v>
      </c>
      <c r="H1268" s="116"/>
      <c r="I1268" s="116"/>
      <c r="L1268" s="170">
        <v>44501</v>
      </c>
      <c r="M1268" s="116">
        <v>4903.1000000000004</v>
      </c>
      <c r="N1268" s="116">
        <v>4928</v>
      </c>
      <c r="O1268" s="116">
        <v>4726.05</v>
      </c>
      <c r="P1268" s="116">
        <v>4730</v>
      </c>
      <c r="Q1268" s="116">
        <v>4903.1000000000004</v>
      </c>
      <c r="R1268">
        <v>322563</v>
      </c>
    </row>
    <row r="1269" spans="1:18" x14ac:dyDescent="0.25">
      <c r="A1269" s="170">
        <v>44502</v>
      </c>
      <c r="B1269" s="116">
        <v>4970</v>
      </c>
      <c r="C1269" s="116">
        <v>4915.2</v>
      </c>
      <c r="D1269" s="116">
        <v>4851.8500000000004</v>
      </c>
      <c r="E1269" s="116">
        <v>4935.6000000000004</v>
      </c>
      <c r="F1269" s="116">
        <v>4915.2</v>
      </c>
      <c r="G1269">
        <v>15192</v>
      </c>
      <c r="H1269" s="116"/>
      <c r="I1269" s="116"/>
      <c r="L1269" s="170">
        <v>44502</v>
      </c>
      <c r="M1269" s="116">
        <v>4911.05</v>
      </c>
      <c r="N1269" s="116">
        <v>4973.2</v>
      </c>
      <c r="O1269" s="116">
        <v>4853.3999999999996</v>
      </c>
      <c r="P1269" s="116">
        <v>4906.7</v>
      </c>
      <c r="Q1269" s="116">
        <v>4911.05</v>
      </c>
      <c r="R1269">
        <v>232721</v>
      </c>
    </row>
    <row r="1270" spans="1:18" x14ac:dyDescent="0.25">
      <c r="A1270" s="170">
        <v>44503</v>
      </c>
      <c r="B1270" s="116">
        <v>4990</v>
      </c>
      <c r="C1270" s="116">
        <v>4972.45</v>
      </c>
      <c r="D1270" s="116">
        <v>4869.7</v>
      </c>
      <c r="E1270" s="116">
        <v>4961.3</v>
      </c>
      <c r="F1270" s="116">
        <v>4972.45</v>
      </c>
      <c r="G1270">
        <v>14298</v>
      </c>
      <c r="H1270" s="116"/>
      <c r="I1270" s="116"/>
      <c r="L1270" s="170">
        <v>44503</v>
      </c>
      <c r="M1270" s="116">
        <v>4976.1499999999996</v>
      </c>
      <c r="N1270" s="116">
        <v>4994</v>
      </c>
      <c r="O1270" s="116">
        <v>4870</v>
      </c>
      <c r="P1270" s="116">
        <v>4926.8</v>
      </c>
      <c r="Q1270" s="116">
        <v>4976.1499999999996</v>
      </c>
      <c r="R1270">
        <v>205386</v>
      </c>
    </row>
    <row r="1271" spans="1:18" x14ac:dyDescent="0.25">
      <c r="A1271" s="170">
        <v>44504</v>
      </c>
      <c r="B1271" s="116">
        <v>5029.8999999999996</v>
      </c>
      <c r="C1271" s="116">
        <v>5014.3</v>
      </c>
      <c r="D1271" s="116">
        <v>4999.95</v>
      </c>
      <c r="E1271" s="116">
        <v>5015</v>
      </c>
      <c r="F1271" s="116">
        <v>5014.3</v>
      </c>
      <c r="G1271">
        <v>2593</v>
      </c>
      <c r="H1271" s="116"/>
      <c r="I1271" s="116"/>
      <c r="L1271" s="170">
        <v>44504</v>
      </c>
      <c r="M1271" s="116">
        <v>5012.2</v>
      </c>
      <c r="N1271" s="116">
        <v>5035.45</v>
      </c>
      <c r="O1271" s="116">
        <v>4992</v>
      </c>
      <c r="P1271" s="116">
        <v>4992</v>
      </c>
      <c r="Q1271" s="116">
        <v>5012.2</v>
      </c>
      <c r="R1271">
        <v>50152</v>
      </c>
    </row>
    <row r="1272" spans="1:18" x14ac:dyDescent="0.25">
      <c r="A1272" s="170">
        <v>44508</v>
      </c>
      <c r="B1272" s="116">
        <v>5135</v>
      </c>
      <c r="C1272" s="116">
        <v>5076.1000000000004</v>
      </c>
      <c r="D1272" s="116">
        <v>4979.3500000000004</v>
      </c>
      <c r="E1272" s="116">
        <v>5013</v>
      </c>
      <c r="F1272" s="116">
        <v>5076.1000000000004</v>
      </c>
      <c r="G1272">
        <v>17711</v>
      </c>
      <c r="H1272" s="116"/>
      <c r="I1272" s="116"/>
      <c r="L1272" s="170">
        <v>44508</v>
      </c>
      <c r="M1272" s="116">
        <v>5078.3999999999996</v>
      </c>
      <c r="N1272" s="116">
        <v>5139</v>
      </c>
      <c r="O1272" s="116">
        <v>4982.1499999999996</v>
      </c>
      <c r="P1272" s="116">
        <v>5029</v>
      </c>
      <c r="Q1272" s="116">
        <v>5078.3999999999996</v>
      </c>
      <c r="R1272">
        <v>252376</v>
      </c>
    </row>
    <row r="1273" spans="1:18" x14ac:dyDescent="0.25">
      <c r="A1273" s="170">
        <v>44509</v>
      </c>
      <c r="B1273" s="116">
        <v>5148.3</v>
      </c>
      <c r="C1273" s="116">
        <v>5089.45</v>
      </c>
      <c r="D1273" s="116">
        <v>5068.2</v>
      </c>
      <c r="E1273" s="116">
        <v>5125</v>
      </c>
      <c r="F1273" s="116">
        <v>5089.45</v>
      </c>
      <c r="G1273">
        <v>7779</v>
      </c>
      <c r="H1273" s="116"/>
      <c r="I1273" s="116"/>
      <c r="L1273" s="170">
        <v>44509</v>
      </c>
      <c r="M1273" s="116">
        <v>5093.6499999999996</v>
      </c>
      <c r="N1273" s="116">
        <v>5149</v>
      </c>
      <c r="O1273" s="116">
        <v>5066</v>
      </c>
      <c r="P1273" s="116">
        <v>5100</v>
      </c>
      <c r="Q1273" s="116">
        <v>5093.6499999999996</v>
      </c>
      <c r="R1273">
        <v>158462</v>
      </c>
    </row>
    <row r="1274" spans="1:18" x14ac:dyDescent="0.25">
      <c r="A1274" s="170">
        <v>44510</v>
      </c>
      <c r="B1274" s="116">
        <v>5139.05</v>
      </c>
      <c r="C1274" s="116">
        <v>5093.95</v>
      </c>
      <c r="D1274" s="116">
        <v>5053.3999999999996</v>
      </c>
      <c r="E1274" s="116">
        <v>5083.1499999999996</v>
      </c>
      <c r="F1274" s="116">
        <v>5093.95</v>
      </c>
      <c r="G1274">
        <v>4261</v>
      </c>
      <c r="H1274" s="116"/>
      <c r="I1274" s="116"/>
      <c r="L1274" s="170">
        <v>44510</v>
      </c>
      <c r="M1274" s="116">
        <v>5092.95</v>
      </c>
      <c r="N1274" s="116">
        <v>5138.3999999999996</v>
      </c>
      <c r="O1274" s="116">
        <v>5050.05</v>
      </c>
      <c r="P1274" s="116">
        <v>5075</v>
      </c>
      <c r="Q1274" s="116">
        <v>5092.95</v>
      </c>
      <c r="R1274">
        <v>131704</v>
      </c>
    </row>
    <row r="1275" spans="1:18" x14ac:dyDescent="0.25">
      <c r="A1275" s="170">
        <v>44511</v>
      </c>
      <c r="B1275" s="116">
        <v>5215</v>
      </c>
      <c r="C1275" s="116">
        <v>5167.8999999999996</v>
      </c>
      <c r="D1275" s="116">
        <v>5014</v>
      </c>
      <c r="E1275" s="116">
        <v>5140.6000000000004</v>
      </c>
      <c r="F1275" s="116">
        <v>5167.8999999999996</v>
      </c>
      <c r="G1275">
        <v>14065</v>
      </c>
      <c r="H1275" s="116"/>
      <c r="I1275" s="116"/>
      <c r="L1275" s="170">
        <v>44511</v>
      </c>
      <c r="M1275" s="116">
        <v>5170.75</v>
      </c>
      <c r="N1275" s="116">
        <v>5221</v>
      </c>
      <c r="O1275" s="116">
        <v>5014</v>
      </c>
      <c r="P1275" s="116">
        <v>5105.6000000000004</v>
      </c>
      <c r="Q1275" s="116">
        <v>5170.75</v>
      </c>
      <c r="R1275">
        <v>175035</v>
      </c>
    </row>
    <row r="1276" spans="1:18" x14ac:dyDescent="0.25">
      <c r="A1276" s="170">
        <v>44512</v>
      </c>
      <c r="B1276" s="116">
        <v>5314.6</v>
      </c>
      <c r="C1276" s="116">
        <v>5285.6</v>
      </c>
      <c r="D1276" s="116">
        <v>5156</v>
      </c>
      <c r="E1276" s="116">
        <v>5200</v>
      </c>
      <c r="F1276" s="116">
        <v>5285.6</v>
      </c>
      <c r="G1276">
        <v>14627</v>
      </c>
      <c r="H1276" s="116"/>
      <c r="I1276" s="116"/>
      <c r="L1276" s="170">
        <v>44512</v>
      </c>
      <c r="M1276" s="116">
        <v>5288.95</v>
      </c>
      <c r="N1276" s="116">
        <v>5317.7</v>
      </c>
      <c r="O1276" s="116">
        <v>5152</v>
      </c>
      <c r="P1276" s="116">
        <v>5220</v>
      </c>
      <c r="Q1276" s="116">
        <v>5288.95</v>
      </c>
      <c r="R1276">
        <v>311067</v>
      </c>
    </row>
    <row r="1277" spans="1:18" x14ac:dyDescent="0.25">
      <c r="A1277" s="170">
        <v>44515</v>
      </c>
      <c r="B1277" s="116">
        <v>5340</v>
      </c>
      <c r="C1277" s="116">
        <v>5318.3</v>
      </c>
      <c r="D1277" s="116">
        <v>5238.3999999999996</v>
      </c>
      <c r="E1277" s="116">
        <v>5290</v>
      </c>
      <c r="F1277" s="116">
        <v>5318.3</v>
      </c>
      <c r="G1277">
        <v>10283</v>
      </c>
      <c r="H1277" s="116"/>
      <c r="I1277" s="116"/>
      <c r="L1277" s="170">
        <v>44515</v>
      </c>
      <c r="M1277" s="116">
        <v>5325.3</v>
      </c>
      <c r="N1277" s="116">
        <v>5342.5</v>
      </c>
      <c r="O1277" s="116">
        <v>5240</v>
      </c>
      <c r="P1277" s="116">
        <v>5275</v>
      </c>
      <c r="Q1277" s="116">
        <v>5325.3</v>
      </c>
      <c r="R1277">
        <v>203618</v>
      </c>
    </row>
    <row r="1278" spans="1:18" x14ac:dyDescent="0.25">
      <c r="A1278" s="170">
        <v>44516</v>
      </c>
      <c r="B1278" s="116">
        <v>5427</v>
      </c>
      <c r="C1278" s="116">
        <v>5369.2</v>
      </c>
      <c r="D1278" s="116">
        <v>5315.65</v>
      </c>
      <c r="E1278" s="116">
        <v>5355</v>
      </c>
      <c r="F1278" s="116">
        <v>5369.2</v>
      </c>
      <c r="G1278">
        <v>13967</v>
      </c>
      <c r="H1278" s="116"/>
      <c r="I1278" s="116"/>
      <c r="L1278" s="170">
        <v>44516</v>
      </c>
      <c r="M1278" s="116">
        <v>5367</v>
      </c>
      <c r="N1278" s="116">
        <v>5428.7</v>
      </c>
      <c r="O1278" s="116">
        <v>5311</v>
      </c>
      <c r="P1278" s="116">
        <v>5328</v>
      </c>
      <c r="Q1278" s="116">
        <v>5367</v>
      </c>
      <c r="R1278">
        <v>292581</v>
      </c>
    </row>
    <row r="1279" spans="1:18" x14ac:dyDescent="0.25">
      <c r="A1279" s="170">
        <v>44517</v>
      </c>
      <c r="B1279" s="116">
        <v>5741.6</v>
      </c>
      <c r="C1279" s="116">
        <v>5676.5</v>
      </c>
      <c r="D1279" s="116">
        <v>5369.2</v>
      </c>
      <c r="E1279" s="116">
        <v>5369.2</v>
      </c>
      <c r="F1279" s="116">
        <v>5676.5</v>
      </c>
      <c r="G1279">
        <v>47305</v>
      </c>
      <c r="H1279" s="116"/>
      <c r="I1279" s="116"/>
      <c r="L1279" s="170">
        <v>44517</v>
      </c>
      <c r="M1279" s="116">
        <v>5675.5</v>
      </c>
      <c r="N1279" s="116">
        <v>5744.3</v>
      </c>
      <c r="O1279" s="116">
        <v>5352</v>
      </c>
      <c r="P1279" s="116">
        <v>5360</v>
      </c>
      <c r="Q1279" s="116">
        <v>5675.5</v>
      </c>
      <c r="R1279">
        <v>706241</v>
      </c>
    </row>
    <row r="1280" spans="1:18" x14ac:dyDescent="0.25">
      <c r="A1280" s="170">
        <v>44518</v>
      </c>
      <c r="B1280" s="116">
        <v>5819.2</v>
      </c>
      <c r="C1280" s="116">
        <v>5615.45</v>
      </c>
      <c r="D1280" s="116">
        <v>5481.4</v>
      </c>
      <c r="E1280" s="116">
        <v>5691</v>
      </c>
      <c r="F1280" s="116">
        <v>5615.45</v>
      </c>
      <c r="G1280">
        <v>33511</v>
      </c>
      <c r="H1280" s="116"/>
      <c r="I1280" s="116"/>
      <c r="L1280" s="170">
        <v>44518</v>
      </c>
      <c r="M1280" s="116">
        <v>5617.6</v>
      </c>
      <c r="N1280" s="116">
        <v>5820.8</v>
      </c>
      <c r="O1280" s="116">
        <v>5480</v>
      </c>
      <c r="P1280" s="116">
        <v>5725</v>
      </c>
      <c r="Q1280" s="116">
        <v>5617.6</v>
      </c>
      <c r="R1280">
        <v>644212</v>
      </c>
    </row>
    <row r="1281" spans="1:18" x14ac:dyDescent="0.25">
      <c r="A1281" s="170">
        <v>44522</v>
      </c>
      <c r="B1281" s="116">
        <v>5649</v>
      </c>
      <c r="C1281" s="116">
        <v>5344.9</v>
      </c>
      <c r="D1281" s="116">
        <v>5283</v>
      </c>
      <c r="E1281" s="116">
        <v>5649</v>
      </c>
      <c r="F1281" s="116">
        <v>5344.9</v>
      </c>
      <c r="G1281">
        <v>16969</v>
      </c>
      <c r="H1281" s="116"/>
      <c r="I1281" s="116"/>
      <c r="L1281" s="170">
        <v>44522</v>
      </c>
      <c r="M1281" s="116">
        <v>5348.45</v>
      </c>
      <c r="N1281" s="116">
        <v>5606</v>
      </c>
      <c r="O1281" s="116">
        <v>5281</v>
      </c>
      <c r="P1281" s="116">
        <v>5606</v>
      </c>
      <c r="Q1281" s="116">
        <v>5348.45</v>
      </c>
      <c r="R1281">
        <v>367769</v>
      </c>
    </row>
    <row r="1282" spans="1:18" x14ac:dyDescent="0.25">
      <c r="A1282" s="170">
        <v>44523</v>
      </c>
      <c r="B1282" s="116">
        <v>5435</v>
      </c>
      <c r="C1282" s="116">
        <v>5367.2</v>
      </c>
      <c r="D1282" s="116">
        <v>5118.3999999999996</v>
      </c>
      <c r="E1282" s="116">
        <v>5340</v>
      </c>
      <c r="F1282" s="116">
        <v>5367.2</v>
      </c>
      <c r="G1282">
        <v>12761</v>
      </c>
      <c r="H1282" s="116"/>
      <c r="I1282" s="116"/>
      <c r="L1282" s="170">
        <v>44523</v>
      </c>
      <c r="M1282" s="116">
        <v>5377.45</v>
      </c>
      <c r="N1282" s="116">
        <v>5437</v>
      </c>
      <c r="O1282" s="116">
        <v>5112.5</v>
      </c>
      <c r="P1282" s="116">
        <v>5308</v>
      </c>
      <c r="Q1282" s="116">
        <v>5377.45</v>
      </c>
      <c r="R1282">
        <v>327770</v>
      </c>
    </row>
    <row r="1283" spans="1:18" x14ac:dyDescent="0.25">
      <c r="A1283" s="170">
        <v>44524</v>
      </c>
      <c r="B1283" s="116">
        <v>5465</v>
      </c>
      <c r="C1283" s="116">
        <v>5308.1</v>
      </c>
      <c r="D1283" s="116">
        <v>5221</v>
      </c>
      <c r="E1283" s="116">
        <v>5450</v>
      </c>
      <c r="F1283" s="116">
        <v>5308.1</v>
      </c>
      <c r="G1283">
        <v>9170</v>
      </c>
      <c r="H1283" s="116"/>
      <c r="I1283" s="116"/>
      <c r="L1283" s="170">
        <v>44524</v>
      </c>
      <c r="M1283" s="116">
        <v>5293.75</v>
      </c>
      <c r="N1283" s="116">
        <v>5488.8</v>
      </c>
      <c r="O1283" s="116">
        <v>5154.95</v>
      </c>
      <c r="P1283" s="116">
        <v>5443.2</v>
      </c>
      <c r="Q1283" s="116">
        <v>5293.75</v>
      </c>
      <c r="R1283">
        <v>194379</v>
      </c>
    </row>
    <row r="1284" spans="1:18" x14ac:dyDescent="0.25">
      <c r="A1284" s="170">
        <v>44525</v>
      </c>
      <c r="B1284" s="116">
        <v>5381.85</v>
      </c>
      <c r="C1284" s="116">
        <v>5347.8</v>
      </c>
      <c r="D1284" s="116">
        <v>5199.05</v>
      </c>
      <c r="E1284" s="116">
        <v>5200</v>
      </c>
      <c r="F1284" s="116">
        <v>5347.8</v>
      </c>
      <c r="G1284">
        <v>14319</v>
      </c>
      <c r="H1284" s="116"/>
      <c r="I1284" s="116"/>
      <c r="L1284" s="170">
        <v>44525</v>
      </c>
      <c r="M1284" s="116">
        <v>5344.75</v>
      </c>
      <c r="N1284" s="116">
        <v>5389</v>
      </c>
      <c r="O1284" s="116">
        <v>5182</v>
      </c>
      <c r="P1284" s="116">
        <v>5210.1000000000004</v>
      </c>
      <c r="Q1284" s="116">
        <v>5344.75</v>
      </c>
      <c r="R1284">
        <v>230723</v>
      </c>
    </row>
    <row r="1285" spans="1:18" x14ac:dyDescent="0.25">
      <c r="A1285" s="170">
        <v>44526</v>
      </c>
      <c r="B1285" s="116">
        <v>5344</v>
      </c>
      <c r="C1285" s="116">
        <v>5275.65</v>
      </c>
      <c r="D1285" s="116">
        <v>5201.55</v>
      </c>
      <c r="E1285" s="116">
        <v>5344</v>
      </c>
      <c r="F1285" s="116">
        <v>5275.65</v>
      </c>
      <c r="G1285">
        <v>16790</v>
      </c>
      <c r="H1285" s="116"/>
      <c r="I1285" s="116"/>
      <c r="L1285" s="170">
        <v>44526</v>
      </c>
      <c r="M1285" s="116">
        <v>5281.1</v>
      </c>
      <c r="N1285" s="116">
        <v>5325</v>
      </c>
      <c r="O1285" s="116">
        <v>5201.1000000000004</v>
      </c>
      <c r="P1285" s="116">
        <v>5315</v>
      </c>
      <c r="Q1285" s="116">
        <v>5281.1</v>
      </c>
      <c r="R1285">
        <v>296686</v>
      </c>
    </row>
    <row r="1286" spans="1:18" x14ac:dyDescent="0.25">
      <c r="A1286" s="170">
        <v>44529</v>
      </c>
      <c r="B1286" s="116">
        <v>5265</v>
      </c>
      <c r="C1286" s="116">
        <v>5202</v>
      </c>
      <c r="D1286" s="116">
        <v>5086.5</v>
      </c>
      <c r="E1286" s="116">
        <v>5235</v>
      </c>
      <c r="F1286" s="116">
        <v>5202</v>
      </c>
      <c r="G1286">
        <v>43574</v>
      </c>
      <c r="H1286" s="116"/>
      <c r="I1286" s="116"/>
      <c r="L1286" s="170">
        <v>44529</v>
      </c>
      <c r="M1286" s="116">
        <v>5201.25</v>
      </c>
      <c r="N1286" s="116">
        <v>5270</v>
      </c>
      <c r="O1286" s="116">
        <v>5085.8500000000004</v>
      </c>
      <c r="P1286" s="116">
        <v>5205.55</v>
      </c>
      <c r="Q1286" s="116">
        <v>5201.25</v>
      </c>
      <c r="R1286">
        <v>372867</v>
      </c>
    </row>
    <row r="1287" spans="1:18" x14ac:dyDescent="0.25">
      <c r="A1287" s="170">
        <v>44530</v>
      </c>
      <c r="B1287" s="116">
        <v>5449.95</v>
      </c>
      <c r="C1287" s="116">
        <v>5277.05</v>
      </c>
      <c r="D1287" s="116">
        <v>5205</v>
      </c>
      <c r="E1287" s="116">
        <v>5210</v>
      </c>
      <c r="F1287" s="116">
        <v>5277.05</v>
      </c>
      <c r="G1287">
        <v>15730</v>
      </c>
      <c r="H1287" s="116"/>
      <c r="I1287" s="116"/>
      <c r="L1287" s="170">
        <v>44530</v>
      </c>
      <c r="M1287" s="116">
        <v>5279.4</v>
      </c>
      <c r="N1287" s="116">
        <v>5451</v>
      </c>
      <c r="O1287" s="116">
        <v>5200.55</v>
      </c>
      <c r="P1287" s="116">
        <v>5240</v>
      </c>
      <c r="Q1287" s="116">
        <v>5279.4</v>
      </c>
      <c r="R1287">
        <v>435424</v>
      </c>
    </row>
    <row r="1288" spans="1:18" x14ac:dyDescent="0.25">
      <c r="A1288" s="170">
        <v>44531</v>
      </c>
      <c r="B1288" s="116">
        <v>5364.3</v>
      </c>
      <c r="C1288" s="116">
        <v>5351.35</v>
      </c>
      <c r="D1288" s="116">
        <v>5283</v>
      </c>
      <c r="E1288" s="116">
        <v>5320</v>
      </c>
      <c r="F1288" s="116">
        <v>5351.35</v>
      </c>
      <c r="G1288">
        <v>13038</v>
      </c>
      <c r="H1288" s="116"/>
      <c r="I1288" s="116"/>
      <c r="L1288" s="170">
        <v>44531</v>
      </c>
      <c r="M1288" s="116">
        <v>5353.65</v>
      </c>
      <c r="N1288" s="116">
        <v>5370</v>
      </c>
      <c r="O1288" s="116">
        <v>5282</v>
      </c>
      <c r="P1288" s="116">
        <v>5330</v>
      </c>
      <c r="Q1288" s="116">
        <v>5353.65</v>
      </c>
      <c r="R1288">
        <v>198481</v>
      </c>
    </row>
    <row r="1289" spans="1:18" x14ac:dyDescent="0.25">
      <c r="A1289" s="170">
        <v>44532</v>
      </c>
      <c r="B1289" s="116">
        <v>5545</v>
      </c>
      <c r="C1289" s="116">
        <v>5513.95</v>
      </c>
      <c r="D1289" s="116">
        <v>5317.8</v>
      </c>
      <c r="E1289" s="116">
        <v>5353.05</v>
      </c>
      <c r="F1289" s="116">
        <v>5513.95</v>
      </c>
      <c r="G1289">
        <v>10694</v>
      </c>
      <c r="H1289" s="116"/>
      <c r="I1289" s="116"/>
      <c r="L1289" s="170">
        <v>44532</v>
      </c>
      <c r="M1289" s="116">
        <v>5518.6</v>
      </c>
      <c r="N1289" s="116">
        <v>5532</v>
      </c>
      <c r="O1289" s="116">
        <v>5308.4</v>
      </c>
      <c r="P1289" s="116">
        <v>5345</v>
      </c>
      <c r="Q1289" s="116">
        <v>5518.6</v>
      </c>
      <c r="R1289">
        <v>268659</v>
      </c>
    </row>
    <row r="1290" spans="1:18" x14ac:dyDescent="0.25">
      <c r="A1290" s="170">
        <v>44533</v>
      </c>
      <c r="B1290" s="116">
        <v>5569</v>
      </c>
      <c r="C1290" s="116">
        <v>5420.45</v>
      </c>
      <c r="D1290" s="116">
        <v>5391.95</v>
      </c>
      <c r="E1290" s="116">
        <v>5534</v>
      </c>
      <c r="F1290" s="116">
        <v>5420.45</v>
      </c>
      <c r="G1290">
        <v>7340</v>
      </c>
      <c r="H1290" s="116"/>
      <c r="I1290" s="116"/>
      <c r="L1290" s="170">
        <v>44533</v>
      </c>
      <c r="M1290" s="116">
        <v>5415.6</v>
      </c>
      <c r="N1290" s="116">
        <v>5565.85</v>
      </c>
      <c r="O1290" s="116">
        <v>5395</v>
      </c>
      <c r="P1290" s="116">
        <v>5544</v>
      </c>
      <c r="Q1290" s="116">
        <v>5415.6</v>
      </c>
      <c r="R1290">
        <v>174503</v>
      </c>
    </row>
    <row r="1291" spans="1:18" x14ac:dyDescent="0.25">
      <c r="A1291" s="170">
        <v>44536</v>
      </c>
      <c r="B1291" s="116">
        <v>5442</v>
      </c>
      <c r="C1291" s="116">
        <v>5240.8</v>
      </c>
      <c r="D1291" s="116">
        <v>5225.1000000000004</v>
      </c>
      <c r="E1291" s="116">
        <v>5442</v>
      </c>
      <c r="F1291" s="116">
        <v>5240.8</v>
      </c>
      <c r="G1291">
        <v>12195</v>
      </c>
      <c r="H1291" s="116"/>
      <c r="I1291" s="116"/>
      <c r="L1291" s="170">
        <v>44536</v>
      </c>
      <c r="M1291" s="116">
        <v>5247.95</v>
      </c>
      <c r="N1291" s="116">
        <v>5436</v>
      </c>
      <c r="O1291" s="116">
        <v>5225</v>
      </c>
      <c r="P1291" s="116">
        <v>5429</v>
      </c>
      <c r="Q1291" s="116">
        <v>5247.95</v>
      </c>
      <c r="R1291">
        <v>180015</v>
      </c>
    </row>
    <row r="1292" spans="1:18" x14ac:dyDescent="0.25">
      <c r="A1292" s="170">
        <v>44537</v>
      </c>
      <c r="B1292" s="116">
        <v>5327.85</v>
      </c>
      <c r="C1292" s="116">
        <v>5267.3</v>
      </c>
      <c r="D1292" s="116">
        <v>5128.95</v>
      </c>
      <c r="E1292" s="116">
        <v>5277</v>
      </c>
      <c r="F1292" s="116">
        <v>5267.3</v>
      </c>
      <c r="G1292">
        <v>12150</v>
      </c>
      <c r="H1292" s="116"/>
      <c r="I1292" s="116"/>
      <c r="L1292" s="170">
        <v>44537</v>
      </c>
      <c r="M1292" s="116">
        <v>5262.55</v>
      </c>
      <c r="N1292" s="116">
        <v>5330</v>
      </c>
      <c r="O1292" s="116">
        <v>5126.55</v>
      </c>
      <c r="P1292" s="116">
        <v>5300</v>
      </c>
      <c r="Q1292" s="116">
        <v>5262.55</v>
      </c>
      <c r="R1292">
        <v>213119</v>
      </c>
    </row>
    <row r="1293" spans="1:18" x14ac:dyDescent="0.25">
      <c r="A1293" s="170">
        <v>44538</v>
      </c>
      <c r="B1293" s="116">
        <v>5458.4</v>
      </c>
      <c r="C1293" s="116">
        <v>5390.7</v>
      </c>
      <c r="D1293" s="116">
        <v>5317.85</v>
      </c>
      <c r="E1293" s="116">
        <v>5330</v>
      </c>
      <c r="F1293" s="116">
        <v>5390.7</v>
      </c>
      <c r="G1293">
        <v>16612</v>
      </c>
      <c r="H1293" s="116"/>
      <c r="I1293" s="116"/>
      <c r="L1293" s="170">
        <v>44538</v>
      </c>
      <c r="M1293" s="116">
        <v>5390.85</v>
      </c>
      <c r="N1293" s="116">
        <v>5464.45</v>
      </c>
      <c r="O1293" s="116">
        <v>5314.6</v>
      </c>
      <c r="P1293" s="116">
        <v>5325</v>
      </c>
      <c r="Q1293" s="116">
        <v>5390.85</v>
      </c>
      <c r="R1293">
        <v>241045</v>
      </c>
    </row>
    <row r="1294" spans="1:18" x14ac:dyDescent="0.25">
      <c r="A1294" s="170">
        <v>44539</v>
      </c>
      <c r="B1294" s="116">
        <v>5413.2</v>
      </c>
      <c r="C1294" s="116">
        <v>5382.75</v>
      </c>
      <c r="D1294" s="116">
        <v>5314</v>
      </c>
      <c r="E1294" s="116">
        <v>5409.4</v>
      </c>
      <c r="F1294" s="116">
        <v>5382.75</v>
      </c>
      <c r="G1294">
        <v>3994</v>
      </c>
      <c r="H1294" s="116"/>
      <c r="I1294" s="116"/>
      <c r="L1294" s="170">
        <v>44539</v>
      </c>
      <c r="M1294" s="116">
        <v>5384.6</v>
      </c>
      <c r="N1294" s="116">
        <v>5429</v>
      </c>
      <c r="O1294" s="116">
        <v>5310</v>
      </c>
      <c r="P1294" s="116">
        <v>5429</v>
      </c>
      <c r="Q1294" s="116">
        <v>5384.6</v>
      </c>
      <c r="R1294">
        <v>342004</v>
      </c>
    </row>
    <row r="1295" spans="1:18" x14ac:dyDescent="0.25">
      <c r="A1295" s="170">
        <v>44540</v>
      </c>
      <c r="B1295" s="116">
        <v>5384.6</v>
      </c>
      <c r="C1295" s="116">
        <v>5362.5</v>
      </c>
      <c r="D1295" s="116">
        <v>5242.95</v>
      </c>
      <c r="E1295" s="116">
        <v>5384.6</v>
      </c>
      <c r="F1295" s="116">
        <v>5362.5</v>
      </c>
      <c r="G1295">
        <v>7628</v>
      </c>
      <c r="H1295" s="116"/>
      <c r="I1295" s="116"/>
      <c r="L1295" s="170">
        <v>44540</v>
      </c>
      <c r="M1295" s="116">
        <v>5365.45</v>
      </c>
      <c r="N1295" s="116">
        <v>5409.8</v>
      </c>
      <c r="O1295" s="116">
        <v>5236.95</v>
      </c>
      <c r="P1295" s="116">
        <v>5380</v>
      </c>
      <c r="Q1295" s="116">
        <v>5365.45</v>
      </c>
      <c r="R1295">
        <v>151016</v>
      </c>
    </row>
    <row r="1296" spans="1:18" x14ac:dyDescent="0.25">
      <c r="A1296" s="170">
        <v>44543</v>
      </c>
      <c r="B1296" s="116">
        <v>5609.75</v>
      </c>
      <c r="C1296" s="116">
        <v>5476.1</v>
      </c>
      <c r="D1296" s="116">
        <v>5348.5</v>
      </c>
      <c r="E1296" s="116">
        <v>5425.7</v>
      </c>
      <c r="F1296" s="116">
        <v>5476.1</v>
      </c>
      <c r="G1296">
        <v>13263</v>
      </c>
      <c r="H1296" s="116"/>
      <c r="I1296" s="116"/>
      <c r="L1296" s="170">
        <v>44543</v>
      </c>
      <c r="M1296" s="116">
        <v>5476.75</v>
      </c>
      <c r="N1296" s="116">
        <v>5612</v>
      </c>
      <c r="O1296" s="116">
        <v>5353</v>
      </c>
      <c r="P1296" s="116">
        <v>5388</v>
      </c>
      <c r="Q1296" s="116">
        <v>5476.75</v>
      </c>
      <c r="R1296">
        <v>443586</v>
      </c>
    </row>
    <row r="1297" spans="1:18" x14ac:dyDescent="0.25">
      <c r="A1297" s="170">
        <v>44544</v>
      </c>
      <c r="B1297" s="116">
        <v>5531.95</v>
      </c>
      <c r="C1297" s="116">
        <v>5436.6</v>
      </c>
      <c r="D1297" s="116">
        <v>5394.5</v>
      </c>
      <c r="E1297" s="116">
        <v>5485</v>
      </c>
      <c r="F1297" s="116">
        <v>5436.6</v>
      </c>
      <c r="G1297">
        <v>5595</v>
      </c>
      <c r="H1297" s="116"/>
      <c r="I1297" s="116"/>
      <c r="L1297" s="170">
        <v>44544</v>
      </c>
      <c r="M1297" s="116">
        <v>5438.3</v>
      </c>
      <c r="N1297" s="116">
        <v>5537.85</v>
      </c>
      <c r="O1297" s="116">
        <v>5383.85</v>
      </c>
      <c r="P1297" s="116">
        <v>5476</v>
      </c>
      <c r="Q1297" s="116">
        <v>5438.3</v>
      </c>
      <c r="R1297">
        <v>219735</v>
      </c>
    </row>
    <row r="1298" spans="1:18" x14ac:dyDescent="0.25">
      <c r="A1298" s="170">
        <v>44545</v>
      </c>
      <c r="B1298" s="116">
        <v>5475.35</v>
      </c>
      <c r="C1298" s="116">
        <v>5426</v>
      </c>
      <c r="D1298" s="116">
        <v>5362.25</v>
      </c>
      <c r="E1298" s="116">
        <v>5451</v>
      </c>
      <c r="F1298" s="116">
        <v>5426</v>
      </c>
      <c r="G1298">
        <v>2688</v>
      </c>
      <c r="H1298" s="116"/>
      <c r="I1298" s="116"/>
      <c r="L1298" s="170">
        <v>44545</v>
      </c>
      <c r="M1298" s="116">
        <v>5418.75</v>
      </c>
      <c r="N1298" s="116">
        <v>5476.5</v>
      </c>
      <c r="O1298" s="116">
        <v>5363</v>
      </c>
      <c r="P1298" s="116">
        <v>5450</v>
      </c>
      <c r="Q1298" s="116">
        <v>5418.75</v>
      </c>
      <c r="R1298">
        <v>116463</v>
      </c>
    </row>
    <row r="1299" spans="1:18" x14ac:dyDescent="0.25">
      <c r="A1299" s="170">
        <v>44546</v>
      </c>
      <c r="B1299" s="116">
        <v>5570</v>
      </c>
      <c r="C1299" s="116">
        <v>5516.85</v>
      </c>
      <c r="D1299" s="116">
        <v>5428.05</v>
      </c>
      <c r="E1299" s="116">
        <v>5490</v>
      </c>
      <c r="F1299" s="116">
        <v>5516.85</v>
      </c>
      <c r="G1299">
        <v>14331</v>
      </c>
      <c r="H1299" s="116"/>
      <c r="I1299" s="116"/>
      <c r="L1299" s="170">
        <v>44546</v>
      </c>
      <c r="M1299" s="116">
        <v>5523</v>
      </c>
      <c r="N1299" s="116">
        <v>5572</v>
      </c>
      <c r="O1299" s="116">
        <v>5427.95</v>
      </c>
      <c r="P1299" s="116">
        <v>5472</v>
      </c>
      <c r="Q1299" s="116">
        <v>5523</v>
      </c>
      <c r="R1299">
        <v>304170</v>
      </c>
    </row>
    <row r="1300" spans="1:18" x14ac:dyDescent="0.25">
      <c r="A1300" s="170">
        <v>44547</v>
      </c>
      <c r="B1300" s="116">
        <v>5598</v>
      </c>
      <c r="C1300" s="116">
        <v>5465.8</v>
      </c>
      <c r="D1300" s="116">
        <v>5384</v>
      </c>
      <c r="E1300" s="116">
        <v>5521.1</v>
      </c>
      <c r="F1300" s="116">
        <v>5465.8</v>
      </c>
      <c r="G1300">
        <v>14213</v>
      </c>
      <c r="H1300" s="116"/>
      <c r="I1300" s="116"/>
      <c r="L1300" s="170">
        <v>44547</v>
      </c>
      <c r="M1300" s="116">
        <v>5458.15</v>
      </c>
      <c r="N1300" s="116">
        <v>5599</v>
      </c>
      <c r="O1300" s="116">
        <v>5377.55</v>
      </c>
      <c r="P1300" s="116">
        <v>5560</v>
      </c>
      <c r="Q1300" s="116">
        <v>5458.15</v>
      </c>
      <c r="R1300">
        <v>437088</v>
      </c>
    </row>
    <row r="1301" spans="1:18" x14ac:dyDescent="0.25">
      <c r="A1301" s="170">
        <v>44550</v>
      </c>
      <c r="B1301" s="116">
        <v>5405.85</v>
      </c>
      <c r="C1301" s="116">
        <v>5050.6499999999996</v>
      </c>
      <c r="D1301" s="116">
        <v>4989.2</v>
      </c>
      <c r="E1301" s="116">
        <v>5400.1</v>
      </c>
      <c r="F1301" s="116">
        <v>5050.6499999999996</v>
      </c>
      <c r="G1301">
        <v>35241</v>
      </c>
      <c r="H1301" s="116"/>
      <c r="I1301" s="116"/>
      <c r="L1301" s="170">
        <v>44550</v>
      </c>
      <c r="M1301" s="116">
        <v>5049.45</v>
      </c>
      <c r="N1301" s="116">
        <v>5414</v>
      </c>
      <c r="O1301" s="116">
        <v>4986.05</v>
      </c>
      <c r="P1301" s="116">
        <v>5414</v>
      </c>
      <c r="Q1301" s="116">
        <v>5049.45</v>
      </c>
      <c r="R1301">
        <v>487419</v>
      </c>
    </row>
    <row r="1302" spans="1:18" x14ac:dyDescent="0.25">
      <c r="A1302" s="170">
        <v>44551</v>
      </c>
      <c r="B1302" s="116">
        <v>5259.95</v>
      </c>
      <c r="C1302" s="116">
        <v>5218.6000000000004</v>
      </c>
      <c r="D1302" s="116">
        <v>5077.8500000000004</v>
      </c>
      <c r="E1302" s="116">
        <v>5140</v>
      </c>
      <c r="F1302" s="116">
        <v>5218.6000000000004</v>
      </c>
      <c r="G1302">
        <v>16734</v>
      </c>
      <c r="H1302" s="116"/>
      <c r="I1302" s="116"/>
      <c r="L1302" s="170">
        <v>44551</v>
      </c>
      <c r="M1302" s="116">
        <v>5213.95</v>
      </c>
      <c r="N1302" s="116">
        <v>5259.8</v>
      </c>
      <c r="O1302" s="116">
        <v>5079</v>
      </c>
      <c r="P1302" s="116">
        <v>5123.7</v>
      </c>
      <c r="Q1302" s="116">
        <v>5213.95</v>
      </c>
      <c r="R1302">
        <v>324497</v>
      </c>
    </row>
    <row r="1303" spans="1:18" x14ac:dyDescent="0.25">
      <c r="A1303" s="170">
        <v>44552</v>
      </c>
      <c r="B1303" s="116">
        <v>5342.9</v>
      </c>
      <c r="C1303" s="116">
        <v>5331.9</v>
      </c>
      <c r="D1303" s="116">
        <v>5241.05</v>
      </c>
      <c r="E1303" s="116">
        <v>5260.05</v>
      </c>
      <c r="F1303" s="116">
        <v>5331.9</v>
      </c>
      <c r="G1303">
        <v>10423</v>
      </c>
      <c r="H1303" s="116"/>
      <c r="I1303" s="116"/>
      <c r="L1303" s="170">
        <v>44552</v>
      </c>
      <c r="M1303" s="116">
        <v>5332.45</v>
      </c>
      <c r="N1303" s="116">
        <v>5342.95</v>
      </c>
      <c r="O1303" s="116">
        <v>5237.3999999999996</v>
      </c>
      <c r="P1303" s="116">
        <v>5270</v>
      </c>
      <c r="Q1303" s="116">
        <v>5332.45</v>
      </c>
      <c r="R1303">
        <v>205466</v>
      </c>
    </row>
    <row r="1304" spans="1:18" x14ac:dyDescent="0.25">
      <c r="A1304" s="170">
        <v>44553</v>
      </c>
      <c r="B1304" s="116">
        <v>5390</v>
      </c>
      <c r="C1304" s="116">
        <v>5313.25</v>
      </c>
      <c r="D1304" s="116">
        <v>5285</v>
      </c>
      <c r="E1304" s="116">
        <v>5375</v>
      </c>
      <c r="F1304" s="116">
        <v>5313.25</v>
      </c>
      <c r="G1304">
        <v>4057</v>
      </c>
      <c r="H1304" s="116"/>
      <c r="I1304" s="116"/>
      <c r="L1304" s="170">
        <v>44553</v>
      </c>
      <c r="M1304" s="116">
        <v>5314.65</v>
      </c>
      <c r="N1304" s="116">
        <v>5399.05</v>
      </c>
      <c r="O1304" s="116">
        <v>5280</v>
      </c>
      <c r="P1304" s="116">
        <v>5399.05</v>
      </c>
      <c r="Q1304" s="116">
        <v>5314.65</v>
      </c>
      <c r="R1304">
        <v>130028</v>
      </c>
    </row>
    <row r="1305" spans="1:18" x14ac:dyDescent="0.25">
      <c r="A1305" s="170">
        <v>44554</v>
      </c>
      <c r="B1305" s="116">
        <v>5399.75</v>
      </c>
      <c r="C1305" s="116">
        <v>5342.85</v>
      </c>
      <c r="D1305" s="116">
        <v>5311</v>
      </c>
      <c r="E1305" s="116">
        <v>5373</v>
      </c>
      <c r="F1305" s="116">
        <v>5342.85</v>
      </c>
      <c r="G1305">
        <v>5586</v>
      </c>
      <c r="H1305" s="116"/>
      <c r="I1305" s="116"/>
      <c r="L1305" s="170">
        <v>44554</v>
      </c>
      <c r="M1305" s="116">
        <v>5343.25</v>
      </c>
      <c r="N1305" s="116">
        <v>5399</v>
      </c>
      <c r="O1305" s="116">
        <v>5310.1</v>
      </c>
      <c r="P1305" s="116">
        <v>5341.45</v>
      </c>
      <c r="Q1305" s="116">
        <v>5343.25</v>
      </c>
      <c r="R1305">
        <v>178011</v>
      </c>
    </row>
    <row r="1306" spans="1:18" x14ac:dyDescent="0.25">
      <c r="A1306" s="170">
        <v>44557</v>
      </c>
      <c r="B1306" s="116">
        <v>5513.45</v>
      </c>
      <c r="C1306" s="116">
        <v>5471.5</v>
      </c>
      <c r="D1306" s="116">
        <v>5282.05</v>
      </c>
      <c r="E1306" s="116">
        <v>5305.85</v>
      </c>
      <c r="F1306" s="116">
        <v>5471.5</v>
      </c>
      <c r="G1306">
        <v>6257</v>
      </c>
      <c r="H1306" s="116"/>
      <c r="I1306" s="116"/>
      <c r="L1306" s="170">
        <v>44557</v>
      </c>
      <c r="M1306" s="116">
        <v>5475.2</v>
      </c>
      <c r="N1306" s="116">
        <v>5516.8</v>
      </c>
      <c r="O1306" s="116">
        <v>5280.05</v>
      </c>
      <c r="P1306" s="116">
        <v>5343.25</v>
      </c>
      <c r="Q1306" s="116">
        <v>5475.2</v>
      </c>
      <c r="R1306">
        <v>245364</v>
      </c>
    </row>
    <row r="1307" spans="1:18" x14ac:dyDescent="0.25">
      <c r="A1307" s="170">
        <v>44558</v>
      </c>
      <c r="B1307" s="116">
        <v>5547.95</v>
      </c>
      <c r="C1307" s="116">
        <v>5477.9</v>
      </c>
      <c r="D1307" s="116">
        <v>5455.4</v>
      </c>
      <c r="E1307" s="116">
        <v>5543.8</v>
      </c>
      <c r="F1307" s="116">
        <v>5477.9</v>
      </c>
      <c r="G1307">
        <v>5314</v>
      </c>
      <c r="H1307" s="116"/>
      <c r="I1307" s="116"/>
      <c r="L1307" s="170">
        <v>44558</v>
      </c>
      <c r="M1307" s="116">
        <v>5477.2</v>
      </c>
      <c r="N1307" s="116">
        <v>5549.1</v>
      </c>
      <c r="O1307" s="116">
        <v>5455.25</v>
      </c>
      <c r="P1307" s="116">
        <v>5512</v>
      </c>
      <c r="Q1307" s="116">
        <v>5477.2</v>
      </c>
      <c r="R1307">
        <v>213460</v>
      </c>
    </row>
    <row r="1308" spans="1:18" x14ac:dyDescent="0.25">
      <c r="A1308" s="170">
        <v>44559</v>
      </c>
      <c r="B1308" s="116">
        <v>5580</v>
      </c>
      <c r="C1308" s="116">
        <v>5553.4</v>
      </c>
      <c r="D1308" s="116">
        <v>5436.05</v>
      </c>
      <c r="E1308" s="116">
        <v>5461</v>
      </c>
      <c r="F1308" s="116">
        <v>5553.4</v>
      </c>
      <c r="G1308">
        <v>10669</v>
      </c>
      <c r="H1308" s="116"/>
      <c r="I1308" s="116"/>
      <c r="L1308" s="170">
        <v>44559</v>
      </c>
      <c r="M1308" s="116">
        <v>5555.25</v>
      </c>
      <c r="N1308" s="116">
        <v>5583</v>
      </c>
      <c r="O1308" s="116">
        <v>5435.3</v>
      </c>
      <c r="P1308" s="116">
        <v>5461</v>
      </c>
      <c r="Q1308" s="116">
        <v>5555.25</v>
      </c>
      <c r="R1308">
        <v>200129</v>
      </c>
    </row>
    <row r="1309" spans="1:18" x14ac:dyDescent="0.25">
      <c r="A1309" s="170">
        <v>44560</v>
      </c>
      <c r="B1309" s="116">
        <v>5656.9</v>
      </c>
      <c r="C1309" s="116">
        <v>5571.4</v>
      </c>
      <c r="D1309" s="116">
        <v>5520</v>
      </c>
      <c r="E1309" s="116">
        <v>5555.25</v>
      </c>
      <c r="F1309" s="116">
        <v>5571.4</v>
      </c>
      <c r="G1309">
        <v>8439</v>
      </c>
      <c r="H1309" s="116"/>
      <c r="I1309" s="116"/>
      <c r="L1309" s="170">
        <v>44560</v>
      </c>
      <c r="M1309" s="116">
        <v>5573.5</v>
      </c>
      <c r="N1309" s="116">
        <v>5659.9</v>
      </c>
      <c r="O1309" s="116">
        <v>5517</v>
      </c>
      <c r="P1309" s="116">
        <v>5560</v>
      </c>
      <c r="Q1309" s="116">
        <v>5573.5</v>
      </c>
      <c r="R1309">
        <v>343495</v>
      </c>
    </row>
    <row r="1310" spans="1:18" x14ac:dyDescent="0.25">
      <c r="A1310" s="170">
        <v>44561</v>
      </c>
      <c r="B1310" s="116">
        <v>5619</v>
      </c>
      <c r="C1310" s="116">
        <v>5599.05</v>
      </c>
      <c r="D1310" s="116">
        <v>5535.55</v>
      </c>
      <c r="E1310" s="116">
        <v>5619</v>
      </c>
      <c r="F1310" s="116">
        <v>5599.05</v>
      </c>
      <c r="G1310">
        <v>2852</v>
      </c>
      <c r="H1310" s="116"/>
      <c r="I1310" s="116"/>
      <c r="L1310" s="170">
        <v>44561</v>
      </c>
      <c r="M1310" s="116">
        <v>5598.95</v>
      </c>
      <c r="N1310" s="116">
        <v>5619.9</v>
      </c>
      <c r="O1310" s="116">
        <v>5532.55</v>
      </c>
      <c r="P1310" s="116">
        <v>5585</v>
      </c>
      <c r="Q1310" s="116">
        <v>5598.95</v>
      </c>
      <c r="R1310">
        <v>151964</v>
      </c>
    </row>
    <row r="1311" spans="1:18" x14ac:dyDescent="0.25">
      <c r="A1311" s="170">
        <v>44564</v>
      </c>
      <c r="B1311" s="116">
        <v>5757.6</v>
      </c>
      <c r="C1311" s="116">
        <v>5730.75</v>
      </c>
      <c r="D1311" s="116">
        <v>5600</v>
      </c>
      <c r="E1311" s="116">
        <v>5600</v>
      </c>
      <c r="F1311" s="116">
        <v>5730.75</v>
      </c>
      <c r="G1311">
        <v>21745</v>
      </c>
      <c r="H1311" s="116"/>
      <c r="I1311" s="116"/>
      <c r="L1311" s="170">
        <v>44564</v>
      </c>
      <c r="M1311" s="116">
        <v>5726.55</v>
      </c>
      <c r="N1311" s="116">
        <v>5758</v>
      </c>
      <c r="O1311" s="116">
        <v>5601</v>
      </c>
      <c r="P1311" s="116">
        <v>5601</v>
      </c>
      <c r="Q1311" s="116">
        <v>5726.55</v>
      </c>
      <c r="R1311">
        <v>321738</v>
      </c>
    </row>
    <row r="1312" spans="1:18" x14ac:dyDescent="0.25">
      <c r="A1312" s="170">
        <v>44565</v>
      </c>
      <c r="B1312" s="116">
        <v>5958.1</v>
      </c>
      <c r="C1312" s="116">
        <v>5915.45</v>
      </c>
      <c r="D1312" s="116">
        <v>5666.9</v>
      </c>
      <c r="E1312" s="116">
        <v>5730</v>
      </c>
      <c r="F1312" s="116">
        <v>5915.45</v>
      </c>
      <c r="G1312">
        <v>21313</v>
      </c>
      <c r="H1312" s="116"/>
      <c r="I1312" s="116"/>
      <c r="L1312" s="170">
        <v>44565</v>
      </c>
      <c r="M1312" s="116">
        <v>5916.3</v>
      </c>
      <c r="N1312" s="116">
        <v>5955.5</v>
      </c>
      <c r="O1312" s="116">
        <v>5666.5</v>
      </c>
      <c r="P1312" s="116">
        <v>5731</v>
      </c>
      <c r="Q1312" s="116">
        <v>5916.3</v>
      </c>
      <c r="R1312">
        <v>480593</v>
      </c>
    </row>
    <row r="1313" spans="1:18" x14ac:dyDescent="0.25">
      <c r="A1313" s="170">
        <v>44566</v>
      </c>
      <c r="B1313" s="116">
        <v>5948</v>
      </c>
      <c r="C1313" s="116">
        <v>5849.65</v>
      </c>
      <c r="D1313" s="116">
        <v>5801</v>
      </c>
      <c r="E1313" s="116">
        <v>5948</v>
      </c>
      <c r="F1313" s="116">
        <v>5849.65</v>
      </c>
      <c r="G1313">
        <v>11256</v>
      </c>
      <c r="H1313" s="116"/>
      <c r="I1313" s="116"/>
      <c r="L1313" s="170">
        <v>44566</v>
      </c>
      <c r="M1313" s="116">
        <v>5842.6</v>
      </c>
      <c r="N1313" s="116">
        <v>5918.85</v>
      </c>
      <c r="O1313" s="116">
        <v>5800.1</v>
      </c>
      <c r="P1313" s="116">
        <v>5914</v>
      </c>
      <c r="Q1313" s="116">
        <v>5842.6</v>
      </c>
      <c r="R1313">
        <v>289734</v>
      </c>
    </row>
    <row r="1314" spans="1:18" x14ac:dyDescent="0.25">
      <c r="A1314" s="170">
        <v>44567</v>
      </c>
      <c r="B1314" s="116">
        <v>5778</v>
      </c>
      <c r="C1314" s="116">
        <v>5742.5</v>
      </c>
      <c r="D1314" s="116">
        <v>5715</v>
      </c>
      <c r="E1314" s="116">
        <v>5778</v>
      </c>
      <c r="F1314" s="116">
        <v>5742.5</v>
      </c>
      <c r="G1314">
        <v>10328</v>
      </c>
      <c r="H1314" s="116"/>
      <c r="I1314" s="116"/>
      <c r="L1314" s="170">
        <v>44567</v>
      </c>
      <c r="M1314" s="116">
        <v>5744.35</v>
      </c>
      <c r="N1314" s="116">
        <v>5789.95</v>
      </c>
      <c r="O1314" s="116">
        <v>5714.4</v>
      </c>
      <c r="P1314" s="116">
        <v>5741</v>
      </c>
      <c r="Q1314" s="116">
        <v>5744.35</v>
      </c>
      <c r="R1314">
        <v>237620</v>
      </c>
    </row>
    <row r="1315" spans="1:18" x14ac:dyDescent="0.25">
      <c r="A1315" s="170">
        <v>44568</v>
      </c>
      <c r="B1315" s="116">
        <v>5874.95</v>
      </c>
      <c r="C1315" s="116">
        <v>5778.6</v>
      </c>
      <c r="D1315" s="116">
        <v>5753.25</v>
      </c>
      <c r="E1315" s="116">
        <v>5785</v>
      </c>
      <c r="F1315" s="116">
        <v>5778.6</v>
      </c>
      <c r="G1315">
        <v>5407</v>
      </c>
      <c r="H1315" s="116"/>
      <c r="I1315" s="116"/>
      <c r="L1315" s="170">
        <v>44568</v>
      </c>
      <c r="M1315" s="116">
        <v>5776.8</v>
      </c>
      <c r="N1315" s="116">
        <v>5875</v>
      </c>
      <c r="O1315" s="116">
        <v>5750</v>
      </c>
      <c r="P1315" s="116">
        <v>5773.5</v>
      </c>
      <c r="Q1315" s="116">
        <v>5776.8</v>
      </c>
      <c r="R1315">
        <v>269298</v>
      </c>
    </row>
    <row r="1316" spans="1:18" x14ac:dyDescent="0.25">
      <c r="A1316" s="170">
        <v>44571</v>
      </c>
      <c r="B1316" s="116">
        <v>5848</v>
      </c>
      <c r="C1316" s="116">
        <v>5598.7</v>
      </c>
      <c r="D1316" s="116">
        <v>5581</v>
      </c>
      <c r="E1316" s="116">
        <v>5848</v>
      </c>
      <c r="F1316" s="116">
        <v>5598.7</v>
      </c>
      <c r="G1316">
        <v>18752</v>
      </c>
      <c r="H1316" s="116"/>
      <c r="I1316" s="116"/>
      <c r="L1316" s="170">
        <v>44571</v>
      </c>
      <c r="M1316" s="116">
        <v>5597.9</v>
      </c>
      <c r="N1316" s="116">
        <v>5828.9</v>
      </c>
      <c r="O1316" s="116">
        <v>5580</v>
      </c>
      <c r="P1316" s="116">
        <v>5828.9</v>
      </c>
      <c r="Q1316" s="116">
        <v>5597.9</v>
      </c>
      <c r="R1316">
        <v>420390</v>
      </c>
    </row>
    <row r="1317" spans="1:18" x14ac:dyDescent="0.25">
      <c r="A1317" s="170">
        <v>44572</v>
      </c>
      <c r="B1317" s="116">
        <v>5671</v>
      </c>
      <c r="C1317" s="116">
        <v>5642.75</v>
      </c>
      <c r="D1317" s="116">
        <v>5585.1</v>
      </c>
      <c r="E1317" s="116">
        <v>5609</v>
      </c>
      <c r="F1317" s="116">
        <v>5642.75</v>
      </c>
      <c r="G1317">
        <v>14512</v>
      </c>
      <c r="H1317" s="116"/>
      <c r="I1317" s="116"/>
      <c r="L1317" s="170">
        <v>44572</v>
      </c>
      <c r="M1317" s="116">
        <v>5646.95</v>
      </c>
      <c r="N1317" s="116">
        <v>5690</v>
      </c>
      <c r="O1317" s="116">
        <v>5581.95</v>
      </c>
      <c r="P1317" s="116">
        <v>5599.95</v>
      </c>
      <c r="Q1317" s="116">
        <v>5646.95</v>
      </c>
      <c r="R1317">
        <v>313913</v>
      </c>
    </row>
    <row r="1318" spans="1:18" x14ac:dyDescent="0.25">
      <c r="A1318" s="170">
        <v>44573</v>
      </c>
      <c r="B1318" s="116">
        <v>5691</v>
      </c>
      <c r="C1318" s="116">
        <v>5623.3</v>
      </c>
      <c r="D1318" s="116">
        <v>5578.8</v>
      </c>
      <c r="E1318" s="116">
        <v>5690</v>
      </c>
      <c r="F1318" s="116">
        <v>5623.3</v>
      </c>
      <c r="G1318">
        <v>8886</v>
      </c>
      <c r="H1318" s="116"/>
      <c r="I1318" s="116"/>
      <c r="L1318" s="170">
        <v>44573</v>
      </c>
      <c r="M1318" s="116">
        <v>5625.1</v>
      </c>
      <c r="N1318" s="116">
        <v>5699.95</v>
      </c>
      <c r="O1318" s="116">
        <v>5575</v>
      </c>
      <c r="P1318" s="116">
        <v>5699.95</v>
      </c>
      <c r="Q1318" s="116">
        <v>5625.1</v>
      </c>
      <c r="R1318">
        <v>278048</v>
      </c>
    </row>
    <row r="1319" spans="1:18" x14ac:dyDescent="0.25">
      <c r="A1319" s="170">
        <v>44574</v>
      </c>
      <c r="B1319" s="116">
        <v>5714</v>
      </c>
      <c r="C1319" s="116">
        <v>5668.45</v>
      </c>
      <c r="D1319" s="116">
        <v>5622.95</v>
      </c>
      <c r="E1319" s="116">
        <v>5634</v>
      </c>
      <c r="F1319" s="116">
        <v>5668.45</v>
      </c>
      <c r="G1319">
        <v>6745</v>
      </c>
      <c r="H1319" s="116"/>
      <c r="I1319" s="116"/>
      <c r="L1319" s="170">
        <v>44574</v>
      </c>
      <c r="M1319" s="116">
        <v>5658.85</v>
      </c>
      <c r="N1319" s="116">
        <v>5715.4</v>
      </c>
      <c r="O1319" s="116">
        <v>5584.55</v>
      </c>
      <c r="P1319" s="116">
        <v>5625</v>
      </c>
      <c r="Q1319" s="116">
        <v>5658.85</v>
      </c>
      <c r="R1319">
        <v>185927</v>
      </c>
    </row>
    <row r="1320" spans="1:18" x14ac:dyDescent="0.25">
      <c r="A1320" s="170">
        <v>44575</v>
      </c>
      <c r="B1320" s="116">
        <v>5660</v>
      </c>
      <c r="C1320" s="116">
        <v>5543.1</v>
      </c>
      <c r="D1320" s="116">
        <v>5505.1</v>
      </c>
      <c r="E1320" s="116">
        <v>5660</v>
      </c>
      <c r="F1320" s="116">
        <v>5543.1</v>
      </c>
      <c r="G1320">
        <v>11366</v>
      </c>
      <c r="H1320" s="116"/>
      <c r="I1320" s="116"/>
      <c r="L1320" s="170">
        <v>44575</v>
      </c>
      <c r="M1320" s="116">
        <v>5542.4</v>
      </c>
      <c r="N1320" s="116">
        <v>5650</v>
      </c>
      <c r="O1320" s="116">
        <v>5504.15</v>
      </c>
      <c r="P1320" s="116">
        <v>5650</v>
      </c>
      <c r="Q1320" s="116">
        <v>5542.4</v>
      </c>
      <c r="R1320">
        <v>255238</v>
      </c>
    </row>
    <row r="1321" spans="1:18" x14ac:dyDescent="0.25">
      <c r="A1321" s="170">
        <v>44578</v>
      </c>
      <c r="B1321" s="116">
        <v>5601.75</v>
      </c>
      <c r="C1321" s="116">
        <v>5573.85</v>
      </c>
      <c r="D1321" s="116">
        <v>5519.05</v>
      </c>
      <c r="E1321" s="116">
        <v>5545.55</v>
      </c>
      <c r="F1321" s="116">
        <v>5573.85</v>
      </c>
      <c r="G1321">
        <v>8490</v>
      </c>
      <c r="H1321" s="116"/>
      <c r="I1321" s="116"/>
      <c r="L1321" s="170">
        <v>44578</v>
      </c>
      <c r="M1321" s="116">
        <v>5575.15</v>
      </c>
      <c r="N1321" s="116">
        <v>5602.45</v>
      </c>
      <c r="O1321" s="116">
        <v>5520</v>
      </c>
      <c r="P1321" s="116">
        <v>5555.8</v>
      </c>
      <c r="Q1321" s="116">
        <v>5575.15</v>
      </c>
      <c r="R1321">
        <v>174200</v>
      </c>
    </row>
    <row r="1322" spans="1:18" x14ac:dyDescent="0.25">
      <c r="A1322" s="170">
        <v>44579</v>
      </c>
      <c r="B1322" s="116">
        <v>5629</v>
      </c>
      <c r="C1322" s="116">
        <v>5421.45</v>
      </c>
      <c r="D1322" s="116">
        <v>5403</v>
      </c>
      <c r="E1322" s="116">
        <v>5629</v>
      </c>
      <c r="F1322" s="116">
        <v>5421.45</v>
      </c>
      <c r="G1322">
        <v>5372</v>
      </c>
      <c r="H1322" s="116"/>
      <c r="I1322" s="116"/>
      <c r="L1322" s="170">
        <v>44579</v>
      </c>
      <c r="M1322" s="116">
        <v>5420.5</v>
      </c>
      <c r="N1322" s="116">
        <v>5614</v>
      </c>
      <c r="O1322" s="116">
        <v>5401.3</v>
      </c>
      <c r="P1322" s="116">
        <v>5610</v>
      </c>
      <c r="Q1322" s="116">
        <v>5420.5</v>
      </c>
      <c r="R1322">
        <v>218879</v>
      </c>
    </row>
    <row r="1323" spans="1:18" x14ac:dyDescent="0.25">
      <c r="A1323" s="170">
        <v>44580</v>
      </c>
      <c r="B1323" s="116">
        <v>5151.5</v>
      </c>
      <c r="C1323" s="116">
        <v>5079.8500000000004</v>
      </c>
      <c r="D1323" s="116">
        <v>4980.05</v>
      </c>
      <c r="E1323" s="116">
        <v>5099</v>
      </c>
      <c r="F1323" s="116">
        <v>5079.8500000000004</v>
      </c>
      <c r="G1323">
        <v>65094</v>
      </c>
      <c r="H1323" s="116"/>
      <c r="I1323" s="116"/>
      <c r="L1323" s="170">
        <v>44580</v>
      </c>
      <c r="M1323" s="116">
        <v>5077.55</v>
      </c>
      <c r="N1323" s="116">
        <v>5153</v>
      </c>
      <c r="O1323" s="116">
        <v>4980</v>
      </c>
      <c r="P1323" s="116">
        <v>5080</v>
      </c>
      <c r="Q1323" s="116">
        <v>5077.55</v>
      </c>
      <c r="R1323">
        <v>1324020</v>
      </c>
    </row>
    <row r="1324" spans="1:18" x14ac:dyDescent="0.25">
      <c r="A1324" s="170">
        <v>44581</v>
      </c>
      <c r="B1324" s="116">
        <v>5144</v>
      </c>
      <c r="C1324" s="116">
        <v>5121.1499999999996</v>
      </c>
      <c r="D1324" s="116">
        <v>5045.5</v>
      </c>
      <c r="E1324" s="116">
        <v>5144</v>
      </c>
      <c r="F1324" s="116">
        <v>5121.1499999999996</v>
      </c>
      <c r="G1324">
        <v>19061</v>
      </c>
      <c r="H1324" s="116"/>
      <c r="I1324" s="116"/>
      <c r="L1324" s="170">
        <v>44581</v>
      </c>
      <c r="M1324" s="116">
        <v>5119.5</v>
      </c>
      <c r="N1324" s="116">
        <v>5149.8500000000004</v>
      </c>
      <c r="O1324" s="116">
        <v>5044.6499999999996</v>
      </c>
      <c r="P1324" s="116">
        <v>5100</v>
      </c>
      <c r="Q1324" s="116">
        <v>5119.5</v>
      </c>
      <c r="R1324">
        <v>323018</v>
      </c>
    </row>
    <row r="1325" spans="1:18" x14ac:dyDescent="0.25">
      <c r="A1325" s="170">
        <v>44582</v>
      </c>
      <c r="B1325" s="116">
        <v>5125</v>
      </c>
      <c r="C1325" s="116">
        <v>4811.5</v>
      </c>
      <c r="D1325" s="116">
        <v>4790.5</v>
      </c>
      <c r="E1325" s="116">
        <v>5124</v>
      </c>
      <c r="F1325" s="116">
        <v>4811.5</v>
      </c>
      <c r="G1325">
        <v>53967</v>
      </c>
      <c r="H1325" s="116"/>
      <c r="I1325" s="116"/>
      <c r="L1325" s="170">
        <v>44582</v>
      </c>
      <c r="M1325" s="116">
        <v>4810.3999999999996</v>
      </c>
      <c r="N1325" s="116">
        <v>5118</v>
      </c>
      <c r="O1325" s="116">
        <v>4790</v>
      </c>
      <c r="P1325" s="116">
        <v>5118</v>
      </c>
      <c r="Q1325" s="116">
        <v>4810.3999999999996</v>
      </c>
      <c r="R1325">
        <v>571137</v>
      </c>
    </row>
    <row r="1326" spans="1:18" x14ac:dyDescent="0.25">
      <c r="A1326" s="170">
        <v>44585</v>
      </c>
      <c r="B1326" s="116">
        <v>4815.5</v>
      </c>
      <c r="C1326" s="116">
        <v>4558.1499999999996</v>
      </c>
      <c r="D1326" s="116">
        <v>4480</v>
      </c>
      <c r="E1326" s="116">
        <v>4810.3999999999996</v>
      </c>
      <c r="F1326" s="116">
        <v>4558.1499999999996</v>
      </c>
      <c r="G1326">
        <v>50056</v>
      </c>
      <c r="H1326" s="116"/>
      <c r="I1326" s="116"/>
      <c r="L1326" s="170">
        <v>44585</v>
      </c>
      <c r="M1326" s="116">
        <v>4557.6000000000004</v>
      </c>
      <c r="N1326" s="116">
        <v>4820</v>
      </c>
      <c r="O1326" s="116">
        <v>4477.05</v>
      </c>
      <c r="P1326" s="116">
        <v>4800</v>
      </c>
      <c r="Q1326" s="116">
        <v>4557.6000000000004</v>
      </c>
      <c r="R1326">
        <v>580400</v>
      </c>
    </row>
    <row r="1327" spans="1:18" x14ac:dyDescent="0.25">
      <c r="A1327" s="170">
        <v>44586</v>
      </c>
      <c r="B1327" s="116">
        <v>4637.3999999999996</v>
      </c>
      <c r="C1327" s="116">
        <v>4588</v>
      </c>
      <c r="D1327" s="116">
        <v>4324.2</v>
      </c>
      <c r="E1327" s="116">
        <v>4400</v>
      </c>
      <c r="F1327" s="116">
        <v>4588</v>
      </c>
      <c r="G1327">
        <v>37859</v>
      </c>
      <c r="H1327" s="116"/>
      <c r="I1327" s="116"/>
      <c r="L1327" s="170">
        <v>44586</v>
      </c>
      <c r="M1327" s="116">
        <v>4587.8500000000004</v>
      </c>
      <c r="N1327" s="116">
        <v>4634.95</v>
      </c>
      <c r="O1327" s="116">
        <v>4332</v>
      </c>
      <c r="P1327" s="116">
        <v>4460</v>
      </c>
      <c r="Q1327" s="116">
        <v>4587.8500000000004</v>
      </c>
      <c r="R1327">
        <v>465308</v>
      </c>
    </row>
    <row r="1328" spans="1:18" x14ac:dyDescent="0.25">
      <c r="A1328" s="170">
        <v>44588</v>
      </c>
      <c r="B1328" s="116">
        <v>4550</v>
      </c>
      <c r="C1328" s="116">
        <v>4361.55</v>
      </c>
      <c r="D1328" s="116">
        <v>4316</v>
      </c>
      <c r="E1328" s="116">
        <v>4550</v>
      </c>
      <c r="F1328" s="116">
        <v>4361.55</v>
      </c>
      <c r="G1328">
        <v>36131</v>
      </c>
      <c r="H1328" s="116"/>
      <c r="I1328" s="116"/>
      <c r="L1328" s="170">
        <v>44588</v>
      </c>
      <c r="M1328" s="116">
        <v>4355.3999999999996</v>
      </c>
      <c r="N1328" s="116">
        <v>4560</v>
      </c>
      <c r="O1328" s="116">
        <v>4313.1499999999996</v>
      </c>
      <c r="P1328" s="116">
        <v>4560</v>
      </c>
      <c r="Q1328" s="116">
        <v>4355.3999999999996</v>
      </c>
      <c r="R1328">
        <v>434640</v>
      </c>
    </row>
    <row r="1329" spans="1:18" x14ac:dyDescent="0.25">
      <c r="A1329" s="170">
        <v>44589</v>
      </c>
      <c r="B1329" s="116">
        <v>4650</v>
      </c>
      <c r="C1329" s="116">
        <v>4582.95</v>
      </c>
      <c r="D1329" s="116">
        <v>4364.2</v>
      </c>
      <c r="E1329" s="116">
        <v>4364.2</v>
      </c>
      <c r="F1329" s="116">
        <v>4582.95</v>
      </c>
      <c r="G1329">
        <v>25390</v>
      </c>
      <c r="H1329" s="116"/>
      <c r="I1329" s="116"/>
      <c r="L1329" s="170">
        <v>44589</v>
      </c>
      <c r="M1329" s="116">
        <v>4580.1000000000004</v>
      </c>
      <c r="N1329" s="116">
        <v>4654</v>
      </c>
      <c r="O1329" s="116">
        <v>4374</v>
      </c>
      <c r="P1329" s="116">
        <v>4378.3</v>
      </c>
      <c r="Q1329" s="116">
        <v>4580.1000000000004</v>
      </c>
      <c r="R1329">
        <v>494659</v>
      </c>
    </row>
    <row r="1330" spans="1:18" x14ac:dyDescent="0.25">
      <c r="A1330" s="170">
        <v>44592</v>
      </c>
      <c r="B1330" s="116">
        <v>4780.45</v>
      </c>
      <c r="C1330" s="116">
        <v>4694.7</v>
      </c>
      <c r="D1330" s="116">
        <v>4630</v>
      </c>
      <c r="E1330" s="116">
        <v>4630</v>
      </c>
      <c r="F1330" s="116">
        <v>4694.7</v>
      </c>
      <c r="G1330">
        <v>18232</v>
      </c>
      <c r="H1330" s="116"/>
      <c r="I1330" s="116"/>
      <c r="L1330" s="170">
        <v>44592</v>
      </c>
      <c r="M1330" s="116">
        <v>4693.1000000000004</v>
      </c>
      <c r="N1330" s="116">
        <v>4783.7</v>
      </c>
      <c r="O1330" s="116">
        <v>4658.6000000000004</v>
      </c>
      <c r="P1330" s="116">
        <v>4680</v>
      </c>
      <c r="Q1330" s="116">
        <v>4693.1000000000004</v>
      </c>
      <c r="R1330">
        <v>434912</v>
      </c>
    </row>
    <row r="1331" spans="1:18" x14ac:dyDescent="0.25">
      <c r="A1331" s="170">
        <v>44593</v>
      </c>
      <c r="B1331" s="116">
        <v>4772.5</v>
      </c>
      <c r="C1331" s="116">
        <v>4694.5</v>
      </c>
      <c r="D1331" s="116">
        <v>4602</v>
      </c>
      <c r="E1331" s="116">
        <v>4772.5</v>
      </c>
      <c r="F1331" s="116">
        <v>4694.5</v>
      </c>
      <c r="G1331">
        <v>16298</v>
      </c>
      <c r="H1331" s="116"/>
      <c r="I1331" s="116"/>
      <c r="L1331" s="170">
        <v>44593</v>
      </c>
      <c r="M1331" s="116">
        <v>4694.5</v>
      </c>
      <c r="N1331" s="116">
        <v>4766</v>
      </c>
      <c r="O1331" s="116">
        <v>4601</v>
      </c>
      <c r="P1331" s="116">
        <v>4759</v>
      </c>
      <c r="Q1331" s="116">
        <v>4694.5</v>
      </c>
      <c r="R1331">
        <v>391789</v>
      </c>
    </row>
    <row r="1332" spans="1:18" x14ac:dyDescent="0.25">
      <c r="A1332" s="170">
        <v>44594</v>
      </c>
      <c r="B1332" s="116">
        <v>4825.25</v>
      </c>
      <c r="C1332" s="116">
        <v>4781.3999999999996</v>
      </c>
      <c r="D1332" s="116">
        <v>4721.5</v>
      </c>
      <c r="E1332" s="116">
        <v>4759.8999999999996</v>
      </c>
      <c r="F1332" s="116">
        <v>4781.3999999999996</v>
      </c>
      <c r="G1332">
        <v>8929</v>
      </c>
      <c r="H1332" s="116"/>
      <c r="I1332" s="116"/>
      <c r="L1332" s="170">
        <v>44594</v>
      </c>
      <c r="M1332" s="116">
        <v>4780</v>
      </c>
      <c r="N1332" s="116">
        <v>4827</v>
      </c>
      <c r="O1332" s="116">
        <v>4720</v>
      </c>
      <c r="P1332" s="116">
        <v>4720</v>
      </c>
      <c r="Q1332" s="116">
        <v>4780</v>
      </c>
      <c r="R1332">
        <v>271452</v>
      </c>
    </row>
    <row r="1333" spans="1:18" x14ac:dyDescent="0.25">
      <c r="A1333" s="170">
        <v>44595</v>
      </c>
      <c r="B1333" s="116">
        <v>4784</v>
      </c>
      <c r="C1333" s="116">
        <v>4593.55</v>
      </c>
      <c r="D1333" s="116">
        <v>4575.3500000000004</v>
      </c>
      <c r="E1333" s="116">
        <v>4784</v>
      </c>
      <c r="F1333" s="116">
        <v>4593.55</v>
      </c>
      <c r="G1333">
        <v>18463</v>
      </c>
      <c r="H1333" s="116"/>
      <c r="I1333" s="116"/>
      <c r="L1333" s="170">
        <v>44595</v>
      </c>
      <c r="M1333" s="116">
        <v>4591.95</v>
      </c>
      <c r="N1333" s="116">
        <v>4750</v>
      </c>
      <c r="O1333" s="116">
        <v>4576</v>
      </c>
      <c r="P1333" s="116">
        <v>4750</v>
      </c>
      <c r="Q1333" s="116">
        <v>4591.95</v>
      </c>
      <c r="R1333">
        <v>253639</v>
      </c>
    </row>
    <row r="1334" spans="1:18" x14ac:dyDescent="0.25">
      <c r="A1334" s="170">
        <v>44596</v>
      </c>
      <c r="B1334" s="116">
        <v>4620.7</v>
      </c>
      <c r="C1334" s="116">
        <v>4543.7</v>
      </c>
      <c r="D1334" s="116">
        <v>4509.25</v>
      </c>
      <c r="E1334" s="116">
        <v>4570.2</v>
      </c>
      <c r="F1334" s="116">
        <v>4543.7</v>
      </c>
      <c r="G1334">
        <v>28256</v>
      </c>
      <c r="H1334" s="116"/>
      <c r="I1334" s="116"/>
      <c r="L1334" s="170">
        <v>44596</v>
      </c>
      <c r="M1334" s="116">
        <v>4543.8500000000004</v>
      </c>
      <c r="N1334" s="116">
        <v>4624.45</v>
      </c>
      <c r="O1334" s="116">
        <v>4510.3999999999996</v>
      </c>
      <c r="P1334" s="116">
        <v>4580</v>
      </c>
      <c r="Q1334" s="116">
        <v>4543.8500000000004</v>
      </c>
      <c r="R1334">
        <v>326087</v>
      </c>
    </row>
    <row r="1335" spans="1:18" x14ac:dyDescent="0.25">
      <c r="A1335" s="170">
        <v>44599</v>
      </c>
      <c r="B1335" s="116">
        <v>4566.05</v>
      </c>
      <c r="C1335" s="116">
        <v>4445.5</v>
      </c>
      <c r="D1335" s="116">
        <v>4425.6499999999996</v>
      </c>
      <c r="E1335" s="116">
        <v>4557</v>
      </c>
      <c r="F1335" s="116">
        <v>4445.5</v>
      </c>
      <c r="G1335">
        <v>8404</v>
      </c>
      <c r="H1335" s="116"/>
      <c r="I1335" s="116"/>
      <c r="L1335" s="170">
        <v>44599</v>
      </c>
      <c r="M1335" s="116">
        <v>4444.6000000000004</v>
      </c>
      <c r="N1335" s="116">
        <v>4566.2</v>
      </c>
      <c r="O1335" s="116">
        <v>4426.05</v>
      </c>
      <c r="P1335" s="116">
        <v>4544</v>
      </c>
      <c r="Q1335" s="116">
        <v>4444.6000000000004</v>
      </c>
      <c r="R1335">
        <v>163147</v>
      </c>
    </row>
    <row r="1336" spans="1:18" x14ac:dyDescent="0.25">
      <c r="A1336" s="170">
        <v>44600</v>
      </c>
      <c r="B1336" s="116">
        <v>4483.3500000000004</v>
      </c>
      <c r="C1336" s="116">
        <v>4418.1499999999996</v>
      </c>
      <c r="D1336" s="116">
        <v>4311.05</v>
      </c>
      <c r="E1336" s="116">
        <v>4475</v>
      </c>
      <c r="F1336" s="116">
        <v>4418.1499999999996</v>
      </c>
      <c r="G1336">
        <v>17312</v>
      </c>
      <c r="H1336" s="116"/>
      <c r="I1336" s="116"/>
      <c r="L1336" s="170">
        <v>44600</v>
      </c>
      <c r="M1336" s="116">
        <v>4417.3999999999996</v>
      </c>
      <c r="N1336" s="116">
        <v>4489</v>
      </c>
      <c r="O1336" s="116">
        <v>4311.6000000000004</v>
      </c>
      <c r="P1336" s="116">
        <v>4444.6000000000004</v>
      </c>
      <c r="Q1336" s="116">
        <v>4417.3999999999996</v>
      </c>
      <c r="R1336">
        <v>270352</v>
      </c>
    </row>
    <row r="1337" spans="1:18" x14ac:dyDescent="0.25">
      <c r="A1337" s="170">
        <v>44601</v>
      </c>
      <c r="B1337" s="116">
        <v>4635</v>
      </c>
      <c r="C1337" s="116">
        <v>4578.55</v>
      </c>
      <c r="D1337" s="116">
        <v>4445</v>
      </c>
      <c r="E1337" s="116">
        <v>4445</v>
      </c>
      <c r="F1337" s="116">
        <v>4578.55</v>
      </c>
      <c r="G1337">
        <v>18746</v>
      </c>
      <c r="H1337" s="116"/>
      <c r="I1337" s="116"/>
      <c r="L1337" s="170">
        <v>44601</v>
      </c>
      <c r="M1337" s="116">
        <v>4575.2</v>
      </c>
      <c r="N1337" s="116">
        <v>4640</v>
      </c>
      <c r="O1337" s="116">
        <v>4444.1499999999996</v>
      </c>
      <c r="P1337" s="116">
        <v>4449.95</v>
      </c>
      <c r="Q1337" s="116">
        <v>4575.2</v>
      </c>
      <c r="R1337">
        <v>437827</v>
      </c>
    </row>
    <row r="1338" spans="1:18" x14ac:dyDescent="0.25">
      <c r="A1338" s="170">
        <v>44602</v>
      </c>
      <c r="B1338" s="116">
        <v>4699</v>
      </c>
      <c r="C1338" s="116">
        <v>4685.3</v>
      </c>
      <c r="D1338" s="116">
        <v>4572.25</v>
      </c>
      <c r="E1338" s="116">
        <v>4599</v>
      </c>
      <c r="F1338" s="116">
        <v>4685.3</v>
      </c>
      <c r="G1338">
        <v>27768</v>
      </c>
      <c r="H1338" s="116"/>
      <c r="I1338" s="116"/>
      <c r="L1338" s="170">
        <v>44602</v>
      </c>
      <c r="M1338" s="116">
        <v>4686.7</v>
      </c>
      <c r="N1338" s="116">
        <v>4700</v>
      </c>
      <c r="O1338" s="116">
        <v>4579.3</v>
      </c>
      <c r="P1338" s="116">
        <v>4611.8</v>
      </c>
      <c r="Q1338" s="116">
        <v>4686.7</v>
      </c>
      <c r="R1338">
        <v>327004</v>
      </c>
    </row>
    <row r="1339" spans="1:18" x14ac:dyDescent="0.25">
      <c r="A1339" s="170">
        <v>44603</v>
      </c>
      <c r="B1339" s="116">
        <v>4618.3999999999996</v>
      </c>
      <c r="C1339" s="116">
        <v>4487.2</v>
      </c>
      <c r="D1339" s="116">
        <v>4470</v>
      </c>
      <c r="E1339" s="116">
        <v>4600</v>
      </c>
      <c r="F1339" s="116">
        <v>4487.2</v>
      </c>
      <c r="G1339">
        <v>14026</v>
      </c>
      <c r="H1339" s="116"/>
      <c r="I1339" s="116"/>
      <c r="L1339" s="170">
        <v>44603</v>
      </c>
      <c r="M1339" s="116">
        <v>4486</v>
      </c>
      <c r="N1339" s="116">
        <v>4624.8999999999996</v>
      </c>
      <c r="O1339" s="116">
        <v>4466.1499999999996</v>
      </c>
      <c r="P1339" s="116">
        <v>4610</v>
      </c>
      <c r="Q1339" s="116">
        <v>4486</v>
      </c>
      <c r="R1339">
        <v>415641</v>
      </c>
    </row>
    <row r="1340" spans="1:18" x14ac:dyDescent="0.25">
      <c r="A1340" s="170">
        <v>44606</v>
      </c>
      <c r="B1340" s="116">
        <v>4510</v>
      </c>
      <c r="C1340" s="116">
        <v>4427.45</v>
      </c>
      <c r="D1340" s="116">
        <v>4259.1499999999996</v>
      </c>
      <c r="E1340" s="116">
        <v>4320.1000000000004</v>
      </c>
      <c r="F1340" s="116">
        <v>4427.45</v>
      </c>
      <c r="G1340">
        <v>39447</v>
      </c>
      <c r="H1340" s="116"/>
      <c r="I1340" s="116"/>
      <c r="L1340" s="170">
        <v>44606</v>
      </c>
      <c r="M1340" s="116">
        <v>4423.2</v>
      </c>
      <c r="N1340" s="116">
        <v>4512.8</v>
      </c>
      <c r="O1340" s="116">
        <v>4259</v>
      </c>
      <c r="P1340" s="116">
        <v>4400</v>
      </c>
      <c r="Q1340" s="116">
        <v>4423.2</v>
      </c>
      <c r="R1340">
        <v>432802</v>
      </c>
    </row>
    <row r="1341" spans="1:18" x14ac:dyDescent="0.25">
      <c r="A1341" s="170">
        <v>44607</v>
      </c>
      <c r="B1341" s="116">
        <v>4575</v>
      </c>
      <c r="C1341" s="116">
        <v>4551.75</v>
      </c>
      <c r="D1341" s="116">
        <v>4428.6000000000004</v>
      </c>
      <c r="E1341" s="116">
        <v>4462</v>
      </c>
      <c r="F1341" s="116">
        <v>4551.75</v>
      </c>
      <c r="G1341">
        <v>20376</v>
      </c>
      <c r="H1341" s="116"/>
      <c r="I1341" s="116"/>
      <c r="L1341" s="170">
        <v>44607</v>
      </c>
      <c r="M1341" s="116">
        <v>4552.5</v>
      </c>
      <c r="N1341" s="116">
        <v>4575</v>
      </c>
      <c r="O1341" s="116">
        <v>4427.8999999999996</v>
      </c>
      <c r="P1341" s="116">
        <v>4501</v>
      </c>
      <c r="Q1341" s="116">
        <v>4552.5</v>
      </c>
      <c r="R1341">
        <v>239195</v>
      </c>
    </row>
    <row r="1342" spans="1:18" x14ac:dyDescent="0.25">
      <c r="A1342" s="170">
        <v>44608</v>
      </c>
      <c r="B1342" s="116">
        <v>4620</v>
      </c>
      <c r="C1342" s="116">
        <v>4481.8</v>
      </c>
      <c r="D1342" s="116">
        <v>4469</v>
      </c>
      <c r="E1342" s="116">
        <v>4620</v>
      </c>
      <c r="F1342" s="116">
        <v>4481.8</v>
      </c>
      <c r="G1342">
        <v>8177</v>
      </c>
      <c r="H1342" s="116"/>
      <c r="I1342" s="116"/>
      <c r="L1342" s="170">
        <v>44608</v>
      </c>
      <c r="M1342" s="116">
        <v>4483.6000000000004</v>
      </c>
      <c r="N1342" s="116">
        <v>4612.1000000000004</v>
      </c>
      <c r="O1342" s="116">
        <v>4466.1499999999996</v>
      </c>
      <c r="P1342" s="116">
        <v>4610</v>
      </c>
      <c r="Q1342" s="116">
        <v>4483.6000000000004</v>
      </c>
      <c r="R1342">
        <v>241223</v>
      </c>
    </row>
    <row r="1343" spans="1:18" x14ac:dyDescent="0.25">
      <c r="A1343" s="170">
        <v>44609</v>
      </c>
      <c r="B1343" s="116">
        <v>4537.6499999999996</v>
      </c>
      <c r="C1343" s="116">
        <v>4434.6499999999996</v>
      </c>
      <c r="D1343" s="116">
        <v>4427.05</v>
      </c>
      <c r="E1343" s="116">
        <v>4534.55</v>
      </c>
      <c r="F1343" s="116">
        <v>4434.6499999999996</v>
      </c>
      <c r="G1343">
        <v>5306</v>
      </c>
      <c r="H1343" s="116"/>
      <c r="I1343" s="116"/>
      <c r="L1343" s="170">
        <v>44609</v>
      </c>
      <c r="M1343" s="116">
        <v>4434.8</v>
      </c>
      <c r="N1343" s="116">
        <v>4539.55</v>
      </c>
      <c r="O1343" s="116">
        <v>4425.1499999999996</v>
      </c>
      <c r="P1343" s="116">
        <v>4514</v>
      </c>
      <c r="Q1343" s="116">
        <v>4434.8</v>
      </c>
      <c r="R1343">
        <v>177692</v>
      </c>
    </row>
    <row r="1344" spans="1:18" x14ac:dyDescent="0.25">
      <c r="A1344" s="170">
        <v>44610</v>
      </c>
      <c r="B1344" s="116">
        <v>4497.95</v>
      </c>
      <c r="C1344" s="116">
        <v>4440.55</v>
      </c>
      <c r="D1344" s="116">
        <v>4375</v>
      </c>
      <c r="E1344" s="116">
        <v>4433</v>
      </c>
      <c r="F1344" s="116">
        <v>4440.55</v>
      </c>
      <c r="G1344">
        <v>8556</v>
      </c>
      <c r="H1344" s="116"/>
      <c r="I1344" s="116"/>
      <c r="L1344" s="170">
        <v>44610</v>
      </c>
      <c r="M1344" s="116">
        <v>4444.95</v>
      </c>
      <c r="N1344" s="116">
        <v>4499.3999999999996</v>
      </c>
      <c r="O1344" s="116">
        <v>4325</v>
      </c>
      <c r="P1344" s="116">
        <v>4400.3</v>
      </c>
      <c r="Q1344" s="116">
        <v>4444.95</v>
      </c>
      <c r="R1344">
        <v>224042</v>
      </c>
    </row>
    <row r="1345" spans="1:18" x14ac:dyDescent="0.25">
      <c r="A1345" s="170">
        <v>44613</v>
      </c>
      <c r="B1345" s="116">
        <v>4426</v>
      </c>
      <c r="C1345" s="116">
        <v>4365.95</v>
      </c>
      <c r="D1345" s="116">
        <v>4270</v>
      </c>
      <c r="E1345" s="116">
        <v>4400</v>
      </c>
      <c r="F1345" s="116">
        <v>4365.95</v>
      </c>
      <c r="G1345">
        <v>15814</v>
      </c>
      <c r="H1345" s="116"/>
      <c r="I1345" s="116"/>
      <c r="L1345" s="170">
        <v>44613</v>
      </c>
      <c r="M1345" s="116">
        <v>4365.75</v>
      </c>
      <c r="N1345" s="116">
        <v>4426.75</v>
      </c>
      <c r="O1345" s="116">
        <v>4269.05</v>
      </c>
      <c r="P1345" s="116">
        <v>4420</v>
      </c>
      <c r="Q1345" s="116">
        <v>4365.75</v>
      </c>
      <c r="R1345">
        <v>264155</v>
      </c>
    </row>
    <row r="1346" spans="1:18" x14ac:dyDescent="0.25">
      <c r="A1346" s="170">
        <v>44614</v>
      </c>
      <c r="B1346" s="116">
        <v>4496.05</v>
      </c>
      <c r="C1346" s="116">
        <v>4430.1000000000004</v>
      </c>
      <c r="D1346" s="116">
        <v>4180</v>
      </c>
      <c r="E1346" s="116">
        <v>4180</v>
      </c>
      <c r="F1346" s="116">
        <v>4430.1000000000004</v>
      </c>
      <c r="G1346">
        <v>20384</v>
      </c>
      <c r="H1346" s="116"/>
      <c r="I1346" s="116"/>
      <c r="L1346" s="170">
        <v>44614</v>
      </c>
      <c r="M1346" s="116">
        <v>4432.75</v>
      </c>
      <c r="N1346" s="116">
        <v>4499</v>
      </c>
      <c r="O1346" s="116">
        <v>4210.3500000000004</v>
      </c>
      <c r="P1346" s="116">
        <v>4235.3500000000004</v>
      </c>
      <c r="Q1346" s="116">
        <v>4432.75</v>
      </c>
      <c r="R1346">
        <v>441587</v>
      </c>
    </row>
    <row r="1347" spans="1:18" x14ac:dyDescent="0.25">
      <c r="A1347" s="170">
        <v>44615</v>
      </c>
      <c r="B1347" s="116">
        <v>4495</v>
      </c>
      <c r="C1347" s="116">
        <v>4456.6499999999996</v>
      </c>
      <c r="D1347" s="116">
        <v>4398.3</v>
      </c>
      <c r="E1347" s="116">
        <v>4495</v>
      </c>
      <c r="F1347" s="116">
        <v>4456.6499999999996</v>
      </c>
      <c r="G1347">
        <v>5135</v>
      </c>
      <c r="H1347" s="116"/>
      <c r="I1347" s="116"/>
      <c r="L1347" s="170">
        <v>44615</v>
      </c>
      <c r="M1347" s="116">
        <v>4455.3500000000004</v>
      </c>
      <c r="N1347" s="116">
        <v>4492.1000000000004</v>
      </c>
      <c r="O1347" s="116">
        <v>4391.05</v>
      </c>
      <c r="P1347" s="116">
        <v>4469</v>
      </c>
      <c r="Q1347" s="116">
        <v>4455.3500000000004</v>
      </c>
      <c r="R1347">
        <v>184327</v>
      </c>
    </row>
    <row r="1348" spans="1:18" x14ac:dyDescent="0.25">
      <c r="A1348" s="170">
        <v>44616</v>
      </c>
      <c r="B1348" s="116">
        <v>4358.1499999999996</v>
      </c>
      <c r="C1348" s="116">
        <v>4284.3500000000004</v>
      </c>
      <c r="D1348" s="116">
        <v>4240.5</v>
      </c>
      <c r="E1348" s="116">
        <v>4310</v>
      </c>
      <c r="F1348" s="116">
        <v>4284.3500000000004</v>
      </c>
      <c r="G1348">
        <v>36297</v>
      </c>
      <c r="H1348" s="116"/>
      <c r="I1348" s="116"/>
      <c r="L1348" s="170">
        <v>44616</v>
      </c>
      <c r="M1348" s="116">
        <v>4290.6000000000004</v>
      </c>
      <c r="N1348" s="116">
        <v>4362.05</v>
      </c>
      <c r="O1348" s="116">
        <v>4241.5</v>
      </c>
      <c r="P1348" s="116">
        <v>4300</v>
      </c>
      <c r="Q1348" s="116">
        <v>4290.6000000000004</v>
      </c>
      <c r="R1348">
        <v>405302</v>
      </c>
    </row>
    <row r="1349" spans="1:18" x14ac:dyDescent="0.25">
      <c r="A1349" s="170">
        <v>44617</v>
      </c>
      <c r="B1349" s="116">
        <v>4450</v>
      </c>
      <c r="C1349" s="116">
        <v>4421.2</v>
      </c>
      <c r="D1349" s="116">
        <v>4320.1000000000004</v>
      </c>
      <c r="E1349" s="116">
        <v>4320.1000000000004</v>
      </c>
      <c r="F1349" s="116">
        <v>4421.2</v>
      </c>
      <c r="G1349">
        <v>17618</v>
      </c>
      <c r="H1349" s="116"/>
      <c r="I1349" s="116"/>
      <c r="L1349" s="170">
        <v>44617</v>
      </c>
      <c r="M1349" s="116">
        <v>4423.55</v>
      </c>
      <c r="N1349" s="116">
        <v>4452</v>
      </c>
      <c r="O1349" s="116">
        <v>4315.3500000000004</v>
      </c>
      <c r="P1349" s="116">
        <v>4360</v>
      </c>
      <c r="Q1349" s="116">
        <v>4423.55</v>
      </c>
      <c r="R1349">
        <v>390935</v>
      </c>
    </row>
    <row r="1350" spans="1:18" x14ac:dyDescent="0.25">
      <c r="A1350" s="170">
        <v>44620</v>
      </c>
      <c r="B1350" s="116">
        <v>4558.45</v>
      </c>
      <c r="C1350" s="116">
        <v>4533.8999999999996</v>
      </c>
      <c r="D1350" s="116">
        <v>4310</v>
      </c>
      <c r="E1350" s="116">
        <v>4422</v>
      </c>
      <c r="F1350" s="116">
        <v>4533.8999999999996</v>
      </c>
      <c r="G1350">
        <v>9805</v>
      </c>
      <c r="H1350" s="116"/>
      <c r="I1350" s="116"/>
      <c r="L1350" s="170">
        <v>44620</v>
      </c>
      <c r="M1350" s="116">
        <v>4532.05</v>
      </c>
      <c r="N1350" s="116">
        <v>4558.3999999999996</v>
      </c>
      <c r="O1350" s="116">
        <v>4306.55</v>
      </c>
      <c r="P1350" s="116">
        <v>4370</v>
      </c>
      <c r="Q1350" s="116">
        <v>4532.05</v>
      </c>
      <c r="R1350">
        <v>301038</v>
      </c>
    </row>
    <row r="1351" spans="1:18" x14ac:dyDescent="0.25">
      <c r="A1351" s="170">
        <v>44622</v>
      </c>
      <c r="B1351" s="116">
        <v>4570</v>
      </c>
      <c r="C1351" s="116">
        <v>4541.3999999999996</v>
      </c>
      <c r="D1351" s="116">
        <v>4425.05</v>
      </c>
      <c r="E1351" s="116">
        <v>4511</v>
      </c>
      <c r="F1351" s="116">
        <v>4541.3999999999996</v>
      </c>
      <c r="G1351">
        <v>17021</v>
      </c>
      <c r="H1351" s="116"/>
      <c r="I1351" s="116"/>
      <c r="L1351" s="170">
        <v>44622</v>
      </c>
      <c r="M1351" s="116">
        <v>4539.05</v>
      </c>
      <c r="N1351" s="116">
        <v>4573.95</v>
      </c>
      <c r="O1351" s="116">
        <v>4434.8</v>
      </c>
      <c r="P1351" s="116">
        <v>4435.3</v>
      </c>
      <c r="Q1351" s="116">
        <v>4539.05</v>
      </c>
      <c r="R1351">
        <v>294357</v>
      </c>
    </row>
    <row r="1352" spans="1:18" x14ac:dyDescent="0.25">
      <c r="A1352" s="170">
        <v>44623</v>
      </c>
      <c r="B1352" s="116">
        <v>4695</v>
      </c>
      <c r="C1352" s="116">
        <v>4653.55</v>
      </c>
      <c r="D1352" s="116">
        <v>4575</v>
      </c>
      <c r="E1352" s="116">
        <v>4575</v>
      </c>
      <c r="F1352" s="116">
        <v>4653.55</v>
      </c>
      <c r="G1352">
        <v>27220</v>
      </c>
      <c r="H1352" s="116"/>
      <c r="I1352" s="116"/>
      <c r="L1352" s="170">
        <v>44623</v>
      </c>
      <c r="M1352" s="116">
        <v>4658.6499999999996</v>
      </c>
      <c r="N1352" s="116">
        <v>4697.95</v>
      </c>
      <c r="O1352" s="116">
        <v>4575</v>
      </c>
      <c r="P1352" s="116">
        <v>4605</v>
      </c>
      <c r="Q1352" s="116">
        <v>4658.6499999999996</v>
      </c>
      <c r="R1352">
        <v>354847</v>
      </c>
    </row>
    <row r="1353" spans="1:18" x14ac:dyDescent="0.25">
      <c r="A1353" s="170">
        <v>44624</v>
      </c>
      <c r="B1353" s="116">
        <v>4682.05</v>
      </c>
      <c r="C1353" s="116">
        <v>4607.5</v>
      </c>
      <c r="D1353" s="116">
        <v>4560.8500000000004</v>
      </c>
      <c r="E1353" s="116">
        <v>4625</v>
      </c>
      <c r="F1353" s="116">
        <v>4607.5</v>
      </c>
      <c r="G1353">
        <v>8286</v>
      </c>
      <c r="H1353" s="116"/>
      <c r="I1353" s="116"/>
      <c r="L1353" s="170">
        <v>44624</v>
      </c>
      <c r="M1353" s="116">
        <v>4613.5</v>
      </c>
      <c r="N1353" s="116">
        <v>4685</v>
      </c>
      <c r="O1353" s="116">
        <v>4560</v>
      </c>
      <c r="P1353" s="116">
        <v>4605</v>
      </c>
      <c r="Q1353" s="116">
        <v>4613.5</v>
      </c>
      <c r="R1353">
        <v>308447</v>
      </c>
    </row>
    <row r="1354" spans="1:18" x14ac:dyDescent="0.25">
      <c r="A1354" s="170">
        <v>44627</v>
      </c>
      <c r="B1354" s="116">
        <v>4643</v>
      </c>
      <c r="C1354" s="116">
        <v>4609.2</v>
      </c>
      <c r="D1354" s="116">
        <v>4444</v>
      </c>
      <c r="E1354" s="116">
        <v>4502.2</v>
      </c>
      <c r="F1354" s="116">
        <v>4609.2</v>
      </c>
      <c r="G1354">
        <v>17948</v>
      </c>
      <c r="H1354" s="116"/>
      <c r="I1354" s="116"/>
      <c r="L1354" s="170">
        <v>44627</v>
      </c>
      <c r="M1354" s="116">
        <v>4610.3500000000004</v>
      </c>
      <c r="N1354" s="116">
        <v>4639.8500000000004</v>
      </c>
      <c r="O1354" s="116">
        <v>4501</v>
      </c>
      <c r="P1354" s="116">
        <v>4548.8999999999996</v>
      </c>
      <c r="Q1354" s="116">
        <v>4610.3500000000004</v>
      </c>
      <c r="R1354">
        <v>315964</v>
      </c>
    </row>
    <row r="1355" spans="1:18" x14ac:dyDescent="0.25">
      <c r="A1355" s="170">
        <v>44628</v>
      </c>
      <c r="B1355" s="116">
        <v>4856</v>
      </c>
      <c r="C1355" s="116">
        <v>4823.3999999999996</v>
      </c>
      <c r="D1355" s="116">
        <v>4638.8500000000004</v>
      </c>
      <c r="E1355" s="116">
        <v>4639.3</v>
      </c>
      <c r="F1355" s="116">
        <v>4823.3999999999996</v>
      </c>
      <c r="G1355">
        <v>24392</v>
      </c>
      <c r="H1355" s="116"/>
      <c r="I1355" s="116"/>
      <c r="L1355" s="170">
        <v>44628</v>
      </c>
      <c r="M1355" s="116">
        <v>4825.5</v>
      </c>
      <c r="N1355" s="116">
        <v>4860</v>
      </c>
      <c r="O1355" s="116">
        <v>4630.25</v>
      </c>
      <c r="P1355" s="116">
        <v>4647</v>
      </c>
      <c r="Q1355" s="116">
        <v>4825.5</v>
      </c>
      <c r="R1355">
        <v>468116</v>
      </c>
    </row>
    <row r="1356" spans="1:18" x14ac:dyDescent="0.25">
      <c r="A1356" s="170">
        <v>44629</v>
      </c>
      <c r="B1356" s="116">
        <v>4941.75</v>
      </c>
      <c r="C1356" s="116">
        <v>4816.8500000000004</v>
      </c>
      <c r="D1356" s="116">
        <v>4800.95</v>
      </c>
      <c r="E1356" s="116">
        <v>4898</v>
      </c>
      <c r="F1356" s="116">
        <v>4816.8500000000004</v>
      </c>
      <c r="G1356">
        <v>14749</v>
      </c>
      <c r="H1356" s="116"/>
      <c r="I1356" s="116"/>
      <c r="L1356" s="170">
        <v>44629</v>
      </c>
      <c r="M1356" s="116">
        <v>4821.1000000000004</v>
      </c>
      <c r="N1356" s="116">
        <v>4939.8999999999996</v>
      </c>
      <c r="O1356" s="116">
        <v>4800.05</v>
      </c>
      <c r="P1356" s="116">
        <v>4890</v>
      </c>
      <c r="Q1356" s="116">
        <v>4821.1000000000004</v>
      </c>
      <c r="R1356">
        <v>328675</v>
      </c>
    </row>
    <row r="1357" spans="1:18" x14ac:dyDescent="0.25">
      <c r="A1357" s="170">
        <v>44630</v>
      </c>
      <c r="B1357" s="116">
        <v>4967.8</v>
      </c>
      <c r="C1357" s="116">
        <v>4934.7</v>
      </c>
      <c r="D1357" s="116">
        <v>4823.5</v>
      </c>
      <c r="E1357" s="116">
        <v>4924</v>
      </c>
      <c r="F1357" s="116">
        <v>4934.7</v>
      </c>
      <c r="G1357">
        <v>12773</v>
      </c>
      <c r="H1357" s="116"/>
      <c r="I1357" s="116"/>
      <c r="L1357" s="170">
        <v>44630</v>
      </c>
      <c r="M1357" s="116">
        <v>4941</v>
      </c>
      <c r="N1357" s="116">
        <v>4966.95</v>
      </c>
      <c r="O1357" s="116">
        <v>4821.1000000000004</v>
      </c>
      <c r="P1357" s="116">
        <v>4920</v>
      </c>
      <c r="Q1357" s="116">
        <v>4941</v>
      </c>
      <c r="R1357">
        <v>312638</v>
      </c>
    </row>
    <row r="1358" spans="1:18" x14ac:dyDescent="0.25">
      <c r="A1358" s="170">
        <v>44631</v>
      </c>
      <c r="B1358" s="116">
        <v>4979.8500000000004</v>
      </c>
      <c r="C1358" s="116">
        <v>4939.3</v>
      </c>
      <c r="D1358" s="116">
        <v>4858.3999999999996</v>
      </c>
      <c r="E1358" s="116">
        <v>4939.8999999999996</v>
      </c>
      <c r="F1358" s="116">
        <v>4939.3</v>
      </c>
      <c r="G1358">
        <v>5371</v>
      </c>
      <c r="H1358" s="116"/>
      <c r="I1358" s="116"/>
      <c r="L1358" s="170">
        <v>44631</v>
      </c>
      <c r="M1358" s="116">
        <v>4938.8999999999996</v>
      </c>
      <c r="N1358" s="116">
        <v>4979.3</v>
      </c>
      <c r="O1358" s="116">
        <v>4857.05</v>
      </c>
      <c r="P1358" s="116">
        <v>4925</v>
      </c>
      <c r="Q1358" s="116">
        <v>4938.8999999999996</v>
      </c>
      <c r="R1358">
        <v>174829</v>
      </c>
    </row>
    <row r="1359" spans="1:18" x14ac:dyDescent="0.25">
      <c r="A1359" s="170">
        <v>44634</v>
      </c>
      <c r="B1359" s="116">
        <v>5010</v>
      </c>
      <c r="C1359" s="116">
        <v>4969.55</v>
      </c>
      <c r="D1359" s="116">
        <v>4910</v>
      </c>
      <c r="E1359" s="116">
        <v>4910</v>
      </c>
      <c r="F1359" s="116">
        <v>4969.55</v>
      </c>
      <c r="G1359">
        <v>11018</v>
      </c>
      <c r="H1359" s="116"/>
      <c r="I1359" s="116"/>
      <c r="L1359" s="170">
        <v>44634</v>
      </c>
      <c r="M1359" s="116">
        <v>4969.7</v>
      </c>
      <c r="N1359" s="116">
        <v>5010</v>
      </c>
      <c r="O1359" s="116">
        <v>4915.55</v>
      </c>
      <c r="P1359" s="116">
        <v>4925.05</v>
      </c>
      <c r="Q1359" s="116">
        <v>4969.7</v>
      </c>
      <c r="R1359">
        <v>200885</v>
      </c>
    </row>
    <row r="1360" spans="1:18" x14ac:dyDescent="0.25">
      <c r="A1360" s="170">
        <v>44635</v>
      </c>
      <c r="B1360" s="116">
        <v>5012.8999999999996</v>
      </c>
      <c r="C1360" s="116">
        <v>4753.1000000000004</v>
      </c>
      <c r="D1360" s="116">
        <v>4725</v>
      </c>
      <c r="E1360" s="116">
        <v>4970</v>
      </c>
      <c r="F1360" s="116">
        <v>4753.1000000000004</v>
      </c>
      <c r="G1360">
        <v>14041</v>
      </c>
      <c r="H1360" s="116"/>
      <c r="I1360" s="116"/>
      <c r="L1360" s="170">
        <v>44635</v>
      </c>
      <c r="M1360" s="116">
        <v>4753.8500000000004</v>
      </c>
      <c r="N1360" s="116">
        <v>5016.8999999999996</v>
      </c>
      <c r="O1360" s="116">
        <v>4725</v>
      </c>
      <c r="P1360" s="116">
        <v>4969.7</v>
      </c>
      <c r="Q1360" s="116">
        <v>4753.8500000000004</v>
      </c>
      <c r="R1360">
        <v>317861</v>
      </c>
    </row>
    <row r="1361" spans="1:18" x14ac:dyDescent="0.25">
      <c r="A1361" s="170">
        <v>44636</v>
      </c>
      <c r="B1361" s="116">
        <v>4850</v>
      </c>
      <c r="C1361" s="116">
        <v>4758.8500000000004</v>
      </c>
      <c r="D1361" s="116">
        <v>4740</v>
      </c>
      <c r="E1361" s="116">
        <v>4787.55</v>
      </c>
      <c r="F1361" s="116">
        <v>4758.8500000000004</v>
      </c>
      <c r="G1361">
        <v>22132</v>
      </c>
      <c r="H1361" s="116"/>
      <c r="I1361" s="116"/>
      <c r="L1361" s="170">
        <v>44636</v>
      </c>
      <c r="M1361" s="116">
        <v>4754.8999999999996</v>
      </c>
      <c r="N1361" s="116">
        <v>4855.95</v>
      </c>
      <c r="O1361" s="116">
        <v>4738</v>
      </c>
      <c r="P1361" s="116">
        <v>4820</v>
      </c>
      <c r="Q1361" s="116">
        <v>4754.8999999999996</v>
      </c>
      <c r="R1361">
        <v>294753</v>
      </c>
    </row>
    <row r="1362" spans="1:18" x14ac:dyDescent="0.25">
      <c r="A1362" s="170">
        <v>44637</v>
      </c>
      <c r="B1362" s="116">
        <v>4847</v>
      </c>
      <c r="C1362" s="116">
        <v>4736.05</v>
      </c>
      <c r="D1362" s="116">
        <v>4715</v>
      </c>
      <c r="E1362" s="116">
        <v>4847</v>
      </c>
      <c r="F1362" s="116">
        <v>4736.05</v>
      </c>
      <c r="G1362">
        <v>14293</v>
      </c>
      <c r="H1362" s="116"/>
      <c r="I1362" s="116"/>
      <c r="L1362" s="170">
        <v>44637</v>
      </c>
      <c r="M1362" s="116">
        <v>4732.8500000000004</v>
      </c>
      <c r="N1362" s="116">
        <v>4824</v>
      </c>
      <c r="O1362" s="116">
        <v>4715</v>
      </c>
      <c r="P1362" s="116">
        <v>4824</v>
      </c>
      <c r="Q1362" s="116">
        <v>4732.8500000000004</v>
      </c>
      <c r="R1362">
        <v>372474</v>
      </c>
    </row>
    <row r="1363" spans="1:18" x14ac:dyDescent="0.25">
      <c r="A1363" s="170">
        <v>44641</v>
      </c>
      <c r="B1363" s="116">
        <v>4817.3</v>
      </c>
      <c r="C1363" s="116">
        <v>4784.45</v>
      </c>
      <c r="D1363" s="116">
        <v>4737.8999999999996</v>
      </c>
      <c r="E1363" s="116">
        <v>4775</v>
      </c>
      <c r="F1363" s="116">
        <v>4784.45</v>
      </c>
      <c r="G1363">
        <v>15861</v>
      </c>
      <c r="H1363" s="116"/>
      <c r="I1363" s="116"/>
      <c r="L1363" s="170">
        <v>44641</v>
      </c>
      <c r="M1363" s="116">
        <v>4788.1000000000004</v>
      </c>
      <c r="N1363" s="116">
        <v>4818</v>
      </c>
      <c r="O1363" s="116">
        <v>4736</v>
      </c>
      <c r="P1363" s="116">
        <v>4790</v>
      </c>
      <c r="Q1363" s="116">
        <v>4788.1000000000004</v>
      </c>
      <c r="R1363">
        <v>203017</v>
      </c>
    </row>
    <row r="1364" spans="1:18" x14ac:dyDescent="0.25">
      <c r="A1364" s="170">
        <v>44642</v>
      </c>
      <c r="B1364" s="116">
        <v>4889</v>
      </c>
      <c r="C1364" s="116">
        <v>4875.8999999999996</v>
      </c>
      <c r="D1364" s="116">
        <v>4721.8</v>
      </c>
      <c r="E1364" s="116">
        <v>4785.5</v>
      </c>
      <c r="F1364" s="116">
        <v>4875.8999999999996</v>
      </c>
      <c r="G1364">
        <v>6604</v>
      </c>
      <c r="H1364" s="116"/>
      <c r="I1364" s="116"/>
      <c r="L1364" s="170">
        <v>44642</v>
      </c>
      <c r="M1364" s="116">
        <v>4878.55</v>
      </c>
      <c r="N1364" s="116">
        <v>4891.6499999999996</v>
      </c>
      <c r="O1364" s="116">
        <v>4720.05</v>
      </c>
      <c r="P1364" s="116">
        <v>4802.3999999999996</v>
      </c>
      <c r="Q1364" s="116">
        <v>4878.55</v>
      </c>
      <c r="R1364">
        <v>235956</v>
      </c>
    </row>
    <row r="1365" spans="1:18" x14ac:dyDescent="0.25">
      <c r="A1365" s="170">
        <v>44643</v>
      </c>
      <c r="B1365" s="116">
        <v>4958.8</v>
      </c>
      <c r="C1365" s="116">
        <v>4906.6499999999996</v>
      </c>
      <c r="D1365" s="116">
        <v>4884.3999999999996</v>
      </c>
      <c r="E1365" s="116">
        <v>4933</v>
      </c>
      <c r="F1365" s="116">
        <v>4906.6499999999996</v>
      </c>
      <c r="G1365">
        <v>13785</v>
      </c>
      <c r="H1365" s="116"/>
      <c r="I1365" s="116"/>
      <c r="L1365" s="170">
        <v>44643</v>
      </c>
      <c r="M1365" s="116">
        <v>4897.8500000000004</v>
      </c>
      <c r="N1365" s="116">
        <v>4958.8</v>
      </c>
      <c r="O1365" s="116">
        <v>4883.95</v>
      </c>
      <c r="P1365" s="116">
        <v>4920</v>
      </c>
      <c r="Q1365" s="116">
        <v>4897.8500000000004</v>
      </c>
      <c r="R1365">
        <v>210979</v>
      </c>
    </row>
    <row r="1366" spans="1:18" x14ac:dyDescent="0.25">
      <c r="A1366" s="170">
        <v>44644</v>
      </c>
      <c r="B1366" s="116">
        <v>5058</v>
      </c>
      <c r="C1366" s="116">
        <v>5037.8500000000004</v>
      </c>
      <c r="D1366" s="116">
        <v>4841.75</v>
      </c>
      <c r="E1366" s="116">
        <v>4888.5</v>
      </c>
      <c r="F1366" s="116">
        <v>5037.8500000000004</v>
      </c>
      <c r="G1366">
        <v>20791</v>
      </c>
      <c r="H1366" s="116"/>
      <c r="I1366" s="116"/>
      <c r="L1366" s="170">
        <v>44644</v>
      </c>
      <c r="M1366" s="116">
        <v>5037.3</v>
      </c>
      <c r="N1366" s="116">
        <v>5061.95</v>
      </c>
      <c r="O1366" s="116">
        <v>4843.6499999999996</v>
      </c>
      <c r="P1366" s="116">
        <v>4895</v>
      </c>
      <c r="Q1366" s="116">
        <v>5037.3</v>
      </c>
      <c r="R1366">
        <v>338729</v>
      </c>
    </row>
    <row r="1367" spans="1:18" x14ac:dyDescent="0.25">
      <c r="A1367" s="170">
        <v>44645</v>
      </c>
      <c r="B1367" s="116">
        <v>5090</v>
      </c>
      <c r="C1367" s="116">
        <v>4928.25</v>
      </c>
      <c r="D1367" s="116">
        <v>4895.2</v>
      </c>
      <c r="E1367" s="116">
        <v>5075</v>
      </c>
      <c r="F1367" s="116">
        <v>4928.25</v>
      </c>
      <c r="G1367">
        <v>15688</v>
      </c>
      <c r="H1367" s="116"/>
      <c r="I1367" s="116"/>
      <c r="L1367" s="170">
        <v>44645</v>
      </c>
      <c r="M1367" s="116">
        <v>4929</v>
      </c>
      <c r="N1367" s="116">
        <v>5091.95</v>
      </c>
      <c r="O1367" s="116">
        <v>4892.1000000000004</v>
      </c>
      <c r="P1367" s="116">
        <v>5090</v>
      </c>
      <c r="Q1367" s="116">
        <v>4929</v>
      </c>
      <c r="R1367">
        <v>415539</v>
      </c>
    </row>
    <row r="1368" spans="1:18" x14ac:dyDescent="0.25">
      <c r="A1368" s="170">
        <v>44648</v>
      </c>
      <c r="B1368" s="116">
        <v>4970.55</v>
      </c>
      <c r="C1368" s="116">
        <v>4894.95</v>
      </c>
      <c r="D1368" s="116">
        <v>4858.25</v>
      </c>
      <c r="E1368" s="116">
        <v>4929</v>
      </c>
      <c r="F1368" s="116">
        <v>4894.95</v>
      </c>
      <c r="G1368">
        <v>17057</v>
      </c>
      <c r="H1368" s="116"/>
      <c r="I1368" s="116"/>
      <c r="L1368" s="170">
        <v>44648</v>
      </c>
      <c r="M1368" s="116">
        <v>4893</v>
      </c>
      <c r="N1368" s="116">
        <v>4971.95</v>
      </c>
      <c r="O1368" s="116">
        <v>4856.1000000000004</v>
      </c>
      <c r="P1368" s="116">
        <v>4935.1000000000004</v>
      </c>
      <c r="Q1368" s="116">
        <v>4893</v>
      </c>
      <c r="R1368">
        <v>196410</v>
      </c>
    </row>
    <row r="1369" spans="1:18" x14ac:dyDescent="0.25">
      <c r="A1369" s="170">
        <v>44649</v>
      </c>
      <c r="B1369" s="116">
        <v>5000</v>
      </c>
      <c r="C1369" s="116">
        <v>4971.55</v>
      </c>
      <c r="D1369" s="116">
        <v>4917.8999999999996</v>
      </c>
      <c r="E1369" s="116">
        <v>4945</v>
      </c>
      <c r="F1369" s="116">
        <v>4971.55</v>
      </c>
      <c r="G1369">
        <v>11055</v>
      </c>
      <c r="H1369" s="116"/>
      <c r="I1369" s="116"/>
      <c r="L1369" s="170">
        <v>44649</v>
      </c>
      <c r="M1369" s="116">
        <v>4973.75</v>
      </c>
      <c r="N1369" s="116">
        <v>5005</v>
      </c>
      <c r="O1369" s="116">
        <v>4917.3500000000004</v>
      </c>
      <c r="P1369" s="116">
        <v>4960</v>
      </c>
      <c r="Q1369" s="116">
        <v>4973.75</v>
      </c>
      <c r="R1369">
        <v>182180</v>
      </c>
    </row>
    <row r="1370" spans="1:18" x14ac:dyDescent="0.25">
      <c r="A1370" s="170">
        <v>44650</v>
      </c>
      <c r="B1370" s="116">
        <v>5125.25</v>
      </c>
      <c r="C1370" s="116">
        <v>5103.7</v>
      </c>
      <c r="D1370" s="116">
        <v>4968.1000000000004</v>
      </c>
      <c r="E1370" s="116">
        <v>4979</v>
      </c>
      <c r="F1370" s="116">
        <v>5103.7</v>
      </c>
      <c r="G1370">
        <v>11007</v>
      </c>
      <c r="H1370" s="116"/>
      <c r="I1370" s="116"/>
      <c r="L1370" s="170">
        <v>44650</v>
      </c>
      <c r="M1370" s="116">
        <v>5109.3</v>
      </c>
      <c r="N1370" s="116">
        <v>5125.3</v>
      </c>
      <c r="O1370" s="116">
        <v>4967.2</v>
      </c>
      <c r="P1370" s="116">
        <v>5000</v>
      </c>
      <c r="Q1370" s="116">
        <v>5109.3</v>
      </c>
      <c r="R1370">
        <v>346546</v>
      </c>
    </row>
    <row r="1371" spans="1:18" x14ac:dyDescent="0.25">
      <c r="A1371" s="170">
        <v>44651</v>
      </c>
      <c r="B1371" s="116">
        <v>5150</v>
      </c>
      <c r="C1371" s="116">
        <v>5102.05</v>
      </c>
      <c r="D1371" s="116">
        <v>5057.7</v>
      </c>
      <c r="E1371" s="116">
        <v>5140</v>
      </c>
      <c r="F1371" s="116">
        <v>5102.05</v>
      </c>
      <c r="G1371">
        <v>7894</v>
      </c>
      <c r="H1371" s="116"/>
      <c r="I1371" s="116"/>
      <c r="L1371" s="170">
        <v>44651</v>
      </c>
      <c r="M1371" s="116">
        <v>5105.3</v>
      </c>
      <c r="N1371" s="116">
        <v>5149</v>
      </c>
      <c r="O1371" s="116">
        <v>5055</v>
      </c>
      <c r="P1371" s="116">
        <v>5135</v>
      </c>
      <c r="Q1371" s="116">
        <v>5105.3</v>
      </c>
      <c r="R1371">
        <v>226112</v>
      </c>
    </row>
    <row r="1372" spans="1:18" x14ac:dyDescent="0.25">
      <c r="A1372" s="170">
        <v>44652</v>
      </c>
      <c r="B1372" s="116">
        <v>5193.2</v>
      </c>
      <c r="C1372" s="116">
        <v>5116.7</v>
      </c>
      <c r="D1372" s="116">
        <v>5080.8500000000004</v>
      </c>
      <c r="E1372" s="116">
        <v>5090.75</v>
      </c>
      <c r="F1372" s="116">
        <v>5116.7</v>
      </c>
      <c r="G1372">
        <v>10274</v>
      </c>
      <c r="H1372" s="116"/>
      <c r="I1372" s="116"/>
      <c r="L1372" s="170">
        <v>44652</v>
      </c>
      <c r="M1372" s="116">
        <v>5121.3</v>
      </c>
      <c r="N1372" s="116">
        <v>5197</v>
      </c>
      <c r="O1372" s="116">
        <v>5081.8999999999996</v>
      </c>
      <c r="P1372" s="116">
        <v>5104.8</v>
      </c>
      <c r="Q1372" s="116">
        <v>5121.3</v>
      </c>
      <c r="R1372">
        <v>206481</v>
      </c>
    </row>
    <row r="1373" spans="1:18" x14ac:dyDescent="0.25">
      <c r="A1373" s="170">
        <v>44655</v>
      </c>
      <c r="B1373" s="116">
        <v>5219.8999999999996</v>
      </c>
      <c r="C1373" s="116">
        <v>5196.5</v>
      </c>
      <c r="D1373" s="116">
        <v>5114.1000000000004</v>
      </c>
      <c r="E1373" s="116">
        <v>5179.8</v>
      </c>
      <c r="F1373" s="116">
        <v>5196.5</v>
      </c>
      <c r="G1373">
        <v>11897</v>
      </c>
      <c r="H1373" s="116"/>
      <c r="I1373" s="116"/>
      <c r="L1373" s="170">
        <v>44655</v>
      </c>
      <c r="M1373" s="116">
        <v>5194.25</v>
      </c>
      <c r="N1373" s="116">
        <v>5220</v>
      </c>
      <c r="O1373" s="116">
        <v>5115.1000000000004</v>
      </c>
      <c r="P1373" s="116">
        <v>5142</v>
      </c>
      <c r="Q1373" s="116">
        <v>5194.25</v>
      </c>
      <c r="R1373">
        <v>226214</v>
      </c>
    </row>
    <row r="1374" spans="1:18" x14ac:dyDescent="0.25">
      <c r="A1374" s="170">
        <v>44656</v>
      </c>
      <c r="B1374" s="116">
        <v>5294.7</v>
      </c>
      <c r="C1374" s="116">
        <v>5172.3</v>
      </c>
      <c r="D1374" s="116">
        <v>5155.55</v>
      </c>
      <c r="E1374" s="116">
        <v>5238.8</v>
      </c>
      <c r="F1374" s="116">
        <v>5172.3</v>
      </c>
      <c r="G1374">
        <v>27049</v>
      </c>
      <c r="H1374" s="116"/>
      <c r="I1374" s="116"/>
      <c r="L1374" s="170">
        <v>44656</v>
      </c>
      <c r="M1374" s="116">
        <v>5171</v>
      </c>
      <c r="N1374" s="116">
        <v>5295</v>
      </c>
      <c r="O1374" s="116">
        <v>5151</v>
      </c>
      <c r="P1374" s="116">
        <v>5195</v>
      </c>
      <c r="Q1374" s="116">
        <v>5171</v>
      </c>
      <c r="R1374">
        <v>440137</v>
      </c>
    </row>
    <row r="1375" spans="1:18" x14ac:dyDescent="0.25">
      <c r="A1375" s="170">
        <v>44657</v>
      </c>
      <c r="B1375" s="116">
        <v>5205</v>
      </c>
      <c r="C1375" s="116">
        <v>5140.95</v>
      </c>
      <c r="D1375" s="116">
        <v>5121</v>
      </c>
      <c r="E1375" s="116">
        <v>5135</v>
      </c>
      <c r="F1375" s="116">
        <v>5140.95</v>
      </c>
      <c r="G1375">
        <v>11780</v>
      </c>
      <c r="H1375" s="116"/>
      <c r="I1375" s="116"/>
      <c r="L1375" s="170">
        <v>44657</v>
      </c>
      <c r="M1375" s="116">
        <v>5141.25</v>
      </c>
      <c r="N1375" s="116">
        <v>5207.95</v>
      </c>
      <c r="O1375" s="116">
        <v>5121</v>
      </c>
      <c r="P1375" s="116">
        <v>5165</v>
      </c>
      <c r="Q1375" s="116">
        <v>5141.25</v>
      </c>
      <c r="R1375">
        <v>201710</v>
      </c>
    </row>
    <row r="1376" spans="1:18" x14ac:dyDescent="0.25">
      <c r="A1376" s="170">
        <v>44658</v>
      </c>
      <c r="B1376" s="116">
        <v>5165.8500000000004</v>
      </c>
      <c r="C1376" s="116">
        <v>4980.8999999999996</v>
      </c>
      <c r="D1376" s="116">
        <v>4959.3</v>
      </c>
      <c r="E1376" s="116">
        <v>5141</v>
      </c>
      <c r="F1376" s="116">
        <v>4980.8999999999996</v>
      </c>
      <c r="G1376">
        <v>10753</v>
      </c>
      <c r="H1376" s="116"/>
      <c r="I1376" s="116"/>
      <c r="L1376" s="170">
        <v>44658</v>
      </c>
      <c r="M1376" s="116">
        <v>4977.75</v>
      </c>
      <c r="N1376" s="116">
        <v>5165</v>
      </c>
      <c r="O1376" s="116">
        <v>4954</v>
      </c>
      <c r="P1376" s="116">
        <v>5145</v>
      </c>
      <c r="Q1376" s="116">
        <v>4977.75</v>
      </c>
      <c r="R1376">
        <v>347856</v>
      </c>
    </row>
    <row r="1377" spans="1:18" x14ac:dyDescent="0.25">
      <c r="A1377" s="170">
        <v>44659</v>
      </c>
      <c r="B1377" s="116">
        <v>5034.8500000000004</v>
      </c>
      <c r="C1377" s="116">
        <v>4990.6000000000004</v>
      </c>
      <c r="D1377" s="116">
        <v>4875.5</v>
      </c>
      <c r="E1377" s="116">
        <v>4979.6499999999996</v>
      </c>
      <c r="F1377" s="116">
        <v>4990.6000000000004</v>
      </c>
      <c r="G1377">
        <v>20378</v>
      </c>
      <c r="H1377" s="116"/>
      <c r="I1377" s="116"/>
      <c r="L1377" s="170">
        <v>44659</v>
      </c>
      <c r="M1377" s="116">
        <v>4993</v>
      </c>
      <c r="N1377" s="116">
        <v>5033.6499999999996</v>
      </c>
      <c r="O1377" s="116">
        <v>4875.5</v>
      </c>
      <c r="P1377" s="116">
        <v>5009.95</v>
      </c>
      <c r="Q1377" s="116">
        <v>4993</v>
      </c>
      <c r="R1377">
        <v>264689</v>
      </c>
    </row>
    <row r="1378" spans="1:18" x14ac:dyDescent="0.25">
      <c r="A1378" s="170">
        <v>44662</v>
      </c>
      <c r="B1378" s="116">
        <v>5006.5</v>
      </c>
      <c r="C1378" s="116">
        <v>4806.05</v>
      </c>
      <c r="D1378" s="116">
        <v>4785.2</v>
      </c>
      <c r="E1378" s="116">
        <v>5004.8500000000004</v>
      </c>
      <c r="F1378" s="116">
        <v>4806.05</v>
      </c>
      <c r="G1378">
        <v>12127</v>
      </c>
      <c r="H1378" s="116"/>
      <c r="I1378" s="116"/>
      <c r="L1378" s="170">
        <v>44662</v>
      </c>
      <c r="M1378" s="116">
        <v>4798.8500000000004</v>
      </c>
      <c r="N1378" s="116">
        <v>5008</v>
      </c>
      <c r="O1378" s="116">
        <v>4785</v>
      </c>
      <c r="P1378" s="116">
        <v>5008</v>
      </c>
      <c r="Q1378" s="116">
        <v>4798.8500000000004</v>
      </c>
      <c r="R1378">
        <v>438353</v>
      </c>
    </row>
    <row r="1379" spans="1:18" x14ac:dyDescent="0.25">
      <c r="A1379" s="170">
        <v>44663</v>
      </c>
      <c r="B1379" s="116">
        <v>4790.6499999999996</v>
      </c>
      <c r="C1379" s="116">
        <v>4594</v>
      </c>
      <c r="D1379" s="116">
        <v>4552</v>
      </c>
      <c r="E1379" s="116">
        <v>4790.6499999999996</v>
      </c>
      <c r="F1379" s="116">
        <v>4594</v>
      </c>
      <c r="G1379">
        <v>39318</v>
      </c>
      <c r="H1379" s="116"/>
      <c r="I1379" s="116"/>
      <c r="L1379" s="170">
        <v>44663</v>
      </c>
      <c r="M1379" s="116">
        <v>4592.6000000000004</v>
      </c>
      <c r="N1379" s="116">
        <v>4775</v>
      </c>
      <c r="O1379" s="116">
        <v>4550.2</v>
      </c>
      <c r="P1379" s="116">
        <v>4775</v>
      </c>
      <c r="Q1379" s="116">
        <v>4592.6000000000004</v>
      </c>
      <c r="R1379">
        <v>530807</v>
      </c>
    </row>
    <row r="1380" spans="1:18" x14ac:dyDescent="0.25">
      <c r="A1380" s="170">
        <v>44664</v>
      </c>
      <c r="B1380" s="116">
        <v>4639.1499999999996</v>
      </c>
      <c r="C1380" s="116">
        <v>4509.25</v>
      </c>
      <c r="D1380" s="116">
        <v>4485</v>
      </c>
      <c r="E1380" s="116">
        <v>4590</v>
      </c>
      <c r="F1380" s="116">
        <v>4509.25</v>
      </c>
      <c r="G1380">
        <v>24345</v>
      </c>
      <c r="H1380" s="116"/>
      <c r="I1380" s="116"/>
      <c r="L1380" s="170">
        <v>44664</v>
      </c>
      <c r="M1380" s="116">
        <v>4507.3999999999996</v>
      </c>
      <c r="N1380" s="116">
        <v>4638.45</v>
      </c>
      <c r="O1380" s="116">
        <v>4482.05</v>
      </c>
      <c r="P1380" s="116">
        <v>4589</v>
      </c>
      <c r="Q1380" s="116">
        <v>4507.3999999999996</v>
      </c>
      <c r="R1380">
        <v>408178</v>
      </c>
    </row>
    <row r="1381" spans="1:18" x14ac:dyDescent="0.25">
      <c r="A1381" s="170">
        <v>44669</v>
      </c>
      <c r="B1381" s="116">
        <v>4484</v>
      </c>
      <c r="C1381" s="116">
        <v>4307.3999999999996</v>
      </c>
      <c r="D1381" s="116">
        <v>4264</v>
      </c>
      <c r="E1381" s="116">
        <v>4450</v>
      </c>
      <c r="F1381" s="116">
        <v>4307.3999999999996</v>
      </c>
      <c r="G1381">
        <v>44031</v>
      </c>
      <c r="H1381" s="116"/>
      <c r="I1381" s="116"/>
      <c r="L1381" s="170">
        <v>44669</v>
      </c>
      <c r="M1381" s="116">
        <v>4305.1499999999996</v>
      </c>
      <c r="N1381" s="116">
        <v>4483.75</v>
      </c>
      <c r="O1381" s="116">
        <v>4261.8999999999996</v>
      </c>
      <c r="P1381" s="116">
        <v>4442</v>
      </c>
      <c r="Q1381" s="116">
        <v>4305.1499999999996</v>
      </c>
      <c r="R1381">
        <v>668167</v>
      </c>
    </row>
    <row r="1382" spans="1:18" x14ac:dyDescent="0.25">
      <c r="A1382" s="170">
        <v>44670</v>
      </c>
      <c r="B1382" s="116">
        <v>4413.1000000000004</v>
      </c>
      <c r="C1382" s="116">
        <v>4213.2</v>
      </c>
      <c r="D1382" s="116">
        <v>4160</v>
      </c>
      <c r="E1382" s="116">
        <v>4375</v>
      </c>
      <c r="F1382" s="116">
        <v>4213.2</v>
      </c>
      <c r="G1382">
        <v>27389</v>
      </c>
      <c r="H1382" s="116"/>
      <c r="I1382" s="116"/>
      <c r="L1382" s="170">
        <v>44670</v>
      </c>
      <c r="M1382" s="116">
        <v>4209.7</v>
      </c>
      <c r="N1382" s="116">
        <v>4413.55</v>
      </c>
      <c r="O1382" s="116">
        <v>4160.8</v>
      </c>
      <c r="P1382" s="116">
        <v>4375</v>
      </c>
      <c r="Q1382" s="116">
        <v>4209.7</v>
      </c>
      <c r="R1382">
        <v>391367</v>
      </c>
    </row>
    <row r="1383" spans="1:18" x14ac:dyDescent="0.25">
      <c r="A1383" s="170">
        <v>44671</v>
      </c>
      <c r="B1383" s="116">
        <v>4292</v>
      </c>
      <c r="C1383" s="116">
        <v>4184.7</v>
      </c>
      <c r="D1383" s="116">
        <v>4115.05</v>
      </c>
      <c r="E1383" s="116">
        <v>4218.3</v>
      </c>
      <c r="F1383" s="116">
        <v>4184.7</v>
      </c>
      <c r="G1383">
        <v>24985</v>
      </c>
      <c r="H1383" s="116"/>
      <c r="I1383" s="116"/>
      <c r="L1383" s="170">
        <v>44671</v>
      </c>
      <c r="M1383" s="116">
        <v>4180.8</v>
      </c>
      <c r="N1383" s="116">
        <v>4290.95</v>
      </c>
      <c r="O1383" s="116">
        <v>4113.05</v>
      </c>
      <c r="P1383" s="116">
        <v>4200</v>
      </c>
      <c r="Q1383" s="116">
        <v>4180.8</v>
      </c>
      <c r="R1383">
        <v>457652</v>
      </c>
    </row>
    <row r="1384" spans="1:18" x14ac:dyDescent="0.25">
      <c r="A1384" s="170">
        <v>44672</v>
      </c>
      <c r="B1384" s="116">
        <v>4277.2</v>
      </c>
      <c r="C1384" s="116">
        <v>4244.3500000000004</v>
      </c>
      <c r="D1384" s="116">
        <v>4177.55</v>
      </c>
      <c r="E1384" s="116">
        <v>4221</v>
      </c>
      <c r="F1384" s="116">
        <v>4244.3500000000004</v>
      </c>
      <c r="G1384">
        <v>15794</v>
      </c>
      <c r="H1384" s="116"/>
      <c r="I1384" s="116"/>
      <c r="L1384" s="170">
        <v>44672</v>
      </c>
      <c r="M1384" s="116">
        <v>4244.3</v>
      </c>
      <c r="N1384" s="116">
        <v>4277.6000000000004</v>
      </c>
      <c r="O1384" s="116">
        <v>4180.05</v>
      </c>
      <c r="P1384" s="116">
        <v>4220</v>
      </c>
      <c r="Q1384" s="116">
        <v>4244.3</v>
      </c>
      <c r="R1384">
        <v>235585</v>
      </c>
    </row>
    <row r="1385" spans="1:18" x14ac:dyDescent="0.25">
      <c r="A1385" s="170">
        <v>44673</v>
      </c>
      <c r="B1385" s="116">
        <v>4303.95</v>
      </c>
      <c r="C1385" s="116">
        <v>4101.25</v>
      </c>
      <c r="D1385" s="116">
        <v>4030.05</v>
      </c>
      <c r="E1385" s="116">
        <v>4140</v>
      </c>
      <c r="F1385" s="116">
        <v>4101.25</v>
      </c>
      <c r="G1385">
        <v>42675</v>
      </c>
      <c r="H1385" s="116"/>
      <c r="I1385" s="116"/>
      <c r="L1385" s="170">
        <v>44673</v>
      </c>
      <c r="M1385" s="116">
        <v>4101.3999999999996</v>
      </c>
      <c r="N1385" s="116">
        <v>4305.95</v>
      </c>
      <c r="O1385" s="116">
        <v>4038.6</v>
      </c>
      <c r="P1385" s="116">
        <v>4119.95</v>
      </c>
      <c r="Q1385" s="116">
        <v>4101.3999999999996</v>
      </c>
      <c r="R1385">
        <v>980185</v>
      </c>
    </row>
    <row r="1386" spans="1:18" x14ac:dyDescent="0.25">
      <c r="A1386" s="170">
        <v>44676</v>
      </c>
      <c r="B1386" s="116">
        <v>4110</v>
      </c>
      <c r="C1386" s="116">
        <v>4012.85</v>
      </c>
      <c r="D1386" s="116">
        <v>3960.15</v>
      </c>
      <c r="E1386" s="116">
        <v>4110</v>
      </c>
      <c r="F1386" s="116">
        <v>4012.85</v>
      </c>
      <c r="G1386">
        <v>12550</v>
      </c>
      <c r="H1386" s="116"/>
      <c r="I1386" s="116"/>
      <c r="L1386" s="170">
        <v>44676</v>
      </c>
      <c r="M1386" s="116">
        <v>4010.6</v>
      </c>
      <c r="N1386" s="116">
        <v>4094.95</v>
      </c>
      <c r="O1386" s="116">
        <v>3960.05</v>
      </c>
      <c r="P1386" s="116">
        <v>4094.95</v>
      </c>
      <c r="Q1386" s="116">
        <v>4010.6</v>
      </c>
      <c r="R1386">
        <v>355008</v>
      </c>
    </row>
    <row r="1387" spans="1:18" x14ac:dyDescent="0.25">
      <c r="A1387" s="170">
        <v>44677</v>
      </c>
      <c r="B1387" s="116">
        <v>4093.5</v>
      </c>
      <c r="C1387" s="116">
        <v>4040.35</v>
      </c>
      <c r="D1387" s="116">
        <v>4024</v>
      </c>
      <c r="E1387" s="116">
        <v>4051</v>
      </c>
      <c r="F1387" s="116">
        <v>4040.35</v>
      </c>
      <c r="G1387">
        <v>13538</v>
      </c>
      <c r="H1387" s="116"/>
      <c r="I1387" s="116"/>
      <c r="L1387" s="170">
        <v>44677</v>
      </c>
      <c r="M1387" s="116">
        <v>4040.15</v>
      </c>
      <c r="N1387" s="116">
        <v>4089.95</v>
      </c>
      <c r="O1387" s="116">
        <v>4022.4</v>
      </c>
      <c r="P1387" s="116">
        <v>4084.7</v>
      </c>
      <c r="Q1387" s="116">
        <v>4040.15</v>
      </c>
      <c r="R1387">
        <v>178009</v>
      </c>
    </row>
    <row r="1388" spans="1:18" x14ac:dyDescent="0.25">
      <c r="A1388" s="170">
        <v>44678</v>
      </c>
      <c r="B1388" s="116">
        <v>4068.95</v>
      </c>
      <c r="C1388" s="116">
        <v>4025.55</v>
      </c>
      <c r="D1388" s="116">
        <v>3960</v>
      </c>
      <c r="E1388" s="116">
        <v>4010</v>
      </c>
      <c r="F1388" s="116">
        <v>4025.55</v>
      </c>
      <c r="G1388">
        <v>18295</v>
      </c>
      <c r="H1388" s="116"/>
      <c r="I1388" s="116"/>
      <c r="L1388" s="170">
        <v>44678</v>
      </c>
      <c r="M1388" s="116">
        <v>4024.9</v>
      </c>
      <c r="N1388" s="116">
        <v>4070</v>
      </c>
      <c r="O1388" s="116">
        <v>3958</v>
      </c>
      <c r="P1388" s="116">
        <v>4008</v>
      </c>
      <c r="Q1388" s="116">
        <v>4024.9</v>
      </c>
      <c r="R1388">
        <v>189391</v>
      </c>
    </row>
    <row r="1389" spans="1:18" x14ac:dyDescent="0.25">
      <c r="A1389" s="170">
        <v>44679</v>
      </c>
      <c r="B1389" s="116">
        <v>4120</v>
      </c>
      <c r="C1389" s="116">
        <v>4071.7</v>
      </c>
      <c r="D1389" s="116">
        <v>3996.6</v>
      </c>
      <c r="E1389" s="116">
        <v>4086.85</v>
      </c>
      <c r="F1389" s="116">
        <v>4071.7</v>
      </c>
      <c r="G1389">
        <v>16064</v>
      </c>
      <c r="H1389" s="116"/>
      <c r="I1389" s="116"/>
      <c r="L1389" s="170">
        <v>44679</v>
      </c>
      <c r="M1389" s="116">
        <v>4068.8</v>
      </c>
      <c r="N1389" s="116">
        <v>4119.8999999999996</v>
      </c>
      <c r="O1389" s="116">
        <v>3996.05</v>
      </c>
      <c r="P1389" s="116">
        <v>4074.8</v>
      </c>
      <c r="Q1389" s="116">
        <v>4068.8</v>
      </c>
      <c r="R1389">
        <v>238003</v>
      </c>
    </row>
    <row r="1390" spans="1:18" x14ac:dyDescent="0.25">
      <c r="A1390" s="170">
        <v>44680</v>
      </c>
      <c r="B1390" s="116">
        <v>4175</v>
      </c>
      <c r="C1390" s="116">
        <v>4091.9</v>
      </c>
      <c r="D1390" s="116">
        <v>4076.3</v>
      </c>
      <c r="E1390" s="116">
        <v>4088</v>
      </c>
      <c r="F1390" s="116">
        <v>4091.9</v>
      </c>
      <c r="G1390">
        <v>14609</v>
      </c>
      <c r="H1390" s="116"/>
      <c r="I1390" s="116"/>
      <c r="L1390" s="170">
        <v>44680</v>
      </c>
      <c r="M1390" s="116">
        <v>4091.65</v>
      </c>
      <c r="N1390" s="116">
        <v>4175</v>
      </c>
      <c r="O1390" s="116">
        <v>4077.1</v>
      </c>
      <c r="P1390" s="116">
        <v>4115</v>
      </c>
      <c r="Q1390" s="116">
        <v>4091.65</v>
      </c>
      <c r="R1390">
        <v>201564</v>
      </c>
    </row>
    <row r="1391" spans="1:18" x14ac:dyDescent="0.25">
      <c r="A1391" s="170">
        <v>44683</v>
      </c>
      <c r="B1391" s="116">
        <v>4049.2</v>
      </c>
      <c r="C1391" s="116">
        <v>3943.45</v>
      </c>
      <c r="D1391" s="116">
        <v>3891.5</v>
      </c>
      <c r="E1391" s="116">
        <v>3991.65</v>
      </c>
      <c r="F1391" s="116">
        <v>3943.45</v>
      </c>
      <c r="G1391">
        <v>26021</v>
      </c>
      <c r="H1391" s="116"/>
      <c r="I1391" s="116"/>
      <c r="L1391" s="170">
        <v>44683</v>
      </c>
      <c r="M1391" s="116">
        <v>3943.8</v>
      </c>
      <c r="N1391" s="116">
        <v>4044.8</v>
      </c>
      <c r="O1391" s="116">
        <v>3890</v>
      </c>
      <c r="P1391" s="116">
        <v>4030</v>
      </c>
      <c r="Q1391" s="116">
        <v>3943.8</v>
      </c>
      <c r="R1391">
        <v>355318</v>
      </c>
    </row>
    <row r="1392" spans="1:18" x14ac:dyDescent="0.25">
      <c r="A1392" s="170">
        <v>44685</v>
      </c>
      <c r="B1392" s="116">
        <v>4011.15</v>
      </c>
      <c r="C1392" s="116">
        <v>3937.45</v>
      </c>
      <c r="D1392" s="116">
        <v>3901.95</v>
      </c>
      <c r="E1392" s="116">
        <v>3997.55</v>
      </c>
      <c r="F1392" s="116">
        <v>3937.45</v>
      </c>
      <c r="G1392">
        <v>58090</v>
      </c>
      <c r="H1392" s="116"/>
      <c r="I1392" s="116"/>
      <c r="L1392" s="170">
        <v>44685</v>
      </c>
      <c r="M1392" s="116">
        <v>3936.15</v>
      </c>
      <c r="N1392" s="116">
        <v>4015.7</v>
      </c>
      <c r="O1392" s="116">
        <v>3901.4</v>
      </c>
      <c r="P1392" s="116">
        <v>3970</v>
      </c>
      <c r="Q1392" s="116">
        <v>3936.15</v>
      </c>
      <c r="R1392">
        <v>291008</v>
      </c>
    </row>
    <row r="1393" spans="1:18" x14ac:dyDescent="0.25">
      <c r="A1393" s="170">
        <v>44686</v>
      </c>
      <c r="B1393" s="116">
        <v>4045</v>
      </c>
      <c r="C1393" s="116">
        <v>4023.35</v>
      </c>
      <c r="D1393" s="116">
        <v>3964.35</v>
      </c>
      <c r="E1393" s="116">
        <v>3972</v>
      </c>
      <c r="F1393" s="116">
        <v>4023.35</v>
      </c>
      <c r="G1393">
        <v>13022</v>
      </c>
      <c r="H1393" s="116"/>
      <c r="I1393" s="116"/>
      <c r="L1393" s="170">
        <v>44686</v>
      </c>
      <c r="M1393" s="116">
        <v>4024.05</v>
      </c>
      <c r="N1393" s="116">
        <v>4047.4</v>
      </c>
      <c r="O1393" s="116">
        <v>3959.35</v>
      </c>
      <c r="P1393" s="116">
        <v>4000</v>
      </c>
      <c r="Q1393" s="116">
        <v>4024.05</v>
      </c>
      <c r="R1393">
        <v>282754</v>
      </c>
    </row>
    <row r="1394" spans="1:18" x14ac:dyDescent="0.25">
      <c r="A1394" s="170">
        <v>44687</v>
      </c>
      <c r="B1394" s="116">
        <v>3934.1</v>
      </c>
      <c r="C1394" s="116">
        <v>3867.55</v>
      </c>
      <c r="D1394" s="116">
        <v>3781</v>
      </c>
      <c r="E1394" s="116">
        <v>3915.5</v>
      </c>
      <c r="F1394" s="116">
        <v>3867.55</v>
      </c>
      <c r="G1394">
        <v>23123</v>
      </c>
      <c r="H1394" s="116"/>
      <c r="I1394" s="116"/>
      <c r="L1394" s="170">
        <v>44687</v>
      </c>
      <c r="M1394" s="116">
        <v>3866.9</v>
      </c>
      <c r="N1394" s="116">
        <v>3938</v>
      </c>
      <c r="O1394" s="116">
        <v>3780</v>
      </c>
      <c r="P1394" s="116">
        <v>3920</v>
      </c>
      <c r="Q1394" s="116">
        <v>3866.9</v>
      </c>
      <c r="R1394">
        <v>397473</v>
      </c>
    </row>
    <row r="1395" spans="1:18" x14ac:dyDescent="0.25">
      <c r="A1395" s="170">
        <v>44690</v>
      </c>
      <c r="B1395" s="116">
        <v>3938.25</v>
      </c>
      <c r="C1395" s="116">
        <v>3899.6</v>
      </c>
      <c r="D1395" s="116">
        <v>3785</v>
      </c>
      <c r="E1395" s="116">
        <v>3785</v>
      </c>
      <c r="F1395" s="116">
        <v>3899.6</v>
      </c>
      <c r="G1395">
        <v>26813</v>
      </c>
      <c r="H1395" s="116"/>
      <c r="I1395" s="116"/>
      <c r="L1395" s="170">
        <v>44690</v>
      </c>
      <c r="M1395" s="116">
        <v>3895.75</v>
      </c>
      <c r="N1395" s="116">
        <v>3937</v>
      </c>
      <c r="O1395" s="116">
        <v>3785</v>
      </c>
      <c r="P1395" s="116">
        <v>3834</v>
      </c>
      <c r="Q1395" s="116">
        <v>3895.75</v>
      </c>
      <c r="R1395">
        <v>334476</v>
      </c>
    </row>
    <row r="1396" spans="1:18" x14ac:dyDescent="0.25">
      <c r="A1396" s="170">
        <v>44691</v>
      </c>
      <c r="B1396" s="116">
        <v>3955.85</v>
      </c>
      <c r="C1396" s="116">
        <v>3891.8</v>
      </c>
      <c r="D1396" s="116">
        <v>3858.45</v>
      </c>
      <c r="E1396" s="116">
        <v>3910.05</v>
      </c>
      <c r="F1396" s="116">
        <v>3891.8</v>
      </c>
      <c r="G1396">
        <v>14475</v>
      </c>
      <c r="H1396" s="116"/>
      <c r="I1396" s="116"/>
      <c r="L1396" s="170">
        <v>44691</v>
      </c>
      <c r="M1396" s="116">
        <v>3888.8</v>
      </c>
      <c r="N1396" s="116">
        <v>3957</v>
      </c>
      <c r="O1396" s="116">
        <v>3861</v>
      </c>
      <c r="P1396" s="116">
        <v>3900</v>
      </c>
      <c r="Q1396" s="116">
        <v>3888.8</v>
      </c>
      <c r="R1396">
        <v>245282</v>
      </c>
    </row>
    <row r="1397" spans="1:18" x14ac:dyDescent="0.25">
      <c r="A1397" s="170">
        <v>44692</v>
      </c>
      <c r="B1397" s="116">
        <v>3911.8</v>
      </c>
      <c r="C1397" s="116">
        <v>3718.95</v>
      </c>
      <c r="D1397" s="116">
        <v>3652.05</v>
      </c>
      <c r="E1397" s="116">
        <v>3901.5</v>
      </c>
      <c r="F1397" s="116">
        <v>3718.95</v>
      </c>
      <c r="G1397">
        <v>25882</v>
      </c>
      <c r="H1397" s="116"/>
      <c r="I1397" s="116"/>
      <c r="L1397" s="170">
        <v>44692</v>
      </c>
      <c r="M1397" s="116">
        <v>3722</v>
      </c>
      <c r="N1397" s="116">
        <v>3920.9</v>
      </c>
      <c r="O1397" s="116">
        <v>3651</v>
      </c>
      <c r="P1397" s="116">
        <v>3898</v>
      </c>
      <c r="Q1397" s="116">
        <v>3722</v>
      </c>
      <c r="R1397">
        <v>309416</v>
      </c>
    </row>
    <row r="1398" spans="1:18" x14ac:dyDescent="0.25">
      <c r="A1398" s="170">
        <v>44693</v>
      </c>
      <c r="B1398" s="116">
        <v>3762.95</v>
      </c>
      <c r="C1398" s="116">
        <v>3585.5</v>
      </c>
      <c r="D1398" s="116">
        <v>3565.15</v>
      </c>
      <c r="E1398" s="116">
        <v>3670</v>
      </c>
      <c r="F1398" s="116">
        <v>3585.5</v>
      </c>
      <c r="G1398">
        <v>15424</v>
      </c>
      <c r="H1398" s="116"/>
      <c r="I1398" s="116"/>
      <c r="L1398" s="170">
        <v>44693</v>
      </c>
      <c r="M1398" s="116">
        <v>3588.1</v>
      </c>
      <c r="N1398" s="116">
        <v>3763.8</v>
      </c>
      <c r="O1398" s="116">
        <v>3565.35</v>
      </c>
      <c r="P1398" s="116">
        <v>3699.9</v>
      </c>
      <c r="Q1398" s="116">
        <v>3588.1</v>
      </c>
      <c r="R1398">
        <v>375486</v>
      </c>
    </row>
    <row r="1399" spans="1:18" x14ac:dyDescent="0.25">
      <c r="A1399" s="170">
        <v>44694</v>
      </c>
      <c r="B1399" s="116">
        <v>3675</v>
      </c>
      <c r="C1399" s="116">
        <v>3505.7</v>
      </c>
      <c r="D1399" s="116">
        <v>3471</v>
      </c>
      <c r="E1399" s="116">
        <v>3675</v>
      </c>
      <c r="F1399" s="116">
        <v>3505.7</v>
      </c>
      <c r="G1399">
        <v>18267</v>
      </c>
      <c r="H1399" s="116"/>
      <c r="I1399" s="116"/>
      <c r="L1399" s="170">
        <v>44694</v>
      </c>
      <c r="M1399" s="116">
        <v>3502.7</v>
      </c>
      <c r="N1399" s="116">
        <v>3668</v>
      </c>
      <c r="O1399" s="116">
        <v>3469.15</v>
      </c>
      <c r="P1399" s="116">
        <v>3668</v>
      </c>
      <c r="Q1399" s="116">
        <v>3502.7</v>
      </c>
      <c r="R1399">
        <v>240723</v>
      </c>
    </row>
    <row r="1400" spans="1:18" x14ac:dyDescent="0.25">
      <c r="A1400" s="170">
        <v>44697</v>
      </c>
      <c r="B1400" s="116">
        <v>3563</v>
      </c>
      <c r="C1400" s="116">
        <v>3403.6</v>
      </c>
      <c r="D1400" s="116">
        <v>3395</v>
      </c>
      <c r="E1400" s="116">
        <v>3549.6</v>
      </c>
      <c r="F1400" s="116">
        <v>3403.6</v>
      </c>
      <c r="G1400">
        <v>19759</v>
      </c>
      <c r="H1400" s="116"/>
      <c r="I1400" s="116"/>
      <c r="L1400" s="170">
        <v>44697</v>
      </c>
      <c r="M1400" s="116">
        <v>3404.85</v>
      </c>
      <c r="N1400" s="116">
        <v>3538.15</v>
      </c>
      <c r="O1400" s="116">
        <v>3395</v>
      </c>
      <c r="P1400" s="116">
        <v>3529.5</v>
      </c>
      <c r="Q1400" s="116">
        <v>3404.85</v>
      </c>
      <c r="R1400">
        <v>243332</v>
      </c>
    </row>
    <row r="1401" spans="1:18" x14ac:dyDescent="0.25">
      <c r="A1401" s="170">
        <v>44698</v>
      </c>
      <c r="B1401" s="116">
        <v>3694.95</v>
      </c>
      <c r="C1401" s="116">
        <v>3675.45</v>
      </c>
      <c r="D1401" s="116">
        <v>3400</v>
      </c>
      <c r="E1401" s="116">
        <v>3414</v>
      </c>
      <c r="F1401" s="116">
        <v>3675.45</v>
      </c>
      <c r="G1401">
        <v>18934</v>
      </c>
      <c r="H1401" s="116"/>
      <c r="I1401" s="116"/>
      <c r="L1401" s="170">
        <v>44698</v>
      </c>
      <c r="M1401" s="116">
        <v>3679</v>
      </c>
      <c r="N1401" s="116">
        <v>3698.8</v>
      </c>
      <c r="O1401" s="116">
        <v>3380</v>
      </c>
      <c r="P1401" s="116">
        <v>3380</v>
      </c>
      <c r="Q1401" s="116">
        <v>3679</v>
      </c>
      <c r="R1401">
        <v>416820</v>
      </c>
    </row>
    <row r="1402" spans="1:18" x14ac:dyDescent="0.25">
      <c r="A1402" s="170">
        <v>44699</v>
      </c>
      <c r="B1402" s="116">
        <v>3842.6</v>
      </c>
      <c r="C1402" s="116">
        <v>3773.25</v>
      </c>
      <c r="D1402" s="116">
        <v>3684</v>
      </c>
      <c r="E1402" s="116">
        <v>3717</v>
      </c>
      <c r="F1402" s="116">
        <v>3773.25</v>
      </c>
      <c r="G1402">
        <v>19471</v>
      </c>
      <c r="H1402" s="116"/>
      <c r="I1402" s="116"/>
      <c r="L1402" s="170">
        <v>44699</v>
      </c>
      <c r="M1402" s="116">
        <v>3775.25</v>
      </c>
      <c r="N1402" s="116">
        <v>3840</v>
      </c>
      <c r="O1402" s="116">
        <v>3680</v>
      </c>
      <c r="P1402" s="116">
        <v>3700</v>
      </c>
      <c r="Q1402" s="116">
        <v>3775.25</v>
      </c>
      <c r="R1402">
        <v>523192</v>
      </c>
    </row>
    <row r="1403" spans="1:18" x14ac:dyDescent="0.25">
      <c r="A1403" s="170">
        <v>44700</v>
      </c>
      <c r="B1403" s="116">
        <v>3700</v>
      </c>
      <c r="C1403" s="116">
        <v>3505.25</v>
      </c>
      <c r="D1403" s="116">
        <v>3495</v>
      </c>
      <c r="E1403" s="116">
        <v>3700</v>
      </c>
      <c r="F1403" s="116">
        <v>3505.25</v>
      </c>
      <c r="G1403">
        <v>21937</v>
      </c>
      <c r="H1403" s="116"/>
      <c r="I1403" s="116"/>
      <c r="L1403" s="170">
        <v>44700</v>
      </c>
      <c r="M1403" s="116">
        <v>3504</v>
      </c>
      <c r="N1403" s="116">
        <v>3700</v>
      </c>
      <c r="O1403" s="116">
        <v>3491.05</v>
      </c>
      <c r="P1403" s="116">
        <v>3635</v>
      </c>
      <c r="Q1403" s="116">
        <v>3504</v>
      </c>
      <c r="R1403">
        <v>512787</v>
      </c>
    </row>
    <row r="1404" spans="1:18" x14ac:dyDescent="0.25">
      <c r="A1404" s="170">
        <v>44701</v>
      </c>
      <c r="B1404" s="116">
        <v>3630</v>
      </c>
      <c r="C1404" s="116">
        <v>3532.75</v>
      </c>
      <c r="D1404" s="116">
        <v>3458</v>
      </c>
      <c r="E1404" s="116">
        <v>3630</v>
      </c>
      <c r="F1404" s="116">
        <v>3532.75</v>
      </c>
      <c r="G1404">
        <v>24522</v>
      </c>
      <c r="H1404" s="116"/>
      <c r="I1404" s="116"/>
      <c r="L1404" s="170">
        <v>44701</v>
      </c>
      <c r="M1404" s="116">
        <v>3532.6</v>
      </c>
      <c r="N1404" s="116">
        <v>3600</v>
      </c>
      <c r="O1404" s="116">
        <v>3457.05</v>
      </c>
      <c r="P1404" s="116">
        <v>3600</v>
      </c>
      <c r="Q1404" s="116">
        <v>3532.6</v>
      </c>
      <c r="R1404">
        <v>395664</v>
      </c>
    </row>
    <row r="1405" spans="1:18" x14ac:dyDescent="0.25">
      <c r="A1405" s="170">
        <v>44704</v>
      </c>
      <c r="B1405" s="116">
        <v>3634.8</v>
      </c>
      <c r="C1405" s="116">
        <v>3554.4</v>
      </c>
      <c r="D1405" s="116">
        <v>3487.3</v>
      </c>
      <c r="E1405" s="116">
        <v>3568.85</v>
      </c>
      <c r="F1405" s="116">
        <v>3554.4</v>
      </c>
      <c r="G1405">
        <v>16376</v>
      </c>
      <c r="H1405" s="116"/>
      <c r="I1405" s="116"/>
      <c r="L1405" s="170">
        <v>44704</v>
      </c>
      <c r="M1405" s="116">
        <v>3555.55</v>
      </c>
      <c r="N1405" s="116">
        <v>3635</v>
      </c>
      <c r="O1405" s="116">
        <v>3491</v>
      </c>
      <c r="P1405" s="116">
        <v>3569.8</v>
      </c>
      <c r="Q1405" s="116">
        <v>3555.55</v>
      </c>
      <c r="R1405">
        <v>213689</v>
      </c>
    </row>
    <row r="1406" spans="1:18" x14ac:dyDescent="0.25">
      <c r="A1406" s="170">
        <v>44705</v>
      </c>
      <c r="B1406" s="116">
        <v>3593.2</v>
      </c>
      <c r="C1406" s="116">
        <v>3530.65</v>
      </c>
      <c r="D1406" s="116">
        <v>3443.75</v>
      </c>
      <c r="E1406" s="116">
        <v>3575</v>
      </c>
      <c r="F1406" s="116">
        <v>3530.65</v>
      </c>
      <c r="G1406">
        <v>8481</v>
      </c>
      <c r="H1406" s="116"/>
      <c r="I1406" s="116"/>
      <c r="L1406" s="170">
        <v>44705</v>
      </c>
      <c r="M1406" s="116">
        <v>3530.25</v>
      </c>
      <c r="N1406" s="116">
        <v>3588.8</v>
      </c>
      <c r="O1406" s="116">
        <v>3443.4</v>
      </c>
      <c r="P1406" s="116">
        <v>3588.8</v>
      </c>
      <c r="Q1406" s="116">
        <v>3530.25</v>
      </c>
      <c r="R1406">
        <v>250669</v>
      </c>
    </row>
    <row r="1407" spans="1:18" x14ac:dyDescent="0.25">
      <c r="A1407" s="170">
        <v>44706</v>
      </c>
      <c r="B1407" s="116">
        <v>3522.85</v>
      </c>
      <c r="C1407" s="116">
        <v>3359.4</v>
      </c>
      <c r="D1407" s="116">
        <v>3350.15</v>
      </c>
      <c r="E1407" s="116">
        <v>3500</v>
      </c>
      <c r="F1407" s="116">
        <v>3359.4</v>
      </c>
      <c r="G1407">
        <v>19013</v>
      </c>
      <c r="H1407" s="116"/>
      <c r="I1407" s="116"/>
      <c r="L1407" s="170">
        <v>44706</v>
      </c>
      <c r="M1407" s="116">
        <v>3356.55</v>
      </c>
      <c r="N1407" s="116">
        <v>3525.3</v>
      </c>
      <c r="O1407" s="116">
        <v>3350</v>
      </c>
      <c r="P1407" s="116">
        <v>3515</v>
      </c>
      <c r="Q1407" s="116">
        <v>3356.55</v>
      </c>
      <c r="R1407">
        <v>321863</v>
      </c>
    </row>
    <row r="1408" spans="1:18" x14ac:dyDescent="0.25">
      <c r="A1408" s="170">
        <v>44707</v>
      </c>
      <c r="B1408" s="116">
        <v>3393.9</v>
      </c>
      <c r="C1408" s="116">
        <v>3317.85</v>
      </c>
      <c r="D1408" s="116">
        <v>3248.7</v>
      </c>
      <c r="E1408" s="116">
        <v>3380</v>
      </c>
      <c r="F1408" s="116">
        <v>3317.85</v>
      </c>
      <c r="G1408">
        <v>25648</v>
      </c>
      <c r="H1408" s="116"/>
      <c r="I1408" s="116"/>
      <c r="L1408" s="170">
        <v>44707</v>
      </c>
      <c r="M1408" s="116">
        <v>3316.85</v>
      </c>
      <c r="N1408" s="116">
        <v>3397.9</v>
      </c>
      <c r="O1408" s="116">
        <v>3250.9</v>
      </c>
      <c r="P1408" s="116">
        <v>3379</v>
      </c>
      <c r="Q1408" s="116">
        <v>3316.85</v>
      </c>
      <c r="R1408">
        <v>432179</v>
      </c>
    </row>
    <row r="1409" spans="1:18" x14ac:dyDescent="0.25">
      <c r="A1409" s="170">
        <v>44708</v>
      </c>
      <c r="B1409" s="116">
        <v>3477</v>
      </c>
      <c r="C1409" s="116">
        <v>3451.5</v>
      </c>
      <c r="D1409" s="116">
        <v>3335.1</v>
      </c>
      <c r="E1409" s="116">
        <v>3335.1</v>
      </c>
      <c r="F1409" s="116">
        <v>3451.5</v>
      </c>
      <c r="G1409">
        <v>17939</v>
      </c>
      <c r="H1409" s="116"/>
      <c r="I1409" s="116"/>
      <c r="L1409" s="170">
        <v>44708</v>
      </c>
      <c r="M1409" s="116">
        <v>3448.55</v>
      </c>
      <c r="N1409" s="116">
        <v>3476.8</v>
      </c>
      <c r="O1409" s="116">
        <v>3370</v>
      </c>
      <c r="P1409" s="116">
        <v>3376.8</v>
      </c>
      <c r="Q1409" s="116">
        <v>3448.55</v>
      </c>
      <c r="R1409">
        <v>337112</v>
      </c>
    </row>
    <row r="1410" spans="1:18" x14ac:dyDescent="0.25">
      <c r="A1410" s="170">
        <v>44711</v>
      </c>
      <c r="B1410" s="116">
        <v>3628.3</v>
      </c>
      <c r="C1410" s="116">
        <v>3575.05</v>
      </c>
      <c r="D1410" s="116">
        <v>3497.2</v>
      </c>
      <c r="E1410" s="116">
        <v>3563</v>
      </c>
      <c r="F1410" s="116">
        <v>3575.05</v>
      </c>
      <c r="G1410">
        <v>21617</v>
      </c>
      <c r="H1410" s="116"/>
      <c r="I1410" s="116"/>
      <c r="L1410" s="170">
        <v>44711</v>
      </c>
      <c r="M1410" s="116">
        <v>3575.35</v>
      </c>
      <c r="N1410" s="116">
        <v>3630</v>
      </c>
      <c r="O1410" s="116">
        <v>3491.35</v>
      </c>
      <c r="P1410" s="116">
        <v>3514.8</v>
      </c>
      <c r="Q1410" s="116">
        <v>3575.35</v>
      </c>
      <c r="R1410">
        <v>444751</v>
      </c>
    </row>
    <row r="1411" spans="1:18" x14ac:dyDescent="0.25">
      <c r="A1411" s="170">
        <v>44712</v>
      </c>
      <c r="B1411" s="116">
        <v>3626.2</v>
      </c>
      <c r="C1411" s="116">
        <v>3503.7</v>
      </c>
      <c r="D1411" s="116">
        <v>3469.6</v>
      </c>
      <c r="E1411" s="116">
        <v>3600</v>
      </c>
      <c r="F1411" s="116">
        <v>3503.7</v>
      </c>
      <c r="G1411">
        <v>16859</v>
      </c>
      <c r="H1411" s="116"/>
      <c r="I1411" s="116"/>
      <c r="L1411" s="170">
        <v>44712</v>
      </c>
      <c r="M1411" s="116">
        <v>3502.35</v>
      </c>
      <c r="N1411" s="116">
        <v>3626.9</v>
      </c>
      <c r="O1411" s="116">
        <v>3465.7</v>
      </c>
      <c r="P1411" s="116">
        <v>3574.8</v>
      </c>
      <c r="Q1411" s="116">
        <v>3502.35</v>
      </c>
      <c r="R1411">
        <v>1057390</v>
      </c>
    </row>
    <row r="1412" spans="1:18" x14ac:dyDescent="0.25">
      <c r="A1412" s="170">
        <v>44713</v>
      </c>
      <c r="B1412" s="116">
        <v>3555</v>
      </c>
      <c r="C1412" s="116">
        <v>3492.85</v>
      </c>
      <c r="D1412" s="116">
        <v>3451</v>
      </c>
      <c r="E1412" s="116">
        <v>3555</v>
      </c>
      <c r="F1412" s="116">
        <v>3492.85</v>
      </c>
      <c r="G1412">
        <v>17322</v>
      </c>
      <c r="H1412" s="116"/>
      <c r="I1412" s="116"/>
      <c r="L1412" s="170">
        <v>44713</v>
      </c>
      <c r="M1412" s="116">
        <v>3489.2</v>
      </c>
      <c r="N1412" s="116">
        <v>3545</v>
      </c>
      <c r="O1412" s="116">
        <v>3451.55</v>
      </c>
      <c r="P1412" s="116">
        <v>3535</v>
      </c>
      <c r="Q1412" s="116">
        <v>3489.2</v>
      </c>
      <c r="R1412">
        <v>280493</v>
      </c>
    </row>
    <row r="1413" spans="1:18" x14ac:dyDescent="0.25">
      <c r="A1413" s="170">
        <v>44714</v>
      </c>
      <c r="B1413" s="116">
        <v>3619</v>
      </c>
      <c r="C1413" s="116">
        <v>3606.9</v>
      </c>
      <c r="D1413" s="116">
        <v>3471.45</v>
      </c>
      <c r="E1413" s="116">
        <v>3491</v>
      </c>
      <c r="F1413" s="116">
        <v>3606.9</v>
      </c>
      <c r="G1413">
        <v>24338</v>
      </c>
      <c r="H1413" s="116"/>
      <c r="I1413" s="116"/>
      <c r="L1413" s="170">
        <v>44714</v>
      </c>
      <c r="M1413" s="116">
        <v>3607.85</v>
      </c>
      <c r="N1413" s="116">
        <v>3619.8</v>
      </c>
      <c r="O1413" s="116">
        <v>3473</v>
      </c>
      <c r="P1413" s="116">
        <v>3489.25</v>
      </c>
      <c r="Q1413" s="116">
        <v>3607.85</v>
      </c>
      <c r="R1413">
        <v>360137</v>
      </c>
    </row>
    <row r="1414" spans="1:18" x14ac:dyDescent="0.25">
      <c r="A1414" s="170">
        <v>44715</v>
      </c>
      <c r="B1414" s="116">
        <v>3735.45</v>
      </c>
      <c r="C1414" s="116">
        <v>3574</v>
      </c>
      <c r="D1414" s="116">
        <v>3559.35</v>
      </c>
      <c r="E1414" s="116">
        <v>3708.5</v>
      </c>
      <c r="F1414" s="116">
        <v>3574</v>
      </c>
      <c r="G1414">
        <v>20608</v>
      </c>
      <c r="H1414" s="116"/>
      <c r="I1414" s="116"/>
      <c r="L1414" s="170">
        <v>44715</v>
      </c>
      <c r="M1414" s="116">
        <v>3572.95</v>
      </c>
      <c r="N1414" s="116">
        <v>3736.9</v>
      </c>
      <c r="O1414" s="116">
        <v>3561</v>
      </c>
      <c r="P1414" s="116">
        <v>3674</v>
      </c>
      <c r="Q1414" s="116">
        <v>3572.95</v>
      </c>
      <c r="R1414">
        <v>649515</v>
      </c>
    </row>
    <row r="1415" spans="1:18" x14ac:dyDescent="0.25">
      <c r="A1415" s="170">
        <v>44718</v>
      </c>
      <c r="B1415" s="116">
        <v>3575</v>
      </c>
      <c r="C1415" s="116">
        <v>3491.85</v>
      </c>
      <c r="D1415" s="116">
        <v>3410</v>
      </c>
      <c r="E1415" s="116">
        <v>3575</v>
      </c>
      <c r="F1415" s="116">
        <v>3491.85</v>
      </c>
      <c r="G1415">
        <v>25718</v>
      </c>
      <c r="H1415" s="116"/>
      <c r="I1415" s="116"/>
      <c r="L1415" s="170">
        <v>44718</v>
      </c>
      <c r="M1415" s="116">
        <v>3488.4</v>
      </c>
      <c r="N1415" s="116">
        <v>3568</v>
      </c>
      <c r="O1415" s="116">
        <v>3410.1</v>
      </c>
      <c r="P1415" s="116">
        <v>3565</v>
      </c>
      <c r="Q1415" s="116">
        <v>3488.4</v>
      </c>
      <c r="R1415">
        <v>341348</v>
      </c>
    </row>
    <row r="1416" spans="1:18" x14ac:dyDescent="0.25">
      <c r="A1416" s="170">
        <v>44719</v>
      </c>
      <c r="B1416" s="116">
        <v>3525.55</v>
      </c>
      <c r="C1416" s="116">
        <v>3446.7</v>
      </c>
      <c r="D1416" s="116">
        <v>3426</v>
      </c>
      <c r="E1416" s="116">
        <v>3445</v>
      </c>
      <c r="F1416" s="116">
        <v>3446.7</v>
      </c>
      <c r="G1416">
        <v>10859</v>
      </c>
      <c r="H1416" s="116"/>
      <c r="I1416" s="116"/>
      <c r="L1416" s="170">
        <v>44719</v>
      </c>
      <c r="M1416" s="116">
        <v>3444.5</v>
      </c>
      <c r="N1416" s="116">
        <v>3525</v>
      </c>
      <c r="O1416" s="116">
        <v>3425.4</v>
      </c>
      <c r="P1416" s="116">
        <v>3465</v>
      </c>
      <c r="Q1416" s="116">
        <v>3444.5</v>
      </c>
      <c r="R1416">
        <v>243751</v>
      </c>
    </row>
    <row r="1417" spans="1:18" x14ac:dyDescent="0.25">
      <c r="A1417" s="170">
        <v>44720</v>
      </c>
      <c r="B1417" s="116">
        <v>3499</v>
      </c>
      <c r="C1417" s="116">
        <v>3454.4</v>
      </c>
      <c r="D1417" s="116">
        <v>3435</v>
      </c>
      <c r="E1417" s="116">
        <v>3499</v>
      </c>
      <c r="F1417" s="116">
        <v>3454.4</v>
      </c>
      <c r="G1417">
        <v>10029</v>
      </c>
      <c r="H1417" s="116"/>
      <c r="I1417" s="116"/>
      <c r="L1417" s="170">
        <v>44720</v>
      </c>
      <c r="M1417" s="116">
        <v>3452.25</v>
      </c>
      <c r="N1417" s="116">
        <v>3498.8</v>
      </c>
      <c r="O1417" s="116">
        <v>3435</v>
      </c>
      <c r="P1417" s="116">
        <v>3482.4</v>
      </c>
      <c r="Q1417" s="116">
        <v>3452.25</v>
      </c>
      <c r="R1417">
        <v>151628</v>
      </c>
    </row>
    <row r="1418" spans="1:18" x14ac:dyDescent="0.25">
      <c r="A1418" s="170">
        <v>44721</v>
      </c>
      <c r="B1418" s="116">
        <v>3525</v>
      </c>
      <c r="C1418" s="116">
        <v>3515.85</v>
      </c>
      <c r="D1418" s="116">
        <v>3392.7</v>
      </c>
      <c r="E1418" s="116">
        <v>3420</v>
      </c>
      <c r="F1418" s="116">
        <v>3515.85</v>
      </c>
      <c r="G1418">
        <v>10829</v>
      </c>
      <c r="H1418" s="116"/>
      <c r="I1418" s="116"/>
      <c r="L1418" s="170">
        <v>44721</v>
      </c>
      <c r="M1418" s="116">
        <v>3514.9</v>
      </c>
      <c r="N1418" s="116">
        <v>3525</v>
      </c>
      <c r="O1418" s="116">
        <v>3389.4</v>
      </c>
      <c r="P1418" s="116">
        <v>3435</v>
      </c>
      <c r="Q1418" s="116">
        <v>3514.9</v>
      </c>
      <c r="R1418">
        <v>159257</v>
      </c>
    </row>
    <row r="1419" spans="1:18" x14ac:dyDescent="0.25">
      <c r="A1419" s="170">
        <v>44722</v>
      </c>
      <c r="B1419" s="116">
        <v>3475.45</v>
      </c>
      <c r="C1419" s="116">
        <v>3450.15</v>
      </c>
      <c r="D1419" s="116">
        <v>3415</v>
      </c>
      <c r="E1419" s="116">
        <v>3446.9</v>
      </c>
      <c r="F1419" s="116">
        <v>3450.15</v>
      </c>
      <c r="G1419">
        <v>11412</v>
      </c>
      <c r="H1419" s="116"/>
      <c r="I1419" s="116"/>
      <c r="L1419" s="170">
        <v>44722</v>
      </c>
      <c r="M1419" s="116">
        <v>3446.9</v>
      </c>
      <c r="N1419" s="116">
        <v>3475</v>
      </c>
      <c r="O1419" s="116">
        <v>3411.05</v>
      </c>
      <c r="P1419" s="116">
        <v>3470</v>
      </c>
      <c r="Q1419" s="116">
        <v>3446.9</v>
      </c>
      <c r="R1419">
        <v>158160</v>
      </c>
    </row>
    <row r="1420" spans="1:18" x14ac:dyDescent="0.25">
      <c r="A1420" s="170">
        <v>44725</v>
      </c>
      <c r="B1420" s="116">
        <v>3374.75</v>
      </c>
      <c r="C1420" s="116">
        <v>3248</v>
      </c>
      <c r="D1420" s="116">
        <v>3229.55</v>
      </c>
      <c r="E1420" s="116">
        <v>3333.15</v>
      </c>
      <c r="F1420" s="116">
        <v>3248</v>
      </c>
      <c r="G1420">
        <v>25401</v>
      </c>
      <c r="H1420" s="116"/>
      <c r="I1420" s="116"/>
      <c r="L1420" s="170">
        <v>44725</v>
      </c>
      <c r="M1420" s="116">
        <v>3248.55</v>
      </c>
      <c r="N1420" s="116">
        <v>3377</v>
      </c>
      <c r="O1420" s="116">
        <v>3227.3</v>
      </c>
      <c r="P1420" s="116">
        <v>3352.25</v>
      </c>
      <c r="Q1420" s="116">
        <v>3248.55</v>
      </c>
      <c r="R1420">
        <v>286721</v>
      </c>
    </row>
    <row r="1421" spans="1:18" x14ac:dyDescent="0.25">
      <c r="A1421" s="170">
        <v>44726</v>
      </c>
      <c r="B1421" s="116">
        <v>3371.9</v>
      </c>
      <c r="C1421" s="116">
        <v>3293.65</v>
      </c>
      <c r="D1421" s="116">
        <v>3218</v>
      </c>
      <c r="E1421" s="116">
        <v>3269</v>
      </c>
      <c r="F1421" s="116">
        <v>3293.65</v>
      </c>
      <c r="G1421">
        <v>11549</v>
      </c>
      <c r="H1421" s="116"/>
      <c r="I1421" s="116"/>
      <c r="L1421" s="170">
        <v>44726</v>
      </c>
      <c r="M1421" s="116">
        <v>3295</v>
      </c>
      <c r="N1421" s="116">
        <v>3372.75</v>
      </c>
      <c r="O1421" s="116">
        <v>3218</v>
      </c>
      <c r="P1421" s="116">
        <v>3249.1</v>
      </c>
      <c r="Q1421" s="116">
        <v>3295</v>
      </c>
      <c r="R1421">
        <v>297854</v>
      </c>
    </row>
    <row r="1422" spans="1:18" x14ac:dyDescent="0.25">
      <c r="A1422" s="170">
        <v>44727</v>
      </c>
      <c r="B1422" s="116">
        <v>3360</v>
      </c>
      <c r="C1422" s="116">
        <v>3293.05</v>
      </c>
      <c r="D1422" s="116">
        <v>3277</v>
      </c>
      <c r="E1422" s="116">
        <v>3360</v>
      </c>
      <c r="F1422" s="116">
        <v>3293.05</v>
      </c>
      <c r="G1422">
        <v>5504</v>
      </c>
      <c r="H1422" s="116"/>
      <c r="I1422" s="116"/>
      <c r="L1422" s="170">
        <v>44727</v>
      </c>
      <c r="M1422" s="116">
        <v>3290.85</v>
      </c>
      <c r="N1422" s="116">
        <v>3341</v>
      </c>
      <c r="O1422" s="116">
        <v>3276</v>
      </c>
      <c r="P1422" s="116">
        <v>3339</v>
      </c>
      <c r="Q1422" s="116">
        <v>3290.85</v>
      </c>
      <c r="R1422">
        <v>128112</v>
      </c>
    </row>
    <row r="1423" spans="1:18" x14ac:dyDescent="0.25">
      <c r="A1423" s="170">
        <v>44728</v>
      </c>
      <c r="B1423" s="116">
        <v>3375</v>
      </c>
      <c r="C1423" s="116">
        <v>3152.9</v>
      </c>
      <c r="D1423" s="116">
        <v>3118.4</v>
      </c>
      <c r="E1423" s="116">
        <v>3359.95</v>
      </c>
      <c r="F1423" s="116">
        <v>3152.9</v>
      </c>
      <c r="G1423">
        <v>23481</v>
      </c>
      <c r="H1423" s="116"/>
      <c r="I1423" s="116"/>
      <c r="L1423" s="170">
        <v>44728</v>
      </c>
      <c r="M1423" s="116">
        <v>3152.35</v>
      </c>
      <c r="N1423" s="116">
        <v>3382</v>
      </c>
      <c r="O1423" s="116">
        <v>3141.15</v>
      </c>
      <c r="P1423" s="116">
        <v>3355.7</v>
      </c>
      <c r="Q1423" s="116">
        <v>3152.35</v>
      </c>
      <c r="R1423">
        <v>288914</v>
      </c>
    </row>
    <row r="1424" spans="1:18" x14ac:dyDescent="0.25">
      <c r="A1424" s="170">
        <v>44729</v>
      </c>
      <c r="B1424" s="116">
        <v>3178.55</v>
      </c>
      <c r="C1424" s="116">
        <v>3103.2</v>
      </c>
      <c r="D1424" s="116">
        <v>3060.8</v>
      </c>
      <c r="E1424" s="116">
        <v>3145</v>
      </c>
      <c r="F1424" s="116">
        <v>3103.2</v>
      </c>
      <c r="G1424">
        <v>34685</v>
      </c>
      <c r="H1424" s="116"/>
      <c r="I1424" s="116"/>
      <c r="L1424" s="170">
        <v>44729</v>
      </c>
      <c r="M1424" s="116">
        <v>3104.15</v>
      </c>
      <c r="N1424" s="116">
        <v>3179.95</v>
      </c>
      <c r="O1424" s="116">
        <v>3061</v>
      </c>
      <c r="P1424" s="116">
        <v>3135</v>
      </c>
      <c r="Q1424" s="116">
        <v>3104.15</v>
      </c>
      <c r="R1424">
        <v>427329</v>
      </c>
    </row>
    <row r="1425" spans="1:18" x14ac:dyDescent="0.25">
      <c r="A1425" s="170">
        <v>44732</v>
      </c>
      <c r="B1425" s="116">
        <v>3135.6</v>
      </c>
      <c r="C1425" s="116">
        <v>3047.2</v>
      </c>
      <c r="D1425" s="116">
        <v>3015.9</v>
      </c>
      <c r="E1425" s="116">
        <v>3120</v>
      </c>
      <c r="F1425" s="116">
        <v>3047.2</v>
      </c>
      <c r="G1425">
        <v>11800</v>
      </c>
      <c r="H1425" s="116"/>
      <c r="I1425" s="116"/>
      <c r="L1425" s="170">
        <v>44732</v>
      </c>
      <c r="M1425" s="116">
        <v>3041.6</v>
      </c>
      <c r="N1425" s="116">
        <v>3140</v>
      </c>
      <c r="O1425" s="116">
        <v>3014.55</v>
      </c>
      <c r="P1425" s="116">
        <v>3115</v>
      </c>
      <c r="Q1425" s="116">
        <v>3041.6</v>
      </c>
      <c r="R1425">
        <v>281734</v>
      </c>
    </row>
    <row r="1426" spans="1:18" x14ac:dyDescent="0.25">
      <c r="A1426" s="170">
        <v>44733</v>
      </c>
      <c r="B1426" s="116">
        <v>3182.7</v>
      </c>
      <c r="C1426" s="116">
        <v>3165.55</v>
      </c>
      <c r="D1426" s="116">
        <v>3068.7</v>
      </c>
      <c r="E1426" s="116">
        <v>3110</v>
      </c>
      <c r="F1426" s="116">
        <v>3165.55</v>
      </c>
      <c r="G1426">
        <v>17110</v>
      </c>
      <c r="H1426" s="116"/>
      <c r="I1426" s="116"/>
      <c r="L1426" s="170">
        <v>44733</v>
      </c>
      <c r="M1426" s="116">
        <v>3160.4</v>
      </c>
      <c r="N1426" s="116">
        <v>3183.55</v>
      </c>
      <c r="O1426" s="116">
        <v>3065</v>
      </c>
      <c r="P1426" s="116">
        <v>3094</v>
      </c>
      <c r="Q1426" s="116">
        <v>3160.4</v>
      </c>
      <c r="R1426">
        <v>235625</v>
      </c>
    </row>
    <row r="1427" spans="1:18" x14ac:dyDescent="0.25">
      <c r="A1427" s="170">
        <v>44734</v>
      </c>
      <c r="B1427" s="116">
        <v>3176</v>
      </c>
      <c r="C1427" s="116">
        <v>3053.45</v>
      </c>
      <c r="D1427" s="116">
        <v>3042</v>
      </c>
      <c r="E1427" s="116">
        <v>3176</v>
      </c>
      <c r="F1427" s="116">
        <v>3053.45</v>
      </c>
      <c r="G1427">
        <v>13746</v>
      </c>
      <c r="H1427" s="116"/>
      <c r="I1427" s="116"/>
      <c r="L1427" s="170">
        <v>44734</v>
      </c>
      <c r="M1427" s="116">
        <v>3054.15</v>
      </c>
      <c r="N1427" s="116">
        <v>3159</v>
      </c>
      <c r="O1427" s="116">
        <v>3042</v>
      </c>
      <c r="P1427" s="116">
        <v>3159</v>
      </c>
      <c r="Q1427" s="116">
        <v>3054.15</v>
      </c>
      <c r="R1427">
        <v>209452</v>
      </c>
    </row>
    <row r="1428" spans="1:18" x14ac:dyDescent="0.25">
      <c r="A1428" s="170">
        <v>44735</v>
      </c>
      <c r="B1428" s="116">
        <v>3144.9</v>
      </c>
      <c r="C1428" s="116">
        <v>3118.75</v>
      </c>
      <c r="D1428" s="116">
        <v>3057</v>
      </c>
      <c r="E1428" s="116">
        <v>3099</v>
      </c>
      <c r="F1428" s="116">
        <v>3118.75</v>
      </c>
      <c r="G1428">
        <v>9150</v>
      </c>
      <c r="H1428" s="116"/>
      <c r="I1428" s="116"/>
      <c r="L1428" s="170">
        <v>44735</v>
      </c>
      <c r="M1428" s="116">
        <v>3120.15</v>
      </c>
      <c r="N1428" s="116">
        <v>3145</v>
      </c>
      <c r="O1428" s="116">
        <v>3055.2</v>
      </c>
      <c r="P1428" s="116">
        <v>3078.8</v>
      </c>
      <c r="Q1428" s="116">
        <v>3120.15</v>
      </c>
      <c r="R1428">
        <v>274147</v>
      </c>
    </row>
    <row r="1429" spans="1:18" x14ac:dyDescent="0.25">
      <c r="A1429" s="170">
        <v>44736</v>
      </c>
      <c r="B1429" s="116">
        <v>3181.4</v>
      </c>
      <c r="C1429" s="116">
        <v>3051.4</v>
      </c>
      <c r="D1429" s="116">
        <v>3007</v>
      </c>
      <c r="E1429" s="116">
        <v>3175</v>
      </c>
      <c r="F1429" s="116">
        <v>3051.4</v>
      </c>
      <c r="G1429">
        <v>23675</v>
      </c>
      <c r="H1429" s="116"/>
      <c r="I1429" s="116"/>
      <c r="L1429" s="170">
        <v>44736</v>
      </c>
      <c r="M1429" s="116">
        <v>3052.95</v>
      </c>
      <c r="N1429" s="116">
        <v>3178</v>
      </c>
      <c r="O1429" s="116">
        <v>3006.05</v>
      </c>
      <c r="P1429" s="116">
        <v>3169.7</v>
      </c>
      <c r="Q1429" s="116">
        <v>3052.95</v>
      </c>
      <c r="R1429">
        <v>409205</v>
      </c>
    </row>
    <row r="1430" spans="1:18" x14ac:dyDescent="0.25">
      <c r="A1430" s="170">
        <v>44739</v>
      </c>
      <c r="B1430" s="116">
        <v>3165.7</v>
      </c>
      <c r="C1430" s="116">
        <v>3128.45</v>
      </c>
      <c r="D1430" s="116">
        <v>3098.05</v>
      </c>
      <c r="E1430" s="116">
        <v>3125</v>
      </c>
      <c r="F1430" s="116">
        <v>3128.45</v>
      </c>
      <c r="G1430">
        <v>17200</v>
      </c>
      <c r="H1430" s="116"/>
      <c r="I1430" s="116"/>
      <c r="L1430" s="170">
        <v>44739</v>
      </c>
      <c r="M1430" s="116">
        <v>3130.55</v>
      </c>
      <c r="N1430" s="116">
        <v>3166.8</v>
      </c>
      <c r="O1430" s="116">
        <v>3098.15</v>
      </c>
      <c r="P1430" s="116">
        <v>3124.95</v>
      </c>
      <c r="Q1430" s="116">
        <v>3130.55</v>
      </c>
      <c r="R1430">
        <v>374290</v>
      </c>
    </row>
    <row r="1431" spans="1:18" x14ac:dyDescent="0.25">
      <c r="A1431" s="170">
        <v>44740</v>
      </c>
      <c r="B1431" s="116">
        <v>3166</v>
      </c>
      <c r="C1431" s="116">
        <v>3160.8</v>
      </c>
      <c r="D1431" s="116">
        <v>3054.1</v>
      </c>
      <c r="E1431" s="116">
        <v>3100.05</v>
      </c>
      <c r="F1431" s="116">
        <v>3160.8</v>
      </c>
      <c r="G1431">
        <v>8983</v>
      </c>
      <c r="H1431" s="116"/>
      <c r="I1431" s="116"/>
      <c r="L1431" s="170">
        <v>44740</v>
      </c>
      <c r="M1431" s="116">
        <v>3158.05</v>
      </c>
      <c r="N1431" s="116">
        <v>3165</v>
      </c>
      <c r="O1431" s="116">
        <v>3054.25</v>
      </c>
      <c r="P1431" s="116">
        <v>3119</v>
      </c>
      <c r="Q1431" s="116">
        <v>3158.05</v>
      </c>
      <c r="R1431">
        <v>321369</v>
      </c>
    </row>
    <row r="1432" spans="1:18" x14ac:dyDescent="0.25">
      <c r="A1432" s="170">
        <v>44741</v>
      </c>
      <c r="B1432" s="116">
        <v>3177.25</v>
      </c>
      <c r="C1432" s="116">
        <v>3090</v>
      </c>
      <c r="D1432" s="116">
        <v>3068.95</v>
      </c>
      <c r="E1432" s="116">
        <v>3115</v>
      </c>
      <c r="F1432" s="116">
        <v>3090</v>
      </c>
      <c r="G1432">
        <v>17426</v>
      </c>
      <c r="H1432" s="116"/>
      <c r="I1432" s="116"/>
      <c r="L1432" s="170">
        <v>44741</v>
      </c>
      <c r="M1432" s="116">
        <v>3087.6</v>
      </c>
      <c r="N1432" s="116">
        <v>3177.9</v>
      </c>
      <c r="O1432" s="116">
        <v>3067.1</v>
      </c>
      <c r="P1432" s="116">
        <v>3110</v>
      </c>
      <c r="Q1432" s="116">
        <v>3087.6</v>
      </c>
      <c r="R1432">
        <v>349991</v>
      </c>
    </row>
    <row r="1433" spans="1:18" x14ac:dyDescent="0.25">
      <c r="A1433" s="170">
        <v>44742</v>
      </c>
      <c r="B1433" s="116">
        <v>3147.8</v>
      </c>
      <c r="C1433" s="116">
        <v>3028.8</v>
      </c>
      <c r="D1433" s="116">
        <v>3019.6</v>
      </c>
      <c r="E1433" s="116">
        <v>3147.8</v>
      </c>
      <c r="F1433" s="116">
        <v>3028.8</v>
      </c>
      <c r="G1433">
        <v>15407</v>
      </c>
      <c r="H1433" s="116"/>
      <c r="I1433" s="116"/>
      <c r="L1433" s="170">
        <v>44742</v>
      </c>
      <c r="M1433" s="116">
        <v>3030.8</v>
      </c>
      <c r="N1433" s="116">
        <v>3109.9</v>
      </c>
      <c r="O1433" s="116">
        <v>3010</v>
      </c>
      <c r="P1433" s="116">
        <v>3107</v>
      </c>
      <c r="Q1433" s="116">
        <v>3030.8</v>
      </c>
      <c r="R1433">
        <v>287143</v>
      </c>
    </row>
    <row r="1434" spans="1:18" x14ac:dyDescent="0.25">
      <c r="A1434" s="170">
        <v>44743</v>
      </c>
      <c r="B1434" s="116">
        <v>3030.8</v>
      </c>
      <c r="C1434" s="116">
        <v>2984.45</v>
      </c>
      <c r="D1434" s="116">
        <v>2937.7</v>
      </c>
      <c r="E1434" s="116">
        <v>3030.8</v>
      </c>
      <c r="F1434" s="116">
        <v>2984.45</v>
      </c>
      <c r="G1434">
        <v>8938</v>
      </c>
      <c r="H1434" s="116"/>
      <c r="I1434" s="116"/>
      <c r="L1434" s="170">
        <v>44743</v>
      </c>
      <c r="M1434" s="116">
        <v>2985.6</v>
      </c>
      <c r="N1434" s="116">
        <v>3027.2</v>
      </c>
      <c r="O1434" s="116">
        <v>2937</v>
      </c>
      <c r="P1434" s="116">
        <v>2995</v>
      </c>
      <c r="Q1434" s="116">
        <v>2985.6</v>
      </c>
      <c r="R1434">
        <v>364261</v>
      </c>
    </row>
    <row r="1435" spans="1:18" x14ac:dyDescent="0.25">
      <c r="A1435" s="170">
        <v>44746</v>
      </c>
      <c r="B1435" s="116">
        <v>3028</v>
      </c>
      <c r="C1435" s="116">
        <v>2973.55</v>
      </c>
      <c r="D1435" s="116">
        <v>2923.35</v>
      </c>
      <c r="E1435" s="116">
        <v>3013.95</v>
      </c>
      <c r="F1435" s="116">
        <v>2973.55</v>
      </c>
      <c r="G1435">
        <v>6396</v>
      </c>
      <c r="H1435" s="116"/>
      <c r="I1435" s="116"/>
      <c r="L1435" s="170">
        <v>44746</v>
      </c>
      <c r="M1435" s="116">
        <v>2973.1</v>
      </c>
      <c r="N1435" s="116">
        <v>3028.75</v>
      </c>
      <c r="O1435" s="116">
        <v>2924.2</v>
      </c>
      <c r="P1435" s="116">
        <v>3002</v>
      </c>
      <c r="Q1435" s="116">
        <v>2973.1</v>
      </c>
      <c r="R1435">
        <v>267876</v>
      </c>
    </row>
    <row r="1436" spans="1:18" x14ac:dyDescent="0.25">
      <c r="A1436" s="170">
        <v>44747</v>
      </c>
      <c r="B1436" s="116">
        <v>3034.75</v>
      </c>
      <c r="C1436" s="116">
        <v>2958.3</v>
      </c>
      <c r="D1436" s="116">
        <v>2943</v>
      </c>
      <c r="E1436" s="116">
        <v>2989.95</v>
      </c>
      <c r="F1436" s="116">
        <v>2958.3</v>
      </c>
      <c r="G1436">
        <v>16733</v>
      </c>
      <c r="H1436" s="116"/>
      <c r="I1436" s="116"/>
      <c r="L1436" s="170">
        <v>44747</v>
      </c>
      <c r="M1436" s="116">
        <v>2955.25</v>
      </c>
      <c r="N1436" s="116">
        <v>3034.95</v>
      </c>
      <c r="O1436" s="116">
        <v>2946.85</v>
      </c>
      <c r="P1436" s="116">
        <v>2994.95</v>
      </c>
      <c r="Q1436" s="116">
        <v>2955.25</v>
      </c>
      <c r="R1436">
        <v>224292</v>
      </c>
    </row>
    <row r="1437" spans="1:18" x14ac:dyDescent="0.25">
      <c r="A1437" s="170">
        <v>44748</v>
      </c>
      <c r="B1437" s="116">
        <v>3048.1</v>
      </c>
      <c r="C1437" s="116">
        <v>3036.65</v>
      </c>
      <c r="D1437" s="116">
        <v>2936.85</v>
      </c>
      <c r="E1437" s="116">
        <v>2960</v>
      </c>
      <c r="F1437" s="116">
        <v>3036.65</v>
      </c>
      <c r="G1437">
        <v>18066</v>
      </c>
      <c r="H1437" s="116"/>
      <c r="I1437" s="116"/>
      <c r="L1437" s="170">
        <v>44748</v>
      </c>
      <c r="M1437" s="116">
        <v>3035.6</v>
      </c>
      <c r="N1437" s="116">
        <v>3048</v>
      </c>
      <c r="O1437" s="116">
        <v>2935</v>
      </c>
      <c r="P1437" s="116">
        <v>2960</v>
      </c>
      <c r="Q1437" s="116">
        <v>3035.6</v>
      </c>
      <c r="R1437">
        <v>276003</v>
      </c>
    </row>
    <row r="1438" spans="1:18" x14ac:dyDescent="0.25">
      <c r="A1438" s="170">
        <v>44749</v>
      </c>
      <c r="B1438" s="116">
        <v>3086.15</v>
      </c>
      <c r="C1438" s="116">
        <v>3060.15</v>
      </c>
      <c r="D1438" s="116">
        <v>3021.05</v>
      </c>
      <c r="E1438" s="116">
        <v>3065</v>
      </c>
      <c r="F1438" s="116">
        <v>3060.15</v>
      </c>
      <c r="G1438">
        <v>15889</v>
      </c>
      <c r="H1438" s="116"/>
      <c r="I1438" s="116"/>
      <c r="L1438" s="170">
        <v>44749</v>
      </c>
      <c r="M1438" s="116">
        <v>3058.7</v>
      </c>
      <c r="N1438" s="116">
        <v>3085.5</v>
      </c>
      <c r="O1438" s="116">
        <v>3020.2</v>
      </c>
      <c r="P1438" s="116">
        <v>3070</v>
      </c>
      <c r="Q1438" s="116">
        <v>3058.7</v>
      </c>
      <c r="R1438">
        <v>290028</v>
      </c>
    </row>
    <row r="1439" spans="1:18" x14ac:dyDescent="0.25">
      <c r="A1439" s="170">
        <v>44750</v>
      </c>
      <c r="B1439" s="116">
        <v>3128.95</v>
      </c>
      <c r="C1439" s="116">
        <v>3122.15</v>
      </c>
      <c r="D1439" s="116">
        <v>3053.6</v>
      </c>
      <c r="E1439" s="116">
        <v>3099</v>
      </c>
      <c r="F1439" s="116">
        <v>3122.15</v>
      </c>
      <c r="G1439">
        <v>18143</v>
      </c>
      <c r="H1439" s="116"/>
      <c r="I1439" s="116"/>
      <c r="L1439" s="170">
        <v>44750</v>
      </c>
      <c r="M1439" s="116">
        <v>3121.9</v>
      </c>
      <c r="N1439" s="116">
        <v>3129</v>
      </c>
      <c r="O1439" s="116">
        <v>3053.05</v>
      </c>
      <c r="P1439" s="116">
        <v>3096.05</v>
      </c>
      <c r="Q1439" s="116">
        <v>3121.9</v>
      </c>
      <c r="R1439">
        <v>369690</v>
      </c>
    </row>
    <row r="1440" spans="1:18" x14ac:dyDescent="0.25">
      <c r="A1440" s="170">
        <v>44753</v>
      </c>
      <c r="B1440" s="116">
        <v>3138.55</v>
      </c>
      <c r="C1440" s="116">
        <v>3117.25</v>
      </c>
      <c r="D1440" s="116">
        <v>2998</v>
      </c>
      <c r="E1440" s="116">
        <v>3100</v>
      </c>
      <c r="F1440" s="116">
        <v>3117.25</v>
      </c>
      <c r="G1440">
        <v>20275</v>
      </c>
      <c r="H1440" s="116"/>
      <c r="I1440" s="116"/>
      <c r="L1440" s="170">
        <v>44753</v>
      </c>
      <c r="M1440" s="116">
        <v>3116.6</v>
      </c>
      <c r="N1440" s="116">
        <v>3139</v>
      </c>
      <c r="O1440" s="116">
        <v>2996</v>
      </c>
      <c r="P1440" s="116">
        <v>3090</v>
      </c>
      <c r="Q1440" s="116">
        <v>3116.6</v>
      </c>
      <c r="R1440">
        <v>338794</v>
      </c>
    </row>
    <row r="1441" spans="1:18" x14ac:dyDescent="0.25">
      <c r="A1441" s="170">
        <v>44754</v>
      </c>
      <c r="B1441" s="116">
        <v>3172.65</v>
      </c>
      <c r="C1441" s="116">
        <v>3086.45</v>
      </c>
      <c r="D1441" s="116">
        <v>3062.85</v>
      </c>
      <c r="E1441" s="116">
        <v>3096</v>
      </c>
      <c r="F1441" s="116">
        <v>3086.45</v>
      </c>
      <c r="G1441">
        <v>22841</v>
      </c>
      <c r="H1441" s="116"/>
      <c r="I1441" s="116"/>
      <c r="L1441" s="170">
        <v>44754</v>
      </c>
      <c r="M1441" s="116">
        <v>3085.9</v>
      </c>
      <c r="N1441" s="116">
        <v>3172</v>
      </c>
      <c r="O1441" s="116">
        <v>3065</v>
      </c>
      <c r="P1441" s="116">
        <v>3097</v>
      </c>
      <c r="Q1441" s="116">
        <v>3085.9</v>
      </c>
      <c r="R1441">
        <v>335796</v>
      </c>
    </row>
    <row r="1442" spans="1:18" x14ac:dyDescent="0.25">
      <c r="A1442" s="170">
        <v>44755</v>
      </c>
      <c r="B1442" s="116">
        <v>3206.25</v>
      </c>
      <c r="C1442" s="116">
        <v>3102.95</v>
      </c>
      <c r="D1442" s="116">
        <v>3081.25</v>
      </c>
      <c r="E1442" s="116">
        <v>3111.9</v>
      </c>
      <c r="F1442" s="116">
        <v>3102.95</v>
      </c>
      <c r="G1442">
        <v>27760</v>
      </c>
      <c r="H1442" s="116"/>
      <c r="I1442" s="116"/>
      <c r="L1442" s="170">
        <v>44755</v>
      </c>
      <c r="M1442" s="116">
        <v>3102.45</v>
      </c>
      <c r="N1442" s="116">
        <v>3207.55</v>
      </c>
      <c r="O1442" s="116">
        <v>3085</v>
      </c>
      <c r="P1442" s="116">
        <v>3108</v>
      </c>
      <c r="Q1442" s="116">
        <v>3102.45</v>
      </c>
      <c r="R1442">
        <v>573396</v>
      </c>
    </row>
    <row r="1443" spans="1:18" x14ac:dyDescent="0.25">
      <c r="A1443" s="170">
        <v>44756</v>
      </c>
      <c r="B1443" s="116">
        <v>3139.9</v>
      </c>
      <c r="C1443" s="116">
        <v>3049.45</v>
      </c>
      <c r="D1443" s="116">
        <v>3021.8</v>
      </c>
      <c r="E1443" s="116">
        <v>3139.9</v>
      </c>
      <c r="F1443" s="116">
        <v>3049.45</v>
      </c>
      <c r="G1443">
        <v>23122</v>
      </c>
      <c r="H1443" s="116"/>
      <c r="I1443" s="116"/>
      <c r="L1443" s="170">
        <v>44756</v>
      </c>
      <c r="M1443" s="116">
        <v>3050.55</v>
      </c>
      <c r="N1443" s="116">
        <v>3135</v>
      </c>
      <c r="O1443" s="116">
        <v>3024.15</v>
      </c>
      <c r="P1443" s="116">
        <v>3135</v>
      </c>
      <c r="Q1443" s="116">
        <v>3050.55</v>
      </c>
      <c r="R1443">
        <v>385963</v>
      </c>
    </row>
    <row r="1444" spans="1:18" x14ac:dyDescent="0.25">
      <c r="A1444" s="170">
        <v>44757</v>
      </c>
      <c r="B1444" s="116">
        <v>3117.85</v>
      </c>
      <c r="C1444" s="116">
        <v>3093.7</v>
      </c>
      <c r="D1444" s="116">
        <v>3046.2</v>
      </c>
      <c r="E1444" s="116">
        <v>3050</v>
      </c>
      <c r="F1444" s="116">
        <v>3093.7</v>
      </c>
      <c r="G1444">
        <v>93928</v>
      </c>
      <c r="H1444" s="116"/>
      <c r="I1444" s="116"/>
      <c r="L1444" s="170">
        <v>44757</v>
      </c>
      <c r="M1444" s="116">
        <v>3092.75</v>
      </c>
      <c r="N1444" s="116">
        <v>3120</v>
      </c>
      <c r="O1444" s="116">
        <v>3045</v>
      </c>
      <c r="P1444" s="116">
        <v>3056</v>
      </c>
      <c r="Q1444" s="116">
        <v>3092.75</v>
      </c>
      <c r="R1444">
        <v>442851</v>
      </c>
    </row>
    <row r="1445" spans="1:18" x14ac:dyDescent="0.25">
      <c r="A1445" s="170">
        <v>44760</v>
      </c>
      <c r="B1445" s="116">
        <v>3197.45</v>
      </c>
      <c r="C1445" s="116">
        <v>3174.65</v>
      </c>
      <c r="D1445" s="116">
        <v>3075.95</v>
      </c>
      <c r="E1445" s="116">
        <v>3177.9</v>
      </c>
      <c r="F1445" s="116">
        <v>3174.65</v>
      </c>
      <c r="G1445">
        <v>36146</v>
      </c>
      <c r="H1445" s="116"/>
      <c r="I1445" s="116"/>
      <c r="L1445" s="170">
        <v>44760</v>
      </c>
      <c r="M1445" s="116">
        <v>3176.2</v>
      </c>
      <c r="N1445" s="116">
        <v>3198</v>
      </c>
      <c r="O1445" s="116">
        <v>3076</v>
      </c>
      <c r="P1445" s="116">
        <v>3150</v>
      </c>
      <c r="Q1445" s="116">
        <v>3176.2</v>
      </c>
      <c r="R1445">
        <v>701645</v>
      </c>
    </row>
    <row r="1446" spans="1:18" x14ac:dyDescent="0.25">
      <c r="A1446" s="170">
        <v>44761</v>
      </c>
      <c r="B1446" s="116">
        <v>3217.05</v>
      </c>
      <c r="C1446" s="116">
        <v>3191.85</v>
      </c>
      <c r="D1446" s="116">
        <v>3135.35</v>
      </c>
      <c r="E1446" s="116">
        <v>3170</v>
      </c>
      <c r="F1446" s="116">
        <v>3191.85</v>
      </c>
      <c r="G1446">
        <v>17256</v>
      </c>
      <c r="H1446" s="116"/>
      <c r="I1446" s="116"/>
      <c r="L1446" s="170">
        <v>44761</v>
      </c>
      <c r="M1446" s="116">
        <v>3189.05</v>
      </c>
      <c r="N1446" s="116">
        <v>3218</v>
      </c>
      <c r="O1446" s="116">
        <v>3136.25</v>
      </c>
      <c r="P1446" s="116">
        <v>3152</v>
      </c>
      <c r="Q1446" s="116">
        <v>3189.05</v>
      </c>
      <c r="R1446">
        <v>625978</v>
      </c>
    </row>
    <row r="1447" spans="1:18" x14ac:dyDescent="0.25">
      <c r="A1447" s="170">
        <v>44762</v>
      </c>
      <c r="B1447" s="116">
        <v>3427.5</v>
      </c>
      <c r="C1447" s="116">
        <v>3404.2</v>
      </c>
      <c r="D1447" s="116">
        <v>3200</v>
      </c>
      <c r="E1447" s="116">
        <v>3220</v>
      </c>
      <c r="F1447" s="116">
        <v>3404.2</v>
      </c>
      <c r="G1447">
        <v>53334</v>
      </c>
      <c r="H1447" s="116"/>
      <c r="I1447" s="116"/>
      <c r="L1447" s="170">
        <v>44762</v>
      </c>
      <c r="M1447" s="116">
        <v>3406.35</v>
      </c>
      <c r="N1447" s="116">
        <v>3429</v>
      </c>
      <c r="O1447" s="116">
        <v>3200.15</v>
      </c>
      <c r="P1447" s="116">
        <v>3248</v>
      </c>
      <c r="Q1447" s="116">
        <v>3406.35</v>
      </c>
      <c r="R1447">
        <v>1097545</v>
      </c>
    </row>
    <row r="1448" spans="1:18" x14ac:dyDescent="0.25">
      <c r="A1448" s="170">
        <v>44763</v>
      </c>
      <c r="B1448" s="116">
        <v>3445.55</v>
      </c>
      <c r="C1448" s="116">
        <v>3415.85</v>
      </c>
      <c r="D1448" s="116">
        <v>3370.75</v>
      </c>
      <c r="E1448" s="116">
        <v>3445</v>
      </c>
      <c r="F1448" s="116">
        <v>3415.85</v>
      </c>
      <c r="G1448">
        <v>27419</v>
      </c>
      <c r="H1448" s="116"/>
      <c r="I1448" s="116"/>
      <c r="L1448" s="170">
        <v>44763</v>
      </c>
      <c r="M1448" s="116">
        <v>3416.55</v>
      </c>
      <c r="N1448" s="116">
        <v>3442</v>
      </c>
      <c r="O1448" s="116">
        <v>3371</v>
      </c>
      <c r="P1448" s="116">
        <v>3427.9</v>
      </c>
      <c r="Q1448" s="116">
        <v>3416.55</v>
      </c>
      <c r="R1448">
        <v>650160</v>
      </c>
    </row>
    <row r="1449" spans="1:18" x14ac:dyDescent="0.25">
      <c r="A1449" s="170">
        <v>44764</v>
      </c>
      <c r="B1449" s="116">
        <v>3445.85</v>
      </c>
      <c r="C1449" s="116">
        <v>3421.05</v>
      </c>
      <c r="D1449" s="116">
        <v>3389.5</v>
      </c>
      <c r="E1449" s="116">
        <v>3445</v>
      </c>
      <c r="F1449" s="116">
        <v>3421.05</v>
      </c>
      <c r="G1449">
        <v>12515</v>
      </c>
      <c r="H1449" s="116"/>
      <c r="I1449" s="116"/>
      <c r="L1449" s="170">
        <v>44764</v>
      </c>
      <c r="M1449" s="116">
        <v>3422.25</v>
      </c>
      <c r="N1449" s="116">
        <v>3448</v>
      </c>
      <c r="O1449" s="116">
        <v>3386.2</v>
      </c>
      <c r="P1449" s="116">
        <v>3430</v>
      </c>
      <c r="Q1449" s="116">
        <v>3422.25</v>
      </c>
      <c r="R1449">
        <v>383139</v>
      </c>
    </row>
    <row r="1450" spans="1:18" x14ac:dyDescent="0.25">
      <c r="A1450" s="170">
        <v>44767</v>
      </c>
      <c r="B1450" s="116">
        <v>3475.55</v>
      </c>
      <c r="C1450" s="116">
        <v>3441.9</v>
      </c>
      <c r="D1450" s="116">
        <v>3410.15</v>
      </c>
      <c r="E1450" s="116">
        <v>3425</v>
      </c>
      <c r="F1450" s="116">
        <v>3441.9</v>
      </c>
      <c r="G1450">
        <v>9774</v>
      </c>
      <c r="H1450" s="116"/>
      <c r="I1450" s="116"/>
      <c r="L1450" s="170">
        <v>44767</v>
      </c>
      <c r="M1450" s="116">
        <v>3440.35</v>
      </c>
      <c r="N1450" s="116">
        <v>3478.55</v>
      </c>
      <c r="O1450" s="116">
        <v>3401.2</v>
      </c>
      <c r="P1450" s="116">
        <v>3417.8</v>
      </c>
      <c r="Q1450" s="116">
        <v>3440.35</v>
      </c>
      <c r="R1450">
        <v>325020</v>
      </c>
    </row>
    <row r="1451" spans="1:18" x14ac:dyDescent="0.25">
      <c r="A1451" s="170">
        <v>44768</v>
      </c>
      <c r="B1451" s="116">
        <v>3445</v>
      </c>
      <c r="C1451" s="116">
        <v>3255.55</v>
      </c>
      <c r="D1451" s="116">
        <v>3239.7</v>
      </c>
      <c r="E1451" s="116">
        <v>3442</v>
      </c>
      <c r="F1451" s="116">
        <v>3255.55</v>
      </c>
      <c r="G1451">
        <v>35283</v>
      </c>
      <c r="H1451" s="116"/>
      <c r="I1451" s="116"/>
      <c r="L1451" s="170">
        <v>44768</v>
      </c>
      <c r="M1451" s="116">
        <v>3253.55</v>
      </c>
      <c r="N1451" s="116">
        <v>3446.65</v>
      </c>
      <c r="O1451" s="116">
        <v>3237.25</v>
      </c>
      <c r="P1451" s="116">
        <v>3445</v>
      </c>
      <c r="Q1451" s="116">
        <v>3253.55</v>
      </c>
      <c r="R1451">
        <v>643930</v>
      </c>
    </row>
    <row r="1452" spans="1:18" x14ac:dyDescent="0.25">
      <c r="A1452" s="170">
        <v>44769</v>
      </c>
      <c r="B1452" s="116">
        <v>3302.5</v>
      </c>
      <c r="C1452" s="116">
        <v>3293.7</v>
      </c>
      <c r="D1452" s="116">
        <v>3201.05</v>
      </c>
      <c r="E1452" s="116">
        <v>3255</v>
      </c>
      <c r="F1452" s="116">
        <v>3293.7</v>
      </c>
      <c r="G1452">
        <v>17570</v>
      </c>
      <c r="H1452" s="116"/>
      <c r="I1452" s="116"/>
      <c r="L1452" s="170">
        <v>44769</v>
      </c>
      <c r="M1452" s="116">
        <v>3294.15</v>
      </c>
      <c r="N1452" s="116">
        <v>3304</v>
      </c>
      <c r="O1452" s="116">
        <v>3201.1</v>
      </c>
      <c r="P1452" s="116">
        <v>3231</v>
      </c>
      <c r="Q1452" s="116">
        <v>3294.15</v>
      </c>
      <c r="R1452">
        <v>361434</v>
      </c>
    </row>
    <row r="1453" spans="1:18" x14ac:dyDescent="0.25">
      <c r="A1453" s="170">
        <v>44770</v>
      </c>
      <c r="B1453" s="116">
        <v>3423.75</v>
      </c>
      <c r="C1453" s="116">
        <v>3400.25</v>
      </c>
      <c r="D1453" s="116">
        <v>3328.55</v>
      </c>
      <c r="E1453" s="116">
        <v>3350</v>
      </c>
      <c r="F1453" s="116">
        <v>3400.25</v>
      </c>
      <c r="G1453">
        <v>13099</v>
      </c>
      <c r="H1453" s="116"/>
      <c r="I1453" s="116"/>
      <c r="L1453" s="170">
        <v>44770</v>
      </c>
      <c r="M1453" s="116">
        <v>3399.5</v>
      </c>
      <c r="N1453" s="116">
        <v>3424</v>
      </c>
      <c r="O1453" s="116">
        <v>3328.25</v>
      </c>
      <c r="P1453" s="116">
        <v>3350</v>
      </c>
      <c r="Q1453" s="116">
        <v>3399.5</v>
      </c>
      <c r="R1453">
        <v>434457</v>
      </c>
    </row>
    <row r="1454" spans="1:18" x14ac:dyDescent="0.25">
      <c r="A1454" s="170">
        <v>44771</v>
      </c>
      <c r="B1454" s="116">
        <v>3582</v>
      </c>
      <c r="C1454" s="116">
        <v>3510.4</v>
      </c>
      <c r="D1454" s="116">
        <v>3411.25</v>
      </c>
      <c r="E1454" s="116">
        <v>3411.25</v>
      </c>
      <c r="F1454" s="116">
        <v>3510.4</v>
      </c>
      <c r="G1454">
        <v>38311</v>
      </c>
      <c r="H1454" s="116"/>
      <c r="I1454" s="116"/>
      <c r="L1454" s="170">
        <v>44771</v>
      </c>
      <c r="M1454" s="116">
        <v>3511.05</v>
      </c>
      <c r="N1454" s="116">
        <v>3584.6</v>
      </c>
      <c r="O1454" s="116">
        <v>3428</v>
      </c>
      <c r="P1454" s="116">
        <v>3438</v>
      </c>
      <c r="Q1454" s="116">
        <v>3511.05</v>
      </c>
      <c r="R1454">
        <v>640491</v>
      </c>
    </row>
    <row r="1455" spans="1:18" x14ac:dyDescent="0.25">
      <c r="A1455" s="170">
        <v>44774</v>
      </c>
      <c r="B1455" s="116">
        <v>3563.15</v>
      </c>
      <c r="C1455" s="116">
        <v>3523.4</v>
      </c>
      <c r="D1455" s="116">
        <v>3470.05</v>
      </c>
      <c r="E1455" s="116">
        <v>3540</v>
      </c>
      <c r="F1455" s="116">
        <v>3523.4</v>
      </c>
      <c r="G1455">
        <v>10429</v>
      </c>
      <c r="H1455" s="116"/>
      <c r="I1455" s="116"/>
      <c r="L1455" s="170">
        <v>44774</v>
      </c>
      <c r="M1455" s="116">
        <v>3524.15</v>
      </c>
      <c r="N1455" s="116">
        <v>3570.95</v>
      </c>
      <c r="O1455" s="116">
        <v>3468.1</v>
      </c>
      <c r="P1455" s="116">
        <v>3549.9</v>
      </c>
      <c r="Q1455" s="116">
        <v>3524.15</v>
      </c>
      <c r="R1455">
        <v>341830</v>
      </c>
    </row>
    <row r="1456" spans="1:18" x14ac:dyDescent="0.25">
      <c r="A1456" s="170">
        <v>44775</v>
      </c>
      <c r="B1456" s="116">
        <v>3528.5</v>
      </c>
      <c r="C1456" s="116">
        <v>3480.7</v>
      </c>
      <c r="D1456" s="116">
        <v>3467</v>
      </c>
      <c r="E1456" s="116">
        <v>3500</v>
      </c>
      <c r="F1456" s="116">
        <v>3480.7</v>
      </c>
      <c r="G1456">
        <v>17827</v>
      </c>
      <c r="H1456" s="116"/>
      <c r="I1456" s="116"/>
      <c r="L1456" s="170">
        <v>44775</v>
      </c>
      <c r="M1456" s="116">
        <v>3481.55</v>
      </c>
      <c r="N1456" s="116">
        <v>3529</v>
      </c>
      <c r="O1456" s="116">
        <v>3465.15</v>
      </c>
      <c r="P1456" s="116">
        <v>3501.2</v>
      </c>
      <c r="Q1456" s="116">
        <v>3481.55</v>
      </c>
      <c r="R1456">
        <v>330067</v>
      </c>
    </row>
    <row r="1457" spans="1:18" x14ac:dyDescent="0.25">
      <c r="A1457" s="170">
        <v>44776</v>
      </c>
      <c r="B1457" s="116">
        <v>3508</v>
      </c>
      <c r="C1457" s="116">
        <v>3475.75</v>
      </c>
      <c r="D1457" s="116">
        <v>3450.2</v>
      </c>
      <c r="E1457" s="116">
        <v>3475</v>
      </c>
      <c r="F1457" s="116">
        <v>3475.75</v>
      </c>
      <c r="G1457">
        <v>20441</v>
      </c>
      <c r="H1457" s="116"/>
      <c r="I1457" s="116"/>
      <c r="L1457" s="170">
        <v>44776</v>
      </c>
      <c r="M1457" s="116">
        <v>3474.7</v>
      </c>
      <c r="N1457" s="116">
        <v>3509.9</v>
      </c>
      <c r="O1457" s="116">
        <v>3450</v>
      </c>
      <c r="P1457" s="116">
        <v>3472.15</v>
      </c>
      <c r="Q1457" s="116">
        <v>3474.7</v>
      </c>
      <c r="R1457">
        <v>334005</v>
      </c>
    </row>
    <row r="1458" spans="1:18" x14ac:dyDescent="0.25">
      <c r="A1458" s="170">
        <v>44777</v>
      </c>
      <c r="B1458" s="116">
        <v>3561</v>
      </c>
      <c r="C1458" s="116">
        <v>3528.05</v>
      </c>
      <c r="D1458" s="116">
        <v>3491.05</v>
      </c>
      <c r="E1458" s="116">
        <v>3533</v>
      </c>
      <c r="F1458" s="116">
        <v>3528.05</v>
      </c>
      <c r="G1458">
        <v>26345</v>
      </c>
      <c r="H1458" s="116"/>
      <c r="I1458" s="116"/>
      <c r="L1458" s="170">
        <v>44777</v>
      </c>
      <c r="M1458" s="116">
        <v>3526.45</v>
      </c>
      <c r="N1458" s="116">
        <v>3561.6</v>
      </c>
      <c r="O1458" s="116">
        <v>3490</v>
      </c>
      <c r="P1458" s="116">
        <v>3519.9</v>
      </c>
      <c r="Q1458" s="116">
        <v>3526.45</v>
      </c>
      <c r="R1458">
        <v>427054</v>
      </c>
    </row>
    <row r="1459" spans="1:18" x14ac:dyDescent="0.25">
      <c r="A1459" s="170">
        <v>44778</v>
      </c>
      <c r="B1459" s="116">
        <v>3585.45</v>
      </c>
      <c r="C1459" s="116">
        <v>3560.55</v>
      </c>
      <c r="D1459" s="116">
        <v>3511</v>
      </c>
      <c r="E1459" s="116">
        <v>3511</v>
      </c>
      <c r="F1459" s="116">
        <v>3560.55</v>
      </c>
      <c r="G1459">
        <v>26340</v>
      </c>
      <c r="H1459" s="116"/>
      <c r="I1459" s="116"/>
      <c r="L1459" s="170">
        <v>44778</v>
      </c>
      <c r="M1459" s="116">
        <v>3563.05</v>
      </c>
      <c r="N1459" s="116">
        <v>3585</v>
      </c>
      <c r="O1459" s="116">
        <v>3520</v>
      </c>
      <c r="P1459" s="116">
        <v>3527</v>
      </c>
      <c r="Q1459" s="116">
        <v>3563.05</v>
      </c>
      <c r="R1459">
        <v>325620</v>
      </c>
    </row>
    <row r="1460" spans="1:18" x14ac:dyDescent="0.25">
      <c r="A1460" s="170">
        <v>44781</v>
      </c>
      <c r="B1460" s="116">
        <v>3600</v>
      </c>
      <c r="C1460" s="116">
        <v>3589.85</v>
      </c>
      <c r="D1460" s="116">
        <v>3537.25</v>
      </c>
      <c r="E1460" s="116">
        <v>3587</v>
      </c>
      <c r="F1460" s="116">
        <v>3589.85</v>
      </c>
      <c r="G1460">
        <v>6432</v>
      </c>
      <c r="H1460" s="116"/>
      <c r="I1460" s="116"/>
      <c r="L1460" s="170">
        <v>44781</v>
      </c>
      <c r="M1460" s="116">
        <v>3589.8</v>
      </c>
      <c r="N1460" s="116">
        <v>3605</v>
      </c>
      <c r="O1460" s="116">
        <v>3537.05</v>
      </c>
      <c r="P1460" s="116">
        <v>3575</v>
      </c>
      <c r="Q1460" s="116">
        <v>3589.8</v>
      </c>
      <c r="R1460">
        <v>263354</v>
      </c>
    </row>
    <row r="1461" spans="1:18" x14ac:dyDescent="0.25">
      <c r="A1461" s="170">
        <v>44783</v>
      </c>
      <c r="B1461" s="116">
        <v>3604</v>
      </c>
      <c r="C1461" s="116">
        <v>3585.85</v>
      </c>
      <c r="D1461" s="116">
        <v>3525.3</v>
      </c>
      <c r="E1461" s="116">
        <v>3599</v>
      </c>
      <c r="F1461" s="116">
        <v>3585.85</v>
      </c>
      <c r="G1461">
        <v>14145</v>
      </c>
      <c r="H1461" s="116"/>
      <c r="I1461" s="116"/>
      <c r="L1461" s="170">
        <v>44783</v>
      </c>
      <c r="M1461" s="116">
        <v>3586.25</v>
      </c>
      <c r="N1461" s="116">
        <v>3608.45</v>
      </c>
      <c r="O1461" s="116">
        <v>3525.55</v>
      </c>
      <c r="P1461" s="116">
        <v>3600</v>
      </c>
      <c r="Q1461" s="116">
        <v>3586.25</v>
      </c>
      <c r="R1461">
        <v>278729</v>
      </c>
    </row>
    <row r="1462" spans="1:18" x14ac:dyDescent="0.25">
      <c r="A1462" s="170">
        <v>44784</v>
      </c>
      <c r="B1462" s="116">
        <v>3674.75</v>
      </c>
      <c r="C1462" s="116">
        <v>3639.4</v>
      </c>
      <c r="D1462" s="116">
        <v>3596.35</v>
      </c>
      <c r="E1462" s="116">
        <v>3674.75</v>
      </c>
      <c r="F1462" s="116">
        <v>3639.4</v>
      </c>
      <c r="G1462">
        <v>24808</v>
      </c>
      <c r="H1462" s="116"/>
      <c r="I1462" s="116"/>
      <c r="L1462" s="170">
        <v>44784</v>
      </c>
      <c r="M1462" s="116">
        <v>3638.4</v>
      </c>
      <c r="N1462" s="116">
        <v>3670</v>
      </c>
      <c r="O1462" s="116">
        <v>3596</v>
      </c>
      <c r="P1462" s="116">
        <v>3650</v>
      </c>
      <c r="Q1462" s="116">
        <v>3638.4</v>
      </c>
      <c r="R1462">
        <v>455278</v>
      </c>
    </row>
    <row r="1463" spans="1:18" x14ac:dyDescent="0.25">
      <c r="A1463" s="170">
        <v>44785</v>
      </c>
      <c r="B1463" s="116">
        <v>3676.4</v>
      </c>
      <c r="C1463" s="116">
        <v>3658.05</v>
      </c>
      <c r="D1463" s="116">
        <v>3608.55</v>
      </c>
      <c r="E1463" s="116">
        <v>3640</v>
      </c>
      <c r="F1463" s="116">
        <v>3658.05</v>
      </c>
      <c r="G1463">
        <v>16854</v>
      </c>
      <c r="H1463" s="116"/>
      <c r="I1463" s="116"/>
      <c r="L1463" s="170">
        <v>44785</v>
      </c>
      <c r="M1463" s="116">
        <v>3659.5</v>
      </c>
      <c r="N1463" s="116">
        <v>3674.25</v>
      </c>
      <c r="O1463" s="116">
        <v>3611.1</v>
      </c>
      <c r="P1463" s="116">
        <v>3641.95</v>
      </c>
      <c r="Q1463" s="116">
        <v>3659.5</v>
      </c>
      <c r="R1463">
        <v>285424</v>
      </c>
    </row>
    <row r="1464" spans="1:18" x14ac:dyDescent="0.25">
      <c r="A1464" s="170">
        <v>44789</v>
      </c>
      <c r="B1464" s="116">
        <v>3707.5</v>
      </c>
      <c r="C1464" s="116">
        <v>3678.7</v>
      </c>
      <c r="D1464" s="116">
        <v>3655</v>
      </c>
      <c r="E1464" s="116">
        <v>3707.5</v>
      </c>
      <c r="F1464" s="116">
        <v>3678.7</v>
      </c>
      <c r="G1464">
        <v>18517</v>
      </c>
      <c r="H1464" s="116"/>
      <c r="I1464" s="116"/>
      <c r="L1464" s="170">
        <v>44789</v>
      </c>
      <c r="M1464" s="116">
        <v>3677.65</v>
      </c>
      <c r="N1464" s="116">
        <v>3698.4</v>
      </c>
      <c r="O1464" s="116">
        <v>3653.55</v>
      </c>
      <c r="P1464" s="116">
        <v>3680</v>
      </c>
      <c r="Q1464" s="116">
        <v>3677.65</v>
      </c>
      <c r="R1464">
        <v>288162</v>
      </c>
    </row>
    <row r="1465" spans="1:18" x14ac:dyDescent="0.25">
      <c r="A1465" s="170">
        <v>44790</v>
      </c>
      <c r="B1465" s="116">
        <v>3854.05</v>
      </c>
      <c r="C1465" s="116">
        <v>3840.4</v>
      </c>
      <c r="D1465" s="116">
        <v>3680</v>
      </c>
      <c r="E1465" s="116">
        <v>3699.5</v>
      </c>
      <c r="F1465" s="116">
        <v>3840.4</v>
      </c>
      <c r="G1465">
        <v>37271</v>
      </c>
      <c r="H1465" s="116"/>
      <c r="I1465" s="116"/>
      <c r="L1465" s="170">
        <v>44790</v>
      </c>
      <c r="M1465" s="116">
        <v>3840.2</v>
      </c>
      <c r="N1465" s="116">
        <v>3855</v>
      </c>
      <c r="O1465" s="116">
        <v>3675.7</v>
      </c>
      <c r="P1465" s="116">
        <v>3690</v>
      </c>
      <c r="Q1465" s="116">
        <v>3840.2</v>
      </c>
      <c r="R1465">
        <v>520706</v>
      </c>
    </row>
    <row r="1466" spans="1:18" x14ac:dyDescent="0.25">
      <c r="A1466" s="170">
        <v>44791</v>
      </c>
      <c r="B1466" s="116">
        <v>3924.95</v>
      </c>
      <c r="C1466" s="116">
        <v>3885.7</v>
      </c>
      <c r="D1466" s="116">
        <v>3802.5</v>
      </c>
      <c r="E1466" s="116">
        <v>3845.05</v>
      </c>
      <c r="F1466" s="116">
        <v>3885.7</v>
      </c>
      <c r="G1466">
        <v>25672</v>
      </c>
      <c r="H1466" s="116"/>
      <c r="I1466" s="116"/>
      <c r="L1466" s="170">
        <v>44791</v>
      </c>
      <c r="M1466" s="116">
        <v>3885.4</v>
      </c>
      <c r="N1466" s="116">
        <v>3925</v>
      </c>
      <c r="O1466" s="116">
        <v>3803</v>
      </c>
      <c r="P1466" s="116">
        <v>3854</v>
      </c>
      <c r="Q1466" s="116">
        <v>3885.4</v>
      </c>
      <c r="R1466">
        <v>498449</v>
      </c>
    </row>
    <row r="1467" spans="1:18" x14ac:dyDescent="0.25">
      <c r="A1467" s="170">
        <v>44792</v>
      </c>
      <c r="B1467" s="116">
        <v>3942</v>
      </c>
      <c r="C1467" s="116">
        <v>3794.3</v>
      </c>
      <c r="D1467" s="116">
        <v>3773.4</v>
      </c>
      <c r="E1467" s="116">
        <v>3926.95</v>
      </c>
      <c r="F1467" s="116">
        <v>3794.3</v>
      </c>
      <c r="G1467">
        <v>25268</v>
      </c>
      <c r="H1467" s="116"/>
      <c r="I1467" s="116"/>
      <c r="L1467" s="170">
        <v>44792</v>
      </c>
      <c r="M1467" s="116">
        <v>3793.25</v>
      </c>
      <c r="N1467" s="116">
        <v>3942</v>
      </c>
      <c r="O1467" s="116">
        <v>3769.35</v>
      </c>
      <c r="P1467" s="116">
        <v>3890</v>
      </c>
      <c r="Q1467" s="116">
        <v>3793.25</v>
      </c>
      <c r="R1467">
        <v>317936</v>
      </c>
    </row>
    <row r="1468" spans="1:18" x14ac:dyDescent="0.25">
      <c r="A1468" s="170">
        <v>44795</v>
      </c>
      <c r="B1468" s="116">
        <v>3773.7</v>
      </c>
      <c r="C1468" s="116">
        <v>3674.65</v>
      </c>
      <c r="D1468" s="116">
        <v>3666</v>
      </c>
      <c r="E1468" s="116">
        <v>3755</v>
      </c>
      <c r="F1468" s="116">
        <v>3674.65</v>
      </c>
      <c r="G1468">
        <v>26165</v>
      </c>
      <c r="H1468" s="116"/>
      <c r="I1468" s="116"/>
      <c r="L1468" s="170">
        <v>44795</v>
      </c>
      <c r="M1468" s="116">
        <v>3674.35</v>
      </c>
      <c r="N1468" s="116">
        <v>3770</v>
      </c>
      <c r="O1468" s="116">
        <v>3666</v>
      </c>
      <c r="P1468" s="116">
        <v>3770</v>
      </c>
      <c r="Q1468" s="116">
        <v>3674.35</v>
      </c>
      <c r="R1468">
        <v>269816</v>
      </c>
    </row>
    <row r="1469" spans="1:18" x14ac:dyDescent="0.25">
      <c r="A1469" s="170">
        <v>44796</v>
      </c>
      <c r="B1469" s="116">
        <v>3666.95</v>
      </c>
      <c r="C1469" s="116">
        <v>3648.3</v>
      </c>
      <c r="D1469" s="116">
        <v>3526.05</v>
      </c>
      <c r="E1469" s="116">
        <v>3585</v>
      </c>
      <c r="F1469" s="116">
        <v>3648.3</v>
      </c>
      <c r="G1469">
        <v>34948</v>
      </c>
      <c r="H1469" s="116"/>
      <c r="I1469" s="116"/>
      <c r="L1469" s="170">
        <v>44796</v>
      </c>
      <c r="M1469" s="116">
        <v>3651</v>
      </c>
      <c r="N1469" s="116">
        <v>3669</v>
      </c>
      <c r="O1469" s="116">
        <v>3526.05</v>
      </c>
      <c r="P1469" s="116">
        <v>3605</v>
      </c>
      <c r="Q1469" s="116">
        <v>3651</v>
      </c>
      <c r="R1469">
        <v>436189</v>
      </c>
    </row>
    <row r="1470" spans="1:18" x14ac:dyDescent="0.25">
      <c r="A1470" s="170">
        <v>44797</v>
      </c>
      <c r="B1470" s="116">
        <v>3691.95</v>
      </c>
      <c r="C1470" s="116">
        <v>3681.2</v>
      </c>
      <c r="D1470" s="116">
        <v>3635</v>
      </c>
      <c r="E1470" s="116">
        <v>3675</v>
      </c>
      <c r="F1470" s="116">
        <v>3681.2</v>
      </c>
      <c r="G1470">
        <v>7417</v>
      </c>
      <c r="H1470" s="116"/>
      <c r="I1470" s="116"/>
      <c r="L1470" s="170">
        <v>44797</v>
      </c>
      <c r="M1470" s="116">
        <v>3679.55</v>
      </c>
      <c r="N1470" s="116">
        <v>3690.85</v>
      </c>
      <c r="O1470" s="116">
        <v>3633.6</v>
      </c>
      <c r="P1470" s="116">
        <v>3669.8</v>
      </c>
      <c r="Q1470" s="116">
        <v>3679.55</v>
      </c>
      <c r="R1470">
        <v>213629</v>
      </c>
    </row>
    <row r="1471" spans="1:18" x14ac:dyDescent="0.25">
      <c r="A1471" s="170">
        <v>44798</v>
      </c>
      <c r="B1471" s="116">
        <v>3753.7</v>
      </c>
      <c r="C1471" s="116">
        <v>3645.95</v>
      </c>
      <c r="D1471" s="116">
        <v>3630</v>
      </c>
      <c r="E1471" s="116">
        <v>3685.6</v>
      </c>
      <c r="F1471" s="116">
        <v>3645.95</v>
      </c>
      <c r="G1471">
        <v>21948</v>
      </c>
      <c r="H1471" s="116"/>
      <c r="I1471" s="116"/>
      <c r="L1471" s="170">
        <v>44798</v>
      </c>
      <c r="M1471" s="116">
        <v>3642</v>
      </c>
      <c r="N1471" s="116">
        <v>3753</v>
      </c>
      <c r="O1471" s="116">
        <v>3630</v>
      </c>
      <c r="P1471" s="116">
        <v>3702</v>
      </c>
      <c r="Q1471" s="116">
        <v>3642</v>
      </c>
      <c r="R1471">
        <v>247693</v>
      </c>
    </row>
    <row r="1472" spans="1:18" x14ac:dyDescent="0.25">
      <c r="A1472" s="170">
        <v>44799</v>
      </c>
      <c r="B1472" s="116">
        <v>3719.85</v>
      </c>
      <c r="C1472" s="116">
        <v>3668.65</v>
      </c>
      <c r="D1472" s="116">
        <v>3654.6</v>
      </c>
      <c r="E1472" s="116">
        <v>3700.85</v>
      </c>
      <c r="F1472" s="116">
        <v>3668.65</v>
      </c>
      <c r="G1472">
        <v>27761</v>
      </c>
      <c r="H1472" s="116"/>
      <c r="I1472" s="116"/>
      <c r="L1472" s="170">
        <v>44799</v>
      </c>
      <c r="M1472" s="116">
        <v>3669.95</v>
      </c>
      <c r="N1472" s="116">
        <v>3719.5</v>
      </c>
      <c r="O1472" s="116">
        <v>3655</v>
      </c>
      <c r="P1472" s="116">
        <v>3685</v>
      </c>
      <c r="Q1472" s="116">
        <v>3669.95</v>
      </c>
      <c r="R1472">
        <v>226934</v>
      </c>
    </row>
    <row r="1473" spans="1:18" x14ac:dyDescent="0.25">
      <c r="A1473" s="170">
        <v>44802</v>
      </c>
      <c r="B1473" s="116">
        <v>3599</v>
      </c>
      <c r="C1473" s="116">
        <v>3577.1</v>
      </c>
      <c r="D1473" s="116">
        <v>3477</v>
      </c>
      <c r="E1473" s="116">
        <v>3477</v>
      </c>
      <c r="F1473" s="116">
        <v>3577.1</v>
      </c>
      <c r="G1473">
        <v>34305</v>
      </c>
      <c r="H1473" s="116"/>
      <c r="I1473" s="116"/>
      <c r="L1473" s="170">
        <v>44802</v>
      </c>
      <c r="M1473" s="116">
        <v>3578.3</v>
      </c>
      <c r="N1473" s="116">
        <v>3600</v>
      </c>
      <c r="O1473" s="116">
        <v>3461</v>
      </c>
      <c r="P1473" s="116">
        <v>3461</v>
      </c>
      <c r="Q1473" s="116">
        <v>3578.3</v>
      </c>
      <c r="R1473">
        <v>507122</v>
      </c>
    </row>
    <row r="1474" spans="1:18" x14ac:dyDescent="0.25">
      <c r="A1474" s="170">
        <v>44803</v>
      </c>
      <c r="B1474" s="116">
        <v>3728</v>
      </c>
      <c r="C1474" s="116">
        <v>3720.85</v>
      </c>
      <c r="D1474" s="116">
        <v>3579</v>
      </c>
      <c r="E1474" s="116">
        <v>3650</v>
      </c>
      <c r="F1474" s="116">
        <v>3720.85</v>
      </c>
      <c r="G1474">
        <v>15849</v>
      </c>
      <c r="H1474" s="116"/>
      <c r="I1474" s="116"/>
      <c r="L1474" s="170">
        <v>44803</v>
      </c>
      <c r="M1474" s="116">
        <v>3714</v>
      </c>
      <c r="N1474" s="116">
        <v>3728</v>
      </c>
      <c r="O1474" s="116">
        <v>3576.05</v>
      </c>
      <c r="P1474" s="116">
        <v>3644</v>
      </c>
      <c r="Q1474" s="116">
        <v>3714</v>
      </c>
      <c r="R1474">
        <v>438173</v>
      </c>
    </row>
    <row r="1475" spans="1:18" x14ac:dyDescent="0.25">
      <c r="A1475" s="170">
        <v>44805</v>
      </c>
      <c r="B1475" s="116">
        <v>3684.6</v>
      </c>
      <c r="C1475" s="116">
        <v>3625.35</v>
      </c>
      <c r="D1475" s="116">
        <v>3615.5</v>
      </c>
      <c r="E1475" s="116">
        <v>3645</v>
      </c>
      <c r="F1475" s="116">
        <v>3625.35</v>
      </c>
      <c r="G1475">
        <v>22928</v>
      </c>
      <c r="H1475" s="116"/>
      <c r="I1475" s="116"/>
      <c r="L1475" s="170">
        <v>44805</v>
      </c>
      <c r="M1475" s="116">
        <v>3625.05</v>
      </c>
      <c r="N1475" s="116">
        <v>3687.85</v>
      </c>
      <c r="O1475" s="116">
        <v>3615</v>
      </c>
      <c r="P1475" s="116">
        <v>3650</v>
      </c>
      <c r="Q1475" s="116">
        <v>3625.05</v>
      </c>
      <c r="R1475">
        <v>373925</v>
      </c>
    </row>
    <row r="1476" spans="1:18" x14ac:dyDescent="0.25">
      <c r="A1476" s="170">
        <v>44806</v>
      </c>
      <c r="B1476" s="116">
        <v>3698.35</v>
      </c>
      <c r="C1476" s="116">
        <v>3641.1</v>
      </c>
      <c r="D1476" s="116">
        <v>3627.8</v>
      </c>
      <c r="E1476" s="116">
        <v>3659</v>
      </c>
      <c r="F1476" s="116">
        <v>3641.1</v>
      </c>
      <c r="G1476">
        <v>13057</v>
      </c>
      <c r="H1476" s="116"/>
      <c r="I1476" s="116"/>
      <c r="L1476" s="170">
        <v>44806</v>
      </c>
      <c r="M1476" s="116">
        <v>3641.35</v>
      </c>
      <c r="N1476" s="116">
        <v>3699</v>
      </c>
      <c r="O1476" s="116">
        <v>3627</v>
      </c>
      <c r="P1476" s="116">
        <v>3660</v>
      </c>
      <c r="Q1476" s="116">
        <v>3641.35</v>
      </c>
      <c r="R1476">
        <v>208825</v>
      </c>
    </row>
    <row r="1477" spans="1:18" x14ac:dyDescent="0.25">
      <c r="A1477" s="170">
        <v>44809</v>
      </c>
      <c r="B1477" s="116">
        <v>3718.75</v>
      </c>
      <c r="C1477" s="116">
        <v>3643</v>
      </c>
      <c r="D1477" s="116">
        <v>3620.3</v>
      </c>
      <c r="E1477" s="116">
        <v>3652.2</v>
      </c>
      <c r="F1477" s="116">
        <v>3643</v>
      </c>
      <c r="G1477">
        <v>9543</v>
      </c>
      <c r="H1477" s="116"/>
      <c r="I1477" s="116"/>
      <c r="L1477" s="170">
        <v>44809</v>
      </c>
      <c r="M1477" s="116">
        <v>3644.55</v>
      </c>
      <c r="N1477" s="116">
        <v>3717.5</v>
      </c>
      <c r="O1477" s="116">
        <v>3621</v>
      </c>
      <c r="P1477" s="116">
        <v>3669.8</v>
      </c>
      <c r="Q1477" s="116">
        <v>3644.55</v>
      </c>
      <c r="R1477">
        <v>204452</v>
      </c>
    </row>
    <row r="1478" spans="1:18" x14ac:dyDescent="0.25">
      <c r="A1478" s="170">
        <v>44810</v>
      </c>
      <c r="B1478" s="116">
        <v>3680.95</v>
      </c>
      <c r="C1478" s="116">
        <v>3627.15</v>
      </c>
      <c r="D1478" s="116">
        <v>3612.7</v>
      </c>
      <c r="E1478" s="116">
        <v>3680.95</v>
      </c>
      <c r="F1478" s="116">
        <v>3627.15</v>
      </c>
      <c r="G1478">
        <v>6342</v>
      </c>
      <c r="H1478" s="116"/>
      <c r="I1478" s="116"/>
      <c r="L1478" s="170">
        <v>44810</v>
      </c>
      <c r="M1478" s="116">
        <v>3624.5</v>
      </c>
      <c r="N1478" s="116">
        <v>3676</v>
      </c>
      <c r="O1478" s="116">
        <v>3612</v>
      </c>
      <c r="P1478" s="116">
        <v>3660.55</v>
      </c>
      <c r="Q1478" s="116">
        <v>3624.5</v>
      </c>
      <c r="R1478">
        <v>130092</v>
      </c>
    </row>
    <row r="1479" spans="1:18" x14ac:dyDescent="0.25">
      <c r="A1479" s="170">
        <v>44811</v>
      </c>
      <c r="B1479" s="116">
        <v>3626.4</v>
      </c>
      <c r="C1479" s="116">
        <v>3595.3</v>
      </c>
      <c r="D1479" s="116">
        <v>3549.75</v>
      </c>
      <c r="E1479" s="116">
        <v>3612</v>
      </c>
      <c r="F1479" s="116">
        <v>3595.3</v>
      </c>
      <c r="G1479">
        <v>13113</v>
      </c>
      <c r="H1479" s="116"/>
      <c r="I1479" s="116"/>
      <c r="L1479" s="170">
        <v>44811</v>
      </c>
      <c r="M1479" s="116">
        <v>3595.55</v>
      </c>
      <c r="N1479" s="116">
        <v>3625</v>
      </c>
      <c r="O1479" s="116">
        <v>3546.45</v>
      </c>
      <c r="P1479" s="116">
        <v>3597</v>
      </c>
      <c r="Q1479" s="116">
        <v>3595.55</v>
      </c>
      <c r="R1479">
        <v>251945</v>
      </c>
    </row>
    <row r="1480" spans="1:18" x14ac:dyDescent="0.25">
      <c r="A1480" s="170">
        <v>44812</v>
      </c>
      <c r="B1480" s="116">
        <v>3634.25</v>
      </c>
      <c r="C1480" s="116">
        <v>3605.85</v>
      </c>
      <c r="D1480" s="116">
        <v>3579.25</v>
      </c>
      <c r="E1480" s="116">
        <v>3631.7</v>
      </c>
      <c r="F1480" s="116">
        <v>3605.85</v>
      </c>
      <c r="G1480">
        <v>7377</v>
      </c>
      <c r="H1480" s="116"/>
      <c r="I1480" s="116"/>
      <c r="L1480" s="170">
        <v>44812</v>
      </c>
      <c r="M1480" s="116">
        <v>3606.95</v>
      </c>
      <c r="N1480" s="116">
        <v>3635</v>
      </c>
      <c r="O1480" s="116">
        <v>3580.95</v>
      </c>
      <c r="P1480" s="116">
        <v>3613.55</v>
      </c>
      <c r="Q1480" s="116">
        <v>3606.95</v>
      </c>
      <c r="R1480">
        <v>251153</v>
      </c>
    </row>
    <row r="1481" spans="1:18" x14ac:dyDescent="0.25">
      <c r="A1481" s="170">
        <v>44813</v>
      </c>
      <c r="B1481" s="116">
        <v>3782.4</v>
      </c>
      <c r="C1481" s="116">
        <v>3750.45</v>
      </c>
      <c r="D1481" s="116">
        <v>3609.05</v>
      </c>
      <c r="E1481" s="116">
        <v>3644.9</v>
      </c>
      <c r="F1481" s="116">
        <v>3750.45</v>
      </c>
      <c r="G1481">
        <v>13907</v>
      </c>
      <c r="H1481" s="116"/>
      <c r="I1481" s="116"/>
      <c r="L1481" s="170">
        <v>44813</v>
      </c>
      <c r="M1481" s="116">
        <v>3753.05</v>
      </c>
      <c r="N1481" s="116">
        <v>3780</v>
      </c>
      <c r="O1481" s="116">
        <v>3610.1</v>
      </c>
      <c r="P1481" s="116">
        <v>3635</v>
      </c>
      <c r="Q1481" s="116">
        <v>3753.05</v>
      </c>
      <c r="R1481">
        <v>465627</v>
      </c>
    </row>
    <row r="1482" spans="1:18" x14ac:dyDescent="0.25">
      <c r="A1482" s="170">
        <v>44816</v>
      </c>
      <c r="B1482" s="116">
        <v>3842</v>
      </c>
      <c r="C1482" s="116">
        <v>3824</v>
      </c>
      <c r="D1482" s="116">
        <v>3777.95</v>
      </c>
      <c r="E1482" s="116">
        <v>3799.95</v>
      </c>
      <c r="F1482" s="116">
        <v>3824</v>
      </c>
      <c r="G1482">
        <v>15420</v>
      </c>
      <c r="H1482" s="116"/>
      <c r="I1482" s="116"/>
      <c r="L1482" s="170">
        <v>44816</v>
      </c>
      <c r="M1482" s="116">
        <v>3824.25</v>
      </c>
      <c r="N1482" s="116">
        <v>3840</v>
      </c>
      <c r="O1482" s="116">
        <v>3770</v>
      </c>
      <c r="P1482" s="116">
        <v>3790</v>
      </c>
      <c r="Q1482" s="116">
        <v>3824.25</v>
      </c>
      <c r="R1482">
        <v>532909</v>
      </c>
    </row>
    <row r="1483" spans="1:18" x14ac:dyDescent="0.25">
      <c r="A1483" s="170">
        <v>44817</v>
      </c>
      <c r="B1483" s="116">
        <v>3878</v>
      </c>
      <c r="C1483" s="116">
        <v>3841.6</v>
      </c>
      <c r="D1483" s="116">
        <v>3820</v>
      </c>
      <c r="E1483" s="116">
        <v>3864</v>
      </c>
      <c r="F1483" s="116">
        <v>3841.6</v>
      </c>
      <c r="G1483">
        <v>12252</v>
      </c>
      <c r="H1483" s="116"/>
      <c r="I1483" s="116"/>
      <c r="L1483" s="170">
        <v>44817</v>
      </c>
      <c r="M1483" s="116">
        <v>3840.6</v>
      </c>
      <c r="N1483" s="116">
        <v>3879</v>
      </c>
      <c r="O1483" s="116">
        <v>3820</v>
      </c>
      <c r="P1483" s="116">
        <v>3849.5</v>
      </c>
      <c r="Q1483" s="116">
        <v>3840.6</v>
      </c>
      <c r="R1483">
        <v>313473</v>
      </c>
    </row>
    <row r="1484" spans="1:18" x14ac:dyDescent="0.25">
      <c r="A1484" s="170">
        <v>44818</v>
      </c>
      <c r="B1484" s="116">
        <v>3748.95</v>
      </c>
      <c r="C1484" s="116">
        <v>3676.9</v>
      </c>
      <c r="D1484" s="116">
        <v>3631.55</v>
      </c>
      <c r="E1484" s="116">
        <v>3700</v>
      </c>
      <c r="F1484" s="116">
        <v>3676.9</v>
      </c>
      <c r="G1484">
        <v>56441</v>
      </c>
      <c r="H1484" s="116"/>
      <c r="I1484" s="116"/>
      <c r="L1484" s="170">
        <v>44818</v>
      </c>
      <c r="M1484" s="116">
        <v>3676.95</v>
      </c>
      <c r="N1484" s="116">
        <v>3749</v>
      </c>
      <c r="O1484" s="116">
        <v>3632</v>
      </c>
      <c r="P1484" s="116">
        <v>3716</v>
      </c>
      <c r="Q1484" s="116">
        <v>3676.95</v>
      </c>
      <c r="R1484">
        <v>738768</v>
      </c>
    </row>
    <row r="1485" spans="1:18" x14ac:dyDescent="0.25">
      <c r="A1485" s="170">
        <v>44819</v>
      </c>
      <c r="B1485" s="116">
        <v>3730.05</v>
      </c>
      <c r="C1485" s="116">
        <v>3633.35</v>
      </c>
      <c r="D1485" s="116">
        <v>3623.25</v>
      </c>
      <c r="E1485" s="116">
        <v>3698</v>
      </c>
      <c r="F1485" s="116">
        <v>3633.35</v>
      </c>
      <c r="G1485">
        <v>27295</v>
      </c>
      <c r="H1485" s="116"/>
      <c r="I1485" s="116"/>
      <c r="L1485" s="170">
        <v>44819</v>
      </c>
      <c r="M1485" s="116">
        <v>3631.4</v>
      </c>
      <c r="N1485" s="116">
        <v>3734.75</v>
      </c>
      <c r="O1485" s="116">
        <v>3621.85</v>
      </c>
      <c r="P1485" s="116">
        <v>3698</v>
      </c>
      <c r="Q1485" s="116">
        <v>3631.4</v>
      </c>
      <c r="R1485">
        <v>330909</v>
      </c>
    </row>
    <row r="1486" spans="1:18" x14ac:dyDescent="0.25">
      <c r="A1486" s="170">
        <v>44820</v>
      </c>
      <c r="B1486" s="116">
        <v>3646.45</v>
      </c>
      <c r="C1486" s="116">
        <v>3436.8</v>
      </c>
      <c r="D1486" s="116">
        <v>3417</v>
      </c>
      <c r="E1486" s="116">
        <v>3633.35</v>
      </c>
      <c r="F1486" s="116">
        <v>3436.8</v>
      </c>
      <c r="G1486">
        <v>43146</v>
      </c>
      <c r="H1486" s="116"/>
      <c r="I1486" s="116"/>
      <c r="L1486" s="170">
        <v>44820</v>
      </c>
      <c r="M1486" s="116">
        <v>3432.5</v>
      </c>
      <c r="N1486" s="116">
        <v>3650</v>
      </c>
      <c r="O1486" s="116">
        <v>3410.2</v>
      </c>
      <c r="P1486" s="116">
        <v>3620</v>
      </c>
      <c r="Q1486" s="116">
        <v>3432.5</v>
      </c>
      <c r="R1486">
        <v>460104</v>
      </c>
    </row>
    <row r="1487" spans="1:18" x14ac:dyDescent="0.25">
      <c r="A1487" s="170">
        <v>44823</v>
      </c>
      <c r="B1487" s="116">
        <v>3472.25</v>
      </c>
      <c r="C1487" s="116">
        <v>3344.15</v>
      </c>
      <c r="D1487" s="116">
        <v>3324</v>
      </c>
      <c r="E1487" s="116">
        <v>3457</v>
      </c>
      <c r="F1487" s="116">
        <v>3344.15</v>
      </c>
      <c r="G1487">
        <v>32072</v>
      </c>
      <c r="H1487" s="116"/>
      <c r="I1487" s="116"/>
      <c r="L1487" s="170">
        <v>44823</v>
      </c>
      <c r="M1487" s="116">
        <v>3343.3</v>
      </c>
      <c r="N1487" s="116">
        <v>3471.95</v>
      </c>
      <c r="O1487" s="116">
        <v>3323</v>
      </c>
      <c r="P1487" s="116">
        <v>3443.9</v>
      </c>
      <c r="Q1487" s="116">
        <v>3343.3</v>
      </c>
      <c r="R1487">
        <v>404592</v>
      </c>
    </row>
    <row r="1488" spans="1:18" x14ac:dyDescent="0.25">
      <c r="A1488" s="170">
        <v>44824</v>
      </c>
      <c r="B1488" s="116">
        <v>3465.9</v>
      </c>
      <c r="C1488" s="116">
        <v>3406.2</v>
      </c>
      <c r="D1488" s="116">
        <v>3382.1</v>
      </c>
      <c r="E1488" s="116">
        <v>3400</v>
      </c>
      <c r="F1488" s="116">
        <v>3406.2</v>
      </c>
      <c r="G1488">
        <v>36934</v>
      </c>
      <c r="H1488" s="116"/>
      <c r="I1488" s="116"/>
      <c r="L1488" s="170">
        <v>44824</v>
      </c>
      <c r="M1488" s="116">
        <v>3408.05</v>
      </c>
      <c r="N1488" s="116">
        <v>3466.6</v>
      </c>
      <c r="O1488" s="116">
        <v>3380</v>
      </c>
      <c r="P1488" s="116">
        <v>3388</v>
      </c>
      <c r="Q1488" s="116">
        <v>3408.05</v>
      </c>
      <c r="R1488">
        <v>255356</v>
      </c>
    </row>
    <row r="1489" spans="1:18" x14ac:dyDescent="0.25">
      <c r="A1489" s="170">
        <v>44825</v>
      </c>
      <c r="B1489" s="116">
        <v>3500</v>
      </c>
      <c r="C1489" s="116">
        <v>3459.1</v>
      </c>
      <c r="D1489" s="116">
        <v>3396.1</v>
      </c>
      <c r="E1489" s="116">
        <v>3408</v>
      </c>
      <c r="F1489" s="116">
        <v>3459.1</v>
      </c>
      <c r="G1489">
        <v>13690</v>
      </c>
      <c r="H1489" s="116"/>
      <c r="I1489" s="116"/>
      <c r="L1489" s="170">
        <v>44825</v>
      </c>
      <c r="M1489" s="116">
        <v>3456.1</v>
      </c>
      <c r="N1489" s="116">
        <v>3500.95</v>
      </c>
      <c r="O1489" s="116">
        <v>3390.1</v>
      </c>
      <c r="P1489" s="116">
        <v>3400</v>
      </c>
      <c r="Q1489" s="116">
        <v>3456.1</v>
      </c>
      <c r="R1489">
        <v>297279</v>
      </c>
    </row>
    <row r="1490" spans="1:18" x14ac:dyDescent="0.25">
      <c r="A1490" s="170">
        <v>44826</v>
      </c>
      <c r="B1490" s="116">
        <v>3509.9</v>
      </c>
      <c r="C1490" s="116">
        <v>3491.25</v>
      </c>
      <c r="D1490" s="116">
        <v>3404.85</v>
      </c>
      <c r="E1490" s="116">
        <v>3405.05</v>
      </c>
      <c r="F1490" s="116">
        <v>3491.25</v>
      </c>
      <c r="G1490">
        <v>29150</v>
      </c>
      <c r="H1490" s="116"/>
      <c r="I1490" s="116"/>
      <c r="L1490" s="170">
        <v>44826</v>
      </c>
      <c r="M1490" s="116">
        <v>3487.15</v>
      </c>
      <c r="N1490" s="116">
        <v>3503.9</v>
      </c>
      <c r="O1490" s="116">
        <v>3405</v>
      </c>
      <c r="P1490" s="116">
        <v>3425</v>
      </c>
      <c r="Q1490" s="116">
        <v>3487.15</v>
      </c>
      <c r="R1490">
        <v>243369</v>
      </c>
    </row>
    <row r="1491" spans="1:18" x14ac:dyDescent="0.25">
      <c r="A1491" s="170">
        <v>44827</v>
      </c>
      <c r="B1491" s="116">
        <v>3533.1</v>
      </c>
      <c r="C1491" s="116">
        <v>3447.35</v>
      </c>
      <c r="D1491" s="116">
        <v>3428.5</v>
      </c>
      <c r="E1491" s="116">
        <v>3500</v>
      </c>
      <c r="F1491" s="116">
        <v>3447.35</v>
      </c>
      <c r="G1491">
        <v>18494</v>
      </c>
      <c r="H1491" s="116"/>
      <c r="I1491" s="116"/>
      <c r="L1491" s="170">
        <v>44827</v>
      </c>
      <c r="M1491" s="116">
        <v>3446.95</v>
      </c>
      <c r="N1491" s="116">
        <v>3534.8</v>
      </c>
      <c r="O1491" s="116">
        <v>3428.15</v>
      </c>
      <c r="P1491" s="116">
        <v>3490</v>
      </c>
      <c r="Q1491" s="116">
        <v>3446.95</v>
      </c>
      <c r="R1491">
        <v>293477</v>
      </c>
    </row>
    <row r="1492" spans="1:18" x14ac:dyDescent="0.25">
      <c r="A1492" s="170">
        <v>44830</v>
      </c>
      <c r="B1492" s="116">
        <v>3490</v>
      </c>
      <c r="C1492" s="116">
        <v>3468.45</v>
      </c>
      <c r="D1492" s="116">
        <v>3343.85</v>
      </c>
      <c r="E1492" s="116">
        <v>3439.7</v>
      </c>
      <c r="F1492" s="116">
        <v>3468.45</v>
      </c>
      <c r="G1492">
        <v>25318</v>
      </c>
      <c r="H1492" s="116"/>
      <c r="I1492" s="116"/>
      <c r="L1492" s="170">
        <v>44830</v>
      </c>
      <c r="M1492" s="116">
        <v>3472.25</v>
      </c>
      <c r="N1492" s="116">
        <v>3488</v>
      </c>
      <c r="O1492" s="116">
        <v>3342.8</v>
      </c>
      <c r="P1492" s="116">
        <v>3435.25</v>
      </c>
      <c r="Q1492" s="116">
        <v>3472.25</v>
      </c>
      <c r="R1492">
        <v>334892</v>
      </c>
    </row>
    <row r="1493" spans="1:18" x14ac:dyDescent="0.25">
      <c r="A1493" s="170">
        <v>44831</v>
      </c>
      <c r="B1493" s="116">
        <v>3546.25</v>
      </c>
      <c r="C1493" s="116">
        <v>3502</v>
      </c>
      <c r="D1493" s="116">
        <v>3441.6</v>
      </c>
      <c r="E1493" s="116">
        <v>3471.2</v>
      </c>
      <c r="F1493" s="116">
        <v>3502</v>
      </c>
      <c r="G1493">
        <v>14915</v>
      </c>
      <c r="H1493" s="116"/>
      <c r="I1493" s="116"/>
      <c r="L1493" s="170">
        <v>44831</v>
      </c>
      <c r="M1493" s="116">
        <v>3502.55</v>
      </c>
      <c r="N1493" s="116">
        <v>3547</v>
      </c>
      <c r="O1493" s="116">
        <v>3440</v>
      </c>
      <c r="P1493" s="116">
        <v>3514</v>
      </c>
      <c r="Q1493" s="116">
        <v>3502.55</v>
      </c>
      <c r="R1493">
        <v>360576</v>
      </c>
    </row>
    <row r="1494" spans="1:18" x14ac:dyDescent="0.25">
      <c r="A1494" s="170">
        <v>44832</v>
      </c>
      <c r="B1494" s="116">
        <v>3567.15</v>
      </c>
      <c r="C1494" s="116">
        <v>3512</v>
      </c>
      <c r="D1494" s="116">
        <v>3466.75</v>
      </c>
      <c r="E1494" s="116">
        <v>3492.95</v>
      </c>
      <c r="F1494" s="116">
        <v>3512</v>
      </c>
      <c r="G1494">
        <v>8718</v>
      </c>
      <c r="H1494" s="116"/>
      <c r="I1494" s="116"/>
      <c r="L1494" s="170">
        <v>44832</v>
      </c>
      <c r="M1494" s="116">
        <v>3511.9</v>
      </c>
      <c r="N1494" s="116">
        <v>3569</v>
      </c>
      <c r="O1494" s="116">
        <v>3461.4</v>
      </c>
      <c r="P1494" s="116">
        <v>3477</v>
      </c>
      <c r="Q1494" s="116">
        <v>3511.9</v>
      </c>
      <c r="R1494">
        <v>264512</v>
      </c>
    </row>
    <row r="1495" spans="1:18" x14ac:dyDescent="0.25">
      <c r="A1495" s="170">
        <v>44833</v>
      </c>
      <c r="B1495" s="116">
        <v>3568.15</v>
      </c>
      <c r="C1495" s="116">
        <v>3519.4</v>
      </c>
      <c r="D1495" s="116">
        <v>3455</v>
      </c>
      <c r="E1495" s="116">
        <v>3550</v>
      </c>
      <c r="F1495" s="116">
        <v>3519.4</v>
      </c>
      <c r="G1495">
        <v>18572</v>
      </c>
      <c r="H1495" s="116"/>
      <c r="I1495" s="116"/>
      <c r="L1495" s="170">
        <v>44833</v>
      </c>
      <c r="M1495" s="116">
        <v>3520.25</v>
      </c>
      <c r="N1495" s="116">
        <v>3566.05</v>
      </c>
      <c r="O1495" s="116">
        <v>3455</v>
      </c>
      <c r="P1495" s="116">
        <v>3548.85</v>
      </c>
      <c r="Q1495" s="116">
        <v>3520.25</v>
      </c>
      <c r="R1495">
        <v>237531</v>
      </c>
    </row>
    <row r="1496" spans="1:18" x14ac:dyDescent="0.25">
      <c r="A1496" s="170">
        <v>44834</v>
      </c>
      <c r="B1496" s="116">
        <v>3616.65</v>
      </c>
      <c r="C1496" s="116">
        <v>3602.2</v>
      </c>
      <c r="D1496" s="116">
        <v>3437.6</v>
      </c>
      <c r="E1496" s="116">
        <v>3487.55</v>
      </c>
      <c r="F1496" s="116">
        <v>3602.2</v>
      </c>
      <c r="G1496">
        <v>9752</v>
      </c>
      <c r="H1496" s="116"/>
      <c r="I1496" s="116"/>
      <c r="L1496" s="170">
        <v>44834</v>
      </c>
      <c r="M1496" s="116">
        <v>3591.6</v>
      </c>
      <c r="N1496" s="116">
        <v>3606.7</v>
      </c>
      <c r="O1496" s="116">
        <v>3434.4</v>
      </c>
      <c r="P1496" s="116">
        <v>3500</v>
      </c>
      <c r="Q1496" s="116">
        <v>3591.6</v>
      </c>
      <c r="R1496">
        <v>251211</v>
      </c>
    </row>
    <row r="1497" spans="1:18" x14ac:dyDescent="0.25">
      <c r="A1497" s="170">
        <v>44837</v>
      </c>
      <c r="B1497" s="116">
        <v>3574.5</v>
      </c>
      <c r="C1497" s="116">
        <v>3491.3</v>
      </c>
      <c r="D1497" s="116">
        <v>3478.95</v>
      </c>
      <c r="E1497" s="116">
        <v>3537.25</v>
      </c>
      <c r="F1497" s="116">
        <v>3491.3</v>
      </c>
      <c r="G1497">
        <v>13547</v>
      </c>
      <c r="H1497" s="116"/>
      <c r="I1497" s="116"/>
      <c r="L1497" s="170">
        <v>44837</v>
      </c>
      <c r="M1497" s="116">
        <v>3492.2</v>
      </c>
      <c r="N1497" s="116">
        <v>3590</v>
      </c>
      <c r="O1497" s="116">
        <v>3483.75</v>
      </c>
      <c r="P1497" s="116">
        <v>3590</v>
      </c>
      <c r="Q1497" s="116">
        <v>3492.2</v>
      </c>
      <c r="R1497">
        <v>184524</v>
      </c>
    </row>
    <row r="1498" spans="1:18" x14ac:dyDescent="0.25">
      <c r="A1498" s="170">
        <v>44838</v>
      </c>
      <c r="B1498" s="116">
        <v>3620</v>
      </c>
      <c r="C1498" s="116">
        <v>3574.4</v>
      </c>
      <c r="D1498" s="116">
        <v>3539</v>
      </c>
      <c r="E1498" s="116">
        <v>3550</v>
      </c>
      <c r="F1498" s="116">
        <v>3574.4</v>
      </c>
      <c r="G1498">
        <v>7989</v>
      </c>
      <c r="H1498" s="116"/>
      <c r="I1498" s="116"/>
      <c r="L1498" s="170">
        <v>44838</v>
      </c>
      <c r="M1498" s="116">
        <v>3575.3</v>
      </c>
      <c r="N1498" s="116">
        <v>3620</v>
      </c>
      <c r="O1498" s="116">
        <v>3535.05</v>
      </c>
      <c r="P1498" s="116">
        <v>3575</v>
      </c>
      <c r="Q1498" s="116">
        <v>3575.3</v>
      </c>
      <c r="R1498">
        <v>234813</v>
      </c>
    </row>
    <row r="1499" spans="1:18" x14ac:dyDescent="0.25">
      <c r="A1499" s="170">
        <v>44840</v>
      </c>
      <c r="B1499" s="116">
        <v>3658.8</v>
      </c>
      <c r="C1499" s="116">
        <v>3597.35</v>
      </c>
      <c r="D1499" s="116">
        <v>3580.3</v>
      </c>
      <c r="E1499" s="116">
        <v>3598</v>
      </c>
      <c r="F1499" s="116">
        <v>3597.35</v>
      </c>
      <c r="G1499">
        <v>6886</v>
      </c>
      <c r="H1499" s="116"/>
      <c r="I1499" s="116"/>
      <c r="L1499" s="170">
        <v>44840</v>
      </c>
      <c r="M1499" s="116">
        <v>3599.4</v>
      </c>
      <c r="N1499" s="116">
        <v>3660</v>
      </c>
      <c r="O1499" s="116">
        <v>3576.05</v>
      </c>
      <c r="P1499" s="116">
        <v>3599</v>
      </c>
      <c r="Q1499" s="116">
        <v>3599.4</v>
      </c>
      <c r="R1499">
        <v>255683</v>
      </c>
    </row>
    <row r="1500" spans="1:18" x14ac:dyDescent="0.25">
      <c r="A1500" s="170">
        <v>44841</v>
      </c>
      <c r="B1500" s="116">
        <v>3621.95</v>
      </c>
      <c r="C1500" s="116">
        <v>3586.75</v>
      </c>
      <c r="D1500" s="116">
        <v>3566</v>
      </c>
      <c r="E1500" s="116">
        <v>3575.1</v>
      </c>
      <c r="F1500" s="116">
        <v>3586.75</v>
      </c>
      <c r="G1500">
        <v>3344</v>
      </c>
      <c r="H1500" s="116"/>
      <c r="I1500" s="116"/>
      <c r="L1500" s="170">
        <v>44841</v>
      </c>
      <c r="M1500" s="116">
        <v>3587.05</v>
      </c>
      <c r="N1500" s="116">
        <v>3624</v>
      </c>
      <c r="O1500" s="116">
        <v>3564.15</v>
      </c>
      <c r="P1500" s="116">
        <v>3609.95</v>
      </c>
      <c r="Q1500" s="116">
        <v>3587.05</v>
      </c>
      <c r="R1500">
        <v>103667</v>
      </c>
    </row>
    <row r="1501" spans="1:18" x14ac:dyDescent="0.25">
      <c r="A1501" s="170">
        <v>44844</v>
      </c>
      <c r="B1501" s="116">
        <v>3630</v>
      </c>
      <c r="C1501" s="116">
        <v>3600.7</v>
      </c>
      <c r="D1501" s="116">
        <v>3520</v>
      </c>
      <c r="E1501" s="116">
        <v>3520.05</v>
      </c>
      <c r="F1501" s="116">
        <v>3600.7</v>
      </c>
      <c r="G1501">
        <v>6862</v>
      </c>
      <c r="H1501" s="116"/>
      <c r="I1501" s="116"/>
      <c r="L1501" s="170">
        <v>44844</v>
      </c>
      <c r="M1501" s="116">
        <v>3607.35</v>
      </c>
      <c r="N1501" s="116">
        <v>3625.95</v>
      </c>
      <c r="O1501" s="116">
        <v>3515</v>
      </c>
      <c r="P1501" s="116">
        <v>3530</v>
      </c>
      <c r="Q1501" s="116">
        <v>3607.35</v>
      </c>
      <c r="R1501">
        <v>146272</v>
      </c>
    </row>
    <row r="1502" spans="1:18" x14ac:dyDescent="0.25">
      <c r="A1502" s="170">
        <v>44845</v>
      </c>
      <c r="B1502" s="116">
        <v>3661.55</v>
      </c>
      <c r="C1502" s="116">
        <v>3552.8</v>
      </c>
      <c r="D1502" s="116">
        <v>3537.1</v>
      </c>
      <c r="E1502" s="116">
        <v>3645</v>
      </c>
      <c r="F1502" s="116">
        <v>3552.8</v>
      </c>
      <c r="G1502">
        <v>7285</v>
      </c>
      <c r="H1502" s="116"/>
      <c r="I1502" s="116"/>
      <c r="L1502" s="170">
        <v>44845</v>
      </c>
      <c r="M1502" s="116">
        <v>3555.65</v>
      </c>
      <c r="N1502" s="116">
        <v>3661.65</v>
      </c>
      <c r="O1502" s="116">
        <v>3532</v>
      </c>
      <c r="P1502" s="116">
        <v>3629</v>
      </c>
      <c r="Q1502" s="116">
        <v>3555.65</v>
      </c>
      <c r="R1502">
        <v>235736</v>
      </c>
    </row>
    <row r="1503" spans="1:18" x14ac:dyDescent="0.25">
      <c r="A1503" s="170">
        <v>44846</v>
      </c>
      <c r="B1503" s="116">
        <v>3605.25</v>
      </c>
      <c r="C1503" s="116">
        <v>3597.85</v>
      </c>
      <c r="D1503" s="116">
        <v>3525</v>
      </c>
      <c r="E1503" s="116">
        <v>3555.05</v>
      </c>
      <c r="F1503" s="116">
        <v>3597.85</v>
      </c>
      <c r="G1503">
        <v>4257</v>
      </c>
      <c r="H1503" s="116"/>
      <c r="I1503" s="116"/>
      <c r="L1503" s="170">
        <v>44846</v>
      </c>
      <c r="M1503" s="116">
        <v>3596.8</v>
      </c>
      <c r="N1503" s="116">
        <v>3606.9</v>
      </c>
      <c r="O1503" s="116">
        <v>3522.85</v>
      </c>
      <c r="P1503" s="116">
        <v>3573.45</v>
      </c>
      <c r="Q1503" s="116">
        <v>3596.8</v>
      </c>
      <c r="R1503">
        <v>202685</v>
      </c>
    </row>
    <row r="1504" spans="1:18" x14ac:dyDescent="0.25">
      <c r="A1504" s="170">
        <v>44847</v>
      </c>
      <c r="B1504" s="116">
        <v>3619.95</v>
      </c>
      <c r="C1504" s="116">
        <v>3566.65</v>
      </c>
      <c r="D1504" s="116">
        <v>3540</v>
      </c>
      <c r="E1504" s="116">
        <v>3619.95</v>
      </c>
      <c r="F1504" s="116">
        <v>3566.65</v>
      </c>
      <c r="G1504">
        <v>5332</v>
      </c>
      <c r="H1504" s="116"/>
      <c r="I1504" s="116"/>
      <c r="L1504" s="170">
        <v>44847</v>
      </c>
      <c r="M1504" s="116">
        <v>3565</v>
      </c>
      <c r="N1504" s="116">
        <v>3596.8</v>
      </c>
      <c r="O1504" s="116">
        <v>3540</v>
      </c>
      <c r="P1504" s="116">
        <v>3596.8</v>
      </c>
      <c r="Q1504" s="116">
        <v>3565</v>
      </c>
      <c r="R1504">
        <v>106993</v>
      </c>
    </row>
    <row r="1505" spans="1:18" x14ac:dyDescent="0.25">
      <c r="A1505" s="170">
        <v>44848</v>
      </c>
      <c r="B1505" s="116">
        <v>3687.35</v>
      </c>
      <c r="C1505" s="116">
        <v>3616.85</v>
      </c>
      <c r="D1505" s="116">
        <v>3600</v>
      </c>
      <c r="E1505" s="116">
        <v>3645.75</v>
      </c>
      <c r="F1505" s="116">
        <v>3616.85</v>
      </c>
      <c r="G1505">
        <v>18497</v>
      </c>
      <c r="H1505" s="116"/>
      <c r="I1505" s="116"/>
      <c r="L1505" s="170">
        <v>44848</v>
      </c>
      <c r="M1505" s="116">
        <v>3618.4</v>
      </c>
      <c r="N1505" s="116">
        <v>3689.5</v>
      </c>
      <c r="O1505" s="116">
        <v>3600.85</v>
      </c>
      <c r="P1505" s="116">
        <v>3639</v>
      </c>
      <c r="Q1505" s="116">
        <v>3618.4</v>
      </c>
      <c r="R1505">
        <v>341421</v>
      </c>
    </row>
    <row r="1506" spans="1:18" x14ac:dyDescent="0.25">
      <c r="A1506" s="170">
        <v>44851</v>
      </c>
      <c r="B1506" s="116">
        <v>3615.05</v>
      </c>
      <c r="C1506" s="116">
        <v>3587.35</v>
      </c>
      <c r="D1506" s="116">
        <v>3530.05</v>
      </c>
      <c r="E1506" s="116">
        <v>3600.05</v>
      </c>
      <c r="F1506" s="116">
        <v>3587.35</v>
      </c>
      <c r="G1506">
        <v>5026</v>
      </c>
      <c r="H1506" s="116"/>
      <c r="I1506" s="116"/>
      <c r="L1506" s="170">
        <v>44851</v>
      </c>
      <c r="M1506" s="116">
        <v>3586.35</v>
      </c>
      <c r="N1506" s="116">
        <v>3620</v>
      </c>
      <c r="O1506" s="116">
        <v>3527.05</v>
      </c>
      <c r="P1506" s="116">
        <v>3620</v>
      </c>
      <c r="Q1506" s="116">
        <v>3586.35</v>
      </c>
      <c r="R1506">
        <v>171311</v>
      </c>
    </row>
    <row r="1507" spans="1:18" x14ac:dyDescent="0.25">
      <c r="A1507" s="170">
        <v>44852</v>
      </c>
      <c r="B1507" s="116">
        <v>3681</v>
      </c>
      <c r="C1507" s="116">
        <v>3672.6</v>
      </c>
      <c r="D1507" s="116">
        <v>3610.05</v>
      </c>
      <c r="E1507" s="116">
        <v>3610.05</v>
      </c>
      <c r="F1507" s="116">
        <v>3672.6</v>
      </c>
      <c r="G1507">
        <v>24666</v>
      </c>
      <c r="H1507" s="116"/>
      <c r="I1507" s="116"/>
      <c r="L1507" s="170">
        <v>44852</v>
      </c>
      <c r="M1507" s="116">
        <v>3675.1</v>
      </c>
      <c r="N1507" s="116">
        <v>3683</v>
      </c>
      <c r="O1507" s="116">
        <v>3600</v>
      </c>
      <c r="P1507" s="116">
        <v>3634.9</v>
      </c>
      <c r="Q1507" s="116">
        <v>3675.1</v>
      </c>
      <c r="R1507">
        <v>308498</v>
      </c>
    </row>
    <row r="1508" spans="1:18" x14ac:dyDescent="0.25">
      <c r="A1508" s="170">
        <v>44853</v>
      </c>
      <c r="B1508" s="116">
        <v>3654.45</v>
      </c>
      <c r="C1508" s="116">
        <v>3493.05</v>
      </c>
      <c r="D1508" s="116">
        <v>3481.55</v>
      </c>
      <c r="E1508" s="116">
        <v>3654.45</v>
      </c>
      <c r="F1508" s="116">
        <v>3493.05</v>
      </c>
      <c r="G1508">
        <v>22342</v>
      </c>
      <c r="H1508" s="116"/>
      <c r="I1508" s="116"/>
      <c r="L1508" s="170">
        <v>44853</v>
      </c>
      <c r="M1508" s="116">
        <v>3495.05</v>
      </c>
      <c r="N1508" s="116">
        <v>3649.95</v>
      </c>
      <c r="O1508" s="116">
        <v>3484.6</v>
      </c>
      <c r="P1508" s="116">
        <v>3620</v>
      </c>
      <c r="Q1508" s="116">
        <v>3495.05</v>
      </c>
      <c r="R1508">
        <v>921689</v>
      </c>
    </row>
    <row r="1509" spans="1:18" x14ac:dyDescent="0.25">
      <c r="A1509" s="170">
        <v>44854</v>
      </c>
      <c r="B1509" s="116">
        <v>3552.5</v>
      </c>
      <c r="C1509" s="116">
        <v>3530.45</v>
      </c>
      <c r="D1509" s="116">
        <v>3427.6</v>
      </c>
      <c r="E1509" s="116">
        <v>3493.05</v>
      </c>
      <c r="F1509" s="116">
        <v>3530.45</v>
      </c>
      <c r="G1509">
        <v>11949</v>
      </c>
      <c r="H1509" s="116"/>
      <c r="I1509" s="116"/>
      <c r="L1509" s="170">
        <v>44854</v>
      </c>
      <c r="M1509" s="116">
        <v>3530.9</v>
      </c>
      <c r="N1509" s="116">
        <v>3554.9</v>
      </c>
      <c r="O1509" s="116">
        <v>3426.1</v>
      </c>
      <c r="P1509" s="116">
        <v>3483.2</v>
      </c>
      <c r="Q1509" s="116">
        <v>3530.9</v>
      </c>
      <c r="R1509">
        <v>517024</v>
      </c>
    </row>
    <row r="1510" spans="1:18" x14ac:dyDescent="0.25">
      <c r="A1510" s="170">
        <v>44855</v>
      </c>
      <c r="B1510" s="116">
        <v>3570</v>
      </c>
      <c r="C1510" s="116">
        <v>3511.35</v>
      </c>
      <c r="D1510" s="116">
        <v>3487.35</v>
      </c>
      <c r="E1510" s="116">
        <v>3532.95</v>
      </c>
      <c r="F1510" s="116">
        <v>3511.35</v>
      </c>
      <c r="G1510">
        <v>4859</v>
      </c>
      <c r="H1510" s="116"/>
      <c r="I1510" s="116"/>
      <c r="L1510" s="170">
        <v>44855</v>
      </c>
      <c r="M1510" s="116">
        <v>3511.35</v>
      </c>
      <c r="N1510" s="116">
        <v>3569.8</v>
      </c>
      <c r="O1510" s="116">
        <v>3486.55</v>
      </c>
      <c r="P1510" s="116">
        <v>3525</v>
      </c>
      <c r="Q1510" s="116">
        <v>3511.35</v>
      </c>
      <c r="R1510">
        <v>173691</v>
      </c>
    </row>
    <row r="1511" spans="1:18" x14ac:dyDescent="0.25">
      <c r="A1511" s="170">
        <v>44858</v>
      </c>
      <c r="B1511" s="116">
        <v>3557.1</v>
      </c>
      <c r="C1511" s="116">
        <v>3524.95</v>
      </c>
      <c r="D1511" s="116">
        <v>3511</v>
      </c>
      <c r="E1511" s="116">
        <v>3535.85</v>
      </c>
      <c r="F1511" s="116">
        <v>3524.95</v>
      </c>
      <c r="G1511">
        <v>4399</v>
      </c>
      <c r="H1511" s="116"/>
      <c r="I1511" s="116"/>
      <c r="L1511" s="170">
        <v>44858</v>
      </c>
      <c r="M1511" s="116">
        <v>3524.05</v>
      </c>
      <c r="N1511" s="116">
        <v>3565</v>
      </c>
      <c r="O1511" s="116">
        <v>3511</v>
      </c>
      <c r="P1511" s="116">
        <v>3560</v>
      </c>
      <c r="Q1511" s="116">
        <v>3524.05</v>
      </c>
      <c r="R1511">
        <v>39156</v>
      </c>
    </row>
    <row r="1512" spans="1:18" x14ac:dyDescent="0.25">
      <c r="A1512" s="170">
        <v>44859</v>
      </c>
      <c r="B1512" s="116">
        <v>3584</v>
      </c>
      <c r="C1512" s="116">
        <v>3564.15</v>
      </c>
      <c r="D1512" s="116">
        <v>3487.05</v>
      </c>
      <c r="E1512" s="116">
        <v>3507.85</v>
      </c>
      <c r="F1512" s="116">
        <v>3564.15</v>
      </c>
      <c r="G1512">
        <v>17586</v>
      </c>
      <c r="H1512" s="116"/>
      <c r="I1512" s="116"/>
      <c r="L1512" s="170">
        <v>44859</v>
      </c>
      <c r="M1512" s="116">
        <v>3563.1</v>
      </c>
      <c r="N1512" s="116">
        <v>3585</v>
      </c>
      <c r="O1512" s="116">
        <v>3484.6</v>
      </c>
      <c r="P1512" s="116">
        <v>3519.5</v>
      </c>
      <c r="Q1512" s="116">
        <v>3563.1</v>
      </c>
      <c r="R1512">
        <v>230424</v>
      </c>
    </row>
    <row r="1513" spans="1:18" x14ac:dyDescent="0.25">
      <c r="A1513" s="170">
        <v>44861</v>
      </c>
      <c r="B1513" s="116">
        <v>3580</v>
      </c>
      <c r="C1513" s="116">
        <v>3518.85</v>
      </c>
      <c r="D1513" s="116">
        <v>3495</v>
      </c>
      <c r="E1513" s="116">
        <v>3546</v>
      </c>
      <c r="F1513" s="116">
        <v>3518.85</v>
      </c>
      <c r="G1513">
        <v>8984</v>
      </c>
      <c r="H1513" s="116"/>
      <c r="I1513" s="116"/>
      <c r="L1513" s="170">
        <v>44861</v>
      </c>
      <c r="M1513" s="116">
        <v>3515.55</v>
      </c>
      <c r="N1513" s="116">
        <v>3582.85</v>
      </c>
      <c r="O1513" s="116">
        <v>3493.4</v>
      </c>
      <c r="P1513" s="116">
        <v>3554</v>
      </c>
      <c r="Q1513" s="116">
        <v>3515.55</v>
      </c>
      <c r="R1513">
        <v>208902</v>
      </c>
    </row>
    <row r="1514" spans="1:18" x14ac:dyDescent="0.25">
      <c r="A1514" s="170">
        <v>44862</v>
      </c>
      <c r="B1514" s="116">
        <v>3520.3</v>
      </c>
      <c r="C1514" s="116">
        <v>3455.6</v>
      </c>
      <c r="D1514" s="116">
        <v>3450</v>
      </c>
      <c r="E1514" s="116">
        <v>3515</v>
      </c>
      <c r="F1514" s="116">
        <v>3455.6</v>
      </c>
      <c r="G1514">
        <v>9188</v>
      </c>
      <c r="H1514" s="116"/>
      <c r="I1514" s="116"/>
      <c r="L1514" s="170">
        <v>44862</v>
      </c>
      <c r="M1514" s="116">
        <v>3453.25</v>
      </c>
      <c r="N1514" s="116">
        <v>3521.35</v>
      </c>
      <c r="O1514" s="116">
        <v>3449.2</v>
      </c>
      <c r="P1514" s="116">
        <v>3516.45</v>
      </c>
      <c r="Q1514" s="116">
        <v>3453.25</v>
      </c>
      <c r="R1514">
        <v>132871</v>
      </c>
    </row>
    <row r="1515" spans="1:18" x14ac:dyDescent="0.25">
      <c r="A1515" s="170">
        <v>44865</v>
      </c>
      <c r="B1515" s="116">
        <v>3550</v>
      </c>
      <c r="C1515" s="116">
        <v>3539.35</v>
      </c>
      <c r="D1515" s="116">
        <v>3467.3</v>
      </c>
      <c r="E1515" s="116">
        <v>3467.3</v>
      </c>
      <c r="F1515" s="116">
        <v>3539.35</v>
      </c>
      <c r="G1515">
        <v>14607</v>
      </c>
      <c r="H1515" s="116"/>
      <c r="I1515" s="116"/>
      <c r="L1515" s="170">
        <v>44865</v>
      </c>
      <c r="M1515" s="116">
        <v>3538.9</v>
      </c>
      <c r="N1515" s="116">
        <v>3550</v>
      </c>
      <c r="O1515" s="116">
        <v>3476.05</v>
      </c>
      <c r="P1515" s="116">
        <v>3480</v>
      </c>
      <c r="Q1515" s="116">
        <v>3538.9</v>
      </c>
      <c r="R1515">
        <v>167504</v>
      </c>
    </row>
    <row r="1516" spans="1:18" x14ac:dyDescent="0.25">
      <c r="A1516" s="170">
        <v>44866</v>
      </c>
      <c r="B1516" s="116">
        <v>3615</v>
      </c>
      <c r="C1516" s="116">
        <v>3607.05</v>
      </c>
      <c r="D1516" s="116">
        <v>3530.05</v>
      </c>
      <c r="E1516" s="116">
        <v>3540</v>
      </c>
      <c r="F1516" s="116">
        <v>3607.05</v>
      </c>
      <c r="G1516">
        <v>18760</v>
      </c>
      <c r="H1516" s="116"/>
      <c r="I1516" s="116"/>
      <c r="L1516" s="170">
        <v>44866</v>
      </c>
      <c r="M1516" s="116">
        <v>3606.85</v>
      </c>
      <c r="N1516" s="116">
        <v>3614.95</v>
      </c>
      <c r="O1516" s="116">
        <v>3530.25</v>
      </c>
      <c r="P1516" s="116">
        <v>3550</v>
      </c>
      <c r="Q1516" s="116">
        <v>3606.85</v>
      </c>
      <c r="R1516">
        <v>152026</v>
      </c>
    </row>
    <row r="1517" spans="1:18" x14ac:dyDescent="0.25">
      <c r="A1517" s="170">
        <v>44867</v>
      </c>
      <c r="B1517" s="116">
        <v>3636</v>
      </c>
      <c r="C1517" s="116">
        <v>3615.25</v>
      </c>
      <c r="D1517" s="116">
        <v>3588</v>
      </c>
      <c r="E1517" s="116">
        <v>3610</v>
      </c>
      <c r="F1517" s="116">
        <v>3615.25</v>
      </c>
      <c r="G1517">
        <v>9780</v>
      </c>
      <c r="H1517" s="116"/>
      <c r="I1517" s="116"/>
      <c r="L1517" s="170">
        <v>44867</v>
      </c>
      <c r="M1517" s="116">
        <v>3617.3</v>
      </c>
      <c r="N1517" s="116">
        <v>3639</v>
      </c>
      <c r="O1517" s="116">
        <v>3588</v>
      </c>
      <c r="P1517" s="116">
        <v>3622</v>
      </c>
      <c r="Q1517" s="116">
        <v>3617.3</v>
      </c>
      <c r="R1517">
        <v>152780</v>
      </c>
    </row>
    <row r="1518" spans="1:18" x14ac:dyDescent="0.25">
      <c r="A1518" s="170">
        <v>44868</v>
      </c>
      <c r="B1518" s="116">
        <v>3634.5</v>
      </c>
      <c r="C1518" s="116">
        <v>3625.1</v>
      </c>
      <c r="D1518" s="116">
        <v>3562.6</v>
      </c>
      <c r="E1518" s="116">
        <v>3590</v>
      </c>
      <c r="F1518" s="116">
        <v>3625.1</v>
      </c>
      <c r="G1518">
        <v>4083</v>
      </c>
      <c r="H1518" s="116"/>
      <c r="I1518" s="116"/>
      <c r="L1518" s="170">
        <v>44868</v>
      </c>
      <c r="M1518" s="116">
        <v>3624</v>
      </c>
      <c r="N1518" s="116">
        <v>3632.95</v>
      </c>
      <c r="O1518" s="116">
        <v>3560</v>
      </c>
      <c r="P1518" s="116">
        <v>3565</v>
      </c>
      <c r="Q1518" s="116">
        <v>3624</v>
      </c>
      <c r="R1518">
        <v>141526</v>
      </c>
    </row>
    <row r="1519" spans="1:18" x14ac:dyDescent="0.25">
      <c r="A1519" s="170">
        <v>44869</v>
      </c>
      <c r="B1519" s="116">
        <v>3635</v>
      </c>
      <c r="C1519" s="116">
        <v>3621.3</v>
      </c>
      <c r="D1519" s="116">
        <v>3573.75</v>
      </c>
      <c r="E1519" s="116">
        <v>3585.1</v>
      </c>
      <c r="F1519" s="116">
        <v>3621.3</v>
      </c>
      <c r="G1519">
        <v>8361</v>
      </c>
      <c r="H1519" s="116"/>
      <c r="I1519" s="116"/>
      <c r="L1519" s="170">
        <v>44869</v>
      </c>
      <c r="M1519" s="116">
        <v>3626.95</v>
      </c>
      <c r="N1519" s="116">
        <v>3636</v>
      </c>
      <c r="O1519" s="116">
        <v>3575</v>
      </c>
      <c r="P1519" s="116">
        <v>3599</v>
      </c>
      <c r="Q1519" s="116">
        <v>3626.95</v>
      </c>
      <c r="R1519">
        <v>215134</v>
      </c>
    </row>
    <row r="1520" spans="1:18" x14ac:dyDescent="0.25">
      <c r="A1520" s="170">
        <v>44872</v>
      </c>
      <c r="B1520" s="116">
        <v>3662.7</v>
      </c>
      <c r="C1520" s="116">
        <v>3641</v>
      </c>
      <c r="D1520" s="116">
        <v>3600</v>
      </c>
      <c r="E1520" s="116">
        <v>3626.95</v>
      </c>
      <c r="F1520" s="116">
        <v>3641</v>
      </c>
      <c r="G1520">
        <v>4188</v>
      </c>
      <c r="H1520" s="116"/>
      <c r="I1520" s="116"/>
      <c r="L1520" s="170">
        <v>44872</v>
      </c>
      <c r="M1520" s="116">
        <v>3641.6</v>
      </c>
      <c r="N1520" s="116">
        <v>3664</v>
      </c>
      <c r="O1520" s="116">
        <v>3596.05</v>
      </c>
      <c r="P1520" s="116">
        <v>3632.5</v>
      </c>
      <c r="Q1520" s="116">
        <v>3641.6</v>
      </c>
      <c r="R1520">
        <v>132925</v>
      </c>
    </row>
    <row r="1521" spans="1:18" x14ac:dyDescent="0.25">
      <c r="A1521" s="170">
        <v>44874</v>
      </c>
      <c r="B1521" s="116">
        <v>3680</v>
      </c>
      <c r="C1521" s="116">
        <v>3623.25</v>
      </c>
      <c r="D1521" s="116">
        <v>3610</v>
      </c>
      <c r="E1521" s="116">
        <v>3620.05</v>
      </c>
      <c r="F1521" s="116">
        <v>3623.25</v>
      </c>
      <c r="G1521">
        <v>6546</v>
      </c>
      <c r="H1521" s="116"/>
      <c r="I1521" s="116"/>
      <c r="L1521" s="170">
        <v>44874</v>
      </c>
      <c r="M1521" s="116">
        <v>3620.65</v>
      </c>
      <c r="N1521" s="116">
        <v>3680</v>
      </c>
      <c r="O1521" s="116">
        <v>3601.05</v>
      </c>
      <c r="P1521" s="116">
        <v>3650</v>
      </c>
      <c r="Q1521" s="116">
        <v>3620.65</v>
      </c>
      <c r="R1521">
        <v>152924</v>
      </c>
    </row>
    <row r="1522" spans="1:18" x14ac:dyDescent="0.25">
      <c r="A1522" s="170">
        <v>44875</v>
      </c>
      <c r="B1522" s="116">
        <v>3670</v>
      </c>
      <c r="C1522" s="116">
        <v>3651.9</v>
      </c>
      <c r="D1522" s="116">
        <v>3570.05</v>
      </c>
      <c r="E1522" s="116">
        <v>3570.05</v>
      </c>
      <c r="F1522" s="116">
        <v>3651.9</v>
      </c>
      <c r="G1522">
        <v>13471</v>
      </c>
      <c r="H1522" s="116"/>
      <c r="I1522" s="116"/>
      <c r="L1522" s="170">
        <v>44875</v>
      </c>
      <c r="M1522" s="116">
        <v>3652.35</v>
      </c>
      <c r="N1522" s="116">
        <v>3670.9</v>
      </c>
      <c r="O1522" s="116">
        <v>3581</v>
      </c>
      <c r="P1522" s="116">
        <v>3589.9</v>
      </c>
      <c r="Q1522" s="116">
        <v>3652.35</v>
      </c>
      <c r="R1522">
        <v>159089</v>
      </c>
    </row>
    <row r="1523" spans="1:18" x14ac:dyDescent="0.25">
      <c r="A1523" s="170">
        <v>44876</v>
      </c>
      <c r="B1523" s="116">
        <v>3807.65</v>
      </c>
      <c r="C1523" s="116">
        <v>3717.95</v>
      </c>
      <c r="D1523" s="116">
        <v>3683.05</v>
      </c>
      <c r="E1523" s="116">
        <v>3701</v>
      </c>
      <c r="F1523" s="116">
        <v>3717.95</v>
      </c>
      <c r="G1523">
        <v>13735</v>
      </c>
      <c r="H1523" s="116"/>
      <c r="I1523" s="116"/>
      <c r="L1523" s="170">
        <v>44876</v>
      </c>
      <c r="M1523" s="116">
        <v>3717</v>
      </c>
      <c r="N1523" s="116">
        <v>3809.45</v>
      </c>
      <c r="O1523" s="116">
        <v>3683.05</v>
      </c>
      <c r="P1523" s="116">
        <v>3730</v>
      </c>
      <c r="Q1523" s="116">
        <v>3717</v>
      </c>
      <c r="R1523">
        <v>544784</v>
      </c>
    </row>
    <row r="1524" spans="1:18" x14ac:dyDescent="0.25">
      <c r="A1524" s="170">
        <v>44879</v>
      </c>
      <c r="B1524" s="116">
        <v>3818.9</v>
      </c>
      <c r="C1524" s="116">
        <v>3794.3</v>
      </c>
      <c r="D1524" s="116">
        <v>3727</v>
      </c>
      <c r="E1524" s="116">
        <v>3735.8</v>
      </c>
      <c r="F1524" s="116">
        <v>3794.3</v>
      </c>
      <c r="G1524">
        <v>24201</v>
      </c>
      <c r="H1524" s="116"/>
      <c r="I1524" s="116"/>
      <c r="L1524" s="170">
        <v>44879</v>
      </c>
      <c r="M1524" s="116">
        <v>3794</v>
      </c>
      <c r="N1524" s="116">
        <v>3818.85</v>
      </c>
      <c r="O1524" s="116">
        <v>3727</v>
      </c>
      <c r="P1524" s="116">
        <v>3727</v>
      </c>
      <c r="Q1524" s="116">
        <v>3794</v>
      </c>
      <c r="R1524">
        <v>367880</v>
      </c>
    </row>
    <row r="1525" spans="1:18" x14ac:dyDescent="0.25">
      <c r="A1525" s="170">
        <v>44880</v>
      </c>
      <c r="B1525" s="116">
        <v>3817.8</v>
      </c>
      <c r="C1525" s="116">
        <v>3765.95</v>
      </c>
      <c r="D1525" s="116">
        <v>3712.85</v>
      </c>
      <c r="E1525" s="116">
        <v>3815.95</v>
      </c>
      <c r="F1525" s="116">
        <v>3765.95</v>
      </c>
      <c r="G1525">
        <v>17999</v>
      </c>
      <c r="H1525" s="116"/>
      <c r="I1525" s="116"/>
      <c r="L1525" s="170">
        <v>44880</v>
      </c>
      <c r="M1525" s="116">
        <v>3769.35</v>
      </c>
      <c r="N1525" s="116">
        <v>3815</v>
      </c>
      <c r="O1525" s="116">
        <v>3712.7</v>
      </c>
      <c r="P1525" s="116">
        <v>3800</v>
      </c>
      <c r="Q1525" s="116">
        <v>3769.35</v>
      </c>
      <c r="R1525">
        <v>217439</v>
      </c>
    </row>
    <row r="1526" spans="1:18" x14ac:dyDescent="0.25">
      <c r="A1526" s="170">
        <v>44881</v>
      </c>
      <c r="B1526" s="116">
        <v>3840.1</v>
      </c>
      <c r="C1526" s="116">
        <v>3779.45</v>
      </c>
      <c r="D1526" s="116">
        <v>3758.35</v>
      </c>
      <c r="E1526" s="116">
        <v>3760</v>
      </c>
      <c r="F1526" s="116">
        <v>3779.45</v>
      </c>
      <c r="G1526">
        <v>7952</v>
      </c>
      <c r="H1526" s="116"/>
      <c r="I1526" s="116"/>
      <c r="L1526" s="170">
        <v>44881</v>
      </c>
      <c r="M1526" s="116">
        <v>3779.55</v>
      </c>
      <c r="N1526" s="116">
        <v>3841</v>
      </c>
      <c r="O1526" s="116">
        <v>3758</v>
      </c>
      <c r="P1526" s="116">
        <v>3764.95</v>
      </c>
      <c r="Q1526" s="116">
        <v>3779.55</v>
      </c>
      <c r="R1526">
        <v>276740</v>
      </c>
    </row>
    <row r="1527" spans="1:18" x14ac:dyDescent="0.25">
      <c r="A1527" s="170">
        <v>44882</v>
      </c>
      <c r="B1527" s="116">
        <v>3768.65</v>
      </c>
      <c r="C1527" s="116">
        <v>3755.3</v>
      </c>
      <c r="D1527" s="116">
        <v>3701.4</v>
      </c>
      <c r="E1527" s="116">
        <v>3752.3</v>
      </c>
      <c r="F1527" s="116">
        <v>3755.3</v>
      </c>
      <c r="G1527">
        <v>5432</v>
      </c>
      <c r="H1527" s="116"/>
      <c r="I1527" s="116"/>
      <c r="L1527" s="170">
        <v>44882</v>
      </c>
      <c r="M1527" s="116">
        <v>3755.5</v>
      </c>
      <c r="N1527" s="116">
        <v>3775</v>
      </c>
      <c r="O1527" s="116">
        <v>3701.05</v>
      </c>
      <c r="P1527" s="116">
        <v>3755</v>
      </c>
      <c r="Q1527" s="116">
        <v>3755.5</v>
      </c>
      <c r="R1527">
        <v>163312</v>
      </c>
    </row>
    <row r="1528" spans="1:18" x14ac:dyDescent="0.25">
      <c r="A1528" s="170">
        <v>44883</v>
      </c>
      <c r="B1528" s="116">
        <v>3828.45</v>
      </c>
      <c r="C1528" s="116">
        <v>3804.65</v>
      </c>
      <c r="D1528" s="116">
        <v>3739.6</v>
      </c>
      <c r="E1528" s="116">
        <v>3739.6</v>
      </c>
      <c r="F1528" s="116">
        <v>3804.65</v>
      </c>
      <c r="G1528">
        <v>7585</v>
      </c>
      <c r="H1528" s="116"/>
      <c r="I1528" s="116"/>
      <c r="L1528" s="170">
        <v>44883</v>
      </c>
      <c r="M1528" s="116">
        <v>3804.35</v>
      </c>
      <c r="N1528" s="116">
        <v>3830.05</v>
      </c>
      <c r="O1528" s="116">
        <v>3753</v>
      </c>
      <c r="P1528" s="116">
        <v>3768.7</v>
      </c>
      <c r="Q1528" s="116">
        <v>3804.35</v>
      </c>
      <c r="R1528">
        <v>239679</v>
      </c>
    </row>
    <row r="1529" spans="1:18" x14ac:dyDescent="0.25">
      <c r="A1529" s="170">
        <v>44886</v>
      </c>
      <c r="B1529" s="116">
        <v>3819.5</v>
      </c>
      <c r="C1529" s="116">
        <v>3804</v>
      </c>
      <c r="D1529" s="116">
        <v>3731.05</v>
      </c>
      <c r="E1529" s="116">
        <v>3800</v>
      </c>
      <c r="F1529" s="116">
        <v>3804</v>
      </c>
      <c r="G1529">
        <v>19355</v>
      </c>
      <c r="H1529" s="116"/>
      <c r="I1529" s="116"/>
      <c r="L1529" s="170">
        <v>44886</v>
      </c>
      <c r="M1529" s="116">
        <v>3809.2</v>
      </c>
      <c r="N1529" s="116">
        <v>3819.85</v>
      </c>
      <c r="O1529" s="116">
        <v>3731.6</v>
      </c>
      <c r="P1529" s="116">
        <v>3798</v>
      </c>
      <c r="Q1529" s="116">
        <v>3809.2</v>
      </c>
      <c r="R1529">
        <v>269005</v>
      </c>
    </row>
    <row r="1530" spans="1:18" x14ac:dyDescent="0.25">
      <c r="A1530" s="170">
        <v>44887</v>
      </c>
      <c r="B1530" s="116">
        <v>3874.5</v>
      </c>
      <c r="C1530" s="116">
        <v>3856.65</v>
      </c>
      <c r="D1530" s="116">
        <v>3808.65</v>
      </c>
      <c r="E1530" s="116">
        <v>3810.05</v>
      </c>
      <c r="F1530" s="116">
        <v>3856.65</v>
      </c>
      <c r="G1530">
        <v>7813</v>
      </c>
      <c r="H1530" s="116"/>
      <c r="I1530" s="116"/>
      <c r="L1530" s="170">
        <v>44887</v>
      </c>
      <c r="M1530" s="116">
        <v>3855.8</v>
      </c>
      <c r="N1530" s="116">
        <v>3875</v>
      </c>
      <c r="O1530" s="116">
        <v>3800.4</v>
      </c>
      <c r="P1530" s="116">
        <v>3819.95</v>
      </c>
      <c r="Q1530" s="116">
        <v>3855.8</v>
      </c>
      <c r="R1530">
        <v>427168</v>
      </c>
    </row>
    <row r="1531" spans="1:18" x14ac:dyDescent="0.25">
      <c r="A1531" s="170">
        <v>44888</v>
      </c>
      <c r="B1531" s="116">
        <v>3881.95</v>
      </c>
      <c r="C1531" s="116">
        <v>3820.45</v>
      </c>
      <c r="D1531" s="116">
        <v>3807.25</v>
      </c>
      <c r="E1531" s="116">
        <v>3870</v>
      </c>
      <c r="F1531" s="116">
        <v>3820.45</v>
      </c>
      <c r="G1531">
        <v>10370</v>
      </c>
      <c r="H1531" s="116"/>
      <c r="I1531" s="116"/>
      <c r="L1531" s="170">
        <v>44888</v>
      </c>
      <c r="M1531" s="116">
        <v>3822.7</v>
      </c>
      <c r="N1531" s="116">
        <v>3882.65</v>
      </c>
      <c r="O1531" s="116">
        <v>3811.15</v>
      </c>
      <c r="P1531" s="116">
        <v>3875.1</v>
      </c>
      <c r="Q1531" s="116">
        <v>3822.7</v>
      </c>
      <c r="R1531">
        <v>166075</v>
      </c>
    </row>
    <row r="1532" spans="1:18" x14ac:dyDescent="0.25">
      <c r="A1532" s="170">
        <v>44889</v>
      </c>
      <c r="B1532" s="116">
        <v>3898.2</v>
      </c>
      <c r="C1532" s="116">
        <v>3885.3</v>
      </c>
      <c r="D1532" s="116">
        <v>3821.6</v>
      </c>
      <c r="E1532" s="116">
        <v>3821.6</v>
      </c>
      <c r="F1532" s="116">
        <v>3885.3</v>
      </c>
      <c r="G1532">
        <v>7555</v>
      </c>
      <c r="H1532" s="116"/>
      <c r="I1532" s="116"/>
      <c r="L1532" s="170">
        <v>44889</v>
      </c>
      <c r="M1532" s="116">
        <v>3890.5</v>
      </c>
      <c r="N1532" s="116">
        <v>3900</v>
      </c>
      <c r="O1532" s="116">
        <v>3823</v>
      </c>
      <c r="P1532" s="116">
        <v>3834.95</v>
      </c>
      <c r="Q1532" s="116">
        <v>3890.5</v>
      </c>
      <c r="R1532">
        <v>208230</v>
      </c>
    </row>
    <row r="1533" spans="1:18" x14ac:dyDescent="0.25">
      <c r="A1533" s="170">
        <v>44890</v>
      </c>
      <c r="B1533" s="116">
        <v>3934.35</v>
      </c>
      <c r="C1533" s="116">
        <v>3885.25</v>
      </c>
      <c r="D1533" s="116">
        <v>3872</v>
      </c>
      <c r="E1533" s="116">
        <v>3900</v>
      </c>
      <c r="F1533" s="116">
        <v>3885.25</v>
      </c>
      <c r="G1533">
        <v>11006</v>
      </c>
      <c r="H1533" s="116"/>
      <c r="I1533" s="116"/>
      <c r="L1533" s="170">
        <v>44890</v>
      </c>
      <c r="M1533" s="116">
        <v>3885.85</v>
      </c>
      <c r="N1533" s="116">
        <v>3934</v>
      </c>
      <c r="O1533" s="116">
        <v>3860</v>
      </c>
      <c r="P1533" s="116">
        <v>3909.95</v>
      </c>
      <c r="Q1533" s="116">
        <v>3885.85</v>
      </c>
      <c r="R1533">
        <v>221265</v>
      </c>
    </row>
    <row r="1534" spans="1:18" x14ac:dyDescent="0.25">
      <c r="A1534" s="170">
        <v>44893</v>
      </c>
      <c r="B1534" s="116">
        <v>3913.15</v>
      </c>
      <c r="C1534" s="116">
        <v>3858.85</v>
      </c>
      <c r="D1534" s="116">
        <v>3840.05</v>
      </c>
      <c r="E1534" s="116">
        <v>3885.1</v>
      </c>
      <c r="F1534" s="116">
        <v>3858.85</v>
      </c>
      <c r="G1534">
        <v>3620</v>
      </c>
      <c r="H1534" s="116"/>
      <c r="I1534" s="116"/>
      <c r="L1534" s="170">
        <v>44893</v>
      </c>
      <c r="M1534" s="116">
        <v>3862.05</v>
      </c>
      <c r="N1534" s="116">
        <v>3913.5</v>
      </c>
      <c r="O1534" s="116">
        <v>3829.45</v>
      </c>
      <c r="P1534" s="116">
        <v>3875</v>
      </c>
      <c r="Q1534" s="116">
        <v>3862.05</v>
      </c>
      <c r="R1534">
        <v>138154</v>
      </c>
    </row>
    <row r="1535" spans="1:18" x14ac:dyDescent="0.25">
      <c r="A1535" s="170">
        <v>44894</v>
      </c>
      <c r="B1535" s="116">
        <v>3890</v>
      </c>
      <c r="C1535" s="116">
        <v>3845.3</v>
      </c>
      <c r="D1535" s="116">
        <v>3832.65</v>
      </c>
      <c r="E1535" s="116">
        <v>3858.9</v>
      </c>
      <c r="F1535" s="116">
        <v>3845.3</v>
      </c>
      <c r="G1535">
        <v>12758</v>
      </c>
      <c r="H1535" s="116"/>
      <c r="I1535" s="116"/>
      <c r="L1535" s="170">
        <v>44894</v>
      </c>
      <c r="M1535" s="116">
        <v>3846.35</v>
      </c>
      <c r="N1535" s="116">
        <v>3891.45</v>
      </c>
      <c r="O1535" s="116">
        <v>3833</v>
      </c>
      <c r="P1535" s="116">
        <v>3857.95</v>
      </c>
      <c r="Q1535" s="116">
        <v>3846.35</v>
      </c>
      <c r="R1535">
        <v>168911</v>
      </c>
    </row>
    <row r="1536" spans="1:18" x14ac:dyDescent="0.25">
      <c r="A1536" s="170">
        <v>44895</v>
      </c>
      <c r="B1536" s="116">
        <v>3861.25</v>
      </c>
      <c r="C1536" s="116">
        <v>3813.2</v>
      </c>
      <c r="D1536" s="116">
        <v>3803.4</v>
      </c>
      <c r="E1536" s="116">
        <v>3836.3</v>
      </c>
      <c r="F1536" s="116">
        <v>3813.2</v>
      </c>
      <c r="G1536">
        <v>5254</v>
      </c>
      <c r="H1536" s="116"/>
      <c r="I1536" s="116"/>
      <c r="L1536" s="170">
        <v>44895</v>
      </c>
      <c r="M1536" s="116">
        <v>3814.85</v>
      </c>
      <c r="N1536" s="116">
        <v>3864</v>
      </c>
      <c r="O1536" s="116">
        <v>3805</v>
      </c>
      <c r="P1536" s="116">
        <v>3850</v>
      </c>
      <c r="Q1536" s="116">
        <v>3814.85</v>
      </c>
      <c r="R1536">
        <v>174876</v>
      </c>
    </row>
    <row r="1537" spans="1:18" x14ac:dyDescent="0.25">
      <c r="A1537" s="170">
        <v>44896</v>
      </c>
      <c r="B1537" s="116">
        <v>4188.7</v>
      </c>
      <c r="C1537" s="116">
        <v>4156.1499999999996</v>
      </c>
      <c r="D1537" s="116">
        <v>3850</v>
      </c>
      <c r="E1537" s="116">
        <v>3850</v>
      </c>
      <c r="F1537" s="116">
        <v>4156.1499999999996</v>
      </c>
      <c r="G1537">
        <v>56968</v>
      </c>
      <c r="H1537" s="116"/>
      <c r="I1537" s="116"/>
      <c r="L1537" s="170">
        <v>44896</v>
      </c>
      <c r="M1537" s="116">
        <v>4159.75</v>
      </c>
      <c r="N1537" s="116">
        <v>4189</v>
      </c>
      <c r="O1537" s="116">
        <v>3856.6</v>
      </c>
      <c r="P1537" s="116">
        <v>3867.95</v>
      </c>
      <c r="Q1537" s="116">
        <v>4159.75</v>
      </c>
      <c r="R1537">
        <v>1904500</v>
      </c>
    </row>
    <row r="1538" spans="1:18" x14ac:dyDescent="0.25">
      <c r="A1538" s="170">
        <v>44897</v>
      </c>
      <c r="B1538" s="116">
        <v>4316.75</v>
      </c>
      <c r="C1538" s="116">
        <v>4282.6000000000004</v>
      </c>
      <c r="D1538" s="116">
        <v>4120.6499999999996</v>
      </c>
      <c r="E1538" s="116">
        <v>4149</v>
      </c>
      <c r="F1538" s="116">
        <v>4282.6000000000004</v>
      </c>
      <c r="G1538">
        <v>44517</v>
      </c>
      <c r="H1538" s="116"/>
      <c r="I1538" s="116"/>
      <c r="L1538" s="170">
        <v>44897</v>
      </c>
      <c r="M1538" s="116">
        <v>4287.3500000000004</v>
      </c>
      <c r="N1538" s="116">
        <v>4318.7</v>
      </c>
      <c r="O1538" s="116">
        <v>4111</v>
      </c>
      <c r="P1538" s="116">
        <v>4145</v>
      </c>
      <c r="Q1538" s="116">
        <v>4287.3500000000004</v>
      </c>
      <c r="R1538">
        <v>1454848</v>
      </c>
    </row>
    <row r="1539" spans="1:18" x14ac:dyDescent="0.25">
      <c r="A1539" s="170">
        <v>44900</v>
      </c>
      <c r="B1539" s="116">
        <v>4300</v>
      </c>
      <c r="C1539" s="116">
        <v>4248.6000000000004</v>
      </c>
      <c r="D1539" s="116">
        <v>4215</v>
      </c>
      <c r="E1539" s="116">
        <v>4285</v>
      </c>
      <c r="F1539" s="116">
        <v>4248.6000000000004</v>
      </c>
      <c r="G1539">
        <v>9456</v>
      </c>
      <c r="H1539" s="116"/>
      <c r="I1539" s="116"/>
      <c r="L1539" s="170">
        <v>44900</v>
      </c>
      <c r="M1539" s="116">
        <v>4248.95</v>
      </c>
      <c r="N1539" s="116">
        <v>4312.3</v>
      </c>
      <c r="O1539" s="116">
        <v>4214.3999999999996</v>
      </c>
      <c r="P1539" s="116">
        <v>4281</v>
      </c>
      <c r="Q1539" s="116">
        <v>4248.95</v>
      </c>
      <c r="R1539">
        <v>258701</v>
      </c>
    </row>
    <row r="1540" spans="1:18" x14ac:dyDescent="0.25">
      <c r="A1540" s="170">
        <v>44901</v>
      </c>
      <c r="B1540" s="116">
        <v>4249</v>
      </c>
      <c r="C1540" s="116">
        <v>4215.45</v>
      </c>
      <c r="D1540" s="116">
        <v>4150</v>
      </c>
      <c r="E1540" s="116">
        <v>4249</v>
      </c>
      <c r="F1540" s="116">
        <v>4215.45</v>
      </c>
      <c r="G1540">
        <v>5794</v>
      </c>
      <c r="H1540" s="116"/>
      <c r="I1540" s="116"/>
      <c r="L1540" s="170">
        <v>44901</v>
      </c>
      <c r="M1540" s="116">
        <v>4218.1000000000004</v>
      </c>
      <c r="N1540" s="116">
        <v>4242.55</v>
      </c>
      <c r="O1540" s="116">
        <v>4150</v>
      </c>
      <c r="P1540" s="116">
        <v>4238.8999999999996</v>
      </c>
      <c r="Q1540" s="116">
        <v>4218.1000000000004</v>
      </c>
      <c r="R1540">
        <v>334177</v>
      </c>
    </row>
    <row r="1541" spans="1:18" x14ac:dyDescent="0.25">
      <c r="A1541" s="170">
        <v>44902</v>
      </c>
      <c r="B1541" s="116">
        <v>4206.25</v>
      </c>
      <c r="C1541" s="116">
        <v>4153.3500000000004</v>
      </c>
      <c r="D1541" s="116">
        <v>4121.45</v>
      </c>
      <c r="E1541" s="116">
        <v>4180.1000000000004</v>
      </c>
      <c r="F1541" s="116">
        <v>4153.3500000000004</v>
      </c>
      <c r="G1541">
        <v>7188</v>
      </c>
      <c r="H1541" s="116"/>
      <c r="I1541" s="116"/>
      <c r="L1541" s="170">
        <v>44902</v>
      </c>
      <c r="M1541" s="116">
        <v>4152.8</v>
      </c>
      <c r="N1541" s="116">
        <v>4210</v>
      </c>
      <c r="O1541" s="116">
        <v>4122</v>
      </c>
      <c r="P1541" s="116">
        <v>4197.1000000000004</v>
      </c>
      <c r="Q1541" s="116">
        <v>4152.8</v>
      </c>
      <c r="R1541">
        <v>220368</v>
      </c>
    </row>
    <row r="1542" spans="1:18" x14ac:dyDescent="0.25">
      <c r="A1542" s="170">
        <v>44903</v>
      </c>
      <c r="B1542" s="116">
        <v>4147.8999999999996</v>
      </c>
      <c r="C1542" s="116">
        <v>4104.3</v>
      </c>
      <c r="D1542" s="116">
        <v>4070</v>
      </c>
      <c r="E1542" s="116">
        <v>4136.05</v>
      </c>
      <c r="F1542" s="116">
        <v>4104.3</v>
      </c>
      <c r="G1542">
        <v>9301</v>
      </c>
      <c r="H1542" s="116"/>
      <c r="I1542" s="116"/>
      <c r="L1542" s="170">
        <v>44903</v>
      </c>
      <c r="M1542" s="116">
        <v>4106.5</v>
      </c>
      <c r="N1542" s="116">
        <v>4152.8</v>
      </c>
      <c r="O1542" s="116">
        <v>4070</v>
      </c>
      <c r="P1542" s="116">
        <v>4152.7</v>
      </c>
      <c r="Q1542" s="116">
        <v>4106.5</v>
      </c>
      <c r="R1542">
        <v>167573</v>
      </c>
    </row>
    <row r="1543" spans="1:18" x14ac:dyDescent="0.25">
      <c r="A1543" s="170">
        <v>44904</v>
      </c>
      <c r="B1543" s="116">
        <v>4145</v>
      </c>
      <c r="C1543" s="116">
        <v>3981.7</v>
      </c>
      <c r="D1543" s="116">
        <v>3961.25</v>
      </c>
      <c r="E1543" s="116">
        <v>4135</v>
      </c>
      <c r="F1543" s="116">
        <v>3981.7</v>
      </c>
      <c r="G1543">
        <v>15556</v>
      </c>
      <c r="H1543" s="116"/>
      <c r="I1543" s="116"/>
      <c r="L1543" s="170">
        <v>44904</v>
      </c>
      <c r="M1543" s="116">
        <v>3980.9</v>
      </c>
      <c r="N1543" s="116">
        <v>4150.8999999999996</v>
      </c>
      <c r="O1543" s="116">
        <v>3956.5</v>
      </c>
      <c r="P1543" s="116">
        <v>4139</v>
      </c>
      <c r="Q1543" s="116">
        <v>3980.9</v>
      </c>
      <c r="R1543">
        <v>310250</v>
      </c>
    </row>
    <row r="1544" spans="1:18" x14ac:dyDescent="0.25">
      <c r="A1544" s="170">
        <v>44907</v>
      </c>
      <c r="B1544" s="116">
        <v>3965</v>
      </c>
      <c r="C1544" s="116">
        <v>3884.2</v>
      </c>
      <c r="D1544" s="116">
        <v>3867</v>
      </c>
      <c r="E1544" s="116">
        <v>3965</v>
      </c>
      <c r="F1544" s="116">
        <v>3884.2</v>
      </c>
      <c r="G1544">
        <v>18932</v>
      </c>
      <c r="H1544" s="116"/>
      <c r="I1544" s="116"/>
      <c r="L1544" s="170">
        <v>44907</v>
      </c>
      <c r="M1544" s="116">
        <v>3883.85</v>
      </c>
      <c r="N1544" s="116">
        <v>3964.95</v>
      </c>
      <c r="O1544" s="116">
        <v>3865.4</v>
      </c>
      <c r="P1544" s="116">
        <v>3964.95</v>
      </c>
      <c r="Q1544" s="116">
        <v>3883.85</v>
      </c>
      <c r="R1544">
        <v>316234</v>
      </c>
    </row>
    <row r="1545" spans="1:18" x14ac:dyDescent="0.25">
      <c r="A1545" s="170">
        <v>44908</v>
      </c>
      <c r="B1545" s="116">
        <v>3921.45</v>
      </c>
      <c r="C1545" s="116">
        <v>3900.15</v>
      </c>
      <c r="D1545" s="116">
        <v>3881.15</v>
      </c>
      <c r="E1545" s="116">
        <v>3921.45</v>
      </c>
      <c r="F1545" s="116">
        <v>3900.15</v>
      </c>
      <c r="G1545">
        <v>10663</v>
      </c>
      <c r="H1545" s="116"/>
      <c r="I1545" s="116"/>
      <c r="L1545" s="170">
        <v>44908</v>
      </c>
      <c r="M1545" s="116">
        <v>3905.05</v>
      </c>
      <c r="N1545" s="116">
        <v>3922.5</v>
      </c>
      <c r="O1545" s="116">
        <v>3880.4</v>
      </c>
      <c r="P1545" s="116">
        <v>3909.95</v>
      </c>
      <c r="Q1545" s="116">
        <v>3905.05</v>
      </c>
      <c r="R1545">
        <v>172947</v>
      </c>
    </row>
    <row r="1546" spans="1:18" x14ac:dyDescent="0.25">
      <c r="A1546" s="170">
        <v>44909</v>
      </c>
      <c r="B1546" s="116">
        <v>4043.7</v>
      </c>
      <c r="C1546" s="116">
        <v>4031.6</v>
      </c>
      <c r="D1546" s="116">
        <v>3907.1</v>
      </c>
      <c r="E1546" s="116">
        <v>3907.1</v>
      </c>
      <c r="F1546" s="116">
        <v>4031.6</v>
      </c>
      <c r="G1546">
        <v>10875</v>
      </c>
      <c r="H1546" s="116"/>
      <c r="I1546" s="116"/>
      <c r="L1546" s="170">
        <v>44909</v>
      </c>
      <c r="M1546" s="116">
        <v>4029.65</v>
      </c>
      <c r="N1546" s="116">
        <v>4045</v>
      </c>
      <c r="O1546" s="116">
        <v>3924</v>
      </c>
      <c r="P1546" s="116">
        <v>3924.95</v>
      </c>
      <c r="Q1546" s="116">
        <v>4029.65</v>
      </c>
      <c r="R1546">
        <v>455038</v>
      </c>
    </row>
    <row r="1547" spans="1:18" x14ac:dyDescent="0.25">
      <c r="A1547" s="170">
        <v>44910</v>
      </c>
      <c r="B1547" s="116">
        <v>4079</v>
      </c>
      <c r="C1547" s="116">
        <v>4043.1</v>
      </c>
      <c r="D1547" s="116">
        <v>3988</v>
      </c>
      <c r="E1547" s="116">
        <v>4029.65</v>
      </c>
      <c r="F1547" s="116">
        <v>4043.1</v>
      </c>
      <c r="G1547">
        <v>18893</v>
      </c>
      <c r="H1547" s="116"/>
      <c r="I1547" s="116"/>
      <c r="L1547" s="170">
        <v>44910</v>
      </c>
      <c r="M1547" s="116">
        <v>4044</v>
      </c>
      <c r="N1547" s="116">
        <v>4080</v>
      </c>
      <c r="O1547" s="116">
        <v>3985.85</v>
      </c>
      <c r="P1547" s="116">
        <v>4020.05</v>
      </c>
      <c r="Q1547" s="116">
        <v>4044</v>
      </c>
      <c r="R1547">
        <v>342942</v>
      </c>
    </row>
    <row r="1548" spans="1:18" x14ac:dyDescent="0.25">
      <c r="A1548" s="170">
        <v>44911</v>
      </c>
      <c r="B1548" s="116">
        <v>4034.75</v>
      </c>
      <c r="C1548" s="116">
        <v>3982.4</v>
      </c>
      <c r="D1548" s="116">
        <v>3923.3</v>
      </c>
      <c r="E1548" s="116">
        <v>3923.3</v>
      </c>
      <c r="F1548" s="116">
        <v>3982.4</v>
      </c>
      <c r="G1548">
        <v>8690</v>
      </c>
      <c r="H1548" s="116"/>
      <c r="I1548" s="116"/>
      <c r="L1548" s="170">
        <v>44911</v>
      </c>
      <c r="M1548" s="116">
        <v>3983.25</v>
      </c>
      <c r="N1548" s="116">
        <v>4033.4</v>
      </c>
      <c r="O1548" s="116">
        <v>3942.35</v>
      </c>
      <c r="P1548" s="116">
        <v>3991</v>
      </c>
      <c r="Q1548" s="116">
        <v>3983.25</v>
      </c>
      <c r="R1548">
        <v>226981</v>
      </c>
    </row>
    <row r="1549" spans="1:18" x14ac:dyDescent="0.25">
      <c r="A1549" s="170">
        <v>44914</v>
      </c>
      <c r="B1549" s="116">
        <v>4014.15</v>
      </c>
      <c r="C1549" s="116">
        <v>3992.15</v>
      </c>
      <c r="D1549" s="116">
        <v>3934.9</v>
      </c>
      <c r="E1549" s="116">
        <v>3975</v>
      </c>
      <c r="F1549" s="116">
        <v>3992.15</v>
      </c>
      <c r="G1549">
        <v>4122</v>
      </c>
      <c r="H1549" s="116"/>
      <c r="I1549" s="116"/>
      <c r="L1549" s="170">
        <v>44914</v>
      </c>
      <c r="M1549" s="116">
        <v>3990.05</v>
      </c>
      <c r="N1549" s="116">
        <v>4025</v>
      </c>
      <c r="O1549" s="116">
        <v>3931.5</v>
      </c>
      <c r="P1549" s="116">
        <v>3960</v>
      </c>
      <c r="Q1549" s="116">
        <v>3990.05</v>
      </c>
      <c r="R1549">
        <v>127152</v>
      </c>
    </row>
    <row r="1550" spans="1:18" x14ac:dyDescent="0.25">
      <c r="A1550" s="170">
        <v>44915</v>
      </c>
      <c r="B1550" s="116">
        <v>3985</v>
      </c>
      <c r="C1550" s="116">
        <v>3951.85</v>
      </c>
      <c r="D1550" s="116">
        <v>3920.75</v>
      </c>
      <c r="E1550" s="116">
        <v>3985</v>
      </c>
      <c r="F1550" s="116">
        <v>3951.85</v>
      </c>
      <c r="G1550">
        <v>7046</v>
      </c>
      <c r="H1550" s="116"/>
      <c r="I1550" s="116"/>
      <c r="L1550" s="170">
        <v>44915</v>
      </c>
      <c r="M1550" s="116">
        <v>3951.05</v>
      </c>
      <c r="N1550" s="116">
        <v>3984.95</v>
      </c>
      <c r="O1550" s="116">
        <v>3921.6</v>
      </c>
      <c r="P1550" s="116">
        <v>3980.05</v>
      </c>
      <c r="Q1550" s="116">
        <v>3951.05</v>
      </c>
      <c r="R1550">
        <v>154148</v>
      </c>
    </row>
    <row r="1551" spans="1:18" x14ac:dyDescent="0.25">
      <c r="A1551" s="170">
        <v>44916</v>
      </c>
      <c r="B1551" s="116">
        <v>4060</v>
      </c>
      <c r="C1551" s="116">
        <v>3956.65</v>
      </c>
      <c r="D1551" s="116">
        <v>3938.15</v>
      </c>
      <c r="E1551" s="116">
        <v>3960.05</v>
      </c>
      <c r="F1551" s="116">
        <v>3956.65</v>
      </c>
      <c r="G1551">
        <v>13864</v>
      </c>
      <c r="H1551" s="116"/>
      <c r="I1551" s="116"/>
      <c r="L1551" s="170">
        <v>44916</v>
      </c>
      <c r="M1551" s="116">
        <v>3957.1</v>
      </c>
      <c r="N1551" s="116">
        <v>4066</v>
      </c>
      <c r="O1551" s="116">
        <v>3940.15</v>
      </c>
      <c r="P1551" s="116">
        <v>3970.85</v>
      </c>
      <c r="Q1551" s="116">
        <v>3957.1</v>
      </c>
      <c r="R1551">
        <v>309515</v>
      </c>
    </row>
    <row r="1552" spans="1:18" x14ac:dyDescent="0.25">
      <c r="A1552" s="170">
        <v>44917</v>
      </c>
      <c r="B1552" s="116">
        <v>4007.65</v>
      </c>
      <c r="C1552" s="116">
        <v>3950</v>
      </c>
      <c r="D1552" s="116">
        <v>3919</v>
      </c>
      <c r="E1552" s="116">
        <v>3991</v>
      </c>
      <c r="F1552" s="116">
        <v>3950</v>
      </c>
      <c r="G1552">
        <v>9785</v>
      </c>
      <c r="H1552" s="116"/>
      <c r="I1552" s="116"/>
      <c r="L1552" s="170">
        <v>44917</v>
      </c>
      <c r="M1552" s="116">
        <v>3951.45</v>
      </c>
      <c r="N1552" s="116">
        <v>4009.6</v>
      </c>
      <c r="O1552" s="116">
        <v>3915</v>
      </c>
      <c r="P1552" s="116">
        <v>4004.8</v>
      </c>
      <c r="Q1552" s="116">
        <v>3951.45</v>
      </c>
      <c r="R1552">
        <v>240965</v>
      </c>
    </row>
    <row r="1553" spans="1:18" x14ac:dyDescent="0.25">
      <c r="A1553" s="170">
        <v>44918</v>
      </c>
      <c r="B1553" s="116">
        <v>3923.9</v>
      </c>
      <c r="C1553" s="116">
        <v>3704.85</v>
      </c>
      <c r="D1553" s="116">
        <v>3688.25</v>
      </c>
      <c r="E1553" s="116">
        <v>3880.05</v>
      </c>
      <c r="F1553" s="116">
        <v>3704.85</v>
      </c>
      <c r="G1553">
        <v>12402</v>
      </c>
      <c r="H1553" s="116"/>
      <c r="I1553" s="116"/>
      <c r="L1553" s="170">
        <v>44918</v>
      </c>
      <c r="M1553" s="116">
        <v>3702.6</v>
      </c>
      <c r="N1553" s="116">
        <v>3920</v>
      </c>
      <c r="O1553" s="116">
        <v>3673.05</v>
      </c>
      <c r="P1553" s="116">
        <v>3901</v>
      </c>
      <c r="Q1553" s="116">
        <v>3702.6</v>
      </c>
      <c r="R1553">
        <v>375612</v>
      </c>
    </row>
    <row r="1554" spans="1:18" x14ac:dyDescent="0.25">
      <c r="A1554" s="170">
        <v>44921</v>
      </c>
      <c r="B1554" s="116">
        <v>3775</v>
      </c>
      <c r="C1554" s="116">
        <v>3729.05</v>
      </c>
      <c r="D1554" s="116">
        <v>3707.05</v>
      </c>
      <c r="E1554" s="116">
        <v>3710.05</v>
      </c>
      <c r="F1554" s="116">
        <v>3729.05</v>
      </c>
      <c r="G1554">
        <v>15714</v>
      </c>
      <c r="H1554" s="116"/>
      <c r="I1554" s="116"/>
      <c r="L1554" s="170">
        <v>44921</v>
      </c>
      <c r="M1554" s="116">
        <v>3728.35</v>
      </c>
      <c r="N1554" s="116">
        <v>3775</v>
      </c>
      <c r="O1554" s="116">
        <v>3706</v>
      </c>
      <c r="P1554" s="116">
        <v>3719</v>
      </c>
      <c r="Q1554" s="116">
        <v>3728.35</v>
      </c>
      <c r="R1554">
        <v>266670</v>
      </c>
    </row>
    <row r="1555" spans="1:18" x14ac:dyDescent="0.25">
      <c r="A1555" s="170">
        <v>44922</v>
      </c>
      <c r="B1555" s="116">
        <v>3807.45</v>
      </c>
      <c r="C1555" s="116">
        <v>3778.95</v>
      </c>
      <c r="D1555" s="116">
        <v>3720</v>
      </c>
      <c r="E1555" s="116">
        <v>3784.95</v>
      </c>
      <c r="F1555" s="116">
        <v>3778.95</v>
      </c>
      <c r="G1555">
        <v>11001</v>
      </c>
      <c r="H1555" s="116"/>
      <c r="I1555" s="116"/>
      <c r="L1555" s="170">
        <v>44922</v>
      </c>
      <c r="M1555" s="116">
        <v>3772.5</v>
      </c>
      <c r="N1555" s="116">
        <v>3808</v>
      </c>
      <c r="O1555" s="116">
        <v>3718</v>
      </c>
      <c r="P1555" s="116">
        <v>3745</v>
      </c>
      <c r="Q1555" s="116">
        <v>3772.5</v>
      </c>
      <c r="R1555">
        <v>246291</v>
      </c>
    </row>
    <row r="1556" spans="1:18" x14ac:dyDescent="0.25">
      <c r="A1556" s="170">
        <v>44923</v>
      </c>
      <c r="B1556" s="116">
        <v>3760.75</v>
      </c>
      <c r="C1556" s="116">
        <v>3700</v>
      </c>
      <c r="D1556" s="116">
        <v>3692.05</v>
      </c>
      <c r="E1556" s="116">
        <v>3741</v>
      </c>
      <c r="F1556" s="116">
        <v>3700</v>
      </c>
      <c r="G1556">
        <v>8236</v>
      </c>
      <c r="H1556" s="116"/>
      <c r="I1556" s="116"/>
      <c r="L1556" s="170">
        <v>44923</v>
      </c>
      <c r="M1556" s="116">
        <v>3700.1</v>
      </c>
      <c r="N1556" s="116">
        <v>3759</v>
      </c>
      <c r="O1556" s="116">
        <v>3690.15</v>
      </c>
      <c r="P1556" s="116">
        <v>3750</v>
      </c>
      <c r="Q1556" s="116">
        <v>3700.1</v>
      </c>
      <c r="R1556">
        <v>187185</v>
      </c>
    </row>
    <row r="1557" spans="1:18" x14ac:dyDescent="0.25">
      <c r="A1557" s="170">
        <v>44924</v>
      </c>
      <c r="B1557" s="116">
        <v>3698</v>
      </c>
      <c r="C1557" s="116">
        <v>3659.05</v>
      </c>
      <c r="D1557" s="116">
        <v>3631.75</v>
      </c>
      <c r="E1557" s="116">
        <v>3698</v>
      </c>
      <c r="F1557" s="116">
        <v>3659.05</v>
      </c>
      <c r="G1557">
        <v>5864</v>
      </c>
      <c r="H1557" s="116"/>
      <c r="I1557" s="116"/>
      <c r="L1557" s="170">
        <v>44924</v>
      </c>
      <c r="M1557" s="116">
        <v>3659.4</v>
      </c>
      <c r="N1557" s="116">
        <v>3696.9</v>
      </c>
      <c r="O1557" s="116">
        <v>3631.05</v>
      </c>
      <c r="P1557" s="116">
        <v>3675</v>
      </c>
      <c r="Q1557" s="116">
        <v>3659.4</v>
      </c>
      <c r="R1557">
        <v>328420</v>
      </c>
    </row>
    <row r="1558" spans="1:18" x14ac:dyDescent="0.25">
      <c r="A1558" s="170">
        <v>44925</v>
      </c>
      <c r="B1558" s="116">
        <v>3755</v>
      </c>
      <c r="C1558" s="116">
        <v>3684.45</v>
      </c>
      <c r="D1558" s="116">
        <v>3671.1</v>
      </c>
      <c r="E1558" s="116">
        <v>3739.95</v>
      </c>
      <c r="F1558" s="116">
        <v>3684.45</v>
      </c>
      <c r="G1558">
        <v>5279</v>
      </c>
      <c r="H1558" s="116"/>
      <c r="I1558" s="116"/>
      <c r="L1558" s="170">
        <v>44925</v>
      </c>
      <c r="M1558" s="116">
        <v>3683.55</v>
      </c>
      <c r="N1558" s="116">
        <v>3755</v>
      </c>
      <c r="O1558" s="116">
        <v>3668.55</v>
      </c>
      <c r="P1558" s="116">
        <v>3708</v>
      </c>
      <c r="Q1558" s="116">
        <v>3683.55</v>
      </c>
      <c r="R1558">
        <v>228002</v>
      </c>
    </row>
    <row r="1559" spans="1:18" x14ac:dyDescent="0.25">
      <c r="A1559" s="170">
        <v>44928</v>
      </c>
      <c r="B1559" s="116">
        <v>3737.65</v>
      </c>
      <c r="C1559" s="116">
        <v>3724.25</v>
      </c>
      <c r="D1559" s="116">
        <v>3680</v>
      </c>
      <c r="E1559" s="116">
        <v>3689.1</v>
      </c>
      <c r="F1559" s="116">
        <v>3724.25</v>
      </c>
      <c r="G1559">
        <v>7834</v>
      </c>
      <c r="H1559" s="116"/>
      <c r="I1559" s="116"/>
      <c r="L1559" s="170">
        <v>44928</v>
      </c>
      <c r="M1559" s="116">
        <v>3723.5</v>
      </c>
      <c r="N1559" s="116">
        <v>3739</v>
      </c>
      <c r="O1559" s="116">
        <v>3676.2</v>
      </c>
      <c r="P1559" s="116">
        <v>3689.7</v>
      </c>
      <c r="Q1559" s="116">
        <v>3723.5</v>
      </c>
      <c r="R1559">
        <v>132077</v>
      </c>
    </row>
    <row r="1560" spans="1:18" x14ac:dyDescent="0.25">
      <c r="A1560" s="170">
        <v>44929</v>
      </c>
      <c r="B1560" s="116">
        <v>3784.3</v>
      </c>
      <c r="C1560" s="116">
        <v>3706.35</v>
      </c>
      <c r="D1560" s="116">
        <v>3698.1</v>
      </c>
      <c r="E1560" s="116">
        <v>3730</v>
      </c>
      <c r="F1560" s="116">
        <v>3706.35</v>
      </c>
      <c r="G1560">
        <v>11353</v>
      </c>
      <c r="H1560" s="116"/>
      <c r="I1560" s="116"/>
      <c r="L1560" s="170">
        <v>44929</v>
      </c>
      <c r="M1560" s="116">
        <v>3707.25</v>
      </c>
      <c r="N1560" s="116">
        <v>3784</v>
      </c>
      <c r="O1560" s="116">
        <v>3697.6</v>
      </c>
      <c r="P1560" s="116">
        <v>3741.95</v>
      </c>
      <c r="Q1560" s="116">
        <v>3707.25</v>
      </c>
      <c r="R1560">
        <v>201438</v>
      </c>
    </row>
    <row r="1561" spans="1:18" x14ac:dyDescent="0.25">
      <c r="A1561" s="170">
        <v>44930</v>
      </c>
      <c r="B1561" s="116">
        <v>3748.25</v>
      </c>
      <c r="C1561" s="116">
        <v>3720.9</v>
      </c>
      <c r="D1561" s="116">
        <v>3684.9</v>
      </c>
      <c r="E1561" s="116">
        <v>3748.25</v>
      </c>
      <c r="F1561" s="116">
        <v>3720.9</v>
      </c>
      <c r="G1561">
        <v>7957</v>
      </c>
      <c r="H1561" s="116"/>
      <c r="I1561" s="116"/>
      <c r="L1561" s="170">
        <v>44930</v>
      </c>
      <c r="M1561" s="116">
        <v>3716.9</v>
      </c>
      <c r="N1561" s="116">
        <v>3741.5</v>
      </c>
      <c r="O1561" s="116">
        <v>3684.05</v>
      </c>
      <c r="P1561" s="116">
        <v>3719.9</v>
      </c>
      <c r="Q1561" s="116">
        <v>3716.9</v>
      </c>
      <c r="R1561">
        <v>192280</v>
      </c>
    </row>
    <row r="1562" spans="1:18" x14ac:dyDescent="0.25">
      <c r="A1562" s="170">
        <v>44931</v>
      </c>
      <c r="B1562" s="116">
        <v>3749.95</v>
      </c>
      <c r="C1562" s="116">
        <v>3639.4</v>
      </c>
      <c r="D1562" s="116">
        <v>3617</v>
      </c>
      <c r="E1562" s="116">
        <v>3749.95</v>
      </c>
      <c r="F1562" s="116">
        <v>3639.4</v>
      </c>
      <c r="G1562">
        <v>11632</v>
      </c>
      <c r="H1562" s="116"/>
      <c r="I1562" s="116"/>
      <c r="L1562" s="170">
        <v>44931</v>
      </c>
      <c r="M1562" s="116">
        <v>3641.55</v>
      </c>
      <c r="N1562" s="116">
        <v>3724</v>
      </c>
      <c r="O1562" s="116">
        <v>3617</v>
      </c>
      <c r="P1562" s="116">
        <v>3722.95</v>
      </c>
      <c r="Q1562" s="116">
        <v>3641.55</v>
      </c>
      <c r="R1562">
        <v>226169</v>
      </c>
    </row>
    <row r="1563" spans="1:18" x14ac:dyDescent="0.25">
      <c r="A1563" s="170">
        <v>44932</v>
      </c>
      <c r="B1563" s="116">
        <v>3673.5</v>
      </c>
      <c r="C1563" s="116">
        <v>3623.8</v>
      </c>
      <c r="D1563" s="116">
        <v>3609</v>
      </c>
      <c r="E1563" s="116">
        <v>3635</v>
      </c>
      <c r="F1563" s="116">
        <v>3623.8</v>
      </c>
      <c r="G1563">
        <v>5340</v>
      </c>
      <c r="H1563" s="116"/>
      <c r="I1563" s="116"/>
      <c r="L1563" s="170">
        <v>44932</v>
      </c>
      <c r="M1563" s="116">
        <v>3624.6</v>
      </c>
      <c r="N1563" s="116">
        <v>3674.9</v>
      </c>
      <c r="O1563" s="116">
        <v>3606.55</v>
      </c>
      <c r="P1563" s="116">
        <v>3655</v>
      </c>
      <c r="Q1563" s="116">
        <v>3624.6</v>
      </c>
      <c r="R1563">
        <v>161385</v>
      </c>
    </row>
    <row r="1564" spans="1:18" x14ac:dyDescent="0.25">
      <c r="A1564" s="170">
        <v>44935</v>
      </c>
      <c r="B1564" s="116">
        <v>3727.65</v>
      </c>
      <c r="C1564" s="116">
        <v>3683.35</v>
      </c>
      <c r="D1564" s="116">
        <v>3642.05</v>
      </c>
      <c r="E1564" s="116">
        <v>3642.05</v>
      </c>
      <c r="F1564" s="116">
        <v>3683.35</v>
      </c>
      <c r="G1564">
        <v>14131</v>
      </c>
      <c r="H1564" s="116"/>
      <c r="I1564" s="116"/>
      <c r="L1564" s="170">
        <v>44935</v>
      </c>
      <c r="M1564" s="116">
        <v>3671.05</v>
      </c>
      <c r="N1564" s="116">
        <v>3727</v>
      </c>
      <c r="O1564" s="116">
        <v>3603.15</v>
      </c>
      <c r="P1564" s="116">
        <v>3666.35</v>
      </c>
      <c r="Q1564" s="116">
        <v>3671.05</v>
      </c>
      <c r="R1564">
        <v>226638</v>
      </c>
    </row>
    <row r="1565" spans="1:18" x14ac:dyDescent="0.25">
      <c r="A1565" s="170">
        <v>44936</v>
      </c>
      <c r="B1565" s="116">
        <v>3678</v>
      </c>
      <c r="C1565" s="116">
        <v>3637.35</v>
      </c>
      <c r="D1565" s="116">
        <v>3606.25</v>
      </c>
      <c r="E1565" s="116">
        <v>3650.05</v>
      </c>
      <c r="F1565" s="116">
        <v>3637.35</v>
      </c>
      <c r="G1565">
        <v>7841</v>
      </c>
      <c r="H1565" s="116"/>
      <c r="I1565" s="116"/>
      <c r="L1565" s="170">
        <v>44936</v>
      </c>
      <c r="M1565" s="116">
        <v>3639.05</v>
      </c>
      <c r="N1565" s="116">
        <v>3670.4</v>
      </c>
      <c r="O1565" s="116">
        <v>3605</v>
      </c>
      <c r="P1565" s="116">
        <v>3670.4</v>
      </c>
      <c r="Q1565" s="116">
        <v>3639.05</v>
      </c>
      <c r="R1565">
        <v>110148</v>
      </c>
    </row>
    <row r="1566" spans="1:18" x14ac:dyDescent="0.25">
      <c r="A1566" s="170">
        <v>44937</v>
      </c>
      <c r="B1566" s="116">
        <v>3719.9</v>
      </c>
      <c r="C1566" s="116">
        <v>3631.1</v>
      </c>
      <c r="D1566" s="116">
        <v>3615.15</v>
      </c>
      <c r="E1566" s="116">
        <v>3649.8</v>
      </c>
      <c r="F1566" s="116">
        <v>3631.1</v>
      </c>
      <c r="G1566">
        <v>7861</v>
      </c>
      <c r="H1566" s="116"/>
      <c r="I1566" s="116"/>
      <c r="L1566" s="170">
        <v>44937</v>
      </c>
      <c r="M1566" s="116">
        <v>3628</v>
      </c>
      <c r="N1566" s="116">
        <v>3723.65</v>
      </c>
      <c r="O1566" s="116">
        <v>3612</v>
      </c>
      <c r="P1566" s="116">
        <v>3639.05</v>
      </c>
      <c r="Q1566" s="116">
        <v>3628</v>
      </c>
      <c r="R1566">
        <v>203457</v>
      </c>
    </row>
    <row r="1567" spans="1:18" x14ac:dyDescent="0.25">
      <c r="A1567" s="170">
        <v>44938</v>
      </c>
      <c r="B1567" s="116">
        <v>3669.2</v>
      </c>
      <c r="C1567" s="116">
        <v>3640.5</v>
      </c>
      <c r="D1567" s="116">
        <v>3620.55</v>
      </c>
      <c r="E1567" s="116">
        <v>3642</v>
      </c>
      <c r="F1567" s="116">
        <v>3640.5</v>
      </c>
      <c r="G1567">
        <v>6587</v>
      </c>
      <c r="H1567" s="116"/>
      <c r="I1567" s="116"/>
      <c r="L1567" s="170">
        <v>44938</v>
      </c>
      <c r="M1567" s="116">
        <v>3642.8</v>
      </c>
      <c r="N1567" s="116">
        <v>3668.7</v>
      </c>
      <c r="O1567" s="116">
        <v>3622.15</v>
      </c>
      <c r="P1567" s="116">
        <v>3649.05</v>
      </c>
      <c r="Q1567" s="116">
        <v>3642.8</v>
      </c>
      <c r="R1567">
        <v>190518</v>
      </c>
    </row>
    <row r="1568" spans="1:18" x14ac:dyDescent="0.25">
      <c r="A1568" s="170">
        <v>44939</v>
      </c>
      <c r="B1568" s="116">
        <v>3625.15</v>
      </c>
      <c r="C1568" s="116">
        <v>3446.95</v>
      </c>
      <c r="D1568" s="116">
        <v>3405.5</v>
      </c>
      <c r="E1568" s="116">
        <v>3625.15</v>
      </c>
      <c r="F1568" s="116">
        <v>3446.95</v>
      </c>
      <c r="G1568">
        <v>30408</v>
      </c>
      <c r="H1568" s="116"/>
      <c r="I1568" s="116"/>
      <c r="L1568" s="170">
        <v>44939</v>
      </c>
      <c r="M1568" s="116">
        <v>3448.75</v>
      </c>
      <c r="N1568" s="116">
        <v>3580</v>
      </c>
      <c r="O1568" s="116">
        <v>3404.2</v>
      </c>
      <c r="P1568" s="116">
        <v>3575</v>
      </c>
      <c r="Q1568" s="116">
        <v>3448.75</v>
      </c>
      <c r="R1568">
        <v>1302790</v>
      </c>
    </row>
    <row r="1569" spans="1:18" x14ac:dyDescent="0.25">
      <c r="A1569" s="170">
        <v>44942</v>
      </c>
      <c r="B1569" s="116">
        <v>3491.1</v>
      </c>
      <c r="C1569" s="116">
        <v>3433.4</v>
      </c>
      <c r="D1569" s="116">
        <v>3418.4</v>
      </c>
      <c r="E1569" s="116">
        <v>3480</v>
      </c>
      <c r="F1569" s="116">
        <v>3433.4</v>
      </c>
      <c r="G1569">
        <v>9280</v>
      </c>
      <c r="H1569" s="116"/>
      <c r="I1569" s="116"/>
      <c r="L1569" s="170">
        <v>44942</v>
      </c>
      <c r="M1569" s="116">
        <v>3431.1</v>
      </c>
      <c r="N1569" s="116">
        <v>3494</v>
      </c>
      <c r="O1569" s="116">
        <v>3418</v>
      </c>
      <c r="P1569" s="116">
        <v>3458</v>
      </c>
      <c r="Q1569" s="116">
        <v>3431.1</v>
      </c>
      <c r="R1569">
        <v>328273</v>
      </c>
    </row>
    <row r="1570" spans="1:18" x14ac:dyDescent="0.25">
      <c r="A1570" s="170">
        <v>44943</v>
      </c>
      <c r="B1570" s="116">
        <v>3458.35</v>
      </c>
      <c r="C1570" s="116">
        <v>3409.4</v>
      </c>
      <c r="D1570" s="116">
        <v>3402</v>
      </c>
      <c r="E1570" s="116">
        <v>3449.95</v>
      </c>
      <c r="F1570" s="116">
        <v>3409.4</v>
      </c>
      <c r="G1570">
        <v>9118</v>
      </c>
      <c r="H1570" s="116"/>
      <c r="I1570" s="116"/>
      <c r="L1570" s="170">
        <v>44943</v>
      </c>
      <c r="M1570" s="116">
        <v>3409.7</v>
      </c>
      <c r="N1570" s="116">
        <v>3459.6</v>
      </c>
      <c r="O1570" s="116">
        <v>3400</v>
      </c>
      <c r="P1570" s="116">
        <v>3437</v>
      </c>
      <c r="Q1570" s="116">
        <v>3409.7</v>
      </c>
      <c r="R1570">
        <v>177202</v>
      </c>
    </row>
    <row r="1571" spans="1:18" x14ac:dyDescent="0.25">
      <c r="A1571" s="170">
        <v>44944</v>
      </c>
      <c r="B1571" s="116">
        <v>3448.5</v>
      </c>
      <c r="C1571" s="116">
        <v>3420.7</v>
      </c>
      <c r="D1571" s="116">
        <v>3406.15</v>
      </c>
      <c r="E1571" s="116">
        <v>3448.5</v>
      </c>
      <c r="F1571" s="116">
        <v>3420.7</v>
      </c>
      <c r="G1571">
        <v>4707</v>
      </c>
      <c r="H1571" s="116"/>
      <c r="I1571" s="116"/>
      <c r="L1571" s="170">
        <v>44944</v>
      </c>
      <c r="M1571" s="116">
        <v>3419.1</v>
      </c>
      <c r="N1571" s="116">
        <v>3439.8</v>
      </c>
      <c r="O1571" s="116">
        <v>3407.35</v>
      </c>
      <c r="P1571" s="116">
        <v>3422</v>
      </c>
      <c r="Q1571" s="116">
        <v>3419.1</v>
      </c>
      <c r="R1571">
        <v>343926</v>
      </c>
    </row>
    <row r="1572" spans="1:18" x14ac:dyDescent="0.25">
      <c r="A1572" s="170">
        <v>44945</v>
      </c>
      <c r="B1572" s="116">
        <v>3414.05</v>
      </c>
      <c r="C1572" s="116">
        <v>3399.4</v>
      </c>
      <c r="D1572" s="116">
        <v>3376.95</v>
      </c>
      <c r="E1572" s="116">
        <v>3411</v>
      </c>
      <c r="F1572" s="116">
        <v>3399.4</v>
      </c>
      <c r="G1572">
        <v>12117</v>
      </c>
      <c r="H1572" s="116"/>
      <c r="I1572" s="116"/>
      <c r="L1572" s="170">
        <v>44945</v>
      </c>
      <c r="M1572" s="116">
        <v>3397.15</v>
      </c>
      <c r="N1572" s="116">
        <v>3418.2</v>
      </c>
      <c r="O1572" s="116">
        <v>3375</v>
      </c>
      <c r="P1572" s="116">
        <v>3400</v>
      </c>
      <c r="Q1572" s="116">
        <v>3397.15</v>
      </c>
      <c r="R1572">
        <v>324803</v>
      </c>
    </row>
    <row r="1573" spans="1:18" x14ac:dyDescent="0.25">
      <c r="A1573" s="170">
        <v>44946</v>
      </c>
      <c r="B1573" s="116">
        <v>3351.95</v>
      </c>
      <c r="C1573" s="116">
        <v>3231.95</v>
      </c>
      <c r="D1573" s="116">
        <v>3218</v>
      </c>
      <c r="E1573" s="116">
        <v>3349.9</v>
      </c>
      <c r="F1573" s="116">
        <v>3231.95</v>
      </c>
      <c r="G1573">
        <v>57082</v>
      </c>
      <c r="H1573" s="116"/>
      <c r="I1573" s="116"/>
      <c r="L1573" s="170">
        <v>44946</v>
      </c>
      <c r="M1573" s="116">
        <v>3230.7</v>
      </c>
      <c r="N1573" s="116">
        <v>3352.05</v>
      </c>
      <c r="O1573" s="116">
        <v>3215.85</v>
      </c>
      <c r="P1573" s="116">
        <v>3325</v>
      </c>
      <c r="Q1573" s="116">
        <v>3230.7</v>
      </c>
      <c r="R1573">
        <v>1007955</v>
      </c>
    </row>
    <row r="1574" spans="1:18" x14ac:dyDescent="0.25">
      <c r="A1574" s="170">
        <v>44949</v>
      </c>
      <c r="B1574" s="116">
        <v>3335</v>
      </c>
      <c r="C1574" s="116">
        <v>3322.55</v>
      </c>
      <c r="D1574" s="116">
        <v>3223.8</v>
      </c>
      <c r="E1574" s="116">
        <v>3249.15</v>
      </c>
      <c r="F1574" s="116">
        <v>3322.55</v>
      </c>
      <c r="G1574">
        <v>21297</v>
      </c>
      <c r="H1574" s="116"/>
      <c r="I1574" s="116"/>
      <c r="L1574" s="170">
        <v>44949</v>
      </c>
      <c r="M1574" s="116">
        <v>3322.9</v>
      </c>
      <c r="N1574" s="116">
        <v>3336.5</v>
      </c>
      <c r="O1574" s="116">
        <v>3226</v>
      </c>
      <c r="P1574" s="116">
        <v>3258</v>
      </c>
      <c r="Q1574" s="116">
        <v>3322.9</v>
      </c>
      <c r="R1574">
        <v>490125</v>
      </c>
    </row>
    <row r="1575" spans="1:18" x14ac:dyDescent="0.25">
      <c r="A1575" s="170">
        <v>44950</v>
      </c>
      <c r="B1575" s="116">
        <v>3489.1</v>
      </c>
      <c r="C1575" s="116">
        <v>3430.05</v>
      </c>
      <c r="D1575" s="116">
        <v>3335</v>
      </c>
      <c r="E1575" s="116">
        <v>3350</v>
      </c>
      <c r="F1575" s="116">
        <v>3430.05</v>
      </c>
      <c r="G1575">
        <v>37084</v>
      </c>
      <c r="H1575" s="116"/>
      <c r="I1575" s="116"/>
      <c r="L1575" s="170">
        <v>44950</v>
      </c>
      <c r="M1575" s="116">
        <v>3425.95</v>
      </c>
      <c r="N1575" s="116">
        <v>3490</v>
      </c>
      <c r="O1575" s="116">
        <v>3333.1</v>
      </c>
      <c r="P1575" s="116">
        <v>3349</v>
      </c>
      <c r="Q1575" s="116">
        <v>3425.95</v>
      </c>
      <c r="R1575">
        <v>1068918</v>
      </c>
    </row>
    <row r="1576" spans="1:18" x14ac:dyDescent="0.25">
      <c r="A1576" s="170">
        <v>44951</v>
      </c>
      <c r="B1576" s="116">
        <v>3428</v>
      </c>
      <c r="C1576" s="116">
        <v>3309.65</v>
      </c>
      <c r="D1576" s="116">
        <v>3301.15</v>
      </c>
      <c r="E1576" s="116">
        <v>3428</v>
      </c>
      <c r="F1576" s="116">
        <v>3309.65</v>
      </c>
      <c r="G1576">
        <v>10376</v>
      </c>
      <c r="H1576" s="116"/>
      <c r="I1576" s="116"/>
      <c r="L1576" s="170">
        <v>44951</v>
      </c>
      <c r="M1576" s="116">
        <v>3309.4</v>
      </c>
      <c r="N1576" s="116">
        <v>3421</v>
      </c>
      <c r="O1576" s="116">
        <v>3301</v>
      </c>
      <c r="P1576" s="116">
        <v>3417.5</v>
      </c>
      <c r="Q1576" s="116">
        <v>3309.4</v>
      </c>
      <c r="R1576">
        <v>320245</v>
      </c>
    </row>
    <row r="1577" spans="1:18" x14ac:dyDescent="0.25">
      <c r="A1577" s="170">
        <v>44953</v>
      </c>
      <c r="B1577" s="116">
        <v>3371.05</v>
      </c>
      <c r="C1577" s="116">
        <v>3297</v>
      </c>
      <c r="D1577" s="116">
        <v>3258.75</v>
      </c>
      <c r="E1577" s="116">
        <v>3322.7</v>
      </c>
      <c r="F1577" s="116">
        <v>3297</v>
      </c>
      <c r="G1577">
        <v>17964</v>
      </c>
      <c r="H1577" s="116"/>
      <c r="I1577" s="116"/>
      <c r="L1577" s="170">
        <v>44953</v>
      </c>
      <c r="M1577" s="116">
        <v>3296.4</v>
      </c>
      <c r="N1577" s="116">
        <v>3373.9</v>
      </c>
      <c r="O1577" s="116">
        <v>3259.25</v>
      </c>
      <c r="P1577" s="116">
        <v>3333.4</v>
      </c>
      <c r="Q1577" s="116">
        <v>3296.4</v>
      </c>
      <c r="R1577">
        <v>203156</v>
      </c>
    </row>
    <row r="1578" spans="1:18" x14ac:dyDescent="0.25">
      <c r="A1578" s="170">
        <v>44956</v>
      </c>
      <c r="B1578" s="116">
        <v>3347</v>
      </c>
      <c r="C1578" s="116">
        <v>3303.7</v>
      </c>
      <c r="D1578" s="116">
        <v>3262</v>
      </c>
      <c r="E1578" s="116">
        <v>3305</v>
      </c>
      <c r="F1578" s="116">
        <v>3303.7</v>
      </c>
      <c r="G1578">
        <v>12756</v>
      </c>
      <c r="H1578" s="116"/>
      <c r="I1578" s="116"/>
      <c r="L1578" s="170">
        <v>44956</v>
      </c>
      <c r="M1578" s="116">
        <v>3302.25</v>
      </c>
      <c r="N1578" s="116">
        <v>3348.4</v>
      </c>
      <c r="O1578" s="116">
        <v>3261</v>
      </c>
      <c r="P1578" s="116">
        <v>3302</v>
      </c>
      <c r="Q1578" s="116">
        <v>3302.25</v>
      </c>
      <c r="R1578">
        <v>277231</v>
      </c>
    </row>
    <row r="1579" spans="1:18" x14ac:dyDescent="0.25">
      <c r="A1579" s="170">
        <v>44957</v>
      </c>
      <c r="B1579" s="116">
        <v>3346.05</v>
      </c>
      <c r="C1579" s="116">
        <v>3335.45</v>
      </c>
      <c r="D1579" s="116">
        <v>3241.8</v>
      </c>
      <c r="E1579" s="116">
        <v>3310</v>
      </c>
      <c r="F1579" s="116">
        <v>3335.45</v>
      </c>
      <c r="G1579">
        <v>9908</v>
      </c>
      <c r="H1579" s="116"/>
      <c r="I1579" s="116"/>
      <c r="L1579" s="170">
        <v>44957</v>
      </c>
      <c r="M1579" s="116">
        <v>3335.9</v>
      </c>
      <c r="N1579" s="116">
        <v>3348</v>
      </c>
      <c r="O1579" s="116">
        <v>3242</v>
      </c>
      <c r="P1579" s="116">
        <v>3307.5</v>
      </c>
      <c r="Q1579" s="116">
        <v>3335.9</v>
      </c>
      <c r="R1579">
        <v>271301</v>
      </c>
    </row>
    <row r="1580" spans="1:18" x14ac:dyDescent="0.25">
      <c r="A1580" s="170">
        <v>44958</v>
      </c>
      <c r="B1580" s="116">
        <v>3373.25</v>
      </c>
      <c r="C1580" s="116">
        <v>3333.6</v>
      </c>
      <c r="D1580" s="116">
        <v>3274</v>
      </c>
      <c r="E1580" s="116">
        <v>3337.05</v>
      </c>
      <c r="F1580" s="116">
        <v>3333.6</v>
      </c>
      <c r="G1580">
        <v>3613</v>
      </c>
      <c r="H1580" s="116"/>
      <c r="I1580" s="116"/>
      <c r="L1580" s="170">
        <v>44958</v>
      </c>
      <c r="M1580" s="116">
        <v>3333</v>
      </c>
      <c r="N1580" s="116">
        <v>3377.7</v>
      </c>
      <c r="O1580" s="116">
        <v>3272.5</v>
      </c>
      <c r="P1580" s="116">
        <v>3357</v>
      </c>
      <c r="Q1580" s="116">
        <v>3333</v>
      </c>
      <c r="R1580">
        <v>223873</v>
      </c>
    </row>
    <row r="1581" spans="1:18" x14ac:dyDescent="0.25">
      <c r="A1581" s="170">
        <v>44959</v>
      </c>
      <c r="B1581" s="116">
        <v>3454</v>
      </c>
      <c r="C1581" s="116">
        <v>3437.95</v>
      </c>
      <c r="D1581" s="116">
        <v>3330.05</v>
      </c>
      <c r="E1581" s="116">
        <v>3330.05</v>
      </c>
      <c r="F1581" s="116">
        <v>3437.95</v>
      </c>
      <c r="G1581">
        <v>24147</v>
      </c>
      <c r="H1581" s="116"/>
      <c r="I1581" s="116"/>
      <c r="L1581" s="170">
        <v>44959</v>
      </c>
      <c r="M1581" s="116">
        <v>3440.55</v>
      </c>
      <c r="N1581" s="116">
        <v>3457.25</v>
      </c>
      <c r="O1581" s="116">
        <v>3346.6</v>
      </c>
      <c r="P1581" s="116">
        <v>3350</v>
      </c>
      <c r="Q1581" s="116">
        <v>3440.55</v>
      </c>
      <c r="R1581">
        <v>291981</v>
      </c>
    </row>
    <row r="1582" spans="1:18" x14ac:dyDescent="0.25">
      <c r="A1582" s="170">
        <v>44960</v>
      </c>
      <c r="B1582" s="116">
        <v>3495</v>
      </c>
      <c r="C1582" s="116">
        <v>3438.85</v>
      </c>
      <c r="D1582" s="116">
        <v>3414.6</v>
      </c>
      <c r="E1582" s="116">
        <v>3476.8</v>
      </c>
      <c r="F1582" s="116">
        <v>3438.85</v>
      </c>
      <c r="G1582">
        <v>8062</v>
      </c>
      <c r="H1582" s="116"/>
      <c r="I1582" s="116"/>
      <c r="L1582" s="170">
        <v>44960</v>
      </c>
      <c r="M1582" s="116">
        <v>3446.95</v>
      </c>
      <c r="N1582" s="116">
        <v>3498</v>
      </c>
      <c r="O1582" s="116">
        <v>3412.65</v>
      </c>
      <c r="P1582" s="116">
        <v>3480.9</v>
      </c>
      <c r="Q1582" s="116">
        <v>3446.95</v>
      </c>
      <c r="R1582">
        <v>230315</v>
      </c>
    </row>
    <row r="1583" spans="1:18" x14ac:dyDescent="0.25">
      <c r="A1583" s="170">
        <v>44963</v>
      </c>
      <c r="B1583" s="116">
        <v>3485</v>
      </c>
      <c r="C1583" s="116">
        <v>3458.95</v>
      </c>
      <c r="D1583" s="116">
        <v>3406.8</v>
      </c>
      <c r="E1583" s="116">
        <v>3459.9</v>
      </c>
      <c r="F1583" s="116">
        <v>3458.95</v>
      </c>
      <c r="G1583">
        <v>3560</v>
      </c>
      <c r="H1583" s="116"/>
      <c r="I1583" s="116"/>
      <c r="L1583" s="170">
        <v>44963</v>
      </c>
      <c r="M1583" s="116">
        <v>3459.4</v>
      </c>
      <c r="N1583" s="116">
        <v>3488.35</v>
      </c>
      <c r="O1583" s="116">
        <v>3406.05</v>
      </c>
      <c r="P1583" s="116">
        <v>3435</v>
      </c>
      <c r="Q1583" s="116">
        <v>3459.4</v>
      </c>
      <c r="R1583">
        <v>141920</v>
      </c>
    </row>
    <row r="1584" spans="1:18" x14ac:dyDescent="0.25">
      <c r="A1584" s="170">
        <v>44964</v>
      </c>
      <c r="B1584" s="116">
        <v>3480</v>
      </c>
      <c r="C1584" s="116">
        <v>3449.6</v>
      </c>
      <c r="D1584" s="116">
        <v>3413.05</v>
      </c>
      <c r="E1584" s="116">
        <v>3413.05</v>
      </c>
      <c r="F1584" s="116">
        <v>3449.6</v>
      </c>
      <c r="G1584">
        <v>8262</v>
      </c>
      <c r="H1584" s="116"/>
      <c r="I1584" s="116"/>
      <c r="L1584" s="170">
        <v>44964</v>
      </c>
      <c r="M1584" s="116">
        <v>3446.4</v>
      </c>
      <c r="N1584" s="116">
        <v>3482.95</v>
      </c>
      <c r="O1584" s="116">
        <v>3425.1</v>
      </c>
      <c r="P1584" s="116">
        <v>3467</v>
      </c>
      <c r="Q1584" s="116">
        <v>3446.4</v>
      </c>
      <c r="R1584">
        <v>111080</v>
      </c>
    </row>
    <row r="1585" spans="1:18" x14ac:dyDescent="0.25">
      <c r="A1585" s="170">
        <v>44965</v>
      </c>
      <c r="B1585" s="116">
        <v>3637.45</v>
      </c>
      <c r="C1585" s="116">
        <v>3578</v>
      </c>
      <c r="D1585" s="116">
        <v>3468.05</v>
      </c>
      <c r="E1585" s="116">
        <v>3477.95</v>
      </c>
      <c r="F1585" s="116">
        <v>3578</v>
      </c>
      <c r="G1585">
        <v>23049</v>
      </c>
      <c r="H1585" s="116"/>
      <c r="I1585" s="116"/>
      <c r="L1585" s="170">
        <v>44965</v>
      </c>
      <c r="M1585" s="116">
        <v>3543.9</v>
      </c>
      <c r="N1585" s="116">
        <v>3555</v>
      </c>
      <c r="O1585" s="116">
        <v>3465.05</v>
      </c>
      <c r="P1585" s="116">
        <v>3467</v>
      </c>
      <c r="Q1585" s="116">
        <v>3543.9</v>
      </c>
      <c r="R1585">
        <v>305514</v>
      </c>
    </row>
    <row r="1586" spans="1:18" x14ac:dyDescent="0.25">
      <c r="A1586" s="170">
        <v>44966</v>
      </c>
      <c r="B1586" s="116">
        <v>3631.95</v>
      </c>
      <c r="C1586" s="116">
        <v>3625.15</v>
      </c>
      <c r="D1586" s="116">
        <v>3531.85</v>
      </c>
      <c r="E1586" s="116">
        <v>3578</v>
      </c>
      <c r="F1586" s="116">
        <v>3625.15</v>
      </c>
      <c r="G1586">
        <v>20089</v>
      </c>
      <c r="H1586" s="116"/>
      <c r="I1586" s="116"/>
      <c r="L1586" s="170">
        <v>44966</v>
      </c>
      <c r="M1586" s="116">
        <v>3622.05</v>
      </c>
      <c r="N1586" s="116">
        <v>3632</v>
      </c>
      <c r="O1586" s="116">
        <v>3531</v>
      </c>
      <c r="P1586" s="116">
        <v>3555</v>
      </c>
      <c r="Q1586" s="116">
        <v>3622.05</v>
      </c>
      <c r="R1586">
        <v>249654</v>
      </c>
    </row>
    <row r="1587" spans="1:18" x14ac:dyDescent="0.25">
      <c r="A1587" s="170">
        <v>44967</v>
      </c>
      <c r="B1587" s="116">
        <v>3630.05</v>
      </c>
      <c r="C1587" s="116">
        <v>3612.15</v>
      </c>
      <c r="D1587" s="116">
        <v>3579</v>
      </c>
      <c r="E1587" s="116">
        <v>3593.75</v>
      </c>
      <c r="F1587" s="116">
        <v>3612.15</v>
      </c>
      <c r="G1587">
        <v>8282</v>
      </c>
      <c r="H1587" s="116"/>
      <c r="I1587" s="116"/>
      <c r="L1587" s="170">
        <v>44967</v>
      </c>
      <c r="M1587" s="116">
        <v>3612.15</v>
      </c>
      <c r="N1587" s="116">
        <v>3636.95</v>
      </c>
      <c r="O1587" s="116">
        <v>3580.5</v>
      </c>
      <c r="P1587" s="116">
        <v>3617</v>
      </c>
      <c r="Q1587" s="116">
        <v>3612.15</v>
      </c>
      <c r="R1587">
        <v>75273</v>
      </c>
    </row>
    <row r="1588" spans="1:18" x14ac:dyDescent="0.25">
      <c r="A1588" s="170">
        <v>44970</v>
      </c>
      <c r="B1588" s="116">
        <v>3612.2</v>
      </c>
      <c r="C1588" s="116">
        <v>3581.05</v>
      </c>
      <c r="D1588" s="116">
        <v>3544.8</v>
      </c>
      <c r="E1588" s="116">
        <v>3612.2</v>
      </c>
      <c r="F1588" s="116">
        <v>3581.05</v>
      </c>
      <c r="G1588">
        <v>8523</v>
      </c>
      <c r="H1588" s="116"/>
      <c r="I1588" s="116"/>
      <c r="L1588" s="170">
        <v>44970</v>
      </c>
      <c r="M1588" s="116">
        <v>3581.85</v>
      </c>
      <c r="N1588" s="116">
        <v>3619.95</v>
      </c>
      <c r="O1588" s="116">
        <v>3547</v>
      </c>
      <c r="P1588" s="116">
        <v>3603.9</v>
      </c>
      <c r="Q1588" s="116">
        <v>3581.85</v>
      </c>
      <c r="R1588">
        <v>122987</v>
      </c>
    </row>
    <row r="1589" spans="1:18" x14ac:dyDescent="0.25">
      <c r="A1589" s="170">
        <v>44971</v>
      </c>
      <c r="B1589" s="116">
        <v>3685</v>
      </c>
      <c r="C1589" s="116">
        <v>3605.25</v>
      </c>
      <c r="D1589" s="116">
        <v>3591.1</v>
      </c>
      <c r="E1589" s="116">
        <v>3599.9</v>
      </c>
      <c r="F1589" s="116">
        <v>3605.25</v>
      </c>
      <c r="G1589">
        <v>8373</v>
      </c>
      <c r="H1589" s="116"/>
      <c r="I1589" s="116"/>
      <c r="L1589" s="170">
        <v>44971</v>
      </c>
      <c r="M1589" s="116">
        <v>3606.5</v>
      </c>
      <c r="N1589" s="116">
        <v>3686.45</v>
      </c>
      <c r="O1589" s="116">
        <v>3580.7</v>
      </c>
      <c r="P1589" s="116">
        <v>3591.05</v>
      </c>
      <c r="Q1589" s="116">
        <v>3606.5</v>
      </c>
      <c r="R1589">
        <v>272339</v>
      </c>
    </row>
    <row r="1590" spans="1:18" x14ac:dyDescent="0.25">
      <c r="A1590" s="170">
        <v>44972</v>
      </c>
      <c r="B1590" s="116">
        <v>3638</v>
      </c>
      <c r="C1590" s="116">
        <v>3619.9</v>
      </c>
      <c r="D1590" s="116">
        <v>3575.05</v>
      </c>
      <c r="E1590" s="116">
        <v>3600.1</v>
      </c>
      <c r="F1590" s="116">
        <v>3619.9</v>
      </c>
      <c r="G1590">
        <v>3770</v>
      </c>
      <c r="H1590" s="116"/>
      <c r="I1590" s="116"/>
      <c r="L1590" s="170">
        <v>44972</v>
      </c>
      <c r="M1590" s="116">
        <v>3621.5</v>
      </c>
      <c r="N1590" s="116">
        <v>3641</v>
      </c>
      <c r="O1590" s="116">
        <v>3576</v>
      </c>
      <c r="P1590" s="116">
        <v>3605</v>
      </c>
      <c r="Q1590" s="116">
        <v>3621.5</v>
      </c>
      <c r="R1590">
        <v>89925</v>
      </c>
    </row>
    <row r="1591" spans="1:18" x14ac:dyDescent="0.25">
      <c r="A1591" s="170">
        <v>44973</v>
      </c>
      <c r="B1591" s="116">
        <v>3791</v>
      </c>
      <c r="C1591" s="116">
        <v>3760.25</v>
      </c>
      <c r="D1591" s="116">
        <v>3603.05</v>
      </c>
      <c r="E1591" s="116">
        <v>3603.05</v>
      </c>
      <c r="F1591" s="116">
        <v>3760.25</v>
      </c>
      <c r="G1591">
        <v>14332</v>
      </c>
      <c r="H1591" s="116"/>
      <c r="I1591" s="116"/>
      <c r="L1591" s="170">
        <v>44973</v>
      </c>
      <c r="M1591" s="116">
        <v>3757.2</v>
      </c>
      <c r="N1591" s="116">
        <v>3792.4</v>
      </c>
      <c r="O1591" s="116">
        <v>3628</v>
      </c>
      <c r="P1591" s="116">
        <v>3640</v>
      </c>
      <c r="Q1591" s="116">
        <v>3757.2</v>
      </c>
      <c r="R1591">
        <v>397979</v>
      </c>
    </row>
    <row r="1592" spans="1:18" x14ac:dyDescent="0.25">
      <c r="A1592" s="170">
        <v>44974</v>
      </c>
      <c r="B1592" s="116">
        <v>3740.8</v>
      </c>
      <c r="C1592" s="116">
        <v>3693.1</v>
      </c>
      <c r="D1592" s="116">
        <v>3654.15</v>
      </c>
      <c r="E1592" s="116">
        <v>3657.1</v>
      </c>
      <c r="F1592" s="116">
        <v>3693.1</v>
      </c>
      <c r="G1592">
        <v>11019</v>
      </c>
      <c r="H1592" s="116"/>
      <c r="I1592" s="116"/>
      <c r="L1592" s="170">
        <v>44974</v>
      </c>
      <c r="M1592" s="116">
        <v>3694.2</v>
      </c>
      <c r="N1592" s="116">
        <v>3740.95</v>
      </c>
      <c r="O1592" s="116">
        <v>3653.35</v>
      </c>
      <c r="P1592" s="116">
        <v>3700</v>
      </c>
      <c r="Q1592" s="116">
        <v>3694.2</v>
      </c>
      <c r="R1592">
        <v>282038</v>
      </c>
    </row>
    <row r="1593" spans="1:18" x14ac:dyDescent="0.25">
      <c r="A1593" s="170">
        <v>44977</v>
      </c>
      <c r="B1593" s="116">
        <v>3790</v>
      </c>
      <c r="C1593" s="116">
        <v>3748.05</v>
      </c>
      <c r="D1593" s="116">
        <v>3682.05</v>
      </c>
      <c r="E1593" s="116">
        <v>3693.15</v>
      </c>
      <c r="F1593" s="116">
        <v>3748.05</v>
      </c>
      <c r="G1593">
        <v>8107</v>
      </c>
      <c r="H1593" s="116"/>
      <c r="I1593" s="116"/>
      <c r="L1593" s="170">
        <v>44977</v>
      </c>
      <c r="M1593" s="116">
        <v>3746.6</v>
      </c>
      <c r="N1593" s="116">
        <v>3790</v>
      </c>
      <c r="O1593" s="116">
        <v>3683.2</v>
      </c>
      <c r="P1593" s="116">
        <v>3705.95</v>
      </c>
      <c r="Q1593" s="116">
        <v>3746.6</v>
      </c>
      <c r="R1593">
        <v>248746</v>
      </c>
    </row>
    <row r="1594" spans="1:18" x14ac:dyDescent="0.25">
      <c r="A1594" s="170">
        <v>44978</v>
      </c>
      <c r="B1594" s="116">
        <v>3808.6</v>
      </c>
      <c r="C1594" s="116">
        <v>3754.85</v>
      </c>
      <c r="D1594" s="116">
        <v>3725.35</v>
      </c>
      <c r="E1594" s="116">
        <v>3752.05</v>
      </c>
      <c r="F1594" s="116">
        <v>3754.85</v>
      </c>
      <c r="G1594">
        <v>13321</v>
      </c>
      <c r="H1594" s="116"/>
      <c r="I1594" s="116"/>
      <c r="L1594" s="170">
        <v>44978</v>
      </c>
      <c r="M1594" s="116">
        <v>3754.1</v>
      </c>
      <c r="N1594" s="116">
        <v>3808.95</v>
      </c>
      <c r="O1594" s="116">
        <v>3724.7</v>
      </c>
      <c r="P1594" s="116">
        <v>3765.35</v>
      </c>
      <c r="Q1594" s="116">
        <v>3754.1</v>
      </c>
      <c r="R1594">
        <v>194418</v>
      </c>
    </row>
    <row r="1595" spans="1:18" x14ac:dyDescent="0.25">
      <c r="A1595" s="170">
        <v>44979</v>
      </c>
      <c r="B1595" s="116">
        <v>3725.7</v>
      </c>
      <c r="C1595" s="116">
        <v>3711.4</v>
      </c>
      <c r="D1595" s="116">
        <v>3651.5</v>
      </c>
      <c r="E1595" s="116">
        <v>3720</v>
      </c>
      <c r="F1595" s="116">
        <v>3711.4</v>
      </c>
      <c r="G1595">
        <v>15859</v>
      </c>
      <c r="H1595" s="116"/>
      <c r="I1595" s="116"/>
      <c r="L1595" s="170">
        <v>44979</v>
      </c>
      <c r="M1595" s="116">
        <v>3711.65</v>
      </c>
      <c r="N1595" s="116">
        <v>3729</v>
      </c>
      <c r="O1595" s="116">
        <v>3662.25</v>
      </c>
      <c r="P1595" s="116">
        <v>3700</v>
      </c>
      <c r="Q1595" s="116">
        <v>3711.65</v>
      </c>
      <c r="R1595">
        <v>244713</v>
      </c>
    </row>
    <row r="1596" spans="1:18" x14ac:dyDescent="0.25">
      <c r="A1596" s="170">
        <v>44980</v>
      </c>
      <c r="B1596" s="116">
        <v>3725.8</v>
      </c>
      <c r="C1596" s="116">
        <v>3706.85</v>
      </c>
      <c r="D1596" s="116">
        <v>3655</v>
      </c>
      <c r="E1596" s="116">
        <v>3711</v>
      </c>
      <c r="F1596" s="116">
        <v>3706.85</v>
      </c>
      <c r="G1596">
        <v>5875</v>
      </c>
      <c r="H1596" s="116"/>
      <c r="I1596" s="116"/>
      <c r="L1596" s="170">
        <v>44980</v>
      </c>
      <c r="M1596" s="116">
        <v>3706.5</v>
      </c>
      <c r="N1596" s="116">
        <v>3731.65</v>
      </c>
      <c r="O1596" s="116">
        <v>3654</v>
      </c>
      <c r="P1596" s="116">
        <v>3724.95</v>
      </c>
      <c r="Q1596" s="116">
        <v>3706.5</v>
      </c>
      <c r="R1596">
        <v>208388</v>
      </c>
    </row>
    <row r="1597" spans="1:18" x14ac:dyDescent="0.25">
      <c r="A1597" s="170">
        <v>44981</v>
      </c>
      <c r="B1597" s="116">
        <v>3788.4</v>
      </c>
      <c r="C1597" s="116">
        <v>3706.2</v>
      </c>
      <c r="D1597" s="116">
        <v>3695.55</v>
      </c>
      <c r="E1597" s="116">
        <v>3749.95</v>
      </c>
      <c r="F1597" s="116">
        <v>3706.2</v>
      </c>
      <c r="G1597">
        <v>9796</v>
      </c>
      <c r="H1597" s="116"/>
      <c r="I1597" s="116"/>
      <c r="L1597" s="170">
        <v>44981</v>
      </c>
      <c r="M1597" s="116">
        <v>3708.3</v>
      </c>
      <c r="N1597" s="116">
        <v>3788</v>
      </c>
      <c r="O1597" s="116">
        <v>3695.15</v>
      </c>
      <c r="P1597" s="116">
        <v>3736.65</v>
      </c>
      <c r="Q1597" s="116">
        <v>3708.3</v>
      </c>
      <c r="R1597">
        <v>117247</v>
      </c>
    </row>
    <row r="1598" spans="1:18" x14ac:dyDescent="0.25">
      <c r="A1598" s="170">
        <v>44984</v>
      </c>
      <c r="B1598" s="116">
        <v>3684.5</v>
      </c>
      <c r="C1598" s="116">
        <v>3651.4</v>
      </c>
      <c r="D1598" s="116">
        <v>3569.65</v>
      </c>
      <c r="E1598" s="116">
        <v>3683.05</v>
      </c>
      <c r="F1598" s="116">
        <v>3651.4</v>
      </c>
      <c r="G1598">
        <v>5931</v>
      </c>
      <c r="H1598" s="116"/>
      <c r="I1598" s="116"/>
      <c r="L1598" s="170">
        <v>44984</v>
      </c>
      <c r="M1598" s="116">
        <v>3653</v>
      </c>
      <c r="N1598" s="116">
        <v>3690</v>
      </c>
      <c r="O1598" s="116">
        <v>3568.1</v>
      </c>
      <c r="P1598" s="116">
        <v>3690</v>
      </c>
      <c r="Q1598" s="116">
        <v>3653</v>
      </c>
      <c r="R1598">
        <v>177464</v>
      </c>
    </row>
    <row r="1599" spans="1:18" x14ac:dyDescent="0.25">
      <c r="A1599" s="170">
        <v>44985</v>
      </c>
      <c r="B1599" s="116">
        <v>3701.7</v>
      </c>
      <c r="C1599" s="116">
        <v>3686.95</v>
      </c>
      <c r="D1599" s="116">
        <v>3634.85</v>
      </c>
      <c r="E1599" s="116">
        <v>3635.05</v>
      </c>
      <c r="F1599" s="116">
        <v>3686.95</v>
      </c>
      <c r="G1599">
        <v>9268</v>
      </c>
      <c r="H1599" s="116"/>
      <c r="I1599" s="116"/>
      <c r="L1599" s="170">
        <v>44985</v>
      </c>
      <c r="M1599" s="116">
        <v>3684.75</v>
      </c>
      <c r="N1599" s="116">
        <v>3703</v>
      </c>
      <c r="O1599" s="116">
        <v>3631.9</v>
      </c>
      <c r="P1599" s="116">
        <v>3675</v>
      </c>
      <c r="Q1599" s="116">
        <v>3684.75</v>
      </c>
      <c r="R1599">
        <v>196705</v>
      </c>
    </row>
    <row r="1600" spans="1:18" x14ac:dyDescent="0.25">
      <c r="A1600" s="170">
        <v>44986</v>
      </c>
      <c r="B1600" s="116">
        <v>3760.65</v>
      </c>
      <c r="C1600" s="116">
        <v>3750.7</v>
      </c>
      <c r="D1600" s="116">
        <v>3680.05</v>
      </c>
      <c r="E1600" s="116">
        <v>3680.05</v>
      </c>
      <c r="F1600" s="116">
        <v>3750.7</v>
      </c>
      <c r="G1600">
        <v>7684</v>
      </c>
      <c r="H1600" s="116"/>
      <c r="I1600" s="116"/>
      <c r="L1600" s="170">
        <v>44986</v>
      </c>
      <c r="M1600" s="116">
        <v>3748.65</v>
      </c>
      <c r="N1600" s="116">
        <v>3759.95</v>
      </c>
      <c r="O1600" s="116">
        <v>3685.5</v>
      </c>
      <c r="P1600" s="116">
        <v>3703.2</v>
      </c>
      <c r="Q1600" s="116">
        <v>3748.65</v>
      </c>
      <c r="R1600">
        <v>127630</v>
      </c>
    </row>
    <row r="1601" spans="1:18" x14ac:dyDescent="0.25">
      <c r="A1601" s="170">
        <v>44987</v>
      </c>
      <c r="B1601" s="116">
        <v>3714.8</v>
      </c>
      <c r="C1601" s="116">
        <v>3702.5</v>
      </c>
      <c r="D1601" s="116">
        <v>3661</v>
      </c>
      <c r="E1601" s="116">
        <v>3701.2</v>
      </c>
      <c r="F1601" s="116">
        <v>3702.5</v>
      </c>
      <c r="G1601">
        <v>9336</v>
      </c>
      <c r="H1601" s="116"/>
      <c r="I1601" s="116"/>
      <c r="L1601" s="170">
        <v>44987</v>
      </c>
      <c r="M1601" s="116">
        <v>3698.4</v>
      </c>
      <c r="N1601" s="116">
        <v>3720</v>
      </c>
      <c r="O1601" s="116">
        <v>3662</v>
      </c>
      <c r="P1601" s="116">
        <v>3701</v>
      </c>
      <c r="Q1601" s="116">
        <v>3698.4</v>
      </c>
      <c r="R1601">
        <v>261102</v>
      </c>
    </row>
    <row r="1602" spans="1:18" x14ac:dyDescent="0.25">
      <c r="A1602" s="170">
        <v>44988</v>
      </c>
      <c r="B1602" s="116">
        <v>3759</v>
      </c>
      <c r="C1602" s="116">
        <v>3752.1</v>
      </c>
      <c r="D1602" s="116">
        <v>3697.4</v>
      </c>
      <c r="E1602" s="116">
        <v>3719</v>
      </c>
      <c r="F1602" s="116">
        <v>3752.1</v>
      </c>
      <c r="G1602">
        <v>15687</v>
      </c>
      <c r="H1602" s="116"/>
      <c r="I1602" s="116"/>
      <c r="L1602" s="170">
        <v>44988</v>
      </c>
      <c r="M1602" s="116">
        <v>3754.65</v>
      </c>
      <c r="N1602" s="116">
        <v>3760</v>
      </c>
      <c r="O1602" s="116">
        <v>3698.15</v>
      </c>
      <c r="P1602" s="116">
        <v>3735.65</v>
      </c>
      <c r="Q1602" s="116">
        <v>3754.65</v>
      </c>
      <c r="R1602">
        <v>190196</v>
      </c>
    </row>
    <row r="1603" spans="1:18" x14ac:dyDescent="0.25">
      <c r="A1603" s="170">
        <v>44991</v>
      </c>
      <c r="B1603" s="116">
        <v>3840</v>
      </c>
      <c r="C1603" s="116">
        <v>3711.45</v>
      </c>
      <c r="D1603" s="116">
        <v>3695.5</v>
      </c>
      <c r="E1603" s="116">
        <v>3780.2</v>
      </c>
      <c r="F1603" s="116">
        <v>3711.45</v>
      </c>
      <c r="G1603">
        <v>9636</v>
      </c>
      <c r="H1603" s="116"/>
      <c r="I1603" s="116"/>
      <c r="L1603" s="170">
        <v>44991</v>
      </c>
      <c r="M1603" s="116">
        <v>3713.25</v>
      </c>
      <c r="N1603" s="116">
        <v>3840</v>
      </c>
      <c r="O1603" s="116">
        <v>3700</v>
      </c>
      <c r="P1603" s="116">
        <v>3805.95</v>
      </c>
      <c r="Q1603" s="116">
        <v>3713.25</v>
      </c>
      <c r="R1603">
        <v>265715</v>
      </c>
    </row>
    <row r="1604" spans="1:18" x14ac:dyDescent="0.25">
      <c r="A1604" s="170">
        <v>44993</v>
      </c>
      <c r="B1604" s="116">
        <v>3698.95</v>
      </c>
      <c r="C1604" s="116">
        <v>3676.4</v>
      </c>
      <c r="D1604" s="116">
        <v>3644.95</v>
      </c>
      <c r="E1604" s="116">
        <v>3698.95</v>
      </c>
      <c r="F1604" s="116">
        <v>3676.4</v>
      </c>
      <c r="G1604">
        <v>5072</v>
      </c>
      <c r="H1604" s="116"/>
      <c r="I1604" s="116"/>
      <c r="L1604" s="170">
        <v>44993</v>
      </c>
      <c r="M1604" s="116">
        <v>3675.35</v>
      </c>
      <c r="N1604" s="116">
        <v>3698.7</v>
      </c>
      <c r="O1604" s="116">
        <v>3640.75</v>
      </c>
      <c r="P1604" s="116">
        <v>3684.75</v>
      </c>
      <c r="Q1604" s="116">
        <v>3675.35</v>
      </c>
      <c r="R1604">
        <v>157987</v>
      </c>
    </row>
    <row r="1605" spans="1:18" x14ac:dyDescent="0.25">
      <c r="A1605" s="170">
        <v>44994</v>
      </c>
      <c r="B1605" s="116">
        <v>3739</v>
      </c>
      <c r="C1605" s="116">
        <v>3714.75</v>
      </c>
      <c r="D1605" s="116">
        <v>3672.3</v>
      </c>
      <c r="E1605" s="116">
        <v>3689.95</v>
      </c>
      <c r="F1605" s="116">
        <v>3714.75</v>
      </c>
      <c r="G1605">
        <v>8559</v>
      </c>
      <c r="H1605" s="116"/>
      <c r="I1605" s="116"/>
      <c r="L1605" s="170">
        <v>44994</v>
      </c>
      <c r="M1605" s="116">
        <v>3712</v>
      </c>
      <c r="N1605" s="116">
        <v>3740.95</v>
      </c>
      <c r="O1605" s="116">
        <v>3672.05</v>
      </c>
      <c r="P1605" s="116">
        <v>3678</v>
      </c>
      <c r="Q1605" s="116">
        <v>3712</v>
      </c>
      <c r="R1605">
        <v>164780</v>
      </c>
    </row>
    <row r="1606" spans="1:18" x14ac:dyDescent="0.25">
      <c r="A1606" s="170">
        <v>44995</v>
      </c>
      <c r="B1606" s="116">
        <v>3674.45</v>
      </c>
      <c r="C1606" s="116">
        <v>3666</v>
      </c>
      <c r="D1606" s="116">
        <v>3611.35</v>
      </c>
      <c r="E1606" s="116">
        <v>3650.05</v>
      </c>
      <c r="F1606" s="116">
        <v>3666</v>
      </c>
      <c r="G1606">
        <v>7467</v>
      </c>
      <c r="H1606" s="116"/>
      <c r="I1606" s="116"/>
      <c r="L1606" s="170">
        <v>44995</v>
      </c>
      <c r="M1606" s="116">
        <v>3663.3</v>
      </c>
      <c r="N1606" s="116">
        <v>3674</v>
      </c>
      <c r="O1606" s="116">
        <v>3611.15</v>
      </c>
      <c r="P1606" s="116">
        <v>3666.7</v>
      </c>
      <c r="Q1606" s="116">
        <v>3663.3</v>
      </c>
      <c r="R1606">
        <v>138027</v>
      </c>
    </row>
    <row r="1607" spans="1:18" x14ac:dyDescent="0.25">
      <c r="A1607" s="170">
        <v>44998</v>
      </c>
      <c r="B1607" s="116">
        <v>3700.85</v>
      </c>
      <c r="C1607" s="116">
        <v>3648.15</v>
      </c>
      <c r="D1607" s="116">
        <v>3615</v>
      </c>
      <c r="E1607" s="116">
        <v>3624</v>
      </c>
      <c r="F1607" s="116">
        <v>3648.15</v>
      </c>
      <c r="G1607">
        <v>12536</v>
      </c>
      <c r="H1607" s="116"/>
      <c r="I1607" s="116"/>
      <c r="L1607" s="170">
        <v>44998</v>
      </c>
      <c r="M1607" s="116">
        <v>3648.75</v>
      </c>
      <c r="N1607" s="116">
        <v>3701</v>
      </c>
      <c r="O1607" s="116">
        <v>3606.3</v>
      </c>
      <c r="P1607" s="116">
        <v>3606.3</v>
      </c>
      <c r="Q1607" s="116">
        <v>3648.75</v>
      </c>
      <c r="R1607">
        <v>157253</v>
      </c>
    </row>
    <row r="1608" spans="1:18" x14ac:dyDescent="0.25">
      <c r="A1608" s="170">
        <v>44999</v>
      </c>
      <c r="B1608" s="116">
        <v>3669.2</v>
      </c>
      <c r="C1608" s="116">
        <v>3589.6</v>
      </c>
      <c r="D1608" s="116">
        <v>3535.05</v>
      </c>
      <c r="E1608" s="116">
        <v>3607.35</v>
      </c>
      <c r="F1608" s="116">
        <v>3589.6</v>
      </c>
      <c r="G1608">
        <v>9128</v>
      </c>
      <c r="H1608" s="116"/>
      <c r="I1608" s="116"/>
      <c r="L1608" s="170">
        <v>44999</v>
      </c>
      <c r="M1608" s="116">
        <v>3591.05</v>
      </c>
      <c r="N1608" s="116">
        <v>3669</v>
      </c>
      <c r="O1608" s="116">
        <v>3530</v>
      </c>
      <c r="P1608" s="116">
        <v>3659.75</v>
      </c>
      <c r="Q1608" s="116">
        <v>3591.05</v>
      </c>
      <c r="R1608">
        <v>205903</v>
      </c>
    </row>
    <row r="1609" spans="1:18" x14ac:dyDescent="0.25">
      <c r="A1609" s="170">
        <v>45000</v>
      </c>
      <c r="B1609" s="116">
        <v>3649.7</v>
      </c>
      <c r="C1609" s="116">
        <v>3538.55</v>
      </c>
      <c r="D1609" s="116">
        <v>3520</v>
      </c>
      <c r="E1609" s="116">
        <v>3625</v>
      </c>
      <c r="F1609" s="116">
        <v>3538.55</v>
      </c>
      <c r="G1609">
        <v>5431</v>
      </c>
      <c r="H1609" s="116"/>
      <c r="I1609" s="116"/>
      <c r="L1609" s="170">
        <v>45000</v>
      </c>
      <c r="M1609" s="116">
        <v>3536</v>
      </c>
      <c r="N1609" s="116">
        <v>3653.75</v>
      </c>
      <c r="O1609" s="116">
        <v>3516</v>
      </c>
      <c r="P1609" s="116">
        <v>3644.65</v>
      </c>
      <c r="Q1609" s="116">
        <v>3536</v>
      </c>
      <c r="R1609">
        <v>210431</v>
      </c>
    </row>
    <row r="1610" spans="1:18" x14ac:dyDescent="0.25">
      <c r="A1610" s="170">
        <v>45001</v>
      </c>
      <c r="B1610" s="116">
        <v>3521.35</v>
      </c>
      <c r="C1610" s="116">
        <v>3482.3</v>
      </c>
      <c r="D1610" s="116">
        <v>3452</v>
      </c>
      <c r="E1610" s="116">
        <v>3514.85</v>
      </c>
      <c r="F1610" s="116">
        <v>3482.3</v>
      </c>
      <c r="G1610">
        <v>11980</v>
      </c>
      <c r="H1610" s="116"/>
      <c r="I1610" s="116"/>
      <c r="L1610" s="170">
        <v>45001</v>
      </c>
      <c r="M1610" s="116">
        <v>3481.9</v>
      </c>
      <c r="N1610" s="116">
        <v>3524</v>
      </c>
      <c r="O1610" s="116">
        <v>3452.3</v>
      </c>
      <c r="P1610" s="116">
        <v>3502</v>
      </c>
      <c r="Q1610" s="116">
        <v>3481.9</v>
      </c>
      <c r="R1610">
        <v>178263</v>
      </c>
    </row>
    <row r="1611" spans="1:18" x14ac:dyDescent="0.25">
      <c r="A1611" s="170">
        <v>45002</v>
      </c>
      <c r="B1611" s="116">
        <v>3582.15</v>
      </c>
      <c r="C1611" s="116">
        <v>3571.95</v>
      </c>
      <c r="D1611" s="116">
        <v>3519.4</v>
      </c>
      <c r="E1611" s="116">
        <v>3521</v>
      </c>
      <c r="F1611" s="116">
        <v>3571.95</v>
      </c>
      <c r="G1611">
        <v>9715</v>
      </c>
      <c r="H1611" s="116"/>
      <c r="I1611" s="116"/>
      <c r="L1611" s="170">
        <v>45002</v>
      </c>
      <c r="M1611" s="116">
        <v>3570.1</v>
      </c>
      <c r="N1611" s="116">
        <v>3580.9</v>
      </c>
      <c r="O1611" s="116">
        <v>3515</v>
      </c>
      <c r="P1611" s="116">
        <v>3515</v>
      </c>
      <c r="Q1611" s="116">
        <v>3570.1</v>
      </c>
      <c r="R1611">
        <v>193847</v>
      </c>
    </row>
    <row r="1612" spans="1:18" x14ac:dyDescent="0.25">
      <c r="A1612" s="170">
        <v>45005</v>
      </c>
      <c r="B1612" s="116">
        <v>3557.55</v>
      </c>
      <c r="C1612" s="116">
        <v>3521.1</v>
      </c>
      <c r="D1612" s="116">
        <v>3494.65</v>
      </c>
      <c r="E1612" s="116">
        <v>3515</v>
      </c>
      <c r="F1612" s="116">
        <v>3521.1</v>
      </c>
      <c r="G1612">
        <v>7976</v>
      </c>
      <c r="H1612" s="116"/>
      <c r="I1612" s="116"/>
      <c r="L1612" s="170">
        <v>45005</v>
      </c>
      <c r="M1612" s="116">
        <v>3528.15</v>
      </c>
      <c r="N1612" s="116">
        <v>3559.95</v>
      </c>
      <c r="O1612" s="116">
        <v>3496</v>
      </c>
      <c r="P1612" s="116">
        <v>3525</v>
      </c>
      <c r="Q1612" s="116">
        <v>3528.15</v>
      </c>
      <c r="R1612">
        <v>255103</v>
      </c>
    </row>
    <row r="1613" spans="1:18" x14ac:dyDescent="0.25">
      <c r="A1613" s="170">
        <v>45006</v>
      </c>
      <c r="B1613" s="116">
        <v>3523.95</v>
      </c>
      <c r="C1613" s="116">
        <v>3425.65</v>
      </c>
      <c r="D1613" s="116">
        <v>3415</v>
      </c>
      <c r="E1613" s="116">
        <v>3512.05</v>
      </c>
      <c r="F1613" s="116">
        <v>3425.65</v>
      </c>
      <c r="G1613">
        <v>12118</v>
      </c>
      <c r="H1613" s="116"/>
      <c r="I1613" s="116"/>
      <c r="L1613" s="170">
        <v>45006</v>
      </c>
      <c r="M1613" s="116">
        <v>3426.9</v>
      </c>
      <c r="N1613" s="116">
        <v>3528.15</v>
      </c>
      <c r="O1613" s="116">
        <v>3412</v>
      </c>
      <c r="P1613" s="116">
        <v>3521</v>
      </c>
      <c r="Q1613" s="116">
        <v>3426.9</v>
      </c>
      <c r="R1613">
        <v>400505</v>
      </c>
    </row>
    <row r="1614" spans="1:18" x14ac:dyDescent="0.25">
      <c r="A1614" s="170">
        <v>45007</v>
      </c>
      <c r="B1614" s="116">
        <v>3482.85</v>
      </c>
      <c r="C1614" s="116">
        <v>3409.5</v>
      </c>
      <c r="D1614" s="116">
        <v>3403</v>
      </c>
      <c r="E1614" s="116">
        <v>3479.95</v>
      </c>
      <c r="F1614" s="116">
        <v>3409.5</v>
      </c>
      <c r="G1614">
        <v>8189</v>
      </c>
      <c r="H1614" s="116"/>
      <c r="I1614" s="116"/>
      <c r="L1614" s="170">
        <v>45007</v>
      </c>
      <c r="M1614" s="116">
        <v>3411.6</v>
      </c>
      <c r="N1614" s="116">
        <v>3485</v>
      </c>
      <c r="O1614" s="116">
        <v>3405</v>
      </c>
      <c r="P1614" s="116">
        <v>3454</v>
      </c>
      <c r="Q1614" s="116">
        <v>3411.6</v>
      </c>
      <c r="R1614">
        <v>249884</v>
      </c>
    </row>
    <row r="1615" spans="1:18" x14ac:dyDescent="0.25">
      <c r="A1615" s="170">
        <v>45008</v>
      </c>
      <c r="B1615" s="116">
        <v>3405.05</v>
      </c>
      <c r="C1615" s="116">
        <v>3361.25</v>
      </c>
      <c r="D1615" s="116">
        <v>3337</v>
      </c>
      <c r="E1615" s="116">
        <v>3405</v>
      </c>
      <c r="F1615" s="116">
        <v>3361.25</v>
      </c>
      <c r="G1615">
        <v>5248</v>
      </c>
      <c r="H1615" s="116"/>
      <c r="I1615" s="116"/>
      <c r="L1615" s="170">
        <v>45008</v>
      </c>
      <c r="M1615" s="116">
        <v>3360.9</v>
      </c>
      <c r="N1615" s="116">
        <v>3412</v>
      </c>
      <c r="O1615" s="116">
        <v>3336</v>
      </c>
      <c r="P1615" s="116">
        <v>3400</v>
      </c>
      <c r="Q1615" s="116">
        <v>3360.9</v>
      </c>
      <c r="R1615">
        <v>243394</v>
      </c>
    </row>
    <row r="1616" spans="1:18" x14ac:dyDescent="0.25">
      <c r="A1616" s="170">
        <v>45009</v>
      </c>
      <c r="B1616" s="116">
        <v>3401.55</v>
      </c>
      <c r="C1616" s="116">
        <v>3384.7</v>
      </c>
      <c r="D1616" s="116">
        <v>3340</v>
      </c>
      <c r="E1616" s="116">
        <v>3369.95</v>
      </c>
      <c r="F1616" s="116">
        <v>3384.7</v>
      </c>
      <c r="G1616">
        <v>12296</v>
      </c>
      <c r="H1616" s="116"/>
      <c r="I1616" s="116"/>
      <c r="L1616" s="170">
        <v>45009</v>
      </c>
      <c r="M1616" s="116">
        <v>3385.5</v>
      </c>
      <c r="N1616" s="116">
        <v>3402.9</v>
      </c>
      <c r="O1616" s="116">
        <v>3336.6</v>
      </c>
      <c r="P1616" s="116">
        <v>3373.4</v>
      </c>
      <c r="Q1616" s="116">
        <v>3385.5</v>
      </c>
      <c r="R1616">
        <v>244816</v>
      </c>
    </row>
    <row r="1617" spans="1:18" x14ac:dyDescent="0.25">
      <c r="A1617" s="170">
        <v>45012</v>
      </c>
      <c r="B1617" s="116">
        <v>3418.9</v>
      </c>
      <c r="C1617" s="116">
        <v>3377.25</v>
      </c>
      <c r="D1617" s="116">
        <v>3345.45</v>
      </c>
      <c r="E1617" s="116">
        <v>3384</v>
      </c>
      <c r="F1617" s="116">
        <v>3377.25</v>
      </c>
      <c r="G1617">
        <v>7409</v>
      </c>
      <c r="H1617" s="116"/>
      <c r="I1617" s="116"/>
      <c r="L1617" s="170">
        <v>45012</v>
      </c>
      <c r="M1617" s="116">
        <v>3376.05</v>
      </c>
      <c r="N1617" s="116">
        <v>3425</v>
      </c>
      <c r="O1617" s="116">
        <v>3344.65</v>
      </c>
      <c r="P1617" s="116">
        <v>3400</v>
      </c>
      <c r="Q1617" s="116">
        <v>3376.05</v>
      </c>
      <c r="R1617">
        <v>271054</v>
      </c>
    </row>
    <row r="1618" spans="1:18" x14ac:dyDescent="0.25">
      <c r="A1618" s="170">
        <v>45013</v>
      </c>
      <c r="B1618" s="116">
        <v>3385</v>
      </c>
      <c r="C1618" s="116">
        <v>3310.9</v>
      </c>
      <c r="D1618" s="116">
        <v>3298.8</v>
      </c>
      <c r="E1618" s="116">
        <v>3365</v>
      </c>
      <c r="F1618" s="116">
        <v>3310.9</v>
      </c>
      <c r="G1618">
        <v>15598</v>
      </c>
      <c r="H1618" s="116"/>
      <c r="I1618" s="116"/>
      <c r="L1618" s="170">
        <v>45013</v>
      </c>
      <c r="M1618" s="116">
        <v>3309.95</v>
      </c>
      <c r="N1618" s="116">
        <v>3389.95</v>
      </c>
      <c r="O1618" s="116">
        <v>3302</v>
      </c>
      <c r="P1618" s="116">
        <v>3376</v>
      </c>
      <c r="Q1618" s="116">
        <v>3309.95</v>
      </c>
      <c r="R1618">
        <v>249233</v>
      </c>
    </row>
    <row r="1619" spans="1:18" x14ac:dyDescent="0.25">
      <c r="A1619" s="170">
        <v>45014</v>
      </c>
      <c r="B1619" s="116">
        <v>3393.75</v>
      </c>
      <c r="C1619" s="116">
        <v>3363.55</v>
      </c>
      <c r="D1619" s="116">
        <v>3281.05</v>
      </c>
      <c r="E1619" s="116">
        <v>3281.05</v>
      </c>
      <c r="F1619" s="116">
        <v>3363.55</v>
      </c>
      <c r="G1619">
        <v>14503</v>
      </c>
      <c r="H1619" s="116"/>
      <c r="I1619" s="116"/>
      <c r="L1619" s="170">
        <v>45014</v>
      </c>
      <c r="M1619" s="116">
        <v>3357.3</v>
      </c>
      <c r="N1619" s="116">
        <v>3394</v>
      </c>
      <c r="O1619" s="116">
        <v>3297.05</v>
      </c>
      <c r="P1619" s="116">
        <v>3300</v>
      </c>
      <c r="Q1619" s="116">
        <v>3357.3</v>
      </c>
      <c r="R1619">
        <v>300649</v>
      </c>
    </row>
    <row r="1620" spans="1:18" x14ac:dyDescent="0.25">
      <c r="A1620" s="170">
        <v>45016</v>
      </c>
      <c r="B1620" s="116">
        <v>3401.3</v>
      </c>
      <c r="C1620" s="116">
        <v>3376.5</v>
      </c>
      <c r="D1620" s="116">
        <v>3342.45</v>
      </c>
      <c r="E1620" s="116">
        <v>3370.05</v>
      </c>
      <c r="F1620" s="116">
        <v>3376.5</v>
      </c>
      <c r="G1620">
        <v>13723</v>
      </c>
      <c r="H1620" s="116"/>
      <c r="I1620" s="116"/>
      <c r="L1620" s="170">
        <v>45016</v>
      </c>
      <c r="M1620" s="116">
        <v>3378.55</v>
      </c>
      <c r="N1620" s="116">
        <v>3399.55</v>
      </c>
      <c r="O1620" s="116">
        <v>3342.65</v>
      </c>
      <c r="P1620" s="116">
        <v>3380</v>
      </c>
      <c r="Q1620" s="116">
        <v>3378.55</v>
      </c>
      <c r="R1620">
        <v>220687</v>
      </c>
    </row>
    <row r="1621" spans="1:18" x14ac:dyDescent="0.25">
      <c r="A1621" s="170">
        <v>45019</v>
      </c>
      <c r="B1621" s="116">
        <v>3443.9</v>
      </c>
      <c r="C1621" s="116">
        <v>3435.05</v>
      </c>
      <c r="D1621" s="116">
        <v>3371</v>
      </c>
      <c r="E1621" s="116">
        <v>3401</v>
      </c>
      <c r="F1621" s="116">
        <v>3435.05</v>
      </c>
      <c r="G1621">
        <v>4986</v>
      </c>
      <c r="H1621" s="116"/>
      <c r="I1621" s="116"/>
      <c r="L1621" s="170">
        <v>45019</v>
      </c>
      <c r="M1621" s="116">
        <v>3435.25</v>
      </c>
      <c r="N1621" s="116">
        <v>3444</v>
      </c>
      <c r="O1621" s="116">
        <v>3370</v>
      </c>
      <c r="P1621" s="116">
        <v>3400</v>
      </c>
      <c r="Q1621" s="116">
        <v>3435.25</v>
      </c>
      <c r="R1621">
        <v>196787</v>
      </c>
    </row>
    <row r="1622" spans="1:18" x14ac:dyDescent="0.25">
      <c r="A1622" s="170">
        <v>45021</v>
      </c>
      <c r="B1622" s="116">
        <v>3708.9</v>
      </c>
      <c r="C1622" s="116">
        <v>3653.3</v>
      </c>
      <c r="D1622" s="116">
        <v>3416.45</v>
      </c>
      <c r="E1622" s="116">
        <v>3443.9</v>
      </c>
      <c r="F1622" s="116">
        <v>3653.3</v>
      </c>
      <c r="G1622">
        <v>23678</v>
      </c>
      <c r="H1622" s="116"/>
      <c r="I1622" s="116"/>
      <c r="L1622" s="170">
        <v>45021</v>
      </c>
      <c r="M1622" s="116">
        <v>3652.5</v>
      </c>
      <c r="N1622" s="116">
        <v>3692</v>
      </c>
      <c r="O1622" s="116">
        <v>3410.3</v>
      </c>
      <c r="P1622" s="116">
        <v>3430</v>
      </c>
      <c r="Q1622" s="116">
        <v>3652.5</v>
      </c>
      <c r="R1622">
        <v>933702</v>
      </c>
    </row>
    <row r="1623" spans="1:18" x14ac:dyDescent="0.25">
      <c r="A1623" s="170">
        <v>45022</v>
      </c>
      <c r="B1623" s="116">
        <v>3647.65</v>
      </c>
      <c r="C1623" s="116">
        <v>3598.95</v>
      </c>
      <c r="D1623" s="116">
        <v>3580</v>
      </c>
      <c r="E1623" s="116">
        <v>3629.95</v>
      </c>
      <c r="F1623" s="116">
        <v>3598.95</v>
      </c>
      <c r="G1623">
        <v>12022</v>
      </c>
      <c r="H1623" s="116"/>
      <c r="I1623" s="116"/>
      <c r="L1623" s="170">
        <v>45022</v>
      </c>
      <c r="M1623" s="116">
        <v>3597.3</v>
      </c>
      <c r="N1623" s="116">
        <v>3647</v>
      </c>
      <c r="O1623" s="116">
        <v>3581.05</v>
      </c>
      <c r="P1623" s="116">
        <v>3615</v>
      </c>
      <c r="Q1623" s="116">
        <v>3597.3</v>
      </c>
      <c r="R1623">
        <v>306172</v>
      </c>
    </row>
    <row r="1624" spans="1:18" x14ac:dyDescent="0.25">
      <c r="A1624" s="170">
        <v>45026</v>
      </c>
      <c r="B1624" s="116">
        <v>3639.95</v>
      </c>
      <c r="C1624" s="116">
        <v>3593.9</v>
      </c>
      <c r="D1624" s="116">
        <v>3583</v>
      </c>
      <c r="E1624" s="116">
        <v>3605.05</v>
      </c>
      <c r="F1624" s="116">
        <v>3593.9</v>
      </c>
      <c r="G1624">
        <v>10742</v>
      </c>
      <c r="H1624" s="116"/>
      <c r="I1624" s="116"/>
      <c r="L1624" s="170">
        <v>45026</v>
      </c>
      <c r="M1624" s="116">
        <v>3593.5</v>
      </c>
      <c r="N1624" s="116">
        <v>3639</v>
      </c>
      <c r="O1624" s="116">
        <v>3550</v>
      </c>
      <c r="P1624" s="116">
        <v>3617</v>
      </c>
      <c r="Q1624" s="116">
        <v>3593.5</v>
      </c>
      <c r="R1624">
        <v>202580</v>
      </c>
    </row>
    <row r="1625" spans="1:18" x14ac:dyDescent="0.25">
      <c r="A1625" s="170">
        <v>45027</v>
      </c>
      <c r="B1625" s="116">
        <v>3585</v>
      </c>
      <c r="C1625" s="116">
        <v>3543</v>
      </c>
      <c r="D1625" s="116">
        <v>3510</v>
      </c>
      <c r="E1625" s="116">
        <v>3570</v>
      </c>
      <c r="F1625" s="116">
        <v>3543</v>
      </c>
      <c r="G1625">
        <v>11597</v>
      </c>
      <c r="H1625" s="116"/>
      <c r="I1625" s="116"/>
      <c r="L1625" s="170">
        <v>45027</v>
      </c>
      <c r="M1625" s="116">
        <v>3543.1</v>
      </c>
      <c r="N1625" s="116">
        <v>3587.25</v>
      </c>
      <c r="O1625" s="116">
        <v>3511</v>
      </c>
      <c r="P1625" s="116">
        <v>3542</v>
      </c>
      <c r="Q1625" s="116">
        <v>3543.1</v>
      </c>
      <c r="R1625">
        <v>262776</v>
      </c>
    </row>
    <row r="1626" spans="1:18" x14ac:dyDescent="0.25">
      <c r="A1626" s="170">
        <v>45028</v>
      </c>
      <c r="B1626" s="116">
        <v>3582.15</v>
      </c>
      <c r="C1626" s="116">
        <v>3574.1</v>
      </c>
      <c r="D1626" s="116">
        <v>3493.9</v>
      </c>
      <c r="E1626" s="116">
        <v>3510</v>
      </c>
      <c r="F1626" s="116">
        <v>3574.1</v>
      </c>
      <c r="G1626">
        <v>5047</v>
      </c>
      <c r="H1626" s="116"/>
      <c r="I1626" s="116"/>
      <c r="L1626" s="170">
        <v>45028</v>
      </c>
      <c r="M1626" s="116">
        <v>3569.55</v>
      </c>
      <c r="N1626" s="116">
        <v>3582.65</v>
      </c>
      <c r="O1626" s="116">
        <v>3482</v>
      </c>
      <c r="P1626" s="116">
        <v>3499</v>
      </c>
      <c r="Q1626" s="116">
        <v>3569.55</v>
      </c>
      <c r="R1626">
        <v>189114</v>
      </c>
    </row>
    <row r="1627" spans="1:18" x14ac:dyDescent="0.25">
      <c r="A1627" s="170">
        <v>45029</v>
      </c>
      <c r="B1627" s="116">
        <v>3559</v>
      </c>
      <c r="C1627" s="116">
        <v>3529.8</v>
      </c>
      <c r="D1627" s="116">
        <v>3502</v>
      </c>
      <c r="E1627" s="116">
        <v>3535</v>
      </c>
      <c r="F1627" s="116">
        <v>3529.8</v>
      </c>
      <c r="G1627">
        <v>8665</v>
      </c>
      <c r="H1627" s="116"/>
      <c r="I1627" s="116"/>
      <c r="L1627" s="170">
        <v>45029</v>
      </c>
      <c r="M1627" s="116">
        <v>3529.85</v>
      </c>
      <c r="N1627" s="116">
        <v>3569.5</v>
      </c>
      <c r="O1627" s="116">
        <v>3501</v>
      </c>
      <c r="P1627" s="116">
        <v>3540</v>
      </c>
      <c r="Q1627" s="116">
        <v>3529.85</v>
      </c>
      <c r="R1627">
        <v>209394</v>
      </c>
    </row>
    <row r="1628" spans="1:18" x14ac:dyDescent="0.25">
      <c r="A1628" s="170">
        <v>45033</v>
      </c>
      <c r="B1628" s="116">
        <v>3455</v>
      </c>
      <c r="C1628" s="116">
        <v>3430.75</v>
      </c>
      <c r="D1628" s="116">
        <v>3308.25</v>
      </c>
      <c r="E1628" s="116">
        <v>3455</v>
      </c>
      <c r="F1628" s="116">
        <v>3430.75</v>
      </c>
      <c r="G1628">
        <v>16753</v>
      </c>
      <c r="H1628" s="116"/>
      <c r="I1628" s="116"/>
      <c r="L1628" s="170">
        <v>45033</v>
      </c>
      <c r="M1628" s="116">
        <v>3432.6</v>
      </c>
      <c r="N1628" s="116">
        <v>3442.95</v>
      </c>
      <c r="O1628" s="116">
        <v>3310</v>
      </c>
      <c r="P1628" s="116">
        <v>3395</v>
      </c>
      <c r="Q1628" s="116">
        <v>3432.6</v>
      </c>
      <c r="R1628">
        <v>479450</v>
      </c>
    </row>
    <row r="1629" spans="1:18" x14ac:dyDescent="0.25">
      <c r="A1629" s="170">
        <v>45034</v>
      </c>
      <c r="B1629" s="116">
        <v>3460</v>
      </c>
      <c r="C1629" s="116">
        <v>3452.9</v>
      </c>
      <c r="D1629" s="116">
        <v>3411</v>
      </c>
      <c r="E1629" s="116">
        <v>3440.05</v>
      </c>
      <c r="F1629" s="116">
        <v>3452.9</v>
      </c>
      <c r="G1629">
        <v>8548</v>
      </c>
      <c r="H1629" s="116"/>
      <c r="I1629" s="116"/>
      <c r="L1629" s="170">
        <v>45034</v>
      </c>
      <c r="M1629" s="116">
        <v>3450.35</v>
      </c>
      <c r="N1629" s="116">
        <v>3459</v>
      </c>
      <c r="O1629" s="116">
        <v>3406.3</v>
      </c>
      <c r="P1629" s="116">
        <v>3455.85</v>
      </c>
      <c r="Q1629" s="116">
        <v>3450.35</v>
      </c>
      <c r="R1629">
        <v>218698</v>
      </c>
    </row>
    <row r="1630" spans="1:18" x14ac:dyDescent="0.25">
      <c r="A1630" s="170">
        <v>45035</v>
      </c>
      <c r="B1630" s="116">
        <v>3458.05</v>
      </c>
      <c r="C1630" s="116">
        <v>3436.9</v>
      </c>
      <c r="D1630" s="116">
        <v>3411</v>
      </c>
      <c r="E1630" s="116">
        <v>3458.05</v>
      </c>
      <c r="F1630" s="116">
        <v>3436.9</v>
      </c>
      <c r="G1630">
        <v>8449</v>
      </c>
      <c r="H1630" s="116"/>
      <c r="I1630" s="116"/>
      <c r="L1630" s="170">
        <v>45035</v>
      </c>
      <c r="M1630" s="116">
        <v>3435.1</v>
      </c>
      <c r="N1630" s="116">
        <v>3464</v>
      </c>
      <c r="O1630" s="116">
        <v>3411.4</v>
      </c>
      <c r="P1630" s="116">
        <v>3464</v>
      </c>
      <c r="Q1630" s="116">
        <v>3435.1</v>
      </c>
      <c r="R1630">
        <v>363695</v>
      </c>
    </row>
    <row r="1631" spans="1:18" x14ac:dyDescent="0.25">
      <c r="A1631" s="170">
        <v>45036</v>
      </c>
      <c r="B1631" s="116">
        <v>3450.35</v>
      </c>
      <c r="C1631" s="116">
        <v>3362.45</v>
      </c>
      <c r="D1631" s="116">
        <v>3346</v>
      </c>
      <c r="E1631" s="116">
        <v>3432</v>
      </c>
      <c r="F1631" s="116">
        <v>3362.45</v>
      </c>
      <c r="G1631">
        <v>29491</v>
      </c>
      <c r="H1631" s="116"/>
      <c r="I1631" s="116"/>
      <c r="L1631" s="170">
        <v>45036</v>
      </c>
      <c r="M1631" s="116">
        <v>3359.6</v>
      </c>
      <c r="N1631" s="116">
        <v>3448.95</v>
      </c>
      <c r="O1631" s="116">
        <v>3344.4</v>
      </c>
      <c r="P1631" s="116">
        <v>3435.1</v>
      </c>
      <c r="Q1631" s="116">
        <v>3359.6</v>
      </c>
      <c r="R1631">
        <v>341979</v>
      </c>
    </row>
    <row r="1632" spans="1:18" x14ac:dyDescent="0.25">
      <c r="A1632" s="170">
        <v>45037</v>
      </c>
      <c r="B1632" s="116">
        <v>3399.55</v>
      </c>
      <c r="C1632" s="116">
        <v>3385.4</v>
      </c>
      <c r="D1632" s="116">
        <v>3312.9</v>
      </c>
      <c r="E1632" s="116">
        <v>3350.05</v>
      </c>
      <c r="F1632" s="116">
        <v>3385.4</v>
      </c>
      <c r="G1632">
        <v>9276</v>
      </c>
      <c r="H1632" s="116"/>
      <c r="I1632" s="116"/>
      <c r="L1632" s="170">
        <v>45037</v>
      </c>
      <c r="M1632" s="116">
        <v>3386.75</v>
      </c>
      <c r="N1632" s="116">
        <v>3411.05</v>
      </c>
      <c r="O1632" s="116">
        <v>3320.05</v>
      </c>
      <c r="P1632" s="116">
        <v>3369.95</v>
      </c>
      <c r="Q1632" s="116">
        <v>3386.75</v>
      </c>
      <c r="R1632">
        <v>161937</v>
      </c>
    </row>
    <row r="1633" spans="1:18" x14ac:dyDescent="0.25">
      <c r="A1633" s="170">
        <v>45040</v>
      </c>
      <c r="B1633" s="116">
        <v>3441.25</v>
      </c>
      <c r="C1633" s="116">
        <v>3433.6</v>
      </c>
      <c r="D1633" s="116">
        <v>3376.95</v>
      </c>
      <c r="E1633" s="116">
        <v>3409.95</v>
      </c>
      <c r="F1633" s="116">
        <v>3433.6</v>
      </c>
      <c r="G1633">
        <v>4056</v>
      </c>
      <c r="H1633" s="116"/>
      <c r="I1633" s="116"/>
      <c r="L1633" s="170">
        <v>45040</v>
      </c>
      <c r="M1633" s="116">
        <v>3434.95</v>
      </c>
      <c r="N1633" s="116">
        <v>3440</v>
      </c>
      <c r="O1633" s="116">
        <v>3375</v>
      </c>
      <c r="P1633" s="116">
        <v>3399</v>
      </c>
      <c r="Q1633" s="116">
        <v>3434.95</v>
      </c>
      <c r="R1633">
        <v>117596</v>
      </c>
    </row>
    <row r="1634" spans="1:18" x14ac:dyDescent="0.25">
      <c r="A1634" s="170">
        <v>45041</v>
      </c>
      <c r="B1634" s="116">
        <v>3479</v>
      </c>
      <c r="C1634" s="116">
        <v>3425.05</v>
      </c>
      <c r="D1634" s="116">
        <v>3391.55</v>
      </c>
      <c r="E1634" s="116">
        <v>3448.05</v>
      </c>
      <c r="F1634" s="116">
        <v>3425.05</v>
      </c>
      <c r="G1634">
        <v>5292</v>
      </c>
      <c r="H1634" s="116"/>
      <c r="I1634" s="116"/>
      <c r="L1634" s="170">
        <v>45041</v>
      </c>
      <c r="M1634" s="116">
        <v>3425.75</v>
      </c>
      <c r="N1634" s="116">
        <v>3464.95</v>
      </c>
      <c r="O1634" s="116">
        <v>3392.55</v>
      </c>
      <c r="P1634" s="116">
        <v>3455</v>
      </c>
      <c r="Q1634" s="116">
        <v>3425.75</v>
      </c>
      <c r="R1634">
        <v>250506</v>
      </c>
    </row>
    <row r="1635" spans="1:18" x14ac:dyDescent="0.25">
      <c r="A1635" s="170">
        <v>45042</v>
      </c>
      <c r="B1635" s="116">
        <v>3454.7</v>
      </c>
      <c r="C1635" s="116">
        <v>3447.95</v>
      </c>
      <c r="D1635" s="116">
        <v>3399.55</v>
      </c>
      <c r="E1635" s="116">
        <v>3420.05</v>
      </c>
      <c r="F1635" s="116">
        <v>3447.95</v>
      </c>
      <c r="G1635">
        <v>5900</v>
      </c>
      <c r="H1635" s="116"/>
      <c r="I1635" s="116"/>
      <c r="L1635" s="170">
        <v>45042</v>
      </c>
      <c r="M1635" s="116">
        <v>3446.95</v>
      </c>
      <c r="N1635" s="116">
        <v>3458</v>
      </c>
      <c r="O1635" s="116">
        <v>3399.1</v>
      </c>
      <c r="P1635" s="116">
        <v>3410.05</v>
      </c>
      <c r="Q1635" s="116">
        <v>3446.95</v>
      </c>
      <c r="R1635">
        <v>240934</v>
      </c>
    </row>
    <row r="1636" spans="1:18" x14ac:dyDescent="0.25">
      <c r="A1636" s="170">
        <v>45043</v>
      </c>
      <c r="B1636" s="116">
        <v>3748</v>
      </c>
      <c r="C1636" s="116">
        <v>3729.35</v>
      </c>
      <c r="D1636" s="116">
        <v>3500</v>
      </c>
      <c r="E1636" s="116">
        <v>3508.5</v>
      </c>
      <c r="F1636" s="116">
        <v>3729.35</v>
      </c>
      <c r="G1636">
        <v>78003</v>
      </c>
      <c r="H1636" s="116"/>
      <c r="I1636" s="116"/>
      <c r="L1636" s="170">
        <v>45043</v>
      </c>
      <c r="M1636" s="116">
        <v>3731</v>
      </c>
      <c r="N1636" s="116">
        <v>3749</v>
      </c>
      <c r="O1636" s="116">
        <v>3500</v>
      </c>
      <c r="P1636" s="116">
        <v>3500</v>
      </c>
      <c r="Q1636" s="116">
        <v>3731</v>
      </c>
      <c r="R1636">
        <v>1975054</v>
      </c>
    </row>
    <row r="1637" spans="1:18" x14ac:dyDescent="0.25">
      <c r="A1637" s="170">
        <v>45044</v>
      </c>
      <c r="B1637" s="116">
        <v>3872.9</v>
      </c>
      <c r="C1637" s="116">
        <v>3774.85</v>
      </c>
      <c r="D1637" s="116">
        <v>3720.05</v>
      </c>
      <c r="E1637" s="116">
        <v>3726</v>
      </c>
      <c r="F1637" s="116">
        <v>3774.85</v>
      </c>
      <c r="G1637">
        <v>22397</v>
      </c>
      <c r="H1637" s="116"/>
      <c r="I1637" s="116"/>
      <c r="L1637" s="170">
        <v>45044</v>
      </c>
      <c r="M1637" s="116">
        <v>3775.25</v>
      </c>
      <c r="N1637" s="116">
        <v>3873.5</v>
      </c>
      <c r="O1637" s="116">
        <v>3721</v>
      </c>
      <c r="P1637" s="116">
        <v>3731</v>
      </c>
      <c r="Q1637" s="116">
        <v>3775.25</v>
      </c>
      <c r="R1637">
        <v>855661</v>
      </c>
    </row>
    <row r="1638" spans="1:18" x14ac:dyDescent="0.25">
      <c r="A1638" s="170">
        <v>45048</v>
      </c>
      <c r="B1638" s="116">
        <v>3845.65</v>
      </c>
      <c r="C1638" s="116">
        <v>3807.6</v>
      </c>
      <c r="D1638" s="116">
        <v>3740</v>
      </c>
      <c r="E1638" s="116">
        <v>3774.9</v>
      </c>
      <c r="F1638" s="116">
        <v>3807.6</v>
      </c>
      <c r="G1638">
        <v>9463</v>
      </c>
      <c r="H1638" s="116"/>
      <c r="I1638" s="116"/>
      <c r="L1638" s="170">
        <v>45048</v>
      </c>
      <c r="M1638" s="116">
        <v>3805.7</v>
      </c>
      <c r="N1638" s="116">
        <v>3845.4</v>
      </c>
      <c r="O1638" s="116">
        <v>3745.25</v>
      </c>
      <c r="P1638" s="116">
        <v>3780</v>
      </c>
      <c r="Q1638" s="116">
        <v>3805.7</v>
      </c>
      <c r="R1638">
        <v>308645</v>
      </c>
    </row>
    <row r="1639" spans="1:18" x14ac:dyDescent="0.25">
      <c r="A1639" s="170">
        <v>45049</v>
      </c>
      <c r="B1639" s="116">
        <v>3790.05</v>
      </c>
      <c r="C1639" s="116">
        <v>3727.15</v>
      </c>
      <c r="D1639" s="116">
        <v>3715.5</v>
      </c>
      <c r="E1639" s="116">
        <v>3790.05</v>
      </c>
      <c r="F1639" s="116">
        <v>3727.15</v>
      </c>
      <c r="G1639">
        <v>16403</v>
      </c>
      <c r="H1639" s="116"/>
      <c r="I1639" s="116"/>
      <c r="L1639" s="170">
        <v>45049</v>
      </c>
      <c r="M1639" s="116">
        <v>3723.8</v>
      </c>
      <c r="N1639" s="116">
        <v>3798</v>
      </c>
      <c r="O1639" s="116">
        <v>3715</v>
      </c>
      <c r="P1639" s="116">
        <v>3798</v>
      </c>
      <c r="Q1639" s="116">
        <v>3723.8</v>
      </c>
      <c r="R1639">
        <v>285413</v>
      </c>
    </row>
    <row r="1640" spans="1:18" x14ac:dyDescent="0.25">
      <c r="A1640" s="170">
        <v>45050</v>
      </c>
      <c r="B1640" s="116">
        <v>3764.6</v>
      </c>
      <c r="C1640" s="116">
        <v>3723</v>
      </c>
      <c r="D1640" s="116">
        <v>3697.25</v>
      </c>
      <c r="E1640" s="116">
        <v>3716.05</v>
      </c>
      <c r="F1640" s="116">
        <v>3723</v>
      </c>
      <c r="G1640">
        <v>8958</v>
      </c>
      <c r="H1640" s="116"/>
      <c r="I1640" s="116"/>
      <c r="L1640" s="170">
        <v>45050</v>
      </c>
      <c r="M1640" s="116">
        <v>3725.3</v>
      </c>
      <c r="N1640" s="116">
        <v>3764.95</v>
      </c>
      <c r="O1640" s="116">
        <v>3699.2</v>
      </c>
      <c r="P1640" s="116">
        <v>3722</v>
      </c>
      <c r="Q1640" s="116">
        <v>3725.3</v>
      </c>
      <c r="R1640">
        <v>218410</v>
      </c>
    </row>
    <row r="1641" spans="1:18" x14ac:dyDescent="0.25">
      <c r="A1641" s="170">
        <v>45051</v>
      </c>
      <c r="B1641" s="116">
        <v>3736.65</v>
      </c>
      <c r="C1641" s="116">
        <v>3675</v>
      </c>
      <c r="D1641" s="116">
        <v>3670</v>
      </c>
      <c r="E1641" s="116">
        <v>3723</v>
      </c>
      <c r="F1641" s="116">
        <v>3675</v>
      </c>
      <c r="G1641">
        <v>6365</v>
      </c>
      <c r="H1641" s="116"/>
      <c r="I1641" s="116"/>
      <c r="L1641" s="170">
        <v>45051</v>
      </c>
      <c r="M1641" s="116">
        <v>3676.7</v>
      </c>
      <c r="N1641" s="116">
        <v>3737</v>
      </c>
      <c r="O1641" s="116">
        <v>3670</v>
      </c>
      <c r="P1641" s="116">
        <v>3721</v>
      </c>
      <c r="Q1641" s="116">
        <v>3676.7</v>
      </c>
      <c r="R1641">
        <v>205905</v>
      </c>
    </row>
    <row r="1642" spans="1:18" x14ac:dyDescent="0.25">
      <c r="A1642" s="170">
        <v>45054</v>
      </c>
      <c r="B1642" s="116">
        <v>3753.95</v>
      </c>
      <c r="C1642" s="116">
        <v>3733.7</v>
      </c>
      <c r="D1642" s="116">
        <v>3671</v>
      </c>
      <c r="E1642" s="116">
        <v>3690.05</v>
      </c>
      <c r="F1642" s="116">
        <v>3733.7</v>
      </c>
      <c r="G1642">
        <v>3720</v>
      </c>
      <c r="H1642" s="116"/>
      <c r="I1642" s="116"/>
      <c r="L1642" s="170">
        <v>45054</v>
      </c>
      <c r="M1642" s="116">
        <v>3737.3</v>
      </c>
      <c r="N1642" s="116">
        <v>3752.8</v>
      </c>
      <c r="O1642" s="116">
        <v>3670</v>
      </c>
      <c r="P1642" s="116">
        <v>3700</v>
      </c>
      <c r="Q1642" s="116">
        <v>3737.3</v>
      </c>
      <c r="R1642">
        <v>161702</v>
      </c>
    </row>
    <row r="1643" spans="1:18" x14ac:dyDescent="0.25">
      <c r="A1643" s="170">
        <v>45055</v>
      </c>
      <c r="B1643" s="116">
        <v>3820</v>
      </c>
      <c r="C1643" s="116">
        <v>3761.75</v>
      </c>
      <c r="D1643" s="116">
        <v>3750</v>
      </c>
      <c r="E1643" s="116">
        <v>3750</v>
      </c>
      <c r="F1643" s="116">
        <v>3761.75</v>
      </c>
      <c r="G1643">
        <v>8646</v>
      </c>
      <c r="H1643" s="116"/>
      <c r="I1643" s="116"/>
      <c r="L1643" s="170">
        <v>45055</v>
      </c>
      <c r="M1643" s="116">
        <v>3763.5</v>
      </c>
      <c r="N1643" s="116">
        <v>3820</v>
      </c>
      <c r="O1643" s="116">
        <v>3738</v>
      </c>
      <c r="P1643" s="116">
        <v>3751</v>
      </c>
      <c r="Q1643" s="116">
        <v>3763.5</v>
      </c>
      <c r="R1643">
        <v>239795</v>
      </c>
    </row>
    <row r="1644" spans="1:18" x14ac:dyDescent="0.25">
      <c r="A1644" s="170">
        <v>45056</v>
      </c>
      <c r="B1644" s="116">
        <v>3850</v>
      </c>
      <c r="C1644" s="116">
        <v>3834.95</v>
      </c>
      <c r="D1644" s="116">
        <v>3757.7</v>
      </c>
      <c r="E1644" s="116">
        <v>3765</v>
      </c>
      <c r="F1644" s="116">
        <v>3834.95</v>
      </c>
      <c r="G1644">
        <v>12661</v>
      </c>
      <c r="H1644" s="116"/>
      <c r="I1644" s="116"/>
      <c r="L1644" s="170">
        <v>45056</v>
      </c>
      <c r="M1644" s="116">
        <v>3835.15</v>
      </c>
      <c r="N1644" s="116">
        <v>3850</v>
      </c>
      <c r="O1644" s="116">
        <v>3760</v>
      </c>
      <c r="P1644" s="116">
        <v>3770</v>
      </c>
      <c r="Q1644" s="116">
        <v>3835.15</v>
      </c>
      <c r="R1644">
        <v>423263</v>
      </c>
    </row>
    <row r="1645" spans="1:18" x14ac:dyDescent="0.25">
      <c r="A1645" s="170">
        <v>45057</v>
      </c>
      <c r="B1645" s="116">
        <v>3918.55</v>
      </c>
      <c r="C1645" s="116">
        <v>3839.15</v>
      </c>
      <c r="D1645" s="116">
        <v>3825</v>
      </c>
      <c r="E1645" s="116">
        <v>3859</v>
      </c>
      <c r="F1645" s="116">
        <v>3839.15</v>
      </c>
      <c r="G1645">
        <v>11419</v>
      </c>
      <c r="H1645" s="116"/>
      <c r="I1645" s="116"/>
      <c r="L1645" s="170">
        <v>45057</v>
      </c>
      <c r="M1645" s="116">
        <v>3839.15</v>
      </c>
      <c r="N1645" s="116">
        <v>3917.6</v>
      </c>
      <c r="O1645" s="116">
        <v>3825.3</v>
      </c>
      <c r="P1645" s="116">
        <v>3890</v>
      </c>
      <c r="Q1645" s="116">
        <v>3839.15</v>
      </c>
      <c r="R1645">
        <v>364144</v>
      </c>
    </row>
    <row r="1646" spans="1:18" x14ac:dyDescent="0.25">
      <c r="A1646" s="170">
        <v>45058</v>
      </c>
      <c r="B1646" s="116">
        <v>3885</v>
      </c>
      <c r="C1646" s="116">
        <v>3813.3</v>
      </c>
      <c r="D1646" s="116">
        <v>3802.6</v>
      </c>
      <c r="E1646" s="116">
        <v>3854.45</v>
      </c>
      <c r="F1646" s="116">
        <v>3813.3</v>
      </c>
      <c r="G1646">
        <v>12945</v>
      </c>
      <c r="H1646" s="116"/>
      <c r="I1646" s="116"/>
      <c r="L1646" s="170">
        <v>45058</v>
      </c>
      <c r="M1646" s="116">
        <v>3812.6</v>
      </c>
      <c r="N1646" s="116">
        <v>3886.95</v>
      </c>
      <c r="O1646" s="116">
        <v>3803</v>
      </c>
      <c r="P1646" s="116">
        <v>3827</v>
      </c>
      <c r="Q1646" s="116">
        <v>3812.6</v>
      </c>
      <c r="R1646">
        <v>222911</v>
      </c>
    </row>
    <row r="1647" spans="1:18" x14ac:dyDescent="0.25">
      <c r="A1647" s="170">
        <v>45061</v>
      </c>
      <c r="B1647" s="116">
        <v>3870</v>
      </c>
      <c r="C1647" s="116">
        <v>3855.4</v>
      </c>
      <c r="D1647" s="116">
        <v>3774.4</v>
      </c>
      <c r="E1647" s="116">
        <v>3819.9</v>
      </c>
      <c r="F1647" s="116">
        <v>3855.4</v>
      </c>
      <c r="G1647">
        <v>9189</v>
      </c>
      <c r="H1647" s="116"/>
      <c r="I1647" s="116"/>
      <c r="L1647" s="170">
        <v>45061</v>
      </c>
      <c r="M1647" s="116">
        <v>3855.45</v>
      </c>
      <c r="N1647" s="116">
        <v>3869.95</v>
      </c>
      <c r="O1647" s="116">
        <v>3775.15</v>
      </c>
      <c r="P1647" s="116">
        <v>3815</v>
      </c>
      <c r="Q1647" s="116">
        <v>3855.45</v>
      </c>
      <c r="R1647">
        <v>149314</v>
      </c>
    </row>
    <row r="1648" spans="1:18" x14ac:dyDescent="0.25">
      <c r="A1648" s="170">
        <v>45062</v>
      </c>
      <c r="B1648" s="116">
        <v>3893.75</v>
      </c>
      <c r="C1648" s="116">
        <v>3852.1</v>
      </c>
      <c r="D1648" s="116">
        <v>3842</v>
      </c>
      <c r="E1648" s="116">
        <v>3850.05</v>
      </c>
      <c r="F1648" s="116">
        <v>3852.1</v>
      </c>
      <c r="G1648">
        <v>5700</v>
      </c>
      <c r="H1648" s="116"/>
      <c r="I1648" s="116"/>
      <c r="L1648" s="170">
        <v>45062</v>
      </c>
      <c r="M1648" s="116">
        <v>3847.9</v>
      </c>
      <c r="N1648" s="116">
        <v>3893.05</v>
      </c>
      <c r="O1648" s="116">
        <v>3840</v>
      </c>
      <c r="P1648" s="116">
        <v>3868</v>
      </c>
      <c r="Q1648" s="116">
        <v>3847.9</v>
      </c>
      <c r="R1648">
        <v>155660</v>
      </c>
    </row>
    <row r="1649" spans="1:18" x14ac:dyDescent="0.25">
      <c r="A1649" s="170">
        <v>45063</v>
      </c>
      <c r="B1649" s="116">
        <v>3851</v>
      </c>
      <c r="C1649" s="116">
        <v>3824.55</v>
      </c>
      <c r="D1649" s="116">
        <v>3790</v>
      </c>
      <c r="E1649" s="116">
        <v>3851</v>
      </c>
      <c r="F1649" s="116">
        <v>3824.55</v>
      </c>
      <c r="G1649">
        <v>9429</v>
      </c>
      <c r="H1649" s="116"/>
      <c r="I1649" s="116"/>
      <c r="L1649" s="170">
        <v>45063</v>
      </c>
      <c r="M1649" s="116">
        <v>3826.45</v>
      </c>
      <c r="N1649" s="116">
        <v>3854.6</v>
      </c>
      <c r="O1649" s="116">
        <v>3790</v>
      </c>
      <c r="P1649" s="116">
        <v>3847.9</v>
      </c>
      <c r="Q1649" s="116">
        <v>3826.45</v>
      </c>
      <c r="R1649">
        <v>123834</v>
      </c>
    </row>
    <row r="1650" spans="1:18" x14ac:dyDescent="0.25">
      <c r="A1650" s="170">
        <v>45064</v>
      </c>
      <c r="B1650" s="116">
        <v>3875</v>
      </c>
      <c r="C1650" s="116">
        <v>3844.9</v>
      </c>
      <c r="D1650" s="116">
        <v>3828.15</v>
      </c>
      <c r="E1650" s="116">
        <v>3840.05</v>
      </c>
      <c r="F1650" s="116">
        <v>3844.9</v>
      </c>
      <c r="G1650">
        <v>3846</v>
      </c>
      <c r="H1650" s="116"/>
      <c r="I1650" s="116"/>
      <c r="L1650" s="170">
        <v>45064</v>
      </c>
      <c r="M1650" s="116">
        <v>3844.4</v>
      </c>
      <c r="N1650" s="116">
        <v>3877.95</v>
      </c>
      <c r="O1650" s="116">
        <v>3825.05</v>
      </c>
      <c r="P1650" s="116">
        <v>3850</v>
      </c>
      <c r="Q1650" s="116">
        <v>3844.4</v>
      </c>
      <c r="R1650">
        <v>110674</v>
      </c>
    </row>
    <row r="1651" spans="1:18" x14ac:dyDescent="0.25">
      <c r="A1651" s="170">
        <v>45065</v>
      </c>
      <c r="B1651" s="116">
        <v>3906.45</v>
      </c>
      <c r="C1651" s="116">
        <v>3836</v>
      </c>
      <c r="D1651" s="116">
        <v>3819.7</v>
      </c>
      <c r="E1651" s="116">
        <v>3856.05</v>
      </c>
      <c r="F1651" s="116">
        <v>3836</v>
      </c>
      <c r="G1651">
        <v>15648</v>
      </c>
      <c r="H1651" s="116"/>
      <c r="I1651" s="116"/>
      <c r="L1651" s="170">
        <v>45065</v>
      </c>
      <c r="M1651" s="116">
        <v>3837.35</v>
      </c>
      <c r="N1651" s="116">
        <v>3908</v>
      </c>
      <c r="O1651" s="116">
        <v>3810.95</v>
      </c>
      <c r="P1651" s="116">
        <v>3872.95</v>
      </c>
      <c r="Q1651" s="116">
        <v>3837.35</v>
      </c>
      <c r="R1651">
        <v>318276</v>
      </c>
    </row>
    <row r="1652" spans="1:18" x14ac:dyDescent="0.25">
      <c r="A1652" s="170">
        <v>45068</v>
      </c>
      <c r="B1652" s="116">
        <v>3949</v>
      </c>
      <c r="C1652" s="116">
        <v>3925.65</v>
      </c>
      <c r="D1652" s="116">
        <v>3813.55</v>
      </c>
      <c r="E1652" s="116">
        <v>3813.55</v>
      </c>
      <c r="F1652" s="116">
        <v>3925.65</v>
      </c>
      <c r="G1652">
        <v>7098</v>
      </c>
      <c r="H1652" s="116"/>
      <c r="I1652" s="116"/>
      <c r="L1652" s="170">
        <v>45068</v>
      </c>
      <c r="M1652" s="116">
        <v>3928.55</v>
      </c>
      <c r="N1652" s="116">
        <v>3948</v>
      </c>
      <c r="O1652" s="116">
        <v>3825.35</v>
      </c>
      <c r="P1652" s="116">
        <v>3835.2</v>
      </c>
      <c r="Q1652" s="116">
        <v>3928.55</v>
      </c>
      <c r="R1652">
        <v>276494</v>
      </c>
    </row>
    <row r="1653" spans="1:18" x14ac:dyDescent="0.25">
      <c r="A1653" s="170">
        <v>45069</v>
      </c>
      <c r="B1653" s="116">
        <v>3969.55</v>
      </c>
      <c r="C1653" s="116">
        <v>3897</v>
      </c>
      <c r="D1653" s="116">
        <v>3884.75</v>
      </c>
      <c r="E1653" s="116">
        <v>3962.7</v>
      </c>
      <c r="F1653" s="116">
        <v>3897</v>
      </c>
      <c r="G1653">
        <v>7270</v>
      </c>
      <c r="H1653" s="116"/>
      <c r="I1653" s="116"/>
      <c r="L1653" s="170">
        <v>45069</v>
      </c>
      <c r="M1653" s="116">
        <v>3897.85</v>
      </c>
      <c r="N1653" s="116">
        <v>3996.9</v>
      </c>
      <c r="O1653" s="116">
        <v>3884.15</v>
      </c>
      <c r="P1653" s="116">
        <v>3947</v>
      </c>
      <c r="Q1653" s="116">
        <v>3897.85</v>
      </c>
      <c r="R1653">
        <v>233486</v>
      </c>
    </row>
    <row r="1654" spans="1:18" x14ac:dyDescent="0.25">
      <c r="A1654" s="170">
        <v>45070</v>
      </c>
      <c r="B1654" s="116">
        <v>3889</v>
      </c>
      <c r="C1654" s="116">
        <v>3793.05</v>
      </c>
      <c r="D1654" s="116">
        <v>3772.15</v>
      </c>
      <c r="E1654" s="116">
        <v>3884.75</v>
      </c>
      <c r="F1654" s="116">
        <v>3793.05</v>
      </c>
      <c r="G1654">
        <v>7813</v>
      </c>
      <c r="H1654" s="116"/>
      <c r="I1654" s="116"/>
      <c r="L1654" s="170">
        <v>45070</v>
      </c>
      <c r="M1654" s="116">
        <v>3792.3</v>
      </c>
      <c r="N1654" s="116">
        <v>3895</v>
      </c>
      <c r="O1654" s="116">
        <v>3768.4</v>
      </c>
      <c r="P1654" s="116">
        <v>3880</v>
      </c>
      <c r="Q1654" s="116">
        <v>3792.3</v>
      </c>
      <c r="R1654">
        <v>348959</v>
      </c>
    </row>
    <row r="1655" spans="1:18" x14ac:dyDescent="0.25">
      <c r="A1655" s="170">
        <v>45071</v>
      </c>
      <c r="B1655" s="116">
        <v>3828</v>
      </c>
      <c r="C1655" s="116">
        <v>3804.05</v>
      </c>
      <c r="D1655" s="116">
        <v>3744.1</v>
      </c>
      <c r="E1655" s="116">
        <v>3797.05</v>
      </c>
      <c r="F1655" s="116">
        <v>3804.05</v>
      </c>
      <c r="G1655">
        <v>11725</v>
      </c>
      <c r="H1655" s="116"/>
      <c r="I1655" s="116"/>
      <c r="L1655" s="170">
        <v>45071</v>
      </c>
      <c r="M1655" s="116">
        <v>3801.5</v>
      </c>
      <c r="N1655" s="116">
        <v>3832</v>
      </c>
      <c r="O1655" s="116">
        <v>3744</v>
      </c>
      <c r="P1655" s="116">
        <v>3810</v>
      </c>
      <c r="Q1655" s="116">
        <v>3801.5</v>
      </c>
      <c r="R1655">
        <v>351460</v>
      </c>
    </row>
    <row r="1656" spans="1:18" x14ac:dyDescent="0.25">
      <c r="A1656" s="170">
        <v>45072</v>
      </c>
      <c r="B1656" s="116">
        <v>3889</v>
      </c>
      <c r="C1656" s="116">
        <v>3876.7</v>
      </c>
      <c r="D1656" s="116">
        <v>3812.05</v>
      </c>
      <c r="E1656" s="116">
        <v>3812.05</v>
      </c>
      <c r="F1656" s="116">
        <v>3876.7</v>
      </c>
      <c r="G1656">
        <v>14058</v>
      </c>
      <c r="H1656" s="116"/>
      <c r="I1656" s="116"/>
      <c r="L1656" s="170">
        <v>45072</v>
      </c>
      <c r="M1656" s="116">
        <v>3878.25</v>
      </c>
      <c r="N1656" s="116">
        <v>3890</v>
      </c>
      <c r="O1656" s="116">
        <v>3811.3</v>
      </c>
      <c r="P1656" s="116">
        <v>3818</v>
      </c>
      <c r="Q1656" s="116">
        <v>3878.25</v>
      </c>
      <c r="R1656">
        <v>292680</v>
      </c>
    </row>
    <row r="1657" spans="1:18" x14ac:dyDescent="0.25">
      <c r="A1657" s="170">
        <v>45075</v>
      </c>
      <c r="B1657" s="116">
        <v>3936.65</v>
      </c>
      <c r="C1657" s="116">
        <v>3868.65</v>
      </c>
      <c r="D1657" s="116">
        <v>3855</v>
      </c>
      <c r="E1657" s="116">
        <v>3936.65</v>
      </c>
      <c r="F1657" s="116">
        <v>3868.65</v>
      </c>
      <c r="G1657">
        <v>6391</v>
      </c>
      <c r="H1657" s="116"/>
      <c r="I1657" s="116"/>
      <c r="L1657" s="170">
        <v>45075</v>
      </c>
      <c r="M1657" s="116">
        <v>3866.8</v>
      </c>
      <c r="N1657" s="116">
        <v>3933.45</v>
      </c>
      <c r="O1657" s="116">
        <v>3850</v>
      </c>
      <c r="P1657" s="116">
        <v>3924.55</v>
      </c>
      <c r="Q1657" s="116">
        <v>3866.8</v>
      </c>
      <c r="R1657">
        <v>139377</v>
      </c>
    </row>
    <row r="1658" spans="1:18" x14ac:dyDescent="0.25">
      <c r="A1658" s="170">
        <v>45076</v>
      </c>
      <c r="B1658" s="116">
        <v>3904.3</v>
      </c>
      <c r="C1658" s="116">
        <v>3873.15</v>
      </c>
      <c r="D1658" s="116">
        <v>3850</v>
      </c>
      <c r="E1658" s="116">
        <v>3885</v>
      </c>
      <c r="F1658" s="116">
        <v>3873.15</v>
      </c>
      <c r="G1658">
        <v>12498</v>
      </c>
      <c r="H1658" s="116"/>
      <c r="I1658" s="116"/>
      <c r="L1658" s="170">
        <v>45076</v>
      </c>
      <c r="M1658" s="116">
        <v>3872.9</v>
      </c>
      <c r="N1658" s="116">
        <v>3902.9</v>
      </c>
      <c r="O1658" s="116">
        <v>3851.6</v>
      </c>
      <c r="P1658" s="116">
        <v>3890</v>
      </c>
      <c r="Q1658" s="116">
        <v>3872.9</v>
      </c>
      <c r="R1658">
        <v>108674</v>
      </c>
    </row>
    <row r="1659" spans="1:18" x14ac:dyDescent="0.25">
      <c r="A1659" s="170">
        <v>45077</v>
      </c>
      <c r="B1659" s="116">
        <v>3923</v>
      </c>
      <c r="C1659" s="116">
        <v>3901.4</v>
      </c>
      <c r="D1659" s="116">
        <v>3852.25</v>
      </c>
      <c r="E1659" s="116">
        <v>3880</v>
      </c>
      <c r="F1659" s="116">
        <v>3901.4</v>
      </c>
      <c r="G1659">
        <v>12321</v>
      </c>
      <c r="H1659" s="116"/>
      <c r="I1659" s="116"/>
      <c r="L1659" s="170">
        <v>45077</v>
      </c>
      <c r="M1659" s="116">
        <v>3903</v>
      </c>
      <c r="N1659" s="116">
        <v>3924.7</v>
      </c>
      <c r="O1659" s="116">
        <v>3851.05</v>
      </c>
      <c r="P1659" s="116">
        <v>3872.05</v>
      </c>
      <c r="Q1659" s="116">
        <v>3903</v>
      </c>
      <c r="R1659">
        <v>178837</v>
      </c>
    </row>
    <row r="1660" spans="1:18" x14ac:dyDescent="0.25">
      <c r="A1660" s="170">
        <v>45078</v>
      </c>
      <c r="B1660" s="116">
        <v>3953.05</v>
      </c>
      <c r="C1660" s="116">
        <v>3867.35</v>
      </c>
      <c r="D1660" s="116">
        <v>3833.35</v>
      </c>
      <c r="E1660" s="116">
        <v>3901.45</v>
      </c>
      <c r="F1660" s="116">
        <v>3867.35</v>
      </c>
      <c r="G1660">
        <v>5298</v>
      </c>
      <c r="H1660" s="116"/>
      <c r="I1660" s="116"/>
      <c r="L1660" s="170">
        <v>45078</v>
      </c>
      <c r="M1660" s="116">
        <v>3898.05</v>
      </c>
      <c r="N1660" s="116">
        <v>3932.45</v>
      </c>
      <c r="O1660" s="116">
        <v>3885.2</v>
      </c>
      <c r="P1660" s="116">
        <v>3916.95</v>
      </c>
      <c r="Q1660" s="116">
        <v>3898.05</v>
      </c>
      <c r="R1660">
        <v>118870</v>
      </c>
    </row>
    <row r="1661" spans="1:18" x14ac:dyDescent="0.25">
      <c r="A1661" s="170">
        <v>45079</v>
      </c>
      <c r="B1661" s="116">
        <v>3950</v>
      </c>
      <c r="C1661" s="116">
        <v>3936.85</v>
      </c>
      <c r="D1661" s="116">
        <v>3910.8</v>
      </c>
      <c r="E1661" s="116">
        <v>3939.95</v>
      </c>
      <c r="F1661" s="116">
        <v>3936.85</v>
      </c>
      <c r="G1661">
        <v>3452</v>
      </c>
      <c r="H1661" s="116"/>
      <c r="I1661" s="116"/>
      <c r="L1661" s="170">
        <v>45079</v>
      </c>
      <c r="M1661" s="116">
        <v>3935.75</v>
      </c>
      <c r="N1661" s="116">
        <v>3952.1</v>
      </c>
      <c r="O1661" s="116">
        <v>3910.45</v>
      </c>
      <c r="P1661" s="116">
        <v>3927</v>
      </c>
      <c r="Q1661" s="116">
        <v>3935.75</v>
      </c>
      <c r="R1661">
        <v>216425</v>
      </c>
    </row>
    <row r="1662" spans="1:18" x14ac:dyDescent="0.25">
      <c r="A1662" s="170">
        <v>45082</v>
      </c>
      <c r="B1662" s="116">
        <v>3974.2</v>
      </c>
      <c r="C1662" s="116">
        <v>3924.2</v>
      </c>
      <c r="D1662" s="116">
        <v>3918.45</v>
      </c>
      <c r="E1662" s="116">
        <v>3950.05</v>
      </c>
      <c r="F1662" s="116">
        <v>3924.2</v>
      </c>
      <c r="G1662">
        <v>8359</v>
      </c>
      <c r="H1662" s="116"/>
      <c r="I1662" s="116"/>
      <c r="L1662" s="170">
        <v>45082</v>
      </c>
      <c r="M1662" s="116">
        <v>3925.8</v>
      </c>
      <c r="N1662" s="116">
        <v>3975</v>
      </c>
      <c r="O1662" s="116">
        <v>3916.55</v>
      </c>
      <c r="P1662" s="116">
        <v>3959.95</v>
      </c>
      <c r="Q1662" s="116">
        <v>3925.8</v>
      </c>
      <c r="R1662">
        <v>137494</v>
      </c>
    </row>
    <row r="1663" spans="1:18" x14ac:dyDescent="0.25">
      <c r="A1663" s="170">
        <v>45083</v>
      </c>
      <c r="B1663" s="116">
        <v>3930.85</v>
      </c>
      <c r="C1663" s="116">
        <v>3840.35</v>
      </c>
      <c r="D1663" s="116">
        <v>3795.7</v>
      </c>
      <c r="E1663" s="116">
        <v>3924.5</v>
      </c>
      <c r="F1663" s="116">
        <v>3840.35</v>
      </c>
      <c r="G1663">
        <v>7630</v>
      </c>
      <c r="H1663" s="116"/>
      <c r="I1663" s="116"/>
      <c r="L1663" s="170">
        <v>45083</v>
      </c>
      <c r="M1663" s="116">
        <v>3842.1</v>
      </c>
      <c r="N1663" s="116">
        <v>3929</v>
      </c>
      <c r="O1663" s="116">
        <v>3792.2</v>
      </c>
      <c r="P1663" s="116">
        <v>3925.8</v>
      </c>
      <c r="Q1663" s="116">
        <v>3842.1</v>
      </c>
      <c r="R1663">
        <v>270598</v>
      </c>
    </row>
    <row r="1664" spans="1:18" x14ac:dyDescent="0.25">
      <c r="A1664" s="170">
        <v>45084</v>
      </c>
      <c r="B1664" s="116">
        <v>3894.6</v>
      </c>
      <c r="C1664" s="116">
        <v>3869.6</v>
      </c>
      <c r="D1664" s="116">
        <v>3856.5</v>
      </c>
      <c r="E1664" s="116">
        <v>3880</v>
      </c>
      <c r="F1664" s="116">
        <v>3869.6</v>
      </c>
      <c r="G1664">
        <v>2421</v>
      </c>
      <c r="H1664" s="116"/>
      <c r="I1664" s="116"/>
      <c r="L1664" s="170">
        <v>45084</v>
      </c>
      <c r="M1664" s="116">
        <v>3870.35</v>
      </c>
      <c r="N1664" s="116">
        <v>3894.7</v>
      </c>
      <c r="O1664" s="116">
        <v>3855</v>
      </c>
      <c r="P1664" s="116">
        <v>3879.9</v>
      </c>
      <c r="Q1664" s="116">
        <v>3870.35</v>
      </c>
      <c r="R1664">
        <v>104771</v>
      </c>
    </row>
    <row r="1665" spans="1:18" x14ac:dyDescent="0.25">
      <c r="A1665" s="170">
        <v>45085</v>
      </c>
      <c r="B1665" s="116">
        <v>3876.15</v>
      </c>
      <c r="C1665" s="116">
        <v>3829.3</v>
      </c>
      <c r="D1665" s="116">
        <v>3818.9</v>
      </c>
      <c r="E1665" s="116">
        <v>3875</v>
      </c>
      <c r="F1665" s="116">
        <v>3829.3</v>
      </c>
      <c r="G1665">
        <v>3209</v>
      </c>
      <c r="H1665" s="116"/>
      <c r="I1665" s="116"/>
      <c r="L1665" s="170">
        <v>45085</v>
      </c>
      <c r="M1665" s="116">
        <v>3829.1</v>
      </c>
      <c r="N1665" s="116">
        <v>3889</v>
      </c>
      <c r="O1665" s="116">
        <v>3816.15</v>
      </c>
      <c r="P1665" s="116">
        <v>3878.7</v>
      </c>
      <c r="Q1665" s="116">
        <v>3829.1</v>
      </c>
      <c r="R1665">
        <v>103976</v>
      </c>
    </row>
    <row r="1666" spans="1:18" x14ac:dyDescent="0.25">
      <c r="A1666" s="170">
        <v>45086</v>
      </c>
      <c r="B1666" s="116">
        <v>3855.85</v>
      </c>
      <c r="C1666" s="116">
        <v>3808.7</v>
      </c>
      <c r="D1666" s="116">
        <v>3784.95</v>
      </c>
      <c r="E1666" s="116">
        <v>3835.8</v>
      </c>
      <c r="F1666" s="116">
        <v>3808.7</v>
      </c>
      <c r="G1666">
        <v>8788</v>
      </c>
      <c r="H1666" s="116"/>
      <c r="I1666" s="116"/>
      <c r="L1666" s="170">
        <v>45086</v>
      </c>
      <c r="M1666" s="116">
        <v>3808.45</v>
      </c>
      <c r="N1666" s="116">
        <v>3852.85</v>
      </c>
      <c r="O1666" s="116">
        <v>3783.3</v>
      </c>
      <c r="P1666" s="116">
        <v>3844</v>
      </c>
      <c r="Q1666" s="116">
        <v>3808.45</v>
      </c>
      <c r="R1666">
        <v>115288</v>
      </c>
    </row>
    <row r="1667" spans="1:18" x14ac:dyDescent="0.25">
      <c r="A1667" s="170">
        <v>45089</v>
      </c>
      <c r="B1667" s="116">
        <v>3899</v>
      </c>
      <c r="C1667" s="116">
        <v>3890.05</v>
      </c>
      <c r="D1667" s="116">
        <v>3809.05</v>
      </c>
      <c r="E1667" s="116">
        <v>3809.05</v>
      </c>
      <c r="F1667" s="116">
        <v>3890.05</v>
      </c>
      <c r="G1667">
        <v>12916</v>
      </c>
      <c r="H1667" s="116"/>
      <c r="I1667" s="116"/>
      <c r="L1667" s="170">
        <v>45089</v>
      </c>
      <c r="M1667" s="116">
        <v>3890.3</v>
      </c>
      <c r="N1667" s="116">
        <v>3900</v>
      </c>
      <c r="O1667" s="116">
        <v>3804.5</v>
      </c>
      <c r="P1667" s="116">
        <v>3818</v>
      </c>
      <c r="Q1667" s="116">
        <v>3890.3</v>
      </c>
      <c r="R1667">
        <v>202461</v>
      </c>
    </row>
    <row r="1668" spans="1:18" x14ac:dyDescent="0.25">
      <c r="A1668" s="170">
        <v>45090</v>
      </c>
      <c r="B1668" s="116">
        <v>3959</v>
      </c>
      <c r="C1668" s="116">
        <v>3955.05</v>
      </c>
      <c r="D1668" s="116">
        <v>3904.65</v>
      </c>
      <c r="E1668" s="116">
        <v>3924.95</v>
      </c>
      <c r="F1668" s="116">
        <v>3955.05</v>
      </c>
      <c r="G1668">
        <v>5494</v>
      </c>
      <c r="H1668" s="116"/>
      <c r="I1668" s="116"/>
      <c r="L1668" s="170">
        <v>45090</v>
      </c>
      <c r="M1668" s="116">
        <v>3953.8</v>
      </c>
      <c r="N1668" s="116">
        <v>3959</v>
      </c>
      <c r="O1668" s="116">
        <v>3903</v>
      </c>
      <c r="P1668" s="116">
        <v>3918</v>
      </c>
      <c r="Q1668" s="116">
        <v>3953.8</v>
      </c>
      <c r="R1668">
        <v>217285</v>
      </c>
    </row>
    <row r="1669" spans="1:18" x14ac:dyDescent="0.25">
      <c r="A1669" s="170">
        <v>45091</v>
      </c>
      <c r="B1669" s="116">
        <v>3958</v>
      </c>
      <c r="C1669" s="116">
        <v>3876.4</v>
      </c>
      <c r="D1669" s="116">
        <v>3871</v>
      </c>
      <c r="E1669" s="116">
        <v>3958</v>
      </c>
      <c r="F1669" s="116">
        <v>3876.4</v>
      </c>
      <c r="G1669">
        <v>11903</v>
      </c>
      <c r="H1669" s="116"/>
      <c r="I1669" s="116"/>
      <c r="L1669" s="170">
        <v>45091</v>
      </c>
      <c r="M1669" s="116">
        <v>3876.3</v>
      </c>
      <c r="N1669" s="116">
        <v>3960</v>
      </c>
      <c r="O1669" s="116">
        <v>3870</v>
      </c>
      <c r="P1669" s="116">
        <v>3958</v>
      </c>
      <c r="Q1669" s="116">
        <v>3876.3</v>
      </c>
      <c r="R1669">
        <v>258839</v>
      </c>
    </row>
    <row r="1670" spans="1:18" x14ac:dyDescent="0.25">
      <c r="A1670" s="170">
        <v>45092</v>
      </c>
      <c r="B1670" s="116">
        <v>3884.15</v>
      </c>
      <c r="C1670" s="116">
        <v>3836.55</v>
      </c>
      <c r="D1670" s="116">
        <v>3828</v>
      </c>
      <c r="E1670" s="116">
        <v>3880</v>
      </c>
      <c r="F1670" s="116">
        <v>3836.55</v>
      </c>
      <c r="G1670">
        <v>10581</v>
      </c>
      <c r="H1670" s="116"/>
      <c r="I1670" s="116"/>
      <c r="L1670" s="170">
        <v>45092</v>
      </c>
      <c r="M1670" s="116">
        <v>3836.25</v>
      </c>
      <c r="N1670" s="116">
        <v>3896.95</v>
      </c>
      <c r="O1670" s="116">
        <v>3825.65</v>
      </c>
      <c r="P1670" s="116">
        <v>3877.9</v>
      </c>
      <c r="Q1670" s="116">
        <v>3836.25</v>
      </c>
      <c r="R1670">
        <v>353775</v>
      </c>
    </row>
    <row r="1671" spans="1:18" x14ac:dyDescent="0.25">
      <c r="A1671" s="170">
        <v>45093</v>
      </c>
      <c r="B1671" s="116">
        <v>3913.45</v>
      </c>
      <c r="C1671" s="116">
        <v>3877.45</v>
      </c>
      <c r="D1671" s="116">
        <v>3840.25</v>
      </c>
      <c r="E1671" s="116">
        <v>3840.25</v>
      </c>
      <c r="F1671" s="116">
        <v>3877.45</v>
      </c>
      <c r="G1671">
        <v>15215</v>
      </c>
      <c r="H1671" s="116"/>
      <c r="I1671" s="116"/>
      <c r="L1671" s="170">
        <v>45093</v>
      </c>
      <c r="M1671" s="116">
        <v>3878.45</v>
      </c>
      <c r="N1671" s="116">
        <v>3914.8</v>
      </c>
      <c r="O1671" s="116">
        <v>3841.15</v>
      </c>
      <c r="P1671" s="116">
        <v>3851.95</v>
      </c>
      <c r="Q1671" s="116">
        <v>3878.45</v>
      </c>
      <c r="R1671">
        <v>250935</v>
      </c>
    </row>
    <row r="1672" spans="1:18" x14ac:dyDescent="0.25">
      <c r="A1672" s="170">
        <v>45096</v>
      </c>
      <c r="B1672" s="116">
        <v>3941.75</v>
      </c>
      <c r="C1672" s="116">
        <v>3908.5</v>
      </c>
      <c r="D1672" s="116">
        <v>3865</v>
      </c>
      <c r="E1672" s="116">
        <v>3865</v>
      </c>
      <c r="F1672" s="116">
        <v>3908.5</v>
      </c>
      <c r="G1672">
        <v>6213</v>
      </c>
      <c r="H1672" s="116"/>
      <c r="I1672" s="116"/>
      <c r="L1672" s="170">
        <v>45096</v>
      </c>
      <c r="M1672" s="116">
        <v>3906</v>
      </c>
      <c r="N1672" s="116">
        <v>3939.75</v>
      </c>
      <c r="O1672" s="116">
        <v>3861.25</v>
      </c>
      <c r="P1672" s="116">
        <v>3874.6</v>
      </c>
      <c r="Q1672" s="116">
        <v>3906</v>
      </c>
      <c r="R1672">
        <v>166842</v>
      </c>
    </row>
    <row r="1673" spans="1:18" x14ac:dyDescent="0.25">
      <c r="A1673" s="170">
        <v>45097</v>
      </c>
      <c r="B1673" s="116">
        <v>4000</v>
      </c>
      <c r="C1673" s="116">
        <v>3970.8</v>
      </c>
      <c r="D1673" s="116">
        <v>3873</v>
      </c>
      <c r="E1673" s="116">
        <v>3924</v>
      </c>
      <c r="F1673" s="116">
        <v>3970.8</v>
      </c>
      <c r="G1673">
        <v>20486</v>
      </c>
      <c r="H1673" s="116"/>
      <c r="I1673" s="116"/>
      <c r="L1673" s="170">
        <v>45097</v>
      </c>
      <c r="M1673" s="116">
        <v>3970.15</v>
      </c>
      <c r="N1673" s="116">
        <v>4000</v>
      </c>
      <c r="O1673" s="116">
        <v>3873.1</v>
      </c>
      <c r="P1673" s="116">
        <v>3924</v>
      </c>
      <c r="Q1673" s="116">
        <v>3970.15</v>
      </c>
      <c r="R1673">
        <v>328778</v>
      </c>
    </row>
    <row r="1674" spans="1:18" x14ac:dyDescent="0.25">
      <c r="A1674" s="170">
        <v>45098</v>
      </c>
      <c r="B1674" s="116">
        <v>4031.95</v>
      </c>
      <c r="C1674" s="116">
        <v>3996.65</v>
      </c>
      <c r="D1674" s="116">
        <v>3936.8</v>
      </c>
      <c r="E1674" s="116">
        <v>3983.05</v>
      </c>
      <c r="F1674" s="116">
        <v>3996.65</v>
      </c>
      <c r="G1674">
        <v>17865</v>
      </c>
      <c r="H1674" s="116"/>
      <c r="I1674" s="116"/>
      <c r="L1674" s="170">
        <v>45098</v>
      </c>
      <c r="M1674" s="116">
        <v>3996.4</v>
      </c>
      <c r="N1674" s="116">
        <v>4033.25</v>
      </c>
      <c r="O1674" s="116">
        <v>3935.35</v>
      </c>
      <c r="P1674" s="116">
        <v>3996</v>
      </c>
      <c r="Q1674" s="116">
        <v>3996.4</v>
      </c>
      <c r="R1674">
        <v>371549</v>
      </c>
    </row>
    <row r="1675" spans="1:18" x14ac:dyDescent="0.25">
      <c r="A1675" s="170">
        <v>45099</v>
      </c>
      <c r="B1675" s="116">
        <v>3998.7</v>
      </c>
      <c r="C1675" s="116">
        <v>3984.6</v>
      </c>
      <c r="D1675" s="116">
        <v>3941</v>
      </c>
      <c r="E1675" s="116">
        <v>3990</v>
      </c>
      <c r="F1675" s="116">
        <v>3984.6</v>
      </c>
      <c r="G1675">
        <v>8344</v>
      </c>
      <c r="H1675" s="116"/>
      <c r="I1675" s="116"/>
      <c r="L1675" s="170">
        <v>45099</v>
      </c>
      <c r="M1675" s="116">
        <v>3984.05</v>
      </c>
      <c r="N1675" s="116">
        <v>3999</v>
      </c>
      <c r="O1675" s="116">
        <v>3940.05</v>
      </c>
      <c r="P1675" s="116">
        <v>3989</v>
      </c>
      <c r="Q1675" s="116">
        <v>3984.05</v>
      </c>
      <c r="R1675">
        <v>165867</v>
      </c>
    </row>
    <row r="1676" spans="1:18" x14ac:dyDescent="0.25">
      <c r="A1676" s="170">
        <v>45100</v>
      </c>
      <c r="B1676" s="116">
        <v>3985</v>
      </c>
      <c r="C1676" s="116">
        <v>3818</v>
      </c>
      <c r="D1676" s="116">
        <v>3802.65</v>
      </c>
      <c r="E1676" s="116">
        <v>3985</v>
      </c>
      <c r="F1676" s="116">
        <v>3818</v>
      </c>
      <c r="G1676">
        <v>24952</v>
      </c>
      <c r="H1676" s="116"/>
      <c r="I1676" s="116"/>
      <c r="L1676" s="170">
        <v>45100</v>
      </c>
      <c r="M1676" s="116">
        <v>3817.15</v>
      </c>
      <c r="N1676" s="116">
        <v>3975</v>
      </c>
      <c r="O1676" s="116">
        <v>3803</v>
      </c>
      <c r="P1676" s="116">
        <v>3975</v>
      </c>
      <c r="Q1676" s="116">
        <v>3817.15</v>
      </c>
      <c r="R1676">
        <v>581614</v>
      </c>
    </row>
    <row r="1677" spans="1:18" x14ac:dyDescent="0.25">
      <c r="A1677" s="170">
        <v>45103</v>
      </c>
      <c r="B1677" s="116">
        <v>3845</v>
      </c>
      <c r="C1677" s="116">
        <v>3812.3</v>
      </c>
      <c r="D1677" s="116">
        <v>3756.8</v>
      </c>
      <c r="E1677" s="116">
        <v>3833.05</v>
      </c>
      <c r="F1677" s="116">
        <v>3812.3</v>
      </c>
      <c r="G1677">
        <v>13081</v>
      </c>
      <c r="H1677" s="116"/>
      <c r="I1677" s="116"/>
      <c r="L1677" s="170">
        <v>45103</v>
      </c>
      <c r="M1677" s="116">
        <v>3812.55</v>
      </c>
      <c r="N1677" s="116">
        <v>3845.95</v>
      </c>
      <c r="O1677" s="116">
        <v>3755.25</v>
      </c>
      <c r="P1677" s="116">
        <v>3832</v>
      </c>
      <c r="Q1677" s="116">
        <v>3812.55</v>
      </c>
      <c r="R1677">
        <v>328787</v>
      </c>
    </row>
    <row r="1678" spans="1:18" x14ac:dyDescent="0.25">
      <c r="A1678" s="170">
        <v>45104</v>
      </c>
      <c r="B1678" s="116">
        <v>3871.9</v>
      </c>
      <c r="C1678" s="116">
        <v>3848.4</v>
      </c>
      <c r="D1678" s="116">
        <v>3808.95</v>
      </c>
      <c r="E1678" s="116">
        <v>3821.05</v>
      </c>
      <c r="F1678" s="116">
        <v>3848.4</v>
      </c>
      <c r="G1678">
        <v>47045</v>
      </c>
      <c r="H1678" s="116"/>
      <c r="I1678" s="116"/>
      <c r="L1678" s="170">
        <v>45104</v>
      </c>
      <c r="M1678" s="116">
        <v>3849.3</v>
      </c>
      <c r="N1678" s="116">
        <v>3870.05</v>
      </c>
      <c r="O1678" s="116">
        <v>3806.15</v>
      </c>
      <c r="P1678" s="116">
        <v>3825.85</v>
      </c>
      <c r="Q1678" s="116">
        <v>3849.3</v>
      </c>
      <c r="R1678">
        <v>213813</v>
      </c>
    </row>
    <row r="1679" spans="1:18" x14ac:dyDescent="0.25">
      <c r="A1679" s="170">
        <v>45105</v>
      </c>
      <c r="B1679" s="116">
        <v>3898.15</v>
      </c>
      <c r="C1679" s="116">
        <v>3845.55</v>
      </c>
      <c r="D1679" s="116">
        <v>3835.85</v>
      </c>
      <c r="E1679" s="116">
        <v>3893.75</v>
      </c>
      <c r="F1679" s="116">
        <v>3845.55</v>
      </c>
      <c r="G1679">
        <v>4096</v>
      </c>
      <c r="H1679" s="116"/>
      <c r="I1679" s="116"/>
      <c r="L1679" s="170">
        <v>45105</v>
      </c>
      <c r="M1679" s="116">
        <v>3846.8</v>
      </c>
      <c r="N1679" s="116">
        <v>3898</v>
      </c>
      <c r="O1679" s="116">
        <v>3832.75</v>
      </c>
      <c r="P1679" s="116">
        <v>3877</v>
      </c>
      <c r="Q1679" s="116">
        <v>3846.8</v>
      </c>
      <c r="R1679">
        <v>179113</v>
      </c>
    </row>
    <row r="1680" spans="1:18" x14ac:dyDescent="0.25">
      <c r="A1680" s="170">
        <v>45107</v>
      </c>
      <c r="B1680" s="116">
        <v>3943.4</v>
      </c>
      <c r="C1680" s="116">
        <v>3931.7</v>
      </c>
      <c r="D1680" s="116">
        <v>3860.05</v>
      </c>
      <c r="E1680" s="116">
        <v>3888</v>
      </c>
      <c r="F1680" s="116">
        <v>3931.7</v>
      </c>
      <c r="G1680">
        <v>7813</v>
      </c>
      <c r="H1680" s="116"/>
      <c r="I1680" s="116"/>
      <c r="L1680" s="170">
        <v>45107</v>
      </c>
      <c r="M1680" s="116">
        <v>3936.1</v>
      </c>
      <c r="N1680" s="116">
        <v>3946</v>
      </c>
      <c r="O1680" s="116">
        <v>3851</v>
      </c>
      <c r="P1680" s="116">
        <v>3851</v>
      </c>
      <c r="Q1680" s="116">
        <v>3936.1</v>
      </c>
      <c r="R1680">
        <v>229386</v>
      </c>
    </row>
    <row r="1681" spans="1:18" x14ac:dyDescent="0.25">
      <c r="A1681" s="170">
        <v>45110</v>
      </c>
      <c r="B1681" s="116">
        <v>3980</v>
      </c>
      <c r="C1681" s="116">
        <v>3897.5</v>
      </c>
      <c r="D1681" s="116">
        <v>3888</v>
      </c>
      <c r="E1681" s="116">
        <v>3980</v>
      </c>
      <c r="F1681" s="116">
        <v>3897.5</v>
      </c>
      <c r="G1681">
        <v>5909</v>
      </c>
      <c r="H1681" s="116"/>
      <c r="I1681" s="116"/>
      <c r="L1681" s="170">
        <v>45110</v>
      </c>
      <c r="M1681" s="116">
        <v>3896.15</v>
      </c>
      <c r="N1681" s="116">
        <v>3975.5</v>
      </c>
      <c r="O1681" s="116">
        <v>3884.7</v>
      </c>
      <c r="P1681" s="116">
        <v>3960</v>
      </c>
      <c r="Q1681" s="116">
        <v>3896.15</v>
      </c>
      <c r="R1681">
        <v>144900</v>
      </c>
    </row>
    <row r="1682" spans="1:18" x14ac:dyDescent="0.25">
      <c r="A1682" s="170">
        <v>45111</v>
      </c>
      <c r="B1682" s="116">
        <v>3966.9</v>
      </c>
      <c r="C1682" s="116">
        <v>3948</v>
      </c>
      <c r="D1682" s="116">
        <v>3903.05</v>
      </c>
      <c r="E1682" s="116">
        <v>3919.95</v>
      </c>
      <c r="F1682" s="116">
        <v>3948</v>
      </c>
      <c r="G1682">
        <v>10291</v>
      </c>
      <c r="H1682" s="116"/>
      <c r="I1682" s="116"/>
      <c r="L1682" s="170">
        <v>45111</v>
      </c>
      <c r="M1682" s="116">
        <v>3950.1</v>
      </c>
      <c r="N1682" s="116">
        <v>3965.95</v>
      </c>
      <c r="O1682" s="116">
        <v>3904.05</v>
      </c>
      <c r="P1682" s="116">
        <v>3907</v>
      </c>
      <c r="Q1682" s="116">
        <v>3950.1</v>
      </c>
      <c r="R1682">
        <v>189076</v>
      </c>
    </row>
    <row r="1683" spans="1:18" x14ac:dyDescent="0.25">
      <c r="A1683" s="170">
        <v>45112</v>
      </c>
      <c r="B1683" s="116">
        <v>4016.25</v>
      </c>
      <c r="C1683" s="116">
        <v>4007.8</v>
      </c>
      <c r="D1683" s="116">
        <v>3938.65</v>
      </c>
      <c r="E1683" s="116">
        <v>3951.05</v>
      </c>
      <c r="F1683" s="116">
        <v>4007.8</v>
      </c>
      <c r="G1683">
        <v>6381</v>
      </c>
      <c r="H1683" s="116"/>
      <c r="I1683" s="116"/>
      <c r="L1683" s="170">
        <v>45112</v>
      </c>
      <c r="M1683" s="116">
        <v>4005.95</v>
      </c>
      <c r="N1683" s="116">
        <v>4018.6</v>
      </c>
      <c r="O1683" s="116">
        <v>3937.15</v>
      </c>
      <c r="P1683" s="116">
        <v>3974.85</v>
      </c>
      <c r="Q1683" s="116">
        <v>4005.95</v>
      </c>
      <c r="R1683">
        <v>288321</v>
      </c>
    </row>
    <row r="1684" spans="1:18" x14ac:dyDescent="0.25">
      <c r="A1684" s="170">
        <v>45113</v>
      </c>
      <c r="B1684" s="116">
        <v>4020</v>
      </c>
      <c r="C1684" s="116">
        <v>3999.05</v>
      </c>
      <c r="D1684" s="116">
        <v>3970.6</v>
      </c>
      <c r="E1684" s="116">
        <v>4011</v>
      </c>
      <c r="F1684" s="116">
        <v>3999.05</v>
      </c>
      <c r="G1684">
        <v>9645</v>
      </c>
      <c r="H1684" s="116"/>
      <c r="I1684" s="116"/>
      <c r="L1684" s="170">
        <v>45113</v>
      </c>
      <c r="M1684" s="116">
        <v>4000.6</v>
      </c>
      <c r="N1684" s="116">
        <v>4020</v>
      </c>
      <c r="O1684" s="116">
        <v>3970</v>
      </c>
      <c r="P1684" s="116">
        <v>4020</v>
      </c>
      <c r="Q1684" s="116">
        <v>4000.6</v>
      </c>
      <c r="R1684">
        <v>126460</v>
      </c>
    </row>
    <row r="1685" spans="1:18" x14ac:dyDescent="0.25">
      <c r="A1685" s="170">
        <v>45114</v>
      </c>
      <c r="B1685" s="116">
        <v>4013.15</v>
      </c>
      <c r="C1685" s="116">
        <v>3942.35</v>
      </c>
      <c r="D1685" s="116">
        <v>3906.25</v>
      </c>
      <c r="E1685" s="116">
        <v>3984.95</v>
      </c>
      <c r="F1685" s="116">
        <v>3942.35</v>
      </c>
      <c r="G1685">
        <v>9262</v>
      </c>
      <c r="H1685" s="116"/>
      <c r="I1685" s="116"/>
      <c r="L1685" s="170">
        <v>45114</v>
      </c>
      <c r="M1685" s="116">
        <v>3943.15</v>
      </c>
      <c r="N1685" s="116">
        <v>4012.3</v>
      </c>
      <c r="O1685" s="116">
        <v>3906.15</v>
      </c>
      <c r="P1685" s="116">
        <v>3951</v>
      </c>
      <c r="Q1685" s="116">
        <v>3943.15</v>
      </c>
      <c r="R1685">
        <v>198445</v>
      </c>
    </row>
    <row r="1686" spans="1:18" x14ac:dyDescent="0.25">
      <c r="A1686" s="170">
        <v>45117</v>
      </c>
      <c r="B1686" s="116">
        <v>3985</v>
      </c>
      <c r="C1686" s="116">
        <v>3919.1</v>
      </c>
      <c r="D1686" s="116">
        <v>3851.3</v>
      </c>
      <c r="E1686" s="116">
        <v>3985</v>
      </c>
      <c r="F1686" s="116">
        <v>3919.1</v>
      </c>
      <c r="G1686">
        <v>7904</v>
      </c>
      <c r="H1686" s="116"/>
      <c r="I1686" s="116"/>
      <c r="L1686" s="170">
        <v>45117</v>
      </c>
      <c r="M1686" s="116">
        <v>3918.65</v>
      </c>
      <c r="N1686" s="116">
        <v>3980</v>
      </c>
      <c r="O1686" s="116">
        <v>3850</v>
      </c>
      <c r="P1686" s="116">
        <v>3980</v>
      </c>
      <c r="Q1686" s="116">
        <v>3918.65</v>
      </c>
      <c r="R1686">
        <v>268392</v>
      </c>
    </row>
    <row r="1687" spans="1:18" x14ac:dyDescent="0.25">
      <c r="A1687" s="170">
        <v>45118</v>
      </c>
      <c r="B1687" s="116">
        <v>3926</v>
      </c>
      <c r="C1687" s="116">
        <v>3895.75</v>
      </c>
      <c r="D1687" s="116">
        <v>3831.8</v>
      </c>
      <c r="E1687" s="116">
        <v>3858.05</v>
      </c>
      <c r="F1687" s="116">
        <v>3895.75</v>
      </c>
      <c r="G1687">
        <v>13794</v>
      </c>
      <c r="H1687" s="116"/>
      <c r="I1687" s="116"/>
      <c r="L1687" s="170">
        <v>45118</v>
      </c>
      <c r="M1687" s="116">
        <v>3896.9</v>
      </c>
      <c r="N1687" s="116">
        <v>3928.95</v>
      </c>
      <c r="O1687" s="116">
        <v>3833</v>
      </c>
      <c r="P1687" s="116">
        <v>3885</v>
      </c>
      <c r="Q1687" s="116">
        <v>3896.9</v>
      </c>
      <c r="R1687">
        <v>253696</v>
      </c>
    </row>
    <row r="1688" spans="1:18" x14ac:dyDescent="0.25">
      <c r="A1688" s="170">
        <v>45119</v>
      </c>
      <c r="B1688" s="116">
        <v>3919</v>
      </c>
      <c r="C1688" s="116">
        <v>3851.65</v>
      </c>
      <c r="D1688" s="116">
        <v>3837.95</v>
      </c>
      <c r="E1688" s="116">
        <v>3895</v>
      </c>
      <c r="F1688" s="116">
        <v>3851.65</v>
      </c>
      <c r="G1688">
        <v>5565</v>
      </c>
      <c r="H1688" s="116"/>
      <c r="I1688" s="116"/>
      <c r="L1688" s="170">
        <v>45119</v>
      </c>
      <c r="M1688" s="116">
        <v>3850.95</v>
      </c>
      <c r="N1688" s="116">
        <v>3918.75</v>
      </c>
      <c r="O1688" s="116">
        <v>3835</v>
      </c>
      <c r="P1688" s="116">
        <v>3911.95</v>
      </c>
      <c r="Q1688" s="116">
        <v>3850.95</v>
      </c>
      <c r="R1688">
        <v>216963</v>
      </c>
    </row>
    <row r="1689" spans="1:18" x14ac:dyDescent="0.25">
      <c r="A1689" s="170">
        <v>45120</v>
      </c>
      <c r="B1689" s="116">
        <v>3944</v>
      </c>
      <c r="C1689" s="116">
        <v>3882.95</v>
      </c>
      <c r="D1689" s="116">
        <v>3822.25</v>
      </c>
      <c r="E1689" s="116">
        <v>3850</v>
      </c>
      <c r="F1689" s="116">
        <v>3882.95</v>
      </c>
      <c r="G1689">
        <v>15381</v>
      </c>
      <c r="H1689" s="116"/>
      <c r="I1689" s="116"/>
      <c r="L1689" s="170">
        <v>45120</v>
      </c>
      <c r="M1689" s="116">
        <v>3884.7</v>
      </c>
      <c r="N1689" s="116">
        <v>3943.65</v>
      </c>
      <c r="O1689" s="116">
        <v>3821.7</v>
      </c>
      <c r="P1689" s="116">
        <v>3845</v>
      </c>
      <c r="Q1689" s="116">
        <v>3884.7</v>
      </c>
      <c r="R1689">
        <v>238631</v>
      </c>
    </row>
    <row r="1690" spans="1:18" x14ac:dyDescent="0.25">
      <c r="A1690" s="170">
        <v>45121</v>
      </c>
      <c r="B1690" s="116">
        <v>4110</v>
      </c>
      <c r="C1690" s="116">
        <v>4097.3</v>
      </c>
      <c r="D1690" s="116">
        <v>3892.95</v>
      </c>
      <c r="E1690" s="116">
        <v>3892.95</v>
      </c>
      <c r="F1690" s="116">
        <v>4097.3</v>
      </c>
      <c r="G1690">
        <v>23049</v>
      </c>
      <c r="H1690" s="116"/>
      <c r="I1690" s="116"/>
      <c r="L1690" s="170">
        <v>45121</v>
      </c>
      <c r="M1690" s="116">
        <v>4094.95</v>
      </c>
      <c r="N1690" s="116">
        <v>4110</v>
      </c>
      <c r="O1690" s="116">
        <v>3900.05</v>
      </c>
      <c r="P1690" s="116">
        <v>3915</v>
      </c>
      <c r="Q1690" s="116">
        <v>4094.95</v>
      </c>
      <c r="R1690">
        <v>774617</v>
      </c>
    </row>
    <row r="1691" spans="1:18" x14ac:dyDescent="0.25">
      <c r="A1691" s="170">
        <v>45124</v>
      </c>
      <c r="B1691" s="116">
        <v>4165</v>
      </c>
      <c r="C1691" s="116">
        <v>4099.3</v>
      </c>
      <c r="D1691" s="116">
        <v>4065.4</v>
      </c>
      <c r="E1691" s="116">
        <v>4111.05</v>
      </c>
      <c r="F1691" s="116">
        <v>4099.3</v>
      </c>
      <c r="G1691">
        <v>31529</v>
      </c>
      <c r="H1691" s="116"/>
      <c r="I1691" s="116"/>
      <c r="L1691" s="170">
        <v>45124</v>
      </c>
      <c r="M1691" s="116">
        <v>4097.3</v>
      </c>
      <c r="N1691" s="116">
        <v>4166.7</v>
      </c>
      <c r="O1691" s="116">
        <v>4066.55</v>
      </c>
      <c r="P1691" s="116">
        <v>4128</v>
      </c>
      <c r="Q1691" s="116">
        <v>4097.3</v>
      </c>
      <c r="R1691">
        <v>548398</v>
      </c>
    </row>
    <row r="1692" spans="1:18" x14ac:dyDescent="0.25">
      <c r="A1692" s="170">
        <v>45125</v>
      </c>
      <c r="B1692" s="116">
        <v>4113.1000000000004</v>
      </c>
      <c r="C1692" s="116">
        <v>4063.55</v>
      </c>
      <c r="D1692" s="116">
        <v>4021</v>
      </c>
      <c r="E1692" s="116">
        <v>4100</v>
      </c>
      <c r="F1692" s="116">
        <v>4063.55</v>
      </c>
      <c r="G1692">
        <v>19047</v>
      </c>
      <c r="H1692" s="116"/>
      <c r="I1692" s="116"/>
      <c r="L1692" s="170">
        <v>45125</v>
      </c>
      <c r="M1692" s="116">
        <v>4067.7</v>
      </c>
      <c r="N1692" s="116">
        <v>4119.2</v>
      </c>
      <c r="O1692" s="116">
        <v>4020.3</v>
      </c>
      <c r="P1692" s="116">
        <v>4104.95</v>
      </c>
      <c r="Q1692" s="116">
        <v>4067.7</v>
      </c>
      <c r="R1692">
        <v>347438</v>
      </c>
    </row>
    <row r="1693" spans="1:18" x14ac:dyDescent="0.25">
      <c r="A1693" s="170">
        <v>45126</v>
      </c>
      <c r="B1693" s="116">
        <v>4209.95</v>
      </c>
      <c r="C1693" s="116">
        <v>4144.1499999999996</v>
      </c>
      <c r="D1693" s="116">
        <v>4030.85</v>
      </c>
      <c r="E1693" s="116">
        <v>4042</v>
      </c>
      <c r="F1693" s="116">
        <v>4144.1499999999996</v>
      </c>
      <c r="G1693">
        <v>33033</v>
      </c>
      <c r="H1693" s="116"/>
      <c r="I1693" s="116"/>
      <c r="L1693" s="170">
        <v>45126</v>
      </c>
      <c r="M1693" s="116">
        <v>4142.8</v>
      </c>
      <c r="N1693" s="116">
        <v>4209.8999999999996</v>
      </c>
      <c r="O1693" s="116">
        <v>4025</v>
      </c>
      <c r="P1693" s="116">
        <v>4035</v>
      </c>
      <c r="Q1693" s="116">
        <v>4142.8</v>
      </c>
      <c r="R1693">
        <v>1279714</v>
      </c>
    </row>
    <row r="1694" spans="1:18" x14ac:dyDescent="0.25">
      <c r="A1694" s="170">
        <v>45127</v>
      </c>
      <c r="B1694" s="116">
        <v>4151.95</v>
      </c>
      <c r="C1694" s="116">
        <v>4085.4</v>
      </c>
      <c r="D1694" s="116">
        <v>4035</v>
      </c>
      <c r="E1694" s="116">
        <v>4110.05</v>
      </c>
      <c r="F1694" s="116">
        <v>4085.4</v>
      </c>
      <c r="G1694">
        <v>16455</v>
      </c>
      <c r="H1694" s="116"/>
      <c r="I1694" s="116"/>
      <c r="L1694" s="170">
        <v>45127</v>
      </c>
      <c r="M1694" s="116">
        <v>4090.55</v>
      </c>
      <c r="N1694" s="116">
        <v>4158.5</v>
      </c>
      <c r="O1694" s="116">
        <v>4032.95</v>
      </c>
      <c r="P1694" s="116">
        <v>4142.8</v>
      </c>
      <c r="Q1694" s="116">
        <v>4090.55</v>
      </c>
      <c r="R1694">
        <v>377430</v>
      </c>
    </row>
    <row r="1695" spans="1:18" x14ac:dyDescent="0.25">
      <c r="A1695" s="170">
        <v>45128</v>
      </c>
      <c r="B1695" s="116">
        <v>4105</v>
      </c>
      <c r="C1695" s="116">
        <v>4043.1</v>
      </c>
      <c r="D1695" s="116">
        <v>3985</v>
      </c>
      <c r="E1695" s="116">
        <v>4040</v>
      </c>
      <c r="F1695" s="116">
        <v>4043.1</v>
      </c>
      <c r="G1695">
        <v>10531</v>
      </c>
      <c r="H1695" s="116"/>
      <c r="I1695" s="116"/>
      <c r="L1695" s="170">
        <v>45128</v>
      </c>
      <c r="M1695" s="116">
        <v>4042.05</v>
      </c>
      <c r="N1695" s="116">
        <v>4108.7</v>
      </c>
      <c r="O1695" s="116">
        <v>3979.9</v>
      </c>
      <c r="P1695" s="116">
        <v>4010</v>
      </c>
      <c r="Q1695" s="116">
        <v>4042.05</v>
      </c>
      <c r="R1695">
        <v>279268</v>
      </c>
    </row>
    <row r="1696" spans="1:18" x14ac:dyDescent="0.25">
      <c r="A1696" s="170">
        <v>45131</v>
      </c>
      <c r="B1696" s="116">
        <v>4055.15</v>
      </c>
      <c r="C1696" s="116">
        <v>3996</v>
      </c>
      <c r="D1696" s="116">
        <v>3985.15</v>
      </c>
      <c r="E1696" s="116">
        <v>4021.05</v>
      </c>
      <c r="F1696" s="116">
        <v>3996</v>
      </c>
      <c r="G1696">
        <v>12541</v>
      </c>
      <c r="H1696" s="116"/>
      <c r="I1696" s="116"/>
      <c r="L1696" s="170">
        <v>45131</v>
      </c>
      <c r="M1696" s="116">
        <v>3993.75</v>
      </c>
      <c r="N1696" s="116">
        <v>4060</v>
      </c>
      <c r="O1696" s="116">
        <v>3985</v>
      </c>
      <c r="P1696" s="116">
        <v>4049.85</v>
      </c>
      <c r="Q1696" s="116">
        <v>3993.75</v>
      </c>
      <c r="R1696">
        <v>178269</v>
      </c>
    </row>
    <row r="1697" spans="1:18" x14ac:dyDescent="0.25">
      <c r="A1697" s="170">
        <v>45132</v>
      </c>
      <c r="B1697" s="116">
        <v>4034</v>
      </c>
      <c r="C1697" s="116">
        <v>3970.35</v>
      </c>
      <c r="D1697" s="116">
        <v>3938.6</v>
      </c>
      <c r="E1697" s="116">
        <v>3998</v>
      </c>
      <c r="F1697" s="116">
        <v>3970.35</v>
      </c>
      <c r="G1697">
        <v>13792</v>
      </c>
      <c r="H1697" s="116"/>
      <c r="I1697" s="116"/>
      <c r="L1697" s="170">
        <v>45132</v>
      </c>
      <c r="M1697" s="116">
        <v>3974.15</v>
      </c>
      <c r="N1697" s="116">
        <v>4025</v>
      </c>
      <c r="O1697" s="116">
        <v>3937</v>
      </c>
      <c r="P1697" s="116">
        <v>4011.2</v>
      </c>
      <c r="Q1697" s="116">
        <v>3974.15</v>
      </c>
      <c r="R1697">
        <v>195949</v>
      </c>
    </row>
    <row r="1698" spans="1:18" x14ac:dyDescent="0.25">
      <c r="A1698" s="170">
        <v>45133</v>
      </c>
      <c r="B1698" s="116">
        <v>4019.05</v>
      </c>
      <c r="C1698" s="116">
        <v>3932.4</v>
      </c>
      <c r="D1698" s="116">
        <v>3923.65</v>
      </c>
      <c r="E1698" s="116">
        <v>3974.05</v>
      </c>
      <c r="F1698" s="116">
        <v>3932.4</v>
      </c>
      <c r="G1698">
        <v>3940</v>
      </c>
      <c r="H1698" s="116"/>
      <c r="I1698" s="116"/>
      <c r="L1698" s="170">
        <v>45133</v>
      </c>
      <c r="M1698" s="116">
        <v>3932.85</v>
      </c>
      <c r="N1698" s="116">
        <v>4020</v>
      </c>
      <c r="O1698" s="116">
        <v>3920.05</v>
      </c>
      <c r="P1698" s="116">
        <v>4005</v>
      </c>
      <c r="Q1698" s="116">
        <v>3932.85</v>
      </c>
      <c r="R1698">
        <v>142322</v>
      </c>
    </row>
    <row r="1699" spans="1:18" x14ac:dyDescent="0.25">
      <c r="A1699" s="170">
        <v>45134</v>
      </c>
      <c r="B1699" s="116">
        <v>3969.55</v>
      </c>
      <c r="C1699" s="116">
        <v>3938</v>
      </c>
      <c r="D1699" s="116">
        <v>3910</v>
      </c>
      <c r="E1699" s="116">
        <v>3951.05</v>
      </c>
      <c r="F1699" s="116">
        <v>3938</v>
      </c>
      <c r="G1699">
        <v>4609</v>
      </c>
      <c r="H1699" s="116"/>
      <c r="I1699" s="116"/>
      <c r="L1699" s="170">
        <v>45134</v>
      </c>
      <c r="M1699" s="116">
        <v>3938.95</v>
      </c>
      <c r="N1699" s="116">
        <v>3978.9</v>
      </c>
      <c r="O1699" s="116">
        <v>3921.6</v>
      </c>
      <c r="P1699" s="116">
        <v>3978.9</v>
      </c>
      <c r="Q1699" s="116">
        <v>3938.95</v>
      </c>
      <c r="R1699">
        <v>136193</v>
      </c>
    </row>
    <row r="1700" spans="1:18" x14ac:dyDescent="0.25">
      <c r="A1700" s="170">
        <v>45135</v>
      </c>
      <c r="B1700" s="116">
        <v>4019.35</v>
      </c>
      <c r="C1700" s="116">
        <v>4015.85</v>
      </c>
      <c r="D1700" s="116">
        <v>3936</v>
      </c>
      <c r="E1700" s="116">
        <v>3950.25</v>
      </c>
      <c r="F1700" s="116">
        <v>4015.85</v>
      </c>
      <c r="G1700">
        <v>3495</v>
      </c>
      <c r="H1700" s="116"/>
      <c r="I1700" s="116"/>
      <c r="L1700" s="170">
        <v>45135</v>
      </c>
      <c r="M1700" s="116">
        <v>4016.1</v>
      </c>
      <c r="N1700" s="116">
        <v>4020.45</v>
      </c>
      <c r="O1700" s="116">
        <v>3933.7</v>
      </c>
      <c r="P1700" s="116">
        <v>3954</v>
      </c>
      <c r="Q1700" s="116">
        <v>4016.1</v>
      </c>
      <c r="R1700">
        <v>176965</v>
      </c>
    </row>
    <row r="1701" spans="1:18" x14ac:dyDescent="0.25">
      <c r="A1701" s="170">
        <v>45138</v>
      </c>
      <c r="B1701" s="116">
        <v>4074.65</v>
      </c>
      <c r="C1701" s="116">
        <v>4038.7</v>
      </c>
      <c r="D1701" s="116">
        <v>4023.95</v>
      </c>
      <c r="E1701" s="116">
        <v>4039</v>
      </c>
      <c r="F1701" s="116">
        <v>4038.7</v>
      </c>
      <c r="G1701">
        <v>5441</v>
      </c>
      <c r="H1701" s="116"/>
      <c r="I1701" s="116"/>
      <c r="L1701" s="170">
        <v>45138</v>
      </c>
      <c r="M1701" s="116">
        <v>4036.25</v>
      </c>
      <c r="N1701" s="116">
        <v>4080</v>
      </c>
      <c r="O1701" s="116">
        <v>4023.2</v>
      </c>
      <c r="P1701" s="116">
        <v>4049.9</v>
      </c>
      <c r="Q1701" s="116">
        <v>4036.25</v>
      </c>
      <c r="R1701">
        <v>146377</v>
      </c>
    </row>
    <row r="1702" spans="1:18" x14ac:dyDescent="0.25">
      <c r="A1702" s="170">
        <v>45139</v>
      </c>
      <c r="B1702" s="116">
        <v>4197</v>
      </c>
      <c r="C1702" s="116">
        <v>4167.5</v>
      </c>
      <c r="D1702" s="116">
        <v>4040.05</v>
      </c>
      <c r="E1702" s="116">
        <v>4040.05</v>
      </c>
      <c r="F1702" s="116">
        <v>4167.5</v>
      </c>
      <c r="G1702">
        <v>31569</v>
      </c>
      <c r="H1702" s="116"/>
      <c r="I1702" s="116"/>
      <c r="L1702" s="170">
        <v>45139</v>
      </c>
      <c r="M1702" s="116">
        <v>4164.5</v>
      </c>
      <c r="N1702" s="116">
        <v>4198</v>
      </c>
      <c r="O1702" s="116">
        <v>4037.95</v>
      </c>
      <c r="P1702" s="116">
        <v>4064</v>
      </c>
      <c r="Q1702" s="116">
        <v>4164.5</v>
      </c>
      <c r="R1702">
        <v>622139</v>
      </c>
    </row>
    <row r="1703" spans="1:18" x14ac:dyDescent="0.25">
      <c r="A1703" s="170">
        <v>45140</v>
      </c>
      <c r="B1703" s="116">
        <v>4157.55</v>
      </c>
      <c r="C1703" s="116">
        <v>4127.25</v>
      </c>
      <c r="D1703" s="116">
        <v>4063.35</v>
      </c>
      <c r="E1703" s="116">
        <v>4149.95</v>
      </c>
      <c r="F1703" s="116">
        <v>4127.25</v>
      </c>
      <c r="G1703">
        <v>19329</v>
      </c>
      <c r="H1703" s="116"/>
      <c r="I1703" s="116"/>
      <c r="L1703" s="170">
        <v>45140</v>
      </c>
      <c r="M1703" s="116">
        <v>4126.6000000000004</v>
      </c>
      <c r="N1703" s="116">
        <v>4160.8</v>
      </c>
      <c r="O1703" s="116">
        <v>4062.95</v>
      </c>
      <c r="P1703" s="116">
        <v>4140.05</v>
      </c>
      <c r="Q1703" s="116">
        <v>4126.6000000000004</v>
      </c>
      <c r="R1703">
        <v>239623</v>
      </c>
    </row>
    <row r="1704" spans="1:18" x14ac:dyDescent="0.25">
      <c r="A1704" s="170">
        <v>45141</v>
      </c>
      <c r="B1704" s="116">
        <v>4221</v>
      </c>
      <c r="C1704" s="116">
        <v>4200.1499999999996</v>
      </c>
      <c r="D1704" s="116">
        <v>4076.95</v>
      </c>
      <c r="E1704" s="116">
        <v>4091.05</v>
      </c>
      <c r="F1704" s="116">
        <v>4200.1499999999996</v>
      </c>
      <c r="G1704">
        <v>16610</v>
      </c>
      <c r="H1704" s="116"/>
      <c r="I1704" s="116"/>
      <c r="L1704" s="170">
        <v>45141</v>
      </c>
      <c r="M1704" s="116">
        <v>4203.55</v>
      </c>
      <c r="N1704" s="116">
        <v>4223.95</v>
      </c>
      <c r="O1704" s="116">
        <v>4060</v>
      </c>
      <c r="P1704" s="116">
        <v>4100</v>
      </c>
      <c r="Q1704" s="116">
        <v>4203.55</v>
      </c>
      <c r="R1704">
        <v>200182</v>
      </c>
    </row>
    <row r="1705" spans="1:18" x14ac:dyDescent="0.25">
      <c r="A1705" s="170">
        <v>45142</v>
      </c>
      <c r="B1705" s="116">
        <v>4287</v>
      </c>
      <c r="C1705" s="116">
        <v>4213</v>
      </c>
      <c r="D1705" s="116">
        <v>4200</v>
      </c>
      <c r="E1705" s="116">
        <v>4220.05</v>
      </c>
      <c r="F1705" s="116">
        <v>4213</v>
      </c>
      <c r="G1705">
        <v>11743</v>
      </c>
      <c r="H1705" s="116"/>
      <c r="I1705" s="116"/>
      <c r="L1705" s="170">
        <v>45142</v>
      </c>
      <c r="M1705" s="116">
        <v>4215.2</v>
      </c>
      <c r="N1705" s="116">
        <v>4289.7</v>
      </c>
      <c r="O1705" s="116">
        <v>4200</v>
      </c>
      <c r="P1705" s="116">
        <v>4234</v>
      </c>
      <c r="Q1705" s="116">
        <v>4215.2</v>
      </c>
      <c r="R1705">
        <v>348931</v>
      </c>
    </row>
    <row r="1706" spans="1:18" x14ac:dyDescent="0.25">
      <c r="A1706" s="170">
        <v>45145</v>
      </c>
      <c r="B1706" s="116">
        <v>4270</v>
      </c>
      <c r="C1706" s="116">
        <v>4239.8500000000004</v>
      </c>
      <c r="D1706" s="116">
        <v>4171</v>
      </c>
      <c r="E1706" s="116">
        <v>4253.3999999999996</v>
      </c>
      <c r="F1706" s="116">
        <v>4239.8500000000004</v>
      </c>
      <c r="G1706">
        <v>6932</v>
      </c>
      <c r="H1706" s="116"/>
      <c r="I1706" s="116"/>
      <c r="L1706" s="170">
        <v>45145</v>
      </c>
      <c r="M1706" s="116">
        <v>4239.7</v>
      </c>
      <c r="N1706" s="116">
        <v>4269.95</v>
      </c>
      <c r="O1706" s="116">
        <v>4170</v>
      </c>
      <c r="P1706" s="116">
        <v>4254.8999999999996</v>
      </c>
      <c r="Q1706" s="116">
        <v>4239.7</v>
      </c>
      <c r="R1706">
        <v>190370</v>
      </c>
    </row>
    <row r="1707" spans="1:18" x14ac:dyDescent="0.25">
      <c r="A1707" s="170">
        <v>45146</v>
      </c>
      <c r="B1707" s="116">
        <v>4370</v>
      </c>
      <c r="C1707" s="116">
        <v>4275.6499999999996</v>
      </c>
      <c r="D1707" s="116">
        <v>4250</v>
      </c>
      <c r="E1707" s="116">
        <v>4250</v>
      </c>
      <c r="F1707" s="116">
        <v>4275.6499999999996</v>
      </c>
      <c r="G1707">
        <v>28409</v>
      </c>
      <c r="H1707" s="116"/>
      <c r="I1707" s="116"/>
      <c r="L1707" s="170">
        <v>45146</v>
      </c>
      <c r="M1707" s="116">
        <v>4276.55</v>
      </c>
      <c r="N1707" s="116">
        <v>4370</v>
      </c>
      <c r="O1707" s="116">
        <v>4251</v>
      </c>
      <c r="P1707" s="116">
        <v>4255</v>
      </c>
      <c r="Q1707" s="116">
        <v>4276.55</v>
      </c>
      <c r="R1707">
        <v>446404</v>
      </c>
    </row>
    <row r="1708" spans="1:18" x14ac:dyDescent="0.25">
      <c r="A1708" s="170">
        <v>45147</v>
      </c>
      <c r="B1708" s="116">
        <v>4301.05</v>
      </c>
      <c r="C1708" s="116">
        <v>4289.6000000000004</v>
      </c>
      <c r="D1708" s="116">
        <v>4239.3</v>
      </c>
      <c r="E1708" s="116">
        <v>4298.95</v>
      </c>
      <c r="F1708" s="116">
        <v>4289.6000000000004</v>
      </c>
      <c r="G1708">
        <v>6043</v>
      </c>
      <c r="H1708" s="116"/>
      <c r="I1708" s="116"/>
      <c r="L1708" s="170">
        <v>45147</v>
      </c>
      <c r="M1708" s="116">
        <v>4286.8</v>
      </c>
      <c r="N1708" s="116">
        <v>4299</v>
      </c>
      <c r="O1708" s="116">
        <v>4237</v>
      </c>
      <c r="P1708" s="116">
        <v>4280</v>
      </c>
      <c r="Q1708" s="116">
        <v>4286.8</v>
      </c>
      <c r="R1708">
        <v>118049</v>
      </c>
    </row>
    <row r="1709" spans="1:18" x14ac:dyDescent="0.25">
      <c r="A1709" s="170">
        <v>45148</v>
      </c>
      <c r="B1709" s="116">
        <v>4326</v>
      </c>
      <c r="C1709" s="116">
        <v>4239.05</v>
      </c>
      <c r="D1709" s="116">
        <v>4215.45</v>
      </c>
      <c r="E1709" s="116">
        <v>4280</v>
      </c>
      <c r="F1709" s="116">
        <v>4239.05</v>
      </c>
      <c r="G1709">
        <v>13406</v>
      </c>
      <c r="H1709" s="116"/>
      <c r="I1709" s="116"/>
      <c r="L1709" s="170">
        <v>45148</v>
      </c>
      <c r="M1709" s="116">
        <v>4241.1000000000004</v>
      </c>
      <c r="N1709" s="116">
        <v>4326</v>
      </c>
      <c r="O1709" s="116">
        <v>4215.75</v>
      </c>
      <c r="P1709" s="116">
        <v>4275</v>
      </c>
      <c r="Q1709" s="116">
        <v>4241.1000000000004</v>
      </c>
      <c r="R1709">
        <v>162250</v>
      </c>
    </row>
    <row r="1710" spans="1:18" x14ac:dyDescent="0.25">
      <c r="A1710" s="170">
        <v>45149</v>
      </c>
      <c r="B1710" s="116">
        <v>4305.2</v>
      </c>
      <c r="C1710" s="116">
        <v>4252.05</v>
      </c>
      <c r="D1710" s="116">
        <v>4238.1499999999996</v>
      </c>
      <c r="E1710" s="116">
        <v>4245.05</v>
      </c>
      <c r="F1710" s="116">
        <v>4252.05</v>
      </c>
      <c r="G1710">
        <v>3407</v>
      </c>
      <c r="H1710" s="116"/>
      <c r="I1710" s="116"/>
      <c r="L1710" s="170">
        <v>45149</v>
      </c>
      <c r="M1710" s="116">
        <v>4251.3</v>
      </c>
      <c r="N1710" s="116">
        <v>4307.45</v>
      </c>
      <c r="O1710" s="116">
        <v>4231</v>
      </c>
      <c r="P1710" s="116">
        <v>4251.95</v>
      </c>
      <c r="Q1710" s="116">
        <v>4251.3</v>
      </c>
      <c r="R1710">
        <v>95750</v>
      </c>
    </row>
    <row r="1711" spans="1:18" x14ac:dyDescent="0.25">
      <c r="A1711" s="170">
        <v>45152</v>
      </c>
      <c r="B1711" s="116">
        <v>4258.1000000000004</v>
      </c>
      <c r="C1711" s="116">
        <v>4250.7</v>
      </c>
      <c r="D1711" s="116">
        <v>4154.5</v>
      </c>
      <c r="E1711" s="116">
        <v>4205.05</v>
      </c>
      <c r="F1711" s="116">
        <v>4250.7</v>
      </c>
      <c r="G1711">
        <v>10263</v>
      </c>
      <c r="H1711" s="116"/>
      <c r="I1711" s="116"/>
      <c r="L1711" s="170">
        <v>45152</v>
      </c>
      <c r="M1711" s="116">
        <v>4250.5</v>
      </c>
      <c r="N1711" s="116">
        <v>4259.75</v>
      </c>
      <c r="O1711" s="116">
        <v>4153.3</v>
      </c>
      <c r="P1711" s="116">
        <v>4230</v>
      </c>
      <c r="Q1711" s="116">
        <v>4250.5</v>
      </c>
      <c r="R1711">
        <v>158612</v>
      </c>
    </row>
    <row r="1712" spans="1:18" x14ac:dyDescent="0.25">
      <c r="A1712" s="170">
        <v>45154</v>
      </c>
      <c r="B1712" s="116">
        <v>4311.3500000000004</v>
      </c>
      <c r="C1712" s="116">
        <v>4283.8</v>
      </c>
      <c r="D1712" s="116">
        <v>4211.6000000000004</v>
      </c>
      <c r="E1712" s="116">
        <v>4234.55</v>
      </c>
      <c r="F1712" s="116">
        <v>4283.8</v>
      </c>
      <c r="G1712">
        <v>9269</v>
      </c>
      <c r="H1712" s="116"/>
      <c r="I1712" s="116"/>
      <c r="L1712" s="170">
        <v>45154</v>
      </c>
      <c r="M1712" s="116">
        <v>4282.8</v>
      </c>
      <c r="N1712" s="116">
        <v>4312.6499999999996</v>
      </c>
      <c r="O1712" s="116">
        <v>4213.8500000000004</v>
      </c>
      <c r="P1712" s="116">
        <v>4240</v>
      </c>
      <c r="Q1712" s="116">
        <v>4282.8</v>
      </c>
      <c r="R1712">
        <v>162300</v>
      </c>
    </row>
    <row r="1713" spans="1:18" x14ac:dyDescent="0.25">
      <c r="A1713" s="170">
        <v>45155</v>
      </c>
      <c r="B1713" s="116">
        <v>4344</v>
      </c>
      <c r="C1713" s="116">
        <v>4302.45</v>
      </c>
      <c r="D1713" s="116">
        <v>4241</v>
      </c>
      <c r="E1713" s="116">
        <v>4275.05</v>
      </c>
      <c r="F1713" s="116">
        <v>4302.45</v>
      </c>
      <c r="G1713">
        <v>12174</v>
      </c>
      <c r="H1713" s="116"/>
      <c r="I1713" s="116"/>
      <c r="L1713" s="170">
        <v>45155</v>
      </c>
      <c r="M1713" s="116">
        <v>4303.1000000000004</v>
      </c>
      <c r="N1713" s="116">
        <v>4344.6000000000004</v>
      </c>
      <c r="O1713" s="116">
        <v>4240.1499999999996</v>
      </c>
      <c r="P1713" s="116">
        <v>4299.8999999999996</v>
      </c>
      <c r="Q1713" s="116">
        <v>4303.1000000000004</v>
      </c>
      <c r="R1713">
        <v>199217</v>
      </c>
    </row>
    <row r="1714" spans="1:18" x14ac:dyDescent="0.25">
      <c r="A1714" s="170">
        <v>45156</v>
      </c>
      <c r="B1714" s="116">
        <v>4299.05</v>
      </c>
      <c r="C1714" s="116">
        <v>4262.6000000000004</v>
      </c>
      <c r="D1714" s="116">
        <v>4238.5</v>
      </c>
      <c r="E1714" s="116">
        <v>4285.05</v>
      </c>
      <c r="F1714" s="116">
        <v>4262.6000000000004</v>
      </c>
      <c r="G1714">
        <v>4415</v>
      </c>
      <c r="H1714" s="116"/>
      <c r="I1714" s="116"/>
      <c r="L1714" s="170">
        <v>45156</v>
      </c>
      <c r="M1714" s="116">
        <v>4270.1000000000004</v>
      </c>
      <c r="N1714" s="116">
        <v>4299.1499999999996</v>
      </c>
      <c r="O1714" s="116">
        <v>4231.3999999999996</v>
      </c>
      <c r="P1714" s="116">
        <v>4292</v>
      </c>
      <c r="Q1714" s="116">
        <v>4270.1000000000004</v>
      </c>
      <c r="R1714">
        <v>111042</v>
      </c>
    </row>
    <row r="1715" spans="1:18" x14ac:dyDescent="0.25">
      <c r="A1715" s="170">
        <v>45159</v>
      </c>
      <c r="B1715" s="116">
        <v>4397.3500000000004</v>
      </c>
      <c r="C1715" s="116">
        <v>4344.3500000000004</v>
      </c>
      <c r="D1715" s="116">
        <v>4261.05</v>
      </c>
      <c r="E1715" s="116">
        <v>4262.6499999999996</v>
      </c>
      <c r="F1715" s="116">
        <v>4344.3500000000004</v>
      </c>
      <c r="G1715">
        <v>7887</v>
      </c>
      <c r="H1715" s="116"/>
      <c r="I1715" s="116"/>
      <c r="L1715" s="170">
        <v>45159</v>
      </c>
      <c r="M1715" s="116">
        <v>4344.75</v>
      </c>
      <c r="N1715" s="116">
        <v>4399</v>
      </c>
      <c r="O1715" s="116">
        <v>4257.6499999999996</v>
      </c>
      <c r="P1715" s="116">
        <v>4270</v>
      </c>
      <c r="Q1715" s="116">
        <v>4344.75</v>
      </c>
      <c r="R1715">
        <v>393586</v>
      </c>
    </row>
    <row r="1716" spans="1:18" x14ac:dyDescent="0.25">
      <c r="A1716" s="170">
        <v>45160</v>
      </c>
      <c r="B1716" s="116">
        <v>4385.55</v>
      </c>
      <c r="C1716" s="116">
        <v>4358.3999999999996</v>
      </c>
      <c r="D1716" s="116">
        <v>4321.25</v>
      </c>
      <c r="E1716" s="116">
        <v>4359</v>
      </c>
      <c r="F1716" s="116">
        <v>4358.3999999999996</v>
      </c>
      <c r="G1716">
        <v>9270</v>
      </c>
      <c r="H1716" s="116"/>
      <c r="I1716" s="116"/>
      <c r="L1716" s="170">
        <v>45160</v>
      </c>
      <c r="M1716" s="116">
        <v>4355.25</v>
      </c>
      <c r="N1716" s="116">
        <v>4382.45</v>
      </c>
      <c r="O1716" s="116">
        <v>4320.25</v>
      </c>
      <c r="P1716" s="116">
        <v>4350</v>
      </c>
      <c r="Q1716" s="116">
        <v>4355.25</v>
      </c>
      <c r="R1716">
        <v>152430</v>
      </c>
    </row>
    <row r="1717" spans="1:18" x14ac:dyDescent="0.25">
      <c r="A1717" s="170">
        <v>45161</v>
      </c>
      <c r="B1717" s="116">
        <v>4405</v>
      </c>
      <c r="C1717" s="116">
        <v>4365.5</v>
      </c>
      <c r="D1717" s="116">
        <v>4351.1499999999996</v>
      </c>
      <c r="E1717" s="116">
        <v>4380</v>
      </c>
      <c r="F1717" s="116">
        <v>4365.5</v>
      </c>
      <c r="G1717">
        <v>10380</v>
      </c>
      <c r="H1717" s="116"/>
      <c r="I1717" s="116"/>
      <c r="L1717" s="170">
        <v>45161</v>
      </c>
      <c r="M1717" s="116">
        <v>4367.95</v>
      </c>
      <c r="N1717" s="116">
        <v>4408.95</v>
      </c>
      <c r="O1717" s="116">
        <v>4346.05</v>
      </c>
      <c r="P1717" s="116">
        <v>4370</v>
      </c>
      <c r="Q1717" s="116">
        <v>4367.95</v>
      </c>
      <c r="R1717">
        <v>153445</v>
      </c>
    </row>
    <row r="1718" spans="1:18" x14ac:dyDescent="0.25">
      <c r="A1718" s="170">
        <v>45162</v>
      </c>
      <c r="B1718" s="116">
        <v>4427.2</v>
      </c>
      <c r="C1718" s="116">
        <v>4397.2</v>
      </c>
      <c r="D1718" s="116">
        <v>4367.95</v>
      </c>
      <c r="E1718" s="116">
        <v>4394</v>
      </c>
      <c r="F1718" s="116">
        <v>4397.2</v>
      </c>
      <c r="G1718">
        <v>6272</v>
      </c>
      <c r="H1718" s="116"/>
      <c r="I1718" s="116"/>
      <c r="L1718" s="170">
        <v>45162</v>
      </c>
      <c r="M1718" s="116">
        <v>4395.3500000000004</v>
      </c>
      <c r="N1718" s="116">
        <v>4425.55</v>
      </c>
      <c r="O1718" s="116">
        <v>4365</v>
      </c>
      <c r="P1718" s="116">
        <v>4399.95</v>
      </c>
      <c r="Q1718" s="116">
        <v>4395.3500000000004</v>
      </c>
      <c r="R1718">
        <v>174796</v>
      </c>
    </row>
    <row r="1719" spans="1:18" x14ac:dyDescent="0.25">
      <c r="A1719" s="170">
        <v>45163</v>
      </c>
      <c r="B1719" s="116">
        <v>4380.55</v>
      </c>
      <c r="C1719" s="116">
        <v>4341.8500000000004</v>
      </c>
      <c r="D1719" s="116">
        <v>4311.25</v>
      </c>
      <c r="E1719" s="116">
        <v>4360</v>
      </c>
      <c r="F1719" s="116">
        <v>4341.8500000000004</v>
      </c>
      <c r="G1719">
        <v>13786</v>
      </c>
      <c r="H1719" s="116"/>
      <c r="I1719" s="116"/>
      <c r="L1719" s="170">
        <v>45163</v>
      </c>
      <c r="M1719" s="116">
        <v>4342.8500000000004</v>
      </c>
      <c r="N1719" s="116">
        <v>4380</v>
      </c>
      <c r="O1719" s="116">
        <v>4310.1000000000004</v>
      </c>
      <c r="P1719" s="116">
        <v>4360</v>
      </c>
      <c r="Q1719" s="116">
        <v>4342.8500000000004</v>
      </c>
      <c r="R1719">
        <v>141257</v>
      </c>
    </row>
    <row r="1720" spans="1:18" x14ac:dyDescent="0.25">
      <c r="A1720" s="170">
        <v>45166</v>
      </c>
      <c r="B1720" s="116">
        <v>4377</v>
      </c>
      <c r="C1720" s="116">
        <v>4355.5</v>
      </c>
      <c r="D1720" s="116">
        <v>4325</v>
      </c>
      <c r="E1720" s="116">
        <v>4340.8999999999996</v>
      </c>
      <c r="F1720" s="116">
        <v>4355.5</v>
      </c>
      <c r="G1720">
        <v>3620</v>
      </c>
      <c r="H1720" s="116"/>
      <c r="I1720" s="116"/>
      <c r="L1720" s="170">
        <v>45166</v>
      </c>
      <c r="M1720" s="116">
        <v>4357.25</v>
      </c>
      <c r="N1720" s="116">
        <v>4379.8</v>
      </c>
      <c r="O1720" s="116">
        <v>4323</v>
      </c>
      <c r="P1720" s="116">
        <v>4336</v>
      </c>
      <c r="Q1720" s="116">
        <v>4357.25</v>
      </c>
      <c r="R1720">
        <v>116536</v>
      </c>
    </row>
    <row r="1721" spans="1:18" x14ac:dyDescent="0.25">
      <c r="A1721" s="170">
        <v>45167</v>
      </c>
      <c r="B1721" s="116">
        <v>4408.5</v>
      </c>
      <c r="C1721" s="116">
        <v>4345.75</v>
      </c>
      <c r="D1721" s="116">
        <v>4338.95</v>
      </c>
      <c r="E1721" s="116">
        <v>4360</v>
      </c>
      <c r="F1721" s="116">
        <v>4345.75</v>
      </c>
      <c r="G1721">
        <v>3294</v>
      </c>
      <c r="H1721" s="116"/>
      <c r="I1721" s="116"/>
      <c r="L1721" s="170">
        <v>45167</v>
      </c>
      <c r="M1721" s="116">
        <v>4349.3500000000004</v>
      </c>
      <c r="N1721" s="116">
        <v>4410</v>
      </c>
      <c r="O1721" s="116">
        <v>4340.05</v>
      </c>
      <c r="P1721" s="116">
        <v>4360</v>
      </c>
      <c r="Q1721" s="116">
        <v>4349.3500000000004</v>
      </c>
      <c r="R1721">
        <v>129770</v>
      </c>
    </row>
    <row r="1722" spans="1:18" x14ac:dyDescent="0.25">
      <c r="A1722" s="170">
        <v>45168</v>
      </c>
      <c r="B1722" s="116">
        <v>4417.6499999999996</v>
      </c>
      <c r="C1722" s="116">
        <v>4385.3500000000004</v>
      </c>
      <c r="D1722" s="116">
        <v>4370</v>
      </c>
      <c r="E1722" s="116">
        <v>4408.95</v>
      </c>
      <c r="F1722" s="116">
        <v>4385.3500000000004</v>
      </c>
      <c r="G1722">
        <v>4616</v>
      </c>
      <c r="H1722" s="116"/>
      <c r="I1722" s="116"/>
      <c r="L1722" s="170">
        <v>45168</v>
      </c>
      <c r="M1722" s="116">
        <v>4385.7</v>
      </c>
      <c r="N1722" s="116">
        <v>4418.7</v>
      </c>
      <c r="O1722" s="116">
        <v>4358</v>
      </c>
      <c r="P1722" s="116">
        <v>4358</v>
      </c>
      <c r="Q1722" s="116">
        <v>4385.7</v>
      </c>
      <c r="R1722">
        <v>128063</v>
      </c>
    </row>
    <row r="1723" spans="1:18" x14ac:dyDescent="0.25">
      <c r="A1723" s="170">
        <v>45169</v>
      </c>
      <c r="B1723" s="116">
        <v>4465</v>
      </c>
      <c r="C1723" s="116">
        <v>4406.75</v>
      </c>
      <c r="D1723" s="116">
        <v>4379.05</v>
      </c>
      <c r="E1723" s="116">
        <v>4390</v>
      </c>
      <c r="F1723" s="116">
        <v>4406.75</v>
      </c>
      <c r="G1723">
        <v>8419</v>
      </c>
      <c r="H1723" s="116"/>
      <c r="I1723" s="116"/>
      <c r="L1723" s="170">
        <v>45169</v>
      </c>
      <c r="M1723" s="116">
        <v>4404.25</v>
      </c>
      <c r="N1723" s="116">
        <v>4466.95</v>
      </c>
      <c r="O1723" s="116">
        <v>4380.05</v>
      </c>
      <c r="P1723" s="116">
        <v>4385.7</v>
      </c>
      <c r="Q1723" s="116">
        <v>4404.25</v>
      </c>
      <c r="R1723">
        <v>227179</v>
      </c>
    </row>
    <row r="1724" spans="1:18" x14ac:dyDescent="0.25">
      <c r="A1724" s="170">
        <v>45170</v>
      </c>
      <c r="B1724" s="116">
        <v>4460</v>
      </c>
      <c r="C1724" s="116">
        <v>4448.8500000000004</v>
      </c>
      <c r="D1724" s="116">
        <v>4411.2</v>
      </c>
      <c r="E1724" s="116">
        <v>4430</v>
      </c>
      <c r="F1724" s="116">
        <v>4448.8500000000004</v>
      </c>
      <c r="G1724">
        <v>11050</v>
      </c>
      <c r="H1724" s="116"/>
      <c r="I1724" s="116"/>
      <c r="L1724" s="170">
        <v>45170</v>
      </c>
      <c r="M1724" s="116">
        <v>4450.7</v>
      </c>
      <c r="N1724" s="116">
        <v>4460</v>
      </c>
      <c r="O1724" s="116">
        <v>4411.3999999999996</v>
      </c>
      <c r="P1724" s="116">
        <v>4420.1000000000004</v>
      </c>
      <c r="Q1724" s="116">
        <v>4450.7</v>
      </c>
      <c r="R1724">
        <v>97420</v>
      </c>
    </row>
    <row r="1725" spans="1:18" x14ac:dyDescent="0.25">
      <c r="A1725" s="170">
        <v>45173</v>
      </c>
      <c r="B1725" s="116">
        <v>4539.6499999999996</v>
      </c>
      <c r="C1725" s="116">
        <v>4518.8</v>
      </c>
      <c r="D1725" s="116">
        <v>4453.8</v>
      </c>
      <c r="E1725" s="116">
        <v>4469</v>
      </c>
      <c r="F1725" s="116">
        <v>4518.8</v>
      </c>
      <c r="G1725">
        <v>5423</v>
      </c>
      <c r="H1725" s="116"/>
      <c r="I1725" s="116"/>
      <c r="L1725" s="170">
        <v>45173</v>
      </c>
      <c r="M1725" s="116">
        <v>4521.25</v>
      </c>
      <c r="N1725" s="116">
        <v>4541.3</v>
      </c>
      <c r="O1725" s="116">
        <v>4455</v>
      </c>
      <c r="P1725" s="116">
        <v>4475</v>
      </c>
      <c r="Q1725" s="116">
        <v>4521.25</v>
      </c>
      <c r="R1725">
        <v>173354</v>
      </c>
    </row>
    <row r="1726" spans="1:18" x14ac:dyDescent="0.25">
      <c r="A1726" s="170">
        <v>45174</v>
      </c>
      <c r="B1726" s="116">
        <v>4623.95</v>
      </c>
      <c r="C1726" s="116">
        <v>4603.6499999999996</v>
      </c>
      <c r="D1726" s="116">
        <v>4521.3999999999996</v>
      </c>
      <c r="E1726" s="116">
        <v>4538.95</v>
      </c>
      <c r="F1726" s="116">
        <v>4603.6499999999996</v>
      </c>
      <c r="G1726">
        <v>6532</v>
      </c>
      <c r="H1726" s="116"/>
      <c r="I1726" s="116"/>
      <c r="L1726" s="170">
        <v>45174</v>
      </c>
      <c r="M1726" s="116">
        <v>4602.5</v>
      </c>
      <c r="N1726" s="116">
        <v>4625</v>
      </c>
      <c r="O1726" s="116">
        <v>4516.8999999999996</v>
      </c>
      <c r="P1726" s="116">
        <v>4529</v>
      </c>
      <c r="Q1726" s="116">
        <v>4602.5</v>
      </c>
      <c r="R1726">
        <v>277599</v>
      </c>
    </row>
    <row r="1727" spans="1:18" x14ac:dyDescent="0.25">
      <c r="A1727" s="170">
        <v>45175</v>
      </c>
      <c r="B1727" s="116">
        <v>4695</v>
      </c>
      <c r="C1727" s="116">
        <v>4609.95</v>
      </c>
      <c r="D1727" s="116">
        <v>4570.6000000000004</v>
      </c>
      <c r="E1727" s="116">
        <v>4610.05</v>
      </c>
      <c r="F1727" s="116">
        <v>4609.95</v>
      </c>
      <c r="G1727">
        <v>16487</v>
      </c>
      <c r="H1727" s="116"/>
      <c r="I1727" s="116"/>
      <c r="L1727" s="170">
        <v>45175</v>
      </c>
      <c r="M1727" s="116">
        <v>4611.7</v>
      </c>
      <c r="N1727" s="116">
        <v>4697</v>
      </c>
      <c r="O1727" s="116">
        <v>4570</v>
      </c>
      <c r="P1727" s="116">
        <v>4650</v>
      </c>
      <c r="Q1727" s="116">
        <v>4611.7</v>
      </c>
      <c r="R1727">
        <v>308595</v>
      </c>
    </row>
    <row r="1728" spans="1:18" x14ac:dyDescent="0.25">
      <c r="A1728" s="170">
        <v>45176</v>
      </c>
      <c r="B1728" s="116">
        <v>4685.1499999999996</v>
      </c>
      <c r="C1728" s="116">
        <v>4637.2</v>
      </c>
      <c r="D1728" s="116">
        <v>4589.95</v>
      </c>
      <c r="E1728" s="116">
        <v>4590</v>
      </c>
      <c r="F1728" s="116">
        <v>4637.2</v>
      </c>
      <c r="G1728">
        <v>5700</v>
      </c>
      <c r="H1728" s="116"/>
      <c r="I1728" s="116"/>
      <c r="L1728" s="170">
        <v>45176</v>
      </c>
      <c r="M1728" s="116">
        <v>4636.1000000000004</v>
      </c>
      <c r="N1728" s="116">
        <v>4684</v>
      </c>
      <c r="O1728" s="116">
        <v>4585</v>
      </c>
      <c r="P1728" s="116">
        <v>4585</v>
      </c>
      <c r="Q1728" s="116">
        <v>4636.1000000000004</v>
      </c>
      <c r="R1728">
        <v>151272</v>
      </c>
    </row>
    <row r="1729" spans="1:18" x14ac:dyDescent="0.25">
      <c r="A1729" s="170">
        <v>45177</v>
      </c>
      <c r="B1729" s="116">
        <v>4682.6000000000004</v>
      </c>
      <c r="C1729" s="116">
        <v>4653.3999999999996</v>
      </c>
      <c r="D1729" s="116">
        <v>4622.75</v>
      </c>
      <c r="E1729" s="116">
        <v>4640.05</v>
      </c>
      <c r="F1729" s="116">
        <v>4653.3999999999996</v>
      </c>
      <c r="G1729">
        <v>11904</v>
      </c>
      <c r="H1729" s="116"/>
      <c r="I1729" s="116"/>
      <c r="L1729" s="170">
        <v>45177</v>
      </c>
      <c r="M1729" s="116">
        <v>4654.2</v>
      </c>
      <c r="N1729" s="116">
        <v>4689</v>
      </c>
      <c r="O1729" s="116">
        <v>4623</v>
      </c>
      <c r="P1729" s="116">
        <v>4649</v>
      </c>
      <c r="Q1729" s="116">
        <v>4654.2</v>
      </c>
      <c r="R1729">
        <v>133090</v>
      </c>
    </row>
    <row r="1730" spans="1:18" x14ac:dyDescent="0.25">
      <c r="A1730" s="170">
        <v>45180</v>
      </c>
      <c r="B1730" s="116">
        <v>4694.05</v>
      </c>
      <c r="C1730" s="116">
        <v>4650.1000000000004</v>
      </c>
      <c r="D1730" s="116">
        <v>4627.75</v>
      </c>
      <c r="E1730" s="116">
        <v>4654.95</v>
      </c>
      <c r="F1730" s="116">
        <v>4650.1000000000004</v>
      </c>
      <c r="G1730">
        <v>2975</v>
      </c>
      <c r="H1730" s="116"/>
      <c r="I1730" s="116"/>
      <c r="L1730" s="170">
        <v>45180</v>
      </c>
      <c r="M1730" s="116">
        <v>4655.05</v>
      </c>
      <c r="N1730" s="116">
        <v>4698.95</v>
      </c>
      <c r="O1730" s="116">
        <v>4630</v>
      </c>
      <c r="P1730" s="116">
        <v>4650.05</v>
      </c>
      <c r="Q1730" s="116">
        <v>4655.05</v>
      </c>
      <c r="R1730">
        <v>98720</v>
      </c>
    </row>
    <row r="1731" spans="1:18" x14ac:dyDescent="0.25">
      <c r="A1731" s="170">
        <v>45181</v>
      </c>
      <c r="B1731" s="116">
        <v>4695.1000000000004</v>
      </c>
      <c r="C1731" s="116">
        <v>4646.1000000000004</v>
      </c>
      <c r="D1731" s="116">
        <v>4576.6499999999996</v>
      </c>
      <c r="E1731" s="116">
        <v>4658</v>
      </c>
      <c r="F1731" s="116">
        <v>4646.1000000000004</v>
      </c>
      <c r="G1731">
        <v>8568</v>
      </c>
      <c r="H1731" s="116"/>
      <c r="I1731" s="116"/>
      <c r="L1731" s="170">
        <v>45181</v>
      </c>
      <c r="M1731" s="116">
        <v>4647.3999999999996</v>
      </c>
      <c r="N1731" s="116">
        <v>4698</v>
      </c>
      <c r="O1731" s="116">
        <v>4575</v>
      </c>
      <c r="P1731" s="116">
        <v>4668.8500000000004</v>
      </c>
      <c r="Q1731" s="116">
        <v>4647.3999999999996</v>
      </c>
      <c r="R1731">
        <v>187082</v>
      </c>
    </row>
    <row r="1732" spans="1:18" x14ac:dyDescent="0.25">
      <c r="A1732" s="170">
        <v>45182</v>
      </c>
      <c r="B1732" s="116">
        <v>4654.55</v>
      </c>
      <c r="C1732" s="116">
        <v>4607.7</v>
      </c>
      <c r="D1732" s="116">
        <v>4564.3500000000004</v>
      </c>
      <c r="E1732" s="116">
        <v>4621.05</v>
      </c>
      <c r="F1732" s="116">
        <v>4607.7</v>
      </c>
      <c r="G1732">
        <v>2938</v>
      </c>
      <c r="H1732" s="116"/>
      <c r="I1732" s="116"/>
      <c r="L1732" s="170">
        <v>45182</v>
      </c>
      <c r="M1732" s="116">
        <v>4607.6499999999996</v>
      </c>
      <c r="N1732" s="116">
        <v>4657.45</v>
      </c>
      <c r="O1732" s="116">
        <v>4557.05</v>
      </c>
      <c r="P1732" s="116">
        <v>4640</v>
      </c>
      <c r="Q1732" s="116">
        <v>4607.6499999999996</v>
      </c>
      <c r="R1732">
        <v>91244</v>
      </c>
    </row>
    <row r="1733" spans="1:18" x14ac:dyDescent="0.25">
      <c r="A1733" s="170">
        <v>45183</v>
      </c>
      <c r="B1733" s="116">
        <v>4768.8999999999996</v>
      </c>
      <c r="C1733" s="116">
        <v>4759.1499999999996</v>
      </c>
      <c r="D1733" s="116">
        <v>4617.05</v>
      </c>
      <c r="E1733" s="116">
        <v>4617.05</v>
      </c>
      <c r="F1733" s="116">
        <v>4759.1499999999996</v>
      </c>
      <c r="G1733">
        <v>25005</v>
      </c>
      <c r="H1733" s="116"/>
      <c r="I1733" s="116"/>
      <c r="L1733" s="170">
        <v>45183</v>
      </c>
      <c r="M1733" s="116">
        <v>4758.3500000000004</v>
      </c>
      <c r="N1733" s="116">
        <v>4769.95</v>
      </c>
      <c r="O1733" s="116">
        <v>4628</v>
      </c>
      <c r="P1733" s="116">
        <v>4629.8999999999996</v>
      </c>
      <c r="Q1733" s="116">
        <v>4758.3500000000004</v>
      </c>
      <c r="R1733">
        <v>328756</v>
      </c>
    </row>
    <row r="1734" spans="1:18" x14ac:dyDescent="0.25">
      <c r="A1734" s="170">
        <v>45184</v>
      </c>
      <c r="B1734" s="116">
        <v>4797.95</v>
      </c>
      <c r="C1734" s="116">
        <v>4720.8500000000004</v>
      </c>
      <c r="D1734" s="116">
        <v>4693.75</v>
      </c>
      <c r="E1734" s="116">
        <v>4797.95</v>
      </c>
      <c r="F1734" s="116">
        <v>4720.8500000000004</v>
      </c>
      <c r="G1734">
        <v>11038</v>
      </c>
      <c r="H1734" s="116"/>
      <c r="I1734" s="116"/>
      <c r="L1734" s="170">
        <v>45184</v>
      </c>
      <c r="M1734" s="116">
        <v>4723.95</v>
      </c>
      <c r="N1734" s="116">
        <v>4807.1499999999996</v>
      </c>
      <c r="O1734" s="116">
        <v>4697.7</v>
      </c>
      <c r="P1734" s="116">
        <v>4790</v>
      </c>
      <c r="Q1734" s="116">
        <v>4723.95</v>
      </c>
      <c r="R1734">
        <v>238674</v>
      </c>
    </row>
    <row r="1735" spans="1:18" x14ac:dyDescent="0.25">
      <c r="A1735" s="170">
        <v>45187</v>
      </c>
      <c r="B1735" s="116">
        <v>4715.05</v>
      </c>
      <c r="C1735" s="116">
        <v>4659.3</v>
      </c>
      <c r="D1735" s="116">
        <v>4644.3</v>
      </c>
      <c r="E1735" s="116">
        <v>4715</v>
      </c>
      <c r="F1735" s="116">
        <v>4659.3</v>
      </c>
      <c r="G1735">
        <v>3950</v>
      </c>
      <c r="H1735" s="116"/>
      <c r="I1735" s="116"/>
      <c r="L1735" s="170">
        <v>45187</v>
      </c>
      <c r="M1735" s="116">
        <v>4663.2</v>
      </c>
      <c r="N1735" s="116">
        <v>4719.8500000000004</v>
      </c>
      <c r="O1735" s="116">
        <v>4645</v>
      </c>
      <c r="P1735" s="116">
        <v>4712</v>
      </c>
      <c r="Q1735" s="116">
        <v>4663.2</v>
      </c>
      <c r="R1735">
        <v>105655</v>
      </c>
    </row>
    <row r="1736" spans="1:18" x14ac:dyDescent="0.25">
      <c r="A1736" s="170">
        <v>45189</v>
      </c>
      <c r="B1736" s="116">
        <v>4669.05</v>
      </c>
      <c r="C1736" s="116">
        <v>4610.8</v>
      </c>
      <c r="D1736" s="116">
        <v>4602.45</v>
      </c>
      <c r="E1736" s="116">
        <v>4619.3999999999996</v>
      </c>
      <c r="F1736" s="116">
        <v>4610.8</v>
      </c>
      <c r="G1736">
        <v>2573</v>
      </c>
      <c r="H1736" s="116"/>
      <c r="I1736" s="116"/>
      <c r="L1736" s="170">
        <v>45189</v>
      </c>
      <c r="M1736" s="116">
        <v>4609.45</v>
      </c>
      <c r="N1736" s="116">
        <v>4674.95</v>
      </c>
      <c r="O1736" s="116">
        <v>4603.1499999999996</v>
      </c>
      <c r="P1736" s="116">
        <v>4655</v>
      </c>
      <c r="Q1736" s="116">
        <v>4609.45</v>
      </c>
      <c r="R1736">
        <v>75162</v>
      </c>
    </row>
    <row r="1737" spans="1:18" x14ac:dyDescent="0.25">
      <c r="A1737" s="170">
        <v>45190</v>
      </c>
      <c r="B1737" s="116">
        <v>4674</v>
      </c>
      <c r="C1737" s="116">
        <v>4662.3999999999996</v>
      </c>
      <c r="D1737" s="116">
        <v>4589.3999999999996</v>
      </c>
      <c r="E1737" s="116">
        <v>4589.3999999999996</v>
      </c>
      <c r="F1737" s="116">
        <v>4662.3999999999996</v>
      </c>
      <c r="G1737">
        <v>8164</v>
      </c>
      <c r="H1737" s="116"/>
      <c r="I1737" s="116"/>
      <c r="L1737" s="170">
        <v>45190</v>
      </c>
      <c r="M1737" s="116">
        <v>4660.25</v>
      </c>
      <c r="N1737" s="116">
        <v>4674.8</v>
      </c>
      <c r="O1737" s="116">
        <v>4589.95</v>
      </c>
      <c r="P1737" s="116">
        <v>4595</v>
      </c>
      <c r="Q1737" s="116">
        <v>4660.25</v>
      </c>
      <c r="R1737">
        <v>191568</v>
      </c>
    </row>
    <row r="1738" spans="1:18" x14ac:dyDescent="0.25">
      <c r="A1738" s="170">
        <v>45191</v>
      </c>
      <c r="B1738" s="116">
        <v>4685.3999999999996</v>
      </c>
      <c r="C1738" s="116">
        <v>4651.3999999999996</v>
      </c>
      <c r="D1738" s="116">
        <v>4620</v>
      </c>
      <c r="E1738" s="116">
        <v>4644.05</v>
      </c>
      <c r="F1738" s="116">
        <v>4651.3999999999996</v>
      </c>
      <c r="G1738">
        <v>8902</v>
      </c>
      <c r="H1738" s="116"/>
      <c r="I1738" s="116"/>
      <c r="L1738" s="170">
        <v>45191</v>
      </c>
      <c r="M1738" s="116">
        <v>4651.3</v>
      </c>
      <c r="N1738" s="116">
        <v>4685.95</v>
      </c>
      <c r="O1738" s="116">
        <v>4621</v>
      </c>
      <c r="P1738" s="116">
        <v>4640</v>
      </c>
      <c r="Q1738" s="116">
        <v>4651.3</v>
      </c>
      <c r="R1738">
        <v>111348</v>
      </c>
    </row>
    <row r="1739" spans="1:18" x14ac:dyDescent="0.25">
      <c r="A1739" s="170">
        <v>45194</v>
      </c>
      <c r="B1739" s="116">
        <v>4753.3500000000004</v>
      </c>
      <c r="C1739" s="116">
        <v>4724.55</v>
      </c>
      <c r="D1739" s="116">
        <v>4649.8</v>
      </c>
      <c r="E1739" s="116">
        <v>4651.05</v>
      </c>
      <c r="F1739" s="116">
        <v>4724.55</v>
      </c>
      <c r="G1739">
        <v>9496</v>
      </c>
      <c r="H1739" s="116"/>
      <c r="I1739" s="116"/>
      <c r="L1739" s="170">
        <v>45194</v>
      </c>
      <c r="M1739" s="116">
        <v>4725.95</v>
      </c>
      <c r="N1739" s="116">
        <v>4753</v>
      </c>
      <c r="O1739" s="116">
        <v>4651.3</v>
      </c>
      <c r="P1739" s="116">
        <v>4669.95</v>
      </c>
      <c r="Q1739" s="116">
        <v>4725.95</v>
      </c>
      <c r="R1739">
        <v>210091</v>
      </c>
    </row>
    <row r="1740" spans="1:18" x14ac:dyDescent="0.25">
      <c r="A1740" s="170">
        <v>45195</v>
      </c>
      <c r="B1740" s="116">
        <v>4749.95</v>
      </c>
      <c r="C1740" s="116">
        <v>4713.6499999999996</v>
      </c>
      <c r="D1740" s="116">
        <v>4675.3999999999996</v>
      </c>
      <c r="E1740" s="116">
        <v>4749.95</v>
      </c>
      <c r="F1740" s="116">
        <v>4713.6499999999996</v>
      </c>
      <c r="G1740">
        <v>2214</v>
      </c>
      <c r="H1740" s="116"/>
      <c r="I1740" s="116"/>
      <c r="L1740" s="170">
        <v>45195</v>
      </c>
      <c r="M1740" s="116">
        <v>4717.6499999999996</v>
      </c>
      <c r="N1740" s="116">
        <v>4749</v>
      </c>
      <c r="O1740" s="116">
        <v>4674</v>
      </c>
      <c r="P1740" s="116">
        <v>4737.45</v>
      </c>
      <c r="Q1740" s="116">
        <v>4717.6499999999996</v>
      </c>
      <c r="R1740">
        <v>116961</v>
      </c>
    </row>
    <row r="1741" spans="1:18" x14ac:dyDescent="0.25">
      <c r="A1741" s="170">
        <v>45196</v>
      </c>
      <c r="B1741" s="116">
        <v>4759.45</v>
      </c>
      <c r="C1741" s="116">
        <v>4736.1499999999996</v>
      </c>
      <c r="D1741" s="116">
        <v>4700</v>
      </c>
      <c r="E1741" s="116">
        <v>4705</v>
      </c>
      <c r="F1741" s="116">
        <v>4736.1499999999996</v>
      </c>
      <c r="G1741">
        <v>2741</v>
      </c>
      <c r="H1741" s="116"/>
      <c r="I1741" s="116"/>
      <c r="L1741" s="170">
        <v>45196</v>
      </c>
      <c r="M1741" s="116">
        <v>4736.5</v>
      </c>
      <c r="N1741" s="116">
        <v>4774.95</v>
      </c>
      <c r="O1741" s="116">
        <v>4697.05</v>
      </c>
      <c r="P1741" s="116">
        <v>4720</v>
      </c>
      <c r="Q1741" s="116">
        <v>4736.5</v>
      </c>
      <c r="R1741">
        <v>110072</v>
      </c>
    </row>
    <row r="1742" spans="1:18" x14ac:dyDescent="0.25">
      <c r="A1742" s="170">
        <v>45197</v>
      </c>
      <c r="B1742" s="116">
        <v>4774.95</v>
      </c>
      <c r="C1742" s="116">
        <v>4621.55</v>
      </c>
      <c r="D1742" s="116">
        <v>4600.1000000000004</v>
      </c>
      <c r="E1742" s="116">
        <v>4774.95</v>
      </c>
      <c r="F1742" s="116">
        <v>4621.55</v>
      </c>
      <c r="G1742">
        <v>4479</v>
      </c>
      <c r="H1742" s="116"/>
      <c r="I1742" s="116"/>
      <c r="L1742" s="170">
        <v>45197</v>
      </c>
      <c r="M1742" s="116">
        <v>4621.8</v>
      </c>
      <c r="N1742" s="116">
        <v>4769.8500000000004</v>
      </c>
      <c r="O1742" s="116">
        <v>4601.45</v>
      </c>
      <c r="P1742" s="116">
        <v>4764</v>
      </c>
      <c r="Q1742" s="116">
        <v>4621.8</v>
      </c>
      <c r="R1742">
        <v>136486</v>
      </c>
    </row>
    <row r="1743" spans="1:18" x14ac:dyDescent="0.25">
      <c r="A1743" s="170">
        <v>45198</v>
      </c>
      <c r="B1743" s="116">
        <v>4684.95</v>
      </c>
      <c r="C1743" s="116">
        <v>4574.8</v>
      </c>
      <c r="D1743" s="116">
        <v>4526.6499999999996</v>
      </c>
      <c r="E1743" s="116">
        <v>4684.95</v>
      </c>
      <c r="F1743" s="116">
        <v>4574.8</v>
      </c>
      <c r="G1743">
        <v>5078</v>
      </c>
      <c r="H1743" s="116"/>
      <c r="I1743" s="116"/>
      <c r="L1743" s="170">
        <v>45198</v>
      </c>
      <c r="M1743" s="116">
        <v>4575.95</v>
      </c>
      <c r="N1743" s="116">
        <v>4659.55</v>
      </c>
      <c r="O1743" s="116">
        <v>4525.8999999999996</v>
      </c>
      <c r="P1743" s="116">
        <v>4625</v>
      </c>
      <c r="Q1743" s="116">
        <v>4575.95</v>
      </c>
      <c r="R1743">
        <v>141858</v>
      </c>
    </row>
    <row r="1744" spans="1:18" x14ac:dyDescent="0.25">
      <c r="A1744" s="170">
        <v>45202</v>
      </c>
      <c r="B1744" s="116">
        <v>4638.2</v>
      </c>
      <c r="C1744" s="116">
        <v>4571.1000000000004</v>
      </c>
      <c r="D1744" s="116">
        <v>4528.45</v>
      </c>
      <c r="E1744" s="116">
        <v>4569.95</v>
      </c>
      <c r="F1744" s="116">
        <v>4571.1000000000004</v>
      </c>
      <c r="G1744">
        <v>2892</v>
      </c>
      <c r="H1744" s="116"/>
      <c r="I1744" s="116"/>
      <c r="L1744" s="170">
        <v>45202</v>
      </c>
      <c r="M1744" s="116">
        <v>4568.25</v>
      </c>
      <c r="N1744" s="116">
        <v>4638</v>
      </c>
      <c r="O1744" s="116">
        <v>4527.3500000000004</v>
      </c>
      <c r="P1744" s="116">
        <v>4550</v>
      </c>
      <c r="Q1744" s="116">
        <v>4568.25</v>
      </c>
      <c r="R1744">
        <v>113751</v>
      </c>
    </row>
    <row r="1745" spans="1:18" x14ac:dyDescent="0.25">
      <c r="A1745" s="170">
        <v>45203</v>
      </c>
      <c r="B1745" s="116">
        <v>4563.3500000000004</v>
      </c>
      <c r="C1745" s="116">
        <v>4548.75</v>
      </c>
      <c r="D1745" s="116">
        <v>4489</v>
      </c>
      <c r="E1745" s="116">
        <v>4546</v>
      </c>
      <c r="F1745" s="116">
        <v>4548.75</v>
      </c>
      <c r="G1745">
        <v>6556</v>
      </c>
      <c r="H1745" s="116"/>
      <c r="I1745" s="116"/>
      <c r="L1745" s="170">
        <v>45203</v>
      </c>
      <c r="M1745" s="116">
        <v>4550.6000000000004</v>
      </c>
      <c r="N1745" s="116">
        <v>4564.7</v>
      </c>
      <c r="O1745" s="116">
        <v>4488.7</v>
      </c>
      <c r="P1745" s="116">
        <v>4548.95</v>
      </c>
      <c r="Q1745" s="116">
        <v>4550.6000000000004</v>
      </c>
      <c r="R1745">
        <v>121950</v>
      </c>
    </row>
    <row r="1746" spans="1:18" x14ac:dyDescent="0.25">
      <c r="A1746" s="170">
        <v>45204</v>
      </c>
      <c r="B1746" s="116">
        <v>4653.05</v>
      </c>
      <c r="C1746" s="116">
        <v>4636.1000000000004</v>
      </c>
      <c r="D1746" s="116">
        <v>4571.05</v>
      </c>
      <c r="E1746" s="116">
        <v>4571.05</v>
      </c>
      <c r="F1746" s="116">
        <v>4636.1000000000004</v>
      </c>
      <c r="G1746">
        <v>2504</v>
      </c>
      <c r="H1746" s="116"/>
      <c r="I1746" s="116"/>
      <c r="L1746" s="170">
        <v>45204</v>
      </c>
      <c r="M1746" s="116">
        <v>4639.6499999999996</v>
      </c>
      <c r="N1746" s="116">
        <v>4653.8999999999996</v>
      </c>
      <c r="O1746" s="116">
        <v>4570.05</v>
      </c>
      <c r="P1746" s="116">
        <v>4581.95</v>
      </c>
      <c r="Q1746" s="116">
        <v>4639.6499999999996</v>
      </c>
      <c r="R1746">
        <v>111245</v>
      </c>
    </row>
    <row r="1747" spans="1:18" x14ac:dyDescent="0.25">
      <c r="A1747" s="170">
        <v>45205</v>
      </c>
      <c r="B1747" s="116">
        <v>4689</v>
      </c>
      <c r="C1747" s="116">
        <v>4654</v>
      </c>
      <c r="D1747" s="116">
        <v>4638.25</v>
      </c>
      <c r="E1747" s="116">
        <v>4655.05</v>
      </c>
      <c r="F1747" s="116">
        <v>4654</v>
      </c>
      <c r="G1747">
        <v>1962</v>
      </c>
      <c r="H1747" s="116"/>
      <c r="I1747" s="116"/>
      <c r="L1747" s="170">
        <v>45205</v>
      </c>
      <c r="M1747" s="116">
        <v>4655</v>
      </c>
      <c r="N1747" s="116">
        <v>4689.6499999999996</v>
      </c>
      <c r="O1747" s="116">
        <v>4634</v>
      </c>
      <c r="P1747" s="116">
        <v>4660.95</v>
      </c>
      <c r="Q1747" s="116">
        <v>4655</v>
      </c>
      <c r="R1747">
        <v>91966</v>
      </c>
    </row>
    <row r="1748" spans="1:18" x14ac:dyDescent="0.25">
      <c r="A1748" s="170">
        <v>45208</v>
      </c>
      <c r="B1748" s="116">
        <v>4762.75</v>
      </c>
      <c r="C1748" s="116">
        <v>4739.25</v>
      </c>
      <c r="D1748" s="116">
        <v>4605</v>
      </c>
      <c r="E1748" s="116">
        <v>4605</v>
      </c>
      <c r="F1748" s="116">
        <v>4739.25</v>
      </c>
      <c r="G1748">
        <v>6471</v>
      </c>
      <c r="H1748" s="116"/>
      <c r="I1748" s="116"/>
      <c r="L1748" s="170">
        <v>45208</v>
      </c>
      <c r="M1748" s="116">
        <v>4746.95</v>
      </c>
      <c r="N1748" s="116">
        <v>4764</v>
      </c>
      <c r="O1748" s="116">
        <v>4601.2</v>
      </c>
      <c r="P1748" s="116">
        <v>4601.25</v>
      </c>
      <c r="Q1748" s="116">
        <v>4746.95</v>
      </c>
      <c r="R1748">
        <v>365469</v>
      </c>
    </row>
    <row r="1749" spans="1:18" x14ac:dyDescent="0.25">
      <c r="A1749" s="170">
        <v>45209</v>
      </c>
      <c r="B1749" s="116">
        <v>4825</v>
      </c>
      <c r="C1749" s="116">
        <v>4784.6000000000004</v>
      </c>
      <c r="D1749" s="116">
        <v>4742.1000000000004</v>
      </c>
      <c r="E1749" s="116">
        <v>4770.05</v>
      </c>
      <c r="F1749" s="116">
        <v>4784.6000000000004</v>
      </c>
      <c r="G1749">
        <v>5141</v>
      </c>
      <c r="H1749" s="116"/>
      <c r="I1749" s="116"/>
      <c r="L1749" s="170">
        <v>45209</v>
      </c>
      <c r="M1749" s="116">
        <v>4783.6000000000004</v>
      </c>
      <c r="N1749" s="116">
        <v>4828</v>
      </c>
      <c r="O1749" s="116">
        <v>4735.3</v>
      </c>
      <c r="P1749" s="116">
        <v>4775</v>
      </c>
      <c r="Q1749" s="116">
        <v>4783.6000000000004</v>
      </c>
      <c r="R1749">
        <v>223838</v>
      </c>
    </row>
    <row r="1750" spans="1:18" x14ac:dyDescent="0.25">
      <c r="A1750" s="170">
        <v>45210</v>
      </c>
      <c r="B1750" s="116">
        <v>4859.75</v>
      </c>
      <c r="C1750" s="116">
        <v>4753.25</v>
      </c>
      <c r="D1750" s="116">
        <v>4747.6000000000004</v>
      </c>
      <c r="E1750" s="116">
        <v>4825</v>
      </c>
      <c r="F1750" s="116">
        <v>4753.25</v>
      </c>
      <c r="G1750">
        <v>9231</v>
      </c>
      <c r="H1750" s="116"/>
      <c r="I1750" s="116"/>
      <c r="L1750" s="170">
        <v>45210</v>
      </c>
      <c r="M1750" s="116">
        <v>4753.8500000000004</v>
      </c>
      <c r="N1750" s="116">
        <v>4858.6000000000004</v>
      </c>
      <c r="O1750" s="116">
        <v>4743.55</v>
      </c>
      <c r="P1750" s="116">
        <v>4823.95</v>
      </c>
      <c r="Q1750" s="116">
        <v>4753.8500000000004</v>
      </c>
      <c r="R1750">
        <v>124972</v>
      </c>
    </row>
    <row r="1751" spans="1:18" x14ac:dyDescent="0.25">
      <c r="A1751" s="170">
        <v>45211</v>
      </c>
      <c r="B1751" s="116">
        <v>4792.7</v>
      </c>
      <c r="C1751" s="116">
        <v>4730.45</v>
      </c>
      <c r="D1751" s="116">
        <v>4715</v>
      </c>
      <c r="E1751" s="116">
        <v>4765</v>
      </c>
      <c r="F1751" s="116">
        <v>4730.45</v>
      </c>
      <c r="G1751">
        <v>3095</v>
      </c>
      <c r="H1751" s="116"/>
      <c r="I1751" s="116"/>
      <c r="L1751" s="170">
        <v>45211</v>
      </c>
      <c r="M1751" s="116">
        <v>4728.1000000000004</v>
      </c>
      <c r="N1751" s="116">
        <v>4797</v>
      </c>
      <c r="O1751" s="116">
        <v>4712</v>
      </c>
      <c r="P1751" s="116">
        <v>4768.95</v>
      </c>
      <c r="Q1751" s="116">
        <v>4728.1000000000004</v>
      </c>
      <c r="R1751">
        <v>102632</v>
      </c>
    </row>
    <row r="1752" spans="1:18" x14ac:dyDescent="0.25">
      <c r="A1752" s="170">
        <v>45212</v>
      </c>
      <c r="B1752" s="116">
        <v>4782.2</v>
      </c>
      <c r="C1752" s="116">
        <v>4729.2</v>
      </c>
      <c r="D1752" s="116">
        <v>4677.05</v>
      </c>
      <c r="E1752" s="116">
        <v>4681.1000000000004</v>
      </c>
      <c r="F1752" s="116">
        <v>4729.2</v>
      </c>
      <c r="G1752">
        <v>7588</v>
      </c>
      <c r="H1752" s="116"/>
      <c r="I1752" s="116"/>
      <c r="L1752" s="170">
        <v>45212</v>
      </c>
      <c r="M1752" s="116">
        <v>4725.8500000000004</v>
      </c>
      <c r="N1752" s="116">
        <v>4785</v>
      </c>
      <c r="O1752" s="116">
        <v>4675</v>
      </c>
      <c r="P1752" s="116">
        <v>4679</v>
      </c>
      <c r="Q1752" s="116">
        <v>4725.8500000000004</v>
      </c>
      <c r="R1752">
        <v>140390</v>
      </c>
    </row>
    <row r="1753" spans="1:18" x14ac:dyDescent="0.25">
      <c r="A1753" s="170">
        <v>45215</v>
      </c>
      <c r="B1753" s="116">
        <v>4760</v>
      </c>
      <c r="C1753" s="116">
        <v>4689.05</v>
      </c>
      <c r="D1753" s="116">
        <v>4660.05</v>
      </c>
      <c r="E1753" s="116">
        <v>4660.05</v>
      </c>
      <c r="F1753" s="116">
        <v>4689.05</v>
      </c>
      <c r="G1753">
        <v>7464</v>
      </c>
      <c r="H1753" s="116"/>
      <c r="I1753" s="116"/>
      <c r="L1753" s="170">
        <v>45215</v>
      </c>
      <c r="M1753" s="116">
        <v>4690.3</v>
      </c>
      <c r="N1753" s="116">
        <v>4763.3</v>
      </c>
      <c r="O1753" s="116">
        <v>4681.3500000000004</v>
      </c>
      <c r="P1753" s="116">
        <v>4725.8500000000004</v>
      </c>
      <c r="Q1753" s="116">
        <v>4690.3</v>
      </c>
      <c r="R1753">
        <v>141873</v>
      </c>
    </row>
    <row r="1754" spans="1:18" x14ac:dyDescent="0.25">
      <c r="A1754" s="170">
        <v>45216</v>
      </c>
      <c r="B1754" s="116">
        <v>4731.1499999999996</v>
      </c>
      <c r="C1754" s="116">
        <v>4615.45</v>
      </c>
      <c r="D1754" s="116">
        <v>4606</v>
      </c>
      <c r="E1754" s="116">
        <v>4706.05</v>
      </c>
      <c r="F1754" s="116">
        <v>4615.45</v>
      </c>
      <c r="G1754">
        <v>4700</v>
      </c>
      <c r="H1754" s="116"/>
      <c r="I1754" s="116"/>
      <c r="L1754" s="170">
        <v>45216</v>
      </c>
      <c r="M1754" s="116">
        <v>4613.45</v>
      </c>
      <c r="N1754" s="116">
        <v>4730</v>
      </c>
      <c r="O1754" s="116">
        <v>4602.8999999999996</v>
      </c>
      <c r="P1754" s="116">
        <v>4719.8999999999996</v>
      </c>
      <c r="Q1754" s="116">
        <v>4613.45</v>
      </c>
      <c r="R1754">
        <v>173245</v>
      </c>
    </row>
    <row r="1755" spans="1:18" x14ac:dyDescent="0.25">
      <c r="A1755" s="170">
        <v>45217</v>
      </c>
      <c r="B1755" s="116">
        <v>4523.1499999999996</v>
      </c>
      <c r="C1755" s="116">
        <v>4353.95</v>
      </c>
      <c r="D1755" s="116">
        <v>4345</v>
      </c>
      <c r="E1755" s="116">
        <v>4500.05</v>
      </c>
      <c r="F1755" s="116">
        <v>4353.95</v>
      </c>
      <c r="G1755">
        <v>50737</v>
      </c>
      <c r="H1755" s="116"/>
      <c r="I1755" s="116"/>
      <c r="L1755" s="170">
        <v>45217</v>
      </c>
      <c r="M1755" s="116">
        <v>4353.6000000000004</v>
      </c>
      <c r="N1755" s="116">
        <v>4539.8</v>
      </c>
      <c r="O1755" s="116">
        <v>4345</v>
      </c>
      <c r="P1755" s="116">
        <v>4500</v>
      </c>
      <c r="Q1755" s="116">
        <v>4353.6000000000004</v>
      </c>
      <c r="R1755">
        <v>825312</v>
      </c>
    </row>
    <row r="1756" spans="1:18" x14ac:dyDescent="0.25">
      <c r="A1756" s="170">
        <v>45218</v>
      </c>
      <c r="B1756" s="116">
        <v>4375</v>
      </c>
      <c r="C1756" s="116">
        <v>4366.55</v>
      </c>
      <c r="D1756" s="116">
        <v>4275.05</v>
      </c>
      <c r="E1756" s="116">
        <v>4343.75</v>
      </c>
      <c r="F1756" s="116">
        <v>4366.55</v>
      </c>
      <c r="G1756">
        <v>19053</v>
      </c>
      <c r="H1756" s="116"/>
      <c r="I1756" s="116"/>
      <c r="L1756" s="170">
        <v>45218</v>
      </c>
      <c r="M1756" s="116">
        <v>4367.3500000000004</v>
      </c>
      <c r="N1756" s="116">
        <v>4375.95</v>
      </c>
      <c r="O1756" s="116">
        <v>4277</v>
      </c>
      <c r="P1756" s="116">
        <v>4350</v>
      </c>
      <c r="Q1756" s="116">
        <v>4367.3500000000004</v>
      </c>
      <c r="R1756">
        <v>333804</v>
      </c>
    </row>
    <row r="1757" spans="1:18" x14ac:dyDescent="0.25">
      <c r="A1757" s="170">
        <v>45219</v>
      </c>
      <c r="B1757" s="116">
        <v>4374.1000000000004</v>
      </c>
      <c r="C1757" s="116">
        <v>4310.8999999999996</v>
      </c>
      <c r="D1757" s="116">
        <v>4300</v>
      </c>
      <c r="E1757" s="116">
        <v>4355.05</v>
      </c>
      <c r="F1757" s="116">
        <v>4310.8999999999996</v>
      </c>
      <c r="G1757">
        <v>5530</v>
      </c>
      <c r="H1757" s="116"/>
      <c r="I1757" s="116"/>
      <c r="L1757" s="170">
        <v>45219</v>
      </c>
      <c r="M1757" s="116">
        <v>4313.2</v>
      </c>
      <c r="N1757" s="116">
        <v>4372.8500000000004</v>
      </c>
      <c r="O1757" s="116">
        <v>4297.3500000000004</v>
      </c>
      <c r="P1757" s="116">
        <v>4359.7</v>
      </c>
      <c r="Q1757" s="116">
        <v>4313.2</v>
      </c>
      <c r="R1757">
        <v>170223</v>
      </c>
    </row>
    <row r="1758" spans="1:18" x14ac:dyDescent="0.25">
      <c r="A1758" s="170">
        <v>45222</v>
      </c>
      <c r="B1758" s="116">
        <v>4355</v>
      </c>
      <c r="C1758" s="116">
        <v>4217.3500000000004</v>
      </c>
      <c r="D1758" s="116">
        <v>4200</v>
      </c>
      <c r="E1758" s="116">
        <v>4306.05</v>
      </c>
      <c r="F1758" s="116">
        <v>4217.3500000000004</v>
      </c>
      <c r="G1758">
        <v>5133</v>
      </c>
      <c r="H1758" s="116"/>
      <c r="I1758" s="116"/>
      <c r="L1758" s="170">
        <v>45222</v>
      </c>
      <c r="M1758" s="116">
        <v>4215.5</v>
      </c>
      <c r="N1758" s="116">
        <v>4355</v>
      </c>
      <c r="O1758" s="116">
        <v>4200</v>
      </c>
      <c r="P1758" s="116">
        <v>4313.2</v>
      </c>
      <c r="Q1758" s="116">
        <v>4215.5</v>
      </c>
      <c r="R1758">
        <v>148696</v>
      </c>
    </row>
    <row r="1759" spans="1:18" x14ac:dyDescent="0.25">
      <c r="A1759" s="170">
        <v>45224</v>
      </c>
      <c r="B1759" s="116">
        <v>4253</v>
      </c>
      <c r="C1759" s="116">
        <v>4210.05</v>
      </c>
      <c r="D1759" s="116">
        <v>4189.05</v>
      </c>
      <c r="E1759" s="116">
        <v>4220.05</v>
      </c>
      <c r="F1759" s="116">
        <v>4210.05</v>
      </c>
      <c r="G1759">
        <v>10167</v>
      </c>
      <c r="H1759" s="116"/>
      <c r="I1759" s="116"/>
      <c r="L1759" s="170">
        <v>45224</v>
      </c>
      <c r="M1759" s="116">
        <v>4208.5</v>
      </c>
      <c r="N1759" s="116">
        <v>4252.45</v>
      </c>
      <c r="O1759" s="116">
        <v>4187</v>
      </c>
      <c r="P1759" s="116">
        <v>4230.8999999999996</v>
      </c>
      <c r="Q1759" s="116">
        <v>4208.5</v>
      </c>
      <c r="R1759">
        <v>170213</v>
      </c>
    </row>
    <row r="1760" spans="1:18" x14ac:dyDescent="0.25">
      <c r="A1760" s="170">
        <v>45225</v>
      </c>
      <c r="B1760" s="116">
        <v>4187</v>
      </c>
      <c r="C1760" s="116">
        <v>4138.5</v>
      </c>
      <c r="D1760" s="116">
        <v>4107.2</v>
      </c>
      <c r="E1760" s="116">
        <v>4175</v>
      </c>
      <c r="F1760" s="116">
        <v>4138.5</v>
      </c>
      <c r="G1760">
        <v>15275</v>
      </c>
      <c r="H1760" s="116"/>
      <c r="I1760" s="116"/>
      <c r="L1760" s="170">
        <v>45225</v>
      </c>
      <c r="M1760" s="116">
        <v>4139.25</v>
      </c>
      <c r="N1760" s="116">
        <v>4193.95</v>
      </c>
      <c r="O1760" s="116">
        <v>4111</v>
      </c>
      <c r="P1760" s="116">
        <v>4168.8500000000004</v>
      </c>
      <c r="Q1760" s="116">
        <v>4139.25</v>
      </c>
      <c r="R1760">
        <v>180823</v>
      </c>
    </row>
    <row r="1761" spans="1:18" x14ac:dyDescent="0.25">
      <c r="A1761" s="170">
        <v>45226</v>
      </c>
      <c r="B1761" s="116">
        <v>4183</v>
      </c>
      <c r="C1761" s="116">
        <v>4176.2</v>
      </c>
      <c r="D1761" s="116">
        <v>4136.3</v>
      </c>
      <c r="E1761" s="116">
        <v>4151.05</v>
      </c>
      <c r="F1761" s="116">
        <v>4176.2</v>
      </c>
      <c r="G1761">
        <v>3191</v>
      </c>
      <c r="H1761" s="116"/>
      <c r="I1761" s="116"/>
      <c r="L1761" s="170">
        <v>45226</v>
      </c>
      <c r="M1761" s="116">
        <v>4176.25</v>
      </c>
      <c r="N1761" s="116">
        <v>4184.95</v>
      </c>
      <c r="O1761" s="116">
        <v>4132.3</v>
      </c>
      <c r="P1761" s="116">
        <v>4159</v>
      </c>
      <c r="Q1761" s="116">
        <v>4176.25</v>
      </c>
      <c r="R1761">
        <v>154989</v>
      </c>
    </row>
    <row r="1762" spans="1:18" x14ac:dyDescent="0.25">
      <c r="A1762" s="170">
        <v>45229</v>
      </c>
      <c r="B1762" s="116">
        <v>4198.25</v>
      </c>
      <c r="C1762" s="116">
        <v>4177.7</v>
      </c>
      <c r="D1762" s="116">
        <v>4138.6000000000004</v>
      </c>
      <c r="E1762" s="116">
        <v>4198.25</v>
      </c>
      <c r="F1762" s="116">
        <v>4177.7</v>
      </c>
      <c r="G1762">
        <v>3375</v>
      </c>
      <c r="H1762" s="116"/>
      <c r="I1762" s="116"/>
      <c r="L1762" s="170">
        <v>45229</v>
      </c>
      <c r="M1762" s="116">
        <v>4180.05</v>
      </c>
      <c r="N1762" s="116">
        <v>4198</v>
      </c>
      <c r="O1762" s="116">
        <v>4140.05</v>
      </c>
      <c r="P1762" s="116">
        <v>4192</v>
      </c>
      <c r="Q1762" s="116">
        <v>4180.05</v>
      </c>
      <c r="R1762">
        <v>136413</v>
      </c>
    </row>
    <row r="1763" spans="1:18" x14ac:dyDescent="0.25">
      <c r="A1763" s="170">
        <v>45230</v>
      </c>
      <c r="B1763" s="116">
        <v>4249.95</v>
      </c>
      <c r="C1763" s="116">
        <v>4186.45</v>
      </c>
      <c r="D1763" s="116">
        <v>4160</v>
      </c>
      <c r="E1763" s="116">
        <v>4249.95</v>
      </c>
      <c r="F1763" s="116">
        <v>4186.45</v>
      </c>
      <c r="G1763">
        <v>2665</v>
      </c>
      <c r="H1763" s="116"/>
      <c r="I1763" s="116"/>
      <c r="L1763" s="170">
        <v>45230</v>
      </c>
      <c r="M1763" s="116">
        <v>4186.7</v>
      </c>
      <c r="N1763" s="116">
        <v>4219.7</v>
      </c>
      <c r="O1763" s="116">
        <v>4157.45</v>
      </c>
      <c r="P1763" s="116">
        <v>4207</v>
      </c>
      <c r="Q1763" s="116">
        <v>4186.7</v>
      </c>
      <c r="R1763">
        <v>76236</v>
      </c>
    </row>
    <row r="1764" spans="1:18" x14ac:dyDescent="0.25">
      <c r="A1764" s="170">
        <v>45231</v>
      </c>
      <c r="B1764" s="116">
        <v>4209</v>
      </c>
      <c r="C1764" s="116">
        <v>4166.8</v>
      </c>
      <c r="D1764" s="116">
        <v>4157</v>
      </c>
      <c r="E1764" s="116">
        <v>4192.7</v>
      </c>
      <c r="F1764" s="116">
        <v>4166.8</v>
      </c>
      <c r="G1764">
        <v>3056</v>
      </c>
      <c r="H1764" s="116"/>
      <c r="I1764" s="116"/>
      <c r="L1764" s="170">
        <v>45231</v>
      </c>
      <c r="M1764" s="116">
        <v>4165.55</v>
      </c>
      <c r="N1764" s="116">
        <v>4209.25</v>
      </c>
      <c r="O1764" s="116">
        <v>4155.1499999999996</v>
      </c>
      <c r="P1764" s="116">
        <v>4187</v>
      </c>
      <c r="Q1764" s="116">
        <v>4165.55</v>
      </c>
      <c r="R1764">
        <v>88352</v>
      </c>
    </row>
    <row r="1765" spans="1:18" x14ac:dyDescent="0.25">
      <c r="A1765" s="170">
        <v>45232</v>
      </c>
      <c r="B1765" s="116">
        <v>4231</v>
      </c>
      <c r="C1765" s="116">
        <v>4209.2</v>
      </c>
      <c r="D1765" s="116">
        <v>4172</v>
      </c>
      <c r="E1765" s="116">
        <v>4211.1499999999996</v>
      </c>
      <c r="F1765" s="116">
        <v>4209.2</v>
      </c>
      <c r="G1765">
        <v>7555</v>
      </c>
      <c r="H1765" s="116"/>
      <c r="I1765" s="116"/>
      <c r="L1765" s="170">
        <v>45232</v>
      </c>
      <c r="M1765" s="116">
        <v>4211.1499999999996</v>
      </c>
      <c r="N1765" s="116">
        <v>4232.3500000000004</v>
      </c>
      <c r="O1765" s="116">
        <v>4170</v>
      </c>
      <c r="P1765" s="116">
        <v>4224</v>
      </c>
      <c r="Q1765" s="116">
        <v>4211.1499999999996</v>
      </c>
      <c r="R1765">
        <v>92526</v>
      </c>
    </row>
    <row r="1766" spans="1:18" x14ac:dyDescent="0.25">
      <c r="A1766" s="170">
        <v>45233</v>
      </c>
      <c r="B1766" s="116">
        <v>4253.7</v>
      </c>
      <c r="C1766" s="116">
        <v>4230.05</v>
      </c>
      <c r="D1766" s="116">
        <v>4218.5</v>
      </c>
      <c r="E1766" s="116">
        <v>4234.75</v>
      </c>
      <c r="F1766" s="116">
        <v>4230.05</v>
      </c>
      <c r="G1766">
        <v>2074</v>
      </c>
      <c r="H1766" s="116"/>
      <c r="I1766" s="116"/>
      <c r="L1766" s="170">
        <v>45233</v>
      </c>
      <c r="M1766" s="116">
        <v>4232.45</v>
      </c>
      <c r="N1766" s="116">
        <v>4255.1499999999996</v>
      </c>
      <c r="O1766" s="116">
        <v>4215</v>
      </c>
      <c r="P1766" s="116">
        <v>4239</v>
      </c>
      <c r="Q1766" s="116">
        <v>4232.45</v>
      </c>
      <c r="R1766">
        <v>55400</v>
      </c>
    </row>
    <row r="1767" spans="1:18" x14ac:dyDescent="0.25">
      <c r="A1767" s="170">
        <v>45236</v>
      </c>
      <c r="B1767" s="116">
        <v>4270</v>
      </c>
      <c r="C1767" s="116">
        <v>4260.8</v>
      </c>
      <c r="D1767" s="116">
        <v>4238.3999999999996</v>
      </c>
      <c r="E1767" s="116">
        <v>4245</v>
      </c>
      <c r="F1767" s="116">
        <v>4260.8</v>
      </c>
      <c r="G1767">
        <v>1527</v>
      </c>
      <c r="H1767" s="116"/>
      <c r="I1767" s="116"/>
      <c r="L1767" s="170">
        <v>45236</v>
      </c>
      <c r="M1767" s="116">
        <v>4261.75</v>
      </c>
      <c r="N1767" s="116">
        <v>4270</v>
      </c>
      <c r="O1767" s="116">
        <v>4236.8999999999996</v>
      </c>
      <c r="P1767" s="116">
        <v>4247</v>
      </c>
      <c r="Q1767" s="116">
        <v>4261.75</v>
      </c>
      <c r="R1767">
        <v>75195</v>
      </c>
    </row>
    <row r="1768" spans="1:18" x14ac:dyDescent="0.25">
      <c r="A1768" s="170">
        <v>45237</v>
      </c>
      <c r="B1768" s="116">
        <v>4304</v>
      </c>
      <c r="C1768" s="116">
        <v>4262.3500000000004</v>
      </c>
      <c r="D1768" s="116">
        <v>4251.45</v>
      </c>
      <c r="E1768" s="116">
        <v>4271.05</v>
      </c>
      <c r="F1768" s="116">
        <v>4262.3500000000004</v>
      </c>
      <c r="G1768">
        <v>3974</v>
      </c>
      <c r="H1768" s="116"/>
      <c r="I1768" s="116"/>
      <c r="L1768" s="170">
        <v>45237</v>
      </c>
      <c r="M1768" s="116">
        <v>4264.8500000000004</v>
      </c>
      <c r="N1768" s="116">
        <v>4304.6499999999996</v>
      </c>
      <c r="O1768" s="116">
        <v>4251.25</v>
      </c>
      <c r="P1768" s="116">
        <v>4273</v>
      </c>
      <c r="Q1768" s="116">
        <v>4264.8500000000004</v>
      </c>
      <c r="R1768">
        <v>98569</v>
      </c>
    </row>
    <row r="1769" spans="1:18" x14ac:dyDescent="0.25">
      <c r="A1769" s="170">
        <v>45238</v>
      </c>
      <c r="B1769" s="116">
        <v>4303.1499999999996</v>
      </c>
      <c r="C1769" s="116">
        <v>4279.8999999999996</v>
      </c>
      <c r="D1769" s="116">
        <v>4270.6000000000004</v>
      </c>
      <c r="E1769" s="116">
        <v>4276.05</v>
      </c>
      <c r="F1769" s="116">
        <v>4279.8999999999996</v>
      </c>
      <c r="G1769">
        <v>2360</v>
      </c>
      <c r="H1769" s="116"/>
      <c r="I1769" s="116"/>
      <c r="L1769" s="170">
        <v>45238</v>
      </c>
      <c r="M1769" s="116">
        <v>4279.2</v>
      </c>
      <c r="N1769" s="116">
        <v>4302.45</v>
      </c>
      <c r="O1769" s="116">
        <v>4271.55</v>
      </c>
      <c r="P1769" s="116">
        <v>4284</v>
      </c>
      <c r="Q1769" s="116">
        <v>4279.2</v>
      </c>
      <c r="R1769">
        <v>61677</v>
      </c>
    </row>
    <row r="1770" spans="1:18" x14ac:dyDescent="0.25">
      <c r="A1770" s="170">
        <v>45239</v>
      </c>
      <c r="B1770" s="116">
        <v>4292.6499999999996</v>
      </c>
      <c r="C1770" s="116">
        <v>4253.6000000000004</v>
      </c>
      <c r="D1770" s="116">
        <v>4240.8999999999996</v>
      </c>
      <c r="E1770" s="116">
        <v>4285</v>
      </c>
      <c r="F1770" s="116">
        <v>4253.6000000000004</v>
      </c>
      <c r="G1770">
        <v>4576</v>
      </c>
      <c r="H1770" s="116"/>
      <c r="I1770" s="116"/>
      <c r="L1770" s="170">
        <v>45239</v>
      </c>
      <c r="M1770" s="116">
        <v>4253</v>
      </c>
      <c r="N1770" s="116">
        <v>4298.8999999999996</v>
      </c>
      <c r="O1770" s="116">
        <v>4239.95</v>
      </c>
      <c r="P1770" s="116">
        <v>4285</v>
      </c>
      <c r="Q1770" s="116">
        <v>4253</v>
      </c>
      <c r="R1770">
        <v>62789</v>
      </c>
    </row>
    <row r="1771" spans="1:18" x14ac:dyDescent="0.25">
      <c r="A1771" s="170">
        <v>45240</v>
      </c>
      <c r="B1771" s="116">
        <v>4280</v>
      </c>
      <c r="C1771" s="116">
        <v>4271.45</v>
      </c>
      <c r="D1771" s="116">
        <v>4216.8999999999996</v>
      </c>
      <c r="E1771" s="116">
        <v>4240</v>
      </c>
      <c r="F1771" s="116">
        <v>4271.45</v>
      </c>
      <c r="G1771">
        <v>6026</v>
      </c>
      <c r="H1771" s="116"/>
      <c r="I1771" s="116"/>
      <c r="L1771" s="170">
        <v>45240</v>
      </c>
      <c r="M1771" s="116">
        <v>4275.05</v>
      </c>
      <c r="N1771" s="116">
        <v>4280</v>
      </c>
      <c r="O1771" s="116">
        <v>4203</v>
      </c>
      <c r="P1771" s="116">
        <v>4242</v>
      </c>
      <c r="Q1771" s="116">
        <v>4275.05</v>
      </c>
      <c r="R1771">
        <v>52639</v>
      </c>
    </row>
    <row r="1772" spans="1:18" x14ac:dyDescent="0.25">
      <c r="A1772" s="170">
        <v>45242</v>
      </c>
      <c r="B1772" s="116">
        <v>4314.05</v>
      </c>
      <c r="C1772" s="116">
        <v>4298.8500000000004</v>
      </c>
      <c r="D1772" s="116">
        <v>4284.3</v>
      </c>
      <c r="E1772" s="116">
        <v>4300.05</v>
      </c>
      <c r="F1772" s="116">
        <v>4298.8500000000004</v>
      </c>
      <c r="G1772">
        <v>874</v>
      </c>
      <c r="H1772" s="116"/>
      <c r="I1772" s="116"/>
      <c r="L1772" s="170">
        <v>45242</v>
      </c>
      <c r="M1772" s="116">
        <v>4296.8999999999996</v>
      </c>
      <c r="N1772" s="116">
        <v>4319.8999999999996</v>
      </c>
      <c r="O1772" s="116">
        <v>4282.3</v>
      </c>
      <c r="P1772" s="116">
        <v>4310</v>
      </c>
      <c r="Q1772" s="116">
        <v>4296.8999999999996</v>
      </c>
      <c r="R1772">
        <v>17373</v>
      </c>
    </row>
    <row r="1773" spans="1:18" x14ac:dyDescent="0.25">
      <c r="A1773" s="170">
        <v>45243</v>
      </c>
      <c r="B1773" s="116">
        <v>4276.05</v>
      </c>
      <c r="C1773" s="116">
        <v>4256.7</v>
      </c>
      <c r="D1773" s="116">
        <v>4245</v>
      </c>
      <c r="E1773" s="116">
        <v>4275</v>
      </c>
      <c r="F1773" s="116">
        <v>4256.7</v>
      </c>
      <c r="G1773">
        <v>3406</v>
      </c>
      <c r="H1773" s="116"/>
      <c r="I1773" s="116"/>
      <c r="L1773" s="170">
        <v>45243</v>
      </c>
      <c r="M1773" s="116">
        <v>4257.7</v>
      </c>
      <c r="N1773" s="116">
        <v>4289.8</v>
      </c>
      <c r="O1773" s="116">
        <v>4243.55</v>
      </c>
      <c r="P1773" s="116">
        <v>4272.2</v>
      </c>
      <c r="Q1773" s="116">
        <v>4257.7</v>
      </c>
      <c r="R1773">
        <v>52126</v>
      </c>
    </row>
    <row r="1774" spans="1:18" x14ac:dyDescent="0.25">
      <c r="A1774" s="170">
        <v>45245</v>
      </c>
      <c r="B1774" s="116">
        <v>4402.3500000000004</v>
      </c>
      <c r="C1774" s="116">
        <v>4386.25</v>
      </c>
      <c r="D1774" s="116">
        <v>4280.05</v>
      </c>
      <c r="E1774" s="116">
        <v>4280.05</v>
      </c>
      <c r="F1774" s="116">
        <v>4386.25</v>
      </c>
      <c r="G1774">
        <v>5253</v>
      </c>
      <c r="H1774" s="116"/>
      <c r="I1774" s="116"/>
      <c r="L1774" s="170">
        <v>45245</v>
      </c>
      <c r="M1774" s="116">
        <v>4391</v>
      </c>
      <c r="N1774" s="116">
        <v>4405</v>
      </c>
      <c r="O1774" s="116">
        <v>4283.05</v>
      </c>
      <c r="P1774" s="116">
        <v>4300</v>
      </c>
      <c r="Q1774" s="116">
        <v>4391</v>
      </c>
      <c r="R1774">
        <v>236115</v>
      </c>
    </row>
    <row r="1775" spans="1:18" x14ac:dyDescent="0.25">
      <c r="A1775" s="170">
        <v>45246</v>
      </c>
      <c r="B1775" s="116">
        <v>4455.2</v>
      </c>
      <c r="C1775" s="116">
        <v>4431</v>
      </c>
      <c r="D1775" s="116">
        <v>4371.8999999999996</v>
      </c>
      <c r="E1775" s="116">
        <v>4395.05</v>
      </c>
      <c r="F1775" s="116">
        <v>4431</v>
      </c>
      <c r="G1775">
        <v>4634</v>
      </c>
      <c r="H1775" s="116"/>
      <c r="I1775" s="116"/>
      <c r="L1775" s="170">
        <v>45246</v>
      </c>
      <c r="M1775" s="116">
        <v>4431.8500000000004</v>
      </c>
      <c r="N1775" s="116">
        <v>4455</v>
      </c>
      <c r="O1775" s="116">
        <v>4362.55</v>
      </c>
      <c r="P1775" s="116">
        <v>4408</v>
      </c>
      <c r="Q1775" s="116">
        <v>4431.8500000000004</v>
      </c>
      <c r="R1775">
        <v>165431</v>
      </c>
    </row>
    <row r="1776" spans="1:18" x14ac:dyDescent="0.25">
      <c r="A1776" s="170">
        <v>45247</v>
      </c>
      <c r="B1776" s="116">
        <v>4472.1000000000004</v>
      </c>
      <c r="C1776" s="116">
        <v>4453.75</v>
      </c>
      <c r="D1776" s="116">
        <v>4431</v>
      </c>
      <c r="E1776" s="116">
        <v>4452.3999999999996</v>
      </c>
      <c r="F1776" s="116">
        <v>4453.75</v>
      </c>
      <c r="G1776">
        <v>3778</v>
      </c>
      <c r="H1776" s="116"/>
      <c r="I1776" s="116"/>
      <c r="L1776" s="170">
        <v>45247</v>
      </c>
      <c r="M1776" s="116">
        <v>4453.7</v>
      </c>
      <c r="N1776" s="116">
        <v>4472</v>
      </c>
      <c r="O1776" s="116">
        <v>4388</v>
      </c>
      <c r="P1776" s="116">
        <v>4443</v>
      </c>
      <c r="Q1776" s="116">
        <v>4453.7</v>
      </c>
      <c r="R1776">
        <v>103346</v>
      </c>
    </row>
    <row r="1777" spans="1:18" x14ac:dyDescent="0.25">
      <c r="A1777" s="170">
        <v>45250</v>
      </c>
      <c r="B1777" s="116">
        <v>4556.3500000000004</v>
      </c>
      <c r="C1777" s="116">
        <v>4528.7</v>
      </c>
      <c r="D1777" s="116">
        <v>4453.7</v>
      </c>
      <c r="E1777" s="116">
        <v>4453.75</v>
      </c>
      <c r="F1777" s="116">
        <v>4528.7</v>
      </c>
      <c r="G1777">
        <v>15305</v>
      </c>
      <c r="H1777" s="116"/>
      <c r="I1777" s="116"/>
      <c r="L1777" s="170">
        <v>45250</v>
      </c>
      <c r="M1777" s="116">
        <v>4530.1000000000004</v>
      </c>
      <c r="N1777" s="116">
        <v>4559.8999999999996</v>
      </c>
      <c r="O1777" s="116">
        <v>4430</v>
      </c>
      <c r="P1777" s="116">
        <v>4455</v>
      </c>
      <c r="Q1777" s="116">
        <v>4530.1000000000004</v>
      </c>
      <c r="R1777">
        <v>225432</v>
      </c>
    </row>
    <row r="1778" spans="1:18" x14ac:dyDescent="0.25">
      <c r="A1778" s="170">
        <v>45251</v>
      </c>
      <c r="B1778" s="116">
        <v>4603.5</v>
      </c>
      <c r="C1778" s="116">
        <v>4596.1499999999996</v>
      </c>
      <c r="D1778" s="116">
        <v>4537.75</v>
      </c>
      <c r="E1778" s="116">
        <v>4556</v>
      </c>
      <c r="F1778" s="116">
        <v>4596.1499999999996</v>
      </c>
      <c r="G1778">
        <v>5827</v>
      </c>
      <c r="H1778" s="116"/>
      <c r="I1778" s="116"/>
      <c r="L1778" s="170">
        <v>45251</v>
      </c>
      <c r="M1778" s="116">
        <v>4596.5</v>
      </c>
      <c r="N1778" s="116">
        <v>4604.75</v>
      </c>
      <c r="O1778" s="116">
        <v>4535</v>
      </c>
      <c r="P1778" s="116">
        <v>4554.8</v>
      </c>
      <c r="Q1778" s="116">
        <v>4596.5</v>
      </c>
      <c r="R1778">
        <v>182788</v>
      </c>
    </row>
    <row r="1779" spans="1:18" x14ac:dyDescent="0.25">
      <c r="A1779" s="170">
        <v>45252</v>
      </c>
      <c r="B1779" s="116">
        <v>4610</v>
      </c>
      <c r="C1779" s="116">
        <v>4565.6499999999996</v>
      </c>
      <c r="D1779" s="116">
        <v>4546.3</v>
      </c>
      <c r="E1779" s="116">
        <v>4606.75</v>
      </c>
      <c r="F1779" s="116">
        <v>4565.6499999999996</v>
      </c>
      <c r="G1779">
        <v>2029</v>
      </c>
      <c r="H1779" s="116"/>
      <c r="I1779" s="116"/>
      <c r="L1779" s="170">
        <v>45252</v>
      </c>
      <c r="M1779" s="116">
        <v>4566.75</v>
      </c>
      <c r="N1779" s="116">
        <v>4614.8999999999996</v>
      </c>
      <c r="O1779" s="116">
        <v>4547.1499999999996</v>
      </c>
      <c r="P1779" s="116">
        <v>4603</v>
      </c>
      <c r="Q1779" s="116">
        <v>4566.75</v>
      </c>
      <c r="R1779">
        <v>85850</v>
      </c>
    </row>
    <row r="1780" spans="1:18" x14ac:dyDescent="0.25">
      <c r="A1780" s="170">
        <v>45253</v>
      </c>
      <c r="B1780" s="116">
        <v>4591.3500000000004</v>
      </c>
      <c r="C1780" s="116">
        <v>4531.3</v>
      </c>
      <c r="D1780" s="116">
        <v>4507</v>
      </c>
      <c r="E1780" s="116">
        <v>4580.05</v>
      </c>
      <c r="F1780" s="116">
        <v>4531.3</v>
      </c>
      <c r="G1780">
        <v>3138</v>
      </c>
      <c r="H1780" s="116"/>
      <c r="I1780" s="116"/>
      <c r="L1780" s="170">
        <v>45253</v>
      </c>
      <c r="M1780" s="116">
        <v>4529.3</v>
      </c>
      <c r="N1780" s="116">
        <v>4595.8999999999996</v>
      </c>
      <c r="O1780" s="116">
        <v>4505.25</v>
      </c>
      <c r="P1780" s="116">
        <v>4589.95</v>
      </c>
      <c r="Q1780" s="116">
        <v>4529.3</v>
      </c>
      <c r="R1780">
        <v>57361</v>
      </c>
    </row>
    <row r="1781" spans="1:18" x14ac:dyDescent="0.25">
      <c r="A1781" s="170">
        <v>45254</v>
      </c>
      <c r="B1781" s="116">
        <v>4600</v>
      </c>
      <c r="C1781" s="116">
        <v>4567.95</v>
      </c>
      <c r="D1781" s="116">
        <v>4516.05</v>
      </c>
      <c r="E1781" s="116">
        <v>4559.95</v>
      </c>
      <c r="F1781" s="116">
        <v>4567.95</v>
      </c>
      <c r="G1781">
        <v>8946</v>
      </c>
      <c r="H1781" s="116"/>
      <c r="I1781" s="116"/>
      <c r="L1781" s="170">
        <v>45254</v>
      </c>
      <c r="M1781" s="116">
        <v>4568.55</v>
      </c>
      <c r="N1781" s="116">
        <v>4603</v>
      </c>
      <c r="O1781" s="116">
        <v>4519.7</v>
      </c>
      <c r="P1781" s="116">
        <v>4554.8</v>
      </c>
      <c r="Q1781" s="116">
        <v>4568.55</v>
      </c>
      <c r="R1781">
        <v>134147</v>
      </c>
    </row>
    <row r="1782" spans="1:18" x14ac:dyDescent="0.25">
      <c r="A1782" s="170">
        <v>45258</v>
      </c>
      <c r="B1782" s="116">
        <v>4599.8999999999996</v>
      </c>
      <c r="C1782" s="116">
        <v>4586.5</v>
      </c>
      <c r="D1782" s="116">
        <v>4543.8500000000004</v>
      </c>
      <c r="E1782" s="116">
        <v>4599.8999999999996</v>
      </c>
      <c r="F1782" s="116">
        <v>4586.5</v>
      </c>
      <c r="G1782">
        <v>3234</v>
      </c>
      <c r="H1782" s="116"/>
      <c r="I1782" s="116"/>
      <c r="L1782" s="170">
        <v>45258</v>
      </c>
      <c r="M1782" s="116">
        <v>4591.3500000000004</v>
      </c>
      <c r="N1782" s="116">
        <v>4600</v>
      </c>
      <c r="O1782" s="116">
        <v>4540</v>
      </c>
      <c r="P1782" s="116">
        <v>4590</v>
      </c>
      <c r="Q1782" s="116">
        <v>4591.3500000000004</v>
      </c>
      <c r="R1782">
        <v>75975</v>
      </c>
    </row>
    <row r="1783" spans="1:18" x14ac:dyDescent="0.25">
      <c r="A1783" s="170">
        <v>45259</v>
      </c>
      <c r="B1783" s="116">
        <v>4681.1000000000004</v>
      </c>
      <c r="C1783" s="116">
        <v>4677.75</v>
      </c>
      <c r="D1783" s="116">
        <v>4600</v>
      </c>
      <c r="E1783" s="116">
        <v>4610.05</v>
      </c>
      <c r="F1783" s="116">
        <v>4677.75</v>
      </c>
      <c r="G1783">
        <v>5564</v>
      </c>
      <c r="H1783" s="116"/>
      <c r="I1783" s="116"/>
      <c r="L1783" s="170">
        <v>45259</v>
      </c>
      <c r="M1783" s="116">
        <v>4675.6000000000004</v>
      </c>
      <c r="N1783" s="116">
        <v>4679.8999999999996</v>
      </c>
      <c r="O1783" s="116">
        <v>4575</v>
      </c>
      <c r="P1783" s="116">
        <v>4617.1499999999996</v>
      </c>
      <c r="Q1783" s="116">
        <v>4675.6000000000004</v>
      </c>
      <c r="R1783">
        <v>241878</v>
      </c>
    </row>
    <row r="1784" spans="1:18" x14ac:dyDescent="0.25">
      <c r="A1784" s="170">
        <v>45260</v>
      </c>
      <c r="B1784" s="116">
        <v>4803</v>
      </c>
      <c r="C1784" s="116">
        <v>4766.3</v>
      </c>
      <c r="D1784" s="116">
        <v>4660.75</v>
      </c>
      <c r="E1784" s="116">
        <v>4670.05</v>
      </c>
      <c r="F1784" s="116">
        <v>4766.3</v>
      </c>
      <c r="G1784">
        <v>18935</v>
      </c>
      <c r="H1784" s="116"/>
      <c r="I1784" s="116"/>
      <c r="L1784" s="170">
        <v>45260</v>
      </c>
      <c r="M1784" s="116">
        <v>4768.95</v>
      </c>
      <c r="N1784" s="116">
        <v>4804.6000000000004</v>
      </c>
      <c r="O1784" s="116">
        <v>4657</v>
      </c>
      <c r="P1784" s="116">
        <v>4689.75</v>
      </c>
      <c r="Q1784" s="116">
        <v>4768.95</v>
      </c>
      <c r="R1784">
        <v>301031</v>
      </c>
    </row>
    <row r="1785" spans="1:18" x14ac:dyDescent="0.25">
      <c r="A1785" s="170">
        <v>45261</v>
      </c>
      <c r="B1785" s="116">
        <v>4828.45</v>
      </c>
      <c r="C1785" s="116">
        <v>4812.7</v>
      </c>
      <c r="D1785" s="116">
        <v>4739.1000000000004</v>
      </c>
      <c r="E1785" s="116">
        <v>4775.05</v>
      </c>
      <c r="F1785" s="116">
        <v>4812.7</v>
      </c>
      <c r="G1785">
        <v>8308</v>
      </c>
      <c r="H1785" s="116"/>
      <c r="I1785" s="116"/>
      <c r="L1785" s="170">
        <v>45261</v>
      </c>
      <c r="M1785" s="116">
        <v>4801.8999999999996</v>
      </c>
      <c r="N1785" s="116">
        <v>4829.05</v>
      </c>
      <c r="O1785" s="116">
        <v>4737.1000000000004</v>
      </c>
      <c r="P1785" s="116">
        <v>4799.95</v>
      </c>
      <c r="Q1785" s="116">
        <v>4801.8999999999996</v>
      </c>
      <c r="R1785">
        <v>154790</v>
      </c>
    </row>
    <row r="1786" spans="1:18" x14ac:dyDescent="0.25">
      <c r="A1786" s="170">
        <v>45264</v>
      </c>
      <c r="B1786" s="116">
        <v>4886.2</v>
      </c>
      <c r="C1786" s="116">
        <v>4747.5</v>
      </c>
      <c r="D1786" s="116">
        <v>4718.8</v>
      </c>
      <c r="E1786" s="116">
        <v>4886.2</v>
      </c>
      <c r="F1786" s="116">
        <v>4747.5</v>
      </c>
      <c r="G1786">
        <v>11790</v>
      </c>
      <c r="H1786" s="116"/>
      <c r="I1786" s="116"/>
      <c r="L1786" s="170">
        <v>45264</v>
      </c>
      <c r="M1786" s="116">
        <v>4748.1000000000004</v>
      </c>
      <c r="N1786" s="116">
        <v>4855</v>
      </c>
      <c r="O1786" s="116">
        <v>4727.6000000000004</v>
      </c>
      <c r="P1786" s="116">
        <v>4830.1499999999996</v>
      </c>
      <c r="Q1786" s="116">
        <v>4748.1000000000004</v>
      </c>
      <c r="R1786">
        <v>156871</v>
      </c>
    </row>
    <row r="1787" spans="1:18" x14ac:dyDescent="0.25">
      <c r="A1787" s="170">
        <v>45265</v>
      </c>
      <c r="B1787" s="116">
        <v>4756.75</v>
      </c>
      <c r="C1787" s="116">
        <v>4675.55</v>
      </c>
      <c r="D1787" s="116">
        <v>4623.6499999999996</v>
      </c>
      <c r="E1787" s="116">
        <v>4747.55</v>
      </c>
      <c r="F1787" s="116">
        <v>4675.55</v>
      </c>
      <c r="G1787">
        <v>7535</v>
      </c>
      <c r="H1787" s="116"/>
      <c r="I1787" s="116"/>
      <c r="L1787" s="170">
        <v>45265</v>
      </c>
      <c r="M1787" s="116">
        <v>4675.3</v>
      </c>
      <c r="N1787" s="116">
        <v>4768.1000000000004</v>
      </c>
      <c r="O1787" s="116">
        <v>4620.55</v>
      </c>
      <c r="P1787" s="116">
        <v>4754.95</v>
      </c>
      <c r="Q1787" s="116">
        <v>4675.3</v>
      </c>
      <c r="R1787">
        <v>211638</v>
      </c>
    </row>
    <row r="1788" spans="1:18" x14ac:dyDescent="0.25">
      <c r="A1788" s="170">
        <v>45266</v>
      </c>
      <c r="B1788" s="116">
        <v>4878.3999999999996</v>
      </c>
      <c r="C1788" s="116">
        <v>4859.3500000000004</v>
      </c>
      <c r="D1788" s="116">
        <v>4686.05</v>
      </c>
      <c r="E1788" s="116">
        <v>4686.05</v>
      </c>
      <c r="F1788" s="116">
        <v>4859.3500000000004</v>
      </c>
      <c r="G1788">
        <v>22908</v>
      </c>
      <c r="H1788" s="116"/>
      <c r="I1788" s="116"/>
      <c r="L1788" s="170">
        <v>45266</v>
      </c>
      <c r="M1788" s="116">
        <v>4858.95</v>
      </c>
      <c r="N1788" s="116">
        <v>4880.75</v>
      </c>
      <c r="O1788" s="116">
        <v>4690.3</v>
      </c>
      <c r="P1788" s="116">
        <v>4699</v>
      </c>
      <c r="Q1788" s="116">
        <v>4858.95</v>
      </c>
      <c r="R1788">
        <v>388468</v>
      </c>
    </row>
    <row r="1789" spans="1:18" x14ac:dyDescent="0.25">
      <c r="A1789" s="170">
        <v>45267</v>
      </c>
      <c r="B1789" s="116">
        <v>4974.25</v>
      </c>
      <c r="C1789" s="116">
        <v>4925.5</v>
      </c>
      <c r="D1789" s="116">
        <v>4855.55</v>
      </c>
      <c r="E1789" s="116">
        <v>4878</v>
      </c>
      <c r="F1789" s="116">
        <v>4925.5</v>
      </c>
      <c r="G1789">
        <v>24724</v>
      </c>
      <c r="H1789" s="116"/>
      <c r="I1789" s="116"/>
      <c r="L1789" s="170">
        <v>45267</v>
      </c>
      <c r="M1789" s="116">
        <v>4926.5</v>
      </c>
      <c r="N1789" s="116">
        <v>4975</v>
      </c>
      <c r="O1789" s="116">
        <v>4858.95</v>
      </c>
      <c r="P1789" s="116">
        <v>4889.8999999999996</v>
      </c>
      <c r="Q1789" s="116">
        <v>4926.5</v>
      </c>
      <c r="R1789">
        <v>408048</v>
      </c>
    </row>
    <row r="1790" spans="1:18" x14ac:dyDescent="0.25">
      <c r="A1790" s="170">
        <v>45268</v>
      </c>
      <c r="B1790" s="116">
        <v>4985</v>
      </c>
      <c r="C1790" s="116">
        <v>4940</v>
      </c>
      <c r="D1790" s="116">
        <v>4889.8500000000004</v>
      </c>
      <c r="E1790" s="116">
        <v>4968.3</v>
      </c>
      <c r="F1790" s="116">
        <v>4940</v>
      </c>
      <c r="G1790">
        <v>6881</v>
      </c>
      <c r="H1790" s="116"/>
      <c r="I1790" s="116"/>
      <c r="L1790" s="170">
        <v>45268</v>
      </c>
      <c r="M1790" s="116">
        <v>4939.05</v>
      </c>
      <c r="N1790" s="116">
        <v>4988.6499999999996</v>
      </c>
      <c r="O1790" s="116">
        <v>4891</v>
      </c>
      <c r="P1790" s="116">
        <v>4950</v>
      </c>
      <c r="Q1790" s="116">
        <v>4939.05</v>
      </c>
      <c r="R1790">
        <v>214082</v>
      </c>
    </row>
    <row r="1791" spans="1:18" x14ac:dyDescent="0.25">
      <c r="A1791" s="170">
        <v>45271</v>
      </c>
      <c r="B1791" s="116">
        <v>5014.6499999999996</v>
      </c>
      <c r="C1791" s="116">
        <v>4942.8999999999996</v>
      </c>
      <c r="D1791" s="116">
        <v>4931.7</v>
      </c>
      <c r="E1791" s="116">
        <v>4965</v>
      </c>
      <c r="F1791" s="116">
        <v>4942.8999999999996</v>
      </c>
      <c r="G1791">
        <v>10747</v>
      </c>
      <c r="H1791" s="116"/>
      <c r="I1791" s="116"/>
      <c r="L1791" s="170">
        <v>45271</v>
      </c>
      <c r="M1791" s="116">
        <v>4944.5</v>
      </c>
      <c r="N1791" s="116">
        <v>5014</v>
      </c>
      <c r="O1791" s="116">
        <v>4930.5</v>
      </c>
      <c r="P1791" s="116">
        <v>4974</v>
      </c>
      <c r="Q1791" s="116">
        <v>4944.5</v>
      </c>
      <c r="R1791">
        <v>125459</v>
      </c>
    </row>
    <row r="1792" spans="1:18" x14ac:dyDescent="0.25">
      <c r="A1792" s="170">
        <v>45272</v>
      </c>
      <c r="B1792" s="116">
        <v>5013.6499999999996</v>
      </c>
      <c r="C1792" s="116">
        <v>4947.8500000000004</v>
      </c>
      <c r="D1792" s="116">
        <v>4933.25</v>
      </c>
      <c r="E1792" s="116">
        <v>4976.8500000000004</v>
      </c>
      <c r="F1792" s="116">
        <v>4947.8500000000004</v>
      </c>
      <c r="G1792">
        <v>4879</v>
      </c>
      <c r="H1792" s="116"/>
      <c r="I1792" s="116"/>
      <c r="L1792" s="170">
        <v>45272</v>
      </c>
      <c r="M1792" s="116">
        <v>4947.5</v>
      </c>
      <c r="N1792" s="116">
        <v>5015</v>
      </c>
      <c r="O1792" s="116">
        <v>4930</v>
      </c>
      <c r="P1792" s="116">
        <v>4979</v>
      </c>
      <c r="Q1792" s="116">
        <v>4947.5</v>
      </c>
      <c r="R1792">
        <v>166688</v>
      </c>
    </row>
    <row r="1793" spans="1:18" x14ac:dyDescent="0.25">
      <c r="A1793" s="170">
        <v>45273</v>
      </c>
      <c r="B1793" s="116">
        <v>4987</v>
      </c>
      <c r="C1793" s="116">
        <v>4922.3500000000004</v>
      </c>
      <c r="D1793" s="116">
        <v>4870</v>
      </c>
      <c r="E1793" s="116">
        <v>4954</v>
      </c>
      <c r="F1793" s="116">
        <v>4922.3500000000004</v>
      </c>
      <c r="G1793">
        <v>6623</v>
      </c>
      <c r="H1793" s="116"/>
      <c r="I1793" s="116"/>
      <c r="L1793" s="170">
        <v>45273</v>
      </c>
      <c r="M1793" s="116">
        <v>4923.95</v>
      </c>
      <c r="N1793" s="116">
        <v>4999.95</v>
      </c>
      <c r="O1793" s="116">
        <v>4872</v>
      </c>
      <c r="P1793" s="116">
        <v>4957.8</v>
      </c>
      <c r="Q1793" s="116">
        <v>4923.95</v>
      </c>
      <c r="R1793">
        <v>105935</v>
      </c>
    </row>
    <row r="1794" spans="1:18" x14ac:dyDescent="0.25">
      <c r="A1794" s="170">
        <v>45274</v>
      </c>
      <c r="B1794" s="116">
        <v>5150</v>
      </c>
      <c r="C1794" s="116">
        <v>5101.25</v>
      </c>
      <c r="D1794" s="116">
        <v>4986.95</v>
      </c>
      <c r="E1794" s="116">
        <v>4986.95</v>
      </c>
      <c r="F1794" s="116">
        <v>5101.25</v>
      </c>
      <c r="G1794">
        <v>24999</v>
      </c>
      <c r="H1794" s="116"/>
      <c r="I1794" s="116"/>
      <c r="L1794" s="170">
        <v>45274</v>
      </c>
      <c r="M1794" s="116">
        <v>5098.3500000000004</v>
      </c>
      <c r="N1794" s="116">
        <v>5149.45</v>
      </c>
      <c r="O1794" s="116">
        <v>4982.2</v>
      </c>
      <c r="P1794" s="116">
        <v>4999.95</v>
      </c>
      <c r="Q1794" s="116">
        <v>5098.3500000000004</v>
      </c>
      <c r="R1794">
        <v>401653</v>
      </c>
    </row>
    <row r="1795" spans="1:18" x14ac:dyDescent="0.25">
      <c r="A1795" s="170">
        <v>45275</v>
      </c>
      <c r="B1795" s="116">
        <v>5293</v>
      </c>
      <c r="C1795" s="116">
        <v>5261.1</v>
      </c>
      <c r="D1795" s="116">
        <v>5160.05</v>
      </c>
      <c r="E1795" s="116">
        <v>5160.05</v>
      </c>
      <c r="F1795" s="116">
        <v>5261.1</v>
      </c>
      <c r="G1795">
        <v>25115</v>
      </c>
      <c r="H1795" s="116"/>
      <c r="I1795" s="116"/>
      <c r="L1795" s="170">
        <v>45275</v>
      </c>
      <c r="M1795" s="116">
        <v>5263.45</v>
      </c>
      <c r="N1795" s="116">
        <v>5294</v>
      </c>
      <c r="O1795" s="116">
        <v>5161</v>
      </c>
      <c r="P1795" s="116">
        <v>5200.25</v>
      </c>
      <c r="Q1795" s="116">
        <v>5263.45</v>
      </c>
      <c r="R1795">
        <v>509363</v>
      </c>
    </row>
    <row r="1796" spans="1:18" x14ac:dyDescent="0.25">
      <c r="A1796" s="170">
        <v>45278</v>
      </c>
      <c r="B1796" s="116">
        <v>5365</v>
      </c>
      <c r="C1796" s="116">
        <v>5335.35</v>
      </c>
      <c r="D1796" s="116">
        <v>5232.3999999999996</v>
      </c>
      <c r="E1796" s="116">
        <v>5299.95</v>
      </c>
      <c r="F1796" s="116">
        <v>5335.35</v>
      </c>
      <c r="G1796">
        <v>17143</v>
      </c>
      <c r="H1796" s="116"/>
      <c r="I1796" s="116"/>
      <c r="L1796" s="170">
        <v>45278</v>
      </c>
      <c r="M1796" s="116">
        <v>5329.15</v>
      </c>
      <c r="N1796" s="116">
        <v>5367</v>
      </c>
      <c r="O1796" s="116">
        <v>5223.25</v>
      </c>
      <c r="P1796" s="116">
        <v>5280</v>
      </c>
      <c r="Q1796" s="116">
        <v>5329.15</v>
      </c>
      <c r="R1796">
        <v>217147</v>
      </c>
    </row>
    <row r="1797" spans="1:18" x14ac:dyDescent="0.25">
      <c r="A1797" s="170">
        <v>45279</v>
      </c>
      <c r="B1797" s="116">
        <v>5359.95</v>
      </c>
      <c r="C1797" s="116">
        <v>5175.05</v>
      </c>
      <c r="D1797" s="116">
        <v>5155</v>
      </c>
      <c r="E1797" s="116">
        <v>5354.7</v>
      </c>
      <c r="F1797" s="116">
        <v>5175.05</v>
      </c>
      <c r="G1797">
        <v>19262</v>
      </c>
      <c r="H1797" s="116"/>
      <c r="I1797" s="116"/>
      <c r="L1797" s="170">
        <v>45279</v>
      </c>
      <c r="M1797" s="116">
        <v>5175.45</v>
      </c>
      <c r="N1797" s="116">
        <v>5360</v>
      </c>
      <c r="O1797" s="116">
        <v>5154</v>
      </c>
      <c r="P1797" s="116">
        <v>5360</v>
      </c>
      <c r="Q1797" s="116">
        <v>5175.45</v>
      </c>
      <c r="R1797">
        <v>254395</v>
      </c>
    </row>
    <row r="1798" spans="1:18" x14ac:dyDescent="0.25">
      <c r="A1798" s="170">
        <v>45280</v>
      </c>
      <c r="B1798" s="116">
        <v>5343.65</v>
      </c>
      <c r="C1798" s="116">
        <v>5033.25</v>
      </c>
      <c r="D1798" s="116">
        <v>5013.05</v>
      </c>
      <c r="E1798" s="116">
        <v>5210.2</v>
      </c>
      <c r="F1798" s="116">
        <v>5033.25</v>
      </c>
      <c r="G1798">
        <v>12741</v>
      </c>
      <c r="H1798" s="116"/>
      <c r="I1798" s="116"/>
      <c r="L1798" s="170">
        <v>45280</v>
      </c>
      <c r="M1798" s="116">
        <v>5047.8999999999996</v>
      </c>
      <c r="N1798" s="116">
        <v>5345</v>
      </c>
      <c r="O1798" s="116">
        <v>5010.3</v>
      </c>
      <c r="P1798" s="116">
        <v>5235</v>
      </c>
      <c r="Q1798" s="116">
        <v>5047.8999999999996</v>
      </c>
      <c r="R1798">
        <v>358526</v>
      </c>
    </row>
    <row r="1799" spans="1:18" x14ac:dyDescent="0.25">
      <c r="A1799" s="170">
        <v>45281</v>
      </c>
      <c r="B1799" s="116">
        <v>5164.8500000000004</v>
      </c>
      <c r="C1799" s="116">
        <v>5142.1000000000004</v>
      </c>
      <c r="D1799" s="116">
        <v>4935.1499999999996</v>
      </c>
      <c r="E1799" s="116">
        <v>4935.1499999999996</v>
      </c>
      <c r="F1799" s="116">
        <v>5142.1000000000004</v>
      </c>
      <c r="G1799">
        <v>8638</v>
      </c>
      <c r="H1799" s="116"/>
      <c r="I1799" s="116"/>
      <c r="L1799" s="170">
        <v>45281</v>
      </c>
      <c r="M1799" s="116">
        <v>5138.55</v>
      </c>
      <c r="N1799" s="116">
        <v>5159.75</v>
      </c>
      <c r="O1799" s="116">
        <v>4951</v>
      </c>
      <c r="P1799" s="116">
        <v>4980</v>
      </c>
      <c r="Q1799" s="116">
        <v>5138.55</v>
      </c>
      <c r="R1799">
        <v>223421</v>
      </c>
    </row>
    <row r="1800" spans="1:18" x14ac:dyDescent="0.25">
      <c r="A1800" s="170">
        <v>45282</v>
      </c>
      <c r="B1800" s="116">
        <v>5242.7</v>
      </c>
      <c r="C1800" s="116">
        <v>5197.6000000000004</v>
      </c>
      <c r="D1800" s="116">
        <v>5122.8500000000004</v>
      </c>
      <c r="E1800" s="116">
        <v>5183.25</v>
      </c>
      <c r="F1800" s="116">
        <v>5197.6000000000004</v>
      </c>
      <c r="G1800">
        <v>12869</v>
      </c>
      <c r="H1800" s="116"/>
      <c r="I1800" s="116"/>
      <c r="L1800" s="170">
        <v>45282</v>
      </c>
      <c r="M1800" s="116">
        <v>5204.55</v>
      </c>
      <c r="N1800" s="116">
        <v>5246.95</v>
      </c>
      <c r="O1800" s="116">
        <v>5123.8500000000004</v>
      </c>
      <c r="P1800" s="116">
        <v>5178</v>
      </c>
      <c r="Q1800" s="116">
        <v>5204.55</v>
      </c>
      <c r="R1800">
        <v>148323</v>
      </c>
    </row>
    <row r="1801" spans="1:18" x14ac:dyDescent="0.25">
      <c r="A1801" s="170">
        <v>45286</v>
      </c>
      <c r="B1801" s="116">
        <v>5252.55</v>
      </c>
      <c r="C1801" s="116">
        <v>5198.1499999999996</v>
      </c>
      <c r="D1801" s="116">
        <v>5180.7</v>
      </c>
      <c r="E1801" s="116">
        <v>5252.55</v>
      </c>
      <c r="F1801" s="116">
        <v>5198.1499999999996</v>
      </c>
      <c r="G1801">
        <v>3663</v>
      </c>
      <c r="H1801" s="116"/>
      <c r="I1801" s="116"/>
      <c r="L1801" s="170">
        <v>45286</v>
      </c>
      <c r="M1801" s="116">
        <v>5197.5</v>
      </c>
      <c r="N1801" s="116">
        <v>5250</v>
      </c>
      <c r="O1801" s="116">
        <v>5177.2</v>
      </c>
      <c r="P1801" s="116">
        <v>5224.8</v>
      </c>
      <c r="Q1801" s="116">
        <v>5197.5</v>
      </c>
      <c r="R1801">
        <v>120235</v>
      </c>
    </row>
    <row r="1802" spans="1:18" x14ac:dyDescent="0.25">
      <c r="A1802" s="170">
        <v>45287</v>
      </c>
      <c r="B1802" s="116">
        <v>5241.8999999999996</v>
      </c>
      <c r="C1802" s="116">
        <v>5205.3</v>
      </c>
      <c r="D1802" s="116">
        <v>5169.8</v>
      </c>
      <c r="E1802" s="116">
        <v>5230.3</v>
      </c>
      <c r="F1802" s="116">
        <v>5205.3</v>
      </c>
      <c r="G1802">
        <v>6900</v>
      </c>
      <c r="H1802" s="116"/>
      <c r="I1802" s="116"/>
      <c r="L1802" s="170">
        <v>45287</v>
      </c>
      <c r="M1802" s="116">
        <v>5206.6000000000004</v>
      </c>
      <c r="N1802" s="116">
        <v>5243.6</v>
      </c>
      <c r="O1802" s="116">
        <v>5173.1000000000004</v>
      </c>
      <c r="P1802" s="116">
        <v>5225</v>
      </c>
      <c r="Q1802" s="116">
        <v>5206.6000000000004</v>
      </c>
      <c r="R1802">
        <v>95294</v>
      </c>
    </row>
    <row r="1803" spans="1:18" x14ac:dyDescent="0.25">
      <c r="A1803" s="170">
        <v>45288</v>
      </c>
      <c r="B1803" s="116">
        <v>5223.3999999999996</v>
      </c>
      <c r="C1803" s="116">
        <v>5177.7</v>
      </c>
      <c r="D1803" s="116">
        <v>5167.1000000000004</v>
      </c>
      <c r="E1803" s="116">
        <v>5220</v>
      </c>
      <c r="F1803" s="116">
        <v>5177.7</v>
      </c>
      <c r="G1803">
        <v>1955</v>
      </c>
      <c r="H1803" s="116"/>
      <c r="I1803" s="116"/>
      <c r="L1803" s="170">
        <v>45288</v>
      </c>
      <c r="M1803" s="116">
        <v>5175.55</v>
      </c>
      <c r="N1803" s="116">
        <v>5239.55</v>
      </c>
      <c r="O1803" s="116">
        <v>5166.3</v>
      </c>
      <c r="P1803" s="116">
        <v>5224</v>
      </c>
      <c r="Q1803" s="116">
        <v>5175.55</v>
      </c>
      <c r="R1803">
        <v>100034</v>
      </c>
    </row>
    <row r="1804" spans="1:18" x14ac:dyDescent="0.25">
      <c r="A1804" s="170">
        <v>45289</v>
      </c>
      <c r="B1804" s="116">
        <v>5305</v>
      </c>
      <c r="C1804" s="116">
        <v>5256.25</v>
      </c>
      <c r="D1804" s="116">
        <v>5145</v>
      </c>
      <c r="E1804" s="116">
        <v>5198.1000000000004</v>
      </c>
      <c r="F1804" s="116">
        <v>5256.25</v>
      </c>
      <c r="G1804">
        <v>15667</v>
      </c>
      <c r="H1804" s="116"/>
      <c r="I1804" s="116"/>
      <c r="L1804" s="170">
        <v>45289</v>
      </c>
      <c r="M1804" s="116">
        <v>5254.95</v>
      </c>
      <c r="N1804" s="116">
        <v>5307.5</v>
      </c>
      <c r="O1804" s="116">
        <v>5136.3500000000004</v>
      </c>
      <c r="P1804" s="116">
        <v>5205</v>
      </c>
      <c r="Q1804" s="116">
        <v>5254.95</v>
      </c>
      <c r="R1804">
        <v>272242</v>
      </c>
    </row>
    <row r="1805" spans="1:18" x14ac:dyDescent="0.25">
      <c r="A1805" s="170">
        <v>45292</v>
      </c>
      <c r="B1805" s="116">
        <v>5265.1</v>
      </c>
      <c r="C1805" s="116">
        <v>5206.55</v>
      </c>
      <c r="D1805" s="116">
        <v>5200</v>
      </c>
      <c r="E1805" s="116">
        <v>5256.25</v>
      </c>
      <c r="F1805" s="116">
        <v>5206.55</v>
      </c>
      <c r="G1805">
        <v>6133</v>
      </c>
      <c r="H1805" s="116"/>
      <c r="I1805" s="116"/>
      <c r="L1805" s="170">
        <v>45292</v>
      </c>
      <c r="M1805" s="116">
        <v>5210.3500000000004</v>
      </c>
      <c r="N1805" s="116">
        <v>5267.55</v>
      </c>
      <c r="O1805" s="116">
        <v>5200</v>
      </c>
      <c r="P1805" s="116">
        <v>5255</v>
      </c>
      <c r="Q1805" s="116">
        <v>5210.3500000000004</v>
      </c>
      <c r="R1805">
        <v>73532</v>
      </c>
    </row>
    <row r="1806" spans="1:18" x14ac:dyDescent="0.25">
      <c r="A1806" s="170">
        <v>45293</v>
      </c>
      <c r="B1806" s="116">
        <v>5206.5</v>
      </c>
      <c r="C1806" s="116">
        <v>5182.8999999999996</v>
      </c>
      <c r="D1806" s="116">
        <v>5111</v>
      </c>
      <c r="E1806" s="116">
        <v>5206.5</v>
      </c>
      <c r="F1806" s="116">
        <v>5182.8999999999996</v>
      </c>
      <c r="G1806">
        <v>4575</v>
      </c>
      <c r="H1806" s="116"/>
      <c r="I1806" s="116"/>
      <c r="L1806" s="170">
        <v>45293</v>
      </c>
      <c r="M1806" s="116">
        <v>5183.5</v>
      </c>
      <c r="N1806" s="116">
        <v>5209.8500000000004</v>
      </c>
      <c r="O1806" s="116">
        <v>5113.75</v>
      </c>
      <c r="P1806" s="116">
        <v>5190</v>
      </c>
      <c r="Q1806" s="116">
        <v>5183.5</v>
      </c>
      <c r="R1806">
        <v>159950</v>
      </c>
    </row>
    <row r="1807" spans="1:18" x14ac:dyDescent="0.25">
      <c r="A1807" s="170">
        <v>45294</v>
      </c>
      <c r="B1807" s="116">
        <v>5177.8999999999996</v>
      </c>
      <c r="C1807" s="116">
        <v>5112.3</v>
      </c>
      <c r="D1807" s="116">
        <v>5061.95</v>
      </c>
      <c r="E1807" s="116">
        <v>5177.8999999999996</v>
      </c>
      <c r="F1807" s="116">
        <v>5112.3</v>
      </c>
      <c r="G1807">
        <v>4762</v>
      </c>
      <c r="H1807" s="116"/>
      <c r="I1807" s="116"/>
      <c r="L1807" s="170">
        <v>45294</v>
      </c>
      <c r="M1807" s="116">
        <v>5115.05</v>
      </c>
      <c r="N1807" s="116">
        <v>5164.05</v>
      </c>
      <c r="O1807" s="116">
        <v>5061</v>
      </c>
      <c r="P1807" s="116">
        <v>5164.05</v>
      </c>
      <c r="Q1807" s="116">
        <v>5115.05</v>
      </c>
      <c r="R1807">
        <v>134958</v>
      </c>
    </row>
    <row r="1808" spans="1:18" x14ac:dyDescent="0.25">
      <c r="A1808" s="170">
        <v>45295</v>
      </c>
      <c r="B1808" s="116">
        <v>5292.8</v>
      </c>
      <c r="C1808" s="116">
        <v>5228.75</v>
      </c>
      <c r="D1808" s="116">
        <v>5141.1000000000004</v>
      </c>
      <c r="E1808" s="116">
        <v>5141.1000000000004</v>
      </c>
      <c r="F1808" s="116">
        <v>5228.75</v>
      </c>
      <c r="G1808">
        <v>7632</v>
      </c>
      <c r="H1808" s="116"/>
      <c r="I1808" s="116"/>
      <c r="L1808" s="170">
        <v>45295</v>
      </c>
      <c r="M1808" s="116">
        <v>5229.55</v>
      </c>
      <c r="N1808" s="116">
        <v>5294</v>
      </c>
      <c r="O1808" s="116">
        <v>5131.1000000000004</v>
      </c>
      <c r="P1808" s="116">
        <v>5159</v>
      </c>
      <c r="Q1808" s="116">
        <v>5229.55</v>
      </c>
      <c r="R1808">
        <v>296732</v>
      </c>
    </row>
    <row r="1809" spans="1:18" x14ac:dyDescent="0.25">
      <c r="A1809" s="170">
        <v>45296</v>
      </c>
      <c r="B1809" s="116">
        <v>5277</v>
      </c>
      <c r="C1809" s="116">
        <v>5217.3500000000004</v>
      </c>
      <c r="D1809" s="116">
        <v>5175.7</v>
      </c>
      <c r="E1809" s="116">
        <v>5215.25</v>
      </c>
      <c r="F1809" s="116">
        <v>5217.3500000000004</v>
      </c>
      <c r="G1809">
        <v>4494</v>
      </c>
      <c r="H1809" s="116"/>
      <c r="I1809" s="116"/>
      <c r="L1809" s="170">
        <v>45296</v>
      </c>
      <c r="M1809" s="116">
        <v>5217.7</v>
      </c>
      <c r="N1809" s="116">
        <v>5283.45</v>
      </c>
      <c r="O1809" s="116">
        <v>5176.6000000000004</v>
      </c>
      <c r="P1809" s="116">
        <v>5210</v>
      </c>
      <c r="Q1809" s="116">
        <v>5217.7</v>
      </c>
      <c r="R1809">
        <v>138812</v>
      </c>
    </row>
    <row r="1810" spans="1:18" x14ac:dyDescent="0.25">
      <c r="A1810" s="170">
        <v>45299</v>
      </c>
      <c r="B1810" s="116">
        <v>5240.8999999999996</v>
      </c>
      <c r="C1810" s="116">
        <v>5157.8</v>
      </c>
      <c r="D1810" s="116">
        <v>5151.2</v>
      </c>
      <c r="E1810" s="116">
        <v>5221.1499999999996</v>
      </c>
      <c r="F1810" s="116">
        <v>5157.8</v>
      </c>
      <c r="G1810">
        <v>2891</v>
      </c>
      <c r="H1810" s="116"/>
      <c r="I1810" s="116"/>
      <c r="L1810" s="170">
        <v>45299</v>
      </c>
      <c r="M1810" s="116">
        <v>5158.6499999999996</v>
      </c>
      <c r="N1810" s="116">
        <v>5250</v>
      </c>
      <c r="O1810" s="116">
        <v>5150</v>
      </c>
      <c r="P1810" s="116">
        <v>5250</v>
      </c>
      <c r="Q1810" s="116">
        <v>5158.6499999999996</v>
      </c>
      <c r="R1810">
        <v>61751</v>
      </c>
    </row>
    <row r="1811" spans="1:18" x14ac:dyDescent="0.25">
      <c r="A1811" s="170">
        <v>45300</v>
      </c>
      <c r="B1811" s="116">
        <v>5371.95</v>
      </c>
      <c r="C1811" s="116">
        <v>5247</v>
      </c>
      <c r="D1811" s="116">
        <v>5225.1000000000004</v>
      </c>
      <c r="E1811" s="116">
        <v>5240</v>
      </c>
      <c r="F1811" s="116">
        <v>5247</v>
      </c>
      <c r="G1811">
        <v>8047</v>
      </c>
      <c r="H1811" s="116"/>
      <c r="I1811" s="116"/>
      <c r="L1811" s="170">
        <v>45300</v>
      </c>
      <c r="M1811" s="116">
        <v>5245.8</v>
      </c>
      <c r="N1811" s="116">
        <v>5373.95</v>
      </c>
      <c r="O1811" s="116">
        <v>5220.1000000000004</v>
      </c>
      <c r="P1811" s="116">
        <v>5237.8</v>
      </c>
      <c r="Q1811" s="116">
        <v>5245.8</v>
      </c>
      <c r="R1811">
        <v>374739</v>
      </c>
    </row>
    <row r="1812" spans="1:18" x14ac:dyDescent="0.25">
      <c r="A1812" s="170">
        <v>45301</v>
      </c>
      <c r="B1812" s="116">
        <v>5355</v>
      </c>
      <c r="C1812" s="116">
        <v>5341.65</v>
      </c>
      <c r="D1812" s="116">
        <v>5220.1499999999996</v>
      </c>
      <c r="E1812" s="116">
        <v>5261.8</v>
      </c>
      <c r="F1812" s="116">
        <v>5341.65</v>
      </c>
      <c r="G1812">
        <v>10832</v>
      </c>
      <c r="H1812" s="116"/>
      <c r="I1812" s="116"/>
      <c r="L1812" s="170">
        <v>45301</v>
      </c>
      <c r="M1812" s="116">
        <v>5342.15</v>
      </c>
      <c r="N1812" s="116">
        <v>5357.4</v>
      </c>
      <c r="O1812" s="116">
        <v>5221.3500000000004</v>
      </c>
      <c r="P1812" s="116">
        <v>5260</v>
      </c>
      <c r="Q1812" s="116">
        <v>5342.15</v>
      </c>
      <c r="R1812">
        <v>163752</v>
      </c>
    </row>
    <row r="1813" spans="1:18" x14ac:dyDescent="0.25">
      <c r="A1813" s="170">
        <v>45302</v>
      </c>
      <c r="B1813" s="116">
        <v>5390</v>
      </c>
      <c r="C1813" s="116">
        <v>5348.7</v>
      </c>
      <c r="D1813" s="116">
        <v>5301</v>
      </c>
      <c r="E1813" s="116">
        <v>5385</v>
      </c>
      <c r="F1813" s="116">
        <v>5348.7</v>
      </c>
      <c r="G1813">
        <v>8880</v>
      </c>
      <c r="H1813" s="116"/>
      <c r="I1813" s="116"/>
      <c r="L1813" s="170">
        <v>45302</v>
      </c>
      <c r="M1813" s="116">
        <v>5349.2</v>
      </c>
      <c r="N1813" s="116">
        <v>5396.95</v>
      </c>
      <c r="O1813" s="116">
        <v>5300</v>
      </c>
      <c r="P1813" s="116">
        <v>5396.95</v>
      </c>
      <c r="Q1813" s="116">
        <v>5349.2</v>
      </c>
      <c r="R1813">
        <v>142086</v>
      </c>
    </row>
    <row r="1814" spans="1:18" x14ac:dyDescent="0.25">
      <c r="A1814" s="170">
        <v>45303</v>
      </c>
      <c r="B1814" s="116">
        <v>5540</v>
      </c>
      <c r="C1814" s="116">
        <v>5472.4</v>
      </c>
      <c r="D1814" s="116">
        <v>5374.6</v>
      </c>
      <c r="E1814" s="116">
        <v>5374.6</v>
      </c>
      <c r="F1814" s="116">
        <v>5472.4</v>
      </c>
      <c r="G1814">
        <v>12560</v>
      </c>
      <c r="H1814" s="116"/>
      <c r="I1814" s="116"/>
      <c r="L1814" s="170">
        <v>45303</v>
      </c>
      <c r="M1814" s="116">
        <v>5468.95</v>
      </c>
      <c r="N1814" s="116">
        <v>5540</v>
      </c>
      <c r="O1814" s="116">
        <v>5380.5</v>
      </c>
      <c r="P1814" s="116">
        <v>5415</v>
      </c>
      <c r="Q1814" s="116">
        <v>5468.95</v>
      </c>
      <c r="R1814">
        <v>423262</v>
      </c>
    </row>
    <row r="1815" spans="1:18" x14ac:dyDescent="0.25">
      <c r="A1815" s="170">
        <v>45306</v>
      </c>
      <c r="B1815" s="116">
        <v>5567.85</v>
      </c>
      <c r="C1815" s="116">
        <v>5444.05</v>
      </c>
      <c r="D1815" s="116">
        <v>5355.15</v>
      </c>
      <c r="E1815" s="116">
        <v>5523.5</v>
      </c>
      <c r="F1815" s="116">
        <v>5444.05</v>
      </c>
      <c r="G1815">
        <v>15016</v>
      </c>
      <c r="H1815" s="116"/>
      <c r="I1815" s="116"/>
      <c r="L1815" s="170">
        <v>45306</v>
      </c>
      <c r="M1815" s="116">
        <v>5444.65</v>
      </c>
      <c r="N1815" s="116">
        <v>5566</v>
      </c>
      <c r="O1815" s="116">
        <v>5351.45</v>
      </c>
      <c r="P1815" s="116">
        <v>5545</v>
      </c>
      <c r="Q1815" s="116">
        <v>5444.65</v>
      </c>
      <c r="R1815">
        <v>410854</v>
      </c>
    </row>
    <row r="1816" spans="1:18" x14ac:dyDescent="0.25">
      <c r="A1816" s="170">
        <v>45307</v>
      </c>
      <c r="B1816" s="116">
        <v>5516.4</v>
      </c>
      <c r="C1816" s="116">
        <v>5349.7</v>
      </c>
      <c r="D1816" s="116">
        <v>5335.55</v>
      </c>
      <c r="E1816" s="116">
        <v>5516.4</v>
      </c>
      <c r="F1816" s="116">
        <v>5349.7</v>
      </c>
      <c r="G1816">
        <v>7687</v>
      </c>
      <c r="H1816" s="116"/>
      <c r="I1816" s="116"/>
      <c r="L1816" s="170">
        <v>45307</v>
      </c>
      <c r="M1816" s="116">
        <v>5349.8</v>
      </c>
      <c r="N1816" s="116">
        <v>5479.95</v>
      </c>
      <c r="O1816" s="116">
        <v>5333.6</v>
      </c>
      <c r="P1816" s="116">
        <v>5470</v>
      </c>
      <c r="Q1816" s="116">
        <v>5349.8</v>
      </c>
      <c r="R1816">
        <v>248027</v>
      </c>
    </row>
    <row r="1817" spans="1:18" x14ac:dyDescent="0.25">
      <c r="A1817" s="170">
        <v>45308</v>
      </c>
      <c r="B1817" s="116">
        <v>5565</v>
      </c>
      <c r="C1817" s="116">
        <v>5541.55</v>
      </c>
      <c r="D1817" s="116">
        <v>5325.05</v>
      </c>
      <c r="E1817" s="116">
        <v>5325.05</v>
      </c>
      <c r="F1817" s="116">
        <v>5541.55</v>
      </c>
      <c r="G1817">
        <v>24822</v>
      </c>
      <c r="H1817" s="116"/>
      <c r="I1817" s="116"/>
      <c r="L1817" s="170">
        <v>45308</v>
      </c>
      <c r="M1817" s="116">
        <v>5540.05</v>
      </c>
      <c r="N1817" s="116">
        <v>5565</v>
      </c>
      <c r="O1817" s="116">
        <v>5374</v>
      </c>
      <c r="P1817" s="116">
        <v>5374</v>
      </c>
      <c r="Q1817" s="116">
        <v>5540.05</v>
      </c>
      <c r="R1817">
        <v>944092</v>
      </c>
    </row>
    <row r="1818" spans="1:18" x14ac:dyDescent="0.25">
      <c r="A1818" s="170">
        <v>45309</v>
      </c>
      <c r="B1818" s="116">
        <v>5522.05</v>
      </c>
      <c r="C1818" s="116">
        <v>5406.6</v>
      </c>
      <c r="D1818" s="116">
        <v>5273.75</v>
      </c>
      <c r="E1818" s="116">
        <v>5522.05</v>
      </c>
      <c r="F1818" s="116">
        <v>5406.6</v>
      </c>
      <c r="G1818">
        <v>29839</v>
      </c>
      <c r="H1818" s="116"/>
      <c r="I1818" s="116"/>
      <c r="L1818" s="170">
        <v>45309</v>
      </c>
      <c r="M1818" s="116">
        <v>5406.6</v>
      </c>
      <c r="N1818" s="116">
        <v>5518</v>
      </c>
      <c r="O1818" s="116">
        <v>5274.25</v>
      </c>
      <c r="P1818" s="116">
        <v>5500</v>
      </c>
      <c r="Q1818" s="116">
        <v>5406.6</v>
      </c>
      <c r="R1818">
        <v>328360</v>
      </c>
    </row>
    <row r="1819" spans="1:18" x14ac:dyDescent="0.25">
      <c r="A1819" s="170">
        <v>45310</v>
      </c>
      <c r="B1819" s="116">
        <v>5516</v>
      </c>
      <c r="C1819" s="116">
        <v>5389.2</v>
      </c>
      <c r="D1819" s="116">
        <v>5354.75</v>
      </c>
      <c r="E1819" s="116">
        <v>5480.05</v>
      </c>
      <c r="F1819" s="116">
        <v>5389.2</v>
      </c>
      <c r="G1819">
        <v>9234</v>
      </c>
      <c r="H1819" s="116"/>
      <c r="I1819" s="116"/>
      <c r="L1819" s="170">
        <v>45310</v>
      </c>
      <c r="M1819" s="116">
        <v>5387.05</v>
      </c>
      <c r="N1819" s="116">
        <v>5516.3</v>
      </c>
      <c r="O1819" s="116">
        <v>5353.8</v>
      </c>
      <c r="P1819" s="116">
        <v>5484</v>
      </c>
      <c r="Q1819" s="116">
        <v>5387.05</v>
      </c>
      <c r="R1819">
        <v>147985</v>
      </c>
    </row>
    <row r="1820" spans="1:18" x14ac:dyDescent="0.25">
      <c r="A1820" s="170">
        <v>45311</v>
      </c>
      <c r="B1820" s="116">
        <v>5496.95</v>
      </c>
      <c r="C1820" s="116">
        <v>5415.5</v>
      </c>
      <c r="D1820" s="116">
        <v>5384.65</v>
      </c>
      <c r="E1820" s="116">
        <v>5496.95</v>
      </c>
      <c r="F1820" s="116">
        <v>5415.5</v>
      </c>
      <c r="G1820">
        <v>5632</v>
      </c>
      <c r="H1820" s="116"/>
      <c r="I1820" s="116"/>
      <c r="L1820" s="170">
        <v>45311</v>
      </c>
      <c r="M1820" s="116">
        <v>5416.15</v>
      </c>
      <c r="N1820" s="116">
        <v>5484.15</v>
      </c>
      <c r="O1820" s="116">
        <v>5385</v>
      </c>
      <c r="P1820" s="116">
        <v>5444</v>
      </c>
      <c r="Q1820" s="116">
        <v>5416.15</v>
      </c>
      <c r="R1820">
        <v>90264</v>
      </c>
    </row>
    <row r="1821" spans="1:18" x14ac:dyDescent="0.25">
      <c r="A1821" s="170">
        <v>45314</v>
      </c>
      <c r="B1821" s="116">
        <v>5468.75</v>
      </c>
      <c r="C1821" s="116">
        <v>5362</v>
      </c>
      <c r="D1821" s="116">
        <v>5313</v>
      </c>
      <c r="E1821" s="116">
        <v>5435</v>
      </c>
      <c r="F1821" s="116">
        <v>5362</v>
      </c>
      <c r="G1821">
        <v>4727</v>
      </c>
      <c r="H1821" s="116"/>
      <c r="I1821" s="116"/>
      <c r="L1821" s="170">
        <v>45314</v>
      </c>
      <c r="M1821" s="116">
        <v>5361.25</v>
      </c>
      <c r="N1821" s="116">
        <v>5471.95</v>
      </c>
      <c r="O1821" s="116">
        <v>5311.15</v>
      </c>
      <c r="P1821" s="116">
        <v>5435</v>
      </c>
      <c r="Q1821" s="116">
        <v>5361.25</v>
      </c>
      <c r="R1821">
        <v>114334</v>
      </c>
    </row>
    <row r="1822" spans="1:18" x14ac:dyDescent="0.25">
      <c r="A1822" s="170">
        <v>45315</v>
      </c>
      <c r="B1822" s="116">
        <v>5508.8</v>
      </c>
      <c r="C1822" s="116">
        <v>5498.7</v>
      </c>
      <c r="D1822" s="116">
        <v>5304.05</v>
      </c>
      <c r="E1822" s="116">
        <v>5311.95</v>
      </c>
      <c r="F1822" s="116">
        <v>5498.7</v>
      </c>
      <c r="G1822">
        <v>11257</v>
      </c>
      <c r="H1822" s="116"/>
      <c r="I1822" s="116"/>
      <c r="L1822" s="170">
        <v>45315</v>
      </c>
      <c r="M1822" s="116">
        <v>5499.75</v>
      </c>
      <c r="N1822" s="116">
        <v>5508</v>
      </c>
      <c r="O1822" s="116">
        <v>5290</v>
      </c>
      <c r="P1822" s="116">
        <v>5344.7</v>
      </c>
      <c r="Q1822" s="116">
        <v>5499.75</v>
      </c>
      <c r="R1822">
        <v>169344</v>
      </c>
    </row>
    <row r="1823" spans="1:18" x14ac:dyDescent="0.25">
      <c r="A1823" s="170">
        <v>45316</v>
      </c>
      <c r="B1823" s="116">
        <v>5530.3</v>
      </c>
      <c r="C1823" s="116">
        <v>5384</v>
      </c>
      <c r="D1823" s="116">
        <v>5333.7</v>
      </c>
      <c r="E1823" s="116">
        <v>5530.3</v>
      </c>
      <c r="F1823" s="116">
        <v>5384</v>
      </c>
      <c r="G1823">
        <v>4004</v>
      </c>
      <c r="H1823" s="116"/>
      <c r="I1823" s="116"/>
      <c r="L1823" s="170">
        <v>45316</v>
      </c>
      <c r="M1823" s="116">
        <v>5385.9</v>
      </c>
      <c r="N1823" s="116">
        <v>5535.95</v>
      </c>
      <c r="O1823" s="116">
        <v>5331.85</v>
      </c>
      <c r="P1823" s="116">
        <v>5535.95</v>
      </c>
      <c r="Q1823" s="116">
        <v>5385.9</v>
      </c>
      <c r="R1823">
        <v>162024</v>
      </c>
    </row>
    <row r="1824" spans="1:18" x14ac:dyDescent="0.25">
      <c r="A1824" s="170">
        <v>45320</v>
      </c>
      <c r="B1824" s="116">
        <v>5456.85</v>
      </c>
      <c r="C1824" s="116">
        <v>5444.3</v>
      </c>
      <c r="D1824" s="116">
        <v>5364.8</v>
      </c>
      <c r="E1824" s="116">
        <v>5385.1</v>
      </c>
      <c r="F1824" s="116">
        <v>5444.3</v>
      </c>
      <c r="G1824">
        <v>3496</v>
      </c>
      <c r="H1824" s="116"/>
      <c r="I1824" s="116"/>
      <c r="L1824" s="170">
        <v>45320</v>
      </c>
      <c r="M1824" s="116">
        <v>5437.65</v>
      </c>
      <c r="N1824" s="116">
        <v>5453.95</v>
      </c>
      <c r="O1824" s="116">
        <v>5367.05</v>
      </c>
      <c r="P1824" s="116">
        <v>5430</v>
      </c>
      <c r="Q1824" s="116">
        <v>5437.65</v>
      </c>
      <c r="R1824">
        <v>95567</v>
      </c>
    </row>
    <row r="1825" spans="1:18" x14ac:dyDescent="0.25">
      <c r="A1825" s="170">
        <v>45321</v>
      </c>
      <c r="B1825" s="116">
        <v>5544.9</v>
      </c>
      <c r="C1825" s="116">
        <v>5473.75</v>
      </c>
      <c r="D1825" s="116">
        <v>5443.15</v>
      </c>
      <c r="E1825" s="116">
        <v>5443.15</v>
      </c>
      <c r="F1825" s="116">
        <v>5473.75</v>
      </c>
      <c r="G1825">
        <v>11135</v>
      </c>
      <c r="H1825" s="116"/>
      <c r="I1825" s="116"/>
      <c r="L1825" s="170">
        <v>45321</v>
      </c>
      <c r="M1825" s="116">
        <v>5474.9</v>
      </c>
      <c r="N1825" s="116">
        <v>5547.6</v>
      </c>
      <c r="O1825" s="116">
        <v>5452</v>
      </c>
      <c r="P1825" s="116">
        <v>5468.9</v>
      </c>
      <c r="Q1825" s="116">
        <v>5474.9</v>
      </c>
      <c r="R1825">
        <v>161652</v>
      </c>
    </row>
    <row r="1826" spans="1:18" x14ac:dyDescent="0.25">
      <c r="A1826" s="170">
        <v>45322</v>
      </c>
      <c r="B1826" s="116">
        <v>5630</v>
      </c>
      <c r="C1826" s="116">
        <v>5582.7</v>
      </c>
      <c r="D1826" s="116">
        <v>5421.4</v>
      </c>
      <c r="E1826" s="116">
        <v>5468.05</v>
      </c>
      <c r="F1826" s="116">
        <v>5582.7</v>
      </c>
      <c r="G1826">
        <v>13445</v>
      </c>
      <c r="H1826" s="116"/>
      <c r="I1826" s="116"/>
      <c r="L1826" s="170">
        <v>45322</v>
      </c>
      <c r="M1826" s="116">
        <v>5583.95</v>
      </c>
      <c r="N1826" s="116">
        <v>5632.4</v>
      </c>
      <c r="O1826" s="116">
        <v>5416</v>
      </c>
      <c r="P1826" s="116">
        <v>5474</v>
      </c>
      <c r="Q1826" s="116">
        <v>5583.95</v>
      </c>
      <c r="R1826">
        <v>238436</v>
      </c>
    </row>
    <row r="1827" spans="1:18" x14ac:dyDescent="0.25">
      <c r="A1827" s="170">
        <v>45323</v>
      </c>
      <c r="B1827" s="116">
        <v>5601</v>
      </c>
      <c r="C1827" s="116">
        <v>5507.55</v>
      </c>
      <c r="D1827" s="116">
        <v>5486.55</v>
      </c>
      <c r="E1827" s="116">
        <v>5582.7</v>
      </c>
      <c r="F1827" s="116">
        <v>5507.55</v>
      </c>
      <c r="G1827">
        <v>2390</v>
      </c>
      <c r="H1827" s="116"/>
      <c r="I1827" s="116"/>
      <c r="L1827" s="170">
        <v>45323</v>
      </c>
      <c r="M1827" s="116">
        <v>5505.6</v>
      </c>
      <c r="N1827" s="116">
        <v>5606.2</v>
      </c>
      <c r="O1827" s="116">
        <v>5485.4</v>
      </c>
      <c r="P1827" s="116">
        <v>5580</v>
      </c>
      <c r="Q1827" s="116">
        <v>5505.6</v>
      </c>
      <c r="R1827">
        <v>75442</v>
      </c>
    </row>
    <row r="1828" spans="1:18" x14ac:dyDescent="0.25">
      <c r="A1828" s="170">
        <v>45324</v>
      </c>
      <c r="B1828" s="116">
        <v>5609</v>
      </c>
      <c r="C1828" s="116">
        <v>5524.65</v>
      </c>
      <c r="D1828" s="116">
        <v>5512.6</v>
      </c>
      <c r="E1828" s="116">
        <v>5578.95</v>
      </c>
      <c r="F1828" s="116">
        <v>5524.65</v>
      </c>
      <c r="G1828">
        <v>7764</v>
      </c>
      <c r="H1828" s="116"/>
      <c r="I1828" s="116"/>
      <c r="L1828" s="170">
        <v>45324</v>
      </c>
      <c r="M1828" s="116">
        <v>5523.15</v>
      </c>
      <c r="N1828" s="116">
        <v>5612</v>
      </c>
      <c r="O1828" s="116">
        <v>5514</v>
      </c>
      <c r="P1828" s="116">
        <v>5560.65</v>
      </c>
      <c r="Q1828" s="116">
        <v>5523.15</v>
      </c>
      <c r="R1828">
        <v>112677</v>
      </c>
    </row>
    <row r="1829" spans="1:18" x14ac:dyDescent="0.25">
      <c r="A1829" s="170">
        <v>45327</v>
      </c>
      <c r="B1829" s="116">
        <v>5565.2</v>
      </c>
      <c r="C1829" s="116">
        <v>5455.7</v>
      </c>
      <c r="D1829" s="116">
        <v>5435</v>
      </c>
      <c r="E1829" s="116">
        <v>5524.75</v>
      </c>
      <c r="F1829" s="116">
        <v>5455.7</v>
      </c>
      <c r="G1829">
        <v>5413</v>
      </c>
      <c r="H1829" s="116"/>
      <c r="I1829" s="116"/>
      <c r="L1829" s="170">
        <v>45327</v>
      </c>
      <c r="M1829" s="116">
        <v>5461.25</v>
      </c>
      <c r="N1829" s="116">
        <v>5588</v>
      </c>
      <c r="O1829" s="116">
        <v>5437.85</v>
      </c>
      <c r="P1829" s="116">
        <v>5588</v>
      </c>
      <c r="Q1829" s="116">
        <v>5461.25</v>
      </c>
      <c r="R1829">
        <v>69904</v>
      </c>
    </row>
    <row r="1830" spans="1:18" x14ac:dyDescent="0.25">
      <c r="A1830" s="170">
        <v>45328</v>
      </c>
      <c r="B1830" s="116">
        <v>5590.5</v>
      </c>
      <c r="C1830" s="116">
        <v>5578.65</v>
      </c>
      <c r="D1830" s="116">
        <v>5444.5</v>
      </c>
      <c r="E1830" s="116">
        <v>5496.2</v>
      </c>
      <c r="F1830" s="116">
        <v>5578.65</v>
      </c>
      <c r="G1830">
        <v>3071</v>
      </c>
      <c r="H1830" s="116"/>
      <c r="I1830" s="116"/>
      <c r="L1830" s="170">
        <v>45328</v>
      </c>
      <c r="M1830" s="116">
        <v>5580.3</v>
      </c>
      <c r="N1830" s="116">
        <v>5593.05</v>
      </c>
      <c r="O1830" s="116">
        <v>5448</v>
      </c>
      <c r="P1830" s="116">
        <v>5460</v>
      </c>
      <c r="Q1830" s="116">
        <v>5580.3</v>
      </c>
      <c r="R1830">
        <v>120096</v>
      </c>
    </row>
    <row r="1831" spans="1:18" x14ac:dyDescent="0.25">
      <c r="A1831" s="170">
        <v>45329</v>
      </c>
      <c r="B1831" s="116">
        <v>5625.3</v>
      </c>
      <c r="C1831" s="116">
        <v>5565.9</v>
      </c>
      <c r="D1831" s="116">
        <v>5524.35</v>
      </c>
      <c r="E1831" s="116">
        <v>5578.8</v>
      </c>
      <c r="F1831" s="116">
        <v>5565.9</v>
      </c>
      <c r="G1831">
        <v>3329</v>
      </c>
      <c r="H1831" s="116"/>
      <c r="I1831" s="116"/>
      <c r="L1831" s="170">
        <v>45329</v>
      </c>
      <c r="M1831" s="116">
        <v>5566</v>
      </c>
      <c r="N1831" s="116">
        <v>5619.9</v>
      </c>
      <c r="O1831" s="116">
        <v>5526.55</v>
      </c>
      <c r="P1831" s="116">
        <v>5600</v>
      </c>
      <c r="Q1831" s="116">
        <v>5566</v>
      </c>
      <c r="R1831">
        <v>51701</v>
      </c>
    </row>
    <row r="1832" spans="1:18" x14ac:dyDescent="0.25">
      <c r="A1832" s="170">
        <v>45330</v>
      </c>
      <c r="B1832" s="116">
        <v>5605.25</v>
      </c>
      <c r="C1832" s="116">
        <v>5562.95</v>
      </c>
      <c r="D1832" s="116">
        <v>5540.45</v>
      </c>
      <c r="E1832" s="116">
        <v>5599.9</v>
      </c>
      <c r="F1832" s="116">
        <v>5562.95</v>
      </c>
      <c r="G1832">
        <v>2924</v>
      </c>
      <c r="H1832" s="116"/>
      <c r="I1832" s="116"/>
      <c r="L1832" s="170">
        <v>45330</v>
      </c>
      <c r="M1832" s="116">
        <v>5562.25</v>
      </c>
      <c r="N1832" s="116">
        <v>5608.45</v>
      </c>
      <c r="O1832" s="116">
        <v>5536.05</v>
      </c>
      <c r="P1832" s="116">
        <v>5570</v>
      </c>
      <c r="Q1832" s="116">
        <v>5562.25</v>
      </c>
      <c r="R1832">
        <v>56853</v>
      </c>
    </row>
    <row r="1833" spans="1:18" x14ac:dyDescent="0.25">
      <c r="A1833" s="170">
        <v>45331</v>
      </c>
      <c r="B1833" s="116">
        <v>5620</v>
      </c>
      <c r="C1833" s="116">
        <v>5567.8</v>
      </c>
      <c r="D1833" s="116">
        <v>5462.5</v>
      </c>
      <c r="E1833" s="116">
        <v>5517.2</v>
      </c>
      <c r="F1833" s="116">
        <v>5567.8</v>
      </c>
      <c r="G1833">
        <v>5948</v>
      </c>
      <c r="H1833" s="116"/>
      <c r="I1833" s="116"/>
      <c r="L1833" s="170">
        <v>45331</v>
      </c>
      <c r="M1833" s="116">
        <v>5565.8</v>
      </c>
      <c r="N1833" s="116">
        <v>5617.45</v>
      </c>
      <c r="O1833" s="116">
        <v>5465.1</v>
      </c>
      <c r="P1833" s="116">
        <v>5562.25</v>
      </c>
      <c r="Q1833" s="116">
        <v>5565.8</v>
      </c>
      <c r="R1833">
        <v>66043</v>
      </c>
    </row>
    <row r="1834" spans="1:18" x14ac:dyDescent="0.25">
      <c r="A1834" s="170">
        <v>45334</v>
      </c>
      <c r="B1834" s="116">
        <v>5675</v>
      </c>
      <c r="C1834" s="116">
        <v>5570.9</v>
      </c>
      <c r="D1834" s="116">
        <v>5543.8</v>
      </c>
      <c r="E1834" s="116">
        <v>5551.75</v>
      </c>
      <c r="F1834" s="116">
        <v>5570.9</v>
      </c>
      <c r="G1834">
        <v>11706</v>
      </c>
      <c r="H1834" s="116"/>
      <c r="I1834" s="116"/>
      <c r="L1834" s="170">
        <v>45334</v>
      </c>
      <c r="M1834" s="116">
        <v>5571.4</v>
      </c>
      <c r="N1834" s="116">
        <v>5678.9</v>
      </c>
      <c r="O1834" s="116">
        <v>5544</v>
      </c>
      <c r="P1834" s="116">
        <v>5585</v>
      </c>
      <c r="Q1834" s="116">
        <v>5571.4</v>
      </c>
      <c r="R1834">
        <v>229627</v>
      </c>
    </row>
    <row r="1835" spans="1:18" x14ac:dyDescent="0.25">
      <c r="A1835" s="170">
        <v>45335</v>
      </c>
      <c r="B1835" s="116">
        <v>5629.5</v>
      </c>
      <c r="C1835" s="116">
        <v>5611.6</v>
      </c>
      <c r="D1835" s="116">
        <v>5481.1</v>
      </c>
      <c r="E1835" s="116">
        <v>5575</v>
      </c>
      <c r="F1835" s="116">
        <v>5611.6</v>
      </c>
      <c r="G1835">
        <v>3084</v>
      </c>
      <c r="H1835" s="116"/>
      <c r="I1835" s="116"/>
      <c r="L1835" s="170">
        <v>45335</v>
      </c>
      <c r="M1835" s="116">
        <v>5615.2</v>
      </c>
      <c r="N1835" s="116">
        <v>5632</v>
      </c>
      <c r="O1835" s="116">
        <v>5482.5</v>
      </c>
      <c r="P1835" s="116">
        <v>5575</v>
      </c>
      <c r="Q1835" s="116">
        <v>5615.2</v>
      </c>
      <c r="R1835">
        <v>106865</v>
      </c>
    </row>
    <row r="1836" spans="1:18" x14ac:dyDescent="0.25">
      <c r="A1836" s="170">
        <v>45336</v>
      </c>
      <c r="B1836" s="116">
        <v>5530</v>
      </c>
      <c r="C1836" s="116">
        <v>5396.4</v>
      </c>
      <c r="D1836" s="116">
        <v>5295</v>
      </c>
      <c r="E1836" s="116">
        <v>5529.85</v>
      </c>
      <c r="F1836" s="116">
        <v>5396.4</v>
      </c>
      <c r="G1836">
        <v>12170</v>
      </c>
      <c r="H1836" s="116"/>
      <c r="I1836" s="116"/>
      <c r="L1836" s="170">
        <v>45336</v>
      </c>
      <c r="M1836" s="116">
        <v>5402.75</v>
      </c>
      <c r="N1836" s="116">
        <v>5540</v>
      </c>
      <c r="O1836" s="116">
        <v>5290</v>
      </c>
      <c r="P1836" s="116">
        <v>5531</v>
      </c>
      <c r="Q1836" s="116">
        <v>5402.75</v>
      </c>
      <c r="R1836">
        <v>365547</v>
      </c>
    </row>
    <row r="1837" spans="1:18" x14ac:dyDescent="0.25">
      <c r="A1837" s="170">
        <v>45337</v>
      </c>
      <c r="B1837" s="116">
        <v>5500</v>
      </c>
      <c r="C1837" s="116">
        <v>5432.05</v>
      </c>
      <c r="D1837" s="116">
        <v>5380.9</v>
      </c>
      <c r="E1837" s="116">
        <v>5487.85</v>
      </c>
      <c r="F1837" s="116">
        <v>5432.05</v>
      </c>
      <c r="G1837">
        <v>3362</v>
      </c>
      <c r="H1837" s="116"/>
      <c r="I1837" s="116"/>
      <c r="L1837" s="170">
        <v>45337</v>
      </c>
      <c r="M1837" s="116">
        <v>5432.6</v>
      </c>
      <c r="N1837" s="116">
        <v>5500</v>
      </c>
      <c r="O1837" s="116">
        <v>5380</v>
      </c>
      <c r="P1837" s="116">
        <v>5499</v>
      </c>
      <c r="Q1837" s="116">
        <v>5432.6</v>
      </c>
      <c r="R1837">
        <v>131719</v>
      </c>
    </row>
    <row r="1838" spans="1:18" x14ac:dyDescent="0.25">
      <c r="A1838" s="170">
        <v>45338</v>
      </c>
      <c r="B1838" s="116">
        <v>5499.85</v>
      </c>
      <c r="C1838" s="116">
        <v>5457.8</v>
      </c>
      <c r="D1838" s="116">
        <v>5428</v>
      </c>
      <c r="E1838" s="116">
        <v>5499.85</v>
      </c>
      <c r="F1838" s="116">
        <v>5457.8</v>
      </c>
      <c r="G1838">
        <v>2494</v>
      </c>
      <c r="H1838" s="116"/>
      <c r="I1838" s="116"/>
      <c r="L1838" s="170">
        <v>45338</v>
      </c>
      <c r="M1838" s="116">
        <v>5462.7</v>
      </c>
      <c r="N1838" s="116">
        <v>5477.7</v>
      </c>
      <c r="O1838" s="116">
        <v>5424.1</v>
      </c>
      <c r="P1838" s="116">
        <v>5468</v>
      </c>
      <c r="Q1838" s="116">
        <v>5462.7</v>
      </c>
      <c r="R1838">
        <v>88564</v>
      </c>
    </row>
    <row r="1839" spans="1:18" x14ac:dyDescent="0.25">
      <c r="A1839" s="170">
        <v>45341</v>
      </c>
      <c r="B1839" s="116">
        <v>5490</v>
      </c>
      <c r="C1839" s="116">
        <v>5445.9</v>
      </c>
      <c r="D1839" s="116">
        <v>5390.05</v>
      </c>
      <c r="E1839" s="116">
        <v>5462.75</v>
      </c>
      <c r="F1839" s="116">
        <v>5445.9</v>
      </c>
      <c r="G1839">
        <v>3558</v>
      </c>
      <c r="H1839" s="116"/>
      <c r="I1839" s="116"/>
      <c r="L1839" s="170">
        <v>45341</v>
      </c>
      <c r="M1839" s="116">
        <v>5448.4</v>
      </c>
      <c r="N1839" s="116">
        <v>5494.85</v>
      </c>
      <c r="O1839" s="116">
        <v>5400</v>
      </c>
      <c r="P1839" s="116">
        <v>5463</v>
      </c>
      <c r="Q1839" s="116">
        <v>5448.4</v>
      </c>
      <c r="R1839">
        <v>95074</v>
      </c>
    </row>
    <row r="1840" spans="1:18" x14ac:dyDescent="0.25">
      <c r="A1840" s="170">
        <v>45342</v>
      </c>
      <c r="B1840" s="116">
        <v>5549.9</v>
      </c>
      <c r="C1840" s="116">
        <v>5410.85</v>
      </c>
      <c r="D1840" s="116">
        <v>5374.4</v>
      </c>
      <c r="E1840" s="116">
        <v>5549.9</v>
      </c>
      <c r="F1840" s="116">
        <v>5410.85</v>
      </c>
      <c r="G1840">
        <v>1667</v>
      </c>
      <c r="H1840" s="116"/>
      <c r="I1840" s="116"/>
      <c r="L1840" s="170">
        <v>45342</v>
      </c>
      <c r="M1840" s="116">
        <v>5410.9</v>
      </c>
      <c r="N1840" s="116">
        <v>5470</v>
      </c>
      <c r="O1840" s="116">
        <v>5372</v>
      </c>
      <c r="P1840" s="116">
        <v>5448</v>
      </c>
      <c r="Q1840" s="116">
        <v>5410.9</v>
      </c>
      <c r="R1840">
        <v>69672</v>
      </c>
    </row>
    <row r="1841" spans="1:18" x14ac:dyDescent="0.25">
      <c r="A1841" s="170">
        <v>45343</v>
      </c>
      <c r="B1841" s="116">
        <v>5444.95</v>
      </c>
      <c r="C1841" s="116">
        <v>5279.7</v>
      </c>
      <c r="D1841" s="116">
        <v>5251.05</v>
      </c>
      <c r="E1841" s="116">
        <v>5444.95</v>
      </c>
      <c r="F1841" s="116">
        <v>5279.7</v>
      </c>
      <c r="G1841">
        <v>3315</v>
      </c>
      <c r="H1841" s="116"/>
      <c r="I1841" s="116"/>
      <c r="L1841" s="170">
        <v>45343</v>
      </c>
      <c r="M1841" s="116">
        <v>5276.55</v>
      </c>
      <c r="N1841" s="116">
        <v>5429.9</v>
      </c>
      <c r="O1841" s="116">
        <v>5250</v>
      </c>
      <c r="P1841" s="116">
        <v>5410.9</v>
      </c>
      <c r="Q1841" s="116">
        <v>5276.55</v>
      </c>
      <c r="R1841">
        <v>115961</v>
      </c>
    </row>
    <row r="1842" spans="1:18" x14ac:dyDescent="0.25">
      <c r="A1842" s="170">
        <v>45344</v>
      </c>
      <c r="B1842" s="116">
        <v>5374.95</v>
      </c>
      <c r="C1842" s="116">
        <v>5351.65</v>
      </c>
      <c r="D1842" s="116">
        <v>5234.55</v>
      </c>
      <c r="E1842" s="116">
        <v>5285</v>
      </c>
      <c r="F1842" s="116">
        <v>5351.65</v>
      </c>
      <c r="G1842">
        <v>6692</v>
      </c>
      <c r="H1842" s="116"/>
      <c r="I1842" s="116"/>
      <c r="L1842" s="170">
        <v>45344</v>
      </c>
      <c r="M1842" s="116">
        <v>5351.05</v>
      </c>
      <c r="N1842" s="116">
        <v>5377.1</v>
      </c>
      <c r="O1842" s="116">
        <v>5235.1000000000004</v>
      </c>
      <c r="P1842" s="116">
        <v>5290</v>
      </c>
      <c r="Q1842" s="116">
        <v>5351.05</v>
      </c>
      <c r="R1842">
        <v>81175</v>
      </c>
    </row>
    <row r="1843" spans="1:18" x14ac:dyDescent="0.25">
      <c r="A1843" s="170">
        <v>45345</v>
      </c>
      <c r="B1843" s="116">
        <v>5523.55</v>
      </c>
      <c r="C1843" s="116">
        <v>5440.85</v>
      </c>
      <c r="D1843" s="116">
        <v>5397.15</v>
      </c>
      <c r="E1843" s="116">
        <v>5400.55</v>
      </c>
      <c r="F1843" s="116">
        <v>5440.85</v>
      </c>
      <c r="G1843">
        <v>14096</v>
      </c>
      <c r="H1843" s="116"/>
      <c r="I1843" s="116"/>
      <c r="L1843" s="170">
        <v>45345</v>
      </c>
      <c r="M1843" s="116">
        <v>5441.65</v>
      </c>
      <c r="N1843" s="116">
        <v>5524.8</v>
      </c>
      <c r="O1843" s="116">
        <v>5403.25</v>
      </c>
      <c r="P1843" s="116">
        <v>5424.8</v>
      </c>
      <c r="Q1843" s="116">
        <v>5441.65</v>
      </c>
      <c r="R1843">
        <v>199198</v>
      </c>
    </row>
    <row r="1844" spans="1:18" x14ac:dyDescent="0.25">
      <c r="A1844" s="170">
        <v>45348</v>
      </c>
      <c r="B1844" s="116">
        <v>5466.25</v>
      </c>
      <c r="C1844" s="116">
        <v>5439.05</v>
      </c>
      <c r="D1844" s="116">
        <v>5397</v>
      </c>
      <c r="E1844" s="116">
        <v>5441.75</v>
      </c>
      <c r="F1844" s="116">
        <v>5439.05</v>
      </c>
      <c r="G1844">
        <v>3716</v>
      </c>
      <c r="H1844" s="116"/>
      <c r="I1844" s="116"/>
      <c r="L1844" s="170">
        <v>45348</v>
      </c>
      <c r="M1844" s="116">
        <v>5431.15</v>
      </c>
      <c r="N1844" s="116">
        <v>5467.45</v>
      </c>
      <c r="O1844" s="116">
        <v>5394.6</v>
      </c>
      <c r="P1844" s="116">
        <v>5441.65</v>
      </c>
      <c r="Q1844" s="116">
        <v>5431.15</v>
      </c>
      <c r="R1844">
        <v>89718</v>
      </c>
    </row>
    <row r="1845" spans="1:18" x14ac:dyDescent="0.25">
      <c r="A1845" s="170">
        <v>45349</v>
      </c>
      <c r="B1845" s="116">
        <v>5484.3</v>
      </c>
      <c r="C1845" s="116">
        <v>5393.65</v>
      </c>
      <c r="D1845" s="116">
        <v>5384.2</v>
      </c>
      <c r="E1845" s="116">
        <v>5454.95</v>
      </c>
      <c r="F1845" s="116">
        <v>5393.65</v>
      </c>
      <c r="G1845">
        <v>2784</v>
      </c>
      <c r="H1845" s="116"/>
      <c r="I1845" s="116"/>
      <c r="L1845" s="170">
        <v>45349</v>
      </c>
      <c r="M1845" s="116">
        <v>5393.2</v>
      </c>
      <c r="N1845" s="116">
        <v>5488.05</v>
      </c>
      <c r="O1845" s="116">
        <v>5380</v>
      </c>
      <c r="P1845" s="116">
        <v>5440.1</v>
      </c>
      <c r="Q1845" s="116">
        <v>5393.2</v>
      </c>
      <c r="R1845">
        <v>73962</v>
      </c>
    </row>
    <row r="1846" spans="1:18" x14ac:dyDescent="0.25">
      <c r="A1846" s="170">
        <v>45350</v>
      </c>
      <c r="B1846" s="116">
        <v>5413.55</v>
      </c>
      <c r="C1846" s="116">
        <v>5315.3</v>
      </c>
      <c r="D1846" s="116">
        <v>5289.4</v>
      </c>
      <c r="E1846" s="116">
        <v>5400</v>
      </c>
      <c r="F1846" s="116">
        <v>5315.3</v>
      </c>
      <c r="G1846">
        <v>4717</v>
      </c>
      <c r="H1846" s="116"/>
      <c r="I1846" s="116"/>
      <c r="L1846" s="170">
        <v>45350</v>
      </c>
      <c r="M1846" s="116">
        <v>5314.95</v>
      </c>
      <c r="N1846" s="116">
        <v>5418</v>
      </c>
      <c r="O1846" s="116">
        <v>5292.3</v>
      </c>
      <c r="P1846" s="116">
        <v>5399</v>
      </c>
      <c r="Q1846" s="116">
        <v>5314.95</v>
      </c>
      <c r="R1846">
        <v>111926</v>
      </c>
    </row>
    <row r="1847" spans="1:18" x14ac:dyDescent="0.25">
      <c r="A1847" s="170">
        <v>45351</v>
      </c>
      <c r="B1847" s="116">
        <v>5335.65</v>
      </c>
      <c r="C1847" s="116">
        <v>5300.7</v>
      </c>
      <c r="D1847" s="116">
        <v>5267.1</v>
      </c>
      <c r="E1847" s="116">
        <v>5308.05</v>
      </c>
      <c r="F1847" s="116">
        <v>5300.7</v>
      </c>
      <c r="G1847">
        <v>4254</v>
      </c>
      <c r="H1847" s="116"/>
      <c r="I1847" s="116"/>
      <c r="L1847" s="170">
        <v>45351</v>
      </c>
      <c r="M1847" s="116">
        <v>5302.55</v>
      </c>
      <c r="N1847" s="116">
        <v>5344.65</v>
      </c>
      <c r="O1847" s="116">
        <v>5267.05</v>
      </c>
      <c r="P1847" s="116">
        <v>5314.95</v>
      </c>
      <c r="Q1847" s="116">
        <v>5302.55</v>
      </c>
      <c r="R1847">
        <v>153967</v>
      </c>
    </row>
    <row r="1848" spans="1:18" x14ac:dyDescent="0.25">
      <c r="A1848" s="170">
        <v>45352</v>
      </c>
      <c r="B1848" s="116">
        <v>5390.95</v>
      </c>
      <c r="C1848" s="116">
        <v>5285.1</v>
      </c>
      <c r="D1848" s="116">
        <v>5271.5</v>
      </c>
      <c r="E1848" s="116">
        <v>5390.95</v>
      </c>
      <c r="F1848" s="116">
        <v>5285.1</v>
      </c>
      <c r="G1848">
        <v>2036</v>
      </c>
      <c r="H1848" s="116"/>
      <c r="I1848" s="116"/>
      <c r="L1848" s="170">
        <v>45352</v>
      </c>
      <c r="M1848" s="116">
        <v>5287</v>
      </c>
      <c r="N1848" s="116">
        <v>5388.95</v>
      </c>
      <c r="O1848" s="116">
        <v>5270.95</v>
      </c>
      <c r="P1848" s="116">
        <v>5342</v>
      </c>
      <c r="Q1848" s="116">
        <v>5287</v>
      </c>
      <c r="R1848">
        <v>186522</v>
      </c>
    </row>
    <row r="1849" spans="1:18" x14ac:dyDescent="0.25">
      <c r="A1849" s="170">
        <v>45353</v>
      </c>
      <c r="B1849" s="116">
        <v>5390.75</v>
      </c>
      <c r="C1849" s="116">
        <v>5317.45</v>
      </c>
      <c r="D1849" s="116">
        <v>5306.05</v>
      </c>
      <c r="E1849" s="116">
        <v>5390.75</v>
      </c>
      <c r="F1849" s="116">
        <v>5317.45</v>
      </c>
      <c r="G1849">
        <v>1563</v>
      </c>
      <c r="H1849" s="116"/>
      <c r="I1849" s="116"/>
      <c r="L1849" s="170">
        <v>45353</v>
      </c>
      <c r="M1849" s="116">
        <v>5312.15</v>
      </c>
      <c r="N1849" s="116">
        <v>5400.35</v>
      </c>
      <c r="O1849" s="116">
        <v>5281</v>
      </c>
      <c r="P1849" s="116">
        <v>5320</v>
      </c>
      <c r="Q1849" s="116">
        <v>5312.15</v>
      </c>
      <c r="R1849">
        <v>10413</v>
      </c>
    </row>
    <row r="1850" spans="1:18" x14ac:dyDescent="0.25">
      <c r="A1850" s="170">
        <v>45355</v>
      </c>
      <c r="B1850" s="116">
        <v>5347.9</v>
      </c>
      <c r="C1850" s="116">
        <v>5254.1</v>
      </c>
      <c r="D1850" s="116">
        <v>5233.25</v>
      </c>
      <c r="E1850" s="116">
        <v>5315.35</v>
      </c>
      <c r="F1850" s="116">
        <v>5254.1</v>
      </c>
      <c r="G1850">
        <v>5085</v>
      </c>
      <c r="H1850" s="116"/>
      <c r="I1850" s="116"/>
      <c r="L1850" s="170">
        <v>45355</v>
      </c>
      <c r="M1850" s="116">
        <v>5258.45</v>
      </c>
      <c r="N1850" s="116">
        <v>5340.5</v>
      </c>
      <c r="O1850" s="116">
        <v>5235.1000000000004</v>
      </c>
      <c r="P1850" s="116">
        <v>5324</v>
      </c>
      <c r="Q1850" s="116">
        <v>5258.45</v>
      </c>
      <c r="R1850">
        <v>108641</v>
      </c>
    </row>
    <row r="1851" spans="1:18" x14ac:dyDescent="0.25">
      <c r="A1851" s="170">
        <v>45356</v>
      </c>
      <c r="B1851" s="116">
        <v>5278.65</v>
      </c>
      <c r="C1851" s="116">
        <v>5261</v>
      </c>
      <c r="D1851" s="116">
        <v>5218.3500000000004</v>
      </c>
      <c r="E1851" s="116">
        <v>5254</v>
      </c>
      <c r="F1851" s="116">
        <v>5261</v>
      </c>
      <c r="G1851">
        <v>2110</v>
      </c>
      <c r="H1851" s="116"/>
      <c r="I1851" s="116"/>
      <c r="L1851" s="170">
        <v>45356</v>
      </c>
      <c r="M1851" s="116">
        <v>5262.85</v>
      </c>
      <c r="N1851" s="116">
        <v>5283.95</v>
      </c>
      <c r="O1851" s="116">
        <v>5215.05</v>
      </c>
      <c r="P1851" s="116">
        <v>5274</v>
      </c>
      <c r="Q1851" s="116">
        <v>5262.85</v>
      </c>
      <c r="R1851">
        <v>137127</v>
      </c>
    </row>
    <row r="1852" spans="1:18" x14ac:dyDescent="0.25">
      <c r="A1852" s="170">
        <v>45357</v>
      </c>
      <c r="B1852" s="116">
        <v>5295.7</v>
      </c>
      <c r="C1852" s="116">
        <v>5286.7</v>
      </c>
      <c r="D1852" s="116">
        <v>5138.7</v>
      </c>
      <c r="E1852" s="116">
        <v>5254.8</v>
      </c>
      <c r="F1852" s="116">
        <v>5286.7</v>
      </c>
      <c r="G1852">
        <v>2277</v>
      </c>
      <c r="H1852" s="116"/>
      <c r="I1852" s="116"/>
      <c r="L1852" s="170">
        <v>45357</v>
      </c>
      <c r="M1852" s="116">
        <v>5285.75</v>
      </c>
      <c r="N1852" s="116">
        <v>5299.6</v>
      </c>
      <c r="O1852" s="116">
        <v>5137</v>
      </c>
      <c r="P1852" s="116">
        <v>5245</v>
      </c>
      <c r="Q1852" s="116">
        <v>5285.75</v>
      </c>
      <c r="R1852">
        <v>146468</v>
      </c>
    </row>
    <row r="1853" spans="1:18" x14ac:dyDescent="0.25">
      <c r="A1853" s="170">
        <v>45358</v>
      </c>
      <c r="B1853" s="116">
        <v>5330</v>
      </c>
      <c r="C1853" s="116">
        <v>5302.85</v>
      </c>
      <c r="D1853" s="116">
        <v>5236.45</v>
      </c>
      <c r="E1853" s="116">
        <v>5300</v>
      </c>
      <c r="F1853" s="116">
        <v>5302.85</v>
      </c>
      <c r="G1853">
        <v>6583</v>
      </c>
      <c r="H1853" s="116"/>
      <c r="I1853" s="116"/>
      <c r="L1853" s="170">
        <v>45358</v>
      </c>
      <c r="M1853" s="116">
        <v>5301.15</v>
      </c>
      <c r="N1853" s="116">
        <v>5332.4</v>
      </c>
      <c r="O1853" s="116">
        <v>5233.55</v>
      </c>
      <c r="P1853" s="116">
        <v>5325</v>
      </c>
      <c r="Q1853" s="116">
        <v>5301.15</v>
      </c>
      <c r="R1853">
        <v>233329</v>
      </c>
    </row>
    <row r="1854" spans="1:18" x14ac:dyDescent="0.25">
      <c r="A1854" s="170">
        <v>45362</v>
      </c>
      <c r="B1854" s="116">
        <v>5299.55</v>
      </c>
      <c r="C1854" s="116">
        <v>5266.5</v>
      </c>
      <c r="D1854" s="116">
        <v>5222.3500000000004</v>
      </c>
      <c r="E1854" s="116">
        <v>5287.65</v>
      </c>
      <c r="F1854" s="116">
        <v>5266.5</v>
      </c>
      <c r="G1854">
        <v>4223</v>
      </c>
      <c r="H1854" s="116"/>
      <c r="I1854" s="116"/>
      <c r="L1854" s="170">
        <v>45362</v>
      </c>
      <c r="M1854" s="116">
        <v>5270.8</v>
      </c>
      <c r="N1854" s="116">
        <v>5300</v>
      </c>
      <c r="O1854" s="116">
        <v>5223.05</v>
      </c>
      <c r="P1854" s="116">
        <v>5275.05</v>
      </c>
      <c r="Q1854" s="116">
        <v>5270.8</v>
      </c>
      <c r="R1854">
        <v>108245</v>
      </c>
    </row>
    <row r="1855" spans="1:18" x14ac:dyDescent="0.25">
      <c r="A1855" s="170">
        <v>45363</v>
      </c>
      <c r="B1855" s="116">
        <v>5318.65</v>
      </c>
      <c r="C1855" s="116">
        <v>5265.95</v>
      </c>
      <c r="D1855" s="116">
        <v>5200</v>
      </c>
      <c r="E1855" s="116">
        <v>5270.2</v>
      </c>
      <c r="F1855" s="116">
        <v>5265.95</v>
      </c>
      <c r="G1855">
        <v>3162</v>
      </c>
      <c r="H1855" s="116"/>
      <c r="I1855" s="116"/>
      <c r="L1855" s="170">
        <v>45363</v>
      </c>
      <c r="M1855" s="116">
        <v>5271.05</v>
      </c>
      <c r="N1855" s="116">
        <v>5321.95</v>
      </c>
      <c r="O1855" s="116">
        <v>5200.2</v>
      </c>
      <c r="P1855" s="116">
        <v>5265.05</v>
      </c>
      <c r="Q1855" s="116">
        <v>5271.05</v>
      </c>
      <c r="R1855">
        <v>203968</v>
      </c>
    </row>
    <row r="1856" spans="1:18" x14ac:dyDescent="0.25">
      <c r="A1856" s="170">
        <v>45364</v>
      </c>
      <c r="B1856" s="116">
        <v>5316.95</v>
      </c>
      <c r="C1856" s="116">
        <v>5152.05</v>
      </c>
      <c r="D1856" s="116">
        <v>5123.25</v>
      </c>
      <c r="E1856" s="116">
        <v>5280.35</v>
      </c>
      <c r="F1856" s="116">
        <v>5152.05</v>
      </c>
      <c r="G1856">
        <v>3148</v>
      </c>
      <c r="H1856" s="116"/>
      <c r="I1856" s="116"/>
      <c r="L1856" s="170">
        <v>45364</v>
      </c>
      <c r="M1856" s="116">
        <v>5154.3999999999996</v>
      </c>
      <c r="N1856" s="116">
        <v>5319</v>
      </c>
      <c r="O1856" s="116">
        <v>5125.25</v>
      </c>
      <c r="P1856" s="116">
        <v>5319</v>
      </c>
      <c r="Q1856" s="116">
        <v>5154.3999999999996</v>
      </c>
      <c r="R1856">
        <v>125309</v>
      </c>
    </row>
    <row r="1857" spans="1:18" x14ac:dyDescent="0.25">
      <c r="A1857" s="170">
        <v>45365</v>
      </c>
      <c r="B1857" s="116">
        <v>5276.95</v>
      </c>
      <c r="C1857" s="116">
        <v>5264.9</v>
      </c>
      <c r="D1857" s="116">
        <v>5102.05</v>
      </c>
      <c r="E1857" s="116">
        <v>5102.05</v>
      </c>
      <c r="F1857" s="116">
        <v>5264.9</v>
      </c>
      <c r="G1857">
        <v>5555</v>
      </c>
      <c r="H1857" s="116"/>
      <c r="I1857" s="116"/>
      <c r="L1857" s="170">
        <v>45365</v>
      </c>
      <c r="M1857" s="116">
        <v>5262.9</v>
      </c>
      <c r="N1857" s="116">
        <v>5276.6</v>
      </c>
      <c r="O1857" s="116">
        <v>5100</v>
      </c>
      <c r="P1857" s="116">
        <v>5125.05</v>
      </c>
      <c r="Q1857" s="116">
        <v>5262.9</v>
      </c>
      <c r="R1857">
        <v>192376</v>
      </c>
    </row>
    <row r="1858" spans="1:18" x14ac:dyDescent="0.25">
      <c r="A1858" s="170">
        <v>45366</v>
      </c>
      <c r="B1858" s="116">
        <v>5438.65</v>
      </c>
      <c r="C1858" s="116">
        <v>5417.9</v>
      </c>
      <c r="D1858" s="116">
        <v>5247.2</v>
      </c>
      <c r="E1858" s="116">
        <v>5319.95</v>
      </c>
      <c r="F1858" s="116">
        <v>5417.9</v>
      </c>
      <c r="G1858">
        <v>23024</v>
      </c>
      <c r="H1858" s="116"/>
      <c r="I1858" s="116"/>
      <c r="L1858" s="170">
        <v>45366</v>
      </c>
      <c r="M1858" s="116">
        <v>5419.35</v>
      </c>
      <c r="N1858" s="116">
        <v>5437.85</v>
      </c>
      <c r="O1858" s="116">
        <v>5242.2</v>
      </c>
      <c r="P1858" s="116">
        <v>5270</v>
      </c>
      <c r="Q1858" s="116">
        <v>5419.35</v>
      </c>
      <c r="R1858">
        <v>313116</v>
      </c>
    </row>
    <row r="1859" spans="1:18" x14ac:dyDescent="0.25">
      <c r="A1859" s="170">
        <v>45369</v>
      </c>
      <c r="B1859" s="116">
        <v>5469.75</v>
      </c>
      <c r="C1859" s="116">
        <v>5384.65</v>
      </c>
      <c r="D1859" s="116">
        <v>5305</v>
      </c>
      <c r="E1859" s="116">
        <v>5469.75</v>
      </c>
      <c r="F1859" s="116">
        <v>5384.65</v>
      </c>
      <c r="G1859">
        <v>2093</v>
      </c>
      <c r="H1859" s="116"/>
      <c r="I1859" s="116"/>
      <c r="L1859" s="170">
        <v>45369</v>
      </c>
      <c r="M1859" s="116">
        <v>5387</v>
      </c>
      <c r="N1859" s="116">
        <v>5438</v>
      </c>
      <c r="O1859" s="116">
        <v>5301.05</v>
      </c>
      <c r="P1859" s="116">
        <v>5437</v>
      </c>
      <c r="Q1859" s="116">
        <v>5387</v>
      </c>
      <c r="R1859">
        <v>109824</v>
      </c>
    </row>
    <row r="1860" spans="1:18" x14ac:dyDescent="0.25">
      <c r="A1860" s="170">
        <v>45370</v>
      </c>
      <c r="B1860" s="116">
        <v>5420.35</v>
      </c>
      <c r="C1860" s="116">
        <v>5180.1499999999996</v>
      </c>
      <c r="D1860" s="116">
        <v>5160.1000000000004</v>
      </c>
      <c r="E1860" s="116">
        <v>5420.35</v>
      </c>
      <c r="F1860" s="116">
        <v>5180.1499999999996</v>
      </c>
      <c r="G1860">
        <v>3358</v>
      </c>
      <c r="H1860" s="116"/>
      <c r="I1860" s="116"/>
      <c r="L1860" s="170">
        <v>45370</v>
      </c>
      <c r="M1860" s="116">
        <v>5190.55</v>
      </c>
      <c r="N1860" s="116">
        <v>5400</v>
      </c>
      <c r="O1860" s="116">
        <v>5156.8500000000004</v>
      </c>
      <c r="P1860" s="116">
        <v>5400</v>
      </c>
      <c r="Q1860" s="116">
        <v>5190.55</v>
      </c>
      <c r="R1860">
        <v>232938</v>
      </c>
    </row>
    <row r="1861" spans="1:18" x14ac:dyDescent="0.25">
      <c r="A1861" s="170">
        <v>45371</v>
      </c>
      <c r="B1861" s="116">
        <v>5230.3500000000004</v>
      </c>
      <c r="C1861" s="116">
        <v>5195.2</v>
      </c>
      <c r="D1861" s="116">
        <v>5128</v>
      </c>
      <c r="E1861" s="116">
        <v>5230</v>
      </c>
      <c r="F1861" s="116">
        <v>5195.2</v>
      </c>
      <c r="G1861">
        <v>2075</v>
      </c>
      <c r="H1861" s="116"/>
      <c r="I1861" s="116"/>
      <c r="L1861" s="170">
        <v>45371</v>
      </c>
      <c r="M1861" s="116">
        <v>5191.8999999999996</v>
      </c>
      <c r="N1861" s="116">
        <v>5229.8</v>
      </c>
      <c r="O1861" s="116">
        <v>5125.3</v>
      </c>
      <c r="P1861" s="116">
        <v>5229.8</v>
      </c>
      <c r="Q1861" s="116">
        <v>5191.8999999999996</v>
      </c>
      <c r="R1861">
        <v>122746</v>
      </c>
    </row>
    <row r="1862" spans="1:18" x14ac:dyDescent="0.25">
      <c r="A1862" s="170">
        <v>45372</v>
      </c>
      <c r="B1862" s="116">
        <v>5479.8</v>
      </c>
      <c r="C1862" s="116">
        <v>5459.7</v>
      </c>
      <c r="D1862" s="116">
        <v>5250.6</v>
      </c>
      <c r="E1862" s="116">
        <v>5250.6</v>
      </c>
      <c r="F1862" s="116">
        <v>5459.7</v>
      </c>
      <c r="G1862">
        <v>11930</v>
      </c>
      <c r="H1862" s="116"/>
      <c r="I1862" s="116"/>
      <c r="L1862" s="170">
        <v>45372</v>
      </c>
      <c r="M1862" s="116">
        <v>5457.5</v>
      </c>
      <c r="N1862" s="116">
        <v>5468</v>
      </c>
      <c r="O1862" s="116">
        <v>5232.25</v>
      </c>
      <c r="P1862" s="116">
        <v>5270</v>
      </c>
      <c r="Q1862" s="116">
        <v>5457.5</v>
      </c>
      <c r="R1862">
        <v>218560</v>
      </c>
    </row>
    <row r="1863" spans="1:18" x14ac:dyDescent="0.25">
      <c r="A1863" s="170">
        <v>45373</v>
      </c>
      <c r="B1863" s="116">
        <v>5399</v>
      </c>
      <c r="C1863" s="116">
        <v>5370.45</v>
      </c>
      <c r="D1863" s="116">
        <v>5233.75</v>
      </c>
      <c r="E1863" s="116">
        <v>5349.95</v>
      </c>
      <c r="F1863" s="116">
        <v>5370.45</v>
      </c>
      <c r="G1863">
        <v>8077</v>
      </c>
      <c r="H1863" s="116"/>
      <c r="I1863" s="116"/>
      <c r="L1863" s="170">
        <v>45373</v>
      </c>
      <c r="M1863" s="116">
        <v>5369.85</v>
      </c>
      <c r="N1863" s="116">
        <v>5400</v>
      </c>
      <c r="O1863" s="116">
        <v>5228.1000000000004</v>
      </c>
      <c r="P1863" s="116">
        <v>5301</v>
      </c>
      <c r="Q1863" s="116">
        <v>5369.85</v>
      </c>
      <c r="R1863">
        <v>212489</v>
      </c>
    </row>
    <row r="1864" spans="1:18" x14ac:dyDescent="0.25">
      <c r="A1864" s="170">
        <v>45377</v>
      </c>
      <c r="B1864" s="116">
        <v>5428.75</v>
      </c>
      <c r="C1864" s="116">
        <v>5416.05</v>
      </c>
      <c r="D1864" s="116">
        <v>5323.1</v>
      </c>
      <c r="E1864" s="116">
        <v>5360</v>
      </c>
      <c r="F1864" s="116">
        <v>5416.05</v>
      </c>
      <c r="G1864">
        <v>5087</v>
      </c>
      <c r="H1864" s="116"/>
      <c r="I1864" s="116"/>
      <c r="L1864" s="170">
        <v>45377</v>
      </c>
      <c r="M1864" s="116">
        <v>5419.35</v>
      </c>
      <c r="N1864" s="116">
        <v>5432</v>
      </c>
      <c r="O1864" s="116">
        <v>5326.05</v>
      </c>
      <c r="P1864" s="116">
        <v>5350</v>
      </c>
      <c r="Q1864" s="116">
        <v>5419.35</v>
      </c>
      <c r="R1864">
        <v>93802</v>
      </c>
    </row>
    <row r="1865" spans="1:18" x14ac:dyDescent="0.25">
      <c r="A1865" s="170">
        <v>45378</v>
      </c>
      <c r="B1865" s="116">
        <v>5470</v>
      </c>
      <c r="C1865" s="116">
        <v>5446.8</v>
      </c>
      <c r="D1865" s="116">
        <v>5410</v>
      </c>
      <c r="E1865" s="116">
        <v>5430.05</v>
      </c>
      <c r="F1865" s="116">
        <v>5446.8</v>
      </c>
      <c r="G1865">
        <v>2906</v>
      </c>
      <c r="H1865" s="116"/>
      <c r="I1865" s="116"/>
      <c r="L1865" s="170">
        <v>45378</v>
      </c>
      <c r="M1865" s="116">
        <v>5446.3</v>
      </c>
      <c r="N1865" s="116">
        <v>5470</v>
      </c>
      <c r="O1865" s="116">
        <v>5405.4</v>
      </c>
      <c r="P1865" s="116">
        <v>5453</v>
      </c>
      <c r="Q1865" s="116">
        <v>5446.3</v>
      </c>
      <c r="R1865">
        <v>131297</v>
      </c>
    </row>
    <row r="1866" spans="1:18" x14ac:dyDescent="0.25">
      <c r="A1866" s="170">
        <v>45379</v>
      </c>
      <c r="B1866" s="116">
        <v>5552</v>
      </c>
      <c r="C1866" s="116">
        <v>5480.25</v>
      </c>
      <c r="D1866" s="116">
        <v>5428.4</v>
      </c>
      <c r="E1866" s="116">
        <v>5456.3</v>
      </c>
      <c r="F1866" s="116">
        <v>5480.25</v>
      </c>
      <c r="G1866">
        <v>9903</v>
      </c>
      <c r="H1866" s="116"/>
      <c r="I1866" s="116"/>
      <c r="L1866" s="170">
        <v>45379</v>
      </c>
      <c r="M1866" s="116">
        <v>5482.65</v>
      </c>
      <c r="N1866" s="116">
        <v>5555</v>
      </c>
      <c r="O1866" s="116">
        <v>5427.55</v>
      </c>
      <c r="P1866" s="116">
        <v>5475</v>
      </c>
      <c r="Q1866" s="116">
        <v>5482.65</v>
      </c>
      <c r="R1866">
        <v>235359</v>
      </c>
    </row>
    <row r="1867" spans="1:18" x14ac:dyDescent="0.25">
      <c r="A1867" s="170">
        <v>45383</v>
      </c>
      <c r="B1867" s="116">
        <v>5615</v>
      </c>
      <c r="C1867" s="116">
        <v>5601.55</v>
      </c>
      <c r="D1867" s="116">
        <v>5492.1</v>
      </c>
      <c r="E1867" s="116">
        <v>5547.45</v>
      </c>
      <c r="F1867" s="116">
        <v>5601.55</v>
      </c>
      <c r="G1867">
        <v>3236</v>
      </c>
      <c r="H1867" s="116"/>
      <c r="I1867" s="116"/>
      <c r="L1867" s="170">
        <v>45383</v>
      </c>
      <c r="M1867" s="116">
        <v>5602.5</v>
      </c>
      <c r="N1867" s="116">
        <v>5617.3</v>
      </c>
      <c r="O1867" s="116">
        <v>5490</v>
      </c>
      <c r="P1867" s="116">
        <v>5490</v>
      </c>
      <c r="Q1867" s="116">
        <v>5602.5</v>
      </c>
      <c r="R1867">
        <v>161908</v>
      </c>
    </row>
    <row r="1868" spans="1:18" x14ac:dyDescent="0.25">
      <c r="A1868" s="170">
        <v>45384</v>
      </c>
      <c r="B1868" s="116">
        <v>5648</v>
      </c>
      <c r="C1868" s="116">
        <v>5584.4</v>
      </c>
      <c r="D1868" s="116">
        <v>5537.85</v>
      </c>
      <c r="E1868" s="116">
        <v>5602.6</v>
      </c>
      <c r="F1868" s="116">
        <v>5584.4</v>
      </c>
      <c r="G1868">
        <v>1623</v>
      </c>
      <c r="H1868" s="116"/>
      <c r="I1868" s="116"/>
      <c r="L1868" s="170">
        <v>45384</v>
      </c>
      <c r="M1868" s="116">
        <v>5582.5</v>
      </c>
      <c r="N1868" s="116">
        <v>5652.05</v>
      </c>
      <c r="O1868" s="116">
        <v>5530.25</v>
      </c>
      <c r="P1868" s="116">
        <v>5550</v>
      </c>
      <c r="Q1868" s="116">
        <v>5582.5</v>
      </c>
      <c r="R1868">
        <v>204205</v>
      </c>
    </row>
    <row r="1869" spans="1:18" x14ac:dyDescent="0.25">
      <c r="A1869" s="170">
        <v>45385</v>
      </c>
      <c r="B1869" s="116">
        <v>5815</v>
      </c>
      <c r="C1869" s="116">
        <v>5755.1</v>
      </c>
      <c r="D1869" s="116">
        <v>5541.1</v>
      </c>
      <c r="E1869" s="116">
        <v>5579.65</v>
      </c>
      <c r="F1869" s="116">
        <v>5755.1</v>
      </c>
      <c r="G1869">
        <v>21304</v>
      </c>
      <c r="H1869" s="116"/>
      <c r="I1869" s="116"/>
      <c r="L1869" s="170">
        <v>45385</v>
      </c>
      <c r="M1869" s="116">
        <v>5756.7</v>
      </c>
      <c r="N1869" s="116">
        <v>5817.95</v>
      </c>
      <c r="O1869" s="116">
        <v>5540.55</v>
      </c>
      <c r="P1869" s="116">
        <v>5567</v>
      </c>
      <c r="Q1869" s="116">
        <v>5756.7</v>
      </c>
      <c r="R1869">
        <v>364195</v>
      </c>
    </row>
    <row r="1870" spans="1:18" x14ac:dyDescent="0.25">
      <c r="A1870" s="170">
        <v>45386</v>
      </c>
      <c r="B1870" s="116">
        <v>5869.05</v>
      </c>
      <c r="C1870" s="116">
        <v>5829.8</v>
      </c>
      <c r="D1870" s="116">
        <v>5755.2</v>
      </c>
      <c r="E1870" s="116">
        <v>5815.55</v>
      </c>
      <c r="F1870" s="116">
        <v>5829.8</v>
      </c>
      <c r="G1870">
        <v>6232</v>
      </c>
      <c r="H1870" s="116"/>
      <c r="I1870" s="116"/>
      <c r="L1870" s="170">
        <v>45386</v>
      </c>
      <c r="M1870" s="116">
        <v>5829</v>
      </c>
      <c r="N1870" s="116">
        <v>5869.85</v>
      </c>
      <c r="O1870" s="116">
        <v>5752.25</v>
      </c>
      <c r="P1870" s="116">
        <v>5828.95</v>
      </c>
      <c r="Q1870" s="116">
        <v>5829</v>
      </c>
      <c r="R1870">
        <v>235144</v>
      </c>
    </row>
    <row r="1871" spans="1:18" x14ac:dyDescent="0.25">
      <c r="A1871" s="170">
        <v>45387</v>
      </c>
      <c r="B1871" s="116">
        <v>5829</v>
      </c>
      <c r="C1871" s="116">
        <v>5805.2</v>
      </c>
      <c r="D1871" s="116">
        <v>5758.65</v>
      </c>
      <c r="E1871" s="116">
        <v>5825</v>
      </c>
      <c r="F1871" s="116">
        <v>5805.2</v>
      </c>
      <c r="G1871">
        <v>4238</v>
      </c>
      <c r="H1871" s="116"/>
      <c r="I1871" s="116"/>
      <c r="L1871" s="170">
        <v>45387</v>
      </c>
      <c r="M1871" s="116">
        <v>5806.45</v>
      </c>
      <c r="N1871" s="116">
        <v>5829.35</v>
      </c>
      <c r="O1871" s="116">
        <v>5761</v>
      </c>
      <c r="P1871" s="116">
        <v>5821.9</v>
      </c>
      <c r="Q1871" s="116">
        <v>5806.45</v>
      </c>
      <c r="R1871">
        <v>76779</v>
      </c>
    </row>
    <row r="1872" spans="1:18" x14ac:dyDescent="0.25">
      <c r="A1872" s="170">
        <v>45390</v>
      </c>
      <c r="B1872" s="116">
        <v>5884.95</v>
      </c>
      <c r="C1872" s="116">
        <v>5698.9</v>
      </c>
      <c r="D1872" s="116">
        <v>5684.75</v>
      </c>
      <c r="E1872" s="116">
        <v>5884.95</v>
      </c>
      <c r="F1872" s="116">
        <v>5698.9</v>
      </c>
      <c r="G1872">
        <v>3677</v>
      </c>
      <c r="H1872" s="116"/>
      <c r="I1872" s="116"/>
      <c r="L1872" s="170">
        <v>45390</v>
      </c>
      <c r="M1872" s="116">
        <v>5701.45</v>
      </c>
      <c r="N1872" s="116">
        <v>5873.35</v>
      </c>
      <c r="O1872" s="116">
        <v>5685</v>
      </c>
      <c r="P1872" s="116">
        <v>5864</v>
      </c>
      <c r="Q1872" s="116">
        <v>5701.45</v>
      </c>
      <c r="R1872">
        <v>113128</v>
      </c>
    </row>
    <row r="1873" spans="1:18" x14ac:dyDescent="0.25">
      <c r="A1873" s="170">
        <v>45391</v>
      </c>
      <c r="B1873" s="116">
        <v>5774.75</v>
      </c>
      <c r="C1873" s="116">
        <v>5630.4</v>
      </c>
      <c r="D1873" s="116">
        <v>5617.85</v>
      </c>
      <c r="E1873" s="116">
        <v>5739.5</v>
      </c>
      <c r="F1873" s="116">
        <v>5630.4</v>
      </c>
      <c r="G1873">
        <v>3378</v>
      </c>
      <c r="H1873" s="116"/>
      <c r="I1873" s="116"/>
      <c r="L1873" s="170">
        <v>45391</v>
      </c>
      <c r="M1873" s="116">
        <v>5631.7</v>
      </c>
      <c r="N1873" s="116">
        <v>5773</v>
      </c>
      <c r="O1873" s="116">
        <v>5618.3</v>
      </c>
      <c r="P1873" s="116">
        <v>5725</v>
      </c>
      <c r="Q1873" s="116">
        <v>5631.7</v>
      </c>
      <c r="R1873">
        <v>126667</v>
      </c>
    </row>
    <row r="1874" spans="1:18" x14ac:dyDescent="0.25">
      <c r="A1874" s="170">
        <v>45392</v>
      </c>
      <c r="B1874" s="116">
        <v>5660.9</v>
      </c>
      <c r="C1874" s="116">
        <v>5643.8</v>
      </c>
      <c r="D1874" s="116">
        <v>5603.1</v>
      </c>
      <c r="E1874" s="116">
        <v>5645</v>
      </c>
      <c r="F1874" s="116">
        <v>5643.8</v>
      </c>
      <c r="G1874">
        <v>2020</v>
      </c>
      <c r="H1874" s="116"/>
      <c r="I1874" s="116"/>
      <c r="L1874" s="170">
        <v>45392</v>
      </c>
      <c r="M1874" s="116">
        <v>5647.85</v>
      </c>
      <c r="N1874" s="116">
        <v>5666</v>
      </c>
      <c r="O1874" s="116">
        <v>5603.85</v>
      </c>
      <c r="P1874" s="116">
        <v>5641</v>
      </c>
      <c r="Q1874" s="116">
        <v>5647.85</v>
      </c>
      <c r="R1874">
        <v>77138</v>
      </c>
    </row>
    <row r="1875" spans="1:18" x14ac:dyDescent="0.25">
      <c r="A1875" s="170">
        <v>45394</v>
      </c>
      <c r="B1875" s="116">
        <v>5754.15</v>
      </c>
      <c r="C1875" s="116">
        <v>5645.3</v>
      </c>
      <c r="D1875" s="116">
        <v>5632.95</v>
      </c>
      <c r="E1875" s="116">
        <v>5650</v>
      </c>
      <c r="F1875" s="116">
        <v>5645.3</v>
      </c>
      <c r="G1875">
        <v>4031</v>
      </c>
      <c r="H1875" s="116"/>
      <c r="I1875" s="116"/>
      <c r="L1875" s="170">
        <v>45394</v>
      </c>
      <c r="M1875" s="116">
        <v>5650.85</v>
      </c>
      <c r="N1875" s="116">
        <v>5756.85</v>
      </c>
      <c r="O1875" s="116">
        <v>5635.05</v>
      </c>
      <c r="P1875" s="116">
        <v>5647.85</v>
      </c>
      <c r="Q1875" s="116">
        <v>5650.85</v>
      </c>
      <c r="R1875">
        <v>109274</v>
      </c>
    </row>
    <row r="1876" spans="1:18" x14ac:dyDescent="0.25">
      <c r="A1876" s="170">
        <v>45397</v>
      </c>
      <c r="B1876" s="116">
        <v>5607.95</v>
      </c>
      <c r="C1876" s="116">
        <v>5451.65</v>
      </c>
      <c r="D1876" s="116">
        <v>5205.05</v>
      </c>
      <c r="E1876" s="116">
        <v>5205.05</v>
      </c>
      <c r="F1876" s="116">
        <v>5451.65</v>
      </c>
      <c r="G1876">
        <v>3672</v>
      </c>
      <c r="H1876" s="116"/>
      <c r="I1876" s="116"/>
      <c r="L1876" s="170">
        <v>45397</v>
      </c>
      <c r="M1876" s="116">
        <v>5462.55</v>
      </c>
      <c r="N1876" s="116">
        <v>5608.9</v>
      </c>
      <c r="O1876" s="116">
        <v>5445</v>
      </c>
      <c r="P1876" s="116">
        <v>5550</v>
      </c>
      <c r="Q1876" s="116">
        <v>5462.55</v>
      </c>
      <c r="R1876">
        <v>91658</v>
      </c>
    </row>
    <row r="1877" spans="1:18" x14ac:dyDescent="0.25">
      <c r="A1877" s="170">
        <v>45398</v>
      </c>
      <c r="B1877" s="116">
        <v>5465.15</v>
      </c>
      <c r="C1877" s="116">
        <v>5317.45</v>
      </c>
      <c r="D1877" s="116">
        <v>5310.9</v>
      </c>
      <c r="E1877" s="116">
        <v>5421</v>
      </c>
      <c r="F1877" s="116">
        <v>5317.45</v>
      </c>
      <c r="G1877">
        <v>8640</v>
      </c>
      <c r="H1877" s="116"/>
      <c r="I1877" s="116"/>
      <c r="L1877" s="170">
        <v>45398</v>
      </c>
      <c r="M1877" s="116">
        <v>5316.9</v>
      </c>
      <c r="N1877" s="116">
        <v>5462.1</v>
      </c>
      <c r="O1877" s="116">
        <v>5308.8</v>
      </c>
      <c r="P1877" s="116">
        <v>5420</v>
      </c>
      <c r="Q1877" s="116">
        <v>5316.9</v>
      </c>
      <c r="R1877">
        <v>93179</v>
      </c>
    </row>
    <row r="1878" spans="1:18" x14ac:dyDescent="0.25">
      <c r="A1878" s="170">
        <v>45400</v>
      </c>
      <c r="B1878" s="116">
        <v>5400</v>
      </c>
      <c r="C1878" s="116">
        <v>5276.05</v>
      </c>
      <c r="D1878" s="116">
        <v>5250</v>
      </c>
      <c r="E1878" s="116">
        <v>5357.55</v>
      </c>
      <c r="F1878" s="116">
        <v>5276.05</v>
      </c>
      <c r="G1878">
        <v>12645</v>
      </c>
      <c r="H1878" s="116"/>
      <c r="I1878" s="116"/>
      <c r="L1878" s="170">
        <v>45400</v>
      </c>
      <c r="M1878" s="116">
        <v>5277.6</v>
      </c>
      <c r="N1878" s="116">
        <v>5403.85</v>
      </c>
      <c r="O1878" s="116">
        <v>5251.15</v>
      </c>
      <c r="P1878" s="116">
        <v>5344.7</v>
      </c>
      <c r="Q1878" s="116">
        <v>5277.6</v>
      </c>
      <c r="R1878">
        <v>128283</v>
      </c>
    </row>
    <row r="1879" spans="1:18" x14ac:dyDescent="0.25">
      <c r="A1879" s="170">
        <v>45401</v>
      </c>
      <c r="B1879" s="116">
        <v>5270</v>
      </c>
      <c r="C1879" s="116">
        <v>5234.2</v>
      </c>
      <c r="D1879" s="116">
        <v>5180.3</v>
      </c>
      <c r="E1879" s="116">
        <v>5250.6</v>
      </c>
      <c r="F1879" s="116">
        <v>5234.2</v>
      </c>
      <c r="G1879">
        <v>3207</v>
      </c>
      <c r="H1879" s="116"/>
      <c r="I1879" s="116"/>
      <c r="L1879" s="170">
        <v>45401</v>
      </c>
      <c r="M1879" s="116">
        <v>5232.1000000000004</v>
      </c>
      <c r="N1879" s="116">
        <v>5274.6</v>
      </c>
      <c r="O1879" s="116">
        <v>5180.8999999999996</v>
      </c>
      <c r="P1879" s="116">
        <v>5222.2</v>
      </c>
      <c r="Q1879" s="116">
        <v>5232.1000000000004</v>
      </c>
      <c r="R1879">
        <v>113259</v>
      </c>
    </row>
    <row r="1880" spans="1:18" x14ac:dyDescent="0.25">
      <c r="A1880" s="170">
        <v>45404</v>
      </c>
      <c r="B1880" s="116">
        <v>5281.4</v>
      </c>
      <c r="C1880" s="116">
        <v>5187.05</v>
      </c>
      <c r="D1880" s="116">
        <v>5163.05</v>
      </c>
      <c r="E1880" s="116">
        <v>5230.45</v>
      </c>
      <c r="F1880" s="116">
        <v>5187.05</v>
      </c>
      <c r="G1880">
        <v>7183</v>
      </c>
      <c r="H1880" s="116"/>
      <c r="I1880" s="116"/>
      <c r="L1880" s="170">
        <v>45404</v>
      </c>
      <c r="M1880" s="116">
        <v>5187.45</v>
      </c>
      <c r="N1880" s="116">
        <v>5300</v>
      </c>
      <c r="O1880" s="116">
        <v>5168</v>
      </c>
      <c r="P1880" s="116">
        <v>5242</v>
      </c>
      <c r="Q1880" s="116">
        <v>5187.45</v>
      </c>
      <c r="R1880">
        <v>99184</v>
      </c>
    </row>
    <row r="1881" spans="1:18" x14ac:dyDescent="0.25">
      <c r="A1881" s="170">
        <v>45405</v>
      </c>
      <c r="B1881" s="116">
        <v>5249</v>
      </c>
      <c r="C1881" s="116">
        <v>5209.8500000000004</v>
      </c>
      <c r="D1881" s="116">
        <v>5158.6499999999996</v>
      </c>
      <c r="E1881" s="116">
        <v>5236.3500000000004</v>
      </c>
      <c r="F1881" s="116">
        <v>5209.8500000000004</v>
      </c>
      <c r="G1881">
        <v>2803</v>
      </c>
      <c r="H1881" s="116"/>
      <c r="I1881" s="116"/>
      <c r="L1881" s="170">
        <v>45405</v>
      </c>
      <c r="M1881" s="116">
        <v>5215.8999999999996</v>
      </c>
      <c r="N1881" s="116">
        <v>5250</v>
      </c>
      <c r="O1881" s="116">
        <v>5153.2</v>
      </c>
      <c r="P1881" s="116">
        <v>5223</v>
      </c>
      <c r="Q1881" s="116">
        <v>5215.8999999999996</v>
      </c>
      <c r="R1881">
        <v>125963</v>
      </c>
    </row>
    <row r="1882" spans="1:18" x14ac:dyDescent="0.25">
      <c r="A1882" s="170">
        <v>45406</v>
      </c>
      <c r="B1882" s="116">
        <v>5273.45</v>
      </c>
      <c r="C1882" s="116">
        <v>5231.8500000000004</v>
      </c>
      <c r="D1882" s="116">
        <v>5195</v>
      </c>
      <c r="E1882" s="116">
        <v>5254.65</v>
      </c>
      <c r="F1882" s="116">
        <v>5231.8500000000004</v>
      </c>
      <c r="G1882">
        <v>3510</v>
      </c>
      <c r="H1882" s="116"/>
      <c r="I1882" s="116"/>
      <c r="L1882" s="170">
        <v>45406</v>
      </c>
      <c r="M1882" s="116">
        <v>5245.2</v>
      </c>
      <c r="N1882" s="116">
        <v>5271.85</v>
      </c>
      <c r="O1882" s="116">
        <v>5190.75</v>
      </c>
      <c r="P1882" s="116">
        <v>5254</v>
      </c>
      <c r="Q1882" s="116">
        <v>5245.2</v>
      </c>
      <c r="R1882">
        <v>131415</v>
      </c>
    </row>
    <row r="1883" spans="1:18" x14ac:dyDescent="0.25">
      <c r="A1883" s="170">
        <v>45407</v>
      </c>
      <c r="B1883" s="116">
        <v>5245</v>
      </c>
      <c r="C1883" s="116">
        <v>5180.95</v>
      </c>
      <c r="D1883" s="116">
        <v>5090.95</v>
      </c>
      <c r="E1883" s="116">
        <v>5245</v>
      </c>
      <c r="F1883" s="116">
        <v>5180.95</v>
      </c>
      <c r="G1883">
        <v>3990</v>
      </c>
      <c r="H1883" s="116"/>
      <c r="I1883" s="116"/>
      <c r="L1883" s="170">
        <v>45407</v>
      </c>
      <c r="M1883" s="116">
        <v>5182.8500000000004</v>
      </c>
      <c r="N1883" s="116">
        <v>5240.6000000000004</v>
      </c>
      <c r="O1883" s="116">
        <v>5091.05</v>
      </c>
      <c r="P1883" s="116">
        <v>5223.3</v>
      </c>
      <c r="Q1883" s="116">
        <v>5182.8500000000004</v>
      </c>
      <c r="R1883">
        <v>202131</v>
      </c>
    </row>
    <row r="1884" spans="1:18" x14ac:dyDescent="0.25">
      <c r="A1884" s="170">
        <v>45408</v>
      </c>
      <c r="B1884" s="116">
        <v>4935</v>
      </c>
      <c r="C1884" s="116">
        <v>4777.7</v>
      </c>
      <c r="D1884" s="116">
        <v>4689.5</v>
      </c>
      <c r="E1884" s="116">
        <v>4935</v>
      </c>
      <c r="F1884" s="116">
        <v>4777.7</v>
      </c>
      <c r="G1884">
        <v>56959</v>
      </c>
      <c r="H1884" s="116"/>
      <c r="I1884" s="116"/>
      <c r="L1884" s="170">
        <v>45408</v>
      </c>
      <c r="M1884" s="116">
        <v>4778.1000000000004</v>
      </c>
      <c r="N1884" s="116">
        <v>4958.6499999999996</v>
      </c>
      <c r="O1884" s="116">
        <v>4690</v>
      </c>
      <c r="P1884" s="116">
        <v>4901</v>
      </c>
      <c r="Q1884" s="116">
        <v>4778.1000000000004</v>
      </c>
      <c r="R1884">
        <v>1706962</v>
      </c>
    </row>
    <row r="1885" spans="1:18" x14ac:dyDescent="0.25">
      <c r="A1885" s="170">
        <v>45411</v>
      </c>
      <c r="B1885" s="116">
        <v>4849.3</v>
      </c>
      <c r="C1885" s="116">
        <v>4713.7</v>
      </c>
      <c r="D1885" s="116">
        <v>4675.75</v>
      </c>
      <c r="E1885" s="116">
        <v>4849.3</v>
      </c>
      <c r="F1885" s="116">
        <v>4713.7</v>
      </c>
      <c r="G1885">
        <v>11152</v>
      </c>
      <c r="H1885" s="116"/>
      <c r="I1885" s="116"/>
      <c r="L1885" s="170">
        <v>45411</v>
      </c>
      <c r="M1885" s="116">
        <v>4714.45</v>
      </c>
      <c r="N1885" s="116">
        <v>4830</v>
      </c>
      <c r="O1885" s="116">
        <v>4675</v>
      </c>
      <c r="P1885" s="116">
        <v>4825</v>
      </c>
      <c r="Q1885" s="116">
        <v>4714.45</v>
      </c>
      <c r="R1885">
        <v>449361</v>
      </c>
    </row>
    <row r="1886" spans="1:18" x14ac:dyDescent="0.25">
      <c r="A1886" s="170">
        <v>45412</v>
      </c>
      <c r="B1886" s="116">
        <v>4739.5</v>
      </c>
      <c r="C1886" s="116">
        <v>4638</v>
      </c>
      <c r="D1886" s="116">
        <v>4621.8999999999996</v>
      </c>
      <c r="E1886" s="116">
        <v>4715</v>
      </c>
      <c r="F1886" s="116">
        <v>4638</v>
      </c>
      <c r="G1886">
        <v>11315</v>
      </c>
      <c r="H1886" s="116"/>
      <c r="I1886" s="116"/>
      <c r="L1886" s="170">
        <v>45412</v>
      </c>
      <c r="M1886" s="116">
        <v>4640.1499999999996</v>
      </c>
      <c r="N1886" s="116">
        <v>4737.45</v>
      </c>
      <c r="O1886" s="116">
        <v>4625</v>
      </c>
      <c r="P1886" s="116">
        <v>4717</v>
      </c>
      <c r="Q1886" s="116">
        <v>4640.1499999999996</v>
      </c>
      <c r="R1886">
        <v>275055</v>
      </c>
    </row>
    <row r="1887" spans="1:18" x14ac:dyDescent="0.25">
      <c r="A1887" s="170">
        <v>45414</v>
      </c>
      <c r="B1887" s="116">
        <v>4656</v>
      </c>
      <c r="C1887" s="116">
        <v>4624.55</v>
      </c>
      <c r="D1887" s="116">
        <v>4613</v>
      </c>
      <c r="E1887" s="116">
        <v>4646.25</v>
      </c>
      <c r="F1887" s="116">
        <v>4624.55</v>
      </c>
      <c r="G1887">
        <v>10464</v>
      </c>
      <c r="H1887" s="116"/>
      <c r="I1887" s="116"/>
      <c r="L1887" s="170">
        <v>45414</v>
      </c>
      <c r="M1887" s="116">
        <v>4623.6499999999996</v>
      </c>
      <c r="N1887" s="116">
        <v>4660</v>
      </c>
      <c r="O1887" s="116">
        <v>4611.6499999999996</v>
      </c>
      <c r="P1887" s="116">
        <v>4650.95</v>
      </c>
      <c r="Q1887" s="116">
        <v>4623.6499999999996</v>
      </c>
      <c r="R1887">
        <v>205486</v>
      </c>
    </row>
    <row r="1888" spans="1:18" x14ac:dyDescent="0.25">
      <c r="A1888" s="170">
        <v>45415</v>
      </c>
      <c r="B1888" s="116">
        <v>4660.8500000000004</v>
      </c>
      <c r="C1888" s="116">
        <v>4572.1000000000004</v>
      </c>
      <c r="D1888" s="116">
        <v>4551.25</v>
      </c>
      <c r="E1888" s="116">
        <v>4636.8500000000004</v>
      </c>
      <c r="F1888" s="116">
        <v>4572.1000000000004</v>
      </c>
      <c r="G1888">
        <v>18314</v>
      </c>
      <c r="H1888" s="116"/>
      <c r="I1888" s="116"/>
      <c r="L1888" s="170">
        <v>45415</v>
      </c>
      <c r="M1888" s="116">
        <v>4574</v>
      </c>
      <c r="N1888" s="116">
        <v>4664.5</v>
      </c>
      <c r="O1888" s="116">
        <v>4550.1000000000004</v>
      </c>
      <c r="P1888" s="116">
        <v>4649.95</v>
      </c>
      <c r="Q1888" s="116">
        <v>4574</v>
      </c>
      <c r="R1888">
        <v>183349</v>
      </c>
    </row>
    <row r="1889" spans="1:18" x14ac:dyDescent="0.25">
      <c r="A1889" s="170">
        <v>45418</v>
      </c>
      <c r="B1889" s="116">
        <v>4612.75</v>
      </c>
      <c r="C1889" s="116">
        <v>4496.6000000000004</v>
      </c>
      <c r="D1889" s="116">
        <v>4489.1000000000004</v>
      </c>
      <c r="E1889" s="116">
        <v>4575.05</v>
      </c>
      <c r="F1889" s="116">
        <v>4496.6000000000004</v>
      </c>
      <c r="G1889">
        <v>8863</v>
      </c>
      <c r="H1889" s="116"/>
      <c r="I1889" s="116"/>
      <c r="L1889" s="170">
        <v>45418</v>
      </c>
      <c r="M1889" s="116">
        <v>4498.6000000000004</v>
      </c>
      <c r="N1889" s="116">
        <v>4619.05</v>
      </c>
      <c r="O1889" s="116">
        <v>4488.3</v>
      </c>
      <c r="P1889" s="116">
        <v>4600</v>
      </c>
      <c r="Q1889" s="116">
        <v>4498.6000000000004</v>
      </c>
      <c r="R1889">
        <v>182229</v>
      </c>
    </row>
    <row r="1890" spans="1:18" x14ac:dyDescent="0.25">
      <c r="A1890" s="170">
        <v>45419</v>
      </c>
      <c r="B1890" s="116">
        <v>4559.3500000000004</v>
      </c>
      <c r="C1890" s="116">
        <v>4502.1499999999996</v>
      </c>
      <c r="D1890" s="116">
        <v>4449.1000000000004</v>
      </c>
      <c r="E1890" s="116">
        <v>4550</v>
      </c>
      <c r="F1890" s="116">
        <v>4502.1499999999996</v>
      </c>
      <c r="G1890">
        <v>6847</v>
      </c>
      <c r="H1890" s="116"/>
      <c r="I1890" s="116"/>
      <c r="L1890" s="170">
        <v>45419</v>
      </c>
      <c r="M1890" s="116">
        <v>4504.8999999999996</v>
      </c>
      <c r="N1890" s="116">
        <v>4563.3</v>
      </c>
      <c r="O1890" s="116">
        <v>4447</v>
      </c>
      <c r="P1890" s="116">
        <v>4550</v>
      </c>
      <c r="Q1890" s="116">
        <v>4504.8999999999996</v>
      </c>
      <c r="R1890">
        <v>355333</v>
      </c>
    </row>
    <row r="1891" spans="1:18" x14ac:dyDescent="0.25">
      <c r="A1891" s="170">
        <v>45420</v>
      </c>
      <c r="B1891" s="116">
        <v>4536.6499999999996</v>
      </c>
      <c r="C1891" s="116">
        <v>4500.45</v>
      </c>
      <c r="D1891" s="116">
        <v>4462.1000000000004</v>
      </c>
      <c r="E1891" s="116">
        <v>4505.1499999999996</v>
      </c>
      <c r="F1891" s="116">
        <v>4500.45</v>
      </c>
      <c r="G1891">
        <v>5249</v>
      </c>
      <c r="H1891" s="116"/>
      <c r="I1891" s="116"/>
      <c r="L1891" s="170">
        <v>45420</v>
      </c>
      <c r="M1891" s="116">
        <v>4500.3999999999996</v>
      </c>
      <c r="N1891" s="116">
        <v>4539.8999999999996</v>
      </c>
      <c r="O1891" s="116">
        <v>4458.05</v>
      </c>
      <c r="P1891" s="116">
        <v>4509.7</v>
      </c>
      <c r="Q1891" s="116">
        <v>4500.3999999999996</v>
      </c>
      <c r="R1891">
        <v>207869</v>
      </c>
    </row>
    <row r="1892" spans="1:18" x14ac:dyDescent="0.25">
      <c r="A1892" s="170">
        <v>45421</v>
      </c>
      <c r="B1892" s="116">
        <v>4515</v>
      </c>
      <c r="C1892" s="116">
        <v>4401.8999999999996</v>
      </c>
      <c r="D1892" s="116">
        <v>4386</v>
      </c>
      <c r="E1892" s="116">
        <v>4499.95</v>
      </c>
      <c r="F1892" s="116">
        <v>4401.8999999999996</v>
      </c>
      <c r="G1892">
        <v>12930</v>
      </c>
      <c r="H1892" s="116"/>
      <c r="I1892" s="116"/>
      <c r="L1892" s="170">
        <v>45421</v>
      </c>
      <c r="M1892" s="116">
        <v>4401.8999999999996</v>
      </c>
      <c r="N1892" s="116">
        <v>4516</v>
      </c>
      <c r="O1892" s="116">
        <v>4384.3</v>
      </c>
      <c r="P1892" s="116">
        <v>4485</v>
      </c>
      <c r="Q1892" s="116">
        <v>4401.8999999999996</v>
      </c>
      <c r="R1892">
        <v>167708</v>
      </c>
    </row>
    <row r="1893" spans="1:18" x14ac:dyDescent="0.25">
      <c r="A1893" s="170">
        <v>45422</v>
      </c>
      <c r="B1893" s="116">
        <v>4425.2</v>
      </c>
      <c r="C1893" s="116">
        <v>4360.8999999999996</v>
      </c>
      <c r="D1893" s="116">
        <v>4340</v>
      </c>
      <c r="E1893" s="116">
        <v>4394.45</v>
      </c>
      <c r="F1893" s="116">
        <v>4360.8999999999996</v>
      </c>
      <c r="G1893">
        <v>11987</v>
      </c>
      <c r="H1893" s="116"/>
      <c r="I1893" s="116"/>
      <c r="L1893" s="170">
        <v>45422</v>
      </c>
      <c r="M1893" s="116">
        <v>4359</v>
      </c>
      <c r="N1893" s="116">
        <v>4426.3999999999996</v>
      </c>
      <c r="O1893" s="116">
        <v>4337.75</v>
      </c>
      <c r="P1893" s="116">
        <v>4390</v>
      </c>
      <c r="Q1893" s="116">
        <v>4359</v>
      </c>
      <c r="R1893">
        <v>114994</v>
      </c>
    </row>
    <row r="1894" spans="1:18" x14ac:dyDescent="0.25">
      <c r="A1894" s="170">
        <v>45425</v>
      </c>
      <c r="B1894" s="116">
        <v>4425.1499999999996</v>
      </c>
      <c r="C1894" s="116">
        <v>4413.3500000000004</v>
      </c>
      <c r="D1894" s="116">
        <v>4321.05</v>
      </c>
      <c r="E1894" s="116">
        <v>4371.55</v>
      </c>
      <c r="F1894" s="116">
        <v>4413.3500000000004</v>
      </c>
      <c r="G1894">
        <v>12304</v>
      </c>
      <c r="H1894" s="116"/>
      <c r="I1894" s="116"/>
      <c r="L1894" s="170">
        <v>45425</v>
      </c>
      <c r="M1894" s="116">
        <v>4413.8</v>
      </c>
      <c r="N1894" s="116">
        <v>4430</v>
      </c>
      <c r="O1894" s="116">
        <v>4320.2</v>
      </c>
      <c r="P1894" s="116">
        <v>4359</v>
      </c>
      <c r="Q1894" s="116">
        <v>4413.8</v>
      </c>
      <c r="R1894">
        <v>99060</v>
      </c>
    </row>
    <row r="1895" spans="1:18" x14ac:dyDescent="0.25">
      <c r="A1895" s="170">
        <v>45426</v>
      </c>
      <c r="B1895" s="116">
        <v>4496</v>
      </c>
      <c r="C1895" s="116">
        <v>4481.8500000000004</v>
      </c>
      <c r="D1895" s="116">
        <v>4405</v>
      </c>
      <c r="E1895" s="116">
        <v>4451</v>
      </c>
      <c r="F1895" s="116">
        <v>4481.8500000000004</v>
      </c>
      <c r="G1895">
        <v>4519</v>
      </c>
      <c r="H1895" s="116"/>
      <c r="I1895" s="116"/>
      <c r="L1895" s="170">
        <v>45426</v>
      </c>
      <c r="M1895" s="116">
        <v>4481.2</v>
      </c>
      <c r="N1895" s="116">
        <v>4498</v>
      </c>
      <c r="O1895" s="116">
        <v>4405</v>
      </c>
      <c r="P1895" s="116">
        <v>4448</v>
      </c>
      <c r="Q1895" s="116">
        <v>4481.2</v>
      </c>
      <c r="R1895">
        <v>101922</v>
      </c>
    </row>
    <row r="1896" spans="1:18" x14ac:dyDescent="0.25">
      <c r="A1896" s="170">
        <v>45427</v>
      </c>
      <c r="B1896" s="116">
        <v>4542</v>
      </c>
      <c r="C1896" s="116">
        <v>4455.1499999999996</v>
      </c>
      <c r="D1896" s="116">
        <v>4440</v>
      </c>
      <c r="E1896" s="116">
        <v>4490</v>
      </c>
      <c r="F1896" s="116">
        <v>4455.1499999999996</v>
      </c>
      <c r="G1896">
        <v>10126</v>
      </c>
      <c r="H1896" s="116"/>
      <c r="I1896" s="116"/>
      <c r="L1896" s="170">
        <v>45427</v>
      </c>
      <c r="M1896" s="116">
        <v>4456.6499999999996</v>
      </c>
      <c r="N1896" s="116">
        <v>4543.55</v>
      </c>
      <c r="O1896" s="116">
        <v>4436.55</v>
      </c>
      <c r="P1896" s="116">
        <v>4482.05</v>
      </c>
      <c r="Q1896" s="116">
        <v>4456.6499999999996</v>
      </c>
      <c r="R1896">
        <v>114696</v>
      </c>
    </row>
    <row r="1897" spans="1:18" x14ac:dyDescent="0.25">
      <c r="A1897" s="170">
        <v>45428</v>
      </c>
      <c r="B1897" s="116">
        <v>4569.3</v>
      </c>
      <c r="C1897" s="116">
        <v>4509.3</v>
      </c>
      <c r="D1897" s="116">
        <v>4475.05</v>
      </c>
      <c r="E1897" s="116">
        <v>4475.05</v>
      </c>
      <c r="F1897" s="116">
        <v>4509.3</v>
      </c>
      <c r="G1897">
        <v>7120</v>
      </c>
      <c r="H1897" s="116"/>
      <c r="I1897" s="116"/>
      <c r="L1897" s="170">
        <v>45428</v>
      </c>
      <c r="M1897" s="116">
        <v>4507.55</v>
      </c>
      <c r="N1897" s="116">
        <v>4566.55</v>
      </c>
      <c r="O1897" s="116">
        <v>4475</v>
      </c>
      <c r="P1897" s="116">
        <v>4500</v>
      </c>
      <c r="Q1897" s="116">
        <v>4507.55</v>
      </c>
      <c r="R1897">
        <v>252819</v>
      </c>
    </row>
    <row r="1898" spans="1:18" x14ac:dyDescent="0.25">
      <c r="A1898" s="170">
        <v>45429</v>
      </c>
      <c r="B1898" s="116">
        <v>4548.95</v>
      </c>
      <c r="C1898" s="116">
        <v>4455.75</v>
      </c>
      <c r="D1898" s="116">
        <v>4445.3</v>
      </c>
      <c r="E1898" s="116">
        <v>4534.6000000000004</v>
      </c>
      <c r="F1898" s="116">
        <v>4455.75</v>
      </c>
      <c r="G1898">
        <v>17735</v>
      </c>
      <c r="H1898" s="116"/>
      <c r="I1898" s="116"/>
      <c r="L1898" s="170">
        <v>45429</v>
      </c>
      <c r="M1898" s="116">
        <v>4454.5</v>
      </c>
      <c r="N1898" s="116">
        <v>4547.8999999999996</v>
      </c>
      <c r="O1898" s="116">
        <v>4447.6000000000004</v>
      </c>
      <c r="P1898" s="116">
        <v>4530</v>
      </c>
      <c r="Q1898" s="116">
        <v>4454.5</v>
      </c>
      <c r="R1898">
        <v>204439</v>
      </c>
    </row>
    <row r="1899" spans="1:18" x14ac:dyDescent="0.25">
      <c r="A1899" s="170">
        <v>45430</v>
      </c>
      <c r="B1899" s="116">
        <v>4482.45</v>
      </c>
      <c r="C1899" s="116">
        <v>4452.45</v>
      </c>
      <c r="D1899" s="116">
        <v>4415.1000000000004</v>
      </c>
      <c r="E1899" s="116">
        <v>4482.45</v>
      </c>
      <c r="F1899" s="116">
        <v>4452.45</v>
      </c>
      <c r="G1899">
        <v>3167</v>
      </c>
      <c r="H1899" s="116"/>
      <c r="I1899" s="116"/>
      <c r="L1899" s="170">
        <v>45430</v>
      </c>
      <c r="M1899" s="116">
        <v>4464.05</v>
      </c>
      <c r="N1899" s="116">
        <v>4497.8999999999996</v>
      </c>
      <c r="O1899" s="116">
        <v>4440.1000000000004</v>
      </c>
      <c r="P1899" s="116">
        <v>4470</v>
      </c>
      <c r="Q1899" s="116">
        <v>4464.05</v>
      </c>
      <c r="R1899">
        <v>15981</v>
      </c>
    </row>
    <row r="1900" spans="1:18" x14ac:dyDescent="0.25">
      <c r="A1900" s="170">
        <v>45433</v>
      </c>
      <c r="B1900" s="116">
        <v>4499.55</v>
      </c>
      <c r="C1900" s="116">
        <v>4483.8500000000004</v>
      </c>
      <c r="D1900" s="116">
        <v>4425</v>
      </c>
      <c r="E1900" s="116">
        <v>4480</v>
      </c>
      <c r="F1900" s="116">
        <v>4483.8500000000004</v>
      </c>
      <c r="G1900">
        <v>4050</v>
      </c>
      <c r="H1900" s="116"/>
      <c r="I1900" s="116"/>
      <c r="L1900" s="170">
        <v>45433</v>
      </c>
      <c r="M1900" s="116">
        <v>4482.8500000000004</v>
      </c>
      <c r="N1900" s="116">
        <v>4499</v>
      </c>
      <c r="O1900" s="116">
        <v>4425.05</v>
      </c>
      <c r="P1900" s="116">
        <v>4469</v>
      </c>
      <c r="Q1900" s="116">
        <v>4482.8500000000004</v>
      </c>
      <c r="R1900">
        <v>104737</v>
      </c>
    </row>
    <row r="1901" spans="1:18" x14ac:dyDescent="0.25">
      <c r="A1901" s="170">
        <v>45434</v>
      </c>
      <c r="B1901" s="116">
        <v>4635</v>
      </c>
      <c r="C1901" s="116">
        <v>4590.1499999999996</v>
      </c>
      <c r="D1901" s="116">
        <v>4483.8500000000004</v>
      </c>
      <c r="E1901" s="116">
        <v>4494.95</v>
      </c>
      <c r="F1901" s="116">
        <v>4590.1499999999996</v>
      </c>
      <c r="G1901">
        <v>27056</v>
      </c>
      <c r="H1901" s="116"/>
      <c r="I1901" s="116"/>
      <c r="L1901" s="170">
        <v>45434</v>
      </c>
      <c r="M1901" s="116">
        <v>4588.1499999999996</v>
      </c>
      <c r="N1901" s="116">
        <v>4635.6499999999996</v>
      </c>
      <c r="O1901" s="116">
        <v>4475.25</v>
      </c>
      <c r="P1901" s="116">
        <v>4485</v>
      </c>
      <c r="Q1901" s="116">
        <v>4588.1499999999996</v>
      </c>
      <c r="R1901">
        <v>408737</v>
      </c>
    </row>
    <row r="1902" spans="1:18" x14ac:dyDescent="0.25">
      <c r="A1902" s="170">
        <v>45435</v>
      </c>
      <c r="B1902" s="116">
        <v>4639.1499999999996</v>
      </c>
      <c r="C1902" s="116">
        <v>4616.1000000000004</v>
      </c>
      <c r="D1902" s="116">
        <v>4563.75</v>
      </c>
      <c r="E1902" s="116">
        <v>4629.8500000000004</v>
      </c>
      <c r="F1902" s="116">
        <v>4616.1000000000004</v>
      </c>
      <c r="G1902">
        <v>17991</v>
      </c>
      <c r="H1902" s="116"/>
      <c r="I1902" s="116"/>
      <c r="L1902" s="170">
        <v>45435</v>
      </c>
      <c r="M1902" s="116">
        <v>4617.6499999999996</v>
      </c>
      <c r="N1902" s="116">
        <v>4640</v>
      </c>
      <c r="O1902" s="116">
        <v>4560</v>
      </c>
      <c r="P1902" s="116">
        <v>4599.95</v>
      </c>
      <c r="Q1902" s="116">
        <v>4617.6499999999996</v>
      </c>
      <c r="R1902">
        <v>201136</v>
      </c>
    </row>
    <row r="1903" spans="1:18" x14ac:dyDescent="0.25">
      <c r="A1903" s="170">
        <v>45436</v>
      </c>
      <c r="B1903" s="116">
        <v>4639.8500000000004</v>
      </c>
      <c r="C1903" s="116">
        <v>4590.5</v>
      </c>
      <c r="D1903" s="116">
        <v>4558.55</v>
      </c>
      <c r="E1903" s="116">
        <v>4608.1499999999996</v>
      </c>
      <c r="F1903" s="116">
        <v>4590.5</v>
      </c>
      <c r="G1903">
        <v>4297</v>
      </c>
      <c r="H1903" s="116"/>
      <c r="I1903" s="116"/>
      <c r="L1903" s="170">
        <v>45436</v>
      </c>
      <c r="M1903" s="116">
        <v>4589.8</v>
      </c>
      <c r="N1903" s="116">
        <v>4639.8999999999996</v>
      </c>
      <c r="O1903" s="116">
        <v>4557.8999999999996</v>
      </c>
      <c r="P1903" s="116">
        <v>4639.8999999999996</v>
      </c>
      <c r="Q1903" s="116">
        <v>4589.8</v>
      </c>
      <c r="R1903">
        <v>160664</v>
      </c>
    </row>
    <row r="1904" spans="1:18" x14ac:dyDescent="0.25">
      <c r="A1904" s="170">
        <v>45439</v>
      </c>
      <c r="B1904" s="116">
        <v>4632.8</v>
      </c>
      <c r="C1904" s="116">
        <v>4600.3</v>
      </c>
      <c r="D1904" s="116">
        <v>4575</v>
      </c>
      <c r="E1904" s="116">
        <v>4596</v>
      </c>
      <c r="F1904" s="116">
        <v>4600.3</v>
      </c>
      <c r="G1904">
        <v>19528</v>
      </c>
      <c r="H1904" s="116"/>
      <c r="I1904" s="116"/>
      <c r="L1904" s="170">
        <v>45439</v>
      </c>
      <c r="M1904" s="116">
        <v>4602.25</v>
      </c>
      <c r="N1904" s="116">
        <v>4635</v>
      </c>
      <c r="O1904" s="116">
        <v>4574.1499999999996</v>
      </c>
      <c r="P1904" s="116">
        <v>4593.1000000000004</v>
      </c>
      <c r="Q1904" s="116">
        <v>4602.25</v>
      </c>
      <c r="R1904">
        <v>240994</v>
      </c>
    </row>
    <row r="1905" spans="1:18" x14ac:dyDescent="0.25">
      <c r="A1905" s="170">
        <v>45440</v>
      </c>
      <c r="B1905" s="116">
        <v>4686</v>
      </c>
      <c r="C1905" s="116">
        <v>4642.1499999999996</v>
      </c>
      <c r="D1905" s="116">
        <v>4592.8999999999996</v>
      </c>
      <c r="E1905" s="116">
        <v>4645.25</v>
      </c>
      <c r="F1905" s="116">
        <v>4642.1499999999996</v>
      </c>
      <c r="G1905">
        <v>4972</v>
      </c>
      <c r="H1905" s="116"/>
      <c r="I1905" s="116"/>
      <c r="L1905" s="170">
        <v>45440</v>
      </c>
      <c r="M1905" s="116">
        <v>4640.95</v>
      </c>
      <c r="N1905" s="116">
        <v>4686.55</v>
      </c>
      <c r="O1905" s="116">
        <v>4592.25</v>
      </c>
      <c r="P1905" s="116">
        <v>4629</v>
      </c>
      <c r="Q1905" s="116">
        <v>4640.95</v>
      </c>
      <c r="R1905">
        <v>270304</v>
      </c>
    </row>
    <row r="1906" spans="1:18" x14ac:dyDescent="0.25">
      <c r="A1906" s="170">
        <v>45441</v>
      </c>
      <c r="B1906" s="116">
        <v>4697.6000000000004</v>
      </c>
      <c r="C1906" s="116">
        <v>4665.3</v>
      </c>
      <c r="D1906" s="116">
        <v>4599.8500000000004</v>
      </c>
      <c r="E1906" s="116">
        <v>4655</v>
      </c>
      <c r="F1906" s="116">
        <v>4665.3</v>
      </c>
      <c r="G1906">
        <v>16490</v>
      </c>
      <c r="H1906" s="116"/>
      <c r="I1906" s="116"/>
      <c r="L1906" s="170">
        <v>45441</v>
      </c>
      <c r="M1906" s="116">
        <v>4668.1499999999996</v>
      </c>
      <c r="N1906" s="116">
        <v>4699</v>
      </c>
      <c r="O1906" s="116">
        <v>4599</v>
      </c>
      <c r="P1906" s="116">
        <v>4640</v>
      </c>
      <c r="Q1906" s="116">
        <v>4668.1499999999996</v>
      </c>
      <c r="R1906">
        <v>268651</v>
      </c>
    </row>
    <row r="1907" spans="1:18" x14ac:dyDescent="0.25">
      <c r="A1907" s="170">
        <v>45442</v>
      </c>
      <c r="B1907" s="116">
        <v>4654.8999999999996</v>
      </c>
      <c r="C1907" s="116">
        <v>4542.3500000000004</v>
      </c>
      <c r="D1907" s="116">
        <v>4524.8999999999996</v>
      </c>
      <c r="E1907" s="116">
        <v>4643.8999999999996</v>
      </c>
      <c r="F1907" s="116">
        <v>4542.3500000000004</v>
      </c>
      <c r="G1907">
        <v>4886</v>
      </c>
      <c r="H1907" s="116"/>
      <c r="I1907" s="116"/>
      <c r="L1907" s="170">
        <v>45442</v>
      </c>
      <c r="M1907" s="116">
        <v>4549.7</v>
      </c>
      <c r="N1907" s="116">
        <v>4650.8500000000004</v>
      </c>
      <c r="O1907" s="116">
        <v>4519</v>
      </c>
      <c r="P1907" s="116">
        <v>4640</v>
      </c>
      <c r="Q1907" s="116">
        <v>4549.7</v>
      </c>
      <c r="R1907">
        <v>246876</v>
      </c>
    </row>
    <row r="1908" spans="1:18" x14ac:dyDescent="0.25">
      <c r="A1908" s="170">
        <v>45443</v>
      </c>
      <c r="B1908" s="116">
        <v>4588</v>
      </c>
      <c r="C1908" s="116">
        <v>4488.7</v>
      </c>
      <c r="D1908" s="116">
        <v>4435</v>
      </c>
      <c r="E1908" s="116">
        <v>4542.3999999999996</v>
      </c>
      <c r="F1908" s="116">
        <v>4488.7</v>
      </c>
      <c r="G1908">
        <v>6169</v>
      </c>
      <c r="H1908" s="116"/>
      <c r="I1908" s="116"/>
      <c r="L1908" s="170">
        <v>45443</v>
      </c>
      <c r="M1908" s="116">
        <v>4490.8</v>
      </c>
      <c r="N1908" s="116">
        <v>4590</v>
      </c>
      <c r="O1908" s="116">
        <v>4432.1000000000004</v>
      </c>
      <c r="P1908" s="116">
        <v>4553.45</v>
      </c>
      <c r="Q1908" s="116">
        <v>4490.8</v>
      </c>
      <c r="R1908">
        <v>308705</v>
      </c>
    </row>
    <row r="1909" spans="1:18" x14ac:dyDescent="0.25">
      <c r="A1909" s="170">
        <v>45446</v>
      </c>
      <c r="B1909" s="116">
        <v>4629.8999999999996</v>
      </c>
      <c r="C1909" s="116">
        <v>4483.3500000000004</v>
      </c>
      <c r="D1909" s="116">
        <v>4468.1000000000004</v>
      </c>
      <c r="E1909" s="116">
        <v>4629.8999999999996</v>
      </c>
      <c r="F1909" s="116">
        <v>4483.3500000000004</v>
      </c>
      <c r="G1909">
        <v>6066</v>
      </c>
      <c r="H1909" s="116"/>
      <c r="I1909" s="116"/>
      <c r="L1909" s="170">
        <v>45446</v>
      </c>
      <c r="M1909" s="116">
        <v>4481.2</v>
      </c>
      <c r="N1909" s="116">
        <v>4615</v>
      </c>
      <c r="O1909" s="116">
        <v>4467.3999999999996</v>
      </c>
      <c r="P1909" s="116">
        <v>4589</v>
      </c>
      <c r="Q1909" s="116">
        <v>4481.2</v>
      </c>
      <c r="R1909">
        <v>177248</v>
      </c>
    </row>
    <row r="1910" spans="1:18" x14ac:dyDescent="0.25">
      <c r="A1910" s="170">
        <v>45447</v>
      </c>
      <c r="B1910" s="116">
        <v>4519.8</v>
      </c>
      <c r="C1910" s="116">
        <v>4412.75</v>
      </c>
      <c r="D1910" s="116">
        <v>4228</v>
      </c>
      <c r="E1910" s="116">
        <v>4519.8</v>
      </c>
      <c r="F1910" s="116">
        <v>4412.75</v>
      </c>
      <c r="G1910">
        <v>31916</v>
      </c>
      <c r="H1910" s="116"/>
      <c r="I1910" s="116"/>
      <c r="L1910" s="170">
        <v>45447</v>
      </c>
      <c r="M1910" s="116">
        <v>4417.8999999999996</v>
      </c>
      <c r="N1910" s="116">
        <v>4501.05</v>
      </c>
      <c r="O1910" s="116">
        <v>4200</v>
      </c>
      <c r="P1910" s="116">
        <v>4501.05</v>
      </c>
      <c r="Q1910" s="116">
        <v>4417.8999999999996</v>
      </c>
      <c r="R1910">
        <v>435024</v>
      </c>
    </row>
    <row r="1911" spans="1:18" x14ac:dyDescent="0.25">
      <c r="A1911" s="170">
        <v>45448</v>
      </c>
      <c r="B1911" s="116">
        <v>4648.3500000000004</v>
      </c>
      <c r="C1911" s="116">
        <v>4626.8999999999996</v>
      </c>
      <c r="D1911" s="116">
        <v>4400</v>
      </c>
      <c r="E1911" s="116">
        <v>4400</v>
      </c>
      <c r="F1911" s="116">
        <v>4626.8999999999996</v>
      </c>
      <c r="G1911">
        <v>7147</v>
      </c>
      <c r="H1911" s="116"/>
      <c r="I1911" s="116"/>
      <c r="L1911" s="170">
        <v>45448</v>
      </c>
      <c r="M1911" s="116">
        <v>4623.6499999999996</v>
      </c>
      <c r="N1911" s="116">
        <v>4650</v>
      </c>
      <c r="O1911" s="116">
        <v>4422.6499999999996</v>
      </c>
      <c r="P1911" s="116">
        <v>4428</v>
      </c>
      <c r="Q1911" s="116">
        <v>4623.6499999999996</v>
      </c>
      <c r="R1911">
        <v>224946</v>
      </c>
    </row>
    <row r="1912" spans="1:18" x14ac:dyDescent="0.25">
      <c r="A1912" s="170">
        <v>45449</v>
      </c>
      <c r="B1912" s="116">
        <v>4706.6000000000004</v>
      </c>
      <c r="C1912" s="116">
        <v>4683.1000000000004</v>
      </c>
      <c r="D1912" s="116">
        <v>4640.3</v>
      </c>
      <c r="E1912" s="116">
        <v>4700</v>
      </c>
      <c r="F1912" s="116">
        <v>4683.1000000000004</v>
      </c>
      <c r="G1912">
        <v>13922</v>
      </c>
      <c r="H1912" s="116"/>
      <c r="I1912" s="116"/>
      <c r="L1912" s="170">
        <v>45449</v>
      </c>
      <c r="M1912" s="116">
        <v>4682.5</v>
      </c>
      <c r="N1912" s="116">
        <v>4707</v>
      </c>
      <c r="O1912" s="116">
        <v>4641</v>
      </c>
      <c r="P1912" s="116">
        <v>4699</v>
      </c>
      <c r="Q1912" s="116">
        <v>4682.5</v>
      </c>
      <c r="R1912">
        <v>194647</v>
      </c>
    </row>
    <row r="1913" spans="1:18" x14ac:dyDescent="0.25">
      <c r="A1913" s="170">
        <v>45450</v>
      </c>
      <c r="B1913" s="116">
        <v>4875</v>
      </c>
      <c r="C1913" s="116">
        <v>4799.6000000000004</v>
      </c>
      <c r="D1913" s="116">
        <v>4705.95</v>
      </c>
      <c r="E1913" s="116">
        <v>4705.95</v>
      </c>
      <c r="F1913" s="116">
        <v>4799.6000000000004</v>
      </c>
      <c r="G1913">
        <v>41087</v>
      </c>
      <c r="H1913" s="116"/>
      <c r="I1913" s="116"/>
      <c r="L1913" s="170">
        <v>45450</v>
      </c>
      <c r="M1913" s="116">
        <v>4799.8500000000004</v>
      </c>
      <c r="N1913" s="116">
        <v>4874.95</v>
      </c>
      <c r="O1913" s="116">
        <v>4714.95</v>
      </c>
      <c r="P1913" s="116">
        <v>4720</v>
      </c>
      <c r="Q1913" s="116">
        <v>4799.8500000000004</v>
      </c>
      <c r="R1913">
        <v>737767</v>
      </c>
    </row>
    <row r="1914" spans="1:18" x14ac:dyDescent="0.25">
      <c r="A1914" s="170">
        <v>45453</v>
      </c>
      <c r="B1914" s="116">
        <v>4864</v>
      </c>
      <c r="C1914" s="116">
        <v>4793.1000000000004</v>
      </c>
      <c r="D1914" s="116">
        <v>4715</v>
      </c>
      <c r="E1914" s="116">
        <v>4788.2</v>
      </c>
      <c r="F1914" s="116">
        <v>4793.1000000000004</v>
      </c>
      <c r="G1914">
        <v>7702</v>
      </c>
      <c r="H1914" s="116"/>
      <c r="I1914" s="116"/>
      <c r="L1914" s="170">
        <v>45453</v>
      </c>
      <c r="M1914" s="116">
        <v>4799.1499999999996</v>
      </c>
      <c r="N1914" s="116">
        <v>4866</v>
      </c>
      <c r="O1914" s="116">
        <v>4712.05</v>
      </c>
      <c r="P1914" s="116">
        <v>4775</v>
      </c>
      <c r="Q1914" s="116">
        <v>4799.1499999999996</v>
      </c>
      <c r="R1914">
        <v>422379</v>
      </c>
    </row>
    <row r="1915" spans="1:18" x14ac:dyDescent="0.25">
      <c r="A1915" s="170">
        <v>45454</v>
      </c>
      <c r="B1915" s="116">
        <v>4895</v>
      </c>
      <c r="C1915" s="116">
        <v>4874.3</v>
      </c>
      <c r="D1915" s="116">
        <v>4798</v>
      </c>
      <c r="E1915" s="116">
        <v>4802.6000000000004</v>
      </c>
      <c r="F1915" s="116">
        <v>4874.3</v>
      </c>
      <c r="G1915">
        <v>5468</v>
      </c>
      <c r="H1915" s="116"/>
      <c r="I1915" s="116"/>
      <c r="L1915" s="170">
        <v>45454</v>
      </c>
      <c r="M1915" s="116">
        <v>4875.8999999999996</v>
      </c>
      <c r="N1915" s="116">
        <v>4898</v>
      </c>
      <c r="O1915" s="116">
        <v>4793.2</v>
      </c>
      <c r="P1915" s="116">
        <v>4809.95</v>
      </c>
      <c r="Q1915" s="116">
        <v>4875.8999999999996</v>
      </c>
      <c r="R1915">
        <v>207998</v>
      </c>
    </row>
    <row r="1916" spans="1:18" x14ac:dyDescent="0.25">
      <c r="A1916" s="170">
        <v>45455</v>
      </c>
      <c r="B1916" s="116">
        <v>4940</v>
      </c>
      <c r="C1916" s="116">
        <v>4887.45</v>
      </c>
      <c r="D1916" s="116">
        <v>4855</v>
      </c>
      <c r="E1916" s="116">
        <v>4910</v>
      </c>
      <c r="F1916" s="116">
        <v>4887.45</v>
      </c>
      <c r="G1916">
        <v>4943</v>
      </c>
      <c r="H1916" s="116"/>
      <c r="I1916" s="116"/>
      <c r="L1916" s="170">
        <v>45455</v>
      </c>
      <c r="M1916" s="116">
        <v>4886.3999999999996</v>
      </c>
      <c r="N1916" s="116">
        <v>4939</v>
      </c>
      <c r="O1916" s="116">
        <v>4852</v>
      </c>
      <c r="P1916" s="116">
        <v>4935.6499999999996</v>
      </c>
      <c r="Q1916" s="116">
        <v>4886.3999999999996</v>
      </c>
      <c r="R1916">
        <v>207276</v>
      </c>
    </row>
    <row r="1917" spans="1:18" x14ac:dyDescent="0.25">
      <c r="A1917" s="170">
        <v>45456</v>
      </c>
      <c r="B1917" s="116">
        <v>4956</v>
      </c>
      <c r="C1917" s="116">
        <v>4901.75</v>
      </c>
      <c r="D1917" s="116">
        <v>4885</v>
      </c>
      <c r="E1917" s="116">
        <v>4910</v>
      </c>
      <c r="F1917" s="116">
        <v>4901.75</v>
      </c>
      <c r="G1917">
        <v>12599</v>
      </c>
      <c r="H1917" s="116"/>
      <c r="I1917" s="116"/>
      <c r="L1917" s="170">
        <v>45456</v>
      </c>
      <c r="M1917" s="116">
        <v>4905.1000000000004</v>
      </c>
      <c r="N1917" s="116">
        <v>4955.3999999999996</v>
      </c>
      <c r="O1917" s="116">
        <v>4882.95</v>
      </c>
      <c r="P1917" s="116">
        <v>4928.8999999999996</v>
      </c>
      <c r="Q1917" s="116">
        <v>4905.1000000000004</v>
      </c>
      <c r="R1917">
        <v>156208</v>
      </c>
    </row>
    <row r="1918" spans="1:18" x14ac:dyDescent="0.25">
      <c r="A1918" s="170">
        <v>45457</v>
      </c>
      <c r="B1918" s="116">
        <v>4899.95</v>
      </c>
      <c r="C1918" s="116">
        <v>4845.8</v>
      </c>
      <c r="D1918" s="116">
        <v>4831.55</v>
      </c>
      <c r="E1918" s="116">
        <v>4899.95</v>
      </c>
      <c r="F1918" s="116">
        <v>4845.8</v>
      </c>
      <c r="G1918">
        <v>3451</v>
      </c>
      <c r="H1918" s="116"/>
      <c r="I1918" s="116"/>
      <c r="L1918" s="170">
        <v>45457</v>
      </c>
      <c r="M1918" s="116">
        <v>4845.8</v>
      </c>
      <c r="N1918" s="116">
        <v>4897.1000000000004</v>
      </c>
      <c r="O1918" s="116">
        <v>4830.2</v>
      </c>
      <c r="P1918" s="116">
        <v>4893</v>
      </c>
      <c r="Q1918" s="116">
        <v>4845.8</v>
      </c>
      <c r="R1918">
        <v>188153</v>
      </c>
    </row>
    <row r="1919" spans="1:18" x14ac:dyDescent="0.25">
      <c r="A1919" s="170">
        <v>45461</v>
      </c>
      <c r="B1919" s="116">
        <v>4896</v>
      </c>
      <c r="C1919" s="116">
        <v>4862.25</v>
      </c>
      <c r="D1919" s="116">
        <v>4839.5</v>
      </c>
      <c r="E1919" s="116">
        <v>4880</v>
      </c>
      <c r="F1919" s="116">
        <v>4862.25</v>
      </c>
      <c r="G1919">
        <v>8983</v>
      </c>
      <c r="H1919" s="116"/>
      <c r="I1919" s="116"/>
      <c r="L1919" s="170">
        <v>45461</v>
      </c>
      <c r="M1919" s="116">
        <v>4863.25</v>
      </c>
      <c r="N1919" s="116">
        <v>4895</v>
      </c>
      <c r="O1919" s="116">
        <v>4836.2</v>
      </c>
      <c r="P1919" s="116">
        <v>4845.8</v>
      </c>
      <c r="Q1919" s="116">
        <v>4863.25</v>
      </c>
      <c r="R1919">
        <v>102589</v>
      </c>
    </row>
    <row r="1920" spans="1:18" x14ac:dyDescent="0.25">
      <c r="A1920" s="170">
        <v>45462</v>
      </c>
      <c r="B1920" s="116">
        <v>4893.05</v>
      </c>
      <c r="C1920" s="116">
        <v>4866.6499999999996</v>
      </c>
      <c r="D1920" s="116">
        <v>4815.8</v>
      </c>
      <c r="E1920" s="116">
        <v>4885</v>
      </c>
      <c r="F1920" s="116">
        <v>4866.6499999999996</v>
      </c>
      <c r="G1920">
        <v>2847</v>
      </c>
      <c r="H1920" s="116"/>
      <c r="I1920" s="116"/>
      <c r="L1920" s="170">
        <v>45462</v>
      </c>
      <c r="M1920" s="116">
        <v>4864.55</v>
      </c>
      <c r="N1920" s="116">
        <v>4890</v>
      </c>
      <c r="O1920" s="116">
        <v>4815.5</v>
      </c>
      <c r="P1920" s="116">
        <v>4890</v>
      </c>
      <c r="Q1920" s="116">
        <v>4864.55</v>
      </c>
      <c r="R1920">
        <v>99270</v>
      </c>
    </row>
    <row r="1921" spans="1:18" x14ac:dyDescent="0.25">
      <c r="A1921" s="170">
        <v>45463</v>
      </c>
      <c r="B1921" s="116">
        <v>4887.8500000000004</v>
      </c>
      <c r="C1921" s="116">
        <v>4872.25</v>
      </c>
      <c r="D1921" s="116">
        <v>4848.8500000000004</v>
      </c>
      <c r="E1921" s="116">
        <v>4875</v>
      </c>
      <c r="F1921" s="116">
        <v>4872.25</v>
      </c>
      <c r="G1921">
        <v>7681</v>
      </c>
      <c r="H1921" s="116"/>
      <c r="I1921" s="116"/>
      <c r="L1921" s="170">
        <v>45463</v>
      </c>
      <c r="M1921" s="116">
        <v>4874.3500000000004</v>
      </c>
      <c r="N1921" s="116">
        <v>4889.1499999999996</v>
      </c>
      <c r="O1921" s="116">
        <v>4846.6499999999996</v>
      </c>
      <c r="P1921" s="116">
        <v>4889</v>
      </c>
      <c r="Q1921" s="116">
        <v>4874.3500000000004</v>
      </c>
      <c r="R1921">
        <v>85558</v>
      </c>
    </row>
    <row r="1922" spans="1:18" x14ac:dyDescent="0.25">
      <c r="A1922" s="170">
        <v>45464</v>
      </c>
      <c r="B1922" s="116">
        <v>5023.1499999999996</v>
      </c>
      <c r="C1922" s="116">
        <v>4881.95</v>
      </c>
      <c r="D1922" s="116">
        <v>4860.7</v>
      </c>
      <c r="E1922" s="116">
        <v>4900</v>
      </c>
      <c r="F1922" s="116">
        <v>4881.95</v>
      </c>
      <c r="G1922">
        <v>14364</v>
      </c>
      <c r="H1922" s="116"/>
      <c r="I1922" s="116"/>
      <c r="L1922" s="170">
        <v>45464</v>
      </c>
      <c r="M1922" s="116">
        <v>4888.6499999999996</v>
      </c>
      <c r="N1922" s="116">
        <v>5020</v>
      </c>
      <c r="O1922" s="116">
        <v>4861.05</v>
      </c>
      <c r="P1922" s="116">
        <v>4920.1000000000004</v>
      </c>
      <c r="Q1922" s="116">
        <v>4888.6499999999996</v>
      </c>
      <c r="R1922">
        <v>412510</v>
      </c>
    </row>
    <row r="1923" spans="1:18" x14ac:dyDescent="0.25">
      <c r="A1923" s="170">
        <v>45467</v>
      </c>
      <c r="B1923" s="116">
        <v>4878.8999999999996</v>
      </c>
      <c r="C1923" s="116">
        <v>4822.8</v>
      </c>
      <c r="D1923" s="116">
        <v>4805</v>
      </c>
      <c r="E1923" s="116">
        <v>4876.05</v>
      </c>
      <c r="F1923" s="116">
        <v>4822.8</v>
      </c>
      <c r="G1923">
        <v>1963</v>
      </c>
      <c r="H1923" s="116"/>
      <c r="I1923" s="116"/>
      <c r="L1923" s="170">
        <v>45467</v>
      </c>
      <c r="M1923" s="116">
        <v>4824.3</v>
      </c>
      <c r="N1923" s="116">
        <v>4886.8999999999996</v>
      </c>
      <c r="O1923" s="116">
        <v>4800.05</v>
      </c>
      <c r="P1923" s="116">
        <v>4885.5</v>
      </c>
      <c r="Q1923" s="116">
        <v>4824.3</v>
      </c>
      <c r="R1923">
        <v>109072</v>
      </c>
    </row>
    <row r="1924" spans="1:18" x14ac:dyDescent="0.25">
      <c r="A1924" s="170">
        <v>45468</v>
      </c>
      <c r="B1924" s="116">
        <v>4891</v>
      </c>
      <c r="C1924" s="116">
        <v>4833.2</v>
      </c>
      <c r="D1924" s="116">
        <v>4822.2</v>
      </c>
      <c r="E1924" s="116">
        <v>4822.2</v>
      </c>
      <c r="F1924" s="116">
        <v>4833.2</v>
      </c>
      <c r="G1924">
        <v>2727</v>
      </c>
      <c r="H1924" s="116"/>
      <c r="I1924" s="116"/>
      <c r="L1924" s="170">
        <v>45468</v>
      </c>
      <c r="M1924" s="116">
        <v>4834.8500000000004</v>
      </c>
      <c r="N1924" s="116">
        <v>4893.2</v>
      </c>
      <c r="O1924" s="116">
        <v>4827.75</v>
      </c>
      <c r="P1924" s="116">
        <v>4827.75</v>
      </c>
      <c r="Q1924" s="116">
        <v>4834.8500000000004</v>
      </c>
      <c r="R1924">
        <v>93194</v>
      </c>
    </row>
    <row r="1925" spans="1:18" x14ac:dyDescent="0.25">
      <c r="A1925" s="170">
        <v>45469</v>
      </c>
      <c r="B1925" s="116">
        <v>4866</v>
      </c>
      <c r="C1925" s="116">
        <v>4844.5</v>
      </c>
      <c r="D1925" s="116">
        <v>4826.3999999999996</v>
      </c>
      <c r="E1925" s="116">
        <v>4835.1499999999996</v>
      </c>
      <c r="F1925" s="116">
        <v>4844.5</v>
      </c>
      <c r="G1925">
        <v>2124</v>
      </c>
      <c r="H1925" s="116"/>
      <c r="I1925" s="116"/>
      <c r="L1925" s="170">
        <v>45469</v>
      </c>
      <c r="M1925" s="116">
        <v>4845.7</v>
      </c>
      <c r="N1925" s="116">
        <v>4869.95</v>
      </c>
      <c r="O1925" s="116">
        <v>4825</v>
      </c>
      <c r="P1925" s="116">
        <v>4855.8500000000004</v>
      </c>
      <c r="Q1925" s="116">
        <v>4845.7</v>
      </c>
      <c r="R1925">
        <v>142353</v>
      </c>
    </row>
    <row r="1926" spans="1:18" x14ac:dyDescent="0.25">
      <c r="A1926" s="170">
        <v>45470</v>
      </c>
      <c r="B1926" s="116">
        <v>4932.95</v>
      </c>
      <c r="C1926" s="116">
        <v>4892.8999999999996</v>
      </c>
      <c r="D1926" s="116">
        <v>4824</v>
      </c>
      <c r="E1926" s="116">
        <v>4870</v>
      </c>
      <c r="F1926" s="116">
        <v>4892.8999999999996</v>
      </c>
      <c r="G1926">
        <v>4227</v>
      </c>
      <c r="H1926" s="116"/>
      <c r="I1926" s="116"/>
      <c r="L1926" s="170">
        <v>45470</v>
      </c>
      <c r="M1926" s="116">
        <v>4894.55</v>
      </c>
      <c r="N1926" s="116">
        <v>4937.95</v>
      </c>
      <c r="O1926" s="116">
        <v>4824.55</v>
      </c>
      <c r="P1926" s="116">
        <v>4863.95</v>
      </c>
      <c r="Q1926" s="116">
        <v>4894.55</v>
      </c>
      <c r="R1926">
        <v>284254</v>
      </c>
    </row>
    <row r="1927" spans="1:18" x14ac:dyDescent="0.25">
      <c r="A1927" s="170">
        <v>45471</v>
      </c>
      <c r="B1927" s="116">
        <v>4955.95</v>
      </c>
      <c r="C1927" s="116">
        <v>4908.55</v>
      </c>
      <c r="D1927" s="116">
        <v>4891</v>
      </c>
      <c r="E1927" s="116">
        <v>4936.3500000000004</v>
      </c>
      <c r="F1927" s="116">
        <v>4908.55</v>
      </c>
      <c r="G1927">
        <v>2893</v>
      </c>
      <c r="H1927" s="116"/>
      <c r="I1927" s="116"/>
      <c r="L1927" s="170">
        <v>45471</v>
      </c>
      <c r="M1927" s="116">
        <v>4909.05</v>
      </c>
      <c r="N1927" s="116">
        <v>4956.1499999999996</v>
      </c>
      <c r="O1927" s="116">
        <v>4887.05</v>
      </c>
      <c r="P1927" s="116">
        <v>4903</v>
      </c>
      <c r="Q1927" s="116">
        <v>4909.05</v>
      </c>
      <c r="R1927">
        <v>106907</v>
      </c>
    </row>
    <row r="1928" spans="1:18" x14ac:dyDescent="0.25">
      <c r="A1928" s="170">
        <v>45474</v>
      </c>
      <c r="B1928" s="116">
        <v>5055.2</v>
      </c>
      <c r="C1928" s="116">
        <v>5038.3</v>
      </c>
      <c r="D1928" s="116">
        <v>4893.8500000000004</v>
      </c>
      <c r="E1928" s="116">
        <v>4948.6499999999996</v>
      </c>
      <c r="F1928" s="116">
        <v>5038.3</v>
      </c>
      <c r="G1928">
        <v>6039</v>
      </c>
      <c r="H1928" s="116"/>
      <c r="I1928" s="116"/>
      <c r="L1928" s="170">
        <v>45474</v>
      </c>
      <c r="M1928" s="116">
        <v>5041.55</v>
      </c>
      <c r="N1928" s="116">
        <v>5058</v>
      </c>
      <c r="O1928" s="116">
        <v>4892.3500000000004</v>
      </c>
      <c r="P1928" s="116">
        <v>4917.05</v>
      </c>
      <c r="Q1928" s="116">
        <v>5041.55</v>
      </c>
      <c r="R1928">
        <v>292391</v>
      </c>
    </row>
    <row r="1929" spans="1:18" x14ac:dyDescent="0.25">
      <c r="A1929" s="170">
        <v>45475</v>
      </c>
      <c r="B1929" s="116">
        <v>5106.1000000000004</v>
      </c>
      <c r="C1929" s="116">
        <v>5025.55</v>
      </c>
      <c r="D1929" s="116">
        <v>4994.95</v>
      </c>
      <c r="E1929" s="116">
        <v>5084.75</v>
      </c>
      <c r="F1929" s="116">
        <v>5025.55</v>
      </c>
      <c r="G1929">
        <v>2459</v>
      </c>
      <c r="H1929" s="116"/>
      <c r="I1929" s="116"/>
      <c r="L1929" s="170">
        <v>45475</v>
      </c>
      <c r="M1929" s="116">
        <v>5025.25</v>
      </c>
      <c r="N1929" s="116">
        <v>5109.5</v>
      </c>
      <c r="O1929" s="116">
        <v>4992.1000000000004</v>
      </c>
      <c r="P1929" s="116">
        <v>5080</v>
      </c>
      <c r="Q1929" s="116">
        <v>5025.25</v>
      </c>
      <c r="R1929">
        <v>150813</v>
      </c>
    </row>
    <row r="1930" spans="1:18" x14ac:dyDescent="0.25">
      <c r="A1930" s="170">
        <v>45476</v>
      </c>
      <c r="B1930" s="116">
        <v>5060</v>
      </c>
      <c r="C1930" s="116">
        <v>5037.05</v>
      </c>
      <c r="D1930" s="116">
        <v>4986.8</v>
      </c>
      <c r="E1930" s="116">
        <v>5059.95</v>
      </c>
      <c r="F1930" s="116">
        <v>5037.05</v>
      </c>
      <c r="G1930">
        <v>7759</v>
      </c>
      <c r="H1930" s="116"/>
      <c r="I1930" s="116"/>
      <c r="L1930" s="170">
        <v>45476</v>
      </c>
      <c r="M1930" s="116">
        <v>5038.3500000000004</v>
      </c>
      <c r="N1930" s="116">
        <v>5062.95</v>
      </c>
      <c r="O1930" s="116">
        <v>4986.3</v>
      </c>
      <c r="P1930" s="116">
        <v>5031.1000000000004</v>
      </c>
      <c r="Q1930" s="116">
        <v>5038.3500000000004</v>
      </c>
      <c r="R1930">
        <v>86838</v>
      </c>
    </row>
    <row r="1931" spans="1:18" x14ac:dyDescent="0.25">
      <c r="A1931" s="170">
        <v>45477</v>
      </c>
      <c r="B1931" s="116">
        <v>5097.1499999999996</v>
      </c>
      <c r="C1931" s="116">
        <v>5062.6000000000004</v>
      </c>
      <c r="D1931" s="116">
        <v>5050</v>
      </c>
      <c r="E1931" s="116">
        <v>5070</v>
      </c>
      <c r="F1931" s="116">
        <v>5062.6000000000004</v>
      </c>
      <c r="G1931">
        <v>2646</v>
      </c>
      <c r="H1931" s="116"/>
      <c r="I1931" s="116"/>
      <c r="L1931" s="170">
        <v>45477</v>
      </c>
      <c r="M1931" s="116">
        <v>5059.8999999999996</v>
      </c>
      <c r="N1931" s="116">
        <v>5097.8999999999996</v>
      </c>
      <c r="O1931" s="116">
        <v>5045</v>
      </c>
      <c r="P1931" s="116">
        <v>5048</v>
      </c>
      <c r="Q1931" s="116">
        <v>5059.8999999999996</v>
      </c>
      <c r="R1931">
        <v>124256</v>
      </c>
    </row>
    <row r="1932" spans="1:18" x14ac:dyDescent="0.25">
      <c r="A1932" s="170">
        <v>45478</v>
      </c>
      <c r="B1932" s="116">
        <v>5132</v>
      </c>
      <c r="C1932" s="116">
        <v>5121.05</v>
      </c>
      <c r="D1932" s="116">
        <v>5030.6000000000004</v>
      </c>
      <c r="E1932" s="116">
        <v>5045.55</v>
      </c>
      <c r="F1932" s="116">
        <v>5121.05</v>
      </c>
      <c r="G1932">
        <v>10471</v>
      </c>
      <c r="H1932" s="116"/>
      <c r="I1932" s="116"/>
      <c r="L1932" s="170">
        <v>45478</v>
      </c>
      <c r="M1932" s="116">
        <v>5125.3999999999996</v>
      </c>
      <c r="N1932" s="116">
        <v>5135</v>
      </c>
      <c r="O1932" s="116">
        <v>4952.2</v>
      </c>
      <c r="P1932" s="116">
        <v>5059.8999999999996</v>
      </c>
      <c r="Q1932" s="116">
        <v>5125.3999999999996</v>
      </c>
      <c r="R1932">
        <v>144797</v>
      </c>
    </row>
    <row r="1933" spans="1:18" x14ac:dyDescent="0.25">
      <c r="A1933" s="170">
        <v>45481</v>
      </c>
      <c r="B1933" s="116">
        <v>5169.8999999999996</v>
      </c>
      <c r="C1933" s="116">
        <v>5106.1000000000004</v>
      </c>
      <c r="D1933" s="116">
        <v>5070.1000000000004</v>
      </c>
      <c r="E1933" s="116">
        <v>5169.8999999999996</v>
      </c>
      <c r="F1933" s="116">
        <v>5106.1000000000004</v>
      </c>
      <c r="G1933">
        <v>3458</v>
      </c>
      <c r="H1933" s="116"/>
      <c r="I1933" s="116"/>
      <c r="L1933" s="170">
        <v>45481</v>
      </c>
      <c r="M1933" s="116">
        <v>5109.05</v>
      </c>
      <c r="N1933" s="116">
        <v>5160</v>
      </c>
      <c r="O1933" s="116">
        <v>5067.05</v>
      </c>
      <c r="P1933" s="116">
        <v>5150</v>
      </c>
      <c r="Q1933" s="116">
        <v>5109.05</v>
      </c>
      <c r="R1933">
        <v>140578</v>
      </c>
    </row>
    <row r="1934" spans="1:18" x14ac:dyDescent="0.25">
      <c r="A1934" s="170">
        <v>45482</v>
      </c>
      <c r="B1934" s="116">
        <v>5138.3999999999996</v>
      </c>
      <c r="C1934" s="116">
        <v>5073.2</v>
      </c>
      <c r="D1934" s="116">
        <v>5034.05</v>
      </c>
      <c r="E1934" s="116">
        <v>5106</v>
      </c>
      <c r="F1934" s="116">
        <v>5073.2</v>
      </c>
      <c r="G1934">
        <v>2542</v>
      </c>
      <c r="H1934" s="116"/>
      <c r="I1934" s="116"/>
      <c r="L1934" s="170">
        <v>45482</v>
      </c>
      <c r="M1934" s="116">
        <v>5073.3999999999996</v>
      </c>
      <c r="N1934" s="116">
        <v>5139</v>
      </c>
      <c r="O1934" s="116">
        <v>5031.75</v>
      </c>
      <c r="P1934" s="116">
        <v>5120</v>
      </c>
      <c r="Q1934" s="116">
        <v>5073.3999999999996</v>
      </c>
      <c r="R1934">
        <v>112857</v>
      </c>
    </row>
    <row r="1935" spans="1:18" x14ac:dyDescent="0.25">
      <c r="A1935" s="170">
        <v>45483</v>
      </c>
      <c r="B1935" s="116">
        <v>5097.3999999999996</v>
      </c>
      <c r="C1935" s="116">
        <v>5037.2</v>
      </c>
      <c r="D1935" s="116">
        <v>4969.8500000000004</v>
      </c>
      <c r="E1935" s="116">
        <v>5075</v>
      </c>
      <c r="F1935" s="116">
        <v>5037.2</v>
      </c>
      <c r="G1935">
        <v>1999</v>
      </c>
      <c r="H1935" s="116"/>
      <c r="I1935" s="116"/>
      <c r="L1935" s="170">
        <v>45483</v>
      </c>
      <c r="M1935" s="116">
        <v>5039.25</v>
      </c>
      <c r="N1935" s="116">
        <v>5098.5</v>
      </c>
      <c r="O1935" s="116">
        <v>4970.1000000000004</v>
      </c>
      <c r="P1935" s="116">
        <v>5073.3999999999996</v>
      </c>
      <c r="Q1935" s="116">
        <v>5039.25</v>
      </c>
      <c r="R1935">
        <v>81409</v>
      </c>
    </row>
    <row r="1936" spans="1:18" x14ac:dyDescent="0.25">
      <c r="A1936" s="170">
        <v>45484</v>
      </c>
      <c r="B1936" s="116">
        <v>5081.95</v>
      </c>
      <c r="C1936" s="116">
        <v>4946.75</v>
      </c>
      <c r="D1936" s="116">
        <v>4933.1000000000004</v>
      </c>
      <c r="E1936" s="116">
        <v>5061.75</v>
      </c>
      <c r="F1936" s="116">
        <v>4946.75</v>
      </c>
      <c r="G1936">
        <v>2168</v>
      </c>
      <c r="H1936" s="116"/>
      <c r="I1936" s="116"/>
      <c r="L1936" s="170">
        <v>45484</v>
      </c>
      <c r="M1936" s="116">
        <v>4942.8500000000004</v>
      </c>
      <c r="N1936" s="116">
        <v>5087.75</v>
      </c>
      <c r="O1936" s="116">
        <v>4930</v>
      </c>
      <c r="P1936" s="116">
        <v>5062.1000000000004</v>
      </c>
      <c r="Q1936" s="116">
        <v>4942.8500000000004</v>
      </c>
      <c r="R1936">
        <v>156916</v>
      </c>
    </row>
    <row r="1937" spans="1:18" x14ac:dyDescent="0.25">
      <c r="A1937" s="170">
        <v>45485</v>
      </c>
      <c r="B1937" s="116">
        <v>5136.05</v>
      </c>
      <c r="C1937" s="116">
        <v>5035.25</v>
      </c>
      <c r="D1937" s="116">
        <v>4971.8999999999996</v>
      </c>
      <c r="E1937" s="116">
        <v>5000</v>
      </c>
      <c r="F1937" s="116">
        <v>5035.25</v>
      </c>
      <c r="G1937">
        <v>18031</v>
      </c>
      <c r="H1937" s="116"/>
      <c r="I1937" s="116"/>
      <c r="L1937" s="170">
        <v>45485</v>
      </c>
      <c r="M1937" s="116">
        <v>5056.3</v>
      </c>
      <c r="N1937" s="116">
        <v>5136.6000000000004</v>
      </c>
      <c r="O1937" s="116">
        <v>4967.2</v>
      </c>
      <c r="P1937" s="116">
        <v>5020</v>
      </c>
      <c r="Q1937" s="116">
        <v>5056.3</v>
      </c>
      <c r="R1937">
        <v>289616</v>
      </c>
    </row>
    <row r="1938" spans="1:18" x14ac:dyDescent="0.25">
      <c r="A1938" s="170">
        <v>45488</v>
      </c>
      <c r="B1938" s="116">
        <v>5084.7</v>
      </c>
      <c r="C1938" s="116">
        <v>4986.55</v>
      </c>
      <c r="D1938" s="116">
        <v>4980.3</v>
      </c>
      <c r="E1938" s="116">
        <v>5084.7</v>
      </c>
      <c r="F1938" s="116">
        <v>4986.55</v>
      </c>
      <c r="G1938">
        <v>2944</v>
      </c>
      <c r="H1938" s="116"/>
      <c r="I1938" s="116"/>
      <c r="L1938" s="170">
        <v>45488</v>
      </c>
      <c r="M1938" s="116">
        <v>4990.5</v>
      </c>
      <c r="N1938" s="116">
        <v>5082.3500000000004</v>
      </c>
      <c r="O1938" s="116">
        <v>4981.55</v>
      </c>
      <c r="P1938" s="116">
        <v>5080</v>
      </c>
      <c r="Q1938" s="116">
        <v>4990.5</v>
      </c>
      <c r="R1938">
        <v>112669</v>
      </c>
    </row>
    <row r="1939" spans="1:18" x14ac:dyDescent="0.25">
      <c r="A1939" s="170">
        <v>45489</v>
      </c>
      <c r="B1939" s="116">
        <v>5008.55</v>
      </c>
      <c r="C1939" s="116">
        <v>4869.6000000000004</v>
      </c>
      <c r="D1939" s="116">
        <v>4826.1000000000004</v>
      </c>
      <c r="E1939" s="116">
        <v>4988</v>
      </c>
      <c r="F1939" s="116">
        <v>4869.6000000000004</v>
      </c>
      <c r="G1939">
        <v>7034</v>
      </c>
      <c r="H1939" s="116"/>
      <c r="I1939" s="116"/>
      <c r="L1939" s="170">
        <v>45489</v>
      </c>
      <c r="M1939" s="116">
        <v>4867.3999999999996</v>
      </c>
      <c r="N1939" s="116">
        <v>5020.3999999999996</v>
      </c>
      <c r="O1939" s="116">
        <v>4827.7</v>
      </c>
      <c r="P1939" s="116">
        <v>5020</v>
      </c>
      <c r="Q1939" s="116">
        <v>4867.3999999999996</v>
      </c>
      <c r="R1939">
        <v>226101</v>
      </c>
    </row>
    <row r="1940" spans="1:18" x14ac:dyDescent="0.25">
      <c r="A1940" s="170">
        <v>45491</v>
      </c>
      <c r="B1940" s="116">
        <v>4920</v>
      </c>
      <c r="C1940" s="116">
        <v>4845.2</v>
      </c>
      <c r="D1940" s="116">
        <v>4727.3</v>
      </c>
      <c r="E1940" s="116">
        <v>4867</v>
      </c>
      <c r="F1940" s="116">
        <v>4845.2</v>
      </c>
      <c r="G1940">
        <v>15863</v>
      </c>
      <c r="H1940" s="116"/>
      <c r="I1940" s="116"/>
      <c r="L1940" s="170">
        <v>45491</v>
      </c>
      <c r="M1940" s="116">
        <v>4849.95</v>
      </c>
      <c r="N1940" s="116">
        <v>4940</v>
      </c>
      <c r="O1940" s="116">
        <v>4728.05</v>
      </c>
      <c r="P1940" s="116">
        <v>4865.2</v>
      </c>
      <c r="Q1940" s="116">
        <v>4849.95</v>
      </c>
      <c r="R1940">
        <v>463557</v>
      </c>
    </row>
    <row r="1941" spans="1:18" x14ac:dyDescent="0.25">
      <c r="A1941" s="170">
        <v>45492</v>
      </c>
      <c r="B1941" s="116">
        <v>4974.8999999999996</v>
      </c>
      <c r="C1941" s="116">
        <v>4879.1000000000004</v>
      </c>
      <c r="D1941" s="116">
        <v>4747.3999999999996</v>
      </c>
      <c r="E1941" s="116">
        <v>4786</v>
      </c>
      <c r="F1941" s="116">
        <v>4879.1000000000004</v>
      </c>
      <c r="G1941">
        <v>17742</v>
      </c>
      <c r="H1941" s="116"/>
      <c r="I1941" s="116"/>
      <c r="L1941" s="170">
        <v>45492</v>
      </c>
      <c r="M1941" s="116">
        <v>4880.1000000000004</v>
      </c>
      <c r="N1941" s="116">
        <v>4972.5</v>
      </c>
      <c r="O1941" s="116">
        <v>4744.8</v>
      </c>
      <c r="P1941" s="116">
        <v>4790</v>
      </c>
      <c r="Q1941" s="116">
        <v>4880.1000000000004</v>
      </c>
      <c r="R1941">
        <v>567807</v>
      </c>
    </row>
    <row r="1942" spans="1:18" x14ac:dyDescent="0.25">
      <c r="A1942" s="170">
        <v>45495</v>
      </c>
      <c r="B1942" s="116">
        <v>5040.8500000000004</v>
      </c>
      <c r="C1942" s="116">
        <v>5002.8999999999996</v>
      </c>
      <c r="D1942" s="116">
        <v>4845.25</v>
      </c>
      <c r="E1942" s="116">
        <v>4894.5</v>
      </c>
      <c r="F1942" s="116">
        <v>5002.8999999999996</v>
      </c>
      <c r="G1942">
        <v>10490</v>
      </c>
      <c r="H1942" s="116"/>
      <c r="I1942" s="116"/>
      <c r="L1942" s="170">
        <v>45495</v>
      </c>
      <c r="M1942" s="116">
        <v>5001.2</v>
      </c>
      <c r="N1942" s="116">
        <v>5040</v>
      </c>
      <c r="O1942" s="116">
        <v>4842.1499999999996</v>
      </c>
      <c r="P1942" s="116">
        <v>4870</v>
      </c>
      <c r="Q1942" s="116">
        <v>5001.2</v>
      </c>
      <c r="R1942">
        <v>371802</v>
      </c>
    </row>
    <row r="1943" spans="1:18" x14ac:dyDescent="0.25">
      <c r="A1943" s="170">
        <v>45496</v>
      </c>
      <c r="B1943" s="116">
        <v>5147.05</v>
      </c>
      <c r="C1943" s="116">
        <v>5122</v>
      </c>
      <c r="D1943" s="116">
        <v>4927.5</v>
      </c>
      <c r="E1943" s="116">
        <v>5069.95</v>
      </c>
      <c r="F1943" s="116">
        <v>5122</v>
      </c>
      <c r="G1943">
        <v>23051</v>
      </c>
      <c r="H1943" s="116"/>
      <c r="I1943" s="116"/>
      <c r="L1943" s="170">
        <v>45496</v>
      </c>
      <c r="M1943" s="116">
        <v>5123</v>
      </c>
      <c r="N1943" s="116">
        <v>5140</v>
      </c>
      <c r="O1943" s="116">
        <v>4933.1499999999996</v>
      </c>
      <c r="P1943" s="116">
        <v>5022</v>
      </c>
      <c r="Q1943" s="116">
        <v>5123</v>
      </c>
      <c r="R1943">
        <v>267076</v>
      </c>
    </row>
    <row r="1944" spans="1:18" x14ac:dyDescent="0.25">
      <c r="A1944" s="170">
        <v>45497</v>
      </c>
      <c r="B1944" s="116">
        <v>5214.6499999999996</v>
      </c>
      <c r="C1944" s="116">
        <v>5167.5</v>
      </c>
      <c r="D1944" s="116">
        <v>5119.8500000000004</v>
      </c>
      <c r="E1944" s="116">
        <v>5120</v>
      </c>
      <c r="F1944" s="116">
        <v>5167.5</v>
      </c>
      <c r="G1944">
        <v>5579</v>
      </c>
      <c r="H1944" s="116"/>
      <c r="I1944" s="116"/>
      <c r="L1944" s="170">
        <v>45497</v>
      </c>
      <c r="M1944" s="116">
        <v>5169.95</v>
      </c>
      <c r="N1944" s="116">
        <v>5213.8999999999996</v>
      </c>
      <c r="O1944" s="116">
        <v>5111</v>
      </c>
      <c r="P1944" s="116">
        <v>5125</v>
      </c>
      <c r="Q1944" s="116">
        <v>5169.95</v>
      </c>
      <c r="R1944">
        <v>244540</v>
      </c>
    </row>
    <row r="1945" spans="1:18" x14ac:dyDescent="0.25">
      <c r="A1945" s="170">
        <v>45498</v>
      </c>
      <c r="B1945" s="116">
        <v>5223.75</v>
      </c>
      <c r="C1945" s="116">
        <v>5196.6499999999996</v>
      </c>
      <c r="D1945" s="116">
        <v>5099.45</v>
      </c>
      <c r="E1945" s="116">
        <v>5150</v>
      </c>
      <c r="F1945" s="116">
        <v>5196.6499999999996</v>
      </c>
      <c r="G1945">
        <v>5502</v>
      </c>
      <c r="H1945" s="116"/>
      <c r="I1945" s="116"/>
      <c r="L1945" s="170">
        <v>45498</v>
      </c>
      <c r="M1945" s="116">
        <v>5197.6000000000004</v>
      </c>
      <c r="N1945" s="116">
        <v>5224.1499999999996</v>
      </c>
      <c r="O1945" s="116">
        <v>5092.55</v>
      </c>
      <c r="P1945" s="116">
        <v>5140.05</v>
      </c>
      <c r="Q1945" s="116">
        <v>5197.6000000000004</v>
      </c>
      <c r="R1945">
        <v>160193</v>
      </c>
    </row>
    <row r="1946" spans="1:18" x14ac:dyDescent="0.25">
      <c r="A1946" s="170">
        <v>45499</v>
      </c>
      <c r="B1946" s="116">
        <v>5240.05</v>
      </c>
      <c r="C1946" s="116">
        <v>5225.55</v>
      </c>
      <c r="D1946" s="116">
        <v>5172.3500000000004</v>
      </c>
      <c r="E1946" s="116">
        <v>5213.2</v>
      </c>
      <c r="F1946" s="116">
        <v>5225.55</v>
      </c>
      <c r="G1946">
        <v>3613</v>
      </c>
      <c r="H1946" s="116"/>
      <c r="I1946" s="116"/>
      <c r="L1946" s="170">
        <v>45499</v>
      </c>
      <c r="M1946" s="116">
        <v>5214.05</v>
      </c>
      <c r="N1946" s="116">
        <v>5230</v>
      </c>
      <c r="O1946" s="116">
        <v>5167.55</v>
      </c>
      <c r="P1946" s="116">
        <v>5200</v>
      </c>
      <c r="Q1946" s="116">
        <v>5214.05</v>
      </c>
      <c r="R1946">
        <v>120576</v>
      </c>
    </row>
    <row r="1947" spans="1:18" x14ac:dyDescent="0.25">
      <c r="A1947" s="170">
        <v>45502</v>
      </c>
      <c r="B1947" s="116">
        <v>5255</v>
      </c>
      <c r="C1947" s="116">
        <v>5197.6499999999996</v>
      </c>
      <c r="D1947" s="116">
        <v>5144.25</v>
      </c>
      <c r="E1947" s="116">
        <v>5215</v>
      </c>
      <c r="F1947" s="116">
        <v>5197.6499999999996</v>
      </c>
      <c r="G1947">
        <v>8209</v>
      </c>
      <c r="H1947" s="116"/>
      <c r="I1947" s="116"/>
      <c r="L1947" s="170">
        <v>45502</v>
      </c>
      <c r="M1947" s="116">
        <v>5200.5</v>
      </c>
      <c r="N1947" s="116">
        <v>5259.45</v>
      </c>
      <c r="O1947" s="116">
        <v>5148</v>
      </c>
      <c r="P1947" s="116">
        <v>5230</v>
      </c>
      <c r="Q1947" s="116">
        <v>5200.5</v>
      </c>
      <c r="R1947">
        <v>80552</v>
      </c>
    </row>
    <row r="1948" spans="1:18" x14ac:dyDescent="0.25">
      <c r="A1948" s="170">
        <v>45503</v>
      </c>
      <c r="B1948" s="116">
        <v>5221.8500000000004</v>
      </c>
      <c r="C1948" s="116">
        <v>5198.8999999999996</v>
      </c>
      <c r="D1948" s="116">
        <v>5150.55</v>
      </c>
      <c r="E1948" s="116">
        <v>5200</v>
      </c>
      <c r="F1948" s="116">
        <v>5198.8999999999996</v>
      </c>
      <c r="G1948">
        <v>2337</v>
      </c>
      <c r="H1948" s="116"/>
      <c r="I1948" s="116"/>
      <c r="L1948" s="170">
        <v>45503</v>
      </c>
      <c r="M1948" s="116">
        <v>5199.25</v>
      </c>
      <c r="N1948" s="116">
        <v>5224</v>
      </c>
      <c r="O1948" s="116">
        <v>5150.05</v>
      </c>
      <c r="P1948" s="116">
        <v>5224</v>
      </c>
      <c r="Q1948" s="116">
        <v>5199.25</v>
      </c>
      <c r="R1948">
        <v>65654</v>
      </c>
    </row>
    <row r="1949" spans="1:18" x14ac:dyDescent="0.25">
      <c r="A1949" s="170">
        <v>45504</v>
      </c>
      <c r="B1949" s="116">
        <v>5234.6499999999996</v>
      </c>
      <c r="C1949" s="116">
        <v>5215.1000000000004</v>
      </c>
      <c r="D1949" s="116">
        <v>5178</v>
      </c>
      <c r="E1949" s="116">
        <v>5178</v>
      </c>
      <c r="F1949" s="116">
        <v>5215.1000000000004</v>
      </c>
      <c r="G1949">
        <v>2450</v>
      </c>
      <c r="H1949" s="116"/>
      <c r="I1949" s="116"/>
      <c r="L1949" s="170">
        <v>45504</v>
      </c>
      <c r="M1949" s="116">
        <v>5215.95</v>
      </c>
      <c r="N1949" s="116">
        <v>5234.5</v>
      </c>
      <c r="O1949" s="116">
        <v>5162.6499999999996</v>
      </c>
      <c r="P1949" s="116">
        <v>5199.25</v>
      </c>
      <c r="Q1949" s="116">
        <v>5215.95</v>
      </c>
      <c r="R1949">
        <v>165111</v>
      </c>
    </row>
    <row r="1950" spans="1:18" x14ac:dyDescent="0.25">
      <c r="A1950" s="170">
        <v>45505</v>
      </c>
      <c r="B1950" s="116">
        <v>5284.4</v>
      </c>
      <c r="C1950" s="116">
        <v>5120.25</v>
      </c>
      <c r="D1950" s="116">
        <v>5107</v>
      </c>
      <c r="E1950" s="116">
        <v>5284.4</v>
      </c>
      <c r="F1950" s="116">
        <v>5120.25</v>
      </c>
      <c r="G1950">
        <v>3736</v>
      </c>
      <c r="H1950" s="116"/>
      <c r="I1950" s="116"/>
      <c r="L1950" s="170">
        <v>45505</v>
      </c>
      <c r="M1950" s="116">
        <v>5122.5</v>
      </c>
      <c r="N1950" s="116">
        <v>5267.85</v>
      </c>
      <c r="O1950" s="116">
        <v>5105.3999999999996</v>
      </c>
      <c r="P1950" s="116">
        <v>5260.65</v>
      </c>
      <c r="Q1950" s="116">
        <v>5122.5</v>
      </c>
      <c r="R1950">
        <v>95576</v>
      </c>
    </row>
    <row r="1951" spans="1:18" x14ac:dyDescent="0.25">
      <c r="A1951" s="170">
        <v>45506</v>
      </c>
      <c r="B1951" s="116">
        <v>5205.95</v>
      </c>
      <c r="C1951" s="116">
        <v>5102.7</v>
      </c>
      <c r="D1951" s="116">
        <v>5018.7</v>
      </c>
      <c r="E1951" s="116">
        <v>5120.2</v>
      </c>
      <c r="F1951" s="116">
        <v>5102.7</v>
      </c>
      <c r="G1951">
        <v>2867</v>
      </c>
      <c r="H1951" s="116"/>
      <c r="I1951" s="116"/>
      <c r="L1951" s="170">
        <v>45506</v>
      </c>
      <c r="M1951" s="116">
        <v>5100.6000000000004</v>
      </c>
      <c r="N1951" s="116">
        <v>5212.45</v>
      </c>
      <c r="O1951" s="116">
        <v>5019.8500000000004</v>
      </c>
      <c r="P1951" s="116">
        <v>5100</v>
      </c>
      <c r="Q1951" s="116">
        <v>5100.6000000000004</v>
      </c>
      <c r="R1951">
        <v>129670</v>
      </c>
    </row>
    <row r="1952" spans="1:18" x14ac:dyDescent="0.25">
      <c r="A1952" s="170">
        <v>45509</v>
      </c>
      <c r="B1952" s="116">
        <v>5021.6499999999996</v>
      </c>
      <c r="C1952" s="116">
        <v>4870.25</v>
      </c>
      <c r="D1952" s="116">
        <v>4710.05</v>
      </c>
      <c r="E1952" s="116">
        <v>4710.05</v>
      </c>
      <c r="F1952" s="116">
        <v>4870.25</v>
      </c>
      <c r="G1952">
        <v>25203</v>
      </c>
      <c r="H1952" s="116"/>
      <c r="I1952" s="116"/>
      <c r="L1952" s="170">
        <v>45509</v>
      </c>
      <c r="M1952" s="116">
        <v>4873.5</v>
      </c>
      <c r="N1952" s="116">
        <v>5026</v>
      </c>
      <c r="O1952" s="116">
        <v>4763</v>
      </c>
      <c r="P1952" s="116">
        <v>4930</v>
      </c>
      <c r="Q1952" s="116">
        <v>4873.5</v>
      </c>
      <c r="R1952">
        <v>213284</v>
      </c>
    </row>
    <row r="1953" spans="1:18" x14ac:dyDescent="0.25">
      <c r="A1953" s="170">
        <v>45510</v>
      </c>
      <c r="B1953" s="116">
        <v>4970.1499999999996</v>
      </c>
      <c r="C1953" s="116">
        <v>4931.6499999999996</v>
      </c>
      <c r="D1953" s="116">
        <v>4870.25</v>
      </c>
      <c r="E1953" s="116">
        <v>4870.25</v>
      </c>
      <c r="F1953" s="116">
        <v>4931.6499999999996</v>
      </c>
      <c r="G1953">
        <v>2675</v>
      </c>
      <c r="H1953" s="116"/>
      <c r="I1953" s="116"/>
      <c r="L1953" s="170">
        <v>45510</v>
      </c>
      <c r="M1953" s="116">
        <v>4927.75</v>
      </c>
      <c r="N1953" s="116">
        <v>4970</v>
      </c>
      <c r="O1953" s="116">
        <v>4875</v>
      </c>
      <c r="P1953" s="116">
        <v>4875</v>
      </c>
      <c r="Q1953" s="116">
        <v>4927.75</v>
      </c>
      <c r="R1953">
        <v>166715</v>
      </c>
    </row>
    <row r="1954" spans="1:18" x14ac:dyDescent="0.25">
      <c r="A1954" s="170">
        <v>45511</v>
      </c>
      <c r="B1954" s="116">
        <v>4972.1000000000004</v>
      </c>
      <c r="C1954" s="116">
        <v>4961.05</v>
      </c>
      <c r="D1954" s="116">
        <v>4887.95</v>
      </c>
      <c r="E1954" s="116">
        <v>4965.05</v>
      </c>
      <c r="F1954" s="116">
        <v>4961.05</v>
      </c>
      <c r="G1954">
        <v>5091</v>
      </c>
      <c r="H1954" s="116"/>
      <c r="I1954" s="116"/>
      <c r="L1954" s="170">
        <v>45511</v>
      </c>
      <c r="M1954" s="116">
        <v>4962</v>
      </c>
      <c r="N1954" s="116">
        <v>4990</v>
      </c>
      <c r="O1954" s="116">
        <v>4888</v>
      </c>
      <c r="P1954" s="116">
        <v>4984</v>
      </c>
      <c r="Q1954" s="116">
        <v>4962</v>
      </c>
      <c r="R1954">
        <v>90135</v>
      </c>
    </row>
    <row r="1955" spans="1:18" x14ac:dyDescent="0.25">
      <c r="A1955" s="170">
        <v>45512</v>
      </c>
      <c r="B1955" s="116">
        <v>4956.3999999999996</v>
      </c>
      <c r="C1955" s="116">
        <v>4898.8</v>
      </c>
      <c r="D1955" s="116">
        <v>4870</v>
      </c>
      <c r="E1955" s="116">
        <v>4934</v>
      </c>
      <c r="F1955" s="116">
        <v>4898.8</v>
      </c>
      <c r="G1955">
        <v>1502</v>
      </c>
      <c r="H1955" s="116"/>
      <c r="I1955" s="116"/>
      <c r="L1955" s="170">
        <v>45512</v>
      </c>
      <c r="M1955" s="116">
        <v>4896.3500000000004</v>
      </c>
      <c r="N1955" s="116">
        <v>4961</v>
      </c>
      <c r="O1955" s="116">
        <v>4864.8500000000004</v>
      </c>
      <c r="P1955" s="116">
        <v>4960</v>
      </c>
      <c r="Q1955" s="116">
        <v>4896.3500000000004</v>
      </c>
      <c r="R1955">
        <v>105542</v>
      </c>
    </row>
    <row r="1956" spans="1:18" x14ac:dyDescent="0.25">
      <c r="A1956" s="170">
        <v>45513</v>
      </c>
      <c r="B1956" s="116">
        <v>5060</v>
      </c>
      <c r="C1956" s="116">
        <v>4894.8</v>
      </c>
      <c r="D1956" s="116">
        <v>4890</v>
      </c>
      <c r="E1956" s="116">
        <v>4951</v>
      </c>
      <c r="F1956" s="116">
        <v>4894.8</v>
      </c>
      <c r="G1956">
        <v>7065</v>
      </c>
      <c r="H1956" s="116"/>
      <c r="I1956" s="116"/>
      <c r="L1956" s="170">
        <v>45513</v>
      </c>
      <c r="M1956" s="116">
        <v>4896.8999999999996</v>
      </c>
      <c r="N1956" s="116">
        <v>5062.8</v>
      </c>
      <c r="O1956" s="116">
        <v>4887.75</v>
      </c>
      <c r="P1956" s="116">
        <v>4950</v>
      </c>
      <c r="Q1956" s="116">
        <v>4896.8999999999996</v>
      </c>
      <c r="R1956">
        <v>85703</v>
      </c>
    </row>
    <row r="1957" spans="1:18" x14ac:dyDescent="0.25">
      <c r="A1957" s="170">
        <v>45516</v>
      </c>
      <c r="B1957" s="116">
        <v>4886.6000000000004</v>
      </c>
      <c r="C1957" s="116">
        <v>4839.95</v>
      </c>
      <c r="D1957" s="116">
        <v>4811.8500000000004</v>
      </c>
      <c r="E1957" s="116">
        <v>4881</v>
      </c>
      <c r="F1957" s="116">
        <v>4839.95</v>
      </c>
      <c r="G1957">
        <v>2042</v>
      </c>
      <c r="H1957" s="116"/>
      <c r="I1957" s="116"/>
      <c r="L1957" s="170">
        <v>45516</v>
      </c>
      <c r="M1957" s="116">
        <v>4849.1000000000004</v>
      </c>
      <c r="N1957" s="116">
        <v>4893.6000000000004</v>
      </c>
      <c r="O1957" s="116">
        <v>4814</v>
      </c>
      <c r="P1957" s="116">
        <v>4875</v>
      </c>
      <c r="Q1957" s="116">
        <v>4849.1000000000004</v>
      </c>
      <c r="R1957">
        <v>60658</v>
      </c>
    </row>
    <row r="1958" spans="1:18" x14ac:dyDescent="0.25">
      <c r="A1958" s="170">
        <v>45517</v>
      </c>
      <c r="B1958" s="116">
        <v>4871.95</v>
      </c>
      <c r="C1958" s="116">
        <v>4824.5</v>
      </c>
      <c r="D1958" s="116">
        <v>4806</v>
      </c>
      <c r="E1958" s="116">
        <v>4865.3999999999996</v>
      </c>
      <c r="F1958" s="116">
        <v>4824.5</v>
      </c>
      <c r="G1958">
        <v>2524</v>
      </c>
      <c r="H1958" s="116"/>
      <c r="I1958" s="116"/>
      <c r="L1958" s="170">
        <v>45517</v>
      </c>
      <c r="M1958" s="116">
        <v>4823.45</v>
      </c>
      <c r="N1958" s="116">
        <v>4879</v>
      </c>
      <c r="O1958" s="116">
        <v>4803</v>
      </c>
      <c r="P1958" s="116">
        <v>4879</v>
      </c>
      <c r="Q1958" s="116">
        <v>4823.45</v>
      </c>
      <c r="R1958">
        <v>49821</v>
      </c>
    </row>
    <row r="1959" spans="1:18" x14ac:dyDescent="0.25">
      <c r="A1959" s="170">
        <v>45518</v>
      </c>
      <c r="B1959" s="116">
        <v>4935.5</v>
      </c>
      <c r="C1959" s="116">
        <v>4918.3</v>
      </c>
      <c r="D1959" s="116">
        <v>4805.1499999999996</v>
      </c>
      <c r="E1959" s="116">
        <v>4851.05</v>
      </c>
      <c r="F1959" s="116">
        <v>4918.3</v>
      </c>
      <c r="G1959">
        <v>5442</v>
      </c>
      <c r="H1959" s="116"/>
      <c r="I1959" s="116"/>
      <c r="L1959" s="170">
        <v>45518</v>
      </c>
      <c r="M1959" s="116">
        <v>4916.8500000000004</v>
      </c>
      <c r="N1959" s="116">
        <v>4937.3999999999996</v>
      </c>
      <c r="O1959" s="116">
        <v>4806.55</v>
      </c>
      <c r="P1959" s="116">
        <v>4859</v>
      </c>
      <c r="Q1959" s="116">
        <v>4916.8500000000004</v>
      </c>
      <c r="R1959">
        <v>81995</v>
      </c>
    </row>
    <row r="1960" spans="1:18" x14ac:dyDescent="0.25">
      <c r="A1960" s="170">
        <v>45520</v>
      </c>
      <c r="B1960" s="116">
        <v>5224.25</v>
      </c>
      <c r="C1960" s="116">
        <v>5205.1000000000004</v>
      </c>
      <c r="D1960" s="116">
        <v>4970.1000000000004</v>
      </c>
      <c r="E1960" s="116">
        <v>4970.1000000000004</v>
      </c>
      <c r="F1960" s="116">
        <v>5205.1000000000004</v>
      </c>
      <c r="G1960">
        <v>31096</v>
      </c>
      <c r="H1960" s="116"/>
      <c r="I1960" s="116"/>
      <c r="L1960" s="170">
        <v>45520</v>
      </c>
      <c r="M1960" s="116">
        <v>5207.55</v>
      </c>
      <c r="N1960" s="116">
        <v>5224.5</v>
      </c>
      <c r="O1960" s="116">
        <v>4980.3500000000004</v>
      </c>
      <c r="P1960" s="116">
        <v>4985</v>
      </c>
      <c r="Q1960" s="116">
        <v>5207.55</v>
      </c>
      <c r="R1960">
        <v>529747</v>
      </c>
    </row>
    <row r="1961" spans="1:18" x14ac:dyDescent="0.25">
      <c r="A1961" s="170">
        <v>45523</v>
      </c>
      <c r="B1961" s="116">
        <v>5327.55</v>
      </c>
      <c r="C1961" s="116">
        <v>5283.6</v>
      </c>
      <c r="D1961" s="116">
        <v>5207.75</v>
      </c>
      <c r="E1961" s="116">
        <v>5235</v>
      </c>
      <c r="F1961" s="116">
        <v>5283.6</v>
      </c>
      <c r="G1961">
        <v>6933</v>
      </c>
      <c r="H1961" s="116"/>
      <c r="I1961" s="116"/>
      <c r="L1961" s="170">
        <v>45523</v>
      </c>
      <c r="M1961" s="116">
        <v>5284.05</v>
      </c>
      <c r="N1961" s="116">
        <v>5332.45</v>
      </c>
      <c r="O1961" s="116">
        <v>5210.1499999999996</v>
      </c>
      <c r="P1961" s="116">
        <v>5237</v>
      </c>
      <c r="Q1961" s="116">
        <v>5284.05</v>
      </c>
      <c r="R1961">
        <v>187873</v>
      </c>
    </row>
    <row r="1962" spans="1:18" x14ac:dyDescent="0.25">
      <c r="A1962" s="170">
        <v>45524</v>
      </c>
      <c r="B1962" s="116">
        <v>5394.95</v>
      </c>
      <c r="C1962" s="116">
        <v>5374.1</v>
      </c>
      <c r="D1962" s="116">
        <v>5280</v>
      </c>
      <c r="E1962" s="116">
        <v>5314.95</v>
      </c>
      <c r="F1962" s="116">
        <v>5374.1</v>
      </c>
      <c r="G1962">
        <v>3812</v>
      </c>
      <c r="H1962" s="116"/>
      <c r="I1962" s="116"/>
      <c r="L1962" s="170">
        <v>45524</v>
      </c>
      <c r="M1962" s="116">
        <v>5376.2</v>
      </c>
      <c r="N1962" s="116">
        <v>5395</v>
      </c>
      <c r="O1962" s="116">
        <v>5277</v>
      </c>
      <c r="P1962" s="116">
        <v>5284.05</v>
      </c>
      <c r="Q1962" s="116">
        <v>5376.2</v>
      </c>
      <c r="R1962">
        <v>159873</v>
      </c>
    </row>
    <row r="1963" spans="1:18" x14ac:dyDescent="0.25">
      <c r="A1963" s="170">
        <v>45525</v>
      </c>
      <c r="B1963" s="116">
        <v>5442</v>
      </c>
      <c r="C1963" s="116">
        <v>5421.55</v>
      </c>
      <c r="D1963" s="116">
        <v>5360.4</v>
      </c>
      <c r="E1963" s="116">
        <v>5370.05</v>
      </c>
      <c r="F1963" s="116">
        <v>5421.55</v>
      </c>
      <c r="G1963">
        <v>1843</v>
      </c>
      <c r="H1963" s="116"/>
      <c r="I1963" s="116"/>
      <c r="L1963" s="170">
        <v>45525</v>
      </c>
      <c r="M1963" s="116">
        <v>5424.45</v>
      </c>
      <c r="N1963" s="116">
        <v>5443</v>
      </c>
      <c r="O1963" s="116">
        <v>5359.5</v>
      </c>
      <c r="P1963" s="116">
        <v>5380</v>
      </c>
      <c r="Q1963" s="116">
        <v>5424.45</v>
      </c>
      <c r="R1963">
        <v>96278</v>
      </c>
    </row>
    <row r="1964" spans="1:18" x14ac:dyDescent="0.25">
      <c r="A1964" s="170">
        <v>45526</v>
      </c>
      <c r="B1964" s="116">
        <v>5511</v>
      </c>
      <c r="C1964" s="116">
        <v>5490.55</v>
      </c>
      <c r="D1964" s="116">
        <v>5448.15</v>
      </c>
      <c r="E1964" s="116">
        <v>5469.75</v>
      </c>
      <c r="F1964" s="116">
        <v>5490.55</v>
      </c>
      <c r="G1964">
        <v>2136</v>
      </c>
      <c r="H1964" s="116"/>
      <c r="I1964" s="116"/>
      <c r="L1964" s="170">
        <v>45526</v>
      </c>
      <c r="M1964" s="116">
        <v>5488.3</v>
      </c>
      <c r="N1964" s="116">
        <v>5513.75</v>
      </c>
      <c r="O1964" s="116">
        <v>5440</v>
      </c>
      <c r="P1964" s="116">
        <v>5455</v>
      </c>
      <c r="Q1964" s="116">
        <v>5488.3</v>
      </c>
      <c r="R1964">
        <v>117273</v>
      </c>
    </row>
    <row r="1965" spans="1:18" x14ac:dyDescent="0.25">
      <c r="A1965" s="170">
        <v>45527</v>
      </c>
      <c r="B1965" s="116">
        <v>5506.6</v>
      </c>
      <c r="C1965" s="116">
        <v>5460.55</v>
      </c>
      <c r="D1965" s="116">
        <v>5412.8</v>
      </c>
      <c r="E1965" s="116">
        <v>5475</v>
      </c>
      <c r="F1965" s="116">
        <v>5460.55</v>
      </c>
      <c r="G1965">
        <v>6104</v>
      </c>
      <c r="H1965" s="116"/>
      <c r="I1965" s="116"/>
      <c r="L1965" s="170">
        <v>45527</v>
      </c>
      <c r="M1965" s="116">
        <v>5462.2</v>
      </c>
      <c r="N1965" s="116">
        <v>5507.75</v>
      </c>
      <c r="O1965" s="116">
        <v>5417.8</v>
      </c>
      <c r="P1965" s="116">
        <v>5475</v>
      </c>
      <c r="Q1965" s="116">
        <v>5462.2</v>
      </c>
      <c r="R1965">
        <v>98101</v>
      </c>
    </row>
    <row r="1966" spans="1:18" x14ac:dyDescent="0.25">
      <c r="A1966" s="170">
        <v>45530</v>
      </c>
      <c r="B1966" s="116">
        <v>5574.25</v>
      </c>
      <c r="C1966" s="116">
        <v>5511.85</v>
      </c>
      <c r="D1966" s="116">
        <v>5475.5</v>
      </c>
      <c r="E1966" s="116">
        <v>5523.45</v>
      </c>
      <c r="F1966" s="116">
        <v>5511.85</v>
      </c>
      <c r="G1966">
        <v>2493</v>
      </c>
      <c r="H1966" s="116"/>
      <c r="I1966" s="116"/>
      <c r="L1966" s="170">
        <v>45530</v>
      </c>
      <c r="M1966" s="116">
        <v>5513.05</v>
      </c>
      <c r="N1966" s="116">
        <v>5574.65</v>
      </c>
      <c r="O1966" s="116">
        <v>5472</v>
      </c>
      <c r="P1966" s="116">
        <v>5520</v>
      </c>
      <c r="Q1966" s="116">
        <v>5513.05</v>
      </c>
      <c r="R1966">
        <v>139061</v>
      </c>
    </row>
    <row r="1967" spans="1:18" x14ac:dyDescent="0.25">
      <c r="A1967" s="170">
        <v>45531</v>
      </c>
      <c r="B1967" s="116">
        <v>5531.1</v>
      </c>
      <c r="C1967" s="116">
        <v>5478.35</v>
      </c>
      <c r="D1967" s="116">
        <v>5453.25</v>
      </c>
      <c r="E1967" s="116">
        <v>5531.1</v>
      </c>
      <c r="F1967" s="116">
        <v>5478.35</v>
      </c>
      <c r="G1967">
        <v>1745</v>
      </c>
      <c r="H1967" s="116"/>
      <c r="I1967" s="116"/>
      <c r="L1967" s="170">
        <v>45531</v>
      </c>
      <c r="M1967" s="116">
        <v>5487.4</v>
      </c>
      <c r="N1967" s="116">
        <v>5530</v>
      </c>
      <c r="O1967" s="116">
        <v>5455</v>
      </c>
      <c r="P1967" s="116">
        <v>5520</v>
      </c>
      <c r="Q1967" s="116">
        <v>5487.4</v>
      </c>
      <c r="R1967">
        <v>66673</v>
      </c>
    </row>
    <row r="1968" spans="1:18" x14ac:dyDescent="0.25">
      <c r="A1968" s="170">
        <v>45532</v>
      </c>
      <c r="B1968" s="116">
        <v>5706.75</v>
      </c>
      <c r="C1968" s="116">
        <v>5680.55</v>
      </c>
      <c r="D1968" s="116">
        <v>5522.05</v>
      </c>
      <c r="E1968" s="116">
        <v>5525.05</v>
      </c>
      <c r="F1968" s="116">
        <v>5680.55</v>
      </c>
      <c r="G1968">
        <v>20345</v>
      </c>
      <c r="H1968" s="116"/>
      <c r="I1968" s="116"/>
      <c r="L1968" s="170">
        <v>45532</v>
      </c>
      <c r="M1968" s="116">
        <v>5678.6</v>
      </c>
      <c r="N1968" s="116">
        <v>5708.1</v>
      </c>
      <c r="O1968" s="116">
        <v>5518.15</v>
      </c>
      <c r="P1968" s="116">
        <v>5555.05</v>
      </c>
      <c r="Q1968" s="116">
        <v>5678.6</v>
      </c>
      <c r="R1968">
        <v>566444</v>
      </c>
    </row>
    <row r="1969" spans="1:18" x14ac:dyDescent="0.25">
      <c r="A1969" s="170">
        <v>45533</v>
      </c>
      <c r="B1969" s="116">
        <v>5990</v>
      </c>
      <c r="C1969" s="116">
        <v>5812.25</v>
      </c>
      <c r="D1969" s="116">
        <v>5630</v>
      </c>
      <c r="E1969" s="116">
        <v>5680.5</v>
      </c>
      <c r="F1969" s="116">
        <v>5812.25</v>
      </c>
      <c r="G1969">
        <v>22729</v>
      </c>
      <c r="H1969" s="116"/>
      <c r="I1969" s="116"/>
      <c r="L1969" s="170">
        <v>45533</v>
      </c>
      <c r="M1969" s="116">
        <v>5810.25</v>
      </c>
      <c r="N1969" s="116">
        <v>6000</v>
      </c>
      <c r="O1969" s="116">
        <v>5628.45</v>
      </c>
      <c r="P1969" s="116">
        <v>5678.6</v>
      </c>
      <c r="Q1969" s="116">
        <v>5810.25</v>
      </c>
      <c r="R1969">
        <v>353414</v>
      </c>
    </row>
    <row r="1970" spans="1:18" x14ac:dyDescent="0.25">
      <c r="A1970" s="170">
        <v>45534</v>
      </c>
      <c r="B1970" s="116">
        <v>5870.7</v>
      </c>
      <c r="C1970" s="116">
        <v>5715.2</v>
      </c>
      <c r="D1970" s="116">
        <v>5705</v>
      </c>
      <c r="E1970" s="116">
        <v>5870.7</v>
      </c>
      <c r="F1970" s="116">
        <v>5715.2</v>
      </c>
      <c r="G1970">
        <v>12140</v>
      </c>
      <c r="H1970" s="116"/>
      <c r="I1970" s="116"/>
      <c r="L1970" s="170">
        <v>45534</v>
      </c>
      <c r="M1970" s="116">
        <v>5716.1</v>
      </c>
      <c r="N1970" s="116">
        <v>5870</v>
      </c>
      <c r="O1970" s="116">
        <v>5706.25</v>
      </c>
      <c r="P1970" s="116">
        <v>5870</v>
      </c>
      <c r="Q1970" s="116">
        <v>5716.1</v>
      </c>
      <c r="R1970">
        <v>246977</v>
      </c>
    </row>
    <row r="1971" spans="1:18" x14ac:dyDescent="0.25">
      <c r="A1971" s="170">
        <v>45537</v>
      </c>
      <c r="B1971" s="116">
        <v>5832</v>
      </c>
      <c r="C1971" s="116">
        <v>5737.9</v>
      </c>
      <c r="D1971" s="116">
        <v>5724.8</v>
      </c>
      <c r="E1971" s="116">
        <v>5756.9</v>
      </c>
      <c r="F1971" s="116">
        <v>5737.9</v>
      </c>
      <c r="G1971">
        <v>5149</v>
      </c>
      <c r="H1971" s="116"/>
      <c r="I1971" s="116"/>
      <c r="L1971" s="170">
        <v>45537</v>
      </c>
      <c r="M1971" s="116">
        <v>5738.6</v>
      </c>
      <c r="N1971" s="116">
        <v>5837</v>
      </c>
      <c r="O1971" s="116">
        <v>5724.1</v>
      </c>
      <c r="P1971" s="116">
        <v>5740</v>
      </c>
      <c r="Q1971" s="116">
        <v>5738.6</v>
      </c>
      <c r="R1971">
        <v>202938</v>
      </c>
    </row>
    <row r="1972" spans="1:18" x14ac:dyDescent="0.25">
      <c r="A1972" s="170">
        <v>45538</v>
      </c>
      <c r="B1972" s="116">
        <v>5780.8</v>
      </c>
      <c r="C1972" s="116">
        <v>5746.45</v>
      </c>
      <c r="D1972" s="116">
        <v>5715.25</v>
      </c>
      <c r="E1972" s="116">
        <v>5737.9</v>
      </c>
      <c r="F1972" s="116">
        <v>5746.45</v>
      </c>
      <c r="G1972">
        <v>2120</v>
      </c>
      <c r="H1972" s="116"/>
      <c r="I1972" s="116"/>
      <c r="L1972" s="170">
        <v>45538</v>
      </c>
      <c r="M1972" s="116">
        <v>5747.7</v>
      </c>
      <c r="N1972" s="116">
        <v>5781.05</v>
      </c>
      <c r="O1972" s="116">
        <v>5707.55</v>
      </c>
      <c r="P1972" s="116">
        <v>5744.3</v>
      </c>
      <c r="Q1972" s="116">
        <v>5747.7</v>
      </c>
      <c r="R1972">
        <v>119292</v>
      </c>
    </row>
    <row r="1973" spans="1:18" x14ac:dyDescent="0.25">
      <c r="A1973" s="170">
        <v>45539</v>
      </c>
      <c r="B1973" s="116">
        <v>5703.6</v>
      </c>
      <c r="C1973" s="116">
        <v>5683.65</v>
      </c>
      <c r="D1973" s="116">
        <v>5611.55</v>
      </c>
      <c r="E1973" s="116">
        <v>5697.95</v>
      </c>
      <c r="F1973" s="116">
        <v>5683.65</v>
      </c>
      <c r="G1973">
        <v>4024</v>
      </c>
      <c r="H1973" s="116"/>
      <c r="I1973" s="116"/>
      <c r="L1973" s="170">
        <v>45539</v>
      </c>
      <c r="M1973" s="116">
        <v>5684.1</v>
      </c>
      <c r="N1973" s="116">
        <v>5708</v>
      </c>
      <c r="O1973" s="116">
        <v>5612.15</v>
      </c>
      <c r="P1973" s="116">
        <v>5660</v>
      </c>
      <c r="Q1973" s="116">
        <v>5684.1</v>
      </c>
      <c r="R1973">
        <v>113111</v>
      </c>
    </row>
    <row r="1974" spans="1:18" x14ac:dyDescent="0.25">
      <c r="A1974" s="170">
        <v>45540</v>
      </c>
      <c r="B1974" s="116">
        <v>5728</v>
      </c>
      <c r="C1974" s="116">
        <v>5678.35</v>
      </c>
      <c r="D1974" s="116">
        <v>5647.2</v>
      </c>
      <c r="E1974" s="116">
        <v>5721.05</v>
      </c>
      <c r="F1974" s="116">
        <v>5678.35</v>
      </c>
      <c r="G1974">
        <v>2238</v>
      </c>
      <c r="H1974" s="116"/>
      <c r="I1974" s="116"/>
      <c r="L1974" s="170">
        <v>45540</v>
      </c>
      <c r="M1974" s="116">
        <v>5674.85</v>
      </c>
      <c r="N1974" s="116">
        <v>5740</v>
      </c>
      <c r="O1974" s="116">
        <v>5647.5</v>
      </c>
      <c r="P1974" s="116">
        <v>5728</v>
      </c>
      <c r="Q1974" s="116">
        <v>5674.85</v>
      </c>
      <c r="R1974">
        <v>102296</v>
      </c>
    </row>
    <row r="1975" spans="1:18" x14ac:dyDescent="0.25">
      <c r="A1975" s="170">
        <v>45541</v>
      </c>
      <c r="B1975" s="116">
        <v>5784.55</v>
      </c>
      <c r="C1975" s="116">
        <v>5618.6</v>
      </c>
      <c r="D1975" s="116">
        <v>5601</v>
      </c>
      <c r="E1975" s="116">
        <v>5678.45</v>
      </c>
      <c r="F1975" s="116">
        <v>5618.6</v>
      </c>
      <c r="G1975">
        <v>6777</v>
      </c>
      <c r="H1975" s="116"/>
      <c r="I1975" s="116"/>
      <c r="L1975" s="170">
        <v>45541</v>
      </c>
      <c r="M1975" s="116">
        <v>5622.05</v>
      </c>
      <c r="N1975" s="116">
        <v>5783.25</v>
      </c>
      <c r="O1975" s="116">
        <v>5601.2</v>
      </c>
      <c r="P1975" s="116">
        <v>5705</v>
      </c>
      <c r="Q1975" s="116">
        <v>5622.05</v>
      </c>
      <c r="R1975">
        <v>109626</v>
      </c>
    </row>
    <row r="1976" spans="1:18" x14ac:dyDescent="0.25">
      <c r="A1976" s="170">
        <v>45544</v>
      </c>
      <c r="B1976" s="116">
        <v>5640</v>
      </c>
      <c r="C1976" s="116">
        <v>5577.9</v>
      </c>
      <c r="D1976" s="116">
        <v>5531.15</v>
      </c>
      <c r="E1976" s="116">
        <v>5590</v>
      </c>
      <c r="F1976" s="116">
        <v>5577.9</v>
      </c>
      <c r="G1976">
        <v>3503</v>
      </c>
      <c r="H1976" s="116"/>
      <c r="I1976" s="116"/>
      <c r="L1976" s="170">
        <v>45544</v>
      </c>
      <c r="M1976" s="116">
        <v>5582.1</v>
      </c>
      <c r="N1976" s="116">
        <v>5642.95</v>
      </c>
      <c r="O1976" s="116">
        <v>5514.8</v>
      </c>
      <c r="P1976" s="116">
        <v>5605</v>
      </c>
      <c r="Q1976" s="116">
        <v>5582.1</v>
      </c>
      <c r="R1976">
        <v>82360</v>
      </c>
    </row>
    <row r="1977" spans="1:18" x14ac:dyDescent="0.25">
      <c r="A1977" s="170">
        <v>45545</v>
      </c>
      <c r="B1977" s="116">
        <v>5719.9</v>
      </c>
      <c r="C1977" s="116">
        <v>5699.25</v>
      </c>
      <c r="D1977" s="116">
        <v>5598.7</v>
      </c>
      <c r="E1977" s="116">
        <v>5649.95</v>
      </c>
      <c r="F1977" s="116">
        <v>5699.25</v>
      </c>
      <c r="G1977">
        <v>4152</v>
      </c>
      <c r="H1977" s="116"/>
      <c r="I1977" s="116"/>
      <c r="L1977" s="170">
        <v>45545</v>
      </c>
      <c r="M1977" s="116">
        <v>5697.75</v>
      </c>
      <c r="N1977" s="116">
        <v>5725.45</v>
      </c>
      <c r="O1977" s="116">
        <v>5597</v>
      </c>
      <c r="P1977" s="116">
        <v>5610</v>
      </c>
      <c r="Q1977" s="116">
        <v>5697.75</v>
      </c>
      <c r="R1977">
        <v>94088</v>
      </c>
    </row>
    <row r="1978" spans="1:18" x14ac:dyDescent="0.25">
      <c r="A1978" s="170">
        <v>45546</v>
      </c>
      <c r="B1978" s="116">
        <v>5749</v>
      </c>
      <c r="C1978" s="116">
        <v>5672.4</v>
      </c>
      <c r="D1978" s="116">
        <v>5640.85</v>
      </c>
      <c r="E1978" s="116">
        <v>5740.7</v>
      </c>
      <c r="F1978" s="116">
        <v>5672.4</v>
      </c>
      <c r="G1978">
        <v>3938</v>
      </c>
      <c r="H1978" s="116"/>
      <c r="I1978" s="116"/>
      <c r="L1978" s="170">
        <v>45546</v>
      </c>
      <c r="M1978" s="116">
        <v>5675.5</v>
      </c>
      <c r="N1978" s="116">
        <v>5750.95</v>
      </c>
      <c r="O1978" s="116">
        <v>5640</v>
      </c>
      <c r="P1978" s="116">
        <v>5719</v>
      </c>
      <c r="Q1978" s="116">
        <v>5675.5</v>
      </c>
      <c r="R1978">
        <v>87222</v>
      </c>
    </row>
    <row r="1979" spans="1:18" x14ac:dyDescent="0.25">
      <c r="A1979" s="170">
        <v>45547</v>
      </c>
      <c r="B1979" s="116">
        <v>5752.6</v>
      </c>
      <c r="C1979" s="116">
        <v>5707.75</v>
      </c>
      <c r="D1979" s="116">
        <v>5670.05</v>
      </c>
      <c r="E1979" s="116">
        <v>5732</v>
      </c>
      <c r="F1979" s="116">
        <v>5707.75</v>
      </c>
      <c r="G1979">
        <v>1659</v>
      </c>
      <c r="H1979" s="116"/>
      <c r="I1979" s="116"/>
      <c r="L1979" s="170">
        <v>45547</v>
      </c>
      <c r="M1979" s="116">
        <v>5712.9</v>
      </c>
      <c r="N1979" s="116">
        <v>5755.45</v>
      </c>
      <c r="O1979" s="116">
        <v>5670.05</v>
      </c>
      <c r="P1979" s="116">
        <v>5738</v>
      </c>
      <c r="Q1979" s="116">
        <v>5712.9</v>
      </c>
      <c r="R1979">
        <v>76968</v>
      </c>
    </row>
    <row r="1980" spans="1:18" x14ac:dyDescent="0.25">
      <c r="A1980" s="170">
        <v>45548</v>
      </c>
      <c r="B1980" s="116">
        <v>5809.25</v>
      </c>
      <c r="C1980" s="116">
        <v>5777.35</v>
      </c>
      <c r="D1980" s="116">
        <v>5687.25</v>
      </c>
      <c r="E1980" s="116">
        <v>5708.35</v>
      </c>
      <c r="F1980" s="116">
        <v>5777.35</v>
      </c>
      <c r="G1980">
        <v>2133</v>
      </c>
      <c r="H1980" s="116"/>
      <c r="I1980" s="116"/>
      <c r="L1980" s="170">
        <v>45548</v>
      </c>
      <c r="M1980" s="116">
        <v>5777.5</v>
      </c>
      <c r="N1980" s="116">
        <v>5810</v>
      </c>
      <c r="O1980" s="116">
        <v>5684.6</v>
      </c>
      <c r="P1980" s="116">
        <v>5730</v>
      </c>
      <c r="Q1980" s="116">
        <v>5777.5</v>
      </c>
      <c r="R1980">
        <v>150559</v>
      </c>
    </row>
    <row r="1981" spans="1:18" x14ac:dyDescent="0.25">
      <c r="A1981" s="170">
        <v>45551</v>
      </c>
      <c r="B1981" s="116">
        <v>5820</v>
      </c>
      <c r="C1981" s="116">
        <v>5707.05</v>
      </c>
      <c r="D1981" s="116">
        <v>5702.1</v>
      </c>
      <c r="E1981" s="116">
        <v>5816.05</v>
      </c>
      <c r="F1981" s="116">
        <v>5707.05</v>
      </c>
      <c r="G1981">
        <v>1940</v>
      </c>
      <c r="H1981" s="116"/>
      <c r="I1981" s="116"/>
      <c r="L1981" s="170">
        <v>45551</v>
      </c>
      <c r="M1981" s="116">
        <v>5707.6</v>
      </c>
      <c r="N1981" s="116">
        <v>5822.9</v>
      </c>
      <c r="O1981" s="116">
        <v>5697.6</v>
      </c>
      <c r="P1981" s="116">
        <v>5799.9</v>
      </c>
      <c r="Q1981" s="116">
        <v>5707.6</v>
      </c>
      <c r="R1981">
        <v>76806</v>
      </c>
    </row>
    <row r="1982" spans="1:18" x14ac:dyDescent="0.25">
      <c r="A1982" s="170">
        <v>45552</v>
      </c>
      <c r="B1982" s="116">
        <v>5760.1</v>
      </c>
      <c r="C1982" s="116">
        <v>5665.2</v>
      </c>
      <c r="D1982" s="116">
        <v>5655</v>
      </c>
      <c r="E1982" s="116">
        <v>5719.95</v>
      </c>
      <c r="F1982" s="116">
        <v>5665.2</v>
      </c>
      <c r="G1982">
        <v>1193</v>
      </c>
      <c r="H1982" s="116"/>
      <c r="I1982" s="116"/>
      <c r="L1982" s="170">
        <v>45552</v>
      </c>
      <c r="M1982" s="116">
        <v>5663.4</v>
      </c>
      <c r="N1982" s="116">
        <v>5758.1</v>
      </c>
      <c r="O1982" s="116">
        <v>5648.35</v>
      </c>
      <c r="P1982" s="116">
        <v>5708</v>
      </c>
      <c r="Q1982" s="116">
        <v>5663.4</v>
      </c>
      <c r="R1982">
        <v>113413</v>
      </c>
    </row>
    <row r="1983" spans="1:18" x14ac:dyDescent="0.25">
      <c r="A1983" s="170">
        <v>45553</v>
      </c>
      <c r="B1983" s="116">
        <v>5678.25</v>
      </c>
      <c r="C1983" s="116">
        <v>5476.45</v>
      </c>
      <c r="D1983" s="116">
        <v>5414.55</v>
      </c>
      <c r="E1983" s="116">
        <v>5662.05</v>
      </c>
      <c r="F1983" s="116">
        <v>5476.45</v>
      </c>
      <c r="G1983">
        <v>11559</v>
      </c>
      <c r="H1983" s="116"/>
      <c r="I1983" s="116"/>
      <c r="L1983" s="170">
        <v>45553</v>
      </c>
      <c r="M1983" s="116">
        <v>5478.05</v>
      </c>
      <c r="N1983" s="116">
        <v>5686.55</v>
      </c>
      <c r="O1983" s="116">
        <v>5412.5</v>
      </c>
      <c r="P1983" s="116">
        <v>5665</v>
      </c>
      <c r="Q1983" s="116">
        <v>5478.05</v>
      </c>
      <c r="R1983">
        <v>180270</v>
      </c>
    </row>
    <row r="1984" spans="1:18" x14ac:dyDescent="0.25">
      <c r="A1984" s="170">
        <v>45554</v>
      </c>
      <c r="B1984" s="116">
        <v>5624.4</v>
      </c>
      <c r="C1984" s="116">
        <v>5505.25</v>
      </c>
      <c r="D1984" s="116">
        <v>5424.5</v>
      </c>
      <c r="E1984" s="116">
        <v>5521.05</v>
      </c>
      <c r="F1984" s="116">
        <v>5505.25</v>
      </c>
      <c r="G1984">
        <v>3759</v>
      </c>
      <c r="H1984" s="116"/>
      <c r="I1984" s="116"/>
      <c r="L1984" s="170">
        <v>45554</v>
      </c>
      <c r="M1984" s="116">
        <v>5502.45</v>
      </c>
      <c r="N1984" s="116">
        <v>5631.85</v>
      </c>
      <c r="O1984" s="116">
        <v>5420</v>
      </c>
      <c r="P1984" s="116">
        <v>5544</v>
      </c>
      <c r="Q1984" s="116">
        <v>5502.45</v>
      </c>
      <c r="R1984">
        <v>155593</v>
      </c>
    </row>
    <row r="1985" spans="1:18" x14ac:dyDescent="0.25">
      <c r="A1985" s="170">
        <v>45555</v>
      </c>
      <c r="B1985" s="116">
        <v>5554.95</v>
      </c>
      <c r="C1985" s="116">
        <v>5473.4</v>
      </c>
      <c r="D1985" s="116">
        <v>5460.6</v>
      </c>
      <c r="E1985" s="116">
        <v>5554.65</v>
      </c>
      <c r="F1985" s="116">
        <v>5473.4</v>
      </c>
      <c r="G1985">
        <v>4950</v>
      </c>
      <c r="H1985" s="116"/>
      <c r="I1985" s="116"/>
      <c r="L1985" s="170">
        <v>45555</v>
      </c>
      <c r="M1985" s="116">
        <v>5472.95</v>
      </c>
      <c r="N1985" s="116">
        <v>5549.95</v>
      </c>
      <c r="O1985" s="116">
        <v>5456.45</v>
      </c>
      <c r="P1985" s="116">
        <v>5545</v>
      </c>
      <c r="Q1985" s="116">
        <v>5472.95</v>
      </c>
      <c r="R1985">
        <v>121020</v>
      </c>
    </row>
    <row r="1986" spans="1:18" x14ac:dyDescent="0.25">
      <c r="A1986" s="170">
        <v>45558</v>
      </c>
      <c r="B1986" s="116">
        <v>5502</v>
      </c>
      <c r="C1986" s="116">
        <v>5493.8</v>
      </c>
      <c r="D1986" s="116">
        <v>5413.65</v>
      </c>
      <c r="E1986" s="116">
        <v>5486.3</v>
      </c>
      <c r="F1986" s="116">
        <v>5493.8</v>
      </c>
      <c r="G1986">
        <v>5465</v>
      </c>
      <c r="H1986" s="116"/>
      <c r="I1986" s="116"/>
      <c r="L1986" s="170">
        <v>45558</v>
      </c>
      <c r="M1986" s="116">
        <v>5490.75</v>
      </c>
      <c r="N1986" s="116">
        <v>5498</v>
      </c>
      <c r="O1986" s="116">
        <v>5413.9</v>
      </c>
      <c r="P1986" s="116">
        <v>5484.95</v>
      </c>
      <c r="Q1986" s="116">
        <v>5490.75</v>
      </c>
      <c r="R1986">
        <v>66414</v>
      </c>
    </row>
    <row r="1987" spans="1:18" x14ac:dyDescent="0.25">
      <c r="A1987" s="170">
        <v>45559</v>
      </c>
      <c r="B1987" s="116">
        <v>5525.6</v>
      </c>
      <c r="C1987" s="116">
        <v>5498.2</v>
      </c>
      <c r="D1987" s="116">
        <v>5432.95</v>
      </c>
      <c r="E1987" s="116">
        <v>5474.55</v>
      </c>
      <c r="F1987" s="116">
        <v>5498.2</v>
      </c>
      <c r="G1987">
        <v>4957</v>
      </c>
      <c r="H1987" s="116"/>
      <c r="I1987" s="116"/>
      <c r="L1987" s="170">
        <v>45559</v>
      </c>
      <c r="M1987" s="116">
        <v>5501.35</v>
      </c>
      <c r="N1987" s="116">
        <v>5530</v>
      </c>
      <c r="O1987" s="116">
        <v>5427.95</v>
      </c>
      <c r="P1987" s="116">
        <v>5497.95</v>
      </c>
      <c r="Q1987" s="116">
        <v>5501.35</v>
      </c>
      <c r="R1987">
        <v>108010</v>
      </c>
    </row>
    <row r="1988" spans="1:18" x14ac:dyDescent="0.25">
      <c r="A1988" s="170">
        <v>45560</v>
      </c>
      <c r="B1988" s="116">
        <v>5547.65</v>
      </c>
      <c r="C1988" s="116">
        <v>5432.65</v>
      </c>
      <c r="D1988" s="116">
        <v>5375.1</v>
      </c>
      <c r="E1988" s="116">
        <v>5547.65</v>
      </c>
      <c r="F1988" s="116">
        <v>5432.65</v>
      </c>
      <c r="G1988">
        <v>2480</v>
      </c>
      <c r="H1988" s="116"/>
      <c r="I1988" s="116"/>
      <c r="L1988" s="170">
        <v>45560</v>
      </c>
      <c r="M1988" s="116">
        <v>5435.05</v>
      </c>
      <c r="N1988" s="116">
        <v>5519.9</v>
      </c>
      <c r="O1988" s="116">
        <v>5375</v>
      </c>
      <c r="P1988" s="116">
        <v>5519.8</v>
      </c>
      <c r="Q1988" s="116">
        <v>5435.05</v>
      </c>
      <c r="R1988">
        <v>93053</v>
      </c>
    </row>
    <row r="1989" spans="1:18" x14ac:dyDescent="0.25">
      <c r="A1989" s="170">
        <v>45561</v>
      </c>
      <c r="B1989" s="116">
        <v>5479</v>
      </c>
      <c r="C1989" s="116">
        <v>5465.15</v>
      </c>
      <c r="D1989" s="116">
        <v>5413</v>
      </c>
      <c r="E1989" s="116">
        <v>5473.95</v>
      </c>
      <c r="F1989" s="116">
        <v>5465.15</v>
      </c>
      <c r="G1989">
        <v>1806</v>
      </c>
      <c r="H1989" s="116"/>
      <c r="I1989" s="116"/>
      <c r="L1989" s="170">
        <v>45561</v>
      </c>
      <c r="M1989" s="116">
        <v>5459.95</v>
      </c>
      <c r="N1989" s="116">
        <v>5480</v>
      </c>
      <c r="O1989" s="116">
        <v>5413.55</v>
      </c>
      <c r="P1989" s="116">
        <v>5464.8</v>
      </c>
      <c r="Q1989" s="116">
        <v>5459.95</v>
      </c>
      <c r="R1989">
        <v>125111</v>
      </c>
    </row>
    <row r="1990" spans="1:18" x14ac:dyDescent="0.25">
      <c r="A1990" s="170">
        <v>45562</v>
      </c>
      <c r="B1990" s="116">
        <v>5590</v>
      </c>
      <c r="C1990" s="116">
        <v>5358.15</v>
      </c>
      <c r="D1990" s="116">
        <v>5341.8</v>
      </c>
      <c r="E1990" s="116">
        <v>5548</v>
      </c>
      <c r="F1990" s="116">
        <v>5358.15</v>
      </c>
      <c r="G1990">
        <v>7373</v>
      </c>
      <c r="H1990" s="116"/>
      <c r="I1990" s="116"/>
      <c r="L1990" s="170">
        <v>45562</v>
      </c>
      <c r="M1990" s="116">
        <v>5356.55</v>
      </c>
      <c r="N1990" s="116">
        <v>5588.25</v>
      </c>
      <c r="O1990" s="116">
        <v>5341.1</v>
      </c>
      <c r="P1990" s="116">
        <v>5555</v>
      </c>
      <c r="Q1990" s="116">
        <v>5356.55</v>
      </c>
      <c r="R1990">
        <v>306248</v>
      </c>
    </row>
    <row r="1991" spans="1:18" x14ac:dyDescent="0.25">
      <c r="A1991" s="170">
        <v>45565</v>
      </c>
      <c r="B1991" s="116">
        <v>5372.85</v>
      </c>
      <c r="C1991" s="116">
        <v>5345.05</v>
      </c>
      <c r="D1991" s="116">
        <v>5286.65</v>
      </c>
      <c r="E1991" s="116">
        <v>5358</v>
      </c>
      <c r="F1991" s="116">
        <v>5345.05</v>
      </c>
      <c r="G1991">
        <v>6024</v>
      </c>
      <c r="H1991" s="116"/>
      <c r="I1991" s="116"/>
      <c r="L1991" s="170">
        <v>45565</v>
      </c>
      <c r="M1991" s="116">
        <v>5344.25</v>
      </c>
      <c r="N1991" s="116">
        <v>5376.4</v>
      </c>
      <c r="O1991" s="116">
        <v>5285.85</v>
      </c>
      <c r="P1991" s="116">
        <v>5360</v>
      </c>
      <c r="Q1991" s="116">
        <v>5344.25</v>
      </c>
      <c r="R1991">
        <v>98852</v>
      </c>
    </row>
    <row r="1992" spans="1:18" x14ac:dyDescent="0.25">
      <c r="A1992" s="170">
        <v>45566</v>
      </c>
      <c r="B1992" s="116">
        <v>5391</v>
      </c>
      <c r="C1992" s="116">
        <v>5345.05</v>
      </c>
      <c r="D1992" s="116">
        <v>5312.45</v>
      </c>
      <c r="E1992" s="116">
        <v>5328.95</v>
      </c>
      <c r="F1992" s="116">
        <v>5345.05</v>
      </c>
      <c r="G1992">
        <v>4845</v>
      </c>
      <c r="H1992" s="116"/>
      <c r="I1992" s="116"/>
      <c r="L1992" s="170">
        <v>45566</v>
      </c>
      <c r="M1992" s="116">
        <v>5345.65</v>
      </c>
      <c r="N1992" s="116">
        <v>5400</v>
      </c>
      <c r="O1992" s="116">
        <v>5312.5</v>
      </c>
      <c r="P1992" s="116">
        <v>5345</v>
      </c>
      <c r="Q1992" s="116">
        <v>5345.65</v>
      </c>
      <c r="R1992">
        <v>72956</v>
      </c>
    </row>
    <row r="1993" spans="1:18" x14ac:dyDescent="0.25">
      <c r="A1993" s="170">
        <v>45568</v>
      </c>
      <c r="B1993" s="116">
        <v>5345</v>
      </c>
      <c r="C1993" s="116">
        <v>5101.25</v>
      </c>
      <c r="D1993" s="116">
        <v>5090</v>
      </c>
      <c r="E1993" s="116">
        <v>5345</v>
      </c>
      <c r="F1993" s="116">
        <v>5101.25</v>
      </c>
      <c r="G1993">
        <v>9437</v>
      </c>
      <c r="H1993" s="116"/>
      <c r="I1993" s="116"/>
      <c r="L1993" s="170">
        <v>45568</v>
      </c>
      <c r="M1993" s="116">
        <v>5099.95</v>
      </c>
      <c r="N1993" s="116">
        <v>5321.35</v>
      </c>
      <c r="O1993" s="116">
        <v>5091.05</v>
      </c>
      <c r="P1993" s="116">
        <v>5300</v>
      </c>
      <c r="Q1993" s="116">
        <v>5099.95</v>
      </c>
      <c r="R1993">
        <v>320993</v>
      </c>
    </row>
    <row r="1994" spans="1:18" x14ac:dyDescent="0.25">
      <c r="A1994" s="170">
        <v>45569</v>
      </c>
      <c r="B1994" s="116">
        <v>5239.95</v>
      </c>
      <c r="C1994" s="116">
        <v>5078.6000000000004</v>
      </c>
      <c r="D1994" s="116">
        <v>5052.95</v>
      </c>
      <c r="E1994" s="116">
        <v>5090.25</v>
      </c>
      <c r="F1994" s="116">
        <v>5078.6000000000004</v>
      </c>
      <c r="G1994">
        <v>12291</v>
      </c>
      <c r="H1994" s="116"/>
      <c r="I1994" s="116"/>
      <c r="L1994" s="170">
        <v>45569</v>
      </c>
      <c r="M1994" s="116">
        <v>5071.6000000000004</v>
      </c>
      <c r="N1994" s="116">
        <v>5240.95</v>
      </c>
      <c r="O1994" s="116">
        <v>5055.1499999999996</v>
      </c>
      <c r="P1994" s="116">
        <v>5100</v>
      </c>
      <c r="Q1994" s="116">
        <v>5071.6000000000004</v>
      </c>
      <c r="R1994">
        <v>319501</v>
      </c>
    </row>
    <row r="1995" spans="1:18" x14ac:dyDescent="0.25">
      <c r="A1995" s="170">
        <v>45572</v>
      </c>
      <c r="B1995" s="116">
        <v>5181.05</v>
      </c>
      <c r="C1995" s="116">
        <v>5143.75</v>
      </c>
      <c r="D1995" s="116">
        <v>5011</v>
      </c>
      <c r="E1995" s="116">
        <v>5086.05</v>
      </c>
      <c r="F1995" s="116">
        <v>5143.75</v>
      </c>
      <c r="G1995">
        <v>10755</v>
      </c>
      <c r="H1995" s="116"/>
      <c r="I1995" s="116"/>
      <c r="L1995" s="170">
        <v>45572</v>
      </c>
      <c r="M1995" s="116">
        <v>5145.8</v>
      </c>
      <c r="N1995" s="116">
        <v>5186.75</v>
      </c>
      <c r="O1995" s="116">
        <v>5007.8500000000004</v>
      </c>
      <c r="P1995" s="116">
        <v>5130</v>
      </c>
      <c r="Q1995" s="116">
        <v>5145.8</v>
      </c>
      <c r="R1995">
        <v>373583</v>
      </c>
    </row>
    <row r="1996" spans="1:18" x14ac:dyDescent="0.25">
      <c r="A1996" s="170">
        <v>45573</v>
      </c>
      <c r="B1996" s="116">
        <v>5175.55</v>
      </c>
      <c r="C1996" s="116">
        <v>5145.7</v>
      </c>
      <c r="D1996" s="116">
        <v>5073.7</v>
      </c>
      <c r="E1996" s="116">
        <v>5134.6000000000004</v>
      </c>
      <c r="F1996" s="116">
        <v>5145.7</v>
      </c>
      <c r="G1996">
        <v>3647</v>
      </c>
      <c r="H1996" s="116"/>
      <c r="I1996" s="116"/>
      <c r="L1996" s="170">
        <v>45573</v>
      </c>
      <c r="M1996" s="116">
        <v>5144.7</v>
      </c>
      <c r="N1996" s="116">
        <v>5179</v>
      </c>
      <c r="O1996" s="116">
        <v>5075</v>
      </c>
      <c r="P1996" s="116">
        <v>5150</v>
      </c>
      <c r="Q1996" s="116">
        <v>5144.7</v>
      </c>
      <c r="R1996">
        <v>152798</v>
      </c>
    </row>
    <row r="1997" spans="1:18" x14ac:dyDescent="0.25">
      <c r="A1997" s="170">
        <v>45574</v>
      </c>
      <c r="B1997" s="116">
        <v>5238</v>
      </c>
      <c r="C1997" s="116">
        <v>5215.6000000000004</v>
      </c>
      <c r="D1997" s="116">
        <v>5158</v>
      </c>
      <c r="E1997" s="116">
        <v>5186</v>
      </c>
      <c r="F1997" s="116">
        <v>5215.6000000000004</v>
      </c>
      <c r="G1997">
        <v>6751</v>
      </c>
      <c r="H1997" s="116"/>
      <c r="I1997" s="116"/>
      <c r="L1997" s="170">
        <v>45574</v>
      </c>
      <c r="M1997" s="116">
        <v>5218.2</v>
      </c>
      <c r="N1997" s="116">
        <v>5237.95</v>
      </c>
      <c r="O1997" s="116">
        <v>5151.1499999999996</v>
      </c>
      <c r="P1997" s="116">
        <v>5220.2</v>
      </c>
      <c r="Q1997" s="116">
        <v>5218.2</v>
      </c>
      <c r="R1997">
        <v>119795</v>
      </c>
    </row>
    <row r="1998" spans="1:18" x14ac:dyDescent="0.25">
      <c r="A1998" s="170">
        <v>45575</v>
      </c>
      <c r="B1998" s="116">
        <v>5258.95</v>
      </c>
      <c r="C1998" s="116">
        <v>5191.25</v>
      </c>
      <c r="D1998" s="116">
        <v>5150</v>
      </c>
      <c r="E1998" s="116">
        <v>5250</v>
      </c>
      <c r="F1998" s="116">
        <v>5191.25</v>
      </c>
      <c r="G1998">
        <v>3132</v>
      </c>
      <c r="H1998" s="116"/>
      <c r="I1998" s="116"/>
      <c r="L1998" s="170">
        <v>45575</v>
      </c>
      <c r="M1998" s="116">
        <v>5196.5</v>
      </c>
      <c r="N1998" s="116">
        <v>5269.45</v>
      </c>
      <c r="O1998" s="116">
        <v>5126</v>
      </c>
      <c r="P1998" s="116">
        <v>5255</v>
      </c>
      <c r="Q1998" s="116">
        <v>5196.5</v>
      </c>
      <c r="R1998">
        <v>157161</v>
      </c>
    </row>
    <row r="1999" spans="1:18" x14ac:dyDescent="0.25">
      <c r="A1999" s="170">
        <v>45576</v>
      </c>
      <c r="B1999" s="116">
        <v>5245.85</v>
      </c>
      <c r="C1999" s="116">
        <v>5229.45</v>
      </c>
      <c r="D1999" s="116">
        <v>5182</v>
      </c>
      <c r="E1999" s="116">
        <v>5185.1499999999996</v>
      </c>
      <c r="F1999" s="116">
        <v>5229.45</v>
      </c>
      <c r="G1999">
        <v>1361</v>
      </c>
      <c r="H1999" s="116"/>
      <c r="I1999" s="116"/>
      <c r="L1999" s="170">
        <v>45576</v>
      </c>
      <c r="M1999" s="116">
        <v>5234.2</v>
      </c>
      <c r="N1999" s="116">
        <v>5249.95</v>
      </c>
      <c r="O1999" s="116">
        <v>5164.1000000000004</v>
      </c>
      <c r="P1999" s="116">
        <v>5190</v>
      </c>
      <c r="Q1999" s="116">
        <v>5234.2</v>
      </c>
      <c r="R1999">
        <v>70602</v>
      </c>
    </row>
    <row r="2000" spans="1:18" x14ac:dyDescent="0.25">
      <c r="A2000" s="170">
        <v>45579</v>
      </c>
      <c r="B2000" s="116">
        <v>5294.2</v>
      </c>
      <c r="C2000" s="116">
        <v>5278.05</v>
      </c>
      <c r="D2000" s="116">
        <v>5200</v>
      </c>
      <c r="E2000" s="116">
        <v>5200</v>
      </c>
      <c r="F2000" s="116">
        <v>5278.05</v>
      </c>
      <c r="G2000">
        <v>1971</v>
      </c>
      <c r="H2000" s="116"/>
      <c r="I2000" s="116"/>
      <c r="L2000" s="170">
        <v>45579</v>
      </c>
      <c r="M2000" s="116">
        <v>5278.5</v>
      </c>
      <c r="N2000" s="116">
        <v>5296</v>
      </c>
      <c r="O2000" s="116">
        <v>5196.3999999999996</v>
      </c>
      <c r="P2000" s="116">
        <v>5218</v>
      </c>
      <c r="Q2000" s="116">
        <v>5278.5</v>
      </c>
      <c r="R2000">
        <v>83317</v>
      </c>
    </row>
    <row r="2001" spans="1:18" x14ac:dyDescent="0.25">
      <c r="A2001" s="170">
        <v>45580</v>
      </c>
      <c r="B2001" s="116">
        <v>5334</v>
      </c>
      <c r="C2001" s="116">
        <v>5318.55</v>
      </c>
      <c r="D2001" s="116">
        <v>5253.45</v>
      </c>
      <c r="E2001" s="116">
        <v>5305.55</v>
      </c>
      <c r="F2001" s="116">
        <v>5318.55</v>
      </c>
      <c r="G2001">
        <v>2176</v>
      </c>
      <c r="H2001" s="116"/>
      <c r="I2001" s="116"/>
      <c r="L2001" s="170">
        <v>45580</v>
      </c>
      <c r="M2001" s="116">
        <v>5318.6</v>
      </c>
      <c r="N2001" s="116">
        <v>5327.05</v>
      </c>
      <c r="O2001" s="116">
        <v>5252</v>
      </c>
      <c r="P2001" s="116">
        <v>5309</v>
      </c>
      <c r="Q2001" s="116">
        <v>5318.6</v>
      </c>
      <c r="R2001">
        <v>83570</v>
      </c>
    </row>
    <row r="2002" spans="1:18" x14ac:dyDescent="0.25">
      <c r="A2002" s="170">
        <v>45581</v>
      </c>
      <c r="B2002" s="116">
        <v>5369.95</v>
      </c>
      <c r="C2002" s="116">
        <v>5351</v>
      </c>
      <c r="D2002" s="116">
        <v>5261.05</v>
      </c>
      <c r="E2002" s="116">
        <v>5315.2</v>
      </c>
      <c r="F2002" s="116">
        <v>5351</v>
      </c>
      <c r="G2002">
        <v>2270</v>
      </c>
      <c r="H2002" s="116"/>
      <c r="I2002" s="116"/>
      <c r="L2002" s="170">
        <v>45581</v>
      </c>
      <c r="M2002" s="116">
        <v>5356.9</v>
      </c>
      <c r="N2002" s="116">
        <v>5385</v>
      </c>
      <c r="O2002" s="116">
        <v>5262</v>
      </c>
      <c r="P2002" s="116">
        <v>5330</v>
      </c>
      <c r="Q2002" s="116">
        <v>5356.9</v>
      </c>
      <c r="R2002">
        <v>120498</v>
      </c>
    </row>
    <row r="2003" spans="1:18" x14ac:dyDescent="0.25">
      <c r="A2003" s="170">
        <v>45582</v>
      </c>
      <c r="B2003" s="116">
        <v>5420</v>
      </c>
      <c r="C2003" s="116">
        <v>5238.3</v>
      </c>
      <c r="D2003" s="116">
        <v>5211.05</v>
      </c>
      <c r="E2003" s="116">
        <v>5281.05</v>
      </c>
      <c r="F2003" s="116">
        <v>5238.3</v>
      </c>
      <c r="G2003">
        <v>10114</v>
      </c>
      <c r="H2003" s="116"/>
      <c r="I2003" s="116"/>
      <c r="L2003" s="170">
        <v>45582</v>
      </c>
      <c r="M2003" s="116">
        <v>5242.5</v>
      </c>
      <c r="N2003" s="116">
        <v>5424</v>
      </c>
      <c r="O2003" s="116">
        <v>5209.7</v>
      </c>
      <c r="P2003" s="116">
        <v>5269</v>
      </c>
      <c r="Q2003" s="116">
        <v>5242.5</v>
      </c>
      <c r="R2003">
        <v>419933</v>
      </c>
    </row>
    <row r="2004" spans="1:18" x14ac:dyDescent="0.25">
      <c r="A2004" s="170">
        <v>45583</v>
      </c>
      <c r="B2004" s="116">
        <v>5277.95</v>
      </c>
      <c r="C2004" s="116">
        <v>5135.8</v>
      </c>
      <c r="D2004" s="116">
        <v>5120.3500000000004</v>
      </c>
      <c r="E2004" s="116">
        <v>5238.3</v>
      </c>
      <c r="F2004" s="116">
        <v>5135.8</v>
      </c>
      <c r="G2004">
        <v>110896</v>
      </c>
      <c r="H2004" s="116"/>
      <c r="I2004" s="116"/>
      <c r="L2004" s="170">
        <v>45583</v>
      </c>
      <c r="M2004" s="116">
        <v>5132.1000000000004</v>
      </c>
      <c r="N2004" s="116">
        <v>5284</v>
      </c>
      <c r="O2004" s="116">
        <v>5118.05</v>
      </c>
      <c r="P2004" s="116">
        <v>5230</v>
      </c>
      <c r="Q2004" s="116">
        <v>5132.1000000000004</v>
      </c>
      <c r="R2004">
        <v>383959</v>
      </c>
    </row>
    <row r="2005" spans="1:18" x14ac:dyDescent="0.25">
      <c r="A2005" s="170">
        <v>45586</v>
      </c>
      <c r="B2005" s="116">
        <v>5326.8</v>
      </c>
      <c r="C2005" s="116">
        <v>5256.6</v>
      </c>
      <c r="D2005" s="116">
        <v>5103.05</v>
      </c>
      <c r="E2005" s="116">
        <v>5103.05</v>
      </c>
      <c r="F2005" s="116">
        <v>5256.6</v>
      </c>
      <c r="G2005">
        <v>9952</v>
      </c>
      <c r="H2005" s="116"/>
      <c r="I2005" s="116"/>
      <c r="L2005" s="170">
        <v>45586</v>
      </c>
      <c r="M2005" s="116">
        <v>5255.8</v>
      </c>
      <c r="N2005" s="116">
        <v>5327.65</v>
      </c>
      <c r="O2005" s="116">
        <v>5125</v>
      </c>
      <c r="P2005" s="116">
        <v>5132</v>
      </c>
      <c r="Q2005" s="116">
        <v>5255.8</v>
      </c>
      <c r="R2005">
        <v>263006</v>
      </c>
    </row>
    <row r="2006" spans="1:18" x14ac:dyDescent="0.25">
      <c r="A2006" s="170">
        <v>45587</v>
      </c>
      <c r="B2006" s="116">
        <v>5278.05</v>
      </c>
      <c r="C2006" s="116">
        <v>5161.25</v>
      </c>
      <c r="D2006" s="116">
        <v>5140.7</v>
      </c>
      <c r="E2006" s="116">
        <v>5236.8999999999996</v>
      </c>
      <c r="F2006" s="116">
        <v>5161.25</v>
      </c>
      <c r="G2006">
        <v>8289</v>
      </c>
      <c r="H2006" s="116"/>
      <c r="I2006" s="116"/>
      <c r="L2006" s="170">
        <v>45587</v>
      </c>
      <c r="M2006" s="116">
        <v>5163.25</v>
      </c>
      <c r="N2006" s="116">
        <v>5282.15</v>
      </c>
      <c r="O2006" s="116">
        <v>5143.8</v>
      </c>
      <c r="P2006" s="116">
        <v>5241</v>
      </c>
      <c r="Q2006" s="116">
        <v>5163.25</v>
      </c>
      <c r="R2006">
        <v>143051</v>
      </c>
    </row>
    <row r="2007" spans="1:18" x14ac:dyDescent="0.25">
      <c r="A2007" s="170">
        <v>45588</v>
      </c>
      <c r="B2007" s="116">
        <v>5407.5</v>
      </c>
      <c r="C2007" s="116">
        <v>5313.95</v>
      </c>
      <c r="D2007" s="116">
        <v>5126.1499999999996</v>
      </c>
      <c r="E2007" s="116">
        <v>5162.95</v>
      </c>
      <c r="F2007" s="116">
        <v>5313.95</v>
      </c>
      <c r="G2007">
        <v>6032</v>
      </c>
      <c r="H2007" s="116"/>
      <c r="I2007" s="116"/>
      <c r="L2007" s="170">
        <v>45588</v>
      </c>
      <c r="M2007" s="116">
        <v>5316.55</v>
      </c>
      <c r="N2007" s="116">
        <v>5412.8</v>
      </c>
      <c r="O2007" s="116">
        <v>5115.05</v>
      </c>
      <c r="P2007" s="116">
        <v>5150</v>
      </c>
      <c r="Q2007" s="116">
        <v>5316.55</v>
      </c>
      <c r="R2007">
        <v>181241</v>
      </c>
    </row>
    <row r="2008" spans="1:18" x14ac:dyDescent="0.25">
      <c r="A2008" s="170">
        <v>45589</v>
      </c>
      <c r="B2008" s="116">
        <v>5374.95</v>
      </c>
      <c r="C2008" s="116">
        <v>5280.75</v>
      </c>
      <c r="D2008" s="116">
        <v>5245.15</v>
      </c>
      <c r="E2008" s="116">
        <v>5374.95</v>
      </c>
      <c r="F2008" s="116">
        <v>5280.75</v>
      </c>
      <c r="G2008">
        <v>1086</v>
      </c>
      <c r="H2008" s="116"/>
      <c r="I2008" s="116"/>
      <c r="L2008" s="170">
        <v>45589</v>
      </c>
      <c r="M2008" s="116">
        <v>5284.5</v>
      </c>
      <c r="N2008" s="116">
        <v>5365.95</v>
      </c>
      <c r="O2008" s="116">
        <v>5241.6499999999996</v>
      </c>
      <c r="P2008" s="116">
        <v>5324.25</v>
      </c>
      <c r="Q2008" s="116">
        <v>5284.5</v>
      </c>
      <c r="R2008">
        <v>83752</v>
      </c>
    </row>
    <row r="2009" spans="1:18" x14ac:dyDescent="0.25">
      <c r="A2009" s="170">
        <v>45590</v>
      </c>
      <c r="B2009" s="116">
        <v>5261.15</v>
      </c>
      <c r="C2009" s="116">
        <v>5175.45</v>
      </c>
      <c r="D2009" s="116">
        <v>5130.3500000000004</v>
      </c>
      <c r="E2009" s="116">
        <v>5211</v>
      </c>
      <c r="F2009" s="116">
        <v>5175.45</v>
      </c>
      <c r="G2009">
        <v>1927</v>
      </c>
      <c r="H2009" s="116"/>
      <c r="I2009" s="116"/>
      <c r="L2009" s="170">
        <v>45590</v>
      </c>
      <c r="M2009" s="116">
        <v>5170.3</v>
      </c>
      <c r="N2009" s="116">
        <v>5278</v>
      </c>
      <c r="O2009" s="116">
        <v>5132.3500000000004</v>
      </c>
      <c r="P2009" s="116">
        <v>5260</v>
      </c>
      <c r="Q2009" s="116">
        <v>5170.3</v>
      </c>
      <c r="R2009">
        <v>108890</v>
      </c>
    </row>
    <row r="2010" spans="1:18" x14ac:dyDescent="0.25">
      <c r="A2010" s="170">
        <v>45593</v>
      </c>
      <c r="B2010" s="116">
        <v>5199.25</v>
      </c>
      <c r="C2010" s="116">
        <v>5147.8999999999996</v>
      </c>
      <c r="D2010" s="116">
        <v>5085.1499999999996</v>
      </c>
      <c r="E2010" s="116">
        <v>5145.05</v>
      </c>
      <c r="F2010" s="116">
        <v>5147.8999999999996</v>
      </c>
      <c r="G2010">
        <v>3640</v>
      </c>
      <c r="H2010" s="116"/>
      <c r="I2010" s="116"/>
      <c r="L2010" s="170">
        <v>45593</v>
      </c>
      <c r="M2010" s="116">
        <v>5150.1000000000004</v>
      </c>
      <c r="N2010" s="116">
        <v>5210</v>
      </c>
      <c r="O2010" s="116">
        <v>5090.1000000000004</v>
      </c>
      <c r="P2010" s="116">
        <v>5165</v>
      </c>
      <c r="Q2010" s="116">
        <v>5150.1000000000004</v>
      </c>
      <c r="R2010">
        <v>43851</v>
      </c>
    </row>
    <row r="2011" spans="1:18" x14ac:dyDescent="0.25">
      <c r="A2011" s="170">
        <v>45594</v>
      </c>
      <c r="B2011" s="116">
        <v>5212.6499999999996</v>
      </c>
      <c r="C2011" s="116">
        <v>5200.3</v>
      </c>
      <c r="D2011" s="116">
        <v>5110</v>
      </c>
      <c r="E2011" s="116">
        <v>5180.45</v>
      </c>
      <c r="F2011" s="116">
        <v>5200.3</v>
      </c>
      <c r="G2011">
        <v>1575</v>
      </c>
      <c r="H2011" s="116"/>
      <c r="I2011" s="116"/>
      <c r="L2011" s="170">
        <v>45594</v>
      </c>
      <c r="M2011" s="116">
        <v>5201.5</v>
      </c>
      <c r="N2011" s="116">
        <v>5215.2</v>
      </c>
      <c r="O2011" s="116">
        <v>5107.55</v>
      </c>
      <c r="P2011" s="116">
        <v>5164.6000000000004</v>
      </c>
      <c r="Q2011" s="116">
        <v>5201.5</v>
      </c>
      <c r="R2011">
        <v>126999</v>
      </c>
    </row>
    <row r="2012" spans="1:18" x14ac:dyDescent="0.25">
      <c r="A2012" s="170">
        <v>45595</v>
      </c>
      <c r="B2012" s="116">
        <v>5303.25</v>
      </c>
      <c r="C2012" s="116">
        <v>5150.95</v>
      </c>
      <c r="D2012" s="116">
        <v>5141.1499999999996</v>
      </c>
      <c r="E2012" s="116">
        <v>5188.05</v>
      </c>
      <c r="F2012" s="116">
        <v>5150.95</v>
      </c>
      <c r="G2012">
        <v>1140</v>
      </c>
      <c r="H2012" s="116"/>
      <c r="I2012" s="116"/>
      <c r="L2012" s="170">
        <v>45595</v>
      </c>
      <c r="M2012" s="116">
        <v>5156.3</v>
      </c>
      <c r="N2012" s="116">
        <v>5303.95</v>
      </c>
      <c r="O2012" s="116">
        <v>5143</v>
      </c>
      <c r="P2012" s="116">
        <v>5204.3</v>
      </c>
      <c r="Q2012" s="116">
        <v>5156.3</v>
      </c>
      <c r="R2012">
        <v>130738</v>
      </c>
    </row>
    <row r="2013" spans="1:18" x14ac:dyDescent="0.25">
      <c r="A2013" s="170">
        <v>45596</v>
      </c>
      <c r="B2013" s="116">
        <v>5182.3500000000004</v>
      </c>
      <c r="C2013" s="116">
        <v>4948.2</v>
      </c>
      <c r="D2013" s="116">
        <v>4907.8</v>
      </c>
      <c r="E2013" s="116">
        <v>5182.3500000000004</v>
      </c>
      <c r="F2013" s="116">
        <v>4948.2</v>
      </c>
      <c r="G2013">
        <v>6169</v>
      </c>
      <c r="H2013" s="116"/>
      <c r="I2013" s="116"/>
      <c r="L2013" s="170">
        <v>45596</v>
      </c>
      <c r="M2013" s="116">
        <v>4945.8500000000004</v>
      </c>
      <c r="N2013" s="116">
        <v>5156</v>
      </c>
      <c r="O2013" s="116">
        <v>4909.3</v>
      </c>
      <c r="P2013" s="116">
        <v>5140</v>
      </c>
      <c r="Q2013" s="116">
        <v>4945.8500000000004</v>
      </c>
      <c r="R2013">
        <v>298124</v>
      </c>
    </row>
    <row r="2014" spans="1:18" x14ac:dyDescent="0.25">
      <c r="A2014" s="170">
        <v>45597</v>
      </c>
      <c r="B2014" s="116">
        <v>4991</v>
      </c>
      <c r="C2014" s="116">
        <v>4960.05</v>
      </c>
      <c r="D2014" s="116">
        <v>4948.2</v>
      </c>
      <c r="E2014" s="116">
        <v>4948.2</v>
      </c>
      <c r="F2014" s="116">
        <v>4960.05</v>
      </c>
      <c r="G2014">
        <v>1619</v>
      </c>
      <c r="H2014" s="116"/>
      <c r="I2014" s="116"/>
      <c r="L2014" s="170">
        <v>45597</v>
      </c>
      <c r="M2014" s="116">
        <v>4958.6000000000004</v>
      </c>
      <c r="N2014" s="116">
        <v>4996.3500000000004</v>
      </c>
      <c r="O2014" s="116">
        <v>4950</v>
      </c>
      <c r="P2014" s="116">
        <v>4951.2</v>
      </c>
      <c r="Q2014" s="116">
        <v>4958.6000000000004</v>
      </c>
      <c r="R2014">
        <v>16557</v>
      </c>
    </row>
    <row r="2015" spans="1:18" x14ac:dyDescent="0.25">
      <c r="A2015" s="170">
        <v>45600</v>
      </c>
      <c r="B2015" s="116">
        <v>4971.6000000000004</v>
      </c>
      <c r="C2015" s="116">
        <v>4958.1000000000004</v>
      </c>
      <c r="D2015" s="116">
        <v>4870</v>
      </c>
      <c r="E2015" s="116">
        <v>4950.3500000000004</v>
      </c>
      <c r="F2015" s="116">
        <v>4958.1000000000004</v>
      </c>
      <c r="G2015">
        <v>7790</v>
      </c>
      <c r="H2015" s="116"/>
      <c r="I2015" s="116"/>
      <c r="L2015" s="170">
        <v>45600</v>
      </c>
      <c r="M2015" s="116">
        <v>4963.6499999999996</v>
      </c>
      <c r="N2015" s="116">
        <v>4977</v>
      </c>
      <c r="O2015" s="116">
        <v>4871</v>
      </c>
      <c r="P2015" s="116">
        <v>4960</v>
      </c>
      <c r="Q2015" s="116">
        <v>4963.6499999999996</v>
      </c>
      <c r="R2015">
        <v>83344</v>
      </c>
    </row>
    <row r="2016" spans="1:18" x14ac:dyDescent="0.25">
      <c r="A2016" s="170">
        <v>45601</v>
      </c>
      <c r="B2016" s="116">
        <v>4993.1499999999996</v>
      </c>
      <c r="C2016" s="116">
        <v>4967.8</v>
      </c>
      <c r="D2016" s="116">
        <v>4905.8999999999996</v>
      </c>
      <c r="E2016" s="116">
        <v>4951.05</v>
      </c>
      <c r="F2016" s="116">
        <v>4967.8</v>
      </c>
      <c r="G2016">
        <v>1453</v>
      </c>
      <c r="H2016" s="116"/>
      <c r="I2016" s="116"/>
      <c r="L2016" s="170">
        <v>45601</v>
      </c>
      <c r="M2016" s="116">
        <v>4962.3999999999996</v>
      </c>
      <c r="N2016" s="116">
        <v>4995.55</v>
      </c>
      <c r="O2016" s="116">
        <v>4905</v>
      </c>
      <c r="P2016" s="116">
        <v>4960</v>
      </c>
      <c r="Q2016" s="116">
        <v>4962.3999999999996</v>
      </c>
      <c r="R2016">
        <v>46398</v>
      </c>
    </row>
    <row r="2017" spans="1:18" x14ac:dyDescent="0.25">
      <c r="A2017" s="170">
        <v>45602</v>
      </c>
      <c r="B2017" s="116">
        <v>5228</v>
      </c>
      <c r="C2017" s="116">
        <v>5202.6499999999996</v>
      </c>
      <c r="D2017" s="116">
        <v>5006.3999999999996</v>
      </c>
      <c r="E2017" s="116">
        <v>5011.05</v>
      </c>
      <c r="F2017" s="116">
        <v>5202.6499999999996</v>
      </c>
      <c r="G2017">
        <v>13074</v>
      </c>
      <c r="H2017" s="116"/>
      <c r="I2017" s="116"/>
      <c r="L2017" s="170">
        <v>45602</v>
      </c>
      <c r="M2017" s="116">
        <v>5198.7</v>
      </c>
      <c r="N2017" s="116">
        <v>5230.45</v>
      </c>
      <c r="O2017" s="116">
        <v>5009</v>
      </c>
      <c r="P2017" s="116">
        <v>5016.8500000000004</v>
      </c>
      <c r="Q2017" s="116">
        <v>5198.7</v>
      </c>
      <c r="R2017">
        <v>153304</v>
      </c>
    </row>
    <row r="2018" spans="1:18" x14ac:dyDescent="0.25">
      <c r="A2018" s="170">
        <v>45603</v>
      </c>
      <c r="B2018" s="116">
        <v>5219.8999999999996</v>
      </c>
      <c r="C2018" s="116">
        <v>5143.3500000000004</v>
      </c>
      <c r="D2018" s="116">
        <v>5094.1000000000004</v>
      </c>
      <c r="E2018" s="116">
        <v>5219.8999999999996</v>
      </c>
      <c r="F2018" s="116">
        <v>5143.3500000000004</v>
      </c>
      <c r="G2018">
        <v>4146</v>
      </c>
      <c r="H2018" s="116"/>
      <c r="I2018" s="116"/>
      <c r="L2018" s="170">
        <v>45603</v>
      </c>
      <c r="M2018" s="116">
        <v>5143.1000000000004</v>
      </c>
      <c r="N2018" s="116">
        <v>5216.8999999999996</v>
      </c>
      <c r="O2018" s="116">
        <v>5090.6000000000004</v>
      </c>
      <c r="P2018" s="116">
        <v>5200</v>
      </c>
      <c r="Q2018" s="116">
        <v>5143.1000000000004</v>
      </c>
      <c r="R2018">
        <v>81493</v>
      </c>
    </row>
    <row r="2019" spans="1:18" x14ac:dyDescent="0.25">
      <c r="A2019" s="170">
        <v>45604</v>
      </c>
      <c r="B2019" s="116">
        <v>5234.95</v>
      </c>
      <c r="C2019" s="116">
        <v>5098.6000000000004</v>
      </c>
      <c r="D2019" s="116">
        <v>5087.8500000000004</v>
      </c>
      <c r="E2019" s="116">
        <v>5156</v>
      </c>
      <c r="F2019" s="116">
        <v>5098.6000000000004</v>
      </c>
      <c r="G2019">
        <v>6278</v>
      </c>
      <c r="H2019" s="116"/>
      <c r="I2019" s="116"/>
      <c r="L2019" s="170">
        <v>45604</v>
      </c>
      <c r="M2019" s="116">
        <v>5100.95</v>
      </c>
      <c r="N2019" s="116">
        <v>5237</v>
      </c>
      <c r="O2019" s="116">
        <v>5090.05</v>
      </c>
      <c r="P2019" s="116">
        <v>5174.8</v>
      </c>
      <c r="Q2019" s="116">
        <v>5100.95</v>
      </c>
      <c r="R2019">
        <v>98531</v>
      </c>
    </row>
    <row r="2020" spans="1:18" x14ac:dyDescent="0.25">
      <c r="A2020" s="170">
        <v>45607</v>
      </c>
      <c r="B2020" s="116">
        <v>5155.95</v>
      </c>
      <c r="C2020" s="116">
        <v>5107.3500000000004</v>
      </c>
      <c r="D2020" s="116">
        <v>5027.45</v>
      </c>
      <c r="E2020" s="116">
        <v>5100</v>
      </c>
      <c r="F2020" s="116">
        <v>5107.3500000000004</v>
      </c>
      <c r="G2020">
        <v>1918</v>
      </c>
      <c r="H2020" s="116"/>
      <c r="I2020" s="116"/>
      <c r="L2020" s="170">
        <v>45607</v>
      </c>
      <c r="M2020" s="116">
        <v>5111.05</v>
      </c>
      <c r="N2020" s="116">
        <v>5159.3</v>
      </c>
      <c r="O2020" s="116">
        <v>5023.3500000000004</v>
      </c>
      <c r="P2020" s="116">
        <v>5090.95</v>
      </c>
      <c r="Q2020" s="116">
        <v>5111.05</v>
      </c>
      <c r="R2020">
        <v>51753</v>
      </c>
    </row>
    <row r="2021" spans="1:18" x14ac:dyDescent="0.25">
      <c r="A2021" s="170">
        <v>45608</v>
      </c>
      <c r="B2021" s="116">
        <v>5370</v>
      </c>
      <c r="C2021" s="116">
        <v>5273.6</v>
      </c>
      <c r="D2021" s="116">
        <v>5166.45</v>
      </c>
      <c r="E2021" s="116">
        <v>5181</v>
      </c>
      <c r="F2021" s="116">
        <v>5273.6</v>
      </c>
      <c r="G2021">
        <v>9795</v>
      </c>
      <c r="H2021" s="116"/>
      <c r="I2021" s="116"/>
      <c r="L2021" s="170">
        <v>45608</v>
      </c>
      <c r="M2021" s="116">
        <v>5278.85</v>
      </c>
      <c r="N2021" s="116">
        <v>5370</v>
      </c>
      <c r="O2021" s="116">
        <v>5156.95</v>
      </c>
      <c r="P2021" s="116">
        <v>5157</v>
      </c>
      <c r="Q2021" s="116">
        <v>5278.85</v>
      </c>
      <c r="R2021">
        <v>368421</v>
      </c>
    </row>
    <row r="2022" spans="1:18" x14ac:dyDescent="0.25">
      <c r="A2022" s="170">
        <v>45609</v>
      </c>
      <c r="B2022" s="116">
        <v>5331.05</v>
      </c>
      <c r="C2022" s="116">
        <v>5170.45</v>
      </c>
      <c r="D2022" s="116">
        <v>5156</v>
      </c>
      <c r="E2022" s="116">
        <v>5280.05</v>
      </c>
      <c r="F2022" s="116">
        <v>5170.45</v>
      </c>
      <c r="G2022">
        <v>3343</v>
      </c>
      <c r="H2022" s="116"/>
      <c r="I2022" s="116"/>
      <c r="L2022" s="170">
        <v>45609</v>
      </c>
      <c r="M2022" s="116">
        <v>5174.75</v>
      </c>
      <c r="N2022" s="116">
        <v>5331.5</v>
      </c>
      <c r="O2022" s="116">
        <v>5151.8500000000004</v>
      </c>
      <c r="P2022" s="116">
        <v>5295</v>
      </c>
      <c r="Q2022" s="116">
        <v>5174.75</v>
      </c>
      <c r="R2022">
        <v>104383</v>
      </c>
    </row>
    <row r="2023" spans="1:18" x14ac:dyDescent="0.25">
      <c r="A2023" s="170">
        <v>45610</v>
      </c>
      <c r="B2023" s="116">
        <v>5223.45</v>
      </c>
      <c r="C2023" s="116">
        <v>5165.8999999999996</v>
      </c>
      <c r="D2023" s="116">
        <v>5116.8999999999996</v>
      </c>
      <c r="E2023" s="116">
        <v>5179.95</v>
      </c>
      <c r="F2023" s="116">
        <v>5165.8999999999996</v>
      </c>
      <c r="G2023">
        <v>3052</v>
      </c>
      <c r="H2023" s="116"/>
      <c r="I2023" s="116"/>
      <c r="L2023" s="170">
        <v>45610</v>
      </c>
      <c r="M2023" s="116">
        <v>5170</v>
      </c>
      <c r="N2023" s="116">
        <v>5221.05</v>
      </c>
      <c r="O2023" s="116">
        <v>5115.6499999999996</v>
      </c>
      <c r="P2023" s="116">
        <v>5174.75</v>
      </c>
      <c r="Q2023" s="116">
        <v>5170</v>
      </c>
      <c r="R2023">
        <v>68662</v>
      </c>
    </row>
    <row r="2024" spans="1:18" x14ac:dyDescent="0.25">
      <c r="A2024" s="170">
        <v>45614</v>
      </c>
      <c r="B2024" s="116">
        <v>5170.45</v>
      </c>
      <c r="C2024" s="116">
        <v>5107.1499999999996</v>
      </c>
      <c r="D2024" s="116">
        <v>5013.05</v>
      </c>
      <c r="E2024" s="116">
        <v>5170.45</v>
      </c>
      <c r="F2024" s="116">
        <v>5107.1499999999996</v>
      </c>
      <c r="G2024">
        <v>1759</v>
      </c>
      <c r="H2024" s="116"/>
      <c r="I2024" s="116"/>
      <c r="L2024" s="170">
        <v>45614</v>
      </c>
      <c r="M2024" s="116">
        <v>5104.3</v>
      </c>
      <c r="N2024" s="116">
        <v>5199.25</v>
      </c>
      <c r="O2024" s="116">
        <v>5012.05</v>
      </c>
      <c r="P2024" s="116">
        <v>5185</v>
      </c>
      <c r="Q2024" s="116">
        <v>5104.3</v>
      </c>
      <c r="R2024">
        <v>75125</v>
      </c>
    </row>
    <row r="2025" spans="1:18" x14ac:dyDescent="0.25">
      <c r="A2025" s="170">
        <v>45615</v>
      </c>
      <c r="B2025" s="116">
        <v>5234</v>
      </c>
      <c r="C2025" s="116">
        <v>5132.7</v>
      </c>
      <c r="D2025" s="116">
        <v>5080.55</v>
      </c>
      <c r="E2025" s="116">
        <v>5107.6000000000004</v>
      </c>
      <c r="F2025" s="116">
        <v>5132.7</v>
      </c>
      <c r="G2025">
        <v>3505</v>
      </c>
      <c r="H2025" s="116"/>
      <c r="I2025" s="116"/>
      <c r="L2025" s="170">
        <v>45615</v>
      </c>
      <c r="M2025" s="116">
        <v>5132.95</v>
      </c>
      <c r="N2025" s="116">
        <v>5236.45</v>
      </c>
      <c r="O2025" s="116">
        <v>5088.1000000000004</v>
      </c>
      <c r="P2025" s="116">
        <v>5126.8999999999996</v>
      </c>
      <c r="Q2025" s="116">
        <v>5132.95</v>
      </c>
      <c r="R2025">
        <v>74262</v>
      </c>
    </row>
    <row r="2026" spans="1:18" x14ac:dyDescent="0.25">
      <c r="A2026" s="170">
        <v>45617</v>
      </c>
      <c r="B2026" s="116">
        <v>5188.8500000000004</v>
      </c>
      <c r="C2026" s="116">
        <v>5163.8999999999996</v>
      </c>
      <c r="D2026" s="116">
        <v>5079</v>
      </c>
      <c r="E2026" s="116">
        <v>5139.95</v>
      </c>
      <c r="F2026" s="116">
        <v>5163.8999999999996</v>
      </c>
      <c r="G2026">
        <v>1315</v>
      </c>
      <c r="H2026" s="116"/>
      <c r="I2026" s="116"/>
      <c r="L2026" s="170">
        <v>45617</v>
      </c>
      <c r="M2026" s="116">
        <v>5165.7</v>
      </c>
      <c r="N2026" s="116">
        <v>5194.1000000000004</v>
      </c>
      <c r="O2026" s="116">
        <v>5066.55</v>
      </c>
      <c r="P2026" s="116">
        <v>5157</v>
      </c>
      <c r="Q2026" s="116">
        <v>5165.7</v>
      </c>
      <c r="R2026">
        <v>80690</v>
      </c>
    </row>
    <row r="2027" spans="1:18" x14ac:dyDescent="0.25">
      <c r="A2027" s="170">
        <v>45618</v>
      </c>
      <c r="B2027" s="116">
        <v>5318</v>
      </c>
      <c r="C2027" s="116">
        <v>5304.85</v>
      </c>
      <c r="D2027" s="116">
        <v>5166.8999999999996</v>
      </c>
      <c r="E2027" s="116">
        <v>5167.6499999999996</v>
      </c>
      <c r="F2027" s="116">
        <v>5304.85</v>
      </c>
      <c r="G2027">
        <v>1862</v>
      </c>
      <c r="H2027" s="116"/>
      <c r="I2027" s="116"/>
      <c r="L2027" s="170">
        <v>45618</v>
      </c>
      <c r="M2027" s="116">
        <v>5307</v>
      </c>
      <c r="N2027" s="116">
        <v>5318</v>
      </c>
      <c r="O2027" s="116">
        <v>5165.7</v>
      </c>
      <c r="P2027" s="116">
        <v>5186.95</v>
      </c>
      <c r="Q2027" s="116">
        <v>5307</v>
      </c>
      <c r="R2027">
        <v>96459</v>
      </c>
    </row>
    <row r="2028" spans="1:18" x14ac:dyDescent="0.25">
      <c r="A2028" s="170">
        <v>45621</v>
      </c>
      <c r="B2028" s="116">
        <v>5492.6</v>
      </c>
      <c r="C2028" s="116">
        <v>5455.2</v>
      </c>
      <c r="D2028" s="116">
        <v>5320.05</v>
      </c>
      <c r="E2028" s="116">
        <v>5350.3</v>
      </c>
      <c r="F2028" s="116">
        <v>5455.2</v>
      </c>
      <c r="G2028">
        <v>2956</v>
      </c>
      <c r="H2028" s="116"/>
      <c r="I2028" s="116"/>
      <c r="L2028" s="170">
        <v>45621</v>
      </c>
      <c r="M2028" s="116">
        <v>5458.15</v>
      </c>
      <c r="N2028" s="116">
        <v>5496.95</v>
      </c>
      <c r="O2028" s="116">
        <v>5320.2</v>
      </c>
      <c r="P2028" s="116">
        <v>5399</v>
      </c>
      <c r="Q2028" s="116">
        <v>5458.15</v>
      </c>
      <c r="R2028">
        <v>169321</v>
      </c>
    </row>
    <row r="2029" spans="1:18" x14ac:dyDescent="0.25">
      <c r="A2029" s="170">
        <v>45622</v>
      </c>
      <c r="B2029" s="116">
        <v>5549.1</v>
      </c>
      <c r="C2029" s="116">
        <v>5489.35</v>
      </c>
      <c r="D2029" s="116">
        <v>5458.65</v>
      </c>
      <c r="E2029" s="116">
        <v>5458.65</v>
      </c>
      <c r="F2029" s="116">
        <v>5489.35</v>
      </c>
      <c r="G2029">
        <v>2025</v>
      </c>
      <c r="H2029" s="116"/>
      <c r="I2029" s="116"/>
      <c r="L2029" s="170">
        <v>45622</v>
      </c>
      <c r="M2029" s="116">
        <v>5489.7</v>
      </c>
      <c r="N2029" s="116">
        <v>5548</v>
      </c>
      <c r="O2029" s="116">
        <v>5459.2</v>
      </c>
      <c r="P2029" s="116">
        <v>5470</v>
      </c>
      <c r="Q2029" s="116">
        <v>5489.7</v>
      </c>
      <c r="R2029">
        <v>137260</v>
      </c>
    </row>
    <row r="2030" spans="1:18" x14ac:dyDescent="0.25">
      <c r="A2030" s="170">
        <v>45623</v>
      </c>
      <c r="B2030" s="116">
        <v>5489.7</v>
      </c>
      <c r="C2030" s="116">
        <v>5430.95</v>
      </c>
      <c r="D2030" s="116">
        <v>5423.65</v>
      </c>
      <c r="E2030" s="116">
        <v>5460</v>
      </c>
      <c r="F2030" s="116">
        <v>5430.95</v>
      </c>
      <c r="G2030">
        <v>1653</v>
      </c>
      <c r="H2030" s="116"/>
      <c r="I2030" s="116"/>
      <c r="L2030" s="170">
        <v>45623</v>
      </c>
      <c r="M2030" s="116">
        <v>5431.2</v>
      </c>
      <c r="N2030" s="116">
        <v>5496</v>
      </c>
      <c r="O2030" s="116">
        <v>5418.05</v>
      </c>
      <c r="P2030" s="116">
        <v>5436</v>
      </c>
      <c r="Q2030" s="116">
        <v>5431.2</v>
      </c>
      <c r="R2030">
        <v>72429</v>
      </c>
    </row>
    <row r="2031" spans="1:18" x14ac:dyDescent="0.25">
      <c r="A2031" s="170">
        <v>45624</v>
      </c>
      <c r="B2031" s="116">
        <v>5442</v>
      </c>
      <c r="C2031" s="116">
        <v>5251.25</v>
      </c>
      <c r="D2031" s="116">
        <v>5220.8999999999996</v>
      </c>
      <c r="E2031" s="116">
        <v>5442</v>
      </c>
      <c r="F2031" s="116">
        <v>5251.25</v>
      </c>
      <c r="G2031">
        <v>5101</v>
      </c>
      <c r="H2031" s="116"/>
      <c r="I2031" s="116"/>
      <c r="L2031" s="170">
        <v>45624</v>
      </c>
      <c r="M2031" s="116">
        <v>5249.65</v>
      </c>
      <c r="N2031" s="116">
        <v>5440</v>
      </c>
      <c r="O2031" s="116">
        <v>5220</v>
      </c>
      <c r="P2031" s="116">
        <v>5431.5</v>
      </c>
      <c r="Q2031" s="116">
        <v>5249.65</v>
      </c>
      <c r="R2031">
        <v>158950</v>
      </c>
    </row>
    <row r="2032" spans="1:18" x14ac:dyDescent="0.25">
      <c r="A2032" s="170">
        <v>45625</v>
      </c>
      <c r="B2032" s="116">
        <v>5324.25</v>
      </c>
      <c r="C2032" s="116">
        <v>5282.6</v>
      </c>
      <c r="D2032" s="116">
        <v>5237.1499999999996</v>
      </c>
      <c r="E2032" s="116">
        <v>5266</v>
      </c>
      <c r="F2032" s="116">
        <v>5282.6</v>
      </c>
      <c r="G2032">
        <v>3876</v>
      </c>
      <c r="H2032" s="116"/>
      <c r="I2032" s="116"/>
      <c r="L2032" s="170">
        <v>45625</v>
      </c>
      <c r="M2032" s="116">
        <v>5285.2</v>
      </c>
      <c r="N2032" s="116">
        <v>5325</v>
      </c>
      <c r="O2032" s="116">
        <v>5242.05</v>
      </c>
      <c r="P2032" s="116">
        <v>5278</v>
      </c>
      <c r="Q2032" s="116">
        <v>5285.2</v>
      </c>
      <c r="R2032">
        <v>54303</v>
      </c>
    </row>
    <row r="2033" spans="1:18" x14ac:dyDescent="0.25">
      <c r="A2033" s="170">
        <v>45628</v>
      </c>
      <c r="B2033" s="116">
        <v>5287.95</v>
      </c>
      <c r="C2033" s="116">
        <v>5275.3</v>
      </c>
      <c r="D2033" s="116">
        <v>5234.55</v>
      </c>
      <c r="E2033" s="116">
        <v>5287.95</v>
      </c>
      <c r="F2033" s="116">
        <v>5275.3</v>
      </c>
      <c r="G2033">
        <v>1263</v>
      </c>
      <c r="H2033" s="116"/>
      <c r="I2033" s="116"/>
      <c r="L2033" s="170">
        <v>45628</v>
      </c>
      <c r="M2033" s="116">
        <v>5276.9</v>
      </c>
      <c r="N2033" s="116">
        <v>5285.15</v>
      </c>
      <c r="O2033" s="116">
        <v>5232</v>
      </c>
      <c r="P2033" s="116">
        <v>5280</v>
      </c>
      <c r="Q2033" s="116">
        <v>5276.9</v>
      </c>
      <c r="R2033">
        <v>68573</v>
      </c>
    </row>
    <row r="2034" spans="1:18" x14ac:dyDescent="0.25">
      <c r="A2034" s="170">
        <v>45629</v>
      </c>
      <c r="B2034" s="116">
        <v>5335.35</v>
      </c>
      <c r="C2034" s="116">
        <v>5313.95</v>
      </c>
      <c r="D2034" s="116">
        <v>5273.7</v>
      </c>
      <c r="E2034" s="116">
        <v>5285.05</v>
      </c>
      <c r="F2034" s="116">
        <v>5313.95</v>
      </c>
      <c r="G2034">
        <v>1144</v>
      </c>
      <c r="H2034" s="116"/>
      <c r="I2034" s="116"/>
      <c r="L2034" s="170">
        <v>45629</v>
      </c>
      <c r="M2034" s="116">
        <v>5316.55</v>
      </c>
      <c r="N2034" s="116">
        <v>5340.3</v>
      </c>
      <c r="O2034" s="116">
        <v>5271</v>
      </c>
      <c r="P2034" s="116">
        <v>5297</v>
      </c>
      <c r="Q2034" s="116">
        <v>5316.55</v>
      </c>
      <c r="R2034">
        <v>75604</v>
      </c>
    </row>
    <row r="2035" spans="1:18" x14ac:dyDescent="0.25">
      <c r="A2035" s="170">
        <v>45630</v>
      </c>
      <c r="B2035" s="116">
        <v>5380.35</v>
      </c>
      <c r="C2035" s="116">
        <v>5304.65</v>
      </c>
      <c r="D2035" s="116">
        <v>5269.25</v>
      </c>
      <c r="E2035" s="116">
        <v>5359.8</v>
      </c>
      <c r="F2035" s="116">
        <v>5304.65</v>
      </c>
      <c r="G2035">
        <v>1616</v>
      </c>
      <c r="H2035" s="116"/>
      <c r="I2035" s="116"/>
      <c r="L2035" s="170">
        <v>45630</v>
      </c>
      <c r="M2035" s="116">
        <v>5300.85</v>
      </c>
      <c r="N2035" s="116">
        <v>5383</v>
      </c>
      <c r="O2035" s="116">
        <v>5270.7</v>
      </c>
      <c r="P2035" s="116">
        <v>5345</v>
      </c>
      <c r="Q2035" s="116">
        <v>5300.85</v>
      </c>
      <c r="R2035">
        <v>96331</v>
      </c>
    </row>
    <row r="2036" spans="1:18" x14ac:dyDescent="0.25">
      <c r="A2036" s="170">
        <v>45631</v>
      </c>
      <c r="B2036" s="116">
        <v>5394.65</v>
      </c>
      <c r="C2036" s="116">
        <v>5335.15</v>
      </c>
      <c r="D2036" s="116">
        <v>5300</v>
      </c>
      <c r="E2036" s="116">
        <v>5346.55</v>
      </c>
      <c r="F2036" s="116">
        <v>5335.15</v>
      </c>
      <c r="G2036">
        <v>5450</v>
      </c>
      <c r="H2036" s="116"/>
      <c r="I2036" s="116"/>
      <c r="L2036" s="170">
        <v>45631</v>
      </c>
      <c r="M2036" s="116">
        <v>5336.4</v>
      </c>
      <c r="N2036" s="116">
        <v>5397.7</v>
      </c>
      <c r="O2036" s="116">
        <v>5297.55</v>
      </c>
      <c r="P2036" s="116">
        <v>5330.5</v>
      </c>
      <c r="Q2036" s="116">
        <v>5336.4</v>
      </c>
      <c r="R2036">
        <v>90296</v>
      </c>
    </row>
    <row r="2037" spans="1:18" x14ac:dyDescent="0.25">
      <c r="A2037" s="170">
        <v>45632</v>
      </c>
      <c r="B2037" s="116">
        <v>5360</v>
      </c>
      <c r="C2037" s="116">
        <v>5317.65</v>
      </c>
      <c r="D2037" s="116">
        <v>5300</v>
      </c>
      <c r="E2037" s="116">
        <v>5340.2</v>
      </c>
      <c r="F2037" s="116">
        <v>5317.65</v>
      </c>
      <c r="G2037">
        <v>1492</v>
      </c>
      <c r="H2037" s="116"/>
      <c r="I2037" s="116"/>
      <c r="L2037" s="170">
        <v>45632</v>
      </c>
      <c r="M2037" s="116">
        <v>5318.75</v>
      </c>
      <c r="N2037" s="116">
        <v>5366.55</v>
      </c>
      <c r="O2037" s="116">
        <v>5284.05</v>
      </c>
      <c r="P2037" s="116">
        <v>5352.95</v>
      </c>
      <c r="Q2037" s="116">
        <v>5318.75</v>
      </c>
      <c r="R2037">
        <v>40434</v>
      </c>
    </row>
    <row r="2038" spans="1:18" x14ac:dyDescent="0.25">
      <c r="A2038" s="170">
        <v>45635</v>
      </c>
      <c r="B2038" s="116">
        <v>5373.95</v>
      </c>
      <c r="C2038" s="116">
        <v>5349.25</v>
      </c>
      <c r="D2038" s="116">
        <v>5300.05</v>
      </c>
      <c r="E2038" s="116">
        <v>5300.05</v>
      </c>
      <c r="F2038" s="116">
        <v>5349.25</v>
      </c>
      <c r="G2038">
        <v>611</v>
      </c>
      <c r="H2038" s="116"/>
      <c r="I2038" s="116"/>
      <c r="L2038" s="170">
        <v>45635</v>
      </c>
      <c r="M2038" s="116">
        <v>5348.9</v>
      </c>
      <c r="N2038" s="116">
        <v>5384.3</v>
      </c>
      <c r="O2038" s="116">
        <v>5312.05</v>
      </c>
      <c r="P2038" s="116">
        <v>5318.75</v>
      </c>
      <c r="Q2038" s="116">
        <v>5348.9</v>
      </c>
      <c r="R2038">
        <v>52897</v>
      </c>
    </row>
    <row r="2039" spans="1:18" x14ac:dyDescent="0.25">
      <c r="A2039" s="170">
        <v>45636</v>
      </c>
      <c r="B2039" s="116">
        <v>5435</v>
      </c>
      <c r="C2039" s="116">
        <v>5368.6</v>
      </c>
      <c r="D2039" s="116">
        <v>5313.3</v>
      </c>
      <c r="E2039" s="116">
        <v>5321</v>
      </c>
      <c r="F2039" s="116">
        <v>5368.6</v>
      </c>
      <c r="G2039">
        <v>6675</v>
      </c>
      <c r="H2039" s="116"/>
      <c r="I2039" s="116"/>
      <c r="L2039" s="170">
        <v>45636</v>
      </c>
      <c r="M2039" s="116">
        <v>5368.95</v>
      </c>
      <c r="N2039" s="116">
        <v>5433.95</v>
      </c>
      <c r="O2039" s="116">
        <v>5317.95</v>
      </c>
      <c r="P2039" s="116">
        <v>5318</v>
      </c>
      <c r="Q2039" s="116">
        <v>5368.95</v>
      </c>
      <c r="R2039">
        <v>133079</v>
      </c>
    </row>
    <row r="2040" spans="1:18" x14ac:dyDescent="0.25">
      <c r="A2040" s="170">
        <v>45637</v>
      </c>
      <c r="B2040" s="116">
        <v>5406</v>
      </c>
      <c r="C2040" s="116">
        <v>5366.85</v>
      </c>
      <c r="D2040" s="116">
        <v>5337.6</v>
      </c>
      <c r="E2040" s="116">
        <v>5382.15</v>
      </c>
      <c r="F2040" s="116">
        <v>5366.85</v>
      </c>
      <c r="G2040">
        <v>1613</v>
      </c>
      <c r="H2040" s="116"/>
      <c r="I2040" s="116"/>
      <c r="L2040" s="170">
        <v>45637</v>
      </c>
      <c r="M2040" s="116">
        <v>5370.1</v>
      </c>
      <c r="N2040" s="116">
        <v>5407.35</v>
      </c>
      <c r="O2040" s="116">
        <v>5340</v>
      </c>
      <c r="P2040" s="116">
        <v>5380</v>
      </c>
      <c r="Q2040" s="116">
        <v>5370.1</v>
      </c>
      <c r="R2040">
        <v>61968</v>
      </c>
    </row>
    <row r="2041" spans="1:18" x14ac:dyDescent="0.25">
      <c r="A2041" s="170">
        <v>45638</v>
      </c>
      <c r="B2041" s="116">
        <v>5436.25</v>
      </c>
      <c r="C2041" s="116">
        <v>5421.8</v>
      </c>
      <c r="D2041" s="116">
        <v>5362.6</v>
      </c>
      <c r="E2041" s="116">
        <v>5366.05</v>
      </c>
      <c r="F2041" s="116">
        <v>5421.8</v>
      </c>
      <c r="G2041">
        <v>4236</v>
      </c>
      <c r="H2041" s="116"/>
      <c r="I2041" s="116"/>
      <c r="L2041" s="170">
        <v>45638</v>
      </c>
      <c r="M2041" s="116">
        <v>5422.8</v>
      </c>
      <c r="N2041" s="116">
        <v>5439</v>
      </c>
      <c r="O2041" s="116">
        <v>5365</v>
      </c>
      <c r="P2041" s="116">
        <v>5386.4</v>
      </c>
      <c r="Q2041" s="116">
        <v>5422.8</v>
      </c>
      <c r="R2041">
        <v>113706</v>
      </c>
    </row>
    <row r="2042" spans="1:18" x14ac:dyDescent="0.25">
      <c r="A2042" s="170">
        <v>45639</v>
      </c>
      <c r="B2042" s="116">
        <v>5407.75</v>
      </c>
      <c r="C2042" s="116">
        <v>5400.05</v>
      </c>
      <c r="D2042" s="116">
        <v>5282.75</v>
      </c>
      <c r="E2042" s="116">
        <v>5315.7</v>
      </c>
      <c r="F2042" s="116">
        <v>5400.05</v>
      </c>
      <c r="G2042">
        <v>5903</v>
      </c>
      <c r="H2042" s="116"/>
      <c r="I2042" s="116"/>
      <c r="L2042" s="170">
        <v>45639</v>
      </c>
      <c r="M2042" s="116">
        <v>5397</v>
      </c>
      <c r="N2042" s="116">
        <v>5407.65</v>
      </c>
      <c r="O2042" s="116">
        <v>5278.55</v>
      </c>
      <c r="P2042" s="116">
        <v>5404.8</v>
      </c>
      <c r="Q2042" s="116">
        <v>5397</v>
      </c>
      <c r="R2042">
        <v>126645</v>
      </c>
    </row>
    <row r="2043" spans="1:18" x14ac:dyDescent="0.25">
      <c r="A2043" s="170">
        <v>45642</v>
      </c>
      <c r="B2043" s="116">
        <v>5424.25</v>
      </c>
      <c r="C2043" s="116">
        <v>5352.35</v>
      </c>
      <c r="D2043" s="116">
        <v>5337.15</v>
      </c>
      <c r="E2043" s="116">
        <v>5424.25</v>
      </c>
      <c r="F2043" s="116">
        <v>5352.35</v>
      </c>
      <c r="G2043">
        <v>4987</v>
      </c>
      <c r="H2043" s="116"/>
      <c r="I2043" s="116"/>
      <c r="L2043" s="170">
        <v>45642</v>
      </c>
      <c r="M2043" s="116">
        <v>5360.6</v>
      </c>
      <c r="N2043" s="116">
        <v>5416.75</v>
      </c>
      <c r="O2043" s="116">
        <v>5340</v>
      </c>
      <c r="P2043" s="116">
        <v>5404.8</v>
      </c>
      <c r="Q2043" s="116">
        <v>5360.6</v>
      </c>
      <c r="R2043">
        <v>49297</v>
      </c>
    </row>
    <row r="2044" spans="1:18" x14ac:dyDescent="0.25">
      <c r="A2044" s="170">
        <v>45643</v>
      </c>
      <c r="B2044" s="116">
        <v>5365.85</v>
      </c>
      <c r="C2044" s="116">
        <v>5225</v>
      </c>
      <c r="D2044" s="116">
        <v>5177.75</v>
      </c>
      <c r="E2044" s="116">
        <v>5352.65</v>
      </c>
      <c r="F2044" s="116">
        <v>5225</v>
      </c>
      <c r="G2044">
        <v>2300</v>
      </c>
      <c r="H2044" s="116"/>
      <c r="I2044" s="116"/>
      <c r="L2044" s="170">
        <v>45643</v>
      </c>
      <c r="M2044" s="116">
        <v>5232.3999999999996</v>
      </c>
      <c r="N2044" s="116">
        <v>5389</v>
      </c>
      <c r="O2044" s="116">
        <v>5174.45</v>
      </c>
      <c r="P2044" s="116">
        <v>5361.85</v>
      </c>
      <c r="Q2044" s="116">
        <v>5232.3999999999996</v>
      </c>
      <c r="R2044">
        <v>158308</v>
      </c>
    </row>
    <row r="2045" spans="1:18" x14ac:dyDescent="0.25">
      <c r="A2045" s="170">
        <v>45644</v>
      </c>
      <c r="B2045" s="116">
        <v>5249.45</v>
      </c>
      <c r="C2045" s="116">
        <v>5174.3999999999996</v>
      </c>
      <c r="D2045" s="116">
        <v>5168.45</v>
      </c>
      <c r="E2045" s="116">
        <v>5213.6000000000004</v>
      </c>
      <c r="F2045" s="116">
        <v>5174.3999999999996</v>
      </c>
      <c r="G2045">
        <v>882</v>
      </c>
      <c r="H2045" s="116"/>
      <c r="I2045" s="116"/>
      <c r="L2045" s="170">
        <v>45644</v>
      </c>
      <c r="M2045" s="116">
        <v>5175.05</v>
      </c>
      <c r="N2045" s="116">
        <v>5255</v>
      </c>
      <c r="O2045" s="116">
        <v>5165</v>
      </c>
      <c r="P2045" s="116">
        <v>5235</v>
      </c>
      <c r="Q2045" s="116">
        <v>5175.05</v>
      </c>
      <c r="R2045">
        <v>66729</v>
      </c>
    </row>
    <row r="2046" spans="1:18" x14ac:dyDescent="0.25">
      <c r="A2046" s="170">
        <v>45645</v>
      </c>
      <c r="B2046" s="116">
        <v>5113.6499999999996</v>
      </c>
      <c r="C2046" s="116">
        <v>5087.1000000000004</v>
      </c>
      <c r="D2046" s="116">
        <v>5000</v>
      </c>
      <c r="E2046" s="116">
        <v>5071.5</v>
      </c>
      <c r="F2046" s="116">
        <v>5087.1000000000004</v>
      </c>
      <c r="G2046">
        <v>1573</v>
      </c>
      <c r="H2046" s="116"/>
      <c r="I2046" s="116"/>
      <c r="L2046" s="170">
        <v>45645</v>
      </c>
      <c r="M2046" s="116">
        <v>5094.05</v>
      </c>
      <c r="N2046" s="116">
        <v>5117.2</v>
      </c>
      <c r="O2046" s="116">
        <v>4902</v>
      </c>
      <c r="P2046" s="116">
        <v>5019.8500000000004</v>
      </c>
      <c r="Q2046" s="116">
        <v>5094.05</v>
      </c>
      <c r="R2046">
        <v>102450</v>
      </c>
    </row>
    <row r="2047" spans="1:18" x14ac:dyDescent="0.25">
      <c r="A2047" s="170">
        <v>45646</v>
      </c>
      <c r="B2047" s="116">
        <v>5239.95</v>
      </c>
      <c r="C2047" s="116">
        <v>4832.55</v>
      </c>
      <c r="D2047" s="116">
        <v>4815.95</v>
      </c>
      <c r="E2047" s="116">
        <v>5239.95</v>
      </c>
      <c r="F2047" s="116">
        <v>4832.55</v>
      </c>
      <c r="G2047">
        <v>8253</v>
      </c>
      <c r="H2047" s="116"/>
      <c r="I2047" s="116"/>
      <c r="L2047" s="170">
        <v>45646</v>
      </c>
      <c r="M2047" s="116">
        <v>4828.5</v>
      </c>
      <c r="N2047" s="116">
        <v>5180</v>
      </c>
      <c r="O2047" s="116">
        <v>4812.05</v>
      </c>
      <c r="P2047" s="116">
        <v>5180</v>
      </c>
      <c r="Q2047" s="116">
        <v>4828.5</v>
      </c>
      <c r="R2047">
        <v>263335</v>
      </c>
    </row>
    <row r="2048" spans="1:18" x14ac:dyDescent="0.25">
      <c r="A2048" s="170">
        <v>45649</v>
      </c>
      <c r="B2048" s="116">
        <v>4871.95</v>
      </c>
      <c r="C2048" s="116">
        <v>4744.55</v>
      </c>
      <c r="D2048" s="116">
        <v>4735</v>
      </c>
      <c r="E2048" s="116">
        <v>4830.2</v>
      </c>
      <c r="F2048" s="116">
        <v>4744.55</v>
      </c>
      <c r="G2048">
        <v>6772</v>
      </c>
      <c r="H2048" s="116"/>
      <c r="I2048" s="116"/>
      <c r="L2048" s="170">
        <v>45649</v>
      </c>
      <c r="M2048" s="116">
        <v>4745.05</v>
      </c>
      <c r="N2048" s="116">
        <v>4872.45</v>
      </c>
      <c r="O2048" s="116">
        <v>4730</v>
      </c>
      <c r="P2048" s="116">
        <v>4839.45</v>
      </c>
      <c r="Q2048" s="116">
        <v>4745.05</v>
      </c>
      <c r="R2048">
        <v>97403</v>
      </c>
    </row>
    <row r="2049" spans="1:18" x14ac:dyDescent="0.25">
      <c r="A2049" s="170">
        <v>45650</v>
      </c>
      <c r="B2049" s="116">
        <v>4785</v>
      </c>
      <c r="C2049" s="116">
        <v>4730.3</v>
      </c>
      <c r="D2049" s="116">
        <v>4696</v>
      </c>
      <c r="E2049" s="116">
        <v>4779.6499999999996</v>
      </c>
      <c r="F2049" s="116">
        <v>4730.3</v>
      </c>
      <c r="G2049">
        <v>2261</v>
      </c>
      <c r="H2049" s="116"/>
      <c r="I2049" s="116"/>
      <c r="L2049" s="170">
        <v>45650</v>
      </c>
      <c r="M2049" s="116">
        <v>4729.55</v>
      </c>
      <c r="N2049" s="116">
        <v>4786</v>
      </c>
      <c r="O2049" s="116">
        <v>4692.7</v>
      </c>
      <c r="P2049" s="116">
        <v>4755</v>
      </c>
      <c r="Q2049" s="116">
        <v>4729.55</v>
      </c>
      <c r="R2049">
        <v>87583</v>
      </c>
    </row>
    <row r="2050" spans="1:18" x14ac:dyDescent="0.25">
      <c r="A2050" s="170">
        <v>45652</v>
      </c>
      <c r="B2050" s="116">
        <v>4764.95</v>
      </c>
      <c r="C2050" s="116">
        <v>4667.8999999999996</v>
      </c>
      <c r="D2050" s="116">
        <v>4652.05</v>
      </c>
      <c r="E2050" s="116">
        <v>4764.95</v>
      </c>
      <c r="F2050" s="116">
        <v>4667.8999999999996</v>
      </c>
      <c r="G2050">
        <v>8632</v>
      </c>
      <c r="H2050" s="116"/>
      <c r="I2050" s="116"/>
      <c r="L2050" s="170">
        <v>45652</v>
      </c>
      <c r="M2050" s="116">
        <v>4668.05</v>
      </c>
      <c r="N2050" s="116">
        <v>4751</v>
      </c>
      <c r="O2050" s="116">
        <v>4652.05</v>
      </c>
      <c r="P2050" s="116">
        <v>4730.05</v>
      </c>
      <c r="Q2050" s="116">
        <v>4668.05</v>
      </c>
      <c r="R2050">
        <v>85783</v>
      </c>
    </row>
    <row r="2051" spans="1:18" x14ac:dyDescent="0.25">
      <c r="A2051" s="170">
        <v>45653</v>
      </c>
      <c r="B2051" s="116">
        <v>4719.75</v>
      </c>
      <c r="C2051" s="116">
        <v>4689.3999999999996</v>
      </c>
      <c r="D2051" s="116">
        <v>4660</v>
      </c>
      <c r="E2051" s="116">
        <v>4667.95</v>
      </c>
      <c r="F2051" s="116">
        <v>4689.3999999999996</v>
      </c>
      <c r="G2051">
        <v>1924</v>
      </c>
      <c r="H2051" s="116"/>
      <c r="I2051" s="116"/>
      <c r="L2051" s="170">
        <v>45653</v>
      </c>
      <c r="M2051" s="116">
        <v>4692.3</v>
      </c>
      <c r="N2051" s="116">
        <v>4715.95</v>
      </c>
      <c r="O2051" s="116">
        <v>4656.05</v>
      </c>
      <c r="P2051" s="116">
        <v>4680</v>
      </c>
      <c r="Q2051" s="116">
        <v>4692.3</v>
      </c>
      <c r="R2051">
        <v>59987</v>
      </c>
    </row>
    <row r="2052" spans="1:18" x14ac:dyDescent="0.25">
      <c r="A2052" s="170">
        <v>45656</v>
      </c>
      <c r="B2052" s="116">
        <v>4778.25</v>
      </c>
      <c r="C2052" s="116">
        <v>4752.1000000000004</v>
      </c>
      <c r="D2052" s="116">
        <v>4702.8500000000004</v>
      </c>
      <c r="E2052" s="116">
        <v>4709.8500000000004</v>
      </c>
      <c r="F2052" s="116">
        <v>4752.1000000000004</v>
      </c>
      <c r="G2052">
        <v>1113</v>
      </c>
      <c r="H2052" s="116"/>
      <c r="I2052" s="116"/>
      <c r="L2052" s="170">
        <v>45656</v>
      </c>
      <c r="M2052" s="116">
        <v>4754.5</v>
      </c>
      <c r="N2052" s="116">
        <v>4785.8500000000004</v>
      </c>
      <c r="O2052" s="116">
        <v>4696.75</v>
      </c>
      <c r="P2052" s="116">
        <v>4700</v>
      </c>
      <c r="Q2052" s="116">
        <v>4754.5</v>
      </c>
      <c r="R2052">
        <v>189036</v>
      </c>
    </row>
    <row r="2053" spans="1:18" x14ac:dyDescent="0.25">
      <c r="A2053" s="170">
        <v>45657</v>
      </c>
      <c r="B2053" s="116">
        <v>4779.95</v>
      </c>
      <c r="C2053" s="116">
        <v>4734.95</v>
      </c>
      <c r="D2053" s="116">
        <v>4678.05</v>
      </c>
      <c r="E2053" s="116">
        <v>4779.95</v>
      </c>
      <c r="F2053" s="116">
        <v>4734.95</v>
      </c>
      <c r="G2053">
        <v>1490</v>
      </c>
      <c r="H2053" s="116"/>
      <c r="I2053" s="116"/>
      <c r="L2053" s="170">
        <v>45657</v>
      </c>
      <c r="M2053" s="116">
        <v>4737.3999999999996</v>
      </c>
      <c r="N2053" s="116">
        <v>4758.6000000000004</v>
      </c>
      <c r="O2053" s="116">
        <v>4671.25</v>
      </c>
      <c r="P2053" s="116">
        <v>4754.5</v>
      </c>
      <c r="Q2053" s="116">
        <v>4737.3999999999996</v>
      </c>
      <c r="R2053">
        <v>102735</v>
      </c>
    </row>
    <row r="2054" spans="1:18" x14ac:dyDescent="0.25">
      <c r="A2054" s="170">
        <v>45658</v>
      </c>
      <c r="B2054" s="116">
        <v>4799.95</v>
      </c>
      <c r="C2054" s="116">
        <v>4700.1499999999996</v>
      </c>
      <c r="D2054" s="116">
        <v>4688</v>
      </c>
      <c r="E2054" s="116">
        <v>4799.95</v>
      </c>
      <c r="F2054" s="116">
        <v>4700.1499999999996</v>
      </c>
      <c r="G2054">
        <v>1365</v>
      </c>
      <c r="H2054" s="116"/>
      <c r="I2054" s="116"/>
      <c r="L2054" s="170">
        <v>45658</v>
      </c>
      <c r="M2054" s="116">
        <v>4698.1000000000004</v>
      </c>
      <c r="N2054" s="116">
        <v>4769.8999999999996</v>
      </c>
      <c r="O2054" s="116">
        <v>4685</v>
      </c>
      <c r="P2054" s="116">
        <v>4737.3999999999996</v>
      </c>
      <c r="Q2054" s="116">
        <v>4698.1000000000004</v>
      </c>
      <c r="R2054">
        <v>61831</v>
      </c>
    </row>
    <row r="2055" spans="1:18" x14ac:dyDescent="0.25">
      <c r="A2055" s="170">
        <v>45659</v>
      </c>
      <c r="B2055" s="116">
        <v>4804.3500000000004</v>
      </c>
      <c r="C2055" s="116">
        <v>4796.7</v>
      </c>
      <c r="D2055" s="116">
        <v>4680.05</v>
      </c>
      <c r="E2055" s="116">
        <v>4680.05</v>
      </c>
      <c r="F2055" s="116">
        <v>4796.7</v>
      </c>
      <c r="G2055">
        <v>31770</v>
      </c>
      <c r="H2055" s="116"/>
      <c r="I2055" s="116"/>
      <c r="L2055" s="170">
        <v>45659</v>
      </c>
      <c r="M2055" s="116">
        <v>4795.95</v>
      </c>
      <c r="N2055" s="116">
        <v>4804.95</v>
      </c>
      <c r="O2055" s="116">
        <v>4680</v>
      </c>
      <c r="P2055" s="116">
        <v>4697</v>
      </c>
      <c r="Q2055" s="116">
        <v>4795.95</v>
      </c>
      <c r="R2055">
        <v>101596</v>
      </c>
    </row>
    <row r="2056" spans="1:18" x14ac:dyDescent="0.25">
      <c r="A2056" s="170">
        <v>45660</v>
      </c>
      <c r="B2056" s="116">
        <v>4875</v>
      </c>
      <c r="C2056" s="116">
        <v>4788.75</v>
      </c>
      <c r="D2056" s="116">
        <v>4760.8500000000004</v>
      </c>
      <c r="E2056" s="116">
        <v>4828.1499999999996</v>
      </c>
      <c r="F2056" s="116">
        <v>4788.75</v>
      </c>
      <c r="G2056">
        <v>7096</v>
      </c>
      <c r="H2056" s="116"/>
      <c r="I2056" s="116"/>
      <c r="L2056" s="170">
        <v>45660</v>
      </c>
      <c r="M2056" s="116">
        <v>4795.5</v>
      </c>
      <c r="N2056" s="116">
        <v>4879.8</v>
      </c>
      <c r="O2056" s="116">
        <v>4761.6499999999996</v>
      </c>
      <c r="P2056" s="116">
        <v>4800.05</v>
      </c>
      <c r="Q2056" s="116">
        <v>4795.5</v>
      </c>
      <c r="R2056">
        <v>118016</v>
      </c>
    </row>
    <row r="2057" spans="1:18" x14ac:dyDescent="0.25">
      <c r="A2057" s="170">
        <v>45663</v>
      </c>
      <c r="B2057" s="116">
        <v>4826.55</v>
      </c>
      <c r="C2057" s="116">
        <v>4763.8500000000004</v>
      </c>
      <c r="D2057" s="116">
        <v>4720</v>
      </c>
      <c r="E2057" s="116">
        <v>4790</v>
      </c>
      <c r="F2057" s="116">
        <v>4763.8500000000004</v>
      </c>
      <c r="G2057">
        <v>4037</v>
      </c>
      <c r="H2057" s="116"/>
      <c r="I2057" s="116"/>
      <c r="L2057" s="170">
        <v>45663</v>
      </c>
      <c r="M2057" s="116">
        <v>4763.7</v>
      </c>
      <c r="N2057" s="116">
        <v>4829</v>
      </c>
      <c r="O2057" s="116">
        <v>4716.75</v>
      </c>
      <c r="P2057" s="116">
        <v>4800.05</v>
      </c>
      <c r="Q2057" s="116">
        <v>4763.7</v>
      </c>
      <c r="R2057">
        <v>79939</v>
      </c>
    </row>
    <row r="2058" spans="1:18" x14ac:dyDescent="0.25">
      <c r="A2058" s="170">
        <v>45664</v>
      </c>
      <c r="B2058" s="116">
        <v>4895.45</v>
      </c>
      <c r="C2058" s="116">
        <v>4876</v>
      </c>
      <c r="D2058" s="116">
        <v>4720.55</v>
      </c>
      <c r="E2058" s="116">
        <v>4720.55</v>
      </c>
      <c r="F2058" s="116">
        <v>4876</v>
      </c>
      <c r="G2058">
        <v>5704</v>
      </c>
      <c r="H2058" s="116"/>
      <c r="I2058" s="116"/>
      <c r="L2058" s="170">
        <v>45664</v>
      </c>
      <c r="M2058" s="116">
        <v>4876.75</v>
      </c>
      <c r="N2058" s="116">
        <v>4896.6000000000004</v>
      </c>
      <c r="O2058" s="116">
        <v>4770.05</v>
      </c>
      <c r="P2058" s="116">
        <v>4770.05</v>
      </c>
      <c r="Q2058" s="116">
        <v>4876.75</v>
      </c>
      <c r="R2058">
        <v>148865</v>
      </c>
    </row>
    <row r="2059" spans="1:18" x14ac:dyDescent="0.25">
      <c r="A2059" s="170">
        <v>45665</v>
      </c>
      <c r="B2059" s="116">
        <v>4915</v>
      </c>
      <c r="C2059" s="116">
        <v>4907.8</v>
      </c>
      <c r="D2059" s="116">
        <v>4813.1000000000004</v>
      </c>
      <c r="E2059" s="116">
        <v>4894.75</v>
      </c>
      <c r="F2059" s="116">
        <v>4907.8</v>
      </c>
      <c r="G2059">
        <v>2450</v>
      </c>
      <c r="H2059" s="116"/>
      <c r="I2059" s="116"/>
      <c r="L2059" s="170">
        <v>45665</v>
      </c>
      <c r="M2059" s="116">
        <v>4906.5</v>
      </c>
      <c r="N2059" s="116">
        <v>4916.75</v>
      </c>
      <c r="O2059" s="116">
        <v>4812</v>
      </c>
      <c r="P2059" s="116">
        <v>4872.3500000000004</v>
      </c>
      <c r="Q2059" s="116">
        <v>4906.5</v>
      </c>
      <c r="R2059">
        <v>70442</v>
      </c>
    </row>
    <row r="2060" spans="1:18" x14ac:dyDescent="0.25">
      <c r="A2060" s="170">
        <v>45666</v>
      </c>
      <c r="B2060" s="116">
        <v>4968.8</v>
      </c>
      <c r="C2060" s="116">
        <v>4879.5</v>
      </c>
      <c r="D2060" s="116">
        <v>4860.3500000000004</v>
      </c>
      <c r="E2060" s="116">
        <v>4904.95</v>
      </c>
      <c r="F2060" s="116">
        <v>4879.5</v>
      </c>
      <c r="G2060">
        <v>5880</v>
      </c>
      <c r="H2060" s="116"/>
      <c r="I2060" s="116"/>
      <c r="L2060" s="170">
        <v>45666</v>
      </c>
      <c r="M2060" s="116">
        <v>4879.3500000000004</v>
      </c>
      <c r="N2060" s="116">
        <v>4970</v>
      </c>
      <c r="O2060" s="116">
        <v>4863.55</v>
      </c>
      <c r="P2060" s="116">
        <v>4901.6000000000004</v>
      </c>
      <c r="Q2060" s="116">
        <v>4879.3500000000004</v>
      </c>
      <c r="R2060">
        <v>113356</v>
      </c>
    </row>
    <row r="2061" spans="1:18" x14ac:dyDescent="0.25">
      <c r="A2061" s="170">
        <v>45667</v>
      </c>
      <c r="B2061" s="116">
        <v>5022.8</v>
      </c>
      <c r="C2061" s="116">
        <v>4929.75</v>
      </c>
      <c r="D2061" s="116">
        <v>4822</v>
      </c>
      <c r="E2061" s="116">
        <v>4822.05</v>
      </c>
      <c r="F2061" s="116">
        <v>4929.75</v>
      </c>
      <c r="G2061">
        <v>11468</v>
      </c>
      <c r="H2061" s="116"/>
      <c r="I2061" s="116"/>
      <c r="L2061" s="170">
        <v>45667</v>
      </c>
      <c r="M2061" s="116">
        <v>4935.6499999999996</v>
      </c>
      <c r="N2061" s="116">
        <v>5024</v>
      </c>
      <c r="O2061" s="116">
        <v>4821.55</v>
      </c>
      <c r="P2061" s="116">
        <v>4835</v>
      </c>
      <c r="Q2061" s="116">
        <v>4935.6499999999996</v>
      </c>
      <c r="R2061">
        <v>254564</v>
      </c>
    </row>
    <row r="2062" spans="1:18" x14ac:dyDescent="0.25">
      <c r="A2062" s="170">
        <v>45670</v>
      </c>
      <c r="B2062" s="116">
        <v>4970.95</v>
      </c>
      <c r="C2062" s="116">
        <v>4851.7</v>
      </c>
      <c r="D2062" s="116">
        <v>4818.3999999999996</v>
      </c>
      <c r="E2062" s="116">
        <v>4905.05</v>
      </c>
      <c r="F2062" s="116">
        <v>4851.7</v>
      </c>
      <c r="G2062">
        <v>3189</v>
      </c>
      <c r="H2062" s="116"/>
      <c r="I2062" s="116"/>
      <c r="L2062" s="170">
        <v>45670</v>
      </c>
      <c r="M2062" s="116">
        <v>4853.1000000000004</v>
      </c>
      <c r="N2062" s="116">
        <v>4969.8</v>
      </c>
      <c r="O2062" s="116">
        <v>4817.55</v>
      </c>
      <c r="P2062" s="116">
        <v>4900.2</v>
      </c>
      <c r="Q2062" s="116">
        <v>4853.1000000000004</v>
      </c>
      <c r="R2062">
        <v>123685</v>
      </c>
    </row>
    <row r="2063" spans="1:18" x14ac:dyDescent="0.25">
      <c r="A2063" s="170">
        <v>45671</v>
      </c>
      <c r="B2063" s="116">
        <v>4890</v>
      </c>
      <c r="C2063" s="116">
        <v>4706.8</v>
      </c>
      <c r="D2063" s="116">
        <v>4684</v>
      </c>
      <c r="E2063" s="116">
        <v>4810.1499999999996</v>
      </c>
      <c r="F2063" s="116">
        <v>4706.8</v>
      </c>
      <c r="G2063">
        <v>3699</v>
      </c>
      <c r="H2063" s="116"/>
      <c r="I2063" s="116"/>
      <c r="L2063" s="170">
        <v>45671</v>
      </c>
      <c r="M2063" s="116">
        <v>4706.55</v>
      </c>
      <c r="N2063" s="116">
        <v>4904.95</v>
      </c>
      <c r="O2063" s="116">
        <v>4686.25</v>
      </c>
      <c r="P2063" s="116">
        <v>4853.1000000000004</v>
      </c>
      <c r="Q2063" s="116">
        <v>4706.55</v>
      </c>
      <c r="R2063">
        <v>181717</v>
      </c>
    </row>
    <row r="2064" spans="1:18" x14ac:dyDescent="0.25">
      <c r="A2064" s="170">
        <v>45672</v>
      </c>
      <c r="B2064" s="116">
        <v>4924</v>
      </c>
      <c r="C2064" s="116">
        <v>4851.3500000000004</v>
      </c>
      <c r="D2064" s="116">
        <v>4670.25</v>
      </c>
      <c r="E2064" s="116">
        <v>4710.55</v>
      </c>
      <c r="F2064" s="116">
        <v>4851.3500000000004</v>
      </c>
      <c r="G2064">
        <v>10368</v>
      </c>
      <c r="H2064" s="116"/>
      <c r="I2064" s="116"/>
      <c r="L2064" s="170">
        <v>45672</v>
      </c>
      <c r="M2064" s="116">
        <v>4851.75</v>
      </c>
      <c r="N2064" s="116">
        <v>4924.45</v>
      </c>
      <c r="O2064" s="116">
        <v>4660.8</v>
      </c>
      <c r="P2064" s="116">
        <v>4717</v>
      </c>
      <c r="Q2064" s="116">
        <v>4851.75</v>
      </c>
      <c r="R2064">
        <v>220136</v>
      </c>
    </row>
    <row r="2065" spans="1:18" x14ac:dyDescent="0.25">
      <c r="A2065" s="170">
        <v>45673</v>
      </c>
      <c r="B2065" s="116">
        <v>5336.45</v>
      </c>
      <c r="C2065" s="116">
        <v>5245.6</v>
      </c>
      <c r="D2065" s="116">
        <v>4960.05</v>
      </c>
      <c r="E2065" s="116">
        <v>4960.05</v>
      </c>
      <c r="F2065" s="116">
        <v>5245.6</v>
      </c>
      <c r="G2065">
        <v>36669</v>
      </c>
      <c r="H2065" s="116"/>
      <c r="I2065" s="116"/>
      <c r="L2065" s="170">
        <v>45673</v>
      </c>
      <c r="M2065" s="116">
        <v>5244.4</v>
      </c>
      <c r="N2065" s="116">
        <v>5336.9</v>
      </c>
      <c r="O2065" s="116">
        <v>5021.5</v>
      </c>
      <c r="P2065" s="116">
        <v>5021.5</v>
      </c>
      <c r="Q2065" s="116">
        <v>5244.4</v>
      </c>
      <c r="R2065">
        <v>1475906</v>
      </c>
    </row>
    <row r="2066" spans="1:18" x14ac:dyDescent="0.25">
      <c r="A2066" s="170">
        <v>45674</v>
      </c>
      <c r="B2066" s="116">
        <v>5415</v>
      </c>
      <c r="C2066" s="116">
        <v>5372.7</v>
      </c>
      <c r="D2066" s="116">
        <v>5179.95</v>
      </c>
      <c r="E2066" s="116">
        <v>5244.4</v>
      </c>
      <c r="F2066" s="116">
        <v>5372.7</v>
      </c>
      <c r="G2066">
        <v>20452</v>
      </c>
      <c r="H2066" s="116"/>
      <c r="I2066" s="116"/>
      <c r="L2066" s="170">
        <v>45674</v>
      </c>
      <c r="M2066" s="116">
        <v>5373.95</v>
      </c>
      <c r="N2066" s="116">
        <v>5420.2</v>
      </c>
      <c r="O2066" s="116">
        <v>5181.3</v>
      </c>
      <c r="P2066" s="116">
        <v>5195</v>
      </c>
      <c r="Q2066" s="116">
        <v>5373.95</v>
      </c>
      <c r="R2066">
        <v>524096</v>
      </c>
    </row>
    <row r="2067" spans="1:18" x14ac:dyDescent="0.25">
      <c r="A2067" s="170">
        <v>45677</v>
      </c>
      <c r="B2067" s="116">
        <v>5407.15</v>
      </c>
      <c r="C2067" s="116">
        <v>5371.85</v>
      </c>
      <c r="D2067" s="116">
        <v>5303.05</v>
      </c>
      <c r="E2067" s="116">
        <v>5380.15</v>
      </c>
      <c r="F2067" s="116">
        <v>5371.85</v>
      </c>
      <c r="G2067">
        <v>2459</v>
      </c>
      <c r="H2067" s="116"/>
      <c r="I2067" s="116"/>
      <c r="L2067" s="170">
        <v>45677</v>
      </c>
      <c r="M2067" s="116">
        <v>5373.3</v>
      </c>
      <c r="N2067" s="116">
        <v>5410.6</v>
      </c>
      <c r="O2067" s="116">
        <v>5303.35</v>
      </c>
      <c r="P2067" s="116">
        <v>5374.25</v>
      </c>
      <c r="Q2067" s="116">
        <v>5373.3</v>
      </c>
      <c r="R2067">
        <v>158858</v>
      </c>
    </row>
    <row r="2068" spans="1:18" x14ac:dyDescent="0.25">
      <c r="A2068" s="170">
        <v>45678</v>
      </c>
      <c r="B2068" s="116">
        <v>5458.25</v>
      </c>
      <c r="C2068" s="116">
        <v>5377.4</v>
      </c>
      <c r="D2068" s="116">
        <v>5361.35</v>
      </c>
      <c r="E2068" s="116">
        <v>5398.95</v>
      </c>
      <c r="F2068" s="116">
        <v>5377.4</v>
      </c>
      <c r="G2068">
        <v>2361</v>
      </c>
      <c r="H2068" s="116"/>
      <c r="I2068" s="116"/>
      <c r="L2068" s="170">
        <v>45678</v>
      </c>
      <c r="M2068" s="116">
        <v>5380.4</v>
      </c>
      <c r="N2068" s="116">
        <v>5458.45</v>
      </c>
      <c r="O2068" s="116">
        <v>5359.45</v>
      </c>
      <c r="P2068" s="116">
        <v>5373.3</v>
      </c>
      <c r="Q2068" s="116">
        <v>5380.4</v>
      </c>
      <c r="R2068">
        <v>220459</v>
      </c>
    </row>
    <row r="2069" spans="1:18" x14ac:dyDescent="0.25">
      <c r="A2069" s="170">
        <v>45679</v>
      </c>
      <c r="B2069" s="116">
        <v>5395.85</v>
      </c>
      <c r="C2069" s="116">
        <v>5382.15</v>
      </c>
      <c r="D2069" s="116">
        <v>5294.65</v>
      </c>
      <c r="E2069" s="116">
        <v>5385</v>
      </c>
      <c r="F2069" s="116">
        <v>5382.15</v>
      </c>
      <c r="G2069">
        <v>3999</v>
      </c>
      <c r="H2069" s="116"/>
      <c r="I2069" s="116"/>
      <c r="L2069" s="170">
        <v>45679</v>
      </c>
      <c r="M2069" s="116">
        <v>5382.95</v>
      </c>
      <c r="N2069" s="116">
        <v>5400</v>
      </c>
      <c r="O2069" s="116">
        <v>5290.45</v>
      </c>
      <c r="P2069" s="116">
        <v>5380</v>
      </c>
      <c r="Q2069" s="116">
        <v>5382.95</v>
      </c>
      <c r="R2069">
        <v>98432</v>
      </c>
    </row>
    <row r="2070" spans="1:18" x14ac:dyDescent="0.25">
      <c r="A2070" s="170">
        <v>45680</v>
      </c>
      <c r="B2070" s="116">
        <v>5502.5</v>
      </c>
      <c r="C2070" s="116">
        <v>5456.05</v>
      </c>
      <c r="D2070" s="116">
        <v>5339.7</v>
      </c>
      <c r="E2070" s="116">
        <v>5382.1</v>
      </c>
      <c r="F2070" s="116">
        <v>5456.05</v>
      </c>
      <c r="G2070">
        <v>8025</v>
      </c>
      <c r="H2070" s="116"/>
      <c r="I2070" s="116"/>
      <c r="L2070" s="170">
        <v>45680</v>
      </c>
      <c r="M2070" s="116">
        <v>5453.15</v>
      </c>
      <c r="N2070" s="116">
        <v>5509</v>
      </c>
      <c r="O2070" s="116">
        <v>5340.55</v>
      </c>
      <c r="P2070" s="116">
        <v>5380</v>
      </c>
      <c r="Q2070" s="116">
        <v>5453.15</v>
      </c>
      <c r="R2070">
        <v>174956</v>
      </c>
    </row>
    <row r="2071" spans="1:18" x14ac:dyDescent="0.25">
      <c r="A2071" s="170">
        <v>45681</v>
      </c>
      <c r="B2071" s="116">
        <v>5480</v>
      </c>
      <c r="C2071" s="116">
        <v>5430.2</v>
      </c>
      <c r="D2071" s="116">
        <v>5390.05</v>
      </c>
      <c r="E2071" s="116">
        <v>5451.05</v>
      </c>
      <c r="F2071" s="116">
        <v>5430.2</v>
      </c>
      <c r="G2071">
        <v>5191</v>
      </c>
      <c r="H2071" s="116"/>
      <c r="I2071" s="116"/>
      <c r="L2071" s="170">
        <v>45681</v>
      </c>
      <c r="M2071" s="116">
        <v>5431</v>
      </c>
      <c r="N2071" s="116">
        <v>5485</v>
      </c>
      <c r="O2071" s="116">
        <v>5392</v>
      </c>
      <c r="P2071" s="116">
        <v>5460</v>
      </c>
      <c r="Q2071" s="116">
        <v>5431</v>
      </c>
      <c r="R2071">
        <v>132143</v>
      </c>
    </row>
    <row r="2072" spans="1:18" x14ac:dyDescent="0.25">
      <c r="A2072" s="170">
        <v>45684</v>
      </c>
      <c r="B2072" s="116">
        <v>5373.85</v>
      </c>
      <c r="C2072" s="116">
        <v>5248.95</v>
      </c>
      <c r="D2072" s="116">
        <v>5240</v>
      </c>
      <c r="E2072" s="116">
        <v>5373.85</v>
      </c>
      <c r="F2072" s="116">
        <v>5248.95</v>
      </c>
      <c r="G2072">
        <v>3139</v>
      </c>
      <c r="H2072" s="116"/>
      <c r="I2072" s="116"/>
      <c r="L2072" s="170">
        <v>45684</v>
      </c>
      <c r="M2072" s="116">
        <v>5258.6</v>
      </c>
      <c r="N2072" s="116">
        <v>5400</v>
      </c>
      <c r="O2072" s="116">
        <v>5240.05</v>
      </c>
      <c r="P2072" s="116">
        <v>5360.05</v>
      </c>
      <c r="Q2072" s="116">
        <v>5258.6</v>
      </c>
      <c r="R2072">
        <v>136721</v>
      </c>
    </row>
    <row r="2073" spans="1:18" x14ac:dyDescent="0.25">
      <c r="A2073" s="170">
        <v>45685</v>
      </c>
      <c r="B2073" s="116">
        <v>5300</v>
      </c>
      <c r="C2073" s="116">
        <v>5122.3999999999996</v>
      </c>
      <c r="D2073" s="116">
        <v>5110</v>
      </c>
      <c r="E2073" s="116">
        <v>5211.05</v>
      </c>
      <c r="F2073" s="116">
        <v>5122.3999999999996</v>
      </c>
      <c r="G2073">
        <v>2734</v>
      </c>
      <c r="H2073" s="116"/>
      <c r="I2073" s="116"/>
      <c r="L2073" s="170">
        <v>45685</v>
      </c>
      <c r="M2073" s="116">
        <v>5121.05</v>
      </c>
      <c r="N2073" s="116">
        <v>5315.85</v>
      </c>
      <c r="O2073" s="116">
        <v>5108.8999999999996</v>
      </c>
      <c r="P2073" s="116">
        <v>5230</v>
      </c>
      <c r="Q2073" s="116">
        <v>5121.05</v>
      </c>
      <c r="R2073">
        <v>184979</v>
      </c>
    </row>
    <row r="2074" spans="1:18" x14ac:dyDescent="0.25">
      <c r="A2074" s="170">
        <v>45686</v>
      </c>
      <c r="B2074" s="116">
        <v>5355</v>
      </c>
      <c r="C2074" s="116">
        <v>5337.4</v>
      </c>
      <c r="D2074" s="116">
        <v>5125.1000000000004</v>
      </c>
      <c r="E2074" s="116">
        <v>5125.1000000000004</v>
      </c>
      <c r="F2074" s="116">
        <v>5337.4</v>
      </c>
      <c r="G2074">
        <v>4854</v>
      </c>
      <c r="H2074" s="116"/>
      <c r="I2074" s="116"/>
      <c r="L2074" s="170">
        <v>45686</v>
      </c>
      <c r="M2074" s="116">
        <v>5341</v>
      </c>
      <c r="N2074" s="116">
        <v>5358.95</v>
      </c>
      <c r="O2074" s="116">
        <v>5144.95</v>
      </c>
      <c r="P2074" s="116">
        <v>5144.95</v>
      </c>
      <c r="Q2074" s="116">
        <v>5341</v>
      </c>
      <c r="R2074">
        <v>151866</v>
      </c>
    </row>
    <row r="2075" spans="1:18" x14ac:dyDescent="0.25">
      <c r="A2075" s="170">
        <v>45687</v>
      </c>
      <c r="B2075" s="116">
        <v>5436</v>
      </c>
      <c r="C2075" s="116">
        <v>5411.85</v>
      </c>
      <c r="D2075" s="116">
        <v>5327.75</v>
      </c>
      <c r="E2075" s="116">
        <v>5366</v>
      </c>
      <c r="F2075" s="116">
        <v>5411.85</v>
      </c>
      <c r="G2075">
        <v>1262</v>
      </c>
      <c r="H2075" s="116"/>
      <c r="I2075" s="116"/>
      <c r="L2075" s="170">
        <v>45687</v>
      </c>
      <c r="M2075" s="116">
        <v>5410.65</v>
      </c>
      <c r="N2075" s="116">
        <v>5445.9</v>
      </c>
      <c r="O2075" s="116">
        <v>5299.55</v>
      </c>
      <c r="P2075" s="116">
        <v>5350</v>
      </c>
      <c r="Q2075" s="116">
        <v>5410.65</v>
      </c>
      <c r="R2075">
        <v>92083</v>
      </c>
    </row>
    <row r="2076" spans="1:18" x14ac:dyDescent="0.25">
      <c r="A2076" s="170">
        <v>45688</v>
      </c>
      <c r="B2076" s="116">
        <v>5474.3</v>
      </c>
      <c r="C2076" s="116">
        <v>5442.75</v>
      </c>
      <c r="D2076" s="116">
        <v>5325.1</v>
      </c>
      <c r="E2076" s="116">
        <v>5474.3</v>
      </c>
      <c r="F2076" s="116">
        <v>5442.75</v>
      </c>
      <c r="G2076">
        <v>3508</v>
      </c>
      <c r="H2076" s="116"/>
      <c r="I2076" s="116"/>
      <c r="L2076" s="170">
        <v>45688</v>
      </c>
      <c r="M2076" s="116">
        <v>5449.35</v>
      </c>
      <c r="N2076" s="116">
        <v>5463.8</v>
      </c>
      <c r="O2076" s="116">
        <v>5325</v>
      </c>
      <c r="P2076" s="116">
        <v>5410.65</v>
      </c>
      <c r="Q2076" s="116">
        <v>5449.35</v>
      </c>
      <c r="R2076">
        <v>96898</v>
      </c>
    </row>
    <row r="2077" spans="1:18" x14ac:dyDescent="0.25">
      <c r="A2077" s="170">
        <v>45689</v>
      </c>
      <c r="B2077" s="116">
        <v>5445.95</v>
      </c>
      <c r="C2077" s="116">
        <v>5410.55</v>
      </c>
      <c r="D2077" s="116">
        <v>5365</v>
      </c>
      <c r="E2077" s="116">
        <v>5415</v>
      </c>
      <c r="F2077" s="116">
        <v>5410.55</v>
      </c>
      <c r="G2077">
        <v>677</v>
      </c>
      <c r="H2077" s="116"/>
      <c r="I2077" s="116"/>
      <c r="L2077" s="170">
        <v>45689</v>
      </c>
      <c r="M2077" s="116">
        <v>5418.6</v>
      </c>
      <c r="N2077" s="116">
        <v>5448.75</v>
      </c>
      <c r="O2077" s="116">
        <v>5359.55</v>
      </c>
      <c r="P2077" s="116">
        <v>5420.5</v>
      </c>
      <c r="Q2077" s="116">
        <v>5418.6</v>
      </c>
      <c r="R2077">
        <v>32834</v>
      </c>
    </row>
    <row r="2078" spans="1:18" x14ac:dyDescent="0.25">
      <c r="A2078" s="170">
        <v>45691</v>
      </c>
      <c r="B2078" s="116">
        <v>5518.4</v>
      </c>
      <c r="C2078" s="116">
        <v>5497.35</v>
      </c>
      <c r="D2078" s="116">
        <v>5275.1</v>
      </c>
      <c r="E2078" s="116">
        <v>5399.2</v>
      </c>
      <c r="F2078" s="116">
        <v>5497.35</v>
      </c>
      <c r="G2078">
        <v>1978</v>
      </c>
      <c r="H2078" s="116"/>
      <c r="I2078" s="116"/>
      <c r="L2078" s="170">
        <v>45691</v>
      </c>
      <c r="M2078" s="116">
        <v>5500.85</v>
      </c>
      <c r="N2078" s="116">
        <v>5518</v>
      </c>
      <c r="O2078" s="116">
        <v>5273.6</v>
      </c>
      <c r="P2078" s="116">
        <v>5325</v>
      </c>
      <c r="Q2078" s="116">
        <v>5500.85</v>
      </c>
      <c r="R2078">
        <v>175780</v>
      </c>
    </row>
    <row r="2079" spans="1:18" x14ac:dyDescent="0.25">
      <c r="A2079" s="170">
        <v>45692</v>
      </c>
      <c r="B2079" s="116">
        <v>5574.4</v>
      </c>
      <c r="C2079" s="116">
        <v>5533</v>
      </c>
      <c r="D2079" s="116">
        <v>5447.2</v>
      </c>
      <c r="E2079" s="116">
        <v>5517.9</v>
      </c>
      <c r="F2079" s="116">
        <v>5533</v>
      </c>
      <c r="G2079">
        <v>1465</v>
      </c>
      <c r="H2079" s="116"/>
      <c r="I2079" s="116"/>
      <c r="L2079" s="170">
        <v>45692</v>
      </c>
      <c r="M2079" s="116">
        <v>5530.55</v>
      </c>
      <c r="N2079" s="116">
        <v>5571</v>
      </c>
      <c r="O2079" s="116">
        <v>5440.2</v>
      </c>
      <c r="P2079" s="116">
        <v>5525</v>
      </c>
      <c r="Q2079" s="116">
        <v>5530.55</v>
      </c>
      <c r="R2079">
        <v>90754</v>
      </c>
    </row>
    <row r="2080" spans="1:18" x14ac:dyDescent="0.25">
      <c r="A2080" s="170">
        <v>45693</v>
      </c>
      <c r="B2080" s="116">
        <v>5640</v>
      </c>
      <c r="C2080" s="116">
        <v>5612.9</v>
      </c>
      <c r="D2080" s="116">
        <v>5520.25</v>
      </c>
      <c r="E2080" s="116">
        <v>5535.15</v>
      </c>
      <c r="F2080" s="116">
        <v>5612.9</v>
      </c>
      <c r="G2080">
        <v>6004</v>
      </c>
      <c r="H2080" s="116"/>
      <c r="I2080" s="116"/>
      <c r="L2080" s="170">
        <v>45693</v>
      </c>
      <c r="M2080" s="116">
        <v>5615.45</v>
      </c>
      <c r="N2080" s="116">
        <v>5639.8</v>
      </c>
      <c r="O2080" s="116">
        <v>5523.85</v>
      </c>
      <c r="P2080" s="116">
        <v>5560</v>
      </c>
      <c r="Q2080" s="116">
        <v>5615.45</v>
      </c>
      <c r="R2080">
        <v>134591</v>
      </c>
    </row>
    <row r="2081" spans="1:18" x14ac:dyDescent="0.25">
      <c r="A2081" s="170">
        <v>45694</v>
      </c>
      <c r="B2081" s="116">
        <v>5647.35</v>
      </c>
      <c r="C2081" s="116">
        <v>5536.25</v>
      </c>
      <c r="D2081" s="116">
        <v>5490</v>
      </c>
      <c r="E2081" s="116">
        <v>5635</v>
      </c>
      <c r="F2081" s="116">
        <v>5536.25</v>
      </c>
      <c r="G2081">
        <v>2824</v>
      </c>
      <c r="H2081" s="116"/>
      <c r="I2081" s="116"/>
      <c r="L2081" s="170">
        <v>45694</v>
      </c>
      <c r="M2081" s="116">
        <v>5528.65</v>
      </c>
      <c r="N2081" s="116">
        <v>5645</v>
      </c>
      <c r="O2081" s="116">
        <v>5482</v>
      </c>
      <c r="P2081" s="116">
        <v>5645</v>
      </c>
      <c r="Q2081" s="116">
        <v>5528.65</v>
      </c>
      <c r="R2081">
        <v>53784</v>
      </c>
    </row>
    <row r="2082" spans="1:18" x14ac:dyDescent="0.25">
      <c r="A2082" s="170">
        <v>45695</v>
      </c>
      <c r="B2082" s="116">
        <v>5619.95</v>
      </c>
      <c r="C2082" s="116">
        <v>5594.6</v>
      </c>
      <c r="D2082" s="116">
        <v>5491.7</v>
      </c>
      <c r="E2082" s="116">
        <v>5532.55</v>
      </c>
      <c r="F2082" s="116">
        <v>5594.6</v>
      </c>
      <c r="G2082">
        <v>3571</v>
      </c>
      <c r="H2082" s="116"/>
      <c r="I2082" s="116"/>
      <c r="L2082" s="170">
        <v>45695</v>
      </c>
      <c r="M2082" s="116">
        <v>5597.8</v>
      </c>
      <c r="N2082" s="116">
        <v>5621</v>
      </c>
      <c r="O2082" s="116">
        <v>5493.15</v>
      </c>
      <c r="P2082" s="116">
        <v>5549</v>
      </c>
      <c r="Q2082" s="116">
        <v>5597.8</v>
      </c>
      <c r="R2082">
        <v>52163</v>
      </c>
    </row>
    <row r="2083" spans="1:18" x14ac:dyDescent="0.25">
      <c r="A2083" s="170">
        <v>45698</v>
      </c>
      <c r="B2083" s="116">
        <v>5590.05</v>
      </c>
      <c r="C2083" s="116">
        <v>5511.8</v>
      </c>
      <c r="D2083" s="116">
        <v>5468.45</v>
      </c>
      <c r="E2083" s="116">
        <v>5590.05</v>
      </c>
      <c r="F2083" s="116">
        <v>5511.8</v>
      </c>
      <c r="G2083">
        <v>872</v>
      </c>
      <c r="H2083" s="116"/>
      <c r="I2083" s="116"/>
      <c r="L2083" s="170">
        <v>45698</v>
      </c>
      <c r="M2083" s="116">
        <v>5507.25</v>
      </c>
      <c r="N2083" s="116">
        <v>5609.95</v>
      </c>
      <c r="O2083" s="116">
        <v>5462.95</v>
      </c>
      <c r="P2083" s="116">
        <v>5597.8</v>
      </c>
      <c r="Q2083" s="116">
        <v>5507.25</v>
      </c>
      <c r="R2083">
        <v>59172</v>
      </c>
    </row>
    <row r="2084" spans="1:18" x14ac:dyDescent="0.25">
      <c r="A2084" s="170">
        <v>45699</v>
      </c>
      <c r="B2084" s="116">
        <v>5538.5</v>
      </c>
      <c r="C2084" s="116">
        <v>5278.35</v>
      </c>
      <c r="D2084" s="116">
        <v>5224.5</v>
      </c>
      <c r="E2084" s="116">
        <v>5510</v>
      </c>
      <c r="F2084" s="116">
        <v>5278.35</v>
      </c>
      <c r="G2084">
        <v>6869</v>
      </c>
      <c r="H2084" s="116"/>
      <c r="I2084" s="116"/>
      <c r="L2084" s="170">
        <v>45699</v>
      </c>
      <c r="M2084" s="116">
        <v>5279.4</v>
      </c>
      <c r="N2084" s="116">
        <v>5549</v>
      </c>
      <c r="O2084" s="116">
        <v>5221.45</v>
      </c>
      <c r="P2084" s="116">
        <v>5507.25</v>
      </c>
      <c r="Q2084" s="116">
        <v>5279.4</v>
      </c>
      <c r="R2084">
        <v>255639</v>
      </c>
    </row>
    <row r="2085" spans="1:18" x14ac:dyDescent="0.25">
      <c r="A2085" s="170">
        <v>45700</v>
      </c>
      <c r="B2085" s="116">
        <v>5324.3</v>
      </c>
      <c r="C2085" s="116">
        <v>5105.7</v>
      </c>
      <c r="D2085" s="116">
        <v>5040</v>
      </c>
      <c r="E2085" s="116">
        <v>5250</v>
      </c>
      <c r="F2085" s="116">
        <v>5105.7</v>
      </c>
      <c r="G2085">
        <v>3339</v>
      </c>
      <c r="H2085" s="116"/>
      <c r="I2085" s="116"/>
      <c r="L2085" s="170">
        <v>45700</v>
      </c>
      <c r="M2085" s="116">
        <v>5108.2</v>
      </c>
      <c r="N2085" s="116">
        <v>5322</v>
      </c>
      <c r="O2085" s="116">
        <v>5040</v>
      </c>
      <c r="P2085" s="116">
        <v>5279.4</v>
      </c>
      <c r="Q2085" s="116">
        <v>5108.2</v>
      </c>
      <c r="R2085">
        <v>221448</v>
      </c>
    </row>
    <row r="2086" spans="1:18" x14ac:dyDescent="0.25">
      <c r="A2086" s="170">
        <v>45701</v>
      </c>
      <c r="B2086" s="116">
        <v>5187.6499999999996</v>
      </c>
      <c r="C2086" s="116">
        <v>5022.55</v>
      </c>
      <c r="D2086" s="116">
        <v>5000</v>
      </c>
      <c r="E2086" s="116">
        <v>5105.7</v>
      </c>
      <c r="F2086" s="116">
        <v>5022.55</v>
      </c>
      <c r="G2086">
        <v>2312</v>
      </c>
      <c r="H2086" s="116"/>
      <c r="I2086" s="116"/>
      <c r="L2086" s="170">
        <v>45701</v>
      </c>
      <c r="M2086" s="116">
        <v>5023.7</v>
      </c>
      <c r="N2086" s="116">
        <v>5189.45</v>
      </c>
      <c r="O2086" s="116">
        <v>4992.1499999999996</v>
      </c>
      <c r="P2086" s="116">
        <v>5100</v>
      </c>
      <c r="Q2086" s="116">
        <v>5023.7</v>
      </c>
      <c r="R2086">
        <v>155165</v>
      </c>
    </row>
    <row r="2087" spans="1:18" x14ac:dyDescent="0.25">
      <c r="A2087" s="170">
        <v>45702</v>
      </c>
      <c r="B2087" s="116">
        <v>5074.95</v>
      </c>
      <c r="C2087" s="116">
        <v>4953.8</v>
      </c>
      <c r="D2087" s="116">
        <v>4930</v>
      </c>
      <c r="E2087" s="116">
        <v>5030.05</v>
      </c>
      <c r="F2087" s="116">
        <v>4953.8</v>
      </c>
      <c r="G2087">
        <v>2160</v>
      </c>
      <c r="H2087" s="116"/>
      <c r="I2087" s="116"/>
      <c r="L2087" s="170">
        <v>45702</v>
      </c>
      <c r="M2087" s="116">
        <v>4958.3500000000004</v>
      </c>
      <c r="N2087" s="116">
        <v>5082.25</v>
      </c>
      <c r="O2087" s="116">
        <v>4929.8500000000004</v>
      </c>
      <c r="P2087" s="116">
        <v>5082.25</v>
      </c>
      <c r="Q2087" s="116">
        <v>4958.3500000000004</v>
      </c>
      <c r="R2087">
        <v>232850</v>
      </c>
    </row>
    <row r="2088" spans="1:18" x14ac:dyDescent="0.25">
      <c r="A2088" s="170">
        <v>45705</v>
      </c>
      <c r="B2088" s="116">
        <v>4958.95</v>
      </c>
      <c r="C2088" s="116">
        <v>4819.45</v>
      </c>
      <c r="D2088" s="116">
        <v>4795.05</v>
      </c>
      <c r="E2088" s="116">
        <v>4953.05</v>
      </c>
      <c r="F2088" s="116">
        <v>4819.45</v>
      </c>
      <c r="G2088">
        <v>3495</v>
      </c>
      <c r="H2088" s="116"/>
      <c r="I2088" s="116"/>
      <c r="L2088" s="170">
        <v>45705</v>
      </c>
      <c r="M2088" s="116">
        <v>4816.8999999999996</v>
      </c>
      <c r="N2088" s="116">
        <v>4964.95</v>
      </c>
      <c r="O2088" s="116">
        <v>4794</v>
      </c>
      <c r="P2088" s="116">
        <v>4958.3</v>
      </c>
      <c r="Q2088" s="116">
        <v>4816.8999999999996</v>
      </c>
      <c r="R2088">
        <v>83747</v>
      </c>
    </row>
    <row r="2089" spans="1:18" x14ac:dyDescent="0.25">
      <c r="A2089" s="170">
        <v>45706</v>
      </c>
      <c r="B2089" s="116">
        <v>4949.8999999999996</v>
      </c>
      <c r="C2089" s="116">
        <v>4931.6499999999996</v>
      </c>
      <c r="D2089" s="116">
        <v>4807.1499999999996</v>
      </c>
      <c r="E2089" s="116">
        <v>4836.8</v>
      </c>
      <c r="F2089" s="116">
        <v>4931.6499999999996</v>
      </c>
      <c r="G2089">
        <v>3069</v>
      </c>
      <c r="H2089" s="116"/>
      <c r="I2089" s="116"/>
      <c r="L2089" s="170">
        <v>45706</v>
      </c>
      <c r="M2089" s="116">
        <v>4929.6000000000004</v>
      </c>
      <c r="N2089" s="116">
        <v>4949.8999999999996</v>
      </c>
      <c r="O2089" s="116">
        <v>4804</v>
      </c>
      <c r="P2089" s="116">
        <v>4824</v>
      </c>
      <c r="Q2089" s="116">
        <v>4929.6000000000004</v>
      </c>
      <c r="R2089">
        <v>126855</v>
      </c>
    </row>
    <row r="2090" spans="1:18" x14ac:dyDescent="0.25">
      <c r="A2090" s="170">
        <v>45707</v>
      </c>
      <c r="B2090" s="116">
        <v>4949.8999999999996</v>
      </c>
      <c r="C2090" s="116">
        <v>4868.7</v>
      </c>
      <c r="D2090" s="116">
        <v>4827.05</v>
      </c>
      <c r="E2090" s="116">
        <v>4876.05</v>
      </c>
      <c r="F2090" s="116">
        <v>4868.7</v>
      </c>
      <c r="G2090">
        <v>3488</v>
      </c>
      <c r="H2090" s="116"/>
      <c r="I2090" s="116"/>
      <c r="L2090" s="170">
        <v>45707</v>
      </c>
      <c r="M2090" s="116">
        <v>4872.05</v>
      </c>
      <c r="N2090" s="116">
        <v>4951.3</v>
      </c>
      <c r="O2090" s="116">
        <v>4827.1000000000004</v>
      </c>
      <c r="P2090" s="116">
        <v>4895.05</v>
      </c>
      <c r="Q2090" s="116">
        <v>4872.05</v>
      </c>
      <c r="R2090">
        <v>147229</v>
      </c>
    </row>
    <row r="2091" spans="1:18" x14ac:dyDescent="0.25">
      <c r="A2091" s="170">
        <v>45708</v>
      </c>
      <c r="B2091" s="116">
        <v>4926.95</v>
      </c>
      <c r="C2091" s="116">
        <v>4913.2</v>
      </c>
      <c r="D2091" s="116">
        <v>4835.3</v>
      </c>
      <c r="E2091" s="116">
        <v>4885.3999999999996</v>
      </c>
      <c r="F2091" s="116">
        <v>4913.2</v>
      </c>
      <c r="G2091">
        <v>2260</v>
      </c>
      <c r="H2091" s="116"/>
      <c r="I2091" s="116"/>
      <c r="L2091" s="170">
        <v>45708</v>
      </c>
      <c r="M2091" s="116">
        <v>4915.3999999999996</v>
      </c>
      <c r="N2091" s="116">
        <v>4927.6000000000004</v>
      </c>
      <c r="O2091" s="116">
        <v>4836</v>
      </c>
      <c r="P2091" s="116">
        <v>4871.3</v>
      </c>
      <c r="Q2091" s="116">
        <v>4915.3999999999996</v>
      </c>
      <c r="R2091">
        <v>42440</v>
      </c>
    </row>
    <row r="2092" spans="1:18" x14ac:dyDescent="0.25">
      <c r="A2092" s="170">
        <v>45709</v>
      </c>
      <c r="B2092" s="116">
        <v>5157.6000000000004</v>
      </c>
      <c r="C2092" s="116">
        <v>5120.7</v>
      </c>
      <c r="D2092" s="116">
        <v>4970</v>
      </c>
      <c r="E2092" s="116">
        <v>4970</v>
      </c>
      <c r="F2092" s="116">
        <v>5120.7</v>
      </c>
      <c r="G2092">
        <v>5194</v>
      </c>
      <c r="H2092" s="116"/>
      <c r="I2092" s="116"/>
      <c r="L2092" s="170">
        <v>45709</v>
      </c>
      <c r="M2092" s="116">
        <v>5123.1000000000004</v>
      </c>
      <c r="N2092" s="116">
        <v>5159</v>
      </c>
      <c r="O2092" s="116">
        <v>4990.3999999999996</v>
      </c>
      <c r="P2092" s="116">
        <v>4996.95</v>
      </c>
      <c r="Q2092" s="116">
        <v>5123.1000000000004</v>
      </c>
      <c r="R2092">
        <v>389616</v>
      </c>
    </row>
    <row r="2093" spans="1:18" x14ac:dyDescent="0.25">
      <c r="A2093" s="170">
        <v>45712</v>
      </c>
      <c r="B2093" s="116">
        <v>5099.25</v>
      </c>
      <c r="C2093" s="116">
        <v>4887.3</v>
      </c>
      <c r="D2093" s="116">
        <v>4811.1000000000004</v>
      </c>
      <c r="E2093" s="116">
        <v>5099.25</v>
      </c>
      <c r="F2093" s="116">
        <v>4887.3</v>
      </c>
      <c r="G2093">
        <v>12606</v>
      </c>
      <c r="H2093" s="116"/>
      <c r="I2093" s="116"/>
      <c r="L2093" s="170">
        <v>45712</v>
      </c>
      <c r="M2093" s="116">
        <v>4885.6000000000004</v>
      </c>
      <c r="N2093" s="116">
        <v>5070.3</v>
      </c>
      <c r="O2093" s="116">
        <v>4812.6499999999996</v>
      </c>
      <c r="P2093" s="116">
        <v>5033</v>
      </c>
      <c r="Q2093" s="116">
        <v>4885.6000000000004</v>
      </c>
      <c r="R2093">
        <v>412098</v>
      </c>
    </row>
    <row r="2094" spans="1:18" x14ac:dyDescent="0.25">
      <c r="A2094" s="170">
        <v>45713</v>
      </c>
      <c r="B2094" s="116">
        <v>4883.6000000000004</v>
      </c>
      <c r="C2094" s="116">
        <v>4731.3</v>
      </c>
      <c r="D2094" s="116">
        <v>4718</v>
      </c>
      <c r="E2094" s="116">
        <v>4880.05</v>
      </c>
      <c r="F2094" s="116">
        <v>4731.3</v>
      </c>
      <c r="G2094">
        <v>4164</v>
      </c>
      <c r="H2094" s="116"/>
      <c r="I2094" s="116"/>
      <c r="L2094" s="170">
        <v>45713</v>
      </c>
      <c r="M2094" s="116">
        <v>4727.8500000000004</v>
      </c>
      <c r="N2094" s="116">
        <v>4899.95</v>
      </c>
      <c r="O2094" s="116">
        <v>4716</v>
      </c>
      <c r="P2094" s="116">
        <v>4885.6000000000004</v>
      </c>
      <c r="Q2094" s="116">
        <v>4727.8500000000004</v>
      </c>
      <c r="R2094">
        <v>137207</v>
      </c>
    </row>
    <row r="2095" spans="1:18" x14ac:dyDescent="0.25">
      <c r="A2095" s="170">
        <v>45715</v>
      </c>
      <c r="B2095" s="116">
        <v>4743.5</v>
      </c>
      <c r="C2095" s="116">
        <v>4646.8500000000004</v>
      </c>
      <c r="D2095" s="116">
        <v>4612.55</v>
      </c>
      <c r="E2095" s="116">
        <v>4714.1499999999996</v>
      </c>
      <c r="F2095" s="116">
        <v>4646.8500000000004</v>
      </c>
      <c r="G2095">
        <v>4236</v>
      </c>
      <c r="H2095" s="116"/>
      <c r="I2095" s="116"/>
      <c r="L2095" s="170">
        <v>45715</v>
      </c>
      <c r="M2095" s="116">
        <v>4645.6499999999996</v>
      </c>
      <c r="N2095" s="116">
        <v>4754.8500000000004</v>
      </c>
      <c r="O2095" s="116">
        <v>4614.55</v>
      </c>
      <c r="P2095" s="116">
        <v>4727</v>
      </c>
      <c r="Q2095" s="116">
        <v>4645.6499999999996</v>
      </c>
      <c r="R2095">
        <v>129313</v>
      </c>
    </row>
    <row r="2096" spans="1:18" x14ac:dyDescent="0.25">
      <c r="A2096" s="170">
        <v>45716</v>
      </c>
      <c r="B2096" s="116">
        <v>4633</v>
      </c>
      <c r="C2096" s="116">
        <v>4531.3999999999996</v>
      </c>
      <c r="D2096" s="116">
        <v>4476.8999999999996</v>
      </c>
      <c r="E2096" s="116">
        <v>4590.6000000000004</v>
      </c>
      <c r="F2096" s="116">
        <v>4531.3999999999996</v>
      </c>
      <c r="G2096">
        <v>11845</v>
      </c>
      <c r="H2096" s="116"/>
      <c r="I2096" s="116"/>
      <c r="L2096" s="170">
        <v>45716</v>
      </c>
      <c r="M2096" s="116">
        <v>4533.2</v>
      </c>
      <c r="N2096" s="116">
        <v>4645.6499999999996</v>
      </c>
      <c r="O2096" s="116">
        <v>4475.6499999999996</v>
      </c>
      <c r="P2096" s="116">
        <v>4609.5</v>
      </c>
      <c r="Q2096" s="116">
        <v>4533.2</v>
      </c>
      <c r="R2096">
        <v>155159</v>
      </c>
    </row>
    <row r="2097" spans="1:18" x14ac:dyDescent="0.25">
      <c r="A2097" s="170">
        <v>45719</v>
      </c>
      <c r="B2097" s="116">
        <v>4577.3</v>
      </c>
      <c r="C2097" s="116">
        <v>4560.45</v>
      </c>
      <c r="D2097" s="116">
        <v>4466.8</v>
      </c>
      <c r="E2097" s="116">
        <v>4500.1499999999996</v>
      </c>
      <c r="F2097" s="116">
        <v>4560.45</v>
      </c>
      <c r="G2097">
        <v>3879</v>
      </c>
      <c r="H2097" s="116"/>
      <c r="I2097" s="116"/>
      <c r="L2097" s="170">
        <v>45719</v>
      </c>
      <c r="M2097" s="116">
        <v>4561.8</v>
      </c>
      <c r="N2097" s="116">
        <v>4576.5</v>
      </c>
      <c r="O2097" s="116">
        <v>4468</v>
      </c>
      <c r="P2097" s="116">
        <v>4530.1000000000004</v>
      </c>
      <c r="Q2097" s="116">
        <v>4561.8</v>
      </c>
      <c r="R2097">
        <v>71934</v>
      </c>
    </row>
    <row r="2098" spans="1:18" x14ac:dyDescent="0.25">
      <c r="A2098" s="170">
        <v>45720</v>
      </c>
      <c r="B2098" s="116">
        <v>4574.75</v>
      </c>
      <c r="C2098" s="116">
        <v>4566.25</v>
      </c>
      <c r="D2098" s="116">
        <v>4430</v>
      </c>
      <c r="E2098" s="116">
        <v>4500</v>
      </c>
      <c r="F2098" s="116">
        <v>4566.25</v>
      </c>
      <c r="G2098">
        <v>2685</v>
      </c>
      <c r="H2098" s="116"/>
      <c r="I2098" s="116"/>
      <c r="L2098" s="170">
        <v>45720</v>
      </c>
      <c r="M2098" s="116">
        <v>4566.5</v>
      </c>
      <c r="N2098" s="116">
        <v>4579.5</v>
      </c>
      <c r="O2098" s="116">
        <v>4431.7</v>
      </c>
      <c r="P2098" s="116">
        <v>4451.1499999999996</v>
      </c>
      <c r="Q2098" s="116">
        <v>4566.5</v>
      </c>
      <c r="R2098">
        <v>99755</v>
      </c>
    </row>
    <row r="2099" spans="1:18" x14ac:dyDescent="0.25">
      <c r="A2099" s="170">
        <v>45721</v>
      </c>
      <c r="B2099" s="116">
        <v>4766.6499999999996</v>
      </c>
      <c r="C2099" s="116">
        <v>4755.8999999999996</v>
      </c>
      <c r="D2099" s="116">
        <v>4480</v>
      </c>
      <c r="E2099" s="116">
        <v>4500</v>
      </c>
      <c r="F2099" s="116">
        <v>4755.8999999999996</v>
      </c>
      <c r="G2099">
        <v>2197</v>
      </c>
      <c r="H2099" s="116"/>
      <c r="I2099" s="116"/>
      <c r="L2099" s="170">
        <v>45721</v>
      </c>
      <c r="M2099" s="116">
        <v>4754.3999999999996</v>
      </c>
      <c r="N2099" s="116">
        <v>4768.5</v>
      </c>
      <c r="O2099" s="116">
        <v>4448.45</v>
      </c>
      <c r="P2099" s="116">
        <v>4448.45</v>
      </c>
      <c r="Q2099" s="116">
        <v>4754.3999999999996</v>
      </c>
      <c r="R2099">
        <v>171843</v>
      </c>
    </row>
    <row r="2100" spans="1:18" x14ac:dyDescent="0.25">
      <c r="A2100" s="170">
        <v>45722</v>
      </c>
      <c r="B2100" s="116">
        <v>4878.95</v>
      </c>
      <c r="C2100" s="116">
        <v>4862.8999999999996</v>
      </c>
      <c r="D2100" s="116">
        <v>4756.8</v>
      </c>
      <c r="E2100" s="116">
        <v>4760.8</v>
      </c>
      <c r="F2100" s="116">
        <v>4862.8999999999996</v>
      </c>
      <c r="G2100">
        <v>4747</v>
      </c>
      <c r="H2100" s="116"/>
      <c r="I2100" s="116"/>
      <c r="L2100" s="170">
        <v>45722</v>
      </c>
      <c r="M2100" s="116">
        <v>4858.2</v>
      </c>
      <c r="N2100" s="116">
        <v>4879.75</v>
      </c>
      <c r="O2100" s="116">
        <v>4754.1499999999996</v>
      </c>
      <c r="P2100" s="116">
        <v>4788.95</v>
      </c>
      <c r="Q2100" s="116">
        <v>4858.2</v>
      </c>
      <c r="R2100">
        <v>102844</v>
      </c>
    </row>
    <row r="2101" spans="1:18" x14ac:dyDescent="0.25">
      <c r="A2101" s="170">
        <v>45723</v>
      </c>
      <c r="B2101" s="116">
        <v>4858</v>
      </c>
      <c r="C2101" s="116">
        <v>4819.8500000000004</v>
      </c>
      <c r="D2101" s="116">
        <v>4772.8500000000004</v>
      </c>
      <c r="E2101" s="116">
        <v>4858</v>
      </c>
      <c r="F2101" s="116">
        <v>4819.8500000000004</v>
      </c>
      <c r="G2101">
        <v>2118</v>
      </c>
      <c r="H2101" s="116"/>
      <c r="I2101" s="116"/>
      <c r="L2101" s="170">
        <v>45723</v>
      </c>
      <c r="M2101" s="116">
        <v>4822</v>
      </c>
      <c r="N2101" s="116">
        <v>4847.8500000000004</v>
      </c>
      <c r="O2101" s="116">
        <v>4778.1499999999996</v>
      </c>
      <c r="P2101" s="116">
        <v>4838.2</v>
      </c>
      <c r="Q2101" s="116">
        <v>4822</v>
      </c>
      <c r="R2101">
        <v>56726</v>
      </c>
    </row>
    <row r="2102" spans="1:18" x14ac:dyDescent="0.25">
      <c r="A2102" s="170">
        <v>45726</v>
      </c>
      <c r="B2102" s="116">
        <v>4879.8</v>
      </c>
      <c r="C2102" s="116">
        <v>4655.8999999999996</v>
      </c>
      <c r="D2102" s="116">
        <v>4625.3999999999996</v>
      </c>
      <c r="E2102" s="116">
        <v>4879.8</v>
      </c>
      <c r="F2102" s="116">
        <v>4655.8999999999996</v>
      </c>
      <c r="G2102">
        <v>2289</v>
      </c>
      <c r="H2102" s="116"/>
      <c r="I2102" s="116"/>
      <c r="L2102" s="170">
        <v>45726</v>
      </c>
      <c r="M2102" s="116">
        <v>4653.55</v>
      </c>
      <c r="N2102" s="116">
        <v>4859.55</v>
      </c>
      <c r="O2102" s="116">
        <v>4627.8999999999996</v>
      </c>
      <c r="P2102" s="116">
        <v>4823</v>
      </c>
      <c r="Q2102" s="116">
        <v>4653.55</v>
      </c>
      <c r="R2102">
        <v>57573</v>
      </c>
    </row>
    <row r="2103" spans="1:18" x14ac:dyDescent="0.25">
      <c r="A2103" s="170">
        <v>45727</v>
      </c>
      <c r="B2103" s="116">
        <v>4673</v>
      </c>
      <c r="C2103" s="116">
        <v>4643.3</v>
      </c>
      <c r="D2103" s="116">
        <v>4510.45</v>
      </c>
      <c r="E2103" s="116">
        <v>4579.95</v>
      </c>
      <c r="F2103" s="116">
        <v>4643.3</v>
      </c>
      <c r="G2103">
        <v>2880</v>
      </c>
      <c r="H2103" s="116"/>
      <c r="I2103" s="116"/>
      <c r="L2103" s="170">
        <v>45727</v>
      </c>
      <c r="M2103" s="116">
        <v>4642.75</v>
      </c>
      <c r="N2103" s="116">
        <v>4668</v>
      </c>
      <c r="O2103" s="116">
        <v>4504.2</v>
      </c>
      <c r="P2103" s="116">
        <v>4569.1000000000004</v>
      </c>
      <c r="Q2103" s="116">
        <v>4642.75</v>
      </c>
      <c r="R2103">
        <v>81183</v>
      </c>
    </row>
    <row r="2104" spans="1:18" x14ac:dyDescent="0.25">
      <c r="A2104" s="170">
        <v>45728</v>
      </c>
      <c r="B2104" s="116">
        <v>4648.8999999999996</v>
      </c>
      <c r="C2104" s="116">
        <v>4394.6000000000004</v>
      </c>
      <c r="D2104" s="116">
        <v>4355.05</v>
      </c>
      <c r="E2104" s="116">
        <v>4648.8999999999996</v>
      </c>
      <c r="F2104" s="116">
        <v>4394.6000000000004</v>
      </c>
      <c r="G2104">
        <v>10614</v>
      </c>
      <c r="H2104" s="116"/>
      <c r="I2104" s="116"/>
      <c r="L2104" s="170">
        <v>45728</v>
      </c>
      <c r="M2104" s="116">
        <v>4390.6499999999996</v>
      </c>
      <c r="N2104" s="116">
        <v>4634.05</v>
      </c>
      <c r="O2104" s="116">
        <v>4353.3</v>
      </c>
      <c r="P2104" s="116">
        <v>4634.05</v>
      </c>
      <c r="Q2104" s="116">
        <v>4390.6499999999996</v>
      </c>
      <c r="R2104">
        <v>173365</v>
      </c>
    </row>
    <row r="2105" spans="1:18" x14ac:dyDescent="0.25">
      <c r="A2105" s="170">
        <v>45729</v>
      </c>
      <c r="B2105" s="116">
        <v>4451.1000000000004</v>
      </c>
      <c r="C2105" s="116">
        <v>4374.55</v>
      </c>
      <c r="D2105" s="116">
        <v>4318.3999999999996</v>
      </c>
      <c r="E2105" s="116">
        <v>4451.1000000000004</v>
      </c>
      <c r="F2105" s="116">
        <v>4374.55</v>
      </c>
      <c r="G2105">
        <v>5497</v>
      </c>
      <c r="H2105" s="116"/>
      <c r="I2105" s="116"/>
      <c r="L2105" s="170">
        <v>45729</v>
      </c>
      <c r="M2105" s="116">
        <v>4378.2</v>
      </c>
      <c r="N2105" s="116">
        <v>4451.95</v>
      </c>
      <c r="O2105" s="116">
        <v>4317.55</v>
      </c>
      <c r="P2105" s="116">
        <v>4427.8</v>
      </c>
      <c r="Q2105" s="116">
        <v>4378.2</v>
      </c>
      <c r="R2105">
        <v>155991</v>
      </c>
    </row>
    <row r="2106" spans="1:18" x14ac:dyDescent="0.25">
      <c r="A2106" s="170">
        <v>45733</v>
      </c>
      <c r="B2106" s="116">
        <v>4463</v>
      </c>
      <c r="C2106" s="116">
        <v>4449.8500000000004</v>
      </c>
      <c r="D2106" s="116">
        <v>4371.05</v>
      </c>
      <c r="E2106" s="116">
        <v>4423.45</v>
      </c>
      <c r="F2106" s="116">
        <v>4449.8500000000004</v>
      </c>
      <c r="G2106">
        <v>1668</v>
      </c>
      <c r="H2106" s="116"/>
      <c r="I2106" s="116"/>
      <c r="L2106" s="170">
        <v>45733</v>
      </c>
      <c r="M2106" s="116">
        <v>4450.7</v>
      </c>
      <c r="N2106" s="116">
        <v>4463.5</v>
      </c>
      <c r="O2106" s="116">
        <v>4365</v>
      </c>
      <c r="P2106" s="116">
        <v>4385.55</v>
      </c>
      <c r="Q2106" s="116">
        <v>4450.7</v>
      </c>
      <c r="R2106">
        <v>85073</v>
      </c>
    </row>
    <row r="2107" spans="1:18" x14ac:dyDescent="0.25">
      <c r="A2107" s="170">
        <v>45734</v>
      </c>
      <c r="B2107" s="116">
        <v>4624.6499999999996</v>
      </c>
      <c r="C2107" s="116">
        <v>4610.8500000000004</v>
      </c>
      <c r="D2107" s="116">
        <v>4459.95</v>
      </c>
      <c r="E2107" s="116">
        <v>4475</v>
      </c>
      <c r="F2107" s="116">
        <v>4610.8500000000004</v>
      </c>
      <c r="G2107">
        <v>3019</v>
      </c>
      <c r="H2107" s="116"/>
      <c r="I2107" s="116"/>
      <c r="L2107" s="170">
        <v>45734</v>
      </c>
      <c r="M2107" s="116">
        <v>4609.3999999999996</v>
      </c>
      <c r="N2107" s="116">
        <v>4623</v>
      </c>
      <c r="O2107" s="116">
        <v>4456.5</v>
      </c>
      <c r="P2107" s="116">
        <v>4465</v>
      </c>
      <c r="Q2107" s="116">
        <v>4609.3999999999996</v>
      </c>
      <c r="R2107">
        <v>151372</v>
      </c>
    </row>
    <row r="2108" spans="1:18" x14ac:dyDescent="0.25">
      <c r="A2108" s="170">
        <v>45735</v>
      </c>
      <c r="B2108" s="116">
        <v>4660.25</v>
      </c>
      <c r="C2108" s="116">
        <v>4647.8</v>
      </c>
      <c r="D2108" s="116">
        <v>4527.3</v>
      </c>
      <c r="E2108" s="116">
        <v>4629.95</v>
      </c>
      <c r="F2108" s="116">
        <v>4647.8</v>
      </c>
      <c r="G2108">
        <v>3594</v>
      </c>
      <c r="H2108" s="116"/>
      <c r="I2108" s="116"/>
      <c r="L2108" s="170">
        <v>45735</v>
      </c>
      <c r="M2108" s="116">
        <v>4647.2</v>
      </c>
      <c r="N2108" s="116">
        <v>4664</v>
      </c>
      <c r="O2108" s="116">
        <v>4527.3500000000004</v>
      </c>
      <c r="P2108" s="116">
        <v>4622.55</v>
      </c>
      <c r="Q2108" s="116">
        <v>4647.2</v>
      </c>
      <c r="R2108">
        <v>94854</v>
      </c>
    </row>
    <row r="2109" spans="1:18" x14ac:dyDescent="0.25">
      <c r="A2109" s="170">
        <v>45736</v>
      </c>
      <c r="B2109" s="116">
        <v>4750</v>
      </c>
      <c r="C2109" s="116">
        <v>4650.7</v>
      </c>
      <c r="D2109" s="116">
        <v>4615</v>
      </c>
      <c r="E2109" s="116">
        <v>4691.95</v>
      </c>
      <c r="F2109" s="116">
        <v>4650.7</v>
      </c>
      <c r="G2109">
        <v>3399</v>
      </c>
      <c r="H2109" s="116"/>
      <c r="I2109" s="116"/>
      <c r="L2109" s="170">
        <v>45736</v>
      </c>
      <c r="M2109" s="116">
        <v>4654.6499999999996</v>
      </c>
      <c r="N2109" s="116">
        <v>4751.95</v>
      </c>
      <c r="O2109" s="116">
        <v>4613.05</v>
      </c>
      <c r="P2109" s="116">
        <v>4679.05</v>
      </c>
      <c r="Q2109" s="116">
        <v>4654.6499999999996</v>
      </c>
      <c r="R2109">
        <v>86375</v>
      </c>
    </row>
    <row r="2110" spans="1:18" x14ac:dyDescent="0.25">
      <c r="A2110" s="170">
        <v>45737</v>
      </c>
      <c r="B2110" s="116">
        <v>4722.1499999999996</v>
      </c>
      <c r="C2110" s="116">
        <v>4669.2</v>
      </c>
      <c r="D2110" s="116">
        <v>4500</v>
      </c>
      <c r="E2110" s="116">
        <v>4580</v>
      </c>
      <c r="F2110" s="116">
        <v>4669.2</v>
      </c>
      <c r="G2110">
        <v>2861</v>
      </c>
      <c r="H2110" s="116"/>
      <c r="I2110" s="116"/>
      <c r="L2110" s="170">
        <v>45737</v>
      </c>
      <c r="M2110" s="116">
        <v>4670.3999999999996</v>
      </c>
      <c r="N2110" s="116">
        <v>4724</v>
      </c>
      <c r="O2110" s="116">
        <v>4476.25</v>
      </c>
      <c r="P2110" s="116">
        <v>4550</v>
      </c>
      <c r="Q2110" s="116">
        <v>4670.3999999999996</v>
      </c>
      <c r="R2110">
        <v>134865</v>
      </c>
    </row>
    <row r="2111" spans="1:18" x14ac:dyDescent="0.25">
      <c r="A2111" s="170">
        <v>45740</v>
      </c>
      <c r="B2111" s="116">
        <v>4720.2</v>
      </c>
      <c r="C2111" s="116">
        <v>4578.8500000000004</v>
      </c>
      <c r="D2111" s="116">
        <v>4531</v>
      </c>
      <c r="E2111" s="116">
        <v>4630.05</v>
      </c>
      <c r="F2111" s="116">
        <v>4578.8500000000004</v>
      </c>
      <c r="G2111">
        <v>3801</v>
      </c>
      <c r="H2111" s="116"/>
      <c r="I2111" s="116"/>
      <c r="L2111" s="170">
        <v>45740</v>
      </c>
      <c r="M2111" s="116">
        <v>4578.8999999999996</v>
      </c>
      <c r="N2111" s="116">
        <v>4734</v>
      </c>
      <c r="O2111" s="116">
        <v>4530</v>
      </c>
      <c r="P2111" s="116">
        <v>4734</v>
      </c>
      <c r="Q2111" s="116">
        <v>4578.8999999999996</v>
      </c>
      <c r="R2111">
        <v>311696</v>
      </c>
    </row>
    <row r="2112" spans="1:18" x14ac:dyDescent="0.25">
      <c r="A2112" s="170">
        <v>45741</v>
      </c>
      <c r="B2112" s="116">
        <v>4727.7</v>
      </c>
      <c r="C2112" s="116">
        <v>4625</v>
      </c>
      <c r="D2112" s="116">
        <v>4593.3999999999996</v>
      </c>
      <c r="E2112" s="116">
        <v>4628.8</v>
      </c>
      <c r="F2112" s="116">
        <v>4625</v>
      </c>
      <c r="G2112">
        <v>4882</v>
      </c>
      <c r="H2112" s="116"/>
      <c r="I2112" s="116"/>
      <c r="L2112" s="170">
        <v>45741</v>
      </c>
      <c r="M2112" s="116">
        <v>4625.05</v>
      </c>
      <c r="N2112" s="116">
        <v>4729.45</v>
      </c>
      <c r="O2112" s="116">
        <v>4581</v>
      </c>
      <c r="P2112" s="116">
        <v>4610.95</v>
      </c>
      <c r="Q2112" s="116">
        <v>4625.05</v>
      </c>
      <c r="R2112">
        <v>211322</v>
      </c>
    </row>
    <row r="2113" spans="1:18" x14ac:dyDescent="0.25">
      <c r="A2113" s="170">
        <v>45742</v>
      </c>
      <c r="B2113" s="116">
        <v>4665.05</v>
      </c>
      <c r="C2113" s="116">
        <v>4514.7</v>
      </c>
      <c r="D2113" s="116">
        <v>4498</v>
      </c>
      <c r="E2113" s="116">
        <v>4625</v>
      </c>
      <c r="F2113" s="116">
        <v>4514.7</v>
      </c>
      <c r="G2113">
        <v>6337</v>
      </c>
      <c r="H2113" s="116"/>
      <c r="I2113" s="116"/>
      <c r="L2113" s="170">
        <v>45742</v>
      </c>
      <c r="M2113" s="116">
        <v>4517.8</v>
      </c>
      <c r="N2113" s="116">
        <v>4665.3500000000004</v>
      </c>
      <c r="O2113" s="116">
        <v>4494.3500000000004</v>
      </c>
      <c r="P2113" s="116">
        <v>4625.05</v>
      </c>
      <c r="Q2113" s="116">
        <v>4517.8</v>
      </c>
      <c r="R2113">
        <v>259602</v>
      </c>
    </row>
    <row r="2114" spans="1:18" x14ac:dyDescent="0.25">
      <c r="A2114" s="170">
        <v>45743</v>
      </c>
      <c r="B2114" s="116">
        <v>4562</v>
      </c>
      <c r="C2114" s="116">
        <v>4455.1499999999996</v>
      </c>
      <c r="D2114" s="116">
        <v>4420.7</v>
      </c>
      <c r="E2114" s="116">
        <v>4514.95</v>
      </c>
      <c r="F2114" s="116">
        <v>4455.1499999999996</v>
      </c>
      <c r="G2114">
        <v>9056</v>
      </c>
      <c r="H2114" s="116"/>
      <c r="I2114" s="116"/>
      <c r="L2114" s="170">
        <v>45743</v>
      </c>
      <c r="M2114" s="116">
        <v>4447.75</v>
      </c>
      <c r="N2114" s="116">
        <v>4567.8999999999996</v>
      </c>
      <c r="O2114" s="116">
        <v>4421</v>
      </c>
      <c r="P2114" s="116">
        <v>4482</v>
      </c>
      <c r="Q2114" s="116">
        <v>4447.75</v>
      </c>
      <c r="R2114">
        <v>413745</v>
      </c>
    </row>
    <row r="2115" spans="1:18" x14ac:dyDescent="0.25">
      <c r="A2115" s="170">
        <v>45744</v>
      </c>
      <c r="B2115" s="116">
        <v>4599</v>
      </c>
      <c r="C2115" s="116">
        <v>4500.8999999999996</v>
      </c>
      <c r="D2115" s="116">
        <v>4443.3500000000004</v>
      </c>
      <c r="E2115" s="116">
        <v>4487.95</v>
      </c>
      <c r="F2115" s="116">
        <v>4500.8999999999996</v>
      </c>
      <c r="G2115">
        <v>12762</v>
      </c>
      <c r="H2115" s="116"/>
      <c r="I2115" s="116"/>
      <c r="L2115" s="170">
        <v>45744</v>
      </c>
      <c r="M2115" s="116">
        <v>4501.7</v>
      </c>
      <c r="N2115" s="116">
        <v>4600</v>
      </c>
      <c r="O2115" s="116">
        <v>4431.1000000000004</v>
      </c>
      <c r="P2115" s="116">
        <v>4480</v>
      </c>
      <c r="Q2115" s="116">
        <v>4501.7</v>
      </c>
      <c r="R2115">
        <v>254499</v>
      </c>
    </row>
    <row r="2116" spans="1:18" x14ac:dyDescent="0.25">
      <c r="A2116" s="170">
        <v>45748</v>
      </c>
      <c r="B2116" s="116">
        <v>4586.1499999999996</v>
      </c>
      <c r="C2116" s="116">
        <v>4565.8500000000004</v>
      </c>
      <c r="D2116" s="116">
        <v>4478.2</v>
      </c>
      <c r="E2116" s="116">
        <v>4512.3</v>
      </c>
      <c r="F2116" s="116">
        <v>4565.8500000000004</v>
      </c>
      <c r="G2116">
        <v>6273</v>
      </c>
      <c r="H2116" s="116"/>
      <c r="I2116" s="116"/>
      <c r="L2116" s="170">
        <v>45748</v>
      </c>
      <c r="M2116" s="116">
        <v>4563.1000000000004</v>
      </c>
      <c r="N2116" s="116">
        <v>4599.8500000000004</v>
      </c>
      <c r="O2116" s="116">
        <v>4480.8500000000004</v>
      </c>
      <c r="P2116" s="116">
        <v>4487.75</v>
      </c>
      <c r="Q2116" s="116">
        <v>4563.1000000000004</v>
      </c>
      <c r="R2116">
        <v>127585</v>
      </c>
    </row>
    <row r="2117" spans="1:18" x14ac:dyDescent="0.25">
      <c r="A2117" s="170">
        <v>45749</v>
      </c>
      <c r="B2117" s="116">
        <v>4660.6499999999996</v>
      </c>
      <c r="C2117" s="116">
        <v>4635.8999999999996</v>
      </c>
      <c r="D2117" s="116">
        <v>4501</v>
      </c>
      <c r="E2117" s="116">
        <v>4572</v>
      </c>
      <c r="F2117" s="116">
        <v>4635.8999999999996</v>
      </c>
      <c r="G2117">
        <v>5445</v>
      </c>
      <c r="H2117" s="116"/>
      <c r="I2117" s="116"/>
      <c r="L2117" s="170">
        <v>45749</v>
      </c>
      <c r="M2117" s="116">
        <v>4635.75</v>
      </c>
      <c r="N2117" s="116">
        <v>4659.5</v>
      </c>
      <c r="O2117" s="116">
        <v>4500</v>
      </c>
      <c r="P2117" s="116">
        <v>4572</v>
      </c>
      <c r="Q2117" s="116">
        <v>4635.75</v>
      </c>
      <c r="R2117">
        <v>85955</v>
      </c>
    </row>
    <row r="2118" spans="1:18" x14ac:dyDescent="0.25">
      <c r="A2118" s="170">
        <v>45750</v>
      </c>
      <c r="B2118" s="116">
        <v>4580</v>
      </c>
      <c r="C2118" s="116">
        <v>4458.25</v>
      </c>
      <c r="D2118" s="116">
        <v>4417</v>
      </c>
      <c r="E2118" s="116">
        <v>4580</v>
      </c>
      <c r="F2118" s="116">
        <v>4458.25</v>
      </c>
      <c r="G2118">
        <v>13390</v>
      </c>
      <c r="H2118" s="116"/>
      <c r="I2118" s="116"/>
      <c r="L2118" s="170">
        <v>45750</v>
      </c>
      <c r="M2118" s="116">
        <v>4458.5</v>
      </c>
      <c r="N2118" s="116">
        <v>4567</v>
      </c>
      <c r="O2118" s="116">
        <v>4416.8</v>
      </c>
      <c r="P2118" s="116">
        <v>4567</v>
      </c>
      <c r="Q2118" s="116">
        <v>4458.5</v>
      </c>
      <c r="R2118">
        <v>130276</v>
      </c>
    </row>
    <row r="2119" spans="1:18" x14ac:dyDescent="0.25">
      <c r="A2119" s="170">
        <v>45751</v>
      </c>
      <c r="B2119" s="116">
        <v>4410</v>
      </c>
      <c r="C2119" s="116">
        <v>4274.25</v>
      </c>
      <c r="D2119" s="116">
        <v>4262.8</v>
      </c>
      <c r="E2119" s="116">
        <v>4291.1499999999996</v>
      </c>
      <c r="F2119" s="116">
        <v>4274.25</v>
      </c>
      <c r="G2119">
        <v>4948</v>
      </c>
      <c r="H2119" s="116"/>
      <c r="I2119" s="116"/>
      <c r="L2119" s="170">
        <v>45751</v>
      </c>
      <c r="M2119" s="116">
        <v>4274.2</v>
      </c>
      <c r="N2119" s="116">
        <v>4412.7</v>
      </c>
      <c r="O2119" s="116">
        <v>4261</v>
      </c>
      <c r="P2119" s="116">
        <v>4322</v>
      </c>
      <c r="Q2119" s="116">
        <v>4274.2</v>
      </c>
      <c r="R2119">
        <v>104284</v>
      </c>
    </row>
    <row r="2120" spans="1:18" x14ac:dyDescent="0.25">
      <c r="A2120" s="170">
        <v>45754</v>
      </c>
      <c r="B2120" s="116">
        <v>4128.05</v>
      </c>
      <c r="C2120" s="116">
        <v>4086.7</v>
      </c>
      <c r="D2120" s="116">
        <v>3855</v>
      </c>
      <c r="E2120" s="116">
        <v>3855</v>
      </c>
      <c r="F2120" s="116">
        <v>4086.7</v>
      </c>
      <c r="G2120">
        <v>15085</v>
      </c>
      <c r="H2120" s="116"/>
      <c r="I2120" s="116"/>
      <c r="L2120" s="170">
        <v>45754</v>
      </c>
      <c r="M2120" s="116">
        <v>4083.6</v>
      </c>
      <c r="N2120" s="116">
        <v>4128.55</v>
      </c>
      <c r="O2120" s="116">
        <v>3966</v>
      </c>
      <c r="P2120" s="116">
        <v>4000</v>
      </c>
      <c r="Q2120" s="116">
        <v>4083.6</v>
      </c>
      <c r="R2120">
        <v>115209</v>
      </c>
    </row>
    <row r="2121" spans="1:18" x14ac:dyDescent="0.25">
      <c r="A2121" s="170">
        <v>45755</v>
      </c>
      <c r="B2121" s="116">
        <v>4199.95</v>
      </c>
      <c r="C2121" s="116">
        <v>4101.7</v>
      </c>
      <c r="D2121" s="116">
        <v>4062.3</v>
      </c>
      <c r="E2121" s="116">
        <v>4141.3500000000004</v>
      </c>
      <c r="F2121" s="116">
        <v>4101.7</v>
      </c>
      <c r="G2121">
        <v>7697</v>
      </c>
      <c r="H2121" s="116"/>
      <c r="I2121" s="116"/>
      <c r="L2121" s="170">
        <v>45755</v>
      </c>
      <c r="M2121" s="116">
        <v>4102.1499999999996</v>
      </c>
      <c r="N2121" s="116">
        <v>4206.6000000000004</v>
      </c>
      <c r="O2121" s="116">
        <v>4061</v>
      </c>
      <c r="P2121" s="116">
        <v>4175</v>
      </c>
      <c r="Q2121" s="116">
        <v>4102.1499999999996</v>
      </c>
      <c r="R2121">
        <v>119357</v>
      </c>
    </row>
    <row r="2122" spans="1:18" x14ac:dyDescent="0.25">
      <c r="A2122" s="170">
        <v>45756</v>
      </c>
      <c r="B2122" s="116">
        <v>4108.3999999999996</v>
      </c>
      <c r="C2122" s="116">
        <v>4088.8</v>
      </c>
      <c r="D2122" s="116">
        <v>3992.1</v>
      </c>
      <c r="E2122" s="116">
        <v>4095.15</v>
      </c>
      <c r="F2122" s="116">
        <v>4088.8</v>
      </c>
      <c r="G2122">
        <v>5435</v>
      </c>
      <c r="H2122" s="116"/>
      <c r="I2122" s="116"/>
      <c r="L2122" s="170">
        <v>45756</v>
      </c>
      <c r="M2122" s="116">
        <v>4089.55</v>
      </c>
      <c r="N2122" s="116">
        <v>4110.6499999999996</v>
      </c>
      <c r="O2122" s="116">
        <v>3991</v>
      </c>
      <c r="P2122" s="116">
        <v>4060</v>
      </c>
      <c r="Q2122" s="116">
        <v>4089.55</v>
      </c>
      <c r="R2122">
        <v>63134</v>
      </c>
    </row>
    <row r="2123" spans="1:18" x14ac:dyDescent="0.25">
      <c r="A2123" s="170">
        <v>45758</v>
      </c>
      <c r="B2123" s="116">
        <v>4259.75</v>
      </c>
      <c r="C2123" s="116">
        <v>4133.05</v>
      </c>
      <c r="D2123" s="116">
        <v>4114.8</v>
      </c>
      <c r="E2123" s="116">
        <v>4259.75</v>
      </c>
      <c r="F2123" s="116">
        <v>4133.05</v>
      </c>
      <c r="G2123">
        <v>3071</v>
      </c>
      <c r="H2123" s="116"/>
      <c r="I2123" s="116"/>
      <c r="L2123" s="170">
        <v>45758</v>
      </c>
      <c r="M2123" s="116">
        <v>4132.25</v>
      </c>
      <c r="N2123" s="116">
        <v>4237.1000000000004</v>
      </c>
      <c r="O2123" s="116">
        <v>4105.45</v>
      </c>
      <c r="P2123" s="116">
        <v>4200</v>
      </c>
      <c r="Q2123" s="116">
        <v>4132.25</v>
      </c>
      <c r="R2123">
        <v>75906</v>
      </c>
    </row>
    <row r="2124" spans="1:18" x14ac:dyDescent="0.25">
      <c r="A2124" s="170">
        <v>45762</v>
      </c>
      <c r="B2124" s="116">
        <v>4367.75</v>
      </c>
      <c r="C2124" s="116">
        <v>4352.7</v>
      </c>
      <c r="D2124" s="116">
        <v>4175.25</v>
      </c>
      <c r="E2124" s="116">
        <v>4196</v>
      </c>
      <c r="F2124" s="116">
        <v>4352.7</v>
      </c>
      <c r="G2124">
        <v>10537</v>
      </c>
      <c r="H2124" s="116"/>
      <c r="I2124" s="116"/>
      <c r="L2124" s="170">
        <v>45762</v>
      </c>
      <c r="M2124" s="116">
        <v>4354</v>
      </c>
      <c r="N2124" s="116">
        <v>4365.8</v>
      </c>
      <c r="O2124" s="116">
        <v>4175</v>
      </c>
      <c r="P2124" s="116">
        <v>4179</v>
      </c>
      <c r="Q2124" s="116">
        <v>4354</v>
      </c>
      <c r="R2124">
        <v>86793</v>
      </c>
    </row>
    <row r="2125" spans="1:18" x14ac:dyDescent="0.25">
      <c r="A2125" s="170">
        <v>45763</v>
      </c>
      <c r="B2125" s="116">
        <v>4389.95</v>
      </c>
      <c r="C2125" s="116">
        <v>4232.6000000000004</v>
      </c>
      <c r="D2125" s="116">
        <v>4224.75</v>
      </c>
      <c r="E2125" s="116">
        <v>4379.8</v>
      </c>
      <c r="F2125" s="116">
        <v>4232.6000000000004</v>
      </c>
      <c r="G2125">
        <v>4513</v>
      </c>
      <c r="H2125" s="116"/>
      <c r="I2125" s="116"/>
      <c r="L2125" s="170">
        <v>45763</v>
      </c>
      <c r="M2125" s="116">
        <v>4235.8</v>
      </c>
      <c r="N2125" s="116">
        <v>4393.3999999999996</v>
      </c>
      <c r="O2125" s="116">
        <v>4225</v>
      </c>
      <c r="P2125" s="116">
        <v>4354</v>
      </c>
      <c r="Q2125" s="116">
        <v>4235.8</v>
      </c>
      <c r="R2125">
        <v>106900</v>
      </c>
    </row>
    <row r="2126" spans="1:18" x14ac:dyDescent="0.25">
      <c r="A2126" s="170">
        <v>45764</v>
      </c>
      <c r="B2126" s="116">
        <v>4253.7</v>
      </c>
      <c r="C2126" s="116">
        <v>4235.5</v>
      </c>
      <c r="D2126" s="116">
        <v>4110.7</v>
      </c>
      <c r="E2126" s="116">
        <v>4225</v>
      </c>
      <c r="F2126" s="116">
        <v>4235.5</v>
      </c>
      <c r="G2126">
        <v>4278</v>
      </c>
      <c r="H2126" s="116"/>
      <c r="I2126" s="116"/>
      <c r="L2126" s="170">
        <v>45764</v>
      </c>
      <c r="M2126" s="116">
        <v>4234.5</v>
      </c>
      <c r="N2126" s="116">
        <v>4253.3</v>
      </c>
      <c r="O2126" s="116">
        <v>4112.2</v>
      </c>
      <c r="P2126" s="116">
        <v>4200</v>
      </c>
      <c r="Q2126" s="116">
        <v>4234.5</v>
      </c>
      <c r="R2126">
        <v>119768</v>
      </c>
    </row>
    <row r="2127" spans="1:18" x14ac:dyDescent="0.25">
      <c r="A2127" s="170">
        <v>45768</v>
      </c>
      <c r="B2127" s="116">
        <v>4375</v>
      </c>
      <c r="C2127" s="116">
        <v>4363.3</v>
      </c>
      <c r="D2127" s="116">
        <v>4207.3500000000004</v>
      </c>
      <c r="E2127" s="116">
        <v>4207.3500000000004</v>
      </c>
      <c r="F2127" s="116">
        <v>4363.3</v>
      </c>
      <c r="G2127">
        <v>10059</v>
      </c>
      <c r="H2127" s="116"/>
      <c r="I2127" s="116"/>
      <c r="L2127" s="170">
        <v>45768</v>
      </c>
      <c r="M2127" s="116">
        <v>4365.5</v>
      </c>
      <c r="N2127" s="116">
        <v>4375.7</v>
      </c>
      <c r="O2127" s="116">
        <v>4216.1000000000004</v>
      </c>
      <c r="P2127" s="116">
        <v>4234.5</v>
      </c>
      <c r="Q2127" s="116">
        <v>4365.5</v>
      </c>
      <c r="R2127">
        <v>214959</v>
      </c>
    </row>
    <row r="2128" spans="1:18" x14ac:dyDescent="0.25">
      <c r="A2128" s="170">
        <v>45769</v>
      </c>
      <c r="B2128" s="116">
        <v>4430</v>
      </c>
      <c r="C2128" s="116">
        <v>4402.6499999999996</v>
      </c>
      <c r="D2128" s="116">
        <v>4317.1499999999996</v>
      </c>
      <c r="E2128" s="116">
        <v>4365.05</v>
      </c>
      <c r="F2128" s="116">
        <v>4402.6499999999996</v>
      </c>
      <c r="G2128">
        <v>1989</v>
      </c>
      <c r="H2128" s="116"/>
      <c r="I2128" s="116"/>
      <c r="L2128" s="170">
        <v>45769</v>
      </c>
      <c r="M2128" s="116">
        <v>4401.3</v>
      </c>
      <c r="N2128" s="116">
        <v>4430</v>
      </c>
      <c r="O2128" s="116">
        <v>4320</v>
      </c>
      <c r="P2128" s="116">
        <v>4370</v>
      </c>
      <c r="Q2128" s="116">
        <v>4401.3</v>
      </c>
      <c r="R2128">
        <v>100164</v>
      </c>
    </row>
    <row r="2129" spans="1:18" x14ac:dyDescent="0.25">
      <c r="A2129" s="170">
        <v>45770</v>
      </c>
      <c r="B2129" s="116">
        <v>4565.2</v>
      </c>
      <c r="C2129" s="116">
        <v>4450.8</v>
      </c>
      <c r="D2129" s="116">
        <v>4444</v>
      </c>
      <c r="E2129" s="116">
        <v>4489.3500000000004</v>
      </c>
      <c r="F2129" s="116">
        <v>4450.8</v>
      </c>
      <c r="G2129">
        <v>15710</v>
      </c>
      <c r="H2129" s="116"/>
      <c r="I2129" s="116"/>
      <c r="L2129" s="170">
        <v>45770</v>
      </c>
      <c r="M2129" s="116">
        <v>4451.3999999999996</v>
      </c>
      <c r="N2129" s="116">
        <v>4562</v>
      </c>
      <c r="O2129" s="116">
        <v>4444</v>
      </c>
      <c r="P2129" s="116">
        <v>4460</v>
      </c>
      <c r="Q2129" s="116">
        <v>4451.3999999999996</v>
      </c>
      <c r="R2129">
        <v>312674</v>
      </c>
    </row>
    <row r="2130" spans="1:18" x14ac:dyDescent="0.25">
      <c r="A2130" s="170">
        <v>45771</v>
      </c>
      <c r="B2130" s="116">
        <v>4493.8</v>
      </c>
      <c r="C2130" s="116">
        <v>4479.8500000000004</v>
      </c>
      <c r="D2130" s="116">
        <v>4410.05</v>
      </c>
      <c r="E2130" s="116">
        <v>4481.8</v>
      </c>
      <c r="F2130" s="116">
        <v>4479.8500000000004</v>
      </c>
      <c r="G2130">
        <v>3334</v>
      </c>
      <c r="H2130" s="116"/>
      <c r="I2130" s="116"/>
      <c r="L2130" s="170">
        <v>45771</v>
      </c>
      <c r="M2130" s="116">
        <v>4477.8999999999996</v>
      </c>
      <c r="N2130" s="116">
        <v>4495</v>
      </c>
      <c r="O2130" s="116">
        <v>4413.8</v>
      </c>
      <c r="P2130" s="116">
        <v>4451.3999999999996</v>
      </c>
      <c r="Q2130" s="116">
        <v>4477.8999999999996</v>
      </c>
      <c r="R2130">
        <v>160141</v>
      </c>
    </row>
    <row r="2131" spans="1:18" x14ac:dyDescent="0.25">
      <c r="A2131" s="170">
        <v>45772</v>
      </c>
      <c r="B2131" s="116">
        <v>4380</v>
      </c>
      <c r="C2131" s="116">
        <v>4254.3</v>
      </c>
      <c r="D2131" s="116">
        <v>4165.8999999999996</v>
      </c>
      <c r="E2131" s="116">
        <v>4380</v>
      </c>
      <c r="F2131" s="116">
        <v>4254.3</v>
      </c>
      <c r="G2131">
        <v>25330</v>
      </c>
      <c r="H2131" s="116"/>
      <c r="I2131" s="116"/>
      <c r="L2131" s="170">
        <v>45772</v>
      </c>
      <c r="M2131" s="116">
        <v>4256.1000000000004</v>
      </c>
      <c r="N2131" s="116">
        <v>4347.8999999999996</v>
      </c>
      <c r="O2131" s="116">
        <v>4164.8999999999996</v>
      </c>
      <c r="P2131" s="116">
        <v>4310</v>
      </c>
      <c r="Q2131" s="116">
        <v>4256.1000000000004</v>
      </c>
      <c r="R2131">
        <v>628378</v>
      </c>
    </row>
    <row r="2132" spans="1:18" x14ac:dyDescent="0.25">
      <c r="A2132" s="170">
        <v>45775</v>
      </c>
      <c r="B2132" s="116">
        <v>4256.1499999999996</v>
      </c>
      <c r="C2132" s="116">
        <v>4183</v>
      </c>
      <c r="D2132" s="116">
        <v>4149.8500000000004</v>
      </c>
      <c r="E2132" s="116">
        <v>4256.1000000000004</v>
      </c>
      <c r="F2132" s="116">
        <v>4183</v>
      </c>
      <c r="G2132">
        <v>11797</v>
      </c>
      <c r="H2132" s="116"/>
      <c r="I2132" s="116"/>
      <c r="L2132" s="170">
        <v>45775</v>
      </c>
      <c r="M2132" s="116">
        <v>4185.6000000000004</v>
      </c>
      <c r="N2132" s="116">
        <v>4257</v>
      </c>
      <c r="O2132" s="116">
        <v>4150</v>
      </c>
      <c r="P2132" s="116">
        <v>4256.1000000000004</v>
      </c>
      <c r="Q2132" s="116">
        <v>4185.6000000000004</v>
      </c>
      <c r="R2132">
        <v>267128</v>
      </c>
    </row>
    <row r="2133" spans="1:18" x14ac:dyDescent="0.25">
      <c r="A2133" s="170">
        <v>45776</v>
      </c>
      <c r="B2133" s="116">
        <v>4238.45</v>
      </c>
      <c r="C2133" s="116">
        <v>4184.25</v>
      </c>
      <c r="D2133" s="116">
        <v>4135.3500000000004</v>
      </c>
      <c r="E2133" s="116">
        <v>4210</v>
      </c>
      <c r="F2133" s="116">
        <v>4184.25</v>
      </c>
      <c r="G2133">
        <v>5884</v>
      </c>
      <c r="H2133" s="116"/>
      <c r="I2133" s="116"/>
      <c r="L2133" s="170">
        <v>45776</v>
      </c>
      <c r="M2133" s="116">
        <v>4185.2</v>
      </c>
      <c r="N2133" s="116">
        <v>4235</v>
      </c>
      <c r="O2133" s="116">
        <v>4135.1000000000004</v>
      </c>
      <c r="P2133" s="116">
        <v>4195</v>
      </c>
      <c r="Q2133" s="116">
        <v>4185.2</v>
      </c>
      <c r="R2133">
        <v>205571</v>
      </c>
    </row>
    <row r="2134" spans="1:18" x14ac:dyDescent="0.25">
      <c r="A2134" s="170">
        <v>45777</v>
      </c>
      <c r="B2134" s="116">
        <v>4291.3</v>
      </c>
      <c r="C2134" s="116">
        <v>4256.1000000000004</v>
      </c>
      <c r="D2134" s="116">
        <v>4160</v>
      </c>
      <c r="E2134" s="116">
        <v>4185</v>
      </c>
      <c r="F2134" s="116">
        <v>4256.1000000000004</v>
      </c>
      <c r="G2134">
        <v>4171</v>
      </c>
      <c r="H2134" s="116"/>
      <c r="I2134" s="116"/>
      <c r="L2134" s="170">
        <v>45777</v>
      </c>
      <c r="M2134" s="116">
        <v>4257.1000000000004</v>
      </c>
      <c r="N2134" s="116">
        <v>4297</v>
      </c>
      <c r="O2134" s="116">
        <v>4150</v>
      </c>
      <c r="P2134" s="116">
        <v>4185</v>
      </c>
      <c r="Q2134" s="116">
        <v>4257.1000000000004</v>
      </c>
      <c r="R2134">
        <v>153671</v>
      </c>
    </row>
    <row r="2135" spans="1:18" x14ac:dyDescent="0.25">
      <c r="A2135" s="170">
        <v>45779</v>
      </c>
      <c r="B2135" s="116">
        <v>4282.2</v>
      </c>
      <c r="C2135" s="116">
        <v>4195.6000000000004</v>
      </c>
      <c r="D2135" s="116">
        <v>4180</v>
      </c>
      <c r="E2135" s="116">
        <v>4260.3500000000004</v>
      </c>
      <c r="F2135" s="116">
        <v>4195.6000000000004</v>
      </c>
      <c r="G2135">
        <v>2544</v>
      </c>
      <c r="H2135" s="116"/>
      <c r="I2135" s="116"/>
      <c r="L2135" s="170">
        <v>45779</v>
      </c>
      <c r="M2135" s="116">
        <v>4193.8</v>
      </c>
      <c r="N2135" s="116">
        <v>4292</v>
      </c>
      <c r="O2135" s="116">
        <v>4180</v>
      </c>
      <c r="P2135" s="116">
        <v>4284</v>
      </c>
      <c r="Q2135" s="116">
        <v>4193.8</v>
      </c>
      <c r="R2135">
        <v>186109</v>
      </c>
    </row>
    <row r="2136" spans="1:18" x14ac:dyDescent="0.25">
      <c r="A2136" s="170">
        <v>45782</v>
      </c>
      <c r="B2136" s="116">
        <v>4242.6499999999996</v>
      </c>
      <c r="C2136" s="116">
        <v>4216.5</v>
      </c>
      <c r="D2136" s="116">
        <v>4185.3500000000004</v>
      </c>
      <c r="E2136" s="116">
        <v>4185.3500000000004</v>
      </c>
      <c r="F2136" s="116">
        <v>4216.5</v>
      </c>
      <c r="G2136">
        <v>5693</v>
      </c>
      <c r="H2136" s="116"/>
      <c r="I2136" s="116"/>
      <c r="L2136" s="170">
        <v>45782</v>
      </c>
      <c r="M2136" s="116">
        <v>4213</v>
      </c>
      <c r="N2136" s="116">
        <v>4244.3</v>
      </c>
      <c r="O2136" s="116">
        <v>4191.1000000000004</v>
      </c>
      <c r="P2136" s="116">
        <v>4200</v>
      </c>
      <c r="Q2136" s="116">
        <v>4213</v>
      </c>
      <c r="R2136">
        <v>70024</v>
      </c>
    </row>
    <row r="2137" spans="1:18" x14ac:dyDescent="0.25">
      <c r="A2137" s="170">
        <v>45783</v>
      </c>
      <c r="B2137" s="116">
        <v>4233</v>
      </c>
      <c r="C2137" s="116">
        <v>4099.3500000000004</v>
      </c>
      <c r="D2137" s="116">
        <v>4067.9</v>
      </c>
      <c r="E2137" s="116">
        <v>4203.1000000000004</v>
      </c>
      <c r="F2137" s="116">
        <v>4099.3500000000004</v>
      </c>
      <c r="G2137">
        <v>7357</v>
      </c>
      <c r="H2137" s="116"/>
      <c r="I2137" s="116"/>
      <c r="L2137" s="170">
        <v>45783</v>
      </c>
      <c r="M2137" s="116">
        <v>4094</v>
      </c>
      <c r="N2137" s="116">
        <v>4240.5</v>
      </c>
      <c r="O2137" s="116">
        <v>4075</v>
      </c>
      <c r="P2137" s="116">
        <v>4219.8999999999996</v>
      </c>
      <c r="Q2137" s="116">
        <v>4094</v>
      </c>
      <c r="R2137">
        <v>115436</v>
      </c>
    </row>
    <row r="2138" spans="1:18" x14ac:dyDescent="0.25">
      <c r="A2138" s="170">
        <v>45784</v>
      </c>
      <c r="B2138" s="116">
        <v>4105</v>
      </c>
      <c r="C2138" s="116">
        <v>4083.9</v>
      </c>
      <c r="D2138" s="116">
        <v>4000</v>
      </c>
      <c r="E2138" s="116">
        <v>4000.05</v>
      </c>
      <c r="F2138" s="116">
        <v>4083.9</v>
      </c>
      <c r="G2138">
        <v>5409</v>
      </c>
      <c r="H2138" s="116"/>
      <c r="I2138" s="116"/>
      <c r="L2138" s="170">
        <v>45784</v>
      </c>
      <c r="M2138" s="116">
        <v>4084.2</v>
      </c>
      <c r="N2138" s="116">
        <v>4104.8999999999996</v>
      </c>
      <c r="O2138" s="116">
        <v>4050</v>
      </c>
      <c r="P2138" s="116">
        <v>4051.5</v>
      </c>
      <c r="Q2138" s="116">
        <v>4084.2</v>
      </c>
      <c r="R2138">
        <v>81438</v>
      </c>
    </row>
    <row r="2139" spans="1:18" x14ac:dyDescent="0.25">
      <c r="A2139" s="170">
        <v>45785</v>
      </c>
      <c r="B2139" s="116">
        <v>4179</v>
      </c>
      <c r="C2139" s="116">
        <v>4090.55</v>
      </c>
      <c r="D2139" s="116">
        <v>4057.05</v>
      </c>
      <c r="E2139" s="116">
        <v>4154.95</v>
      </c>
      <c r="F2139" s="116">
        <v>4090.55</v>
      </c>
      <c r="G2139">
        <v>3983</v>
      </c>
      <c r="H2139" s="116"/>
      <c r="I2139" s="116"/>
      <c r="L2139" s="170">
        <v>45785</v>
      </c>
      <c r="M2139" s="116">
        <v>4087.8</v>
      </c>
      <c r="N2139" s="116">
        <v>4179</v>
      </c>
      <c r="O2139" s="116">
        <v>4053</v>
      </c>
      <c r="P2139" s="116">
        <v>4101</v>
      </c>
      <c r="Q2139" s="116">
        <v>4087.8</v>
      </c>
      <c r="R2139">
        <v>123370</v>
      </c>
    </row>
    <row r="2140" spans="1:18" x14ac:dyDescent="0.25">
      <c r="A2140" s="170">
        <v>45786</v>
      </c>
      <c r="B2140" s="116">
        <v>4116.75</v>
      </c>
      <c r="C2140" s="116">
        <v>4110.5</v>
      </c>
      <c r="D2140" s="116">
        <v>3971.75</v>
      </c>
      <c r="E2140" s="116">
        <v>3971.75</v>
      </c>
      <c r="F2140" s="116">
        <v>4110.5</v>
      </c>
      <c r="G2140">
        <v>7700</v>
      </c>
      <c r="H2140" s="116"/>
      <c r="I2140" s="116"/>
      <c r="L2140" s="170">
        <v>45786</v>
      </c>
      <c r="M2140" s="116">
        <v>4111.6000000000004</v>
      </c>
      <c r="N2140" s="116">
        <v>4119.8999999999996</v>
      </c>
      <c r="O2140" s="116">
        <v>4000</v>
      </c>
      <c r="P2140" s="116">
        <v>4003.9</v>
      </c>
      <c r="Q2140" s="116">
        <v>4111.6000000000004</v>
      </c>
      <c r="R2140">
        <v>170913</v>
      </c>
    </row>
    <row r="2141" spans="1:18" x14ac:dyDescent="0.25">
      <c r="A2141" s="170">
        <v>45789</v>
      </c>
      <c r="B2141" s="116">
        <v>4474</v>
      </c>
      <c r="C2141" s="116">
        <v>4442.25</v>
      </c>
      <c r="D2141" s="116">
        <v>4199.8999999999996</v>
      </c>
      <c r="E2141" s="116">
        <v>4200.05</v>
      </c>
      <c r="F2141" s="116">
        <v>4442.25</v>
      </c>
      <c r="G2141">
        <v>11425</v>
      </c>
      <c r="H2141" s="116"/>
      <c r="I2141" s="116"/>
      <c r="L2141" s="170">
        <v>45789</v>
      </c>
      <c r="M2141" s="116">
        <v>4448.8999999999996</v>
      </c>
      <c r="N2141" s="116">
        <v>4477</v>
      </c>
      <c r="O2141" s="116">
        <v>4197.1000000000004</v>
      </c>
      <c r="P2141" s="116">
        <v>4249</v>
      </c>
      <c r="Q2141" s="116">
        <v>4448.8999999999996</v>
      </c>
      <c r="R2141">
        <v>271984</v>
      </c>
    </row>
    <row r="2142" spans="1:18" x14ac:dyDescent="0.25">
      <c r="A2142" s="170">
        <v>45790</v>
      </c>
      <c r="B2142" s="116">
        <v>4497.45</v>
      </c>
      <c r="C2142" s="116">
        <v>4368.3500000000004</v>
      </c>
      <c r="D2142" s="116">
        <v>4359.1499999999996</v>
      </c>
      <c r="E2142" s="116">
        <v>4497.45</v>
      </c>
      <c r="F2142" s="116">
        <v>4368.3500000000004</v>
      </c>
      <c r="G2142">
        <v>2825</v>
      </c>
      <c r="H2142" s="116"/>
      <c r="I2142" s="116"/>
      <c r="L2142" s="170">
        <v>45790</v>
      </c>
      <c r="M2142" s="116">
        <v>4367.2</v>
      </c>
      <c r="N2142" s="116">
        <v>4465</v>
      </c>
      <c r="O2142" s="116">
        <v>4357.2</v>
      </c>
      <c r="P2142" s="116">
        <v>4448.8999999999996</v>
      </c>
      <c r="Q2142" s="116">
        <v>4367.2</v>
      </c>
      <c r="R2142">
        <v>106792</v>
      </c>
    </row>
    <row r="2143" spans="1:18" x14ac:dyDescent="0.25">
      <c r="A2143" s="170">
        <v>45791</v>
      </c>
      <c r="B2143" s="116">
        <v>4447.75</v>
      </c>
      <c r="C2143" s="116">
        <v>4406.25</v>
      </c>
      <c r="D2143" s="116">
        <v>4355.8500000000004</v>
      </c>
      <c r="E2143" s="116">
        <v>4355.8500000000004</v>
      </c>
      <c r="F2143" s="116">
        <v>4406.25</v>
      </c>
      <c r="G2143">
        <v>8632</v>
      </c>
      <c r="H2143" s="116"/>
      <c r="I2143" s="116"/>
      <c r="L2143" s="170">
        <v>45791</v>
      </c>
      <c r="M2143" s="116">
        <v>4407.1000000000004</v>
      </c>
      <c r="N2143" s="116">
        <v>4448</v>
      </c>
      <c r="O2143" s="116">
        <v>4353</v>
      </c>
      <c r="P2143" s="116">
        <v>4400.8999999999996</v>
      </c>
      <c r="Q2143" s="116">
        <v>4407.1000000000004</v>
      </c>
      <c r="R2143">
        <v>62984</v>
      </c>
    </row>
    <row r="2144" spans="1:18" x14ac:dyDescent="0.25">
      <c r="A2144" s="170">
        <v>45792</v>
      </c>
      <c r="B2144" s="116">
        <v>4541.3500000000004</v>
      </c>
      <c r="C2144" s="116">
        <v>4494.6000000000004</v>
      </c>
      <c r="D2144" s="116">
        <v>4406.8500000000004</v>
      </c>
      <c r="E2144" s="116">
        <v>4406.8500000000004</v>
      </c>
      <c r="F2144" s="116">
        <v>4494.6000000000004</v>
      </c>
      <c r="G2144">
        <v>8541</v>
      </c>
      <c r="H2144" s="116"/>
      <c r="I2144" s="116"/>
      <c r="L2144" s="170">
        <v>45792</v>
      </c>
      <c r="M2144" s="116">
        <v>4493.3999999999996</v>
      </c>
      <c r="N2144" s="116">
        <v>4544</v>
      </c>
      <c r="O2144" s="116">
        <v>4435</v>
      </c>
      <c r="P2144" s="116">
        <v>4448</v>
      </c>
      <c r="Q2144" s="116">
        <v>4493.3999999999996</v>
      </c>
      <c r="R2144">
        <v>203391</v>
      </c>
    </row>
    <row r="2145" spans="1:18" x14ac:dyDescent="0.25">
      <c r="A2145" s="170">
        <v>45793</v>
      </c>
      <c r="B2145" s="116">
        <v>4590</v>
      </c>
      <c r="C2145" s="116">
        <v>4475.8</v>
      </c>
      <c r="D2145" s="116">
        <v>4445</v>
      </c>
      <c r="E2145" s="116">
        <v>4549.7</v>
      </c>
      <c r="F2145" s="116">
        <v>4475.8</v>
      </c>
      <c r="G2145">
        <v>7745</v>
      </c>
      <c r="H2145" s="116"/>
      <c r="I2145" s="116"/>
      <c r="L2145" s="170">
        <v>45793</v>
      </c>
      <c r="M2145" s="116">
        <v>4474.2</v>
      </c>
      <c r="N2145" s="116">
        <v>4590</v>
      </c>
      <c r="O2145" s="116">
        <v>4440.1000000000004</v>
      </c>
      <c r="P2145" s="116">
        <v>4510.5</v>
      </c>
      <c r="Q2145" s="116">
        <v>4474.2</v>
      </c>
      <c r="R2145">
        <v>132562</v>
      </c>
    </row>
    <row r="2146" spans="1:18" x14ac:dyDescent="0.25">
      <c r="A2146" s="170">
        <v>45796</v>
      </c>
      <c r="B2146" s="116">
        <v>4555</v>
      </c>
      <c r="C2146" s="116">
        <v>4521.8</v>
      </c>
      <c r="D2146" s="116">
        <v>4452.6000000000004</v>
      </c>
      <c r="E2146" s="116">
        <v>4452.6000000000004</v>
      </c>
      <c r="F2146" s="116">
        <v>4521.8</v>
      </c>
      <c r="G2146">
        <v>7099</v>
      </c>
      <c r="H2146" s="116"/>
      <c r="I2146" s="116"/>
      <c r="L2146" s="170">
        <v>45796</v>
      </c>
      <c r="M2146" s="116">
        <v>4525.2</v>
      </c>
      <c r="N2146" s="116">
        <v>4555</v>
      </c>
      <c r="O2146" s="116">
        <v>4456.1000000000004</v>
      </c>
      <c r="P2146" s="116">
        <v>4480.5</v>
      </c>
      <c r="Q2146" s="116">
        <v>4525.2</v>
      </c>
      <c r="R2146">
        <v>84343</v>
      </c>
    </row>
    <row r="2147" spans="1:18" x14ac:dyDescent="0.25">
      <c r="A2147" s="170">
        <v>45797</v>
      </c>
      <c r="B2147" s="116">
        <v>4569.75</v>
      </c>
      <c r="C2147" s="116">
        <v>4470.8</v>
      </c>
      <c r="D2147" s="116">
        <v>4460</v>
      </c>
      <c r="E2147" s="116">
        <v>4569.75</v>
      </c>
      <c r="F2147" s="116">
        <v>4470.8</v>
      </c>
      <c r="G2147">
        <v>2674</v>
      </c>
      <c r="H2147" s="116"/>
      <c r="I2147" s="116"/>
      <c r="L2147" s="170">
        <v>45797</v>
      </c>
      <c r="M2147" s="116">
        <v>4470.5</v>
      </c>
      <c r="N2147" s="116">
        <v>4555</v>
      </c>
      <c r="O2147" s="116">
        <v>4459</v>
      </c>
      <c r="P2147" s="116">
        <v>4555</v>
      </c>
      <c r="Q2147" s="116">
        <v>4470.5</v>
      </c>
      <c r="R2147">
        <v>95717</v>
      </c>
    </row>
    <row r="2148" spans="1:18" x14ac:dyDescent="0.25">
      <c r="A2148" s="170">
        <v>45798</v>
      </c>
      <c r="B2148" s="116">
        <v>4489.1000000000004</v>
      </c>
      <c r="C2148" s="116">
        <v>4451.3500000000004</v>
      </c>
      <c r="D2148" s="116">
        <v>4435</v>
      </c>
      <c r="E2148" s="116">
        <v>4471</v>
      </c>
      <c r="F2148" s="116">
        <v>4451.3500000000004</v>
      </c>
      <c r="G2148">
        <v>3221</v>
      </c>
      <c r="H2148" s="116"/>
      <c r="I2148" s="116"/>
      <c r="L2148" s="170">
        <v>45798</v>
      </c>
      <c r="M2148" s="116">
        <v>4451.3999999999996</v>
      </c>
      <c r="N2148" s="116">
        <v>4493.3999999999996</v>
      </c>
      <c r="O2148" s="116">
        <v>4433</v>
      </c>
      <c r="P2148" s="116">
        <v>4471</v>
      </c>
      <c r="Q2148" s="116">
        <v>4451.3999999999996</v>
      </c>
      <c r="R2148">
        <v>160692</v>
      </c>
    </row>
    <row r="2149" spans="1:18" x14ac:dyDescent="0.25">
      <c r="A2149" s="170">
        <v>45799</v>
      </c>
      <c r="B2149" s="116">
        <v>4500.25</v>
      </c>
      <c r="C2149" s="116">
        <v>4462.05</v>
      </c>
      <c r="D2149" s="116">
        <v>4417.25</v>
      </c>
      <c r="E2149" s="116">
        <v>4450.95</v>
      </c>
      <c r="F2149" s="116">
        <v>4462.05</v>
      </c>
      <c r="G2149">
        <v>1388</v>
      </c>
      <c r="H2149" s="116"/>
      <c r="I2149" s="116"/>
      <c r="L2149" s="170">
        <v>45799</v>
      </c>
      <c r="M2149" s="116">
        <v>4458</v>
      </c>
      <c r="N2149" s="116">
        <v>4504.5</v>
      </c>
      <c r="O2149" s="116">
        <v>4415.3999999999996</v>
      </c>
      <c r="P2149" s="116">
        <v>4445</v>
      </c>
      <c r="Q2149" s="116">
        <v>4458</v>
      </c>
      <c r="R2149">
        <v>67431</v>
      </c>
    </row>
    <row r="2150" spans="1:18" x14ac:dyDescent="0.25">
      <c r="A2150" s="170">
        <v>45800</v>
      </c>
      <c r="B2150" s="116">
        <v>4605</v>
      </c>
      <c r="C2150" s="116">
        <v>4476.05</v>
      </c>
      <c r="D2150" s="116">
        <v>4440</v>
      </c>
      <c r="E2150" s="116">
        <v>4451.05</v>
      </c>
      <c r="F2150" s="116">
        <v>4476.05</v>
      </c>
      <c r="G2150">
        <v>10484</v>
      </c>
      <c r="H2150" s="116"/>
      <c r="I2150" s="116"/>
      <c r="L2150" s="170">
        <v>45800</v>
      </c>
      <c r="M2150" s="116">
        <v>4482.5</v>
      </c>
      <c r="N2150" s="116">
        <v>4600.6000000000004</v>
      </c>
      <c r="O2150" s="116">
        <v>4435.2</v>
      </c>
      <c r="P2150" s="116">
        <v>4481</v>
      </c>
      <c r="Q2150" s="116">
        <v>4482.5</v>
      </c>
      <c r="R2150">
        <v>156032</v>
      </c>
    </row>
    <row r="2151" spans="1:18" x14ac:dyDescent="0.25">
      <c r="A2151" s="170">
        <v>45803</v>
      </c>
      <c r="B2151" s="116">
        <v>4525</v>
      </c>
      <c r="C2151" s="116">
        <v>4508.3999999999996</v>
      </c>
      <c r="D2151" s="116">
        <v>4450.2</v>
      </c>
      <c r="E2151" s="116">
        <v>4450.2</v>
      </c>
      <c r="F2151" s="116">
        <v>4508.3999999999996</v>
      </c>
      <c r="G2151">
        <v>4539</v>
      </c>
      <c r="H2151" s="116"/>
      <c r="I2151" s="116"/>
      <c r="L2151" s="170">
        <v>45803</v>
      </c>
      <c r="M2151" s="116">
        <v>4510.3</v>
      </c>
      <c r="N2151" s="116">
        <v>4525</v>
      </c>
      <c r="O2151" s="116">
        <v>4452.8</v>
      </c>
      <c r="P2151" s="116">
        <v>4500</v>
      </c>
      <c r="Q2151" s="116">
        <v>4510.3</v>
      </c>
      <c r="R2151">
        <v>51028</v>
      </c>
    </row>
    <row r="2152" spans="1:18" x14ac:dyDescent="0.25">
      <c r="A2152" s="170">
        <v>45804</v>
      </c>
      <c r="B2152" s="116">
        <v>4502.6499999999996</v>
      </c>
      <c r="C2152" s="116">
        <v>4444.5</v>
      </c>
      <c r="D2152" s="116">
        <v>4432</v>
      </c>
      <c r="E2152" s="116">
        <v>4478.55</v>
      </c>
      <c r="F2152" s="116">
        <v>4444.5</v>
      </c>
      <c r="G2152">
        <v>3865</v>
      </c>
      <c r="H2152" s="116"/>
      <c r="I2152" s="116"/>
      <c r="L2152" s="170">
        <v>45804</v>
      </c>
      <c r="M2152" s="116">
        <v>4446</v>
      </c>
      <c r="N2152" s="116">
        <v>4506.8</v>
      </c>
      <c r="O2152" s="116">
        <v>4430.1000000000004</v>
      </c>
      <c r="P2152" s="116">
        <v>4481</v>
      </c>
      <c r="Q2152" s="116">
        <v>4446</v>
      </c>
      <c r="R2152">
        <v>68176</v>
      </c>
    </row>
    <row r="2153" spans="1:18" x14ac:dyDescent="0.25">
      <c r="A2153" s="170">
        <v>45805</v>
      </c>
      <c r="B2153" s="116">
        <v>4469.3999999999996</v>
      </c>
      <c r="C2153" s="116">
        <v>4393.6499999999996</v>
      </c>
      <c r="D2153" s="116">
        <v>4380.6000000000004</v>
      </c>
      <c r="E2153" s="116">
        <v>4446.75</v>
      </c>
      <c r="F2153" s="116">
        <v>4393.6499999999996</v>
      </c>
      <c r="G2153">
        <v>5911</v>
      </c>
      <c r="H2153" s="116"/>
      <c r="I2153" s="116"/>
      <c r="L2153" s="170">
        <v>45805</v>
      </c>
      <c r="M2153" s="116">
        <v>4391.7</v>
      </c>
      <c r="N2153" s="116">
        <v>4479.5</v>
      </c>
      <c r="O2153" s="116">
        <v>4380.5</v>
      </c>
      <c r="P2153" s="116">
        <v>4469</v>
      </c>
      <c r="Q2153" s="116">
        <v>4391.7</v>
      </c>
      <c r="R2153">
        <v>82429</v>
      </c>
    </row>
    <row r="2154" spans="1:18" x14ac:dyDescent="0.25">
      <c r="A2154" s="170">
        <v>45806</v>
      </c>
      <c r="B2154" s="116">
        <v>4513.6499999999996</v>
      </c>
      <c r="C2154" s="116">
        <v>4420.3999999999996</v>
      </c>
      <c r="D2154" s="116">
        <v>4405.1000000000004</v>
      </c>
      <c r="E2154" s="116">
        <v>4470</v>
      </c>
      <c r="F2154" s="116">
        <v>4420.3999999999996</v>
      </c>
      <c r="G2154">
        <v>7169</v>
      </c>
      <c r="H2154" s="116"/>
      <c r="I2154" s="116"/>
      <c r="L2154" s="170">
        <v>45806</v>
      </c>
      <c r="M2154" s="116">
        <v>4420.3</v>
      </c>
      <c r="N2154" s="116">
        <v>4515.2</v>
      </c>
      <c r="O2154" s="116">
        <v>4405.1000000000004</v>
      </c>
      <c r="P2154" s="116">
        <v>4438.5</v>
      </c>
      <c r="Q2154" s="116">
        <v>4420.3</v>
      </c>
      <c r="R2154">
        <v>77450</v>
      </c>
    </row>
    <row r="2155" spans="1:18" x14ac:dyDescent="0.25">
      <c r="A2155" s="170">
        <v>45807</v>
      </c>
      <c r="B2155" s="116">
        <v>4425</v>
      </c>
      <c r="C2155" s="116">
        <v>4366.8999999999996</v>
      </c>
      <c r="D2155" s="116">
        <v>4350</v>
      </c>
      <c r="E2155" s="116">
        <v>4420.75</v>
      </c>
      <c r="F2155" s="116">
        <v>4366.8999999999996</v>
      </c>
      <c r="G2155">
        <v>6248</v>
      </c>
      <c r="H2155" s="116"/>
      <c r="I2155" s="116"/>
      <c r="L2155" s="170">
        <v>45807</v>
      </c>
      <c r="M2155" s="116">
        <v>4367.6000000000004</v>
      </c>
      <c r="N2155" s="116">
        <v>4444.8</v>
      </c>
      <c r="O2155" s="116">
        <v>4347</v>
      </c>
      <c r="P2155" s="116">
        <v>4444.8</v>
      </c>
      <c r="Q2155" s="116">
        <v>4367.6000000000004</v>
      </c>
      <c r="R2155">
        <v>52117</v>
      </c>
    </row>
    <row r="2156" spans="1:18" x14ac:dyDescent="0.25">
      <c r="A2156" s="170">
        <v>45810</v>
      </c>
      <c r="B2156" s="116">
        <v>4386.3500000000004</v>
      </c>
      <c r="C2156" s="116">
        <v>4355.8999999999996</v>
      </c>
      <c r="D2156" s="116">
        <v>4326.7</v>
      </c>
      <c r="E2156" s="116">
        <v>4380</v>
      </c>
      <c r="F2156" s="116">
        <v>4355.8999999999996</v>
      </c>
      <c r="G2156">
        <v>3296</v>
      </c>
      <c r="H2156" s="116"/>
      <c r="I2156" s="116"/>
      <c r="L2156" s="170">
        <v>45810</v>
      </c>
      <c r="M2156" s="116">
        <v>4358.6000000000004</v>
      </c>
      <c r="N2156" s="116">
        <v>4385</v>
      </c>
      <c r="O2156" s="116">
        <v>4326.1000000000004</v>
      </c>
      <c r="P2156" s="116">
        <v>4385</v>
      </c>
      <c r="Q2156" s="116">
        <v>4358.6000000000004</v>
      </c>
      <c r="R2156">
        <v>46545</v>
      </c>
    </row>
    <row r="2157" spans="1:18" x14ac:dyDescent="0.25">
      <c r="A2157" s="170">
        <v>45811</v>
      </c>
      <c r="B2157" s="116">
        <v>4375.3999999999996</v>
      </c>
      <c r="C2157" s="116">
        <v>4319.45</v>
      </c>
      <c r="D2157" s="116">
        <v>4313.2</v>
      </c>
      <c r="E2157" s="116">
        <v>4375.3999999999996</v>
      </c>
      <c r="F2157" s="116">
        <v>4319.45</v>
      </c>
      <c r="G2157">
        <v>1537</v>
      </c>
      <c r="H2157" s="116"/>
      <c r="I2157" s="116"/>
      <c r="L2157" s="170">
        <v>45811</v>
      </c>
      <c r="M2157" s="116">
        <v>4321.2</v>
      </c>
      <c r="N2157" s="116">
        <v>4394</v>
      </c>
      <c r="O2157" s="116">
        <v>4314.2</v>
      </c>
      <c r="P2157" s="116">
        <v>4394</v>
      </c>
      <c r="Q2157" s="116">
        <v>4321.2</v>
      </c>
      <c r="R2157">
        <v>57521</v>
      </c>
    </row>
    <row r="2158" spans="1:18" x14ac:dyDescent="0.25">
      <c r="A2158" s="170">
        <v>45812</v>
      </c>
      <c r="B2158" s="116">
        <v>4381.95</v>
      </c>
      <c r="C2158" s="116">
        <v>4355</v>
      </c>
      <c r="D2158" s="116">
        <v>4299.2</v>
      </c>
      <c r="E2158" s="116">
        <v>4311.8999999999996</v>
      </c>
      <c r="F2158" s="116">
        <v>4355</v>
      </c>
      <c r="G2158">
        <v>3100</v>
      </c>
      <c r="H2158" s="116"/>
      <c r="I2158" s="116"/>
      <c r="L2158" s="170">
        <v>45812</v>
      </c>
      <c r="M2158" s="116">
        <v>4356.8999999999996</v>
      </c>
      <c r="N2158" s="116">
        <v>4389.1000000000004</v>
      </c>
      <c r="O2158" s="116">
        <v>4288.1000000000004</v>
      </c>
      <c r="P2158" s="116">
        <v>4326</v>
      </c>
      <c r="Q2158" s="116">
        <v>4356.8999999999996</v>
      </c>
      <c r="R2158">
        <v>48207</v>
      </c>
    </row>
    <row r="2159" spans="1:18" x14ac:dyDescent="0.25">
      <c r="A2159" s="170">
        <v>45813</v>
      </c>
      <c r="B2159" s="116">
        <v>4368.8</v>
      </c>
      <c r="C2159" s="116">
        <v>4325.1000000000004</v>
      </c>
      <c r="D2159" s="116">
        <v>4300</v>
      </c>
      <c r="E2159" s="116">
        <v>4359.2</v>
      </c>
      <c r="F2159" s="116">
        <v>4325.1000000000004</v>
      </c>
      <c r="G2159">
        <v>2758</v>
      </c>
      <c r="H2159" s="116"/>
      <c r="I2159" s="116"/>
      <c r="L2159" s="170">
        <v>45813</v>
      </c>
      <c r="M2159" s="116">
        <v>4325.3</v>
      </c>
      <c r="N2159" s="116">
        <v>4376.5</v>
      </c>
      <c r="O2159" s="116">
        <v>4297.5</v>
      </c>
      <c r="P2159" s="116">
        <v>4356.8999999999996</v>
      </c>
      <c r="Q2159" s="116">
        <v>4325.3</v>
      </c>
      <c r="R2159">
        <v>98278</v>
      </c>
    </row>
    <row r="2160" spans="1:18" x14ac:dyDescent="0.25">
      <c r="A2160" s="170">
        <v>45814</v>
      </c>
      <c r="B2160" s="116">
        <v>4331.45</v>
      </c>
      <c r="C2160" s="116">
        <v>4300.7</v>
      </c>
      <c r="D2160" s="116">
        <v>4292.05</v>
      </c>
      <c r="E2160" s="116">
        <v>4325.3</v>
      </c>
      <c r="F2160" s="116">
        <v>4300.7</v>
      </c>
      <c r="G2160">
        <v>1761</v>
      </c>
      <c r="H2160" s="116"/>
      <c r="I2160" s="116"/>
      <c r="L2160" s="170">
        <v>45814</v>
      </c>
      <c r="M2160" s="116">
        <v>4299.2</v>
      </c>
      <c r="N2160" s="116">
        <v>4338</v>
      </c>
      <c r="O2160" s="116">
        <v>4292</v>
      </c>
      <c r="P2160" s="116">
        <v>4338</v>
      </c>
      <c r="Q2160" s="116">
        <v>4299.2</v>
      </c>
      <c r="R2160">
        <v>52629</v>
      </c>
    </row>
    <row r="2161" spans="1:18" x14ac:dyDescent="0.25">
      <c r="A2161" s="170">
        <v>45817</v>
      </c>
      <c r="B2161" s="116">
        <v>4370</v>
      </c>
      <c r="C2161" s="116">
        <v>4334.95</v>
      </c>
      <c r="D2161" s="116">
        <v>4312.8500000000004</v>
      </c>
      <c r="E2161" s="116">
        <v>4341.6000000000004</v>
      </c>
      <c r="F2161" s="116">
        <v>4334.95</v>
      </c>
      <c r="G2161">
        <v>6430</v>
      </c>
      <c r="H2161" s="116"/>
      <c r="I2161" s="116"/>
      <c r="L2161" s="170">
        <v>45817</v>
      </c>
      <c r="M2161" s="116">
        <v>4337.3999999999996</v>
      </c>
      <c r="N2161" s="116">
        <v>4370.8999999999996</v>
      </c>
      <c r="O2161" s="116">
        <v>4311.1000000000004</v>
      </c>
      <c r="P2161" s="116">
        <v>4347.8999999999996</v>
      </c>
      <c r="Q2161" s="116">
        <v>4337.3999999999996</v>
      </c>
      <c r="R2161">
        <v>68357</v>
      </c>
    </row>
    <row r="2162" spans="1:18" x14ac:dyDescent="0.25">
      <c r="A2162" s="170">
        <v>45818</v>
      </c>
      <c r="B2162" s="116">
        <v>4510.6000000000004</v>
      </c>
      <c r="C2162" s="116">
        <v>4491.1000000000004</v>
      </c>
      <c r="D2162" s="116">
        <v>4350.8</v>
      </c>
      <c r="E2162" s="116">
        <v>4350.8</v>
      </c>
      <c r="F2162" s="116">
        <v>4491.1000000000004</v>
      </c>
      <c r="G2162">
        <v>12965</v>
      </c>
      <c r="H2162" s="116"/>
      <c r="I2162" s="116"/>
      <c r="L2162" s="170">
        <v>45818</v>
      </c>
      <c r="M2162" s="116">
        <v>4487.3</v>
      </c>
      <c r="N2162" s="116">
        <v>4500</v>
      </c>
      <c r="O2162" s="116">
        <v>4349</v>
      </c>
      <c r="P2162" s="116">
        <v>4364.8999999999996</v>
      </c>
      <c r="Q2162" s="116">
        <v>4487.3</v>
      </c>
      <c r="R2162">
        <v>266608</v>
      </c>
    </row>
    <row r="2163" spans="1:18" x14ac:dyDescent="0.25">
      <c r="A2163" s="170">
        <v>45819</v>
      </c>
      <c r="B2163" s="116">
        <v>4597</v>
      </c>
      <c r="C2163" s="116">
        <v>4583.25</v>
      </c>
      <c r="D2163" s="116">
        <v>4465.6000000000004</v>
      </c>
      <c r="E2163" s="116">
        <v>4521.6000000000004</v>
      </c>
      <c r="F2163" s="116">
        <v>4583.25</v>
      </c>
      <c r="G2163">
        <v>15566</v>
      </c>
      <c r="H2163" s="116"/>
      <c r="I2163" s="116"/>
      <c r="L2163" s="170">
        <v>45819</v>
      </c>
      <c r="M2163" s="116">
        <v>4584.8999999999996</v>
      </c>
      <c r="N2163" s="116">
        <v>4600</v>
      </c>
      <c r="O2163" s="116">
        <v>4468.3</v>
      </c>
      <c r="P2163" s="116">
        <v>4510</v>
      </c>
      <c r="Q2163" s="116">
        <v>4584.8999999999996</v>
      </c>
      <c r="R2163">
        <v>294097</v>
      </c>
    </row>
    <row r="2164" spans="1:18" x14ac:dyDescent="0.25">
      <c r="A2164" s="170">
        <v>45820</v>
      </c>
      <c r="B2164" s="116">
        <v>4643.3999999999996</v>
      </c>
      <c r="C2164" s="116">
        <v>4530.05</v>
      </c>
      <c r="D2164" s="116">
        <v>4512.5</v>
      </c>
      <c r="E2164" s="116">
        <v>4643.3999999999996</v>
      </c>
      <c r="F2164" s="116">
        <v>4530.05</v>
      </c>
      <c r="G2164">
        <v>5798</v>
      </c>
      <c r="H2164" s="116"/>
      <c r="I2164" s="116"/>
      <c r="L2164" s="170">
        <v>45820</v>
      </c>
      <c r="M2164" s="116">
        <v>4529.3</v>
      </c>
      <c r="N2164" s="116">
        <v>4609</v>
      </c>
      <c r="O2164" s="116">
        <v>4516.1000000000004</v>
      </c>
      <c r="P2164" s="116">
        <v>4600</v>
      </c>
      <c r="Q2164" s="116">
        <v>4529.3</v>
      </c>
      <c r="R2164">
        <v>133924</v>
      </c>
    </row>
    <row r="2165" spans="1:18" x14ac:dyDescent="0.25">
      <c r="A2165" s="170">
        <v>45821</v>
      </c>
      <c r="B2165" s="116">
        <v>4499.25</v>
      </c>
      <c r="C2165" s="116">
        <v>4442</v>
      </c>
      <c r="D2165" s="116">
        <v>4402.1499999999996</v>
      </c>
      <c r="E2165" s="116">
        <v>4499.25</v>
      </c>
      <c r="F2165" s="116">
        <v>4442</v>
      </c>
      <c r="G2165">
        <v>9466</v>
      </c>
      <c r="H2165" s="116"/>
      <c r="I2165" s="116"/>
      <c r="L2165" s="170">
        <v>45821</v>
      </c>
      <c r="M2165" s="116">
        <v>4445.8999999999996</v>
      </c>
      <c r="N2165" s="116">
        <v>4475</v>
      </c>
      <c r="O2165" s="116">
        <v>4392.1000000000004</v>
      </c>
      <c r="P2165" s="116">
        <v>4400</v>
      </c>
      <c r="Q2165" s="116">
        <v>4445.8999999999996</v>
      </c>
      <c r="R2165">
        <v>133719</v>
      </c>
    </row>
    <row r="2166" spans="1:18" x14ac:dyDescent="0.25">
      <c r="A2166" s="170">
        <v>45824</v>
      </c>
      <c r="B2166" s="116">
        <v>4541</v>
      </c>
      <c r="C2166" s="116">
        <v>4517.95</v>
      </c>
      <c r="D2166" s="116">
        <v>4428.6499999999996</v>
      </c>
      <c r="E2166" s="116">
        <v>4479.3999999999996</v>
      </c>
      <c r="F2166" s="116">
        <v>4517.95</v>
      </c>
      <c r="G2166">
        <v>4394</v>
      </c>
      <c r="H2166" s="116"/>
      <c r="I2166" s="116"/>
      <c r="L2166" s="170">
        <v>45824</v>
      </c>
      <c r="M2166" s="116">
        <v>4518</v>
      </c>
      <c r="N2166" s="116">
        <v>4543.1000000000004</v>
      </c>
      <c r="O2166" s="116">
        <v>4422</v>
      </c>
      <c r="P2166" s="116">
        <v>4449.8999999999996</v>
      </c>
      <c r="Q2166" s="116">
        <v>4518</v>
      </c>
      <c r="R2166">
        <v>122103</v>
      </c>
    </row>
    <row r="2167" spans="1:18" x14ac:dyDescent="0.25">
      <c r="A2167" s="170">
        <v>45825</v>
      </c>
      <c r="B2167" s="116">
        <v>4563.1000000000004</v>
      </c>
      <c r="C2167" s="116">
        <v>4430.8500000000004</v>
      </c>
      <c r="D2167" s="116">
        <v>4417.3500000000004</v>
      </c>
      <c r="E2167" s="116">
        <v>4563.1000000000004</v>
      </c>
      <c r="F2167" s="116">
        <v>4430.8500000000004</v>
      </c>
      <c r="G2167">
        <v>3933</v>
      </c>
      <c r="H2167" s="116"/>
      <c r="I2167" s="116"/>
      <c r="L2167" s="170">
        <v>45825</v>
      </c>
      <c r="M2167" s="116">
        <v>4437.3</v>
      </c>
      <c r="N2167" s="116">
        <v>4563</v>
      </c>
      <c r="O2167" s="116">
        <v>4420</v>
      </c>
      <c r="P2167" s="116">
        <v>4550</v>
      </c>
      <c r="Q2167" s="116">
        <v>4437.3</v>
      </c>
      <c r="R2167">
        <v>168357</v>
      </c>
    </row>
    <row r="2168" spans="1:18" x14ac:dyDescent="0.25">
      <c r="A2168" s="170">
        <v>45826</v>
      </c>
      <c r="B2168" s="116">
        <v>4473.8500000000004</v>
      </c>
      <c r="C2168" s="116">
        <v>4420.3999999999996</v>
      </c>
      <c r="D2168" s="116">
        <v>4399.8500000000004</v>
      </c>
      <c r="E2168" s="116">
        <v>4401.3</v>
      </c>
      <c r="F2168" s="116">
        <v>4420.3999999999996</v>
      </c>
      <c r="G2168">
        <v>2789</v>
      </c>
      <c r="H2168" s="116"/>
      <c r="I2168" s="116"/>
      <c r="L2168" s="170">
        <v>45826</v>
      </c>
      <c r="M2168" s="116">
        <v>4413.2</v>
      </c>
      <c r="N2168" s="116">
        <v>4469</v>
      </c>
      <c r="O2168" s="116">
        <v>4400</v>
      </c>
      <c r="P2168" s="116">
        <v>4432</v>
      </c>
      <c r="Q2168" s="116">
        <v>4413.2</v>
      </c>
      <c r="R2168">
        <v>61423</v>
      </c>
    </row>
    <row r="2169" spans="1:18" x14ac:dyDescent="0.25">
      <c r="A2169" s="170">
        <v>45827</v>
      </c>
      <c r="B2169" s="116">
        <v>4460.1499999999996</v>
      </c>
      <c r="C2169" s="116">
        <v>4306.1499999999996</v>
      </c>
      <c r="D2169" s="116">
        <v>4280.1000000000004</v>
      </c>
      <c r="E2169" s="116">
        <v>4401.8</v>
      </c>
      <c r="F2169" s="116">
        <v>4306.1499999999996</v>
      </c>
      <c r="G2169">
        <v>6644</v>
      </c>
      <c r="H2169" s="116"/>
      <c r="I2169" s="116"/>
      <c r="L2169" s="170">
        <v>45827</v>
      </c>
      <c r="M2169" s="116">
        <v>4306.8</v>
      </c>
      <c r="N2169" s="116">
        <v>4460.8999999999996</v>
      </c>
      <c r="O2169" s="116">
        <v>4275</v>
      </c>
      <c r="P2169" s="116">
        <v>4413.5</v>
      </c>
      <c r="Q2169" s="116">
        <v>4306.8</v>
      </c>
      <c r="R2169">
        <v>122755</v>
      </c>
    </row>
    <row r="2170" spans="1:18" x14ac:dyDescent="0.25">
      <c r="A2170" s="170">
        <v>45828</v>
      </c>
      <c r="B2170" s="116">
        <v>4398.1000000000004</v>
      </c>
      <c r="C2170" s="116">
        <v>4381.25</v>
      </c>
      <c r="D2170" s="116">
        <v>4277.2</v>
      </c>
      <c r="E2170" s="116">
        <v>4379.5</v>
      </c>
      <c r="F2170" s="116">
        <v>4381.25</v>
      </c>
      <c r="G2170">
        <v>2614</v>
      </c>
      <c r="H2170" s="116"/>
      <c r="I2170" s="116"/>
      <c r="L2170" s="170">
        <v>45828</v>
      </c>
      <c r="M2170" s="116">
        <v>4379.5</v>
      </c>
      <c r="N2170" s="116">
        <v>4395</v>
      </c>
      <c r="O2170" s="116">
        <v>4275</v>
      </c>
      <c r="P2170" s="116">
        <v>4286</v>
      </c>
      <c r="Q2170" s="116">
        <v>4379.5</v>
      </c>
      <c r="R2170">
        <v>139225</v>
      </c>
    </row>
    <row r="2171" spans="1:18" x14ac:dyDescent="0.25">
      <c r="A2171" s="170">
        <v>45831</v>
      </c>
      <c r="B2171" s="116">
        <v>4407.6000000000004</v>
      </c>
      <c r="C2171" s="116">
        <v>4338.75</v>
      </c>
      <c r="D2171" s="116">
        <v>4330</v>
      </c>
      <c r="E2171" s="116">
        <v>4351</v>
      </c>
      <c r="F2171" s="116">
        <v>4338.75</v>
      </c>
      <c r="G2171">
        <v>6617</v>
      </c>
      <c r="H2171" s="116"/>
      <c r="I2171" s="116"/>
      <c r="L2171" s="170">
        <v>45831</v>
      </c>
      <c r="M2171" s="116">
        <v>4338.6000000000004</v>
      </c>
      <c r="N2171" s="116">
        <v>4415.8999999999996</v>
      </c>
      <c r="O2171" s="116">
        <v>4330</v>
      </c>
      <c r="P2171" s="116">
        <v>4345</v>
      </c>
      <c r="Q2171" s="116">
        <v>4338.6000000000004</v>
      </c>
      <c r="R2171">
        <v>43556</v>
      </c>
    </row>
    <row r="2172" spans="1:18" x14ac:dyDescent="0.25">
      <c r="A2172" s="170">
        <v>45832</v>
      </c>
      <c r="B2172" s="116">
        <v>4416.55</v>
      </c>
      <c r="C2172" s="116">
        <v>4330.8500000000004</v>
      </c>
      <c r="D2172" s="116">
        <v>4319.2</v>
      </c>
      <c r="E2172" s="116">
        <v>4381</v>
      </c>
      <c r="F2172" s="116">
        <v>4330.8500000000004</v>
      </c>
      <c r="G2172">
        <v>3130</v>
      </c>
      <c r="H2172" s="116"/>
      <c r="I2172" s="116"/>
      <c r="L2172" s="170">
        <v>45832</v>
      </c>
      <c r="M2172" s="116">
        <v>4331.5</v>
      </c>
      <c r="N2172" s="116">
        <v>4412.8999999999996</v>
      </c>
      <c r="O2172" s="116">
        <v>4308.6000000000004</v>
      </c>
      <c r="P2172" s="116">
        <v>4400</v>
      </c>
      <c r="Q2172" s="116">
        <v>4331.5</v>
      </c>
      <c r="R2172">
        <v>50701</v>
      </c>
    </row>
    <row r="2173" spans="1:18" x14ac:dyDescent="0.25">
      <c r="A2173" s="170">
        <v>45833</v>
      </c>
      <c r="B2173" s="116">
        <v>4398.95</v>
      </c>
      <c r="C2173" s="116">
        <v>4350.6499999999996</v>
      </c>
      <c r="D2173" s="116">
        <v>4341.05</v>
      </c>
      <c r="E2173" s="116">
        <v>4398.95</v>
      </c>
      <c r="F2173" s="116">
        <v>4350.6499999999996</v>
      </c>
      <c r="G2173">
        <v>2758</v>
      </c>
      <c r="H2173" s="116"/>
      <c r="I2173" s="116"/>
      <c r="L2173" s="170">
        <v>45833</v>
      </c>
      <c r="M2173" s="116">
        <v>4360.3999999999996</v>
      </c>
      <c r="N2173" s="116">
        <v>4392.7</v>
      </c>
      <c r="O2173" s="116">
        <v>4250</v>
      </c>
      <c r="P2173" s="116">
        <v>4375.7</v>
      </c>
      <c r="Q2173" s="116">
        <v>4360.3999999999996</v>
      </c>
      <c r="R2173">
        <v>105523</v>
      </c>
    </row>
    <row r="2174" spans="1:18" x14ac:dyDescent="0.25">
      <c r="A2174" s="170">
        <v>45834</v>
      </c>
      <c r="B2174" s="116">
        <v>4380</v>
      </c>
      <c r="C2174" s="116">
        <v>4322.1000000000004</v>
      </c>
      <c r="D2174" s="116">
        <v>4305.2</v>
      </c>
      <c r="E2174" s="116">
        <v>4365</v>
      </c>
      <c r="F2174" s="116">
        <v>4322.1000000000004</v>
      </c>
      <c r="G2174">
        <v>4279</v>
      </c>
      <c r="H2174" s="116"/>
      <c r="I2174" s="116"/>
      <c r="L2174" s="170">
        <v>45834</v>
      </c>
      <c r="M2174" s="116">
        <v>4319.2</v>
      </c>
      <c r="N2174" s="116">
        <v>4384.8999999999996</v>
      </c>
      <c r="O2174" s="116">
        <v>4305</v>
      </c>
      <c r="P2174" s="116">
        <v>4358</v>
      </c>
      <c r="Q2174" s="116">
        <v>4319.2</v>
      </c>
      <c r="R2174">
        <v>146080</v>
      </c>
    </row>
    <row r="2175" spans="1:18" x14ac:dyDescent="0.25">
      <c r="A2175" s="170">
        <v>45835</v>
      </c>
      <c r="B2175" s="116">
        <v>4400</v>
      </c>
      <c r="C2175" s="116">
        <v>4384.6499999999996</v>
      </c>
      <c r="D2175" s="116">
        <v>4289.75</v>
      </c>
      <c r="E2175" s="116">
        <v>4307</v>
      </c>
      <c r="F2175" s="116">
        <v>4384.6499999999996</v>
      </c>
      <c r="G2175">
        <v>5454</v>
      </c>
      <c r="H2175" s="116"/>
      <c r="I2175" s="116"/>
      <c r="L2175" s="170">
        <v>45835</v>
      </c>
      <c r="M2175" s="116">
        <v>4385.6000000000004</v>
      </c>
      <c r="N2175" s="116">
        <v>4409</v>
      </c>
      <c r="O2175" s="116">
        <v>4279.1000000000004</v>
      </c>
      <c r="P2175" s="116">
        <v>4299.8</v>
      </c>
      <c r="Q2175" s="116">
        <v>4385.6000000000004</v>
      </c>
      <c r="R2175">
        <v>127945</v>
      </c>
    </row>
    <row r="2176" spans="1:18" x14ac:dyDescent="0.25">
      <c r="A2176" s="170">
        <v>45838</v>
      </c>
      <c r="B2176" s="116">
        <v>4409.95</v>
      </c>
      <c r="C2176" s="116">
        <v>4397.1000000000004</v>
      </c>
      <c r="D2176" s="116">
        <v>4344</v>
      </c>
      <c r="E2176" s="116">
        <v>4344</v>
      </c>
      <c r="F2176" s="116">
        <v>4397.1000000000004</v>
      </c>
      <c r="G2176">
        <v>3006</v>
      </c>
      <c r="H2176" s="116"/>
      <c r="I2176" s="116"/>
      <c r="L2176" s="170">
        <v>45838</v>
      </c>
      <c r="M2176" s="116">
        <v>4402.1000000000004</v>
      </c>
      <c r="N2176" s="116">
        <v>4410</v>
      </c>
      <c r="O2176" s="116">
        <v>4358.5</v>
      </c>
      <c r="P2176" s="116">
        <v>4400</v>
      </c>
      <c r="Q2176" s="116">
        <v>4402.1000000000004</v>
      </c>
      <c r="R2176">
        <v>68695</v>
      </c>
    </row>
    <row r="2177" spans="1:18" x14ac:dyDescent="0.25">
      <c r="A2177" s="170">
        <v>45839</v>
      </c>
      <c r="B2177" s="116">
        <v>4449.3</v>
      </c>
      <c r="C2177" s="116">
        <v>4353.6499999999996</v>
      </c>
      <c r="D2177" s="116">
        <v>4325</v>
      </c>
      <c r="E2177" s="116">
        <v>4449.3</v>
      </c>
      <c r="F2177" s="116">
        <v>4353.6499999999996</v>
      </c>
      <c r="G2177">
        <v>3079</v>
      </c>
      <c r="H2177" s="116"/>
      <c r="I2177" s="116"/>
      <c r="L2177" s="170">
        <v>45839</v>
      </c>
      <c r="M2177" s="116">
        <v>4354.2</v>
      </c>
      <c r="N2177" s="116">
        <v>4440</v>
      </c>
      <c r="O2177" s="116">
        <v>4325</v>
      </c>
      <c r="P2177" s="116">
        <v>4402.1000000000004</v>
      </c>
      <c r="Q2177" s="116">
        <v>4354.2</v>
      </c>
      <c r="R2177">
        <v>94633</v>
      </c>
    </row>
    <row r="2178" spans="1:18" x14ac:dyDescent="0.25">
      <c r="A2178" s="170">
        <v>45840</v>
      </c>
      <c r="B2178" s="116">
        <v>4398.8999999999996</v>
      </c>
      <c r="C2178" s="116">
        <v>4319.3</v>
      </c>
      <c r="D2178" s="116">
        <v>4300</v>
      </c>
      <c r="E2178" s="116">
        <v>4369.95</v>
      </c>
      <c r="F2178" s="116">
        <v>4319.3</v>
      </c>
      <c r="G2178">
        <v>3614</v>
      </c>
      <c r="H2178" s="116"/>
      <c r="I2178" s="116"/>
      <c r="L2178" s="170">
        <v>45840</v>
      </c>
      <c r="M2178" s="116">
        <v>4323.8</v>
      </c>
      <c r="N2178" s="116">
        <v>4404.8999999999996</v>
      </c>
      <c r="O2178" s="116">
        <v>4296.1000000000004</v>
      </c>
      <c r="P2178" s="116">
        <v>4360.3999999999996</v>
      </c>
      <c r="Q2178" s="116">
        <v>4323.8</v>
      </c>
      <c r="R2178">
        <v>96650</v>
      </c>
    </row>
    <row r="2179" spans="1:18" x14ac:dyDescent="0.25">
      <c r="A2179" s="170">
        <v>45841</v>
      </c>
      <c r="B2179" s="116">
        <v>4358.05</v>
      </c>
      <c r="C2179" s="116">
        <v>4331.55</v>
      </c>
      <c r="D2179" s="116">
        <v>4309.1499999999996</v>
      </c>
      <c r="E2179" s="116">
        <v>4320.3500000000004</v>
      </c>
      <c r="F2179" s="116">
        <v>4331.55</v>
      </c>
      <c r="G2179">
        <v>2095</v>
      </c>
      <c r="H2179" s="116"/>
      <c r="I2179" s="116"/>
      <c r="L2179" s="170">
        <v>45841</v>
      </c>
      <c r="M2179" s="116">
        <v>4331.6000000000004</v>
      </c>
      <c r="N2179" s="116">
        <v>4360.1000000000004</v>
      </c>
      <c r="O2179" s="116">
        <v>4306.3999999999996</v>
      </c>
      <c r="P2179" s="116">
        <v>4330.5</v>
      </c>
      <c r="Q2179" s="116">
        <v>4331.6000000000004</v>
      </c>
      <c r="R2179">
        <v>70826</v>
      </c>
    </row>
    <row r="2180" spans="1:18" x14ac:dyDescent="0.25">
      <c r="A2180" s="170">
        <v>45842</v>
      </c>
      <c r="B2180" s="116">
        <v>4406.3500000000004</v>
      </c>
      <c r="C2180" s="116">
        <v>4384.3999999999996</v>
      </c>
      <c r="D2180" s="116">
        <v>4331</v>
      </c>
      <c r="E2180" s="116">
        <v>4360</v>
      </c>
      <c r="F2180" s="116">
        <v>4384.3999999999996</v>
      </c>
      <c r="G2180">
        <v>1489</v>
      </c>
      <c r="H2180" s="116"/>
      <c r="I2180" s="116"/>
      <c r="L2180" s="170">
        <v>45842</v>
      </c>
      <c r="M2180" s="116">
        <v>4383.6000000000004</v>
      </c>
      <c r="N2180" s="116">
        <v>4407</v>
      </c>
      <c r="O2180" s="116">
        <v>4330</v>
      </c>
      <c r="P2180" s="116">
        <v>4331.6000000000004</v>
      </c>
      <c r="Q2180" s="116">
        <v>4383.6000000000004</v>
      </c>
      <c r="R2180">
        <v>65617</v>
      </c>
    </row>
    <row r="2181" spans="1:18" x14ac:dyDescent="0.25">
      <c r="A2181" s="170">
        <v>45845</v>
      </c>
      <c r="B2181" s="116">
        <v>4421.2</v>
      </c>
      <c r="C2181" s="116">
        <v>4378.2</v>
      </c>
      <c r="D2181" s="116">
        <v>4358.7</v>
      </c>
      <c r="E2181" s="116">
        <v>4421.2</v>
      </c>
      <c r="F2181" s="116">
        <v>4378.2</v>
      </c>
      <c r="G2181">
        <v>2343</v>
      </c>
      <c r="H2181" s="116"/>
      <c r="I2181" s="116"/>
      <c r="L2181" s="170">
        <v>45845</v>
      </c>
      <c r="M2181" s="116">
        <v>4378</v>
      </c>
      <c r="N2181" s="116">
        <v>4409</v>
      </c>
      <c r="O2181" s="116">
        <v>4355</v>
      </c>
      <c r="P2181" s="116">
        <v>4409</v>
      </c>
      <c r="Q2181" s="116">
        <v>4378</v>
      </c>
      <c r="R2181">
        <v>34023</v>
      </c>
    </row>
    <row r="2182" spans="1:18" x14ac:dyDescent="0.25">
      <c r="A2182" s="170">
        <v>45846</v>
      </c>
      <c r="B2182" s="116">
        <v>4417.95</v>
      </c>
      <c r="C2182" s="116">
        <v>4337.3500000000004</v>
      </c>
      <c r="D2182" s="116">
        <v>4330</v>
      </c>
      <c r="E2182" s="116">
        <v>4417.95</v>
      </c>
      <c r="F2182" s="116">
        <v>4337.3500000000004</v>
      </c>
      <c r="G2182">
        <v>4026</v>
      </c>
      <c r="H2182" s="116"/>
      <c r="I2182" s="116"/>
      <c r="L2182" s="170">
        <v>45846</v>
      </c>
      <c r="M2182" s="116">
        <v>4336</v>
      </c>
      <c r="N2182" s="116">
        <v>4388</v>
      </c>
      <c r="O2182" s="116">
        <v>4308.1000000000004</v>
      </c>
      <c r="P2182" s="116">
        <v>4374.2</v>
      </c>
      <c r="Q2182" s="116">
        <v>4336</v>
      </c>
      <c r="R2182">
        <v>106255</v>
      </c>
    </row>
    <row r="2183" spans="1:18" x14ac:dyDescent="0.25">
      <c r="A2183" s="170">
        <v>45847</v>
      </c>
      <c r="B2183" s="116">
        <v>4350.05</v>
      </c>
      <c r="C2183" s="116">
        <v>4312.5</v>
      </c>
      <c r="D2183" s="116">
        <v>4308.05</v>
      </c>
      <c r="E2183" s="116">
        <v>4337.3500000000004</v>
      </c>
      <c r="F2183" s="116">
        <v>4312.5</v>
      </c>
      <c r="G2183">
        <v>3867</v>
      </c>
      <c r="H2183" s="116"/>
      <c r="I2183" s="116"/>
      <c r="L2183" s="170">
        <v>45847</v>
      </c>
      <c r="M2183" s="116">
        <v>4314.3999999999996</v>
      </c>
      <c r="N2183" s="116">
        <v>4351.1000000000004</v>
      </c>
      <c r="O2183" s="116">
        <v>4287.1000000000004</v>
      </c>
      <c r="P2183" s="116">
        <v>4336</v>
      </c>
      <c r="Q2183" s="116">
        <v>4314.3999999999996</v>
      </c>
      <c r="R2183">
        <v>74156</v>
      </c>
    </row>
    <row r="2184" spans="1:18" x14ac:dyDescent="0.25">
      <c r="A2184" s="170">
        <v>45848</v>
      </c>
      <c r="B2184" s="116">
        <v>4376.8</v>
      </c>
      <c r="C2184" s="116">
        <v>4345.3500000000004</v>
      </c>
      <c r="D2184" s="116">
        <v>4265</v>
      </c>
      <c r="E2184" s="116">
        <v>4315.05</v>
      </c>
      <c r="F2184" s="116">
        <v>4345.3500000000004</v>
      </c>
      <c r="G2184">
        <v>3127</v>
      </c>
      <c r="H2184" s="116"/>
      <c r="I2184" s="116"/>
      <c r="L2184" s="170">
        <v>45848</v>
      </c>
      <c r="M2184" s="116">
        <v>4349.2</v>
      </c>
      <c r="N2184" s="116">
        <v>4381.3</v>
      </c>
      <c r="O2184" s="116">
        <v>4264.2</v>
      </c>
      <c r="P2184" s="116">
        <v>4328.8999999999996</v>
      </c>
      <c r="Q2184" s="116">
        <v>4349.2</v>
      </c>
      <c r="R2184">
        <v>124119</v>
      </c>
    </row>
    <row r="2185" spans="1:18" x14ac:dyDescent="0.25">
      <c r="A2185" s="170">
        <v>45849</v>
      </c>
      <c r="B2185" s="116">
        <v>4422</v>
      </c>
      <c r="C2185" s="116">
        <v>4410.1499999999996</v>
      </c>
      <c r="D2185" s="116">
        <v>4287.3999999999996</v>
      </c>
      <c r="E2185" s="116">
        <v>4309.1499999999996</v>
      </c>
      <c r="F2185" s="116">
        <v>4410.1499999999996</v>
      </c>
      <c r="G2185">
        <v>4792</v>
      </c>
      <c r="H2185" s="116"/>
      <c r="I2185" s="116"/>
      <c r="L2185" s="170">
        <v>45849</v>
      </c>
      <c r="M2185" s="116">
        <v>4410.5</v>
      </c>
      <c r="N2185" s="116">
        <v>4423.8999999999996</v>
      </c>
      <c r="O2185" s="116">
        <v>4281</v>
      </c>
      <c r="P2185" s="116">
        <v>4281</v>
      </c>
      <c r="Q2185" s="116">
        <v>4410.5</v>
      </c>
      <c r="R2185">
        <v>128566</v>
      </c>
    </row>
    <row r="2186" spans="1:18" x14ac:dyDescent="0.25">
      <c r="A2186" s="170">
        <v>45852</v>
      </c>
      <c r="B2186" s="116">
        <v>4390.55</v>
      </c>
      <c r="C2186" s="116">
        <v>4345.2</v>
      </c>
      <c r="D2186" s="116">
        <v>4325</v>
      </c>
      <c r="E2186" s="116">
        <v>4370.1499999999996</v>
      </c>
      <c r="F2186" s="116">
        <v>4345.2</v>
      </c>
      <c r="G2186">
        <v>2282</v>
      </c>
      <c r="H2186" s="116"/>
      <c r="I2186" s="116"/>
      <c r="L2186" s="170">
        <v>45852</v>
      </c>
      <c r="M2186" s="116">
        <v>4343.2</v>
      </c>
      <c r="N2186" s="116">
        <v>4400</v>
      </c>
      <c r="O2186" s="116">
        <v>4322</v>
      </c>
      <c r="P2186" s="116">
        <v>4400</v>
      </c>
      <c r="Q2186" s="116">
        <v>4343.2</v>
      </c>
      <c r="R2186">
        <v>56491</v>
      </c>
    </row>
    <row r="2187" spans="1:18" x14ac:dyDescent="0.25">
      <c r="A2187" s="170">
        <v>45853</v>
      </c>
      <c r="B2187" s="116">
        <v>4383.3</v>
      </c>
      <c r="C2187" s="116">
        <v>4347.3500000000004</v>
      </c>
      <c r="D2187" s="116">
        <v>4324.25</v>
      </c>
      <c r="E2187" s="116">
        <v>4362.55</v>
      </c>
      <c r="F2187" s="116">
        <v>4347.3500000000004</v>
      </c>
      <c r="G2187">
        <v>3729</v>
      </c>
      <c r="H2187" s="116"/>
      <c r="I2187" s="116"/>
      <c r="L2187" s="170">
        <v>45853</v>
      </c>
      <c r="M2187" s="116">
        <v>4350.5</v>
      </c>
      <c r="N2187" s="116">
        <v>4384.8999999999996</v>
      </c>
      <c r="O2187" s="116">
        <v>4322.5</v>
      </c>
      <c r="P2187" s="116">
        <v>4358</v>
      </c>
      <c r="Q2187" s="116">
        <v>4350.5</v>
      </c>
      <c r="R2187">
        <v>85523</v>
      </c>
    </row>
    <row r="2188" spans="1:18" x14ac:dyDescent="0.25">
      <c r="A2188" s="170">
        <v>45854</v>
      </c>
      <c r="B2188" s="116">
        <v>4425</v>
      </c>
      <c r="C2188" s="116">
        <v>4345.3999999999996</v>
      </c>
      <c r="D2188" s="116">
        <v>4340</v>
      </c>
      <c r="E2188" s="116">
        <v>4386.95</v>
      </c>
      <c r="F2188" s="116">
        <v>4345.3999999999996</v>
      </c>
      <c r="G2188">
        <v>4570</v>
      </c>
      <c r="H2188" s="116"/>
      <c r="I2188" s="116"/>
      <c r="L2188" s="170">
        <v>45854</v>
      </c>
      <c r="M2188" s="116">
        <v>4346.8</v>
      </c>
      <c r="N2188" s="116">
        <v>4425.2</v>
      </c>
      <c r="O2188" s="116">
        <v>4338</v>
      </c>
      <c r="P2188" s="116">
        <v>4365</v>
      </c>
      <c r="Q2188" s="116">
        <v>4346.8</v>
      </c>
      <c r="R2188">
        <v>93035</v>
      </c>
    </row>
    <row r="2189" spans="1:18" x14ac:dyDescent="0.25">
      <c r="A2189" s="170">
        <v>45855</v>
      </c>
      <c r="B2189" s="116">
        <v>4500</v>
      </c>
      <c r="C2189" s="116">
        <v>4412.1499999999996</v>
      </c>
      <c r="D2189" s="116">
        <v>4340.8500000000004</v>
      </c>
      <c r="E2189" s="116">
        <v>4365.95</v>
      </c>
      <c r="F2189" s="116">
        <v>4412.1499999999996</v>
      </c>
      <c r="G2189">
        <v>15176</v>
      </c>
      <c r="H2189" s="116"/>
      <c r="I2189" s="116"/>
      <c r="L2189" s="170">
        <v>45855</v>
      </c>
      <c r="M2189" s="116">
        <v>4411.6000000000004</v>
      </c>
      <c r="N2189" s="116">
        <v>4500</v>
      </c>
      <c r="O2189" s="116">
        <v>4345.6000000000004</v>
      </c>
      <c r="P2189" s="116">
        <v>4350</v>
      </c>
      <c r="Q2189" s="116">
        <v>4411.6000000000004</v>
      </c>
      <c r="R2189">
        <v>425801</v>
      </c>
    </row>
    <row r="2190" spans="1:18" x14ac:dyDescent="0.25">
      <c r="A2190" s="170">
        <v>45856</v>
      </c>
      <c r="B2190" s="116">
        <v>4441.1000000000004</v>
      </c>
      <c r="C2190" s="116">
        <v>4403.2</v>
      </c>
      <c r="D2190" s="116">
        <v>4373.55</v>
      </c>
      <c r="E2190" s="116">
        <v>4439.95</v>
      </c>
      <c r="F2190" s="116">
        <v>4403.2</v>
      </c>
      <c r="G2190">
        <v>6291</v>
      </c>
      <c r="H2190" s="116"/>
      <c r="I2190" s="116"/>
      <c r="L2190" s="170">
        <v>45856</v>
      </c>
      <c r="M2190" s="116">
        <v>4401.8999999999996</v>
      </c>
      <c r="N2190" s="116">
        <v>4448.8999999999996</v>
      </c>
      <c r="O2190" s="116">
        <v>4364.3999999999996</v>
      </c>
      <c r="P2190" s="116">
        <v>4430</v>
      </c>
      <c r="Q2190" s="116">
        <v>4401.8999999999996</v>
      </c>
      <c r="R2190">
        <v>79686</v>
      </c>
    </row>
    <row r="2191" spans="1:18" x14ac:dyDescent="0.25">
      <c r="A2191" s="170">
        <v>45859</v>
      </c>
      <c r="B2191" s="116">
        <v>4400.5</v>
      </c>
      <c r="C2191" s="116">
        <v>4365.95</v>
      </c>
      <c r="D2191" s="116">
        <v>4313</v>
      </c>
      <c r="E2191" s="116">
        <v>4388.25</v>
      </c>
      <c r="F2191" s="116">
        <v>4365.95</v>
      </c>
      <c r="G2191">
        <v>5178</v>
      </c>
      <c r="H2191" s="116"/>
      <c r="I2191" s="116"/>
      <c r="L2191" s="170">
        <v>45859</v>
      </c>
      <c r="M2191" s="116">
        <v>4368.2</v>
      </c>
      <c r="N2191" s="116">
        <v>4430</v>
      </c>
      <c r="O2191" s="116">
        <v>4311.8999999999996</v>
      </c>
      <c r="P2191" s="116">
        <v>4401</v>
      </c>
      <c r="Q2191" s="116">
        <v>4368.2</v>
      </c>
      <c r="R2191">
        <v>75598</v>
      </c>
    </row>
    <row r="2192" spans="1:18" x14ac:dyDescent="0.25">
      <c r="A2192" s="170">
        <v>45860</v>
      </c>
      <c r="B2192" s="116">
        <v>4427.95</v>
      </c>
      <c r="C2192" s="116">
        <v>4321.05</v>
      </c>
      <c r="D2192" s="116">
        <v>4311.5</v>
      </c>
      <c r="E2192" s="116">
        <v>4427.95</v>
      </c>
      <c r="F2192" s="116">
        <v>4321.05</v>
      </c>
      <c r="G2192">
        <v>2086</v>
      </c>
      <c r="H2192" s="116"/>
      <c r="I2192" s="116"/>
      <c r="L2192" s="170">
        <v>45860</v>
      </c>
      <c r="M2192" s="116">
        <v>4321.8</v>
      </c>
      <c r="N2192" s="116">
        <v>4395.6000000000004</v>
      </c>
      <c r="O2192" s="116">
        <v>4313.2</v>
      </c>
      <c r="P2192" s="116">
        <v>4375</v>
      </c>
      <c r="Q2192" s="116">
        <v>4321.8</v>
      </c>
      <c r="R2192">
        <v>44116</v>
      </c>
    </row>
    <row r="2193" spans="1:18" x14ac:dyDescent="0.25">
      <c r="A2193" s="170">
        <v>45861</v>
      </c>
      <c r="B2193" s="116">
        <v>4355.05</v>
      </c>
      <c r="C2193" s="116">
        <v>4313.25</v>
      </c>
      <c r="D2193" s="116">
        <v>4285.5</v>
      </c>
      <c r="E2193" s="116">
        <v>4355.05</v>
      </c>
      <c r="F2193" s="116">
        <v>4313.25</v>
      </c>
      <c r="G2193">
        <v>1167</v>
      </c>
      <c r="H2193" s="116"/>
      <c r="I2193" s="116"/>
      <c r="L2193" s="170">
        <v>45861</v>
      </c>
      <c r="M2193" s="116">
        <v>4312.8</v>
      </c>
      <c r="N2193" s="116">
        <v>4337.8999999999996</v>
      </c>
      <c r="O2193" s="116">
        <v>4284.8999999999996</v>
      </c>
      <c r="P2193" s="116">
        <v>4329.8999999999996</v>
      </c>
      <c r="Q2193" s="116">
        <v>4312.8</v>
      </c>
      <c r="R2193">
        <v>63881</v>
      </c>
    </row>
    <row r="2194" spans="1:18" x14ac:dyDescent="0.25">
      <c r="A2194" s="170">
        <v>45862</v>
      </c>
      <c r="B2194" s="116">
        <v>4326.3</v>
      </c>
      <c r="C2194" s="116">
        <v>4300.5</v>
      </c>
      <c r="D2194" s="116">
        <v>4290.05</v>
      </c>
      <c r="E2194" s="116">
        <v>4302.1000000000004</v>
      </c>
      <c r="F2194" s="116">
        <v>4300.5</v>
      </c>
      <c r="G2194">
        <v>2951</v>
      </c>
      <c r="H2194" s="116"/>
      <c r="I2194" s="116"/>
      <c r="L2194" s="170">
        <v>45862</v>
      </c>
      <c r="M2194" s="116">
        <v>4300.2</v>
      </c>
      <c r="N2194" s="116">
        <v>4324.6000000000004</v>
      </c>
      <c r="O2194" s="116">
        <v>4290</v>
      </c>
      <c r="P2194" s="116">
        <v>4312</v>
      </c>
      <c r="Q2194" s="116">
        <v>4300.2</v>
      </c>
      <c r="R2194">
        <v>39142</v>
      </c>
    </row>
    <row r="2195" spans="1:18" x14ac:dyDescent="0.25">
      <c r="A2195" s="170">
        <v>45863</v>
      </c>
      <c r="B2195" s="116">
        <v>4299.95</v>
      </c>
      <c r="C2195" s="116">
        <v>4227.3</v>
      </c>
      <c r="D2195" s="116">
        <v>4200</v>
      </c>
      <c r="E2195" s="116">
        <v>4291.05</v>
      </c>
      <c r="F2195" s="116">
        <v>4227.3</v>
      </c>
      <c r="G2195">
        <v>6274</v>
      </c>
      <c r="H2195" s="116"/>
      <c r="I2195" s="116"/>
      <c r="L2195" s="170">
        <v>45863</v>
      </c>
      <c r="M2195" s="116">
        <v>4220.8</v>
      </c>
      <c r="N2195" s="116">
        <v>4304</v>
      </c>
      <c r="O2195" s="116">
        <v>4198.1000000000004</v>
      </c>
      <c r="P2195" s="116">
        <v>4300.8999999999996</v>
      </c>
      <c r="Q2195" s="116">
        <v>4220.8</v>
      </c>
      <c r="R2195">
        <v>49326</v>
      </c>
    </row>
    <row r="2196" spans="1:18" x14ac:dyDescent="0.25">
      <c r="A2196" s="170">
        <v>45866</v>
      </c>
      <c r="B2196" s="116">
        <v>4269.25</v>
      </c>
      <c r="C2196" s="116">
        <v>4231.6499999999996</v>
      </c>
      <c r="D2196" s="116">
        <v>4198</v>
      </c>
      <c r="E2196" s="116">
        <v>4210.05</v>
      </c>
      <c r="F2196" s="116">
        <v>4231.6499999999996</v>
      </c>
      <c r="G2196">
        <v>4789</v>
      </c>
      <c r="H2196" s="116"/>
      <c r="I2196" s="116"/>
      <c r="L2196" s="170">
        <v>45866</v>
      </c>
      <c r="M2196" s="116">
        <v>4242.1000000000004</v>
      </c>
      <c r="N2196" s="116">
        <v>4263.3</v>
      </c>
      <c r="O2196" s="116">
        <v>4196</v>
      </c>
      <c r="P2196" s="116">
        <v>4230.6000000000004</v>
      </c>
      <c r="Q2196" s="116">
        <v>4242.1000000000004</v>
      </c>
      <c r="R2196">
        <v>67289</v>
      </c>
    </row>
    <row r="2197" spans="1:18" x14ac:dyDescent="0.25">
      <c r="A2197" s="170">
        <v>45867</v>
      </c>
      <c r="B2197" s="116">
        <v>4305.55</v>
      </c>
      <c r="C2197" s="116">
        <v>4286.6000000000004</v>
      </c>
      <c r="D2197" s="116">
        <v>4181</v>
      </c>
      <c r="E2197" s="116">
        <v>4232</v>
      </c>
      <c r="F2197" s="116">
        <v>4286.6000000000004</v>
      </c>
      <c r="G2197">
        <v>2562</v>
      </c>
      <c r="H2197" s="116"/>
      <c r="I2197" s="116"/>
      <c r="L2197" s="170">
        <v>45867</v>
      </c>
      <c r="M2197" s="116">
        <v>4287.2</v>
      </c>
      <c r="N2197" s="116">
        <v>4309</v>
      </c>
      <c r="O2197" s="116">
        <v>4171.8</v>
      </c>
      <c r="P2197" s="116">
        <v>4240.1000000000004</v>
      </c>
      <c r="Q2197" s="116">
        <v>4287.2</v>
      </c>
      <c r="R2197">
        <v>58900</v>
      </c>
    </row>
    <row r="2198" spans="1:18" x14ac:dyDescent="0.25">
      <c r="A2198" s="170">
        <v>45868</v>
      </c>
      <c r="B2198" s="116">
        <v>4333.8999999999996</v>
      </c>
      <c r="C2198" s="116">
        <v>4307.8500000000004</v>
      </c>
      <c r="D2198" s="116">
        <v>4251</v>
      </c>
      <c r="E2198" s="116">
        <v>4320</v>
      </c>
      <c r="F2198" s="116">
        <v>4307.8500000000004</v>
      </c>
      <c r="G2198">
        <v>1884</v>
      </c>
      <c r="H2198" s="116"/>
      <c r="I2198" s="116"/>
      <c r="L2198" s="170">
        <v>45868</v>
      </c>
      <c r="M2198" s="116">
        <v>4309.6000000000004</v>
      </c>
      <c r="N2198" s="116">
        <v>4337.3999999999996</v>
      </c>
      <c r="O2198" s="116">
        <v>4250.7</v>
      </c>
      <c r="P2198" s="116">
        <v>4323.3</v>
      </c>
      <c r="Q2198" s="116">
        <v>4309.6000000000004</v>
      </c>
      <c r="R2198">
        <v>49562</v>
      </c>
    </row>
    <row r="2199" spans="1:18" x14ac:dyDescent="0.25">
      <c r="A2199" s="170">
        <v>45869</v>
      </c>
      <c r="B2199" s="116">
        <v>4327</v>
      </c>
      <c r="C2199" s="116">
        <v>4305.95</v>
      </c>
      <c r="D2199" s="116">
        <v>4253.8500000000004</v>
      </c>
      <c r="E2199" s="116">
        <v>4301.75</v>
      </c>
      <c r="F2199" s="116">
        <v>4305.95</v>
      </c>
      <c r="G2199">
        <v>1170</v>
      </c>
      <c r="H2199" s="116"/>
      <c r="I2199" s="116"/>
      <c r="L2199" s="170">
        <v>45869</v>
      </c>
      <c r="M2199" s="116">
        <v>4308.2</v>
      </c>
      <c r="N2199" s="116">
        <v>4328</v>
      </c>
      <c r="O2199" s="116">
        <v>4252.1000000000004</v>
      </c>
      <c r="P2199" s="116">
        <v>4268</v>
      </c>
      <c r="Q2199" s="116">
        <v>4308.2</v>
      </c>
      <c r="R2199">
        <v>35739</v>
      </c>
    </row>
    <row r="2200" spans="1:18" x14ac:dyDescent="0.25">
      <c r="A2200" s="170">
        <v>45870</v>
      </c>
      <c r="B2200" s="116">
        <v>4311.2</v>
      </c>
      <c r="C2200" s="116">
        <v>4273.1000000000004</v>
      </c>
      <c r="D2200" s="116">
        <v>4257</v>
      </c>
      <c r="E2200" s="116">
        <v>4308</v>
      </c>
      <c r="F2200" s="116">
        <v>4273.1000000000004</v>
      </c>
      <c r="G2200">
        <v>710</v>
      </c>
      <c r="H2200" s="116"/>
      <c r="I2200" s="116"/>
      <c r="L2200" s="170">
        <v>45870</v>
      </c>
      <c r="M2200" s="116">
        <v>4274.6000000000004</v>
      </c>
      <c r="N2200" s="116">
        <v>4311.7</v>
      </c>
      <c r="O2200" s="116">
        <v>4256</v>
      </c>
      <c r="P2200" s="116">
        <v>4304.2</v>
      </c>
      <c r="Q2200" s="116">
        <v>4274.6000000000004</v>
      </c>
      <c r="R2200">
        <v>24653</v>
      </c>
    </row>
    <row r="2201" spans="1:18" x14ac:dyDescent="0.25">
      <c r="A2201" s="170">
        <v>45873</v>
      </c>
      <c r="B2201" s="116">
        <v>4291.1499999999996</v>
      </c>
      <c r="C2201" s="116">
        <v>4262.95</v>
      </c>
      <c r="D2201" s="116">
        <v>4226.1000000000004</v>
      </c>
      <c r="E2201" s="116">
        <v>4275.05</v>
      </c>
      <c r="F2201" s="116">
        <v>4262.95</v>
      </c>
      <c r="G2201">
        <v>1488</v>
      </c>
      <c r="H2201" s="116"/>
      <c r="I2201" s="116"/>
      <c r="L2201" s="170">
        <v>45873</v>
      </c>
      <c r="M2201" s="116">
        <v>4266.1000000000004</v>
      </c>
      <c r="N2201" s="116">
        <v>4289.8999999999996</v>
      </c>
      <c r="O2201" s="116">
        <v>4225.8</v>
      </c>
      <c r="P2201" s="116">
        <v>4240</v>
      </c>
      <c r="Q2201" s="116">
        <v>4266.1000000000004</v>
      </c>
      <c r="R2201">
        <v>40308</v>
      </c>
    </row>
    <row r="2202" spans="1:18" x14ac:dyDescent="0.25">
      <c r="A2202" s="170">
        <v>45874</v>
      </c>
      <c r="B2202" s="116">
        <v>4294.7</v>
      </c>
      <c r="C2202" s="116">
        <v>4238.5</v>
      </c>
      <c r="D2202" s="116">
        <v>4226.25</v>
      </c>
      <c r="E2202" s="116">
        <v>4277.3500000000004</v>
      </c>
      <c r="F2202" s="116">
        <v>4238.5</v>
      </c>
      <c r="G2202">
        <v>797</v>
      </c>
      <c r="H2202" s="116"/>
      <c r="I2202" s="116"/>
      <c r="L2202" s="170">
        <v>45874</v>
      </c>
      <c r="M2202" s="116">
        <v>4238.5</v>
      </c>
      <c r="N2202" s="116">
        <v>4294.8999999999996</v>
      </c>
      <c r="O2202" s="116">
        <v>4224</v>
      </c>
      <c r="P2202" s="116">
        <v>4290</v>
      </c>
      <c r="Q2202" s="116">
        <v>4238.5</v>
      </c>
      <c r="R2202">
        <v>34602</v>
      </c>
    </row>
    <row r="2203" spans="1:18" x14ac:dyDescent="0.25">
      <c r="A2203" s="170">
        <v>45875</v>
      </c>
      <c r="B2203" s="116">
        <v>4267.8999999999996</v>
      </c>
      <c r="C2203" s="116">
        <v>4261.1499999999996</v>
      </c>
      <c r="D2203" s="116">
        <v>4228.8</v>
      </c>
      <c r="E2203" s="116">
        <v>4237.7</v>
      </c>
      <c r="F2203" s="116">
        <v>4261.1499999999996</v>
      </c>
      <c r="G2203">
        <v>2941</v>
      </c>
      <c r="H2203" s="116"/>
      <c r="I2203" s="116"/>
      <c r="L2203" s="170">
        <v>45875</v>
      </c>
      <c r="M2203" s="116">
        <v>4258</v>
      </c>
      <c r="N2203" s="116">
        <v>4267.8999999999996</v>
      </c>
      <c r="O2203" s="116">
        <v>4225.3</v>
      </c>
      <c r="P2203" s="116">
        <v>4238.5</v>
      </c>
      <c r="Q2203" s="116">
        <v>4258</v>
      </c>
      <c r="R2203">
        <v>45981</v>
      </c>
    </row>
    <row r="2204" spans="1:18" x14ac:dyDescent="0.25">
      <c r="A2204" s="170">
        <v>45876</v>
      </c>
      <c r="B2204" s="116">
        <v>4259.6499999999996</v>
      </c>
      <c r="C2204" s="116">
        <v>4204.7</v>
      </c>
      <c r="D2204" s="116">
        <v>4196</v>
      </c>
      <c r="E2204" s="116">
        <v>4241</v>
      </c>
      <c r="F2204" s="116">
        <v>4204.7</v>
      </c>
      <c r="G2204">
        <v>3736</v>
      </c>
      <c r="H2204" s="116"/>
      <c r="I2204" s="116"/>
      <c r="L2204" s="170">
        <v>45876</v>
      </c>
      <c r="M2204" s="116">
        <v>4206.6000000000004</v>
      </c>
      <c r="N2204" s="116">
        <v>4260</v>
      </c>
      <c r="O2204" s="116">
        <v>4190</v>
      </c>
      <c r="P2204" s="116">
        <v>4236.8</v>
      </c>
      <c r="Q2204" s="116">
        <v>4206.6000000000004</v>
      </c>
      <c r="R2204">
        <v>73506</v>
      </c>
    </row>
    <row r="2205" spans="1:18" x14ac:dyDescent="0.25">
      <c r="A2205" s="170">
        <v>45877</v>
      </c>
      <c r="B2205" s="116">
        <v>4235.5</v>
      </c>
      <c r="C2205" s="116">
        <v>4178.1499999999996</v>
      </c>
      <c r="D2205" s="116">
        <v>4168</v>
      </c>
      <c r="E2205" s="116">
        <v>4192</v>
      </c>
      <c r="F2205" s="116">
        <v>4178.1499999999996</v>
      </c>
      <c r="G2205">
        <v>1195</v>
      </c>
      <c r="H2205" s="116"/>
      <c r="I2205" s="116"/>
      <c r="L2205" s="170">
        <v>45877</v>
      </c>
      <c r="M2205" s="116">
        <v>4180.6000000000004</v>
      </c>
      <c r="N2205" s="116">
        <v>4236.7</v>
      </c>
      <c r="O2205" s="116">
        <v>4161.8999999999996</v>
      </c>
      <c r="P2205" s="116">
        <v>4230</v>
      </c>
      <c r="Q2205" s="116">
        <v>4180.6000000000004</v>
      </c>
      <c r="R2205">
        <v>32043</v>
      </c>
    </row>
    <row r="2206" spans="1:18" x14ac:dyDescent="0.25">
      <c r="A2206" s="170">
        <v>45880</v>
      </c>
      <c r="B2206" s="116">
        <v>4185.6499999999996</v>
      </c>
      <c r="C2206" s="116">
        <v>4143.05</v>
      </c>
      <c r="D2206" s="116">
        <v>4133</v>
      </c>
      <c r="E2206" s="116">
        <v>4170.05</v>
      </c>
      <c r="F2206" s="116">
        <v>4143.05</v>
      </c>
      <c r="G2206">
        <v>1814</v>
      </c>
      <c r="H2206" s="116"/>
      <c r="I2206" s="116"/>
      <c r="L2206" s="170">
        <v>45880</v>
      </c>
      <c r="M2206" s="116">
        <v>4145.1000000000004</v>
      </c>
      <c r="N2206" s="116">
        <v>4198.3999999999996</v>
      </c>
      <c r="O2206" s="116">
        <v>4130</v>
      </c>
      <c r="P2206" s="116">
        <v>4190</v>
      </c>
      <c r="Q2206" s="116">
        <v>4145.1000000000004</v>
      </c>
      <c r="R2206">
        <v>46447</v>
      </c>
    </row>
    <row r="2207" spans="1:18" x14ac:dyDescent="0.25">
      <c r="A2207" s="170">
        <v>45881</v>
      </c>
      <c r="B2207" s="116">
        <v>4222.1000000000004</v>
      </c>
      <c r="C2207" s="116">
        <v>4185.7</v>
      </c>
      <c r="D2207" s="116">
        <v>4157</v>
      </c>
      <c r="E2207" s="116">
        <v>4161.1499999999996</v>
      </c>
      <c r="F2207" s="116">
        <v>4185.7</v>
      </c>
      <c r="G2207">
        <v>1280</v>
      </c>
      <c r="H2207" s="116"/>
      <c r="I2207" s="116"/>
      <c r="L2207" s="170">
        <v>45881</v>
      </c>
      <c r="M2207" s="116">
        <v>4188.8</v>
      </c>
      <c r="N2207" s="116">
        <v>4219</v>
      </c>
      <c r="O2207" s="116">
        <v>4144.6000000000004</v>
      </c>
      <c r="P2207" s="116">
        <v>4176.6000000000004</v>
      </c>
      <c r="Q2207" s="116">
        <v>4188.8</v>
      </c>
      <c r="R2207">
        <v>30204</v>
      </c>
    </row>
    <row r="2208" spans="1:18" x14ac:dyDescent="0.25">
      <c r="A2208" s="170">
        <v>45882</v>
      </c>
      <c r="B2208" s="116">
        <v>4298.3500000000004</v>
      </c>
      <c r="C2208" s="116">
        <v>4138.7</v>
      </c>
      <c r="D2208" s="116">
        <v>4128</v>
      </c>
      <c r="E2208" s="116">
        <v>4298.3500000000004</v>
      </c>
      <c r="F2208" s="116">
        <v>4138.7</v>
      </c>
      <c r="G2208">
        <v>1411</v>
      </c>
      <c r="H2208" s="116"/>
      <c r="I2208" s="116"/>
      <c r="L2208" s="170">
        <v>45882</v>
      </c>
      <c r="M2208" s="116">
        <v>4138.6000000000004</v>
      </c>
      <c r="N2208" s="116">
        <v>4235</v>
      </c>
      <c r="O2208" s="116">
        <v>4125</v>
      </c>
      <c r="P2208" s="116">
        <v>4220</v>
      </c>
      <c r="Q2208" s="116">
        <v>4138.6000000000004</v>
      </c>
      <c r="R2208">
        <v>41522</v>
      </c>
    </row>
    <row r="2209" spans="1:18" x14ac:dyDescent="0.25">
      <c r="A2209" s="170">
        <v>45883</v>
      </c>
      <c r="B2209" s="116">
        <v>4205.2</v>
      </c>
      <c r="C2209" s="116">
        <v>4151.7</v>
      </c>
      <c r="D2209" s="116">
        <v>4125.95</v>
      </c>
      <c r="E2209" s="116">
        <v>4125.95</v>
      </c>
      <c r="F2209" s="116">
        <v>4151.7</v>
      </c>
      <c r="G2209">
        <v>2049</v>
      </c>
      <c r="H2209" s="116"/>
      <c r="I2209" s="116"/>
      <c r="L2209" s="170">
        <v>45883</v>
      </c>
      <c r="M2209" s="116">
        <v>4153.8</v>
      </c>
      <c r="N2209" s="116">
        <v>4206.3</v>
      </c>
      <c r="O2209" s="116">
        <v>4139.3</v>
      </c>
      <c r="P2209" s="116">
        <v>4149</v>
      </c>
      <c r="Q2209" s="116">
        <v>4153.8</v>
      </c>
      <c r="R2209">
        <v>25528</v>
      </c>
    </row>
    <row r="2210" spans="1:18" x14ac:dyDescent="0.25">
      <c r="A2210" s="170">
        <v>45887</v>
      </c>
      <c r="B2210" s="116">
        <v>4186.05</v>
      </c>
      <c r="C2210" s="116">
        <v>4163.5</v>
      </c>
      <c r="D2210" s="116">
        <v>4154</v>
      </c>
      <c r="E2210" s="116">
        <v>4165.45</v>
      </c>
      <c r="F2210" s="116">
        <v>4163.5</v>
      </c>
      <c r="G2210">
        <v>1507</v>
      </c>
      <c r="H2210" s="116"/>
      <c r="I2210" s="116"/>
      <c r="L2210" s="170">
        <v>45887</v>
      </c>
      <c r="M2210" s="116">
        <v>4161.3999999999996</v>
      </c>
      <c r="N2210" s="116">
        <v>4198</v>
      </c>
      <c r="O2210" s="116">
        <v>4151.1000000000004</v>
      </c>
      <c r="P2210" s="116">
        <v>4198</v>
      </c>
      <c r="Q2210" s="116">
        <v>4161.3999999999996</v>
      </c>
      <c r="R2210">
        <v>22934</v>
      </c>
    </row>
    <row r="2211" spans="1:18" x14ac:dyDescent="0.25">
      <c r="A2211" s="170">
        <v>45888</v>
      </c>
      <c r="B2211" s="116">
        <v>4217</v>
      </c>
      <c r="C2211" s="116">
        <v>4173.1000000000004</v>
      </c>
      <c r="D2211" s="116">
        <v>4154.8</v>
      </c>
      <c r="E2211" s="116">
        <v>4191.45</v>
      </c>
      <c r="F2211" s="116">
        <v>4173.1000000000004</v>
      </c>
      <c r="G2211">
        <v>2663</v>
      </c>
      <c r="H2211" s="116"/>
      <c r="I2211" s="116"/>
      <c r="L2211" s="170">
        <v>45888</v>
      </c>
      <c r="M2211" s="116">
        <v>4173.2</v>
      </c>
      <c r="N2211" s="116">
        <v>4221.7</v>
      </c>
      <c r="O2211" s="116">
        <v>4148</v>
      </c>
      <c r="P2211" s="116">
        <v>4162</v>
      </c>
      <c r="Q2211" s="116">
        <v>4173.2</v>
      </c>
      <c r="R2211">
        <v>29718</v>
      </c>
    </row>
    <row r="2212" spans="1:18" x14ac:dyDescent="0.25">
      <c r="A2212" s="170">
        <v>45889</v>
      </c>
      <c r="B2212" s="116">
        <v>4265.75</v>
      </c>
      <c r="C2212" s="116">
        <v>4233.3</v>
      </c>
      <c r="D2212" s="116">
        <v>4158</v>
      </c>
      <c r="E2212" s="116">
        <v>4265.75</v>
      </c>
      <c r="F2212" s="116">
        <v>4233.3</v>
      </c>
      <c r="G2212">
        <v>5053</v>
      </c>
      <c r="H2212" s="116"/>
      <c r="I2212" s="116"/>
      <c r="L2212" s="170">
        <v>45889</v>
      </c>
      <c r="M2212" s="116">
        <v>4233.6000000000004</v>
      </c>
      <c r="N2212" s="116">
        <v>4246.8999999999996</v>
      </c>
      <c r="O2212" s="116">
        <v>4155</v>
      </c>
      <c r="P2212" s="116">
        <v>4161.2</v>
      </c>
      <c r="Q2212" s="116">
        <v>4233.6000000000004</v>
      </c>
      <c r="R2212">
        <v>65541</v>
      </c>
    </row>
    <row r="2213" spans="1:18" x14ac:dyDescent="0.25">
      <c r="A2213" s="170">
        <v>45890</v>
      </c>
      <c r="B2213" s="116">
        <v>4305</v>
      </c>
      <c r="C2213" s="116">
        <v>4294.8500000000004</v>
      </c>
      <c r="D2213" s="116">
        <v>4236.1000000000004</v>
      </c>
      <c r="E2213" s="116">
        <v>4242.1499999999996</v>
      </c>
      <c r="F2213" s="116">
        <v>4294.8500000000004</v>
      </c>
      <c r="G2213">
        <v>3535</v>
      </c>
      <c r="H2213" s="116"/>
      <c r="I2213" s="116"/>
      <c r="L2213" s="170">
        <v>45890</v>
      </c>
      <c r="M2213" s="116">
        <v>4289.5</v>
      </c>
      <c r="N2213" s="116">
        <v>4308</v>
      </c>
      <c r="O2213" s="116">
        <v>4235.8999999999996</v>
      </c>
      <c r="P2213" s="116">
        <v>4268</v>
      </c>
      <c r="Q2213" s="116">
        <v>4289.5</v>
      </c>
      <c r="R2213">
        <v>69313</v>
      </c>
    </row>
    <row r="2214" spans="1:18" x14ac:dyDescent="0.25">
      <c r="A2214" s="170">
        <v>45891</v>
      </c>
      <c r="B2214" s="116">
        <v>4311</v>
      </c>
      <c r="C2214" s="116">
        <v>4272.8999999999996</v>
      </c>
      <c r="D2214" s="116">
        <v>4234.1499999999996</v>
      </c>
      <c r="E2214" s="116">
        <v>4294.8500000000004</v>
      </c>
      <c r="F2214" s="116">
        <v>4272.8999999999996</v>
      </c>
      <c r="G2214">
        <v>3649</v>
      </c>
      <c r="H2214" s="116"/>
      <c r="I2214" s="116"/>
      <c r="L2214" s="170">
        <v>45891</v>
      </c>
      <c r="M2214" s="116">
        <v>4274.2</v>
      </c>
      <c r="N2214" s="116">
        <v>4315</v>
      </c>
      <c r="O2214" s="116">
        <v>4235.5</v>
      </c>
      <c r="P2214" s="116">
        <v>4289.6000000000004</v>
      </c>
      <c r="Q2214" s="116">
        <v>4274.2</v>
      </c>
      <c r="R2214">
        <v>26056</v>
      </c>
    </row>
    <row r="2215" spans="1:18" x14ac:dyDescent="0.25">
      <c r="A2215" s="170">
        <v>45894</v>
      </c>
      <c r="B2215" s="116">
        <v>4419</v>
      </c>
      <c r="C2215" s="116">
        <v>4375.6499999999996</v>
      </c>
      <c r="D2215" s="116">
        <v>4255.05</v>
      </c>
      <c r="E2215" s="116">
        <v>4255.05</v>
      </c>
      <c r="F2215" s="116">
        <v>4375.6499999999996</v>
      </c>
      <c r="G2215">
        <v>6165</v>
      </c>
      <c r="H2215" s="116"/>
      <c r="I2215" s="116"/>
      <c r="L2215" s="170">
        <v>45894</v>
      </c>
      <c r="M2215" s="116">
        <v>4376.7</v>
      </c>
      <c r="N2215" s="116">
        <v>4421</v>
      </c>
      <c r="O2215" s="116">
        <v>4278.3999999999996</v>
      </c>
      <c r="P2215" s="116">
        <v>4304</v>
      </c>
      <c r="Q2215" s="116">
        <v>4376.7</v>
      </c>
      <c r="R2215">
        <v>129354</v>
      </c>
    </row>
    <row r="2216" spans="1:18" x14ac:dyDescent="0.25">
      <c r="A2216" s="170">
        <v>45895</v>
      </c>
      <c r="B2216" s="116">
        <v>4400.2</v>
      </c>
      <c r="C2216" s="116">
        <v>4324.8999999999996</v>
      </c>
      <c r="D2216" s="116">
        <v>4307</v>
      </c>
      <c r="E2216" s="116">
        <v>4400.2</v>
      </c>
      <c r="F2216" s="116">
        <v>4324.8999999999996</v>
      </c>
      <c r="G2216">
        <v>1918</v>
      </c>
      <c r="H2216" s="116"/>
      <c r="I2216" s="116"/>
      <c r="L2216" s="170">
        <v>45895</v>
      </c>
      <c r="M2216" s="116">
        <v>4325</v>
      </c>
      <c r="N2216" s="116">
        <v>4369.8999999999996</v>
      </c>
      <c r="O2216" s="116">
        <v>4303.8</v>
      </c>
      <c r="P2216" s="116">
        <v>4360</v>
      </c>
      <c r="Q2216" s="116">
        <v>4325</v>
      </c>
      <c r="R2216">
        <v>65907</v>
      </c>
    </row>
    <row r="2217" spans="1:18" x14ac:dyDescent="0.25">
      <c r="A2217" s="170">
        <v>45897</v>
      </c>
      <c r="B2217" s="116">
        <v>4323.8</v>
      </c>
      <c r="C2217" s="116">
        <v>4225.8500000000004</v>
      </c>
      <c r="D2217" s="116">
        <v>4206.45</v>
      </c>
      <c r="E2217" s="116">
        <v>4284.3500000000004</v>
      </c>
      <c r="F2217" s="116">
        <v>4225.8500000000004</v>
      </c>
      <c r="G2217">
        <v>1372</v>
      </c>
      <c r="H2217" s="116"/>
      <c r="I2217" s="116"/>
      <c r="L2217" s="170">
        <v>45897</v>
      </c>
      <c r="M2217" s="116">
        <v>4226.3</v>
      </c>
      <c r="N2217" s="116">
        <v>4324.8999999999996</v>
      </c>
      <c r="O2217" s="116">
        <v>4206.1000000000004</v>
      </c>
      <c r="P2217" s="116">
        <v>4300</v>
      </c>
      <c r="Q2217" s="116">
        <v>4226.3</v>
      </c>
      <c r="R2217">
        <v>38258</v>
      </c>
    </row>
    <row r="2218" spans="1:18" x14ac:dyDescent="0.25">
      <c r="A2218" s="170">
        <v>45898</v>
      </c>
      <c r="B2218" s="116">
        <v>4309.5</v>
      </c>
      <c r="C2218" s="116">
        <v>4223</v>
      </c>
      <c r="D2218" s="116">
        <v>4201</v>
      </c>
      <c r="E2218" s="116">
        <v>4309.5</v>
      </c>
      <c r="F2218" s="116">
        <v>4223</v>
      </c>
      <c r="G2218">
        <v>931</v>
      </c>
      <c r="H2218" s="116"/>
      <c r="I2218" s="116"/>
      <c r="L2218" s="170">
        <v>45898</v>
      </c>
      <c r="M2218" s="116">
        <v>4223.5</v>
      </c>
      <c r="N2218" s="116">
        <v>4267.1000000000004</v>
      </c>
      <c r="O2218" s="116">
        <v>4202</v>
      </c>
      <c r="P2218" s="116">
        <v>4249</v>
      </c>
      <c r="Q2218" s="116">
        <v>4223.5</v>
      </c>
      <c r="R2218">
        <v>28840</v>
      </c>
    </row>
    <row r="2219" spans="1:18" x14ac:dyDescent="0.25">
      <c r="A2219" s="170">
        <v>45901</v>
      </c>
      <c r="B2219" s="116">
        <v>4275</v>
      </c>
      <c r="C2219" s="116">
        <v>4243.05</v>
      </c>
      <c r="D2219" s="116">
        <v>4223</v>
      </c>
      <c r="E2219" s="116">
        <v>4223</v>
      </c>
      <c r="F2219" s="116">
        <v>4243.05</v>
      </c>
      <c r="G2219">
        <v>1179</v>
      </c>
      <c r="H2219" s="116"/>
      <c r="I2219" s="116"/>
      <c r="L2219" s="170">
        <v>45901</v>
      </c>
      <c r="M2219" s="116">
        <v>4244</v>
      </c>
      <c r="N2219" s="116">
        <v>4281.6000000000004</v>
      </c>
      <c r="O2219" s="116">
        <v>4216.5</v>
      </c>
      <c r="P2219" s="116">
        <v>4216.5</v>
      </c>
      <c r="Q2219" s="116">
        <v>4244</v>
      </c>
      <c r="R2219">
        <v>23010</v>
      </c>
    </row>
    <row r="2220" spans="1:18" x14ac:dyDescent="0.25">
      <c r="A2220" s="170">
        <v>45902</v>
      </c>
      <c r="B2220" s="116">
        <v>4264.25</v>
      </c>
      <c r="C2220" s="116">
        <v>4204</v>
      </c>
      <c r="D2220" s="116">
        <v>4195.05</v>
      </c>
      <c r="E2220" s="116">
        <v>4264.25</v>
      </c>
      <c r="F2220" s="116">
        <v>4204</v>
      </c>
      <c r="G2220">
        <v>2117</v>
      </c>
      <c r="H2220" s="116"/>
      <c r="I2220" s="116"/>
      <c r="L2220" s="170">
        <v>45902</v>
      </c>
      <c r="M2220" s="116">
        <v>4206.8999999999996</v>
      </c>
      <c r="N2220" s="116">
        <v>4258.5</v>
      </c>
      <c r="O2220" s="116">
        <v>4192.3999999999996</v>
      </c>
      <c r="P2220" s="116">
        <v>4240</v>
      </c>
      <c r="Q2220" s="116">
        <v>4206.8999999999996</v>
      </c>
      <c r="R2220">
        <v>49531</v>
      </c>
    </row>
    <row r="2221" spans="1:18" x14ac:dyDescent="0.25">
      <c r="A2221" s="170">
        <v>45903</v>
      </c>
      <c r="B2221" s="116">
        <v>4246.95</v>
      </c>
      <c r="C2221" s="116">
        <v>4194.6000000000004</v>
      </c>
      <c r="D2221" s="116">
        <v>4182</v>
      </c>
      <c r="E2221" s="116">
        <v>4246.95</v>
      </c>
      <c r="F2221" s="116">
        <v>4194.6000000000004</v>
      </c>
      <c r="G2221">
        <v>1301</v>
      </c>
      <c r="H2221" s="116"/>
      <c r="I2221" s="116"/>
      <c r="L2221" s="170">
        <v>45903</v>
      </c>
      <c r="M2221" s="116">
        <v>4195.3999999999996</v>
      </c>
      <c r="N2221" s="116">
        <v>4219.3999999999996</v>
      </c>
      <c r="O2221" s="116">
        <v>4181.2</v>
      </c>
      <c r="P2221" s="116">
        <v>4217</v>
      </c>
      <c r="Q2221" s="116">
        <v>4195.3999999999996</v>
      </c>
      <c r="R2221">
        <v>129059</v>
      </c>
    </row>
    <row r="2222" spans="1:18" x14ac:dyDescent="0.25">
      <c r="A2222" s="170">
        <v>45904</v>
      </c>
      <c r="B2222" s="116">
        <v>4253.8999999999996</v>
      </c>
      <c r="C2222" s="116">
        <v>4171.75</v>
      </c>
      <c r="D2222" s="116">
        <v>4160</v>
      </c>
      <c r="E2222" s="116">
        <v>4226.95</v>
      </c>
      <c r="F2222" s="116">
        <v>4171.75</v>
      </c>
      <c r="G2222">
        <v>1388</v>
      </c>
      <c r="H2222" s="116"/>
      <c r="I2222" s="116"/>
      <c r="L2222" s="170">
        <v>45904</v>
      </c>
      <c r="M2222" s="116">
        <v>4173</v>
      </c>
      <c r="N2222" s="116">
        <v>4250</v>
      </c>
      <c r="O2222" s="116">
        <v>4160</v>
      </c>
      <c r="P2222" s="116">
        <v>4234</v>
      </c>
      <c r="Q2222" s="116">
        <v>4173</v>
      </c>
      <c r="R2222">
        <v>40031</v>
      </c>
    </row>
    <row r="2223" spans="1:18" x14ac:dyDescent="0.25">
      <c r="A2223" s="170">
        <v>45905</v>
      </c>
      <c r="B2223" s="116">
        <v>4244.05</v>
      </c>
      <c r="C2223" s="116">
        <v>4120.6000000000004</v>
      </c>
      <c r="D2223" s="116">
        <v>4090.1</v>
      </c>
      <c r="E2223" s="116">
        <v>4244.05</v>
      </c>
      <c r="F2223" s="116">
        <v>4120.6000000000004</v>
      </c>
      <c r="G2223">
        <v>28323</v>
      </c>
      <c r="H2223" s="116"/>
      <c r="I2223" s="116"/>
      <c r="L2223" s="170">
        <v>45905</v>
      </c>
      <c r="M2223" s="116">
        <v>4120.6000000000004</v>
      </c>
      <c r="N2223" s="116">
        <v>4198</v>
      </c>
      <c r="O2223" s="116">
        <v>4090</v>
      </c>
      <c r="P2223" s="116">
        <v>4198</v>
      </c>
      <c r="Q2223" s="116">
        <v>4120.6000000000004</v>
      </c>
      <c r="R2223">
        <v>87337</v>
      </c>
    </row>
    <row r="2224" spans="1:18" x14ac:dyDescent="0.25">
      <c r="A2224" s="170">
        <v>45908</v>
      </c>
      <c r="B2224" s="116">
        <v>4150</v>
      </c>
      <c r="C2224" s="116">
        <v>4099.3999999999996</v>
      </c>
      <c r="D2224" s="116">
        <v>4085.05</v>
      </c>
      <c r="E2224" s="116">
        <v>4135.1000000000004</v>
      </c>
      <c r="F2224" s="116">
        <v>4099.3999999999996</v>
      </c>
      <c r="G2224">
        <v>4142</v>
      </c>
      <c r="H2224" s="116"/>
      <c r="I2224" s="116"/>
      <c r="L2224" s="170">
        <v>45908</v>
      </c>
      <c r="M2224" s="116">
        <v>4100.3999999999996</v>
      </c>
      <c r="N2224" s="116">
        <v>4152.7</v>
      </c>
      <c r="O2224" s="116">
        <v>4084.9</v>
      </c>
      <c r="P2224" s="116">
        <v>4149</v>
      </c>
      <c r="Q2224" s="116">
        <v>4100.3999999999996</v>
      </c>
      <c r="R2224">
        <v>70785</v>
      </c>
    </row>
    <row r="2225" spans="1:18" x14ac:dyDescent="0.25">
      <c r="A2225" s="170">
        <v>45909</v>
      </c>
      <c r="B2225" s="116">
        <v>4147.8</v>
      </c>
      <c r="C2225" s="116">
        <v>4101.6000000000004</v>
      </c>
      <c r="D2225" s="116">
        <v>4080.05</v>
      </c>
      <c r="E2225" s="116">
        <v>4080.25</v>
      </c>
      <c r="F2225" s="116">
        <v>4101.6000000000004</v>
      </c>
      <c r="G2225">
        <v>143998</v>
      </c>
      <c r="H2225" s="116"/>
      <c r="I2225" s="116"/>
      <c r="L2225" s="170">
        <v>45909</v>
      </c>
      <c r="M2225" s="116">
        <v>4097.6000000000004</v>
      </c>
      <c r="N2225" s="116">
        <v>4149.3</v>
      </c>
      <c r="O2225" s="116">
        <v>4081</v>
      </c>
      <c r="P2225" s="116">
        <v>4100.3</v>
      </c>
      <c r="Q2225" s="116">
        <v>4097.6000000000004</v>
      </c>
      <c r="R2225">
        <v>57759</v>
      </c>
    </row>
    <row r="2226" spans="1:18" x14ac:dyDescent="0.25">
      <c r="A2226" s="170">
        <v>45910</v>
      </c>
      <c r="B2226" s="116">
        <v>4252</v>
      </c>
      <c r="C2226" s="116">
        <v>4206.8500000000004</v>
      </c>
      <c r="D2226" s="116">
        <v>4115</v>
      </c>
      <c r="E2226" s="116">
        <v>4140</v>
      </c>
      <c r="F2226" s="116">
        <v>4206.8500000000004</v>
      </c>
      <c r="G2226">
        <v>7961</v>
      </c>
      <c r="H2226" s="116"/>
      <c r="I2226" s="116"/>
      <c r="L2226" s="170">
        <v>45910</v>
      </c>
      <c r="M2226" s="116">
        <v>4205.8999999999996</v>
      </c>
      <c r="N2226" s="116">
        <v>4252</v>
      </c>
      <c r="O2226" s="116">
        <v>4121.3999999999996</v>
      </c>
      <c r="P2226" s="116">
        <v>4138</v>
      </c>
      <c r="Q2226" s="116">
        <v>4205.8999999999996</v>
      </c>
      <c r="R2226">
        <v>92480</v>
      </c>
    </row>
    <row r="2227" spans="1:18" x14ac:dyDescent="0.25">
      <c r="A2227" s="170">
        <v>45911</v>
      </c>
      <c r="B2227" s="116">
        <v>4241</v>
      </c>
      <c r="C2227" s="116">
        <v>4207</v>
      </c>
      <c r="D2227" s="116">
        <v>4196</v>
      </c>
      <c r="E2227" s="116">
        <v>4206.8500000000004</v>
      </c>
      <c r="F2227" s="116">
        <v>4207</v>
      </c>
      <c r="G2227">
        <v>3025</v>
      </c>
      <c r="H2227" s="116"/>
      <c r="I2227" s="116"/>
      <c r="L2227" s="170">
        <v>45911</v>
      </c>
      <c r="M2227" s="116">
        <v>4206.2</v>
      </c>
      <c r="N2227" s="116">
        <v>4241.3999999999996</v>
      </c>
      <c r="O2227" s="116">
        <v>4194.8999999999996</v>
      </c>
      <c r="P2227" s="116">
        <v>4208</v>
      </c>
      <c r="Q2227" s="116">
        <v>4206.2</v>
      </c>
      <c r="R2227">
        <v>26241</v>
      </c>
    </row>
    <row r="2228" spans="1:18" x14ac:dyDescent="0.25">
      <c r="A2228" s="170">
        <v>45912</v>
      </c>
      <c r="B2228" s="116">
        <v>4240.3500000000004</v>
      </c>
      <c r="C2228" s="116">
        <v>4218.1000000000004</v>
      </c>
      <c r="D2228" s="116">
        <v>4180.6499999999996</v>
      </c>
      <c r="E2228" s="116">
        <v>4200.1499999999996</v>
      </c>
      <c r="F2228" s="116">
        <v>4218.1000000000004</v>
      </c>
      <c r="G2228">
        <v>3778</v>
      </c>
      <c r="H2228" s="116"/>
      <c r="I2228" s="116"/>
      <c r="L2228" s="170">
        <v>45912</v>
      </c>
      <c r="M2228" s="116">
        <v>4216.6000000000004</v>
      </c>
      <c r="N2228" s="116">
        <v>4237.5</v>
      </c>
      <c r="O2228" s="116">
        <v>4180</v>
      </c>
      <c r="P2228" s="116">
        <v>4213</v>
      </c>
      <c r="Q2228" s="116">
        <v>4216.6000000000004</v>
      </c>
      <c r="R2228">
        <v>35495</v>
      </c>
    </row>
    <row r="2229" spans="1:18" x14ac:dyDescent="0.25">
      <c r="A2229" s="170">
        <v>45915</v>
      </c>
      <c r="B2229" s="116">
        <v>4231.2</v>
      </c>
      <c r="C2229" s="116">
        <v>4191.3500000000004</v>
      </c>
      <c r="D2229" s="116">
        <v>4185</v>
      </c>
      <c r="E2229" s="116">
        <v>4215.55</v>
      </c>
      <c r="F2229" s="116">
        <v>4191.3500000000004</v>
      </c>
      <c r="G2229">
        <v>3520</v>
      </c>
      <c r="H2229" s="116"/>
      <c r="I2229" s="116"/>
      <c r="L2229" s="170">
        <v>45915</v>
      </c>
      <c r="M2229" s="116">
        <v>4191.2</v>
      </c>
      <c r="N2229" s="116">
        <v>4235</v>
      </c>
      <c r="O2229" s="116">
        <v>4185</v>
      </c>
      <c r="P2229" s="116">
        <v>4225</v>
      </c>
      <c r="Q2229" s="116">
        <v>4191.2</v>
      </c>
      <c r="R2229">
        <v>22436</v>
      </c>
    </row>
    <row r="2230" spans="1:18" x14ac:dyDescent="0.25">
      <c r="A2230" s="170">
        <v>45916</v>
      </c>
      <c r="B2230" s="116">
        <v>4280</v>
      </c>
      <c r="C2230" s="116">
        <v>4262.05</v>
      </c>
      <c r="D2230" s="116">
        <v>4184</v>
      </c>
      <c r="E2230" s="116">
        <v>4228.8</v>
      </c>
      <c r="F2230" s="116">
        <v>4262.05</v>
      </c>
      <c r="G2230">
        <v>4620</v>
      </c>
      <c r="H2230" s="116"/>
      <c r="I2230" s="116"/>
      <c r="L2230" s="170">
        <v>45916</v>
      </c>
      <c r="M2230" s="116">
        <v>4261.7</v>
      </c>
      <c r="N2230" s="116">
        <v>4278</v>
      </c>
      <c r="O2230" s="116">
        <v>4182.5</v>
      </c>
      <c r="P2230" s="116">
        <v>4210</v>
      </c>
      <c r="Q2230" s="116">
        <v>4261.7</v>
      </c>
      <c r="R2230">
        <v>40905</v>
      </c>
    </row>
    <row r="2231" spans="1:18" x14ac:dyDescent="0.25">
      <c r="A2231" s="170">
        <v>45917</v>
      </c>
      <c r="B2231" s="116">
        <v>4322.25</v>
      </c>
      <c r="C2231" s="116">
        <v>4286.6000000000004</v>
      </c>
      <c r="D2231" s="116">
        <v>4261.1000000000004</v>
      </c>
      <c r="E2231" s="116">
        <v>4266.45</v>
      </c>
      <c r="F2231" s="116">
        <v>4286.6000000000004</v>
      </c>
      <c r="G2231">
        <v>3642</v>
      </c>
      <c r="H2231" s="116"/>
      <c r="I2231" s="116"/>
      <c r="L2231" s="170">
        <v>45917</v>
      </c>
      <c r="M2231" s="116">
        <v>4288</v>
      </c>
      <c r="N2231" s="116">
        <v>4319.7</v>
      </c>
      <c r="O2231" s="116">
        <v>4255</v>
      </c>
      <c r="P2231" s="116">
        <v>4287</v>
      </c>
      <c r="Q2231" s="116">
        <v>4288</v>
      </c>
      <c r="R2231">
        <v>64113</v>
      </c>
    </row>
    <row r="2232" spans="1:18" x14ac:dyDescent="0.25">
      <c r="A2232" s="170">
        <v>45918</v>
      </c>
      <c r="B2232" s="116">
        <v>4499</v>
      </c>
      <c r="C2232" s="116">
        <v>4395.2</v>
      </c>
      <c r="D2232" s="116">
        <v>4320</v>
      </c>
      <c r="E2232" s="116">
        <v>4332.75</v>
      </c>
      <c r="F2232" s="116">
        <v>4395.2</v>
      </c>
      <c r="G2232">
        <v>21183</v>
      </c>
      <c r="H2232" s="116"/>
      <c r="I2232" s="116"/>
      <c r="L2232" s="170">
        <v>45918</v>
      </c>
      <c r="M2232" s="116">
        <v>4392.3999999999996</v>
      </c>
      <c r="N2232" s="116">
        <v>4497</v>
      </c>
      <c r="O2232" s="116">
        <v>4304</v>
      </c>
      <c r="P2232" s="116">
        <v>4304</v>
      </c>
      <c r="Q2232" s="116">
        <v>4392.3999999999996</v>
      </c>
      <c r="R2232">
        <v>383861</v>
      </c>
    </row>
    <row r="2233" spans="1:18" x14ac:dyDescent="0.25">
      <c r="A2233" s="170">
        <v>45919</v>
      </c>
      <c r="B2233" s="116">
        <v>4412.1000000000004</v>
      </c>
      <c r="C2233" s="116">
        <v>4347.45</v>
      </c>
      <c r="D2233" s="116">
        <v>4329.8999999999996</v>
      </c>
      <c r="E2233" s="116">
        <v>4395</v>
      </c>
      <c r="F2233" s="116">
        <v>4347.45</v>
      </c>
      <c r="G2233">
        <v>3978</v>
      </c>
      <c r="H2233" s="116"/>
      <c r="I2233" s="116"/>
      <c r="L2233" s="170">
        <v>45919</v>
      </c>
      <c r="M2233" s="116">
        <v>4345.3999999999996</v>
      </c>
      <c r="N2233" s="116">
        <v>4414.3999999999996</v>
      </c>
      <c r="O2233" s="116">
        <v>4328.2</v>
      </c>
      <c r="P2233" s="116">
        <v>4395</v>
      </c>
      <c r="Q2233" s="116">
        <v>4345.3999999999996</v>
      </c>
      <c r="R2233">
        <v>53493</v>
      </c>
    </row>
    <row r="2234" spans="1:18" x14ac:dyDescent="0.25">
      <c r="A2234" s="170">
        <v>45922</v>
      </c>
      <c r="B2234" s="116">
        <v>4299.95</v>
      </c>
      <c r="C2234" s="116">
        <v>4201.6000000000004</v>
      </c>
      <c r="D2234" s="116">
        <v>4173.5</v>
      </c>
      <c r="E2234" s="116">
        <v>4253.2</v>
      </c>
      <c r="F2234" s="116">
        <v>4201.6000000000004</v>
      </c>
      <c r="G2234">
        <v>9221</v>
      </c>
      <c r="H2234" s="116"/>
      <c r="I2234" s="116"/>
      <c r="L2234" s="170">
        <v>45922</v>
      </c>
      <c r="M2234" s="116">
        <v>4192.2</v>
      </c>
      <c r="N2234" s="116">
        <v>4295.8</v>
      </c>
      <c r="O2234" s="116">
        <v>4040</v>
      </c>
      <c r="P2234" s="116">
        <v>4269.8999999999996</v>
      </c>
      <c r="Q2234" s="116">
        <v>4192.2</v>
      </c>
      <c r="R2234">
        <v>113444</v>
      </c>
    </row>
    <row r="2235" spans="1:18" x14ac:dyDescent="0.25">
      <c r="A2235" s="170">
        <v>45923</v>
      </c>
      <c r="B2235" s="116">
        <v>4220.8500000000004</v>
      </c>
      <c r="C2235" s="116">
        <v>4195.3</v>
      </c>
      <c r="D2235" s="116">
        <v>4166.2</v>
      </c>
      <c r="E2235" s="116">
        <v>4201.6499999999996</v>
      </c>
      <c r="F2235" s="116">
        <v>4195.3</v>
      </c>
      <c r="G2235">
        <v>6058</v>
      </c>
      <c r="H2235" s="116"/>
      <c r="I2235" s="116"/>
      <c r="L2235" s="170">
        <v>45923</v>
      </c>
      <c r="M2235" s="116">
        <v>4190</v>
      </c>
      <c r="N2235" s="116">
        <v>4220</v>
      </c>
      <c r="O2235" s="116">
        <v>4165.3</v>
      </c>
      <c r="P2235" s="116">
        <v>4212.3999999999996</v>
      </c>
      <c r="Q2235" s="116">
        <v>4190</v>
      </c>
      <c r="R2235">
        <v>49064</v>
      </c>
    </row>
    <row r="2236" spans="1:18" x14ac:dyDescent="0.25">
      <c r="A2236" s="170">
        <v>45924</v>
      </c>
      <c r="B2236" s="116">
        <v>4219.3500000000004</v>
      </c>
      <c r="C2236" s="116">
        <v>4188.55</v>
      </c>
      <c r="D2236" s="116">
        <v>4174.45</v>
      </c>
      <c r="E2236" s="116">
        <v>4176.05</v>
      </c>
      <c r="F2236" s="116">
        <v>4188.55</v>
      </c>
      <c r="G2236">
        <v>3861</v>
      </c>
      <c r="H2236" s="116"/>
      <c r="I2236" s="116"/>
      <c r="L2236" s="170">
        <v>45924</v>
      </c>
      <c r="M2236" s="116">
        <v>4183.1000000000004</v>
      </c>
      <c r="N2236" s="116">
        <v>4218.8999999999996</v>
      </c>
      <c r="O2236" s="116">
        <v>4170.5</v>
      </c>
      <c r="P2236" s="116">
        <v>4190</v>
      </c>
      <c r="Q2236" s="116">
        <v>4183.1000000000004</v>
      </c>
      <c r="R2236">
        <v>31700</v>
      </c>
    </row>
    <row r="2237" spans="1:18" x14ac:dyDescent="0.25">
      <c r="A2237" s="170">
        <v>45925</v>
      </c>
      <c r="B2237" s="116">
        <v>4192.3999999999996</v>
      </c>
      <c r="C2237" s="116">
        <v>4115.05</v>
      </c>
      <c r="D2237" s="116">
        <v>4096.1499999999996</v>
      </c>
      <c r="E2237" s="116">
        <v>4185</v>
      </c>
      <c r="F2237" s="116">
        <v>4115.05</v>
      </c>
      <c r="G2237">
        <v>5526</v>
      </c>
      <c r="H2237" s="116"/>
      <c r="I2237" s="116"/>
      <c r="L2237" s="170">
        <v>45925</v>
      </c>
      <c r="M2237" s="116">
        <v>4120.8</v>
      </c>
      <c r="N2237" s="116">
        <v>4195.8</v>
      </c>
      <c r="O2237" s="116">
        <v>4061.6</v>
      </c>
      <c r="P2237" s="116">
        <v>4183.2</v>
      </c>
      <c r="Q2237" s="116">
        <v>4120.8</v>
      </c>
      <c r="R2237">
        <v>50508</v>
      </c>
    </row>
    <row r="2238" spans="1:18" x14ac:dyDescent="0.25">
      <c r="A2238" s="170">
        <v>45926</v>
      </c>
      <c r="B2238" s="116">
        <v>4129.95</v>
      </c>
      <c r="C2238" s="116">
        <v>4061.05</v>
      </c>
      <c r="D2238" s="116">
        <v>4037.35</v>
      </c>
      <c r="E2238" s="116">
        <v>4129.95</v>
      </c>
      <c r="F2238" s="116">
        <v>4061.05</v>
      </c>
      <c r="G2238">
        <v>2692</v>
      </c>
      <c r="H2238" s="116"/>
      <c r="I2238" s="116"/>
      <c r="L2238" s="170">
        <v>45926</v>
      </c>
      <c r="M2238" s="116">
        <v>4058.9</v>
      </c>
      <c r="N2238" s="116">
        <v>4120.8</v>
      </c>
      <c r="O2238" s="116">
        <v>4034.1</v>
      </c>
      <c r="P2238" s="116">
        <v>4120.8</v>
      </c>
      <c r="Q2238" s="116">
        <v>4058.9</v>
      </c>
      <c r="R2238">
        <v>37163</v>
      </c>
    </row>
    <row r="2239" spans="1:18" x14ac:dyDescent="0.25">
      <c r="A2239" s="170">
        <v>45929</v>
      </c>
      <c r="B2239" s="116">
        <v>4101.7</v>
      </c>
      <c r="C2239" s="116">
        <v>3989.1</v>
      </c>
      <c r="D2239" s="116">
        <v>3970</v>
      </c>
      <c r="E2239" s="116">
        <v>4070.95</v>
      </c>
      <c r="F2239" s="116">
        <v>3989.1</v>
      </c>
      <c r="G2239">
        <v>3981</v>
      </c>
      <c r="H2239" s="116"/>
      <c r="I2239" s="116"/>
      <c r="L2239" s="170">
        <v>45929</v>
      </c>
      <c r="M2239" s="116">
        <v>3987.1</v>
      </c>
      <c r="N2239" s="116">
        <v>4117.7</v>
      </c>
      <c r="O2239" s="116">
        <v>3951.3</v>
      </c>
      <c r="P2239" s="116">
        <v>4066</v>
      </c>
      <c r="Q2239" s="116">
        <v>3987.1</v>
      </c>
      <c r="R2239">
        <v>64298</v>
      </c>
    </row>
    <row r="2240" spans="1:18" x14ac:dyDescent="0.25">
      <c r="A2240" s="170">
        <v>45930</v>
      </c>
      <c r="B2240" s="116">
        <v>4124.95</v>
      </c>
      <c r="C2240" s="116">
        <v>4114.3</v>
      </c>
      <c r="D2240" s="116">
        <v>3985.7</v>
      </c>
      <c r="E2240" s="116">
        <v>3990.45</v>
      </c>
      <c r="F2240" s="116">
        <v>4114.3</v>
      </c>
      <c r="G2240">
        <v>5241</v>
      </c>
      <c r="H2240" s="116"/>
      <c r="I2240" s="116"/>
      <c r="L2240" s="170">
        <v>45930</v>
      </c>
      <c r="M2240" s="116">
        <v>4113.8999999999996</v>
      </c>
      <c r="N2240" s="116">
        <v>4129.8999999999996</v>
      </c>
      <c r="O2240" s="116">
        <v>3985</v>
      </c>
      <c r="P2240" s="116">
        <v>3989.9</v>
      </c>
      <c r="Q2240" s="116">
        <v>4113.8999999999996</v>
      </c>
      <c r="R2240">
        <v>72509</v>
      </c>
    </row>
    <row r="2241" spans="1:18" x14ac:dyDescent="0.25">
      <c r="A2241" s="170">
        <v>45931</v>
      </c>
      <c r="B2241" s="116">
        <v>4191</v>
      </c>
      <c r="C2241" s="116">
        <v>4185.1000000000004</v>
      </c>
      <c r="D2241" s="116">
        <v>4105.5</v>
      </c>
      <c r="E2241" s="116">
        <v>4145</v>
      </c>
      <c r="F2241" s="116">
        <v>4185.1000000000004</v>
      </c>
      <c r="G2241">
        <v>3889</v>
      </c>
      <c r="H2241" s="116"/>
      <c r="I2241" s="116"/>
      <c r="L2241" s="170">
        <v>45931</v>
      </c>
      <c r="M2241" s="116">
        <v>4186.7</v>
      </c>
      <c r="N2241" s="116">
        <v>4196</v>
      </c>
      <c r="O2241" s="116">
        <v>4105.5</v>
      </c>
      <c r="P2241" s="116">
        <v>4150</v>
      </c>
      <c r="Q2241" s="116">
        <v>4186.7</v>
      </c>
      <c r="R2241">
        <v>58285</v>
      </c>
    </row>
    <row r="2242" spans="1:18" x14ac:dyDescent="0.25">
      <c r="A2242" s="170">
        <v>45933</v>
      </c>
      <c r="B2242" s="116">
        <v>4297.45</v>
      </c>
      <c r="C2242" s="116">
        <v>4286.95</v>
      </c>
      <c r="D2242" s="116">
        <v>4167.05</v>
      </c>
      <c r="E2242" s="116">
        <v>4217.8999999999996</v>
      </c>
      <c r="F2242" s="116">
        <v>4286.95</v>
      </c>
      <c r="G2242">
        <v>4889</v>
      </c>
      <c r="H2242" s="116"/>
      <c r="I2242" s="116"/>
      <c r="L2242" s="170">
        <v>45933</v>
      </c>
      <c r="M2242" s="116">
        <v>4289.7</v>
      </c>
      <c r="N2242" s="116">
        <v>4296.3999999999996</v>
      </c>
      <c r="O2242" s="116">
        <v>4166.8</v>
      </c>
      <c r="P2242" s="116">
        <v>4190</v>
      </c>
      <c r="Q2242" s="116">
        <v>4289.7</v>
      </c>
      <c r="R2242">
        <v>51998</v>
      </c>
    </row>
    <row r="2243" spans="1:18" x14ac:dyDescent="0.25">
      <c r="A2243" s="170">
        <v>45936</v>
      </c>
      <c r="B2243" s="116">
        <v>4329.8999999999996</v>
      </c>
      <c r="C2243" s="116">
        <v>4297.7</v>
      </c>
      <c r="D2243" s="116">
        <v>4239</v>
      </c>
      <c r="E2243" s="116">
        <v>4327.5</v>
      </c>
      <c r="F2243" s="116">
        <v>4297.7</v>
      </c>
      <c r="G2243">
        <v>2569</v>
      </c>
      <c r="H2243" s="116"/>
      <c r="I2243" s="116"/>
      <c r="L2243" s="170">
        <v>45936</v>
      </c>
      <c r="M2243" s="116">
        <v>4300.8</v>
      </c>
      <c r="N2243" s="116">
        <v>4329</v>
      </c>
      <c r="O2243" s="116">
        <v>4235</v>
      </c>
      <c r="P2243" s="116">
        <v>4289.7</v>
      </c>
      <c r="Q2243" s="116">
        <v>4300.8</v>
      </c>
      <c r="R2243">
        <v>46276</v>
      </c>
    </row>
    <row r="2244" spans="1:18" x14ac:dyDescent="0.25">
      <c r="A2244" s="170">
        <v>45937</v>
      </c>
      <c r="B2244" s="116">
        <v>4311</v>
      </c>
      <c r="C2244" s="116">
        <v>4300.75</v>
      </c>
      <c r="D2244" s="116">
        <v>4240.3999999999996</v>
      </c>
      <c r="E2244" s="116">
        <v>4240.3999999999996</v>
      </c>
      <c r="F2244" s="116">
        <v>4300.75</v>
      </c>
      <c r="G2244">
        <v>1192</v>
      </c>
      <c r="H2244" s="116"/>
      <c r="I2244" s="116"/>
      <c r="L2244" s="170">
        <v>45937</v>
      </c>
      <c r="M2244" s="116">
        <v>4302</v>
      </c>
      <c r="N2244" s="116">
        <v>4320.8999999999996</v>
      </c>
      <c r="O2244" s="116">
        <v>4260.1000000000004</v>
      </c>
      <c r="P2244" s="116">
        <v>4314</v>
      </c>
      <c r="Q2244" s="116">
        <v>4302</v>
      </c>
      <c r="R2244">
        <v>33833</v>
      </c>
    </row>
    <row r="2245" spans="1:18" x14ac:dyDescent="0.25">
      <c r="A2245" s="170">
        <v>45938</v>
      </c>
      <c r="B2245" s="116">
        <v>4328.95</v>
      </c>
      <c r="C2245" s="116">
        <v>4234.7</v>
      </c>
      <c r="D2245" s="116">
        <v>4219.1499999999996</v>
      </c>
      <c r="E2245" s="116">
        <v>4231.3999999999996</v>
      </c>
      <c r="F2245" s="116">
        <v>4234.7</v>
      </c>
      <c r="G2245">
        <v>2161</v>
      </c>
      <c r="H2245" s="116"/>
      <c r="I2245" s="116"/>
      <c r="L2245" s="170">
        <v>45938</v>
      </c>
      <c r="M2245" s="116">
        <v>4231.5</v>
      </c>
      <c r="N2245" s="116">
        <v>4331.5</v>
      </c>
      <c r="O2245" s="116">
        <v>4215.8</v>
      </c>
      <c r="P2245" s="116">
        <v>4300</v>
      </c>
      <c r="Q2245" s="116">
        <v>4231.5</v>
      </c>
      <c r="R2245">
        <v>51468</v>
      </c>
    </row>
    <row r="2246" spans="1:18" x14ac:dyDescent="0.25">
      <c r="A2246" s="170">
        <v>45939</v>
      </c>
      <c r="B2246" s="116">
        <v>4282</v>
      </c>
      <c r="C2246" s="116">
        <v>4270.75</v>
      </c>
      <c r="D2246" s="116">
        <v>4210</v>
      </c>
      <c r="E2246" s="116">
        <v>4210.75</v>
      </c>
      <c r="F2246" s="116">
        <v>4270.75</v>
      </c>
      <c r="G2246">
        <v>2755</v>
      </c>
      <c r="H2246" s="116"/>
      <c r="I2246" s="116"/>
      <c r="L2246" s="170">
        <v>45939</v>
      </c>
      <c r="M2246" s="116">
        <v>4274.6000000000004</v>
      </c>
      <c r="N2246" s="116">
        <v>4284.3999999999996</v>
      </c>
      <c r="O2246" s="116">
        <v>4209.3</v>
      </c>
      <c r="P2246" s="116">
        <v>4230</v>
      </c>
      <c r="Q2246" s="116">
        <v>4274.6000000000004</v>
      </c>
      <c r="R2246">
        <v>31587</v>
      </c>
    </row>
    <row r="2247" spans="1:18" x14ac:dyDescent="0.25">
      <c r="A2247" s="170">
        <v>45940</v>
      </c>
      <c r="B2247" s="116">
        <v>4322.8</v>
      </c>
      <c r="C2247" s="116">
        <v>4314.6000000000004</v>
      </c>
      <c r="D2247" s="116">
        <v>4255.25</v>
      </c>
      <c r="E2247" s="116">
        <v>4256.95</v>
      </c>
      <c r="F2247" s="116">
        <v>4314.6000000000004</v>
      </c>
      <c r="G2247">
        <v>2302</v>
      </c>
      <c r="H2247" s="116"/>
      <c r="I2247" s="116"/>
      <c r="L2247" s="170">
        <v>45940</v>
      </c>
      <c r="M2247" s="116">
        <v>4317.1000000000004</v>
      </c>
      <c r="N2247" s="116">
        <v>4324</v>
      </c>
      <c r="O2247" s="116">
        <v>4256</v>
      </c>
      <c r="P2247" s="116">
        <v>4282</v>
      </c>
      <c r="Q2247" s="116">
        <v>4317.1000000000004</v>
      </c>
      <c r="R2247">
        <v>33286</v>
      </c>
    </row>
    <row r="2248" spans="1:18" x14ac:dyDescent="0.25">
      <c r="A2248" s="170">
        <v>45943</v>
      </c>
      <c r="B2248" s="116">
        <v>4288.75</v>
      </c>
      <c r="C2248" s="116">
        <v>4194.6499999999996</v>
      </c>
      <c r="D2248" s="116">
        <v>4185.05</v>
      </c>
      <c r="E2248" s="116">
        <v>4230.95</v>
      </c>
      <c r="F2248" s="116">
        <v>4194.6499999999996</v>
      </c>
      <c r="G2248">
        <v>1650</v>
      </c>
      <c r="H2248" s="116"/>
      <c r="I2248" s="116"/>
      <c r="L2248" s="170">
        <v>45943</v>
      </c>
      <c r="M2248" s="116">
        <v>4193.8</v>
      </c>
      <c r="N2248" s="116">
        <v>4299.3</v>
      </c>
      <c r="O2248" s="116">
        <v>4181</v>
      </c>
      <c r="P2248" s="116">
        <v>4252</v>
      </c>
      <c r="Q2248" s="116">
        <v>4193.8</v>
      </c>
      <c r="R2248">
        <v>57145</v>
      </c>
    </row>
    <row r="2249" spans="1:18" x14ac:dyDescent="0.25">
      <c r="A2249" s="170">
        <v>45944</v>
      </c>
      <c r="B2249" s="116">
        <v>4239.95</v>
      </c>
      <c r="C2249" s="116">
        <v>4151.3999999999996</v>
      </c>
      <c r="D2249" s="116">
        <v>4128.2</v>
      </c>
      <c r="E2249" s="116">
        <v>4239.95</v>
      </c>
      <c r="F2249" s="116">
        <v>4151.3999999999996</v>
      </c>
      <c r="G2249">
        <v>4292</v>
      </c>
      <c r="H2249" s="116"/>
      <c r="I2249" s="116"/>
      <c r="L2249" s="170">
        <v>45944</v>
      </c>
      <c r="M2249" s="116">
        <v>4152.7</v>
      </c>
      <c r="N2249" s="116">
        <v>4225.3999999999996</v>
      </c>
      <c r="O2249" s="116">
        <v>4128</v>
      </c>
      <c r="P2249" s="116">
        <v>4202.2</v>
      </c>
      <c r="Q2249" s="116">
        <v>4152.7</v>
      </c>
      <c r="R2249">
        <v>50826</v>
      </c>
    </row>
    <row r="2250" spans="1:18" x14ac:dyDescent="0.25">
      <c r="A2250" s="170">
        <v>45945</v>
      </c>
      <c r="B2250" s="116">
        <v>4224.8</v>
      </c>
      <c r="C2250" s="116">
        <v>4139.1000000000004</v>
      </c>
      <c r="D2250" s="116">
        <v>4120</v>
      </c>
      <c r="E2250" s="116">
        <v>4224.8</v>
      </c>
      <c r="F2250" s="116">
        <v>4139.1000000000004</v>
      </c>
      <c r="G2250">
        <v>6409</v>
      </c>
      <c r="H2250" s="116"/>
      <c r="I2250" s="116"/>
      <c r="L2250" s="170">
        <v>45945</v>
      </c>
      <c r="M2250" s="116">
        <v>4134.5</v>
      </c>
      <c r="N2250" s="116">
        <v>4199.2</v>
      </c>
      <c r="O2250" s="116">
        <v>4119</v>
      </c>
      <c r="P2250" s="116">
        <v>4184.6000000000004</v>
      </c>
      <c r="Q2250" s="116">
        <v>4134.5</v>
      </c>
      <c r="R2250">
        <v>55336</v>
      </c>
    </row>
    <row r="2251" spans="1:18" x14ac:dyDescent="0.25">
      <c r="A2251" s="170">
        <v>45946</v>
      </c>
      <c r="B2251" s="116">
        <v>4223.8500000000004</v>
      </c>
      <c r="C2251" s="116">
        <v>4192.3</v>
      </c>
      <c r="D2251" s="116">
        <v>4139.2</v>
      </c>
      <c r="E2251" s="116">
        <v>4223.8500000000004</v>
      </c>
      <c r="F2251" s="116">
        <v>4192.3</v>
      </c>
      <c r="G2251">
        <v>3769</v>
      </c>
      <c r="H2251" s="116"/>
      <c r="I2251" s="116"/>
      <c r="L2251" s="170">
        <v>45946</v>
      </c>
      <c r="M2251" s="116">
        <v>4196.8</v>
      </c>
      <c r="N2251" s="116">
        <v>4212</v>
      </c>
      <c r="O2251" s="116">
        <v>4141.8999999999996</v>
      </c>
      <c r="P2251" s="116">
        <v>4167</v>
      </c>
      <c r="Q2251" s="116">
        <v>4196.8</v>
      </c>
      <c r="R2251">
        <v>36703</v>
      </c>
    </row>
    <row r="2252" spans="1:18" x14ac:dyDescent="0.25">
      <c r="A2252" s="170">
        <v>45947</v>
      </c>
      <c r="B2252" s="116">
        <v>4218.95</v>
      </c>
      <c r="C2252" s="116">
        <v>4150.55</v>
      </c>
      <c r="D2252" s="116">
        <v>4132.1000000000004</v>
      </c>
      <c r="E2252" s="116">
        <v>4218.95</v>
      </c>
      <c r="F2252" s="116">
        <v>4150.55</v>
      </c>
      <c r="G2252">
        <v>2416</v>
      </c>
      <c r="H2252" s="116"/>
      <c r="I2252" s="116"/>
      <c r="L2252" s="170">
        <v>45947</v>
      </c>
      <c r="M2252" s="116">
        <v>4154.7</v>
      </c>
      <c r="N2252" s="116">
        <v>4213.5</v>
      </c>
      <c r="O2252" s="116">
        <v>4130</v>
      </c>
      <c r="P2252" s="116">
        <v>4213.5</v>
      </c>
      <c r="Q2252" s="116">
        <v>4154.7</v>
      </c>
      <c r="R2252">
        <v>50198</v>
      </c>
    </row>
    <row r="2253" spans="1:18" x14ac:dyDescent="0.25">
      <c r="A2253" s="170">
        <v>45950</v>
      </c>
      <c r="B2253" s="116">
        <v>4220</v>
      </c>
      <c r="C2253" s="116">
        <v>4200.05</v>
      </c>
      <c r="D2253" s="116">
        <v>4150.55</v>
      </c>
      <c r="E2253" s="116">
        <v>4180.45</v>
      </c>
      <c r="F2253" s="116">
        <v>4200.05</v>
      </c>
      <c r="G2253">
        <v>2997</v>
      </c>
      <c r="H2253" s="116"/>
      <c r="I2253" s="116"/>
      <c r="L2253" s="170">
        <v>45950</v>
      </c>
      <c r="M2253" s="116">
        <v>4199.7</v>
      </c>
      <c r="N2253" s="116">
        <v>4219</v>
      </c>
      <c r="O2253" s="116">
        <v>4150</v>
      </c>
      <c r="P2253" s="116">
        <v>4210</v>
      </c>
      <c r="Q2253" s="116">
        <v>4199.7</v>
      </c>
      <c r="R2253">
        <v>74044</v>
      </c>
    </row>
    <row r="2254" spans="1:18" x14ac:dyDescent="0.25">
      <c r="A2254" s="170">
        <v>45951</v>
      </c>
      <c r="B2254" s="116">
        <v>4225.05</v>
      </c>
      <c r="C2254" s="116">
        <v>4198.8500000000004</v>
      </c>
      <c r="D2254" s="116">
        <v>4184.7</v>
      </c>
      <c r="E2254" s="116">
        <v>4225</v>
      </c>
      <c r="F2254" s="116">
        <v>4198.8500000000004</v>
      </c>
      <c r="G2254">
        <v>1772</v>
      </c>
      <c r="H2254" s="116"/>
      <c r="I2254" s="116"/>
      <c r="L2254" s="170">
        <v>45951</v>
      </c>
      <c r="M2254" s="116">
        <v>4204.8999999999996</v>
      </c>
      <c r="N2254" s="116">
        <v>4235</v>
      </c>
      <c r="O2254" s="116">
        <v>4190.6000000000004</v>
      </c>
      <c r="P2254" s="116">
        <v>4235</v>
      </c>
      <c r="Q2254" s="116">
        <v>4204.8999999999996</v>
      </c>
      <c r="R2254">
        <v>8405</v>
      </c>
    </row>
    <row r="2255" spans="1:18" x14ac:dyDescent="0.25">
      <c r="A2255" s="170">
        <v>45953</v>
      </c>
      <c r="B2255" s="116">
        <v>4275</v>
      </c>
      <c r="C2255" s="116">
        <v>4200.3</v>
      </c>
      <c r="D2255" s="116">
        <v>4194</v>
      </c>
      <c r="E2255" s="116">
        <v>4219.8999999999996</v>
      </c>
      <c r="F2255" s="116">
        <v>4200.3</v>
      </c>
      <c r="G2255">
        <v>2745</v>
      </c>
      <c r="H2255" s="116"/>
      <c r="I2255" s="116"/>
      <c r="L2255" s="170">
        <v>45953</v>
      </c>
      <c r="M2255" s="116">
        <v>4203.7</v>
      </c>
      <c r="N2255" s="116">
        <v>4256.8</v>
      </c>
      <c r="O2255" s="116">
        <v>4191.3999999999996</v>
      </c>
      <c r="P2255" s="116">
        <v>4250</v>
      </c>
      <c r="Q2255" s="116">
        <v>4203.7</v>
      </c>
      <c r="R2255">
        <v>80225</v>
      </c>
    </row>
    <row r="2256" spans="1:18" x14ac:dyDescent="0.25">
      <c r="A2256" s="170">
        <v>45954</v>
      </c>
      <c r="B2256" s="116">
        <v>4208.8</v>
      </c>
      <c r="C2256" s="116">
        <v>4172</v>
      </c>
      <c r="D2256" s="116">
        <v>4155</v>
      </c>
      <c r="E2256" s="116">
        <v>4208.8</v>
      </c>
      <c r="F2256" s="116">
        <v>4172</v>
      </c>
      <c r="G2256">
        <v>2095</v>
      </c>
      <c r="H2256" s="116"/>
      <c r="I2256" s="116"/>
      <c r="L2256" s="170">
        <v>45954</v>
      </c>
      <c r="M2256" s="116">
        <v>4172.7</v>
      </c>
      <c r="N2256" s="116">
        <v>4220</v>
      </c>
      <c r="O2256" s="116">
        <v>4155</v>
      </c>
      <c r="P2256" s="116">
        <v>4220</v>
      </c>
      <c r="Q2256" s="116">
        <v>4172.7</v>
      </c>
      <c r="R2256">
        <v>34351</v>
      </c>
    </row>
    <row r="2257" spans="1:18" x14ac:dyDescent="0.25">
      <c r="A2257" s="170">
        <v>45957</v>
      </c>
      <c r="B2257" s="116">
        <v>4220</v>
      </c>
      <c r="C2257" s="116">
        <v>4193.7</v>
      </c>
      <c r="D2257" s="116">
        <v>4150</v>
      </c>
      <c r="E2257" s="116">
        <v>4199.8500000000004</v>
      </c>
      <c r="F2257" s="116">
        <v>4193.7</v>
      </c>
      <c r="G2257">
        <v>2300</v>
      </c>
      <c r="H2257" s="116"/>
      <c r="I2257" s="116"/>
      <c r="L2257" s="170">
        <v>45957</v>
      </c>
      <c r="M2257" s="116">
        <v>4194.3999999999996</v>
      </c>
      <c r="N2257" s="116">
        <v>4220</v>
      </c>
      <c r="O2257" s="116">
        <v>4142.1000000000004</v>
      </c>
      <c r="P2257" s="116">
        <v>4175</v>
      </c>
      <c r="Q2257" s="116">
        <v>4194.3999999999996</v>
      </c>
      <c r="R2257">
        <v>68733</v>
      </c>
    </row>
    <row r="2258" spans="1:18" x14ac:dyDescent="0.25">
      <c r="A2258" s="170">
        <v>45958</v>
      </c>
      <c r="B2258" s="116">
        <v>4192.45</v>
      </c>
      <c r="C2258" s="116">
        <v>4137</v>
      </c>
      <c r="D2258" s="116">
        <v>4130.3500000000004</v>
      </c>
      <c r="E2258" s="116">
        <v>4181.25</v>
      </c>
      <c r="F2258" s="116">
        <v>4137</v>
      </c>
      <c r="G2258">
        <v>1701</v>
      </c>
      <c r="H2258" s="116"/>
      <c r="I2258" s="116"/>
      <c r="L2258" s="170">
        <v>45958</v>
      </c>
      <c r="M2258" s="116">
        <v>4134.6000000000004</v>
      </c>
      <c r="N2258" s="116">
        <v>4204.8999999999996</v>
      </c>
      <c r="O2258" s="116">
        <v>4130</v>
      </c>
      <c r="P2258" s="116">
        <v>4204.8999999999996</v>
      </c>
      <c r="Q2258" s="116">
        <v>4134.6000000000004</v>
      </c>
      <c r="R2258">
        <v>61282</v>
      </c>
    </row>
    <row r="2259" spans="1:18" x14ac:dyDescent="0.25">
      <c r="A2259" s="170">
        <v>45959</v>
      </c>
      <c r="B2259" s="116">
        <v>4133.8</v>
      </c>
      <c r="C2259" s="116">
        <v>4106.95</v>
      </c>
      <c r="D2259" s="116">
        <v>4065.85</v>
      </c>
      <c r="E2259" s="116">
        <v>4125.55</v>
      </c>
      <c r="F2259" s="116">
        <v>4106.95</v>
      </c>
      <c r="G2259">
        <v>4822</v>
      </c>
      <c r="H2259" s="116"/>
      <c r="I2259" s="116"/>
      <c r="L2259" s="170">
        <v>45959</v>
      </c>
      <c r="M2259" s="116">
        <v>4106.3</v>
      </c>
      <c r="N2259" s="116">
        <v>4139</v>
      </c>
      <c r="O2259" s="116">
        <v>4065.2</v>
      </c>
      <c r="P2259" s="116">
        <v>4134.8999999999996</v>
      </c>
      <c r="Q2259" s="116">
        <v>4106.3</v>
      </c>
      <c r="R2259">
        <v>99498</v>
      </c>
    </row>
    <row r="2260" spans="1:18" x14ac:dyDescent="0.25">
      <c r="A2260" s="170">
        <v>45960</v>
      </c>
      <c r="B2260" s="116">
        <v>4135.8999999999996</v>
      </c>
      <c r="C2260" s="116">
        <v>4110.6499999999996</v>
      </c>
      <c r="D2260" s="116">
        <v>4070.5</v>
      </c>
      <c r="E2260" s="116">
        <v>4120.1499999999996</v>
      </c>
      <c r="F2260" s="116">
        <v>4110.6499999999996</v>
      </c>
      <c r="G2260">
        <v>6100</v>
      </c>
      <c r="H2260" s="116"/>
      <c r="I2260" s="116"/>
      <c r="L2260" s="170">
        <v>45960</v>
      </c>
      <c r="M2260" s="116">
        <v>4110</v>
      </c>
      <c r="N2260" s="116">
        <v>4136</v>
      </c>
      <c r="O2260" s="116">
        <v>4070.8</v>
      </c>
      <c r="P2260" s="116">
        <v>4136</v>
      </c>
      <c r="Q2260" s="116">
        <v>4110</v>
      </c>
      <c r="R2260">
        <v>68973</v>
      </c>
    </row>
    <row r="2261" spans="1:18" x14ac:dyDescent="0.25">
      <c r="A2261" s="170">
        <v>45961</v>
      </c>
      <c r="B2261" s="116">
        <v>4123.7</v>
      </c>
      <c r="C2261" s="116">
        <v>4119.6000000000004</v>
      </c>
      <c r="D2261" s="116">
        <v>4095</v>
      </c>
      <c r="E2261" s="116">
        <v>4115</v>
      </c>
      <c r="F2261" s="116">
        <v>4119.6000000000004</v>
      </c>
      <c r="G2261">
        <v>3184</v>
      </c>
      <c r="H2261" s="116"/>
      <c r="I2261" s="116"/>
      <c r="L2261" s="170">
        <v>45961</v>
      </c>
      <c r="M2261" s="116">
        <v>4118.8</v>
      </c>
      <c r="N2261" s="116">
        <v>4127.8</v>
      </c>
      <c r="O2261" s="116">
        <v>4092</v>
      </c>
      <c r="P2261" s="116">
        <v>4111.1000000000004</v>
      </c>
      <c r="Q2261" s="116">
        <v>4118.8</v>
      </c>
      <c r="R2261">
        <v>36858</v>
      </c>
    </row>
    <row r="2262" spans="1:18" x14ac:dyDescent="0.25">
      <c r="A2262" s="170">
        <v>45964</v>
      </c>
      <c r="B2262" s="116">
        <v>4132</v>
      </c>
      <c r="C2262" s="116">
        <v>4118.6499999999996</v>
      </c>
      <c r="D2262" s="116">
        <v>4077</v>
      </c>
      <c r="E2262" s="116">
        <v>4097.2</v>
      </c>
      <c r="F2262" s="116">
        <v>4118.6499999999996</v>
      </c>
      <c r="G2262">
        <v>3927</v>
      </c>
      <c r="H2262" s="116"/>
      <c r="I2262" s="116"/>
      <c r="L2262" s="170">
        <v>45964</v>
      </c>
      <c r="M2262" s="116">
        <v>4119.5</v>
      </c>
      <c r="N2262" s="116">
        <v>4133.8999999999996</v>
      </c>
      <c r="O2262" s="116">
        <v>4075.5</v>
      </c>
      <c r="P2262" s="116">
        <v>4120.1000000000004</v>
      </c>
      <c r="Q2262" s="116">
        <v>4119.5</v>
      </c>
      <c r="R2262">
        <v>93784</v>
      </c>
    </row>
    <row r="2263" spans="1:18" x14ac:dyDescent="0.25">
      <c r="A2263" s="170">
        <v>45965</v>
      </c>
      <c r="B2263" s="116">
        <v>4121.8</v>
      </c>
      <c r="C2263" s="116">
        <v>4093.15</v>
      </c>
      <c r="D2263" s="116">
        <v>4075</v>
      </c>
      <c r="E2263" s="116">
        <v>4086.55</v>
      </c>
      <c r="F2263" s="116">
        <v>4093.15</v>
      </c>
      <c r="G2263">
        <v>1833</v>
      </c>
      <c r="H2263" s="116"/>
      <c r="I2263" s="116"/>
      <c r="L2263" s="170">
        <v>45965</v>
      </c>
      <c r="M2263" s="116">
        <v>4090.3</v>
      </c>
      <c r="N2263" s="116">
        <v>4132.2</v>
      </c>
      <c r="O2263" s="116">
        <v>4074.8</v>
      </c>
      <c r="P2263" s="116">
        <v>4110</v>
      </c>
      <c r="Q2263" s="116">
        <v>4090.3</v>
      </c>
      <c r="R2263">
        <v>52027</v>
      </c>
    </row>
    <row r="2264" spans="1:18" x14ac:dyDescent="0.25">
      <c r="A2264" s="170">
        <v>45967</v>
      </c>
      <c r="B2264" s="116">
        <v>4113</v>
      </c>
      <c r="C2264" s="116">
        <v>4098.75</v>
      </c>
      <c r="D2264" s="116">
        <v>4060.1</v>
      </c>
      <c r="E2264" s="116">
        <v>4094.25</v>
      </c>
      <c r="F2264" s="116">
        <v>4098.75</v>
      </c>
      <c r="G2264">
        <v>4277</v>
      </c>
      <c r="H2264" s="116"/>
      <c r="I2264" s="116"/>
      <c r="L2264" s="170">
        <v>45967</v>
      </c>
      <c r="M2264" s="116">
        <v>4100.6000000000004</v>
      </c>
      <c r="N2264" s="116">
        <v>4115</v>
      </c>
      <c r="O2264" s="116">
        <v>4060.1</v>
      </c>
      <c r="P2264" s="116">
        <v>4100</v>
      </c>
      <c r="Q2264" s="116">
        <v>4100.6000000000004</v>
      </c>
      <c r="R2264">
        <v>42372</v>
      </c>
    </row>
    <row r="2265" spans="1:18" x14ac:dyDescent="0.25">
      <c r="A2265" s="170">
        <v>45968</v>
      </c>
      <c r="B2265" s="116">
        <v>4114.6000000000004</v>
      </c>
      <c r="C2265" s="116">
        <v>4086.25</v>
      </c>
      <c r="D2265" s="116">
        <v>4024.05</v>
      </c>
      <c r="E2265" s="116">
        <v>4098.75</v>
      </c>
      <c r="F2265" s="116">
        <v>4086.25</v>
      </c>
      <c r="G2265">
        <v>2307</v>
      </c>
      <c r="H2265" s="116"/>
      <c r="I2265" s="116"/>
      <c r="L2265" s="170">
        <v>45968</v>
      </c>
      <c r="M2265" s="116">
        <v>4089.2</v>
      </c>
      <c r="N2265" s="116">
        <v>4114</v>
      </c>
      <c r="O2265" s="116">
        <v>4022.1</v>
      </c>
      <c r="P2265" s="116">
        <v>4075</v>
      </c>
      <c r="Q2265" s="116">
        <v>4089.2</v>
      </c>
      <c r="R2265">
        <v>62961</v>
      </c>
    </row>
    <row r="2266" spans="1:18" x14ac:dyDescent="0.25">
      <c r="A2266" s="170">
        <v>45971</v>
      </c>
      <c r="B2266" s="116">
        <v>4106.6499999999996</v>
      </c>
      <c r="C2266" s="116">
        <v>4089</v>
      </c>
      <c r="D2266" s="116">
        <v>4055</v>
      </c>
      <c r="E2266" s="116">
        <v>4106.6499999999996</v>
      </c>
      <c r="F2266" s="116">
        <v>4089</v>
      </c>
      <c r="G2266">
        <v>1609</v>
      </c>
      <c r="H2266" s="116"/>
      <c r="I2266" s="116"/>
      <c r="L2266" s="170">
        <v>45971</v>
      </c>
      <c r="M2266" s="116">
        <v>4086.5</v>
      </c>
      <c r="N2266" s="116">
        <v>4115</v>
      </c>
      <c r="O2266" s="116">
        <v>4053.9</v>
      </c>
      <c r="P2266" s="116">
        <v>4115</v>
      </c>
      <c r="Q2266" s="116">
        <v>4086.5</v>
      </c>
      <c r="R2266">
        <v>47337</v>
      </c>
    </row>
    <row r="2267" spans="1:18" x14ac:dyDescent="0.25">
      <c r="A2267" s="170">
        <v>45972</v>
      </c>
      <c r="B2267" s="116">
        <v>4110</v>
      </c>
      <c r="C2267" s="116">
        <v>4103.7</v>
      </c>
      <c r="D2267" s="116">
        <v>4072</v>
      </c>
      <c r="E2267" s="116">
        <v>4075.25</v>
      </c>
      <c r="F2267" s="116">
        <v>4103.7</v>
      </c>
      <c r="G2267">
        <v>2325</v>
      </c>
      <c r="H2267" s="116"/>
      <c r="I2267" s="116"/>
      <c r="L2267" s="170">
        <v>45972</v>
      </c>
      <c r="M2267" s="116">
        <v>4103.6000000000004</v>
      </c>
      <c r="N2267" s="116">
        <v>4109.1000000000004</v>
      </c>
      <c r="O2267" s="116">
        <v>4071</v>
      </c>
      <c r="P2267" s="116">
        <v>4086.5</v>
      </c>
      <c r="Q2267" s="116">
        <v>4103.6000000000004</v>
      </c>
      <c r="R2267">
        <v>83902</v>
      </c>
    </row>
    <row r="2268" spans="1:18" x14ac:dyDescent="0.25">
      <c r="A2268" s="170">
        <v>45973</v>
      </c>
      <c r="B2268" s="116">
        <v>4220</v>
      </c>
      <c r="C2268" s="116">
        <v>4177.45</v>
      </c>
      <c r="D2268" s="116">
        <v>4106.05</v>
      </c>
      <c r="E2268" s="116">
        <v>4131.8500000000004</v>
      </c>
      <c r="F2268" s="116">
        <v>4177.45</v>
      </c>
      <c r="G2268">
        <v>25541</v>
      </c>
      <c r="H2268" s="116"/>
      <c r="I2268" s="116"/>
      <c r="L2268" s="170">
        <v>45973</v>
      </c>
      <c r="M2268" s="116">
        <v>4181.1000000000004</v>
      </c>
      <c r="N2268" s="116">
        <v>4218.8</v>
      </c>
      <c r="O2268" s="116">
        <v>4104.2</v>
      </c>
      <c r="P2268" s="116">
        <v>4120</v>
      </c>
      <c r="Q2268" s="116">
        <v>4181.1000000000004</v>
      </c>
      <c r="R2268">
        <v>125217</v>
      </c>
    </row>
    <row r="2269" spans="1:18" x14ac:dyDescent="0.25">
      <c r="A2269" s="170">
        <v>45974</v>
      </c>
      <c r="B2269" s="116">
        <v>4197.25</v>
      </c>
      <c r="C2269" s="116">
        <v>4154.7</v>
      </c>
      <c r="D2269" s="116">
        <v>4135.6499999999996</v>
      </c>
      <c r="E2269" s="116">
        <v>4186.95</v>
      </c>
      <c r="F2269" s="116">
        <v>4154.7</v>
      </c>
      <c r="G2269">
        <v>1467</v>
      </c>
      <c r="H2269" s="116"/>
      <c r="I2269" s="116"/>
      <c r="L2269" s="170">
        <v>45974</v>
      </c>
      <c r="M2269" s="116">
        <v>4156.8</v>
      </c>
      <c r="N2269" s="116">
        <v>4210</v>
      </c>
      <c r="O2269" s="116">
        <v>4133.1000000000004</v>
      </c>
      <c r="P2269" s="116">
        <v>4210</v>
      </c>
      <c r="Q2269" s="116">
        <v>4156.8</v>
      </c>
      <c r="R2269">
        <v>50324</v>
      </c>
    </row>
    <row r="2270" spans="1:18" x14ac:dyDescent="0.25">
      <c r="A2270" s="170">
        <v>45975</v>
      </c>
      <c r="B2270" s="116">
        <v>4144.55</v>
      </c>
      <c r="C2270" s="116">
        <v>4085</v>
      </c>
      <c r="D2270" s="116">
        <v>4077</v>
      </c>
      <c r="E2270" s="116">
        <v>4144.55</v>
      </c>
      <c r="F2270" s="116">
        <v>4085</v>
      </c>
      <c r="G2270">
        <v>1944</v>
      </c>
      <c r="H2270" s="116"/>
      <c r="I2270" s="116"/>
      <c r="L2270" s="170">
        <v>45975</v>
      </c>
      <c r="M2270" s="116">
        <v>4086.5</v>
      </c>
      <c r="N2270" s="116">
        <v>4139.1000000000004</v>
      </c>
      <c r="O2270" s="116">
        <v>4075</v>
      </c>
      <c r="P2270" s="116">
        <v>4139.1000000000004</v>
      </c>
      <c r="Q2270" s="116">
        <v>4086.5</v>
      </c>
      <c r="R2270">
        <v>87544</v>
      </c>
    </row>
    <row r="2271" spans="1:18" x14ac:dyDescent="0.25">
      <c r="A2271" s="170">
        <v>45978</v>
      </c>
      <c r="B2271" s="116">
        <v>4132.2</v>
      </c>
      <c r="C2271" s="116">
        <v>4105.6000000000004</v>
      </c>
      <c r="D2271" s="116">
        <v>4084.95</v>
      </c>
      <c r="E2271" s="116">
        <v>4119.3500000000004</v>
      </c>
      <c r="F2271" s="116">
        <v>4105.6000000000004</v>
      </c>
      <c r="G2271">
        <v>1701</v>
      </c>
      <c r="H2271" s="116"/>
      <c r="I2271" s="116"/>
      <c r="L2271" s="170">
        <v>45978</v>
      </c>
      <c r="M2271" s="116">
        <v>4105.3999999999996</v>
      </c>
      <c r="N2271" s="116">
        <v>4137.1000000000004</v>
      </c>
      <c r="O2271" s="116">
        <v>4082</v>
      </c>
      <c r="P2271" s="116">
        <v>4101.1000000000004</v>
      </c>
      <c r="Q2271" s="116">
        <v>4105.3999999999996</v>
      </c>
      <c r="R2271">
        <v>117854</v>
      </c>
    </row>
    <row r="2272" spans="1:18" x14ac:dyDescent="0.25">
      <c r="A2272" s="170">
        <v>45979</v>
      </c>
      <c r="B2272" s="116">
        <v>4124.45</v>
      </c>
      <c r="C2272" s="116">
        <v>4072.75</v>
      </c>
      <c r="D2272" s="116">
        <v>4054.95</v>
      </c>
      <c r="E2272" s="116">
        <v>4119.8500000000004</v>
      </c>
      <c r="F2272" s="116">
        <v>4072.75</v>
      </c>
      <c r="G2272">
        <v>3267</v>
      </c>
      <c r="H2272" s="116"/>
      <c r="I2272" s="116"/>
      <c r="L2272" s="170">
        <v>45979</v>
      </c>
      <c r="M2272" s="116">
        <v>4074.5</v>
      </c>
      <c r="N2272" s="116">
        <v>4126</v>
      </c>
      <c r="O2272" s="116">
        <v>4054</v>
      </c>
      <c r="P2272" s="116">
        <v>4107</v>
      </c>
      <c r="Q2272" s="116">
        <v>4074.5</v>
      </c>
      <c r="R2272">
        <v>59192</v>
      </c>
    </row>
    <row r="2273" spans="1:18" x14ac:dyDescent="0.25">
      <c r="A2273" s="170">
        <v>45980</v>
      </c>
      <c r="B2273" s="116">
        <v>4460</v>
      </c>
      <c r="C2273" s="116">
        <v>4439.1499999999996</v>
      </c>
      <c r="D2273" s="116">
        <v>4089.9</v>
      </c>
      <c r="E2273" s="116">
        <v>4096.75</v>
      </c>
      <c r="F2273" s="116">
        <v>4439.1499999999996</v>
      </c>
      <c r="G2273">
        <v>51977</v>
      </c>
      <c r="H2273" s="116"/>
      <c r="I2273" s="116"/>
      <c r="L2273" s="170">
        <v>45980</v>
      </c>
      <c r="M2273" s="116">
        <v>4440</v>
      </c>
      <c r="N2273" s="116">
        <v>4460</v>
      </c>
      <c r="O2273" s="116">
        <v>4085</v>
      </c>
      <c r="P2273" s="116">
        <v>4085</v>
      </c>
      <c r="Q2273" s="116">
        <v>4440</v>
      </c>
      <c r="R2273">
        <v>1180329</v>
      </c>
    </row>
    <row r="2274" spans="1:18" x14ac:dyDescent="0.25">
      <c r="A2274" s="170">
        <v>45981</v>
      </c>
      <c r="B2274" s="116">
        <v>4427.3999999999996</v>
      </c>
      <c r="C2274" s="116">
        <v>4327.2</v>
      </c>
      <c r="D2274" s="116">
        <v>4317</v>
      </c>
      <c r="E2274" s="116">
        <v>4404.95</v>
      </c>
      <c r="F2274" s="116">
        <v>4327.2</v>
      </c>
      <c r="G2274">
        <v>8731</v>
      </c>
      <c r="H2274" s="116"/>
      <c r="I2274" s="116"/>
      <c r="L2274" s="170">
        <v>45981</v>
      </c>
      <c r="M2274" s="116">
        <v>4331.3</v>
      </c>
      <c r="N2274" s="116">
        <v>4424</v>
      </c>
      <c r="O2274" s="116">
        <v>4280</v>
      </c>
      <c r="P2274" s="116">
        <v>4400</v>
      </c>
      <c r="Q2274" s="116">
        <v>4331.3</v>
      </c>
      <c r="R2274">
        <v>160625</v>
      </c>
    </row>
    <row r="2275" spans="1:18" x14ac:dyDescent="0.25">
      <c r="A2275" s="170">
        <v>45982</v>
      </c>
      <c r="B2275" s="116">
        <v>4330.8999999999996</v>
      </c>
      <c r="C2275" s="116">
        <v>4267.95</v>
      </c>
      <c r="D2275" s="116">
        <v>4257.1000000000004</v>
      </c>
      <c r="E2275" s="116">
        <v>4316.5</v>
      </c>
      <c r="F2275" s="116">
        <v>4267.95</v>
      </c>
      <c r="G2275">
        <v>4239</v>
      </c>
      <c r="H2275" s="116"/>
      <c r="I2275" s="116"/>
      <c r="L2275" s="170">
        <v>45982</v>
      </c>
      <c r="M2275" s="116">
        <v>4265.3999999999996</v>
      </c>
      <c r="N2275" s="116">
        <v>4334.5</v>
      </c>
      <c r="O2275" s="116">
        <v>4252</v>
      </c>
      <c r="P2275" s="116">
        <v>4300</v>
      </c>
      <c r="Q2275" s="116">
        <v>4265.3999999999996</v>
      </c>
      <c r="R2275">
        <v>54460</v>
      </c>
    </row>
    <row r="2276" spans="1:18" x14ac:dyDescent="0.25">
      <c r="A2276" s="170">
        <v>45985</v>
      </c>
      <c r="B2276" s="116">
        <v>4343.8999999999996</v>
      </c>
      <c r="C2276" s="116">
        <v>4317.8</v>
      </c>
      <c r="D2276" s="116">
        <v>4239.45</v>
      </c>
      <c r="E2276" s="116">
        <v>4280</v>
      </c>
      <c r="F2276" s="116">
        <v>4317.8</v>
      </c>
      <c r="G2276">
        <v>6525</v>
      </c>
      <c r="H2276" s="116"/>
      <c r="I2276" s="116"/>
      <c r="L2276" s="170">
        <v>45985</v>
      </c>
      <c r="M2276" s="116">
        <v>4322.3</v>
      </c>
      <c r="N2276" s="116">
        <v>4345</v>
      </c>
      <c r="O2276" s="116">
        <v>4235.8</v>
      </c>
      <c r="P2276" s="116">
        <v>4294.7</v>
      </c>
      <c r="Q2276" s="116">
        <v>4322.3</v>
      </c>
      <c r="R2276">
        <v>102039</v>
      </c>
    </row>
    <row r="2277" spans="1:18" x14ac:dyDescent="0.25">
      <c r="A2277" s="170">
        <v>45986</v>
      </c>
      <c r="B2277" s="116">
        <v>4349.95</v>
      </c>
      <c r="C2277" s="116">
        <v>4264.05</v>
      </c>
      <c r="D2277" s="116">
        <v>4215.1000000000004</v>
      </c>
      <c r="E2277" s="116">
        <v>4349.95</v>
      </c>
      <c r="F2277" s="116">
        <v>4264.05</v>
      </c>
      <c r="G2277">
        <v>4091</v>
      </c>
      <c r="H2277" s="116"/>
      <c r="I2277" s="116"/>
      <c r="L2277" s="170">
        <v>45986</v>
      </c>
      <c r="M2277" s="116">
        <v>4262.8</v>
      </c>
      <c r="N2277" s="116">
        <v>4340</v>
      </c>
      <c r="O2277" s="116">
        <v>4213</v>
      </c>
      <c r="P2277" s="116">
        <v>4340</v>
      </c>
      <c r="Q2277" s="116">
        <v>4262.8</v>
      </c>
      <c r="R2277">
        <v>68540</v>
      </c>
    </row>
    <row r="2278" spans="1:18" x14ac:dyDescent="0.25">
      <c r="A2278" s="170">
        <v>45987</v>
      </c>
      <c r="B2278" s="116">
        <v>4294.05</v>
      </c>
      <c r="C2278" s="116">
        <v>4274.2</v>
      </c>
      <c r="D2278" s="116">
        <v>4241</v>
      </c>
      <c r="E2278" s="116">
        <v>4264.3</v>
      </c>
      <c r="F2278" s="116">
        <v>4274.2</v>
      </c>
      <c r="G2278">
        <v>3862</v>
      </c>
      <c r="H2278" s="116"/>
      <c r="I2278" s="116"/>
      <c r="L2278" s="170">
        <v>45987</v>
      </c>
      <c r="M2278" s="116">
        <v>4275.8999999999996</v>
      </c>
      <c r="N2278" s="116">
        <v>4305</v>
      </c>
      <c r="O2278" s="116">
        <v>4238</v>
      </c>
      <c r="P2278" s="116">
        <v>4305</v>
      </c>
      <c r="Q2278" s="116">
        <v>4275.8999999999996</v>
      </c>
      <c r="R2278">
        <v>61973</v>
      </c>
    </row>
    <row r="2279" spans="1:18" x14ac:dyDescent="0.25">
      <c r="A2279" s="170">
        <v>45988</v>
      </c>
      <c r="B2279" s="116">
        <v>4396</v>
      </c>
      <c r="C2279" s="116">
        <v>4381.6499999999996</v>
      </c>
      <c r="D2279" s="116">
        <v>4269.3500000000004</v>
      </c>
      <c r="E2279" s="116">
        <v>4283.6000000000004</v>
      </c>
      <c r="F2279" s="116">
        <v>4381.6499999999996</v>
      </c>
      <c r="G2279">
        <v>5474</v>
      </c>
      <c r="H2279" s="116"/>
      <c r="I2279" s="116"/>
      <c r="L2279" s="170">
        <v>45988</v>
      </c>
      <c r="M2279" s="116">
        <v>4385.2</v>
      </c>
      <c r="N2279" s="116">
        <v>4400</v>
      </c>
      <c r="O2279" s="116">
        <v>4266.8999999999996</v>
      </c>
      <c r="P2279" s="116">
        <v>4299.8999999999996</v>
      </c>
      <c r="Q2279" s="116">
        <v>4385.2</v>
      </c>
      <c r="R2279">
        <v>105874</v>
      </c>
    </row>
    <row r="2280" spans="1:18" x14ac:dyDescent="0.25">
      <c r="A2280" s="170">
        <v>45989</v>
      </c>
      <c r="B2280" s="116">
        <v>4452</v>
      </c>
      <c r="C2280" s="116">
        <v>4438.3</v>
      </c>
      <c r="D2280" s="116">
        <v>4336.1000000000004</v>
      </c>
      <c r="E2280" s="116">
        <v>4397.95</v>
      </c>
      <c r="F2280" s="116">
        <v>4438.3</v>
      </c>
      <c r="G2280">
        <v>28622</v>
      </c>
      <c r="H2280" s="116"/>
      <c r="I2280" s="116"/>
      <c r="L2280" s="170">
        <v>45989</v>
      </c>
      <c r="M2280" s="116">
        <v>4440.3999999999996</v>
      </c>
      <c r="N2280" s="116">
        <v>4452.6000000000004</v>
      </c>
      <c r="O2280" s="116">
        <v>4336</v>
      </c>
      <c r="P2280" s="116">
        <v>4385.2</v>
      </c>
      <c r="Q2280" s="116">
        <v>4440.3999999999996</v>
      </c>
      <c r="R2280">
        <v>117199</v>
      </c>
    </row>
    <row r="2281" spans="1:18" x14ac:dyDescent="0.25">
      <c r="A2281" s="170">
        <v>45992</v>
      </c>
      <c r="B2281" s="116">
        <v>4505.45</v>
      </c>
      <c r="C2281" s="116">
        <v>4446.1499999999996</v>
      </c>
      <c r="D2281" s="116">
        <v>4400</v>
      </c>
      <c r="E2281" s="116">
        <v>4497.95</v>
      </c>
      <c r="F2281" s="116">
        <v>4446.1499999999996</v>
      </c>
      <c r="G2281">
        <v>3689</v>
      </c>
      <c r="H2281" s="116"/>
      <c r="I2281" s="116"/>
      <c r="L2281" s="170">
        <v>45992</v>
      </c>
      <c r="M2281" s="116">
        <v>4444.7</v>
      </c>
      <c r="N2281" s="116">
        <v>4515</v>
      </c>
      <c r="O2281" s="116">
        <v>4398.8999999999996</v>
      </c>
      <c r="P2281" s="116">
        <v>4490</v>
      </c>
      <c r="Q2281" s="116">
        <v>4444.7</v>
      </c>
      <c r="R2281">
        <v>96723</v>
      </c>
    </row>
    <row r="2282" spans="1:18" x14ac:dyDescent="0.25">
      <c r="A2282" s="170">
        <v>45993</v>
      </c>
      <c r="B2282" s="116">
        <v>4510</v>
      </c>
      <c r="C2282" s="116">
        <v>4501.7</v>
      </c>
      <c r="D2282" s="116">
        <v>4399.2</v>
      </c>
      <c r="E2282" s="116">
        <v>4473.8500000000004</v>
      </c>
      <c r="F2282" s="116">
        <v>4501.7</v>
      </c>
      <c r="G2282">
        <v>9112</v>
      </c>
      <c r="H2282" s="116"/>
      <c r="I2282" s="116"/>
      <c r="L2282" s="170">
        <v>45993</v>
      </c>
      <c r="M2282" s="116">
        <v>4503.6000000000004</v>
      </c>
      <c r="N2282" s="116">
        <v>4512</v>
      </c>
      <c r="O2282" s="116">
        <v>4384.8999999999996</v>
      </c>
      <c r="P2282" s="116">
        <v>4440</v>
      </c>
      <c r="Q2282" s="116">
        <v>4503.6000000000004</v>
      </c>
      <c r="R2282">
        <v>122389</v>
      </c>
    </row>
    <row r="2283" spans="1:18" x14ac:dyDescent="0.25">
      <c r="A2283" s="170">
        <v>45994</v>
      </c>
      <c r="B2283" s="116">
        <v>4523.8999999999996</v>
      </c>
      <c r="C2283" s="116">
        <v>4508.8500000000004</v>
      </c>
      <c r="D2283" s="116">
        <v>4421</v>
      </c>
      <c r="E2283" s="116">
        <v>4502.6499999999996</v>
      </c>
      <c r="F2283" s="116">
        <v>4508.8500000000004</v>
      </c>
      <c r="G2283">
        <v>3942</v>
      </c>
      <c r="H2283" s="116"/>
      <c r="I2283" s="116"/>
      <c r="L2283" s="170">
        <v>45994</v>
      </c>
      <c r="M2283" s="116">
        <v>4513.1000000000004</v>
      </c>
      <c r="N2283" s="116">
        <v>4532</v>
      </c>
      <c r="O2283" s="116">
        <v>4407.1000000000004</v>
      </c>
      <c r="P2283" s="116">
        <v>4527.8999999999996</v>
      </c>
      <c r="Q2283" s="116">
        <v>4513.1000000000004</v>
      </c>
      <c r="R2283">
        <v>102310</v>
      </c>
    </row>
    <row r="2284" spans="1:18" x14ac:dyDescent="0.25">
      <c r="A2284" s="170">
        <v>45995</v>
      </c>
      <c r="B2284" s="116">
        <v>4725</v>
      </c>
      <c r="C2284" s="116">
        <v>4682.25</v>
      </c>
      <c r="D2284" s="116">
        <v>4490.8999999999996</v>
      </c>
      <c r="E2284" s="116">
        <v>4508.8</v>
      </c>
      <c r="F2284" s="116">
        <v>4682.25</v>
      </c>
      <c r="G2284">
        <v>27550</v>
      </c>
      <c r="H2284" s="116"/>
      <c r="I2284" s="116"/>
      <c r="L2284" s="170">
        <v>45995</v>
      </c>
      <c r="M2284" s="116">
        <v>4685.1000000000004</v>
      </c>
      <c r="N2284" s="116">
        <v>4726</v>
      </c>
      <c r="O2284" s="116">
        <v>4476.3</v>
      </c>
      <c r="P2284" s="116">
        <v>4500.2</v>
      </c>
      <c r="Q2284" s="116">
        <v>4685.1000000000004</v>
      </c>
      <c r="R2284">
        <v>589695</v>
      </c>
    </row>
    <row r="2285" spans="1:18" x14ac:dyDescent="0.25">
      <c r="A2285" s="170">
        <v>45996</v>
      </c>
      <c r="B2285" s="116">
        <v>4717.6000000000004</v>
      </c>
      <c r="C2285" s="116">
        <v>4542.6000000000004</v>
      </c>
      <c r="D2285" s="116">
        <v>4534.5</v>
      </c>
      <c r="E2285" s="116">
        <v>4699</v>
      </c>
      <c r="F2285" s="116">
        <v>4542.6000000000004</v>
      </c>
      <c r="G2285">
        <v>9907</v>
      </c>
      <c r="H2285" s="116"/>
      <c r="I2285" s="116"/>
      <c r="L2285" s="170">
        <v>45996</v>
      </c>
      <c r="M2285" s="116">
        <v>4546.3999999999996</v>
      </c>
      <c r="N2285" s="116">
        <v>4720</v>
      </c>
      <c r="O2285" s="116">
        <v>4530</v>
      </c>
      <c r="P2285" s="116">
        <v>4707.7</v>
      </c>
      <c r="Q2285" s="116">
        <v>4546.3999999999996</v>
      </c>
      <c r="R2285">
        <v>224340</v>
      </c>
    </row>
    <row r="2286" spans="1:18" x14ac:dyDescent="0.25">
      <c r="A2286" s="170">
        <v>45999</v>
      </c>
      <c r="B2286" s="116">
        <v>4585</v>
      </c>
      <c r="C2286" s="116">
        <v>4539.3999999999996</v>
      </c>
      <c r="D2286" s="116">
        <v>4500</v>
      </c>
      <c r="E2286" s="116">
        <v>4585</v>
      </c>
      <c r="F2286" s="116">
        <v>4539.3999999999996</v>
      </c>
      <c r="G2286">
        <v>43894</v>
      </c>
      <c r="H2286" s="116"/>
      <c r="I2286" s="116"/>
      <c r="L2286" s="170">
        <v>45999</v>
      </c>
      <c r="M2286" s="116">
        <v>4540.1000000000004</v>
      </c>
      <c r="N2286" s="116">
        <v>4591.3999999999996</v>
      </c>
      <c r="O2286" s="116">
        <v>4493.6000000000004</v>
      </c>
      <c r="P2286" s="116">
        <v>4560</v>
      </c>
      <c r="Q2286" s="116">
        <v>4540.1000000000004</v>
      </c>
      <c r="R2286">
        <v>164021</v>
      </c>
    </row>
    <row r="2287" spans="1:18" x14ac:dyDescent="0.25">
      <c r="A2287" s="170">
        <v>46000</v>
      </c>
      <c r="B2287" s="116">
        <v>4571.3500000000004</v>
      </c>
      <c r="C2287" s="116">
        <v>4553.3500000000004</v>
      </c>
      <c r="D2287" s="116">
        <v>4426.8500000000004</v>
      </c>
      <c r="E2287" s="116">
        <v>4520.6000000000004</v>
      </c>
      <c r="F2287" s="116">
        <v>4553.3500000000004</v>
      </c>
      <c r="G2287">
        <v>4320</v>
      </c>
      <c r="H2287" s="116"/>
      <c r="I2287" s="116"/>
      <c r="L2287" s="170">
        <v>46000</v>
      </c>
      <c r="M2287" s="116">
        <v>4548.8999999999996</v>
      </c>
      <c r="N2287" s="116">
        <v>4570</v>
      </c>
      <c r="O2287" s="116">
        <v>4428.3999999999996</v>
      </c>
      <c r="P2287" s="116">
        <v>4539.3999999999996</v>
      </c>
      <c r="Q2287" s="116">
        <v>4548.8999999999996</v>
      </c>
      <c r="R2287">
        <v>123394</v>
      </c>
    </row>
    <row r="2288" spans="1:18" x14ac:dyDescent="0.25">
      <c r="A2288" s="170">
        <v>46001</v>
      </c>
      <c r="B2288" s="116">
        <v>4603</v>
      </c>
      <c r="C2288" s="116">
        <v>4592.05</v>
      </c>
      <c r="D2288" s="116">
        <v>4534.1000000000004</v>
      </c>
      <c r="E2288" s="116">
        <v>4553.8</v>
      </c>
      <c r="F2288" s="116">
        <v>4592.05</v>
      </c>
      <c r="G2288">
        <v>3797</v>
      </c>
      <c r="H2288" s="116"/>
      <c r="I2288" s="116"/>
      <c r="L2288" s="170">
        <v>46001</v>
      </c>
      <c r="M2288" s="116">
        <v>4593</v>
      </c>
      <c r="N2288" s="116">
        <v>4604.6000000000004</v>
      </c>
      <c r="O2288" s="116">
        <v>4536.1000000000004</v>
      </c>
      <c r="P2288" s="116">
        <v>4578</v>
      </c>
      <c r="Q2288" s="116">
        <v>4593</v>
      </c>
      <c r="R2288">
        <v>80002</v>
      </c>
    </row>
    <row r="2289" spans="1:18" x14ac:dyDescent="0.25">
      <c r="A2289" s="170">
        <v>46002</v>
      </c>
      <c r="B2289" s="116">
        <v>4676.7</v>
      </c>
      <c r="C2289" s="116">
        <v>4662.1499999999996</v>
      </c>
      <c r="D2289" s="116">
        <v>4527.75</v>
      </c>
      <c r="E2289" s="116">
        <v>4592.1499999999996</v>
      </c>
      <c r="F2289" s="116">
        <v>4662.1499999999996</v>
      </c>
      <c r="G2289">
        <v>4493</v>
      </c>
      <c r="H2289" s="116"/>
      <c r="I2289" s="116"/>
      <c r="L2289" s="170">
        <v>46002</v>
      </c>
      <c r="M2289" s="116">
        <v>4666.3</v>
      </c>
      <c r="N2289" s="116">
        <v>4683</v>
      </c>
      <c r="O2289" s="116">
        <v>4520</v>
      </c>
      <c r="P2289" s="116">
        <v>4594</v>
      </c>
      <c r="Q2289" s="116">
        <v>4666.3</v>
      </c>
      <c r="R2289">
        <v>99227</v>
      </c>
    </row>
    <row r="2290" spans="1:18" x14ac:dyDescent="0.25">
      <c r="A2290" s="170">
        <v>46003</v>
      </c>
      <c r="B2290" s="116">
        <v>4691.45</v>
      </c>
      <c r="C2290" s="116">
        <v>4678.1499999999996</v>
      </c>
      <c r="D2290" s="116">
        <v>4639.8999999999996</v>
      </c>
      <c r="E2290" s="116">
        <v>4664</v>
      </c>
      <c r="F2290" s="116">
        <v>4678.1499999999996</v>
      </c>
      <c r="G2290">
        <v>6639</v>
      </c>
      <c r="H2290" s="116"/>
      <c r="I2290" s="116"/>
      <c r="L2290" s="170">
        <v>46003</v>
      </c>
      <c r="M2290" s="116">
        <v>4676</v>
      </c>
      <c r="N2290" s="116">
        <v>4694.3999999999996</v>
      </c>
      <c r="O2290" s="116">
        <v>4640</v>
      </c>
      <c r="P2290" s="116">
        <v>4676</v>
      </c>
      <c r="Q2290" s="116">
        <v>4676</v>
      </c>
      <c r="R2290">
        <v>95195</v>
      </c>
    </row>
    <row r="2291" spans="1:18" x14ac:dyDescent="0.25">
      <c r="A2291" s="170">
        <v>46006</v>
      </c>
      <c r="B2291" s="116">
        <v>4672.8999999999996</v>
      </c>
      <c r="C2291" s="116">
        <v>4609.8500000000004</v>
      </c>
      <c r="D2291" s="116">
        <v>4600.55</v>
      </c>
      <c r="E2291" s="116">
        <v>4669.6499999999996</v>
      </c>
      <c r="F2291" s="116">
        <v>4609.8500000000004</v>
      </c>
      <c r="G2291">
        <v>4975</v>
      </c>
      <c r="H2291" s="116"/>
      <c r="I2291" s="116"/>
      <c r="L2291" s="170">
        <v>46006</v>
      </c>
      <c r="M2291" s="116">
        <v>4610.5</v>
      </c>
      <c r="N2291" s="116">
        <v>4676</v>
      </c>
      <c r="O2291" s="116">
        <v>4601</v>
      </c>
      <c r="P2291" s="116">
        <v>4645.1000000000004</v>
      </c>
      <c r="Q2291" s="116">
        <v>4610.5</v>
      </c>
      <c r="R2291">
        <v>44483</v>
      </c>
    </row>
    <row r="2292" spans="1:18" x14ac:dyDescent="0.25">
      <c r="A2292" s="170">
        <v>46007</v>
      </c>
      <c r="B2292" s="116">
        <v>4619</v>
      </c>
      <c r="C2292" s="116">
        <v>4589.5</v>
      </c>
      <c r="D2292" s="116">
        <v>4563.8999999999996</v>
      </c>
      <c r="E2292" s="116">
        <v>4609.8999999999996</v>
      </c>
      <c r="F2292" s="116">
        <v>4589.5</v>
      </c>
      <c r="G2292">
        <v>2193</v>
      </c>
      <c r="H2292" s="116"/>
      <c r="I2292" s="116"/>
      <c r="L2292" s="170">
        <v>46007</v>
      </c>
      <c r="M2292" s="116">
        <v>4590.2</v>
      </c>
      <c r="N2292" s="116">
        <v>4621.2</v>
      </c>
      <c r="O2292" s="116">
        <v>4560.8999999999996</v>
      </c>
      <c r="P2292" s="116">
        <v>4600</v>
      </c>
      <c r="Q2292" s="116">
        <v>4590.2</v>
      </c>
      <c r="R2292">
        <v>30631</v>
      </c>
    </row>
    <row r="2293" spans="1:18" x14ac:dyDescent="0.25">
      <c r="A2293" s="170">
        <v>46008</v>
      </c>
      <c r="B2293" s="116">
        <v>4639.75</v>
      </c>
      <c r="C2293" s="116">
        <v>4485.55</v>
      </c>
      <c r="D2293" s="116">
        <v>4470.25</v>
      </c>
      <c r="E2293" s="116">
        <v>4581.2</v>
      </c>
      <c r="F2293" s="116">
        <v>4485.55</v>
      </c>
      <c r="G2293">
        <v>2207</v>
      </c>
      <c r="H2293" s="116"/>
      <c r="I2293" s="116"/>
      <c r="L2293" s="170">
        <v>46008</v>
      </c>
      <c r="M2293" s="116">
        <v>4481.8999999999996</v>
      </c>
      <c r="N2293" s="116">
        <v>4638</v>
      </c>
      <c r="O2293" s="116">
        <v>4465.3</v>
      </c>
      <c r="P2293" s="116">
        <v>4590.2</v>
      </c>
      <c r="Q2293" s="116">
        <v>4481.8999999999996</v>
      </c>
      <c r="R2293">
        <v>38247</v>
      </c>
    </row>
    <row r="2294" spans="1:18" x14ac:dyDescent="0.25">
      <c r="A2294" s="170">
        <v>46009</v>
      </c>
      <c r="B2294" s="116">
        <v>4568.8</v>
      </c>
      <c r="C2294" s="116">
        <v>4549.1000000000004</v>
      </c>
      <c r="D2294" s="116">
        <v>4452.6000000000004</v>
      </c>
      <c r="E2294" s="116">
        <v>4485.6000000000004</v>
      </c>
      <c r="F2294" s="116">
        <v>4549.1000000000004</v>
      </c>
      <c r="G2294">
        <v>5560</v>
      </c>
      <c r="H2294" s="116"/>
      <c r="I2294" s="116"/>
      <c r="L2294" s="170">
        <v>46009</v>
      </c>
      <c r="M2294" s="116">
        <v>4551.5</v>
      </c>
      <c r="N2294" s="116">
        <v>4568.3</v>
      </c>
      <c r="O2294" s="116">
        <v>4454.8999999999996</v>
      </c>
      <c r="P2294" s="116">
        <v>4499</v>
      </c>
      <c r="Q2294" s="116">
        <v>4551.5</v>
      </c>
      <c r="R2294">
        <v>63352</v>
      </c>
    </row>
    <row r="2295" spans="1:18" x14ac:dyDescent="0.25">
      <c r="A2295" s="170">
        <v>46010</v>
      </c>
      <c r="B2295" s="116">
        <v>4637.3</v>
      </c>
      <c r="C2295" s="116">
        <v>4513.8</v>
      </c>
      <c r="D2295" s="116">
        <v>4485</v>
      </c>
      <c r="E2295" s="116">
        <v>4580</v>
      </c>
      <c r="F2295" s="116">
        <v>4513.8</v>
      </c>
      <c r="G2295">
        <v>4250</v>
      </c>
      <c r="H2295" s="116"/>
      <c r="I2295" s="116"/>
      <c r="L2295" s="170">
        <v>46010</v>
      </c>
      <c r="M2295" s="116">
        <v>4515.2</v>
      </c>
      <c r="N2295" s="116">
        <v>4644.8999999999996</v>
      </c>
      <c r="O2295" s="116">
        <v>4482.5</v>
      </c>
      <c r="P2295" s="116">
        <v>4589.8</v>
      </c>
      <c r="Q2295" s="116">
        <v>4515.2</v>
      </c>
      <c r="R2295">
        <v>78505</v>
      </c>
    </row>
    <row r="2296" spans="1:18" x14ac:dyDescent="0.25">
      <c r="A2296" s="170">
        <v>46013</v>
      </c>
      <c r="B2296" s="116">
        <v>4660.7</v>
      </c>
      <c r="C2296" s="116">
        <v>4625.8500000000004</v>
      </c>
      <c r="D2296" s="116">
        <v>4519.05</v>
      </c>
      <c r="E2296" s="116">
        <v>4519.05</v>
      </c>
      <c r="F2296" s="116">
        <v>4625.8500000000004</v>
      </c>
      <c r="G2296">
        <v>2606</v>
      </c>
      <c r="H2296" s="116"/>
      <c r="I2296" s="116"/>
      <c r="L2296" s="170">
        <v>46013</v>
      </c>
      <c r="M2296" s="116">
        <v>4630.2</v>
      </c>
      <c r="N2296" s="116">
        <v>4664.1000000000004</v>
      </c>
      <c r="O2296" s="116">
        <v>4520</v>
      </c>
      <c r="P2296" s="116">
        <v>4523.8999999999996</v>
      </c>
      <c r="Q2296" s="116">
        <v>4630.2</v>
      </c>
      <c r="R2296">
        <v>63157</v>
      </c>
    </row>
    <row r="2297" spans="1:18" x14ac:dyDescent="0.25">
      <c r="A2297" s="170">
        <v>46014</v>
      </c>
      <c r="B2297" s="116">
        <v>4708.8</v>
      </c>
      <c r="C2297" s="116">
        <v>4693.55</v>
      </c>
      <c r="D2297" s="116">
        <v>4596.25</v>
      </c>
      <c r="E2297" s="116">
        <v>4686.3999999999996</v>
      </c>
      <c r="F2297" s="116">
        <v>4693.55</v>
      </c>
      <c r="G2297">
        <v>4448</v>
      </c>
      <c r="H2297" s="116"/>
      <c r="I2297" s="116"/>
      <c r="L2297" s="170">
        <v>46014</v>
      </c>
      <c r="M2297" s="116">
        <v>4696.2</v>
      </c>
      <c r="N2297" s="116">
        <v>4707.8999999999996</v>
      </c>
      <c r="O2297" s="116">
        <v>4591.1000000000004</v>
      </c>
      <c r="P2297" s="116">
        <v>4664</v>
      </c>
      <c r="Q2297" s="116">
        <v>4696.2</v>
      </c>
      <c r="R2297">
        <v>62317</v>
      </c>
    </row>
    <row r="2298" spans="1:18" x14ac:dyDescent="0.25">
      <c r="A2298" s="170">
        <v>46015</v>
      </c>
      <c r="B2298" s="116">
        <v>4746.95</v>
      </c>
      <c r="C2298" s="116">
        <v>4609.3</v>
      </c>
      <c r="D2298" s="116">
        <v>4600</v>
      </c>
      <c r="E2298" s="116">
        <v>4705.95</v>
      </c>
      <c r="F2298" s="116">
        <v>4609.3</v>
      </c>
      <c r="G2298">
        <v>4272</v>
      </c>
      <c r="H2298" s="116"/>
      <c r="I2298" s="116"/>
      <c r="L2298" s="170">
        <v>46015</v>
      </c>
      <c r="M2298" s="116">
        <v>4608.1000000000004</v>
      </c>
      <c r="N2298" s="116">
        <v>4719.8999999999996</v>
      </c>
      <c r="O2298" s="116">
        <v>4600</v>
      </c>
      <c r="P2298" s="116">
        <v>4719.8999999999996</v>
      </c>
      <c r="Q2298" s="116">
        <v>4608.1000000000004</v>
      </c>
      <c r="R2298">
        <v>92728</v>
      </c>
    </row>
    <row r="2299" spans="1:18" x14ac:dyDescent="0.25">
      <c r="A2299" s="170">
        <v>46017</v>
      </c>
      <c r="B2299" s="116">
        <v>4667.95</v>
      </c>
      <c r="C2299" s="116">
        <v>4519.75</v>
      </c>
      <c r="D2299" s="116">
        <v>4510</v>
      </c>
      <c r="E2299" s="116">
        <v>4667.95</v>
      </c>
      <c r="F2299" s="116">
        <v>4519.75</v>
      </c>
      <c r="G2299">
        <v>5782</v>
      </c>
      <c r="H2299" s="116"/>
      <c r="I2299" s="116"/>
      <c r="L2299" s="170">
        <v>46017</v>
      </c>
      <c r="M2299" s="116">
        <v>4518.3</v>
      </c>
      <c r="N2299" s="116">
        <v>4643</v>
      </c>
      <c r="O2299" s="116">
        <v>4509</v>
      </c>
      <c r="P2299" s="116">
        <v>4608</v>
      </c>
      <c r="Q2299" s="116">
        <v>4518.3</v>
      </c>
      <c r="R2299">
        <v>43929</v>
      </c>
    </row>
    <row r="2300" spans="1:18" x14ac:dyDescent="0.25">
      <c r="A2300" s="170">
        <v>46020</v>
      </c>
      <c r="B2300" s="116">
        <v>4567.7</v>
      </c>
      <c r="C2300" s="116">
        <v>4517.25</v>
      </c>
      <c r="D2300" s="116">
        <v>4471.3</v>
      </c>
      <c r="E2300" s="116">
        <v>4515</v>
      </c>
      <c r="F2300" s="116">
        <v>4517.25</v>
      </c>
      <c r="G2300">
        <v>8838</v>
      </c>
      <c r="H2300" s="116"/>
      <c r="I2300" s="116"/>
      <c r="L2300" s="170">
        <v>46020</v>
      </c>
      <c r="M2300" s="116">
        <v>4522.6000000000004</v>
      </c>
      <c r="N2300" s="116">
        <v>4567.6000000000004</v>
      </c>
      <c r="O2300" s="116">
        <v>4468.8999999999996</v>
      </c>
      <c r="P2300" s="116">
        <v>4518.3</v>
      </c>
      <c r="Q2300" s="116">
        <v>4522.6000000000004</v>
      </c>
      <c r="R2300">
        <v>59890</v>
      </c>
    </row>
    <row r="2301" spans="1:18" x14ac:dyDescent="0.25">
      <c r="A2301" s="170">
        <v>46021</v>
      </c>
      <c r="B2301" s="116">
        <v>4526.75</v>
      </c>
      <c r="C2301" s="116">
        <v>4446.75</v>
      </c>
      <c r="D2301" s="116">
        <v>4428</v>
      </c>
      <c r="E2301" s="116">
        <v>4521.05</v>
      </c>
      <c r="F2301" s="116">
        <v>4446.75</v>
      </c>
      <c r="G2301">
        <v>2243</v>
      </c>
      <c r="H2301" s="116"/>
      <c r="I2301" s="116"/>
      <c r="L2301" s="170">
        <v>46021</v>
      </c>
      <c r="M2301" s="116">
        <v>4438.5</v>
      </c>
      <c r="N2301" s="116">
        <v>4549</v>
      </c>
      <c r="O2301" s="116">
        <v>4425</v>
      </c>
      <c r="P2301" s="116">
        <v>4510</v>
      </c>
      <c r="Q2301" s="116">
        <v>4438.5</v>
      </c>
      <c r="R2301">
        <v>40070</v>
      </c>
    </row>
    <row r="2302" spans="1:18" x14ac:dyDescent="0.25">
      <c r="A2302" s="170">
        <v>46022</v>
      </c>
      <c r="B2302" s="116">
        <v>4525</v>
      </c>
      <c r="C2302" s="116">
        <v>4458.55</v>
      </c>
      <c r="D2302" s="116">
        <v>4428</v>
      </c>
      <c r="E2302" s="116">
        <v>4438.8500000000004</v>
      </c>
      <c r="F2302" s="116">
        <v>4458.55</v>
      </c>
      <c r="G2302">
        <v>4124</v>
      </c>
      <c r="H2302" s="116"/>
      <c r="I2302" s="116"/>
      <c r="L2302" s="170">
        <v>46022</v>
      </c>
      <c r="M2302" s="116">
        <v>4462.2</v>
      </c>
      <c r="N2302" s="116">
        <v>4529</v>
      </c>
      <c r="O2302" s="116">
        <v>4422.1000000000004</v>
      </c>
      <c r="P2302" s="116">
        <v>4438.5</v>
      </c>
      <c r="Q2302" s="116">
        <v>4462.2</v>
      </c>
      <c r="R2302">
        <v>59310</v>
      </c>
    </row>
    <row r="2303" spans="1:18" x14ac:dyDescent="0.25">
      <c r="A2303" s="170">
        <v>46023</v>
      </c>
      <c r="B2303" s="116">
        <v>4504.8500000000004</v>
      </c>
      <c r="C2303" s="116">
        <v>4380.55</v>
      </c>
      <c r="D2303" s="116">
        <v>4350.5</v>
      </c>
      <c r="E2303" s="116">
        <v>4458.6000000000004</v>
      </c>
      <c r="F2303" s="116">
        <v>4380.55</v>
      </c>
      <c r="G2303">
        <v>2776</v>
      </c>
      <c r="H2303" s="116"/>
      <c r="I2303" s="116"/>
      <c r="L2303" s="170">
        <v>46023</v>
      </c>
      <c r="M2303" s="116">
        <v>4380</v>
      </c>
      <c r="N2303" s="116">
        <v>4515</v>
      </c>
      <c r="O2303" s="116">
        <v>4351</v>
      </c>
      <c r="P2303" s="116">
        <v>4463</v>
      </c>
      <c r="Q2303" s="116">
        <v>4380</v>
      </c>
      <c r="R2303">
        <v>59526</v>
      </c>
    </row>
    <row r="2304" spans="1:18" x14ac:dyDescent="0.25">
      <c r="A2304" s="170">
        <v>46024</v>
      </c>
      <c r="B2304" s="116">
        <v>4438</v>
      </c>
      <c r="C2304" s="116">
        <v>4406.6000000000004</v>
      </c>
      <c r="D2304" s="116">
        <v>4379</v>
      </c>
      <c r="E2304" s="116">
        <v>4379</v>
      </c>
      <c r="F2304" s="116">
        <v>4406.6000000000004</v>
      </c>
      <c r="G2304">
        <v>5652</v>
      </c>
      <c r="H2304" s="116"/>
      <c r="I2304" s="116"/>
      <c r="L2304" s="170">
        <v>46024</v>
      </c>
      <c r="M2304" s="116">
        <v>4406.6000000000004</v>
      </c>
      <c r="N2304" s="116">
        <v>4439.8999999999996</v>
      </c>
      <c r="O2304" s="116">
        <v>4383</v>
      </c>
      <c r="P2304" s="116">
        <v>4384.8999999999996</v>
      </c>
      <c r="Q2304" s="116">
        <v>4406.6000000000004</v>
      </c>
      <c r="R2304">
        <v>54494</v>
      </c>
    </row>
    <row r="2305" spans="1:18" x14ac:dyDescent="0.25">
      <c r="A2305" s="170">
        <v>46027</v>
      </c>
      <c r="B2305" s="116">
        <v>4435</v>
      </c>
      <c r="C2305" s="116">
        <v>4409.8999999999996</v>
      </c>
      <c r="D2305" s="116">
        <v>4326.05</v>
      </c>
      <c r="E2305" s="116">
        <v>4383.2</v>
      </c>
      <c r="F2305" s="116">
        <v>4409.8999999999996</v>
      </c>
      <c r="G2305">
        <v>9013</v>
      </c>
      <c r="H2305" s="116"/>
      <c r="I2305" s="116"/>
      <c r="L2305" s="170">
        <v>46027</v>
      </c>
      <c r="M2305" s="116">
        <v>4416.1000000000004</v>
      </c>
      <c r="N2305" s="116">
        <v>4438</v>
      </c>
      <c r="O2305" s="116">
        <v>4327.3</v>
      </c>
      <c r="P2305" s="116">
        <v>4406</v>
      </c>
      <c r="Q2305" s="116">
        <v>4416.1000000000004</v>
      </c>
      <c r="R2305">
        <v>116631</v>
      </c>
    </row>
    <row r="2306" spans="1:18" x14ac:dyDescent="0.25">
      <c r="A2306" s="170">
        <v>46028</v>
      </c>
      <c r="B2306" s="116">
        <v>4406.1499999999996</v>
      </c>
      <c r="C2306" s="116">
        <v>4303.45</v>
      </c>
      <c r="D2306" s="116">
        <v>4280</v>
      </c>
      <c r="E2306" s="116">
        <v>4399.7</v>
      </c>
      <c r="F2306" s="116">
        <v>4303.45</v>
      </c>
      <c r="G2306">
        <v>3195</v>
      </c>
      <c r="H2306" s="116"/>
      <c r="I2306" s="116"/>
      <c r="L2306" s="170">
        <v>46028</v>
      </c>
      <c r="M2306" s="116">
        <v>4302.3999999999996</v>
      </c>
      <c r="N2306" s="116">
        <v>4408.3999999999996</v>
      </c>
      <c r="O2306" s="116">
        <v>4279.8</v>
      </c>
      <c r="P2306" s="116">
        <v>4354.3999999999996</v>
      </c>
      <c r="Q2306" s="116">
        <v>4302.3999999999996</v>
      </c>
      <c r="R2306">
        <v>90700</v>
      </c>
    </row>
    <row r="2307" spans="1:18" x14ac:dyDescent="0.25">
      <c r="A2307" s="170">
        <v>46029</v>
      </c>
      <c r="B2307" s="116">
        <v>4424</v>
      </c>
      <c r="C2307" s="116">
        <v>4392.8500000000004</v>
      </c>
      <c r="D2307" s="116">
        <v>4304.25</v>
      </c>
      <c r="E2307" s="116">
        <v>4308.8500000000004</v>
      </c>
      <c r="F2307" s="116">
        <v>4392.8500000000004</v>
      </c>
      <c r="G2307">
        <v>5668</v>
      </c>
      <c r="H2307" s="116"/>
      <c r="I2307" s="116"/>
      <c r="L2307" s="170">
        <v>46029</v>
      </c>
      <c r="M2307" s="116">
        <v>4392.6000000000004</v>
      </c>
      <c r="N2307" s="116">
        <v>4424.3999999999996</v>
      </c>
      <c r="O2307" s="116">
        <v>4290.3</v>
      </c>
      <c r="P2307" s="116">
        <v>4299.8999999999996</v>
      </c>
      <c r="Q2307" s="116">
        <v>4392.6000000000004</v>
      </c>
      <c r="R2307">
        <v>111933</v>
      </c>
    </row>
    <row r="2308" spans="1:18" x14ac:dyDescent="0.25">
      <c r="A2308" s="170">
        <v>46030</v>
      </c>
      <c r="B2308" s="116">
        <v>4435</v>
      </c>
      <c r="C2308" s="116">
        <v>4419.6000000000004</v>
      </c>
      <c r="D2308" s="116">
        <v>4350</v>
      </c>
      <c r="E2308" s="116">
        <v>4393.1000000000004</v>
      </c>
      <c r="F2308" s="116">
        <v>4419.6000000000004</v>
      </c>
      <c r="G2308">
        <v>41441</v>
      </c>
      <c r="H2308" s="116"/>
      <c r="I2308" s="116"/>
      <c r="L2308" s="170">
        <v>46030</v>
      </c>
      <c r="M2308" s="116">
        <v>4421.5</v>
      </c>
      <c r="N2308" s="116">
        <v>4437.5</v>
      </c>
      <c r="O2308" s="116">
        <v>4350</v>
      </c>
      <c r="P2308" s="116">
        <v>4398</v>
      </c>
      <c r="Q2308" s="116">
        <v>4421.5</v>
      </c>
      <c r="R2308">
        <v>83941</v>
      </c>
    </row>
    <row r="2309" spans="1:18" x14ac:dyDescent="0.25">
      <c r="A2309" s="170">
        <v>46031</v>
      </c>
      <c r="B2309" s="116">
        <v>4438.45</v>
      </c>
      <c r="C2309" s="116">
        <v>4354</v>
      </c>
      <c r="D2309" s="116">
        <v>4340.1499999999996</v>
      </c>
      <c r="E2309" s="116">
        <v>4418.1499999999996</v>
      </c>
      <c r="F2309" s="116">
        <v>4354</v>
      </c>
      <c r="G2309">
        <v>3118</v>
      </c>
      <c r="H2309" s="116"/>
      <c r="I2309" s="116"/>
      <c r="L2309" s="170">
        <v>46031</v>
      </c>
      <c r="M2309" s="116">
        <v>4355.3999999999996</v>
      </c>
      <c r="N2309" s="116">
        <v>4437.8999999999996</v>
      </c>
      <c r="O2309" s="116">
        <v>4338.5</v>
      </c>
      <c r="P2309" s="116">
        <v>4401.1000000000004</v>
      </c>
      <c r="Q2309" s="116">
        <v>4355.3999999999996</v>
      </c>
      <c r="R2309">
        <v>34464</v>
      </c>
    </row>
    <row r="2310" spans="1:18" x14ac:dyDescent="0.25">
      <c r="A2310" s="170">
        <v>46034</v>
      </c>
      <c r="B2310" s="116">
        <v>4364.95</v>
      </c>
      <c r="C2310" s="116">
        <v>4316.05</v>
      </c>
      <c r="D2310" s="116">
        <v>4253.55</v>
      </c>
      <c r="E2310" s="116">
        <v>4364.95</v>
      </c>
      <c r="F2310" s="116">
        <v>4316.05</v>
      </c>
      <c r="G2310">
        <v>2232</v>
      </c>
      <c r="H2310" s="116"/>
      <c r="I2310" s="116"/>
      <c r="L2310" s="170">
        <v>46034</v>
      </c>
      <c r="M2310" s="116">
        <v>4316.3</v>
      </c>
      <c r="N2310" s="116">
        <v>4356.5</v>
      </c>
      <c r="O2310" s="116">
        <v>4247.2</v>
      </c>
      <c r="P2310" s="116">
        <v>4355.5</v>
      </c>
      <c r="Q2310" s="116">
        <v>4316.3</v>
      </c>
      <c r="R2310">
        <v>43196</v>
      </c>
    </row>
    <row r="2311" spans="1:18" x14ac:dyDescent="0.25">
      <c r="A2311" s="170">
        <v>46035</v>
      </c>
      <c r="B2311" s="116">
        <v>4340.95</v>
      </c>
      <c r="C2311" s="116">
        <v>4317.95</v>
      </c>
      <c r="D2311" s="116">
        <v>4290</v>
      </c>
      <c r="E2311" s="116">
        <v>4338.95</v>
      </c>
      <c r="F2311" s="116">
        <v>4317.95</v>
      </c>
      <c r="G2311">
        <v>525</v>
      </c>
      <c r="H2311" s="116"/>
      <c r="I2311" s="116"/>
      <c r="L2311" s="170">
        <v>46035</v>
      </c>
      <c r="M2311" s="116">
        <v>4317.7</v>
      </c>
      <c r="N2311" s="116">
        <v>4350.5</v>
      </c>
      <c r="O2311" s="116">
        <v>4287.7</v>
      </c>
      <c r="P2311" s="116">
        <v>4321</v>
      </c>
      <c r="Q2311" s="116">
        <v>4317.7</v>
      </c>
      <c r="R2311">
        <v>28800</v>
      </c>
    </row>
    <row r="2312" spans="1:18" x14ac:dyDescent="0.25">
      <c r="A2312" s="170">
        <v>46036</v>
      </c>
      <c r="B2312" s="116">
        <v>4365.25</v>
      </c>
      <c r="C2312" s="116">
        <v>4245.3</v>
      </c>
      <c r="D2312" s="116">
        <v>4236</v>
      </c>
      <c r="E2312" s="116">
        <v>4365.25</v>
      </c>
      <c r="F2312" s="116">
        <v>4245.3</v>
      </c>
      <c r="G2312">
        <v>2805</v>
      </c>
      <c r="H2312" s="116"/>
      <c r="I2312" s="116"/>
      <c r="L2312" s="170">
        <v>46036</v>
      </c>
      <c r="M2312" s="116">
        <v>4243.8</v>
      </c>
      <c r="N2312" s="116">
        <v>4350.1000000000004</v>
      </c>
      <c r="O2312" s="116">
        <v>4231.8</v>
      </c>
      <c r="P2312" s="116">
        <v>4350</v>
      </c>
      <c r="Q2312" s="116">
        <v>4243.8</v>
      </c>
      <c r="R2312">
        <v>34963</v>
      </c>
    </row>
    <row r="2313" spans="1:18" x14ac:dyDescent="0.25">
      <c r="A2313" s="170">
        <v>46038</v>
      </c>
      <c r="B2313" s="116">
        <v>4172.45</v>
      </c>
      <c r="C2313" s="116">
        <v>3919.5</v>
      </c>
      <c r="D2313" s="116">
        <v>3891.05</v>
      </c>
      <c r="E2313" s="116">
        <v>4156.2</v>
      </c>
      <c r="F2313" s="116">
        <v>3919.5</v>
      </c>
      <c r="G2313">
        <v>31106</v>
      </c>
      <c r="H2313" s="116"/>
      <c r="I2313" s="116"/>
      <c r="L2313" s="170">
        <v>46038</v>
      </c>
      <c r="M2313" s="116">
        <v>3917.1</v>
      </c>
      <c r="N2313" s="116">
        <v>4168</v>
      </c>
      <c r="O2313" s="116">
        <v>3891</v>
      </c>
      <c r="P2313" s="116">
        <v>4168</v>
      </c>
      <c r="Q2313" s="116">
        <v>3917.1</v>
      </c>
      <c r="R2313">
        <v>456682</v>
      </c>
    </row>
    <row r="2314" spans="1:18" x14ac:dyDescent="0.25">
      <c r="A2314" s="170">
        <v>46041</v>
      </c>
      <c r="B2314" s="116">
        <v>3910</v>
      </c>
      <c r="C2314" s="116">
        <v>3865.25</v>
      </c>
      <c r="D2314" s="116">
        <v>3845.2</v>
      </c>
      <c r="E2314" s="116">
        <v>3910</v>
      </c>
      <c r="F2314" s="116">
        <v>3865.25</v>
      </c>
      <c r="G2314">
        <v>11503</v>
      </c>
      <c r="H2314" s="116"/>
      <c r="I2314" s="116"/>
      <c r="L2314" s="170">
        <v>46041</v>
      </c>
      <c r="M2314" s="116">
        <v>3870</v>
      </c>
      <c r="N2314" s="116">
        <v>3917</v>
      </c>
      <c r="O2314" s="116">
        <v>3845</v>
      </c>
      <c r="P2314" s="116">
        <v>3917</v>
      </c>
      <c r="Q2314" s="116">
        <v>3870</v>
      </c>
      <c r="R2314">
        <v>119053</v>
      </c>
    </row>
    <row r="2315" spans="1:18" x14ac:dyDescent="0.25">
      <c r="A2315" s="170">
        <v>46042</v>
      </c>
      <c r="B2315" s="116">
        <v>3861.75</v>
      </c>
      <c r="C2315" s="116">
        <v>3829.05</v>
      </c>
      <c r="D2315" s="116">
        <v>3805</v>
      </c>
      <c r="E2315" s="116">
        <v>3860</v>
      </c>
      <c r="F2315" s="116">
        <v>3829.05</v>
      </c>
      <c r="G2315">
        <v>5869</v>
      </c>
      <c r="H2315" s="116"/>
      <c r="I2315" s="116"/>
      <c r="L2315" s="170">
        <v>46042</v>
      </c>
      <c r="M2315" s="116">
        <v>3825.9</v>
      </c>
      <c r="N2315" s="116">
        <v>3864</v>
      </c>
      <c r="O2315" s="116">
        <v>3804</v>
      </c>
      <c r="P2315" s="116">
        <v>3864</v>
      </c>
      <c r="Q2315" s="116">
        <v>3825.9</v>
      </c>
      <c r="R2315">
        <v>73037</v>
      </c>
    </row>
    <row r="2316" spans="1:18" x14ac:dyDescent="0.25">
      <c r="A2316" s="170">
        <v>46043</v>
      </c>
      <c r="B2316" s="116">
        <v>3903.85</v>
      </c>
      <c r="C2316" s="116">
        <v>3893.2</v>
      </c>
      <c r="D2316" s="116">
        <v>3715.25</v>
      </c>
      <c r="E2316" s="116">
        <v>3828.9</v>
      </c>
      <c r="F2316" s="116">
        <v>3893.2</v>
      </c>
      <c r="G2316">
        <v>13015</v>
      </c>
      <c r="H2316" s="116"/>
      <c r="I2316" s="116"/>
      <c r="L2316" s="170">
        <v>46043</v>
      </c>
      <c r="M2316" s="116">
        <v>3898.7</v>
      </c>
      <c r="N2316" s="116">
        <v>3903.7</v>
      </c>
      <c r="O2316" s="116">
        <v>3716</v>
      </c>
      <c r="P2316" s="116">
        <v>3825</v>
      </c>
      <c r="Q2316" s="116">
        <v>3898.7</v>
      </c>
      <c r="R2316">
        <v>154994</v>
      </c>
    </row>
    <row r="2317" spans="1:18" x14ac:dyDescent="0.25">
      <c r="A2317" s="170">
        <v>46044</v>
      </c>
      <c r="B2317" s="116">
        <v>3939</v>
      </c>
      <c r="C2317" s="116">
        <v>3879</v>
      </c>
      <c r="D2317" s="116">
        <v>3840.9</v>
      </c>
      <c r="E2317" s="116">
        <v>3900.85</v>
      </c>
      <c r="F2317" s="116">
        <v>3879</v>
      </c>
      <c r="G2317">
        <v>2611</v>
      </c>
      <c r="H2317" s="116"/>
      <c r="I2317" s="116"/>
      <c r="L2317" s="170">
        <v>46044</v>
      </c>
      <c r="M2317" s="116">
        <v>3881.4</v>
      </c>
      <c r="N2317" s="116">
        <v>3936.8</v>
      </c>
      <c r="O2317" s="116">
        <v>3841</v>
      </c>
      <c r="P2317" s="116">
        <v>3904.9</v>
      </c>
      <c r="Q2317" s="116">
        <v>3881.4</v>
      </c>
      <c r="R2317">
        <v>51999</v>
      </c>
    </row>
    <row r="2318" spans="1:18" x14ac:dyDescent="0.25">
      <c r="A2318" s="170">
        <v>46045</v>
      </c>
      <c r="B2318" s="116">
        <v>3949.85</v>
      </c>
      <c r="C2318" s="116">
        <v>3837.7</v>
      </c>
      <c r="D2318" s="116">
        <v>3816.65</v>
      </c>
      <c r="E2318" s="116">
        <v>3949.85</v>
      </c>
      <c r="F2318" s="116">
        <v>3837.7</v>
      </c>
      <c r="G2318">
        <v>2485</v>
      </c>
      <c r="H2318" s="116"/>
      <c r="I2318" s="116"/>
      <c r="L2318" s="170">
        <v>46045</v>
      </c>
      <c r="M2318" s="116">
        <v>3837.9</v>
      </c>
      <c r="N2318" s="116">
        <v>3890</v>
      </c>
      <c r="O2318" s="116">
        <v>3818</v>
      </c>
      <c r="P2318" s="116">
        <v>3890</v>
      </c>
      <c r="Q2318" s="116">
        <v>3837.9</v>
      </c>
      <c r="R2318">
        <v>56299</v>
      </c>
    </row>
    <row r="2319" spans="1:18" x14ac:dyDescent="0.25">
      <c r="A2319" s="170">
        <v>46049</v>
      </c>
      <c r="B2319" s="116">
        <v>3832.9</v>
      </c>
      <c r="C2319" s="116">
        <v>3797.9</v>
      </c>
      <c r="D2319" s="116">
        <v>3768.75</v>
      </c>
      <c r="E2319" s="116">
        <v>3825.15</v>
      </c>
      <c r="F2319" s="116">
        <v>3797.9</v>
      </c>
      <c r="G2319">
        <v>2403</v>
      </c>
      <c r="H2319" s="116"/>
      <c r="I2319" s="116"/>
      <c r="L2319" s="170">
        <v>46049</v>
      </c>
      <c r="M2319" s="116">
        <v>3797.6</v>
      </c>
      <c r="N2319" s="116">
        <v>3838.2</v>
      </c>
      <c r="O2319" s="116">
        <v>3766.7</v>
      </c>
      <c r="P2319" s="116">
        <v>3837</v>
      </c>
      <c r="Q2319" s="116">
        <v>3797.6</v>
      </c>
      <c r="R2319">
        <v>43547</v>
      </c>
    </row>
    <row r="2320" spans="1:18" x14ac:dyDescent="0.25">
      <c r="A2320" s="170">
        <v>46050</v>
      </c>
      <c r="B2320" s="116">
        <v>3870</v>
      </c>
      <c r="C2320" s="116">
        <v>3856.5</v>
      </c>
      <c r="D2320" s="116">
        <v>3776.3</v>
      </c>
      <c r="E2320" s="116">
        <v>3798.65</v>
      </c>
      <c r="F2320" s="116">
        <v>3856.5</v>
      </c>
      <c r="G2320">
        <v>5764</v>
      </c>
      <c r="H2320" s="116"/>
      <c r="I2320" s="116"/>
      <c r="L2320" s="170">
        <v>46050</v>
      </c>
      <c r="M2320" s="116">
        <v>3857.2</v>
      </c>
      <c r="N2320" s="116">
        <v>3868.4</v>
      </c>
      <c r="O2320" s="116">
        <v>3777</v>
      </c>
      <c r="P2320" s="116">
        <v>3812</v>
      </c>
      <c r="Q2320" s="116">
        <v>3857.2</v>
      </c>
      <c r="R2320">
        <v>37083</v>
      </c>
    </row>
    <row r="2321" spans="1:18" x14ac:dyDescent="0.25">
      <c r="A2321" s="170">
        <v>46051</v>
      </c>
      <c r="B2321" s="116">
        <v>3864.25</v>
      </c>
      <c r="C2321" s="116">
        <v>3751.55</v>
      </c>
      <c r="D2321" s="116">
        <v>3744.65</v>
      </c>
      <c r="E2321" s="116">
        <v>3854.15</v>
      </c>
      <c r="F2321" s="116">
        <v>3751.55</v>
      </c>
      <c r="G2321">
        <v>4562</v>
      </c>
      <c r="H2321" s="116"/>
      <c r="I2321" s="116"/>
      <c r="L2321" s="170">
        <v>46051</v>
      </c>
      <c r="M2321" s="116">
        <v>3755.9</v>
      </c>
      <c r="N2321" s="116">
        <v>3864.4</v>
      </c>
      <c r="O2321" s="116">
        <v>3745</v>
      </c>
      <c r="P2321" s="116">
        <v>3840</v>
      </c>
      <c r="Q2321" s="116">
        <v>3755.9</v>
      </c>
      <c r="R2321">
        <v>75380</v>
      </c>
    </row>
    <row r="2322" spans="1:18" x14ac:dyDescent="0.25">
      <c r="A2322" s="170">
        <v>46052</v>
      </c>
      <c r="B2322" s="116">
        <v>3751.9</v>
      </c>
      <c r="C2322" s="116">
        <v>3720.45</v>
      </c>
      <c r="D2322" s="116">
        <v>3712</v>
      </c>
      <c r="E2322" s="116">
        <v>3751.6</v>
      </c>
      <c r="F2322" s="116">
        <v>3720.45</v>
      </c>
      <c r="G2322">
        <v>2472</v>
      </c>
      <c r="H2322" s="116"/>
      <c r="I2322" s="116"/>
      <c r="L2322" s="170">
        <v>46052</v>
      </c>
      <c r="M2322" s="116">
        <v>3722.8</v>
      </c>
      <c r="N2322" s="116">
        <v>3759</v>
      </c>
      <c r="O2322" s="116">
        <v>3712.1</v>
      </c>
      <c r="P2322" s="116">
        <v>3758</v>
      </c>
      <c r="Q2322" s="116">
        <v>3722.8</v>
      </c>
      <c r="R2322">
        <v>61047</v>
      </c>
    </row>
    <row r="2323" spans="1:18" x14ac:dyDescent="0.25">
      <c r="A2323" s="170">
        <v>46054</v>
      </c>
      <c r="B2323" s="116">
        <v>3789</v>
      </c>
      <c r="C2323" s="116">
        <v>3769.3</v>
      </c>
      <c r="D2323" s="116">
        <v>3700.15</v>
      </c>
      <c r="E2323" s="116">
        <v>3725.45</v>
      </c>
      <c r="F2323" s="116">
        <v>3769.3</v>
      </c>
      <c r="G2323">
        <v>2230</v>
      </c>
      <c r="H2323" s="116"/>
      <c r="I2323" s="116"/>
      <c r="L2323" s="170">
        <v>46054</v>
      </c>
      <c r="M2323" s="116">
        <v>3768.4</v>
      </c>
      <c r="N2323" s="116">
        <v>3789.7</v>
      </c>
      <c r="O2323" s="116">
        <v>3700</v>
      </c>
      <c r="P2323" s="116">
        <v>3750</v>
      </c>
      <c r="Q2323" s="116">
        <v>3768.4</v>
      </c>
      <c r="R2323">
        <v>34082</v>
      </c>
    </row>
    <row r="2324" spans="1:18" x14ac:dyDescent="0.25">
      <c r="A2324" s="170">
        <v>46055</v>
      </c>
      <c r="B2324" s="116">
        <v>3779.95</v>
      </c>
      <c r="C2324" s="116">
        <v>3688.55</v>
      </c>
      <c r="D2324" s="116">
        <v>3654</v>
      </c>
      <c r="E2324" s="116">
        <v>3761</v>
      </c>
      <c r="F2324" s="116">
        <v>3688.55</v>
      </c>
      <c r="G2324">
        <v>5619</v>
      </c>
      <c r="H2324" s="116"/>
      <c r="I2324" s="116"/>
      <c r="L2324" s="170">
        <v>46055</v>
      </c>
      <c r="M2324" s="116">
        <v>3693.2</v>
      </c>
      <c r="N2324" s="116">
        <v>3785</v>
      </c>
      <c r="O2324" s="116">
        <v>3654</v>
      </c>
      <c r="P2324" s="116">
        <v>3770.4</v>
      </c>
      <c r="Q2324" s="116">
        <v>3693.2</v>
      </c>
      <c r="R2324">
        <v>64603</v>
      </c>
    </row>
    <row r="2325" spans="1:18" x14ac:dyDescent="0.25">
      <c r="A2325" s="170">
        <v>46056</v>
      </c>
      <c r="B2325" s="116">
        <v>3879.8</v>
      </c>
      <c r="C2325" s="116">
        <v>3810.25</v>
      </c>
      <c r="D2325" s="116">
        <v>3762.05</v>
      </c>
      <c r="E2325" s="116">
        <v>3879.8</v>
      </c>
      <c r="F2325" s="116">
        <v>3810.25</v>
      </c>
      <c r="G2325">
        <v>6384</v>
      </c>
      <c r="H2325" s="116"/>
      <c r="I2325" s="116"/>
      <c r="L2325" s="170">
        <v>46056</v>
      </c>
      <c r="M2325" s="116">
        <v>3807.6</v>
      </c>
      <c r="N2325" s="116">
        <v>3850</v>
      </c>
      <c r="O2325" s="116">
        <v>3760.3</v>
      </c>
      <c r="P2325" s="116">
        <v>3850</v>
      </c>
      <c r="Q2325" s="116">
        <v>3807.6</v>
      </c>
      <c r="R2325">
        <v>77973</v>
      </c>
    </row>
    <row r="2326" spans="1:18" x14ac:dyDescent="0.25">
      <c r="A2326" s="170">
        <v>46057</v>
      </c>
      <c r="B2326" s="116">
        <v>3835</v>
      </c>
      <c r="C2326" s="116">
        <v>3814.7</v>
      </c>
      <c r="D2326" s="116">
        <v>3716.1</v>
      </c>
      <c r="E2326" s="116">
        <v>3799.95</v>
      </c>
      <c r="F2326" s="116">
        <v>3814.7</v>
      </c>
      <c r="G2326">
        <v>5912</v>
      </c>
      <c r="H2326" s="116"/>
      <c r="I2326" s="116"/>
      <c r="L2326" s="170">
        <v>46057</v>
      </c>
      <c r="M2326" s="116">
        <v>3812.3</v>
      </c>
      <c r="N2326" s="116">
        <v>3835</v>
      </c>
      <c r="O2326" s="116">
        <v>3712.9</v>
      </c>
      <c r="P2326" s="116">
        <v>3758.1</v>
      </c>
      <c r="Q2326" s="116">
        <v>3812.3</v>
      </c>
      <c r="R2326">
        <v>94968</v>
      </c>
    </row>
    <row r="2327" spans="1:18" x14ac:dyDescent="0.25">
      <c r="A2327" s="170">
        <v>46058</v>
      </c>
      <c r="B2327" s="116">
        <v>3843.25</v>
      </c>
      <c r="C2327" s="116">
        <v>3808.5</v>
      </c>
      <c r="D2327" s="116">
        <v>3766</v>
      </c>
      <c r="E2327" s="116">
        <v>3843.25</v>
      </c>
      <c r="F2327" s="116">
        <v>3808.5</v>
      </c>
      <c r="G2327">
        <v>4169</v>
      </c>
      <c r="H2327" s="116"/>
      <c r="I2327" s="116"/>
      <c r="L2327" s="170">
        <v>46058</v>
      </c>
      <c r="M2327" s="116">
        <v>3809</v>
      </c>
      <c r="N2327" s="116">
        <v>3834</v>
      </c>
      <c r="O2327" s="116">
        <v>3767</v>
      </c>
      <c r="P2327" s="116">
        <v>3815</v>
      </c>
      <c r="Q2327" s="116">
        <v>3809</v>
      </c>
      <c r="R2327">
        <v>56196</v>
      </c>
    </row>
    <row r="2328" spans="1:18" x14ac:dyDescent="0.25">
      <c r="A2328" s="170">
        <v>46059</v>
      </c>
      <c r="B2328" s="116">
        <v>3875</v>
      </c>
      <c r="C2328" s="116">
        <v>3860.35</v>
      </c>
      <c r="D2328" s="116">
        <v>3751.65</v>
      </c>
      <c r="E2328" s="116">
        <v>3751.65</v>
      </c>
      <c r="F2328" s="116">
        <v>3860.35</v>
      </c>
      <c r="G2328">
        <v>2894</v>
      </c>
      <c r="H2328" s="116"/>
      <c r="I2328" s="116"/>
      <c r="L2328" s="170">
        <v>46059</v>
      </c>
      <c r="M2328" s="116">
        <v>3855.8</v>
      </c>
      <c r="N2328" s="116">
        <v>3875</v>
      </c>
      <c r="O2328" s="116">
        <v>3771.9</v>
      </c>
      <c r="P2328" s="116">
        <v>3800</v>
      </c>
      <c r="Q2328" s="116">
        <v>3855.8</v>
      </c>
      <c r="R2328">
        <v>88010</v>
      </c>
    </row>
    <row r="2329" spans="1:18" x14ac:dyDescent="0.25">
      <c r="A2329" s="170">
        <v>46062</v>
      </c>
      <c r="B2329" s="116">
        <v>3908.2</v>
      </c>
      <c r="C2329" s="116">
        <v>3899.8</v>
      </c>
      <c r="D2329" s="116">
        <v>3850</v>
      </c>
      <c r="E2329" s="116">
        <v>3861.15</v>
      </c>
      <c r="F2329" s="116">
        <v>3899.8</v>
      </c>
      <c r="G2329">
        <v>5365</v>
      </c>
      <c r="H2329" s="116"/>
      <c r="I2329" s="116"/>
      <c r="L2329" s="170">
        <v>46062</v>
      </c>
      <c r="M2329" s="116">
        <v>3901</v>
      </c>
      <c r="N2329" s="116">
        <v>3908</v>
      </c>
      <c r="O2329" s="116">
        <v>3850</v>
      </c>
      <c r="P2329" s="116">
        <v>3880</v>
      </c>
      <c r="Q2329" s="116">
        <v>3901</v>
      </c>
      <c r="R2329">
        <v>41843</v>
      </c>
    </row>
    <row r="2330" spans="1:18" x14ac:dyDescent="0.25">
      <c r="A2330" s="170">
        <v>46063</v>
      </c>
      <c r="B2330" s="116">
        <v>3918</v>
      </c>
      <c r="C2330" s="116">
        <v>3905.5</v>
      </c>
      <c r="D2330" s="116">
        <v>3859.5</v>
      </c>
      <c r="E2330" s="116">
        <v>3916.5</v>
      </c>
      <c r="F2330" s="116">
        <v>3905.5</v>
      </c>
      <c r="G2330">
        <v>1345</v>
      </c>
      <c r="H2330" s="116"/>
      <c r="I2330" s="116"/>
      <c r="L2330" s="170">
        <v>46063</v>
      </c>
      <c r="M2330" s="116">
        <v>3903.1</v>
      </c>
      <c r="N2330" s="116">
        <v>3924</v>
      </c>
      <c r="O2330" s="116">
        <v>3870.4</v>
      </c>
      <c r="P2330" s="116">
        <v>3909.1</v>
      </c>
      <c r="Q2330" s="116">
        <v>3903.1</v>
      </c>
      <c r="R2330">
        <v>40724</v>
      </c>
    </row>
    <row r="2331" spans="1:18" x14ac:dyDescent="0.25">
      <c r="A2331" s="170">
        <v>46064</v>
      </c>
      <c r="B2331" s="116">
        <v>3948.35</v>
      </c>
      <c r="C2331" s="116">
        <v>3836.65</v>
      </c>
      <c r="D2331" s="116">
        <v>3817.05</v>
      </c>
      <c r="E2331" s="116">
        <v>3948.35</v>
      </c>
      <c r="F2331" s="116">
        <v>3836.65</v>
      </c>
      <c r="G2331">
        <v>5439</v>
      </c>
      <c r="H2331" s="116"/>
      <c r="I2331" s="116"/>
      <c r="L2331" s="170">
        <v>46064</v>
      </c>
      <c r="M2331" s="116">
        <v>3838</v>
      </c>
      <c r="N2331" s="116">
        <v>3930</v>
      </c>
      <c r="O2331" s="116">
        <v>3816.7</v>
      </c>
      <c r="P2331" s="116">
        <v>3930</v>
      </c>
      <c r="Q2331" s="116">
        <v>3838</v>
      </c>
      <c r="R2331">
        <v>62764</v>
      </c>
    </row>
    <row r="2332" spans="1:18" x14ac:dyDescent="0.25">
      <c r="A2332" s="170">
        <v>46065</v>
      </c>
      <c r="B2332" s="116">
        <v>3807</v>
      </c>
      <c r="C2332" s="116">
        <v>3702.75</v>
      </c>
      <c r="D2332" s="116">
        <v>3688.8</v>
      </c>
      <c r="E2332" s="116">
        <v>3807</v>
      </c>
      <c r="F2332" s="116">
        <v>3702.75</v>
      </c>
      <c r="G2332">
        <v>4735</v>
      </c>
      <c r="H2332" s="116"/>
      <c r="I2332" s="116"/>
      <c r="L2332" s="170">
        <v>46065</v>
      </c>
      <c r="M2332" s="116">
        <v>3704.1</v>
      </c>
      <c r="N2332" s="116">
        <v>3812</v>
      </c>
      <c r="O2332" s="116">
        <v>3688.8</v>
      </c>
      <c r="P2332" s="116">
        <v>3812</v>
      </c>
      <c r="Q2332" s="116">
        <v>3704.1</v>
      </c>
      <c r="R2332">
        <v>168125</v>
      </c>
    </row>
    <row r="2333" spans="1:18" x14ac:dyDescent="0.25">
      <c r="A2333" s="170">
        <v>46066</v>
      </c>
      <c r="B2333" s="116">
        <v>3675</v>
      </c>
      <c r="C2333" s="116">
        <v>3512.35</v>
      </c>
      <c r="D2333" s="116">
        <v>3491.15</v>
      </c>
      <c r="E2333" s="116">
        <v>3603</v>
      </c>
      <c r="F2333" s="116">
        <v>3512.35</v>
      </c>
      <c r="G2333">
        <v>162883</v>
      </c>
      <c r="H2333" s="116"/>
      <c r="I2333" s="116"/>
      <c r="L2333" s="170">
        <v>46066</v>
      </c>
      <c r="M2333" s="116">
        <v>3509.3</v>
      </c>
      <c r="N2333" s="116">
        <v>3678.1</v>
      </c>
      <c r="O2333" s="116">
        <v>3490</v>
      </c>
      <c r="P2333" s="116">
        <v>3640</v>
      </c>
      <c r="Q2333" s="116">
        <v>3509.3</v>
      </c>
      <c r="R2333">
        <v>256090</v>
      </c>
    </row>
    <row r="2334" spans="1:18" x14ac:dyDescent="0.25">
      <c r="A2334" s="170">
        <v>46069</v>
      </c>
      <c r="B2334" s="116">
        <v>3614.95</v>
      </c>
      <c r="C2334" s="116">
        <v>3530.55</v>
      </c>
      <c r="D2334" s="116">
        <v>3455.8</v>
      </c>
      <c r="E2334" s="116">
        <v>3512.3</v>
      </c>
      <c r="F2334" s="116">
        <v>3530.55</v>
      </c>
      <c r="G2334">
        <v>14980</v>
      </c>
      <c r="H2334" s="116"/>
      <c r="I2334" s="116"/>
      <c r="L2334" s="170">
        <v>46069</v>
      </c>
      <c r="M2334" s="116">
        <v>3518.4</v>
      </c>
      <c r="N2334" s="116">
        <v>3616.1</v>
      </c>
      <c r="O2334" s="116">
        <v>3454</v>
      </c>
      <c r="P2334" s="116">
        <v>3509.3</v>
      </c>
      <c r="Q2334" s="116">
        <v>3518.4</v>
      </c>
      <c r="R2334">
        <v>177254</v>
      </c>
    </row>
    <row r="2335" spans="1:18" x14ac:dyDescent="0.25">
      <c r="A2335" s="170">
        <v>46070</v>
      </c>
      <c r="B2335" s="116">
        <v>3568</v>
      </c>
      <c r="C2335" s="116">
        <v>3512.3</v>
      </c>
      <c r="D2335" s="116">
        <v>3491</v>
      </c>
      <c r="E2335" s="116">
        <v>3548.8</v>
      </c>
      <c r="F2335" s="116">
        <v>3512.3</v>
      </c>
      <c r="G2335">
        <v>5430</v>
      </c>
      <c r="H2335" s="116"/>
      <c r="I2335" s="116"/>
      <c r="L2335" s="170">
        <v>46070</v>
      </c>
      <c r="M2335" s="116">
        <v>3511.5</v>
      </c>
      <c r="N2335" s="116">
        <v>3569</v>
      </c>
      <c r="O2335" s="116">
        <v>3489</v>
      </c>
      <c r="P2335" s="116">
        <v>3520</v>
      </c>
      <c r="Q2335" s="116">
        <v>3511.5</v>
      </c>
      <c r="R2335">
        <v>104720</v>
      </c>
    </row>
    <row r="2336" spans="1:18" x14ac:dyDescent="0.25">
      <c r="A2336" s="170">
        <v>46071</v>
      </c>
      <c r="B2336" s="116">
        <v>3515.5</v>
      </c>
      <c r="C2336" s="116">
        <v>3492.9</v>
      </c>
      <c r="D2336" s="116">
        <v>3451.1</v>
      </c>
      <c r="E2336" s="116">
        <v>3514.05</v>
      </c>
      <c r="F2336" s="116">
        <v>3492.9</v>
      </c>
      <c r="G2336">
        <v>5543</v>
      </c>
      <c r="H2336" s="116"/>
      <c r="I2336" s="116"/>
      <c r="L2336" s="170">
        <v>46071</v>
      </c>
      <c r="M2336" s="116">
        <v>3495</v>
      </c>
      <c r="N2336" s="116">
        <v>3535</v>
      </c>
      <c r="O2336" s="116">
        <v>3452.5</v>
      </c>
      <c r="P2336" s="116">
        <v>3535</v>
      </c>
      <c r="Q2336" s="116">
        <v>3495</v>
      </c>
      <c r="R2336">
        <v>125657</v>
      </c>
    </row>
    <row r="2337" spans="1:18" x14ac:dyDescent="0.25">
      <c r="A2337" s="170">
        <v>46072</v>
      </c>
      <c r="B2337" s="116">
        <v>3512.25</v>
      </c>
      <c r="C2337" s="116">
        <v>3441.8</v>
      </c>
      <c r="D2337" s="116">
        <v>3420</v>
      </c>
      <c r="E2337" s="116">
        <v>3507.15</v>
      </c>
      <c r="F2337" s="116">
        <v>3441.8</v>
      </c>
      <c r="G2337">
        <v>3389</v>
      </c>
      <c r="H2337" s="116"/>
      <c r="I2337" s="116"/>
      <c r="L2337" s="170">
        <v>46072</v>
      </c>
      <c r="M2337" s="116">
        <v>3446.5</v>
      </c>
      <c r="N2337" s="116">
        <v>3519</v>
      </c>
      <c r="O2337" s="116">
        <v>3410.8</v>
      </c>
      <c r="P2337" s="116">
        <v>3495</v>
      </c>
      <c r="Q2337" s="116">
        <v>3446.5</v>
      </c>
      <c r="R2337">
        <v>78856</v>
      </c>
    </row>
    <row r="2338" spans="1:18" x14ac:dyDescent="0.25">
      <c r="A2338" s="170">
        <v>46073</v>
      </c>
      <c r="B2338" s="116">
        <v>3469.55</v>
      </c>
      <c r="C2338" s="116">
        <v>3398.65</v>
      </c>
      <c r="D2338" s="116">
        <v>3369</v>
      </c>
      <c r="E2338" s="116">
        <v>3469.55</v>
      </c>
      <c r="F2338" s="116">
        <v>3398.65</v>
      </c>
      <c r="G2338">
        <v>5446</v>
      </c>
      <c r="H2338" s="116"/>
      <c r="I2338" s="116"/>
      <c r="L2338" s="170">
        <v>46073</v>
      </c>
      <c r="M2338" s="116">
        <v>3396.6</v>
      </c>
      <c r="N2338" s="116">
        <v>3438.3</v>
      </c>
      <c r="O2338" s="116">
        <v>3366.4</v>
      </c>
      <c r="P2338" s="116">
        <v>3438.3</v>
      </c>
      <c r="Q2338" s="116">
        <v>3396.6</v>
      </c>
      <c r="R2338">
        <v>110977</v>
      </c>
    </row>
    <row r="2339" spans="1:18" x14ac:dyDescent="0.25">
      <c r="A2339" s="170">
        <v>46076</v>
      </c>
      <c r="B2339" s="116">
        <v>3449.9</v>
      </c>
      <c r="C2339" s="116">
        <v>3437.75</v>
      </c>
      <c r="D2339" s="116">
        <v>3361.2</v>
      </c>
      <c r="E2339" s="116">
        <v>3420</v>
      </c>
      <c r="F2339" s="116">
        <v>3437.75</v>
      </c>
      <c r="G2339">
        <v>10052</v>
      </c>
      <c r="H2339" s="116"/>
      <c r="I2339" s="116"/>
      <c r="L2339" s="170">
        <v>46076</v>
      </c>
      <c r="M2339" s="116">
        <v>3439.4</v>
      </c>
      <c r="N2339" s="116">
        <v>3449.8</v>
      </c>
      <c r="O2339" s="116">
        <v>3361.2</v>
      </c>
      <c r="P2339" s="116">
        <v>3428</v>
      </c>
      <c r="Q2339" s="116">
        <v>3439.4</v>
      </c>
      <c r="R2339">
        <v>57558</v>
      </c>
    </row>
    <row r="2340" spans="1:18" x14ac:dyDescent="0.25">
      <c r="A2340" s="170">
        <v>46077</v>
      </c>
      <c r="B2340" s="116">
        <v>3428</v>
      </c>
      <c r="C2340" s="116">
        <v>3148.1</v>
      </c>
      <c r="D2340" s="116">
        <v>3140.25</v>
      </c>
      <c r="E2340" s="116">
        <v>3428</v>
      </c>
      <c r="F2340" s="116">
        <v>3148.1</v>
      </c>
      <c r="G2340">
        <v>16361</v>
      </c>
      <c r="H2340" s="116"/>
      <c r="I2340" s="116"/>
      <c r="L2340" s="170">
        <v>46077</v>
      </c>
      <c r="M2340" s="116">
        <v>3148.6</v>
      </c>
      <c r="N2340" s="116">
        <v>3402.2</v>
      </c>
      <c r="O2340" s="116">
        <v>3140</v>
      </c>
      <c r="P2340" s="116">
        <v>3388.4</v>
      </c>
      <c r="Q2340" s="116">
        <v>3148.6</v>
      </c>
      <c r="R2340">
        <v>534886</v>
      </c>
    </row>
    <row r="2341" spans="1:18" x14ac:dyDescent="0.25">
      <c r="A2341" s="170">
        <v>46078</v>
      </c>
      <c r="B2341" s="116">
        <v>3326</v>
      </c>
      <c r="C2341" s="116">
        <v>3272.1</v>
      </c>
      <c r="D2341" s="116">
        <v>3173.9</v>
      </c>
      <c r="E2341" s="116">
        <v>3173.9</v>
      </c>
      <c r="F2341" s="116">
        <v>3272.1</v>
      </c>
      <c r="G2341">
        <v>11020</v>
      </c>
      <c r="H2341" s="116"/>
      <c r="I2341" s="116"/>
      <c r="L2341" s="170">
        <v>46078</v>
      </c>
      <c r="M2341" s="116">
        <v>3276</v>
      </c>
      <c r="N2341" s="116">
        <v>3328</v>
      </c>
      <c r="O2341" s="116">
        <v>3156.6</v>
      </c>
      <c r="P2341" s="116">
        <v>3156.6</v>
      </c>
      <c r="Q2341" s="116">
        <v>3276</v>
      </c>
      <c r="R2341">
        <v>389783</v>
      </c>
    </row>
    <row r="2342" spans="1:18" x14ac:dyDescent="0.25">
      <c r="A2342" s="170">
        <v>46079</v>
      </c>
      <c r="B2342" s="116">
        <v>3340.2</v>
      </c>
      <c r="C2342" s="116">
        <v>3314.85</v>
      </c>
      <c r="D2342" s="116">
        <v>3270.1</v>
      </c>
      <c r="E2342" s="116">
        <v>3280.15</v>
      </c>
      <c r="F2342" s="116">
        <v>3314.85</v>
      </c>
      <c r="G2342">
        <v>6616</v>
      </c>
      <c r="H2342" s="116"/>
      <c r="I2342" s="116"/>
      <c r="L2342" s="170">
        <v>46079</v>
      </c>
      <c r="M2342" s="116">
        <v>3317.4</v>
      </c>
      <c r="N2342" s="116">
        <v>3339.8</v>
      </c>
      <c r="O2342" s="116">
        <v>3266</v>
      </c>
      <c r="P2342" s="116">
        <v>3292</v>
      </c>
      <c r="Q2342" s="116">
        <v>3317.4</v>
      </c>
      <c r="R2342">
        <v>107599</v>
      </c>
    </row>
    <row r="2343" spans="1:18" x14ac:dyDescent="0.25">
      <c r="A2343" s="170">
        <v>46080</v>
      </c>
      <c r="B2343" s="116">
        <v>3535</v>
      </c>
      <c r="C2343" s="116">
        <v>3521.45</v>
      </c>
      <c r="D2343" s="116">
        <v>3314</v>
      </c>
      <c r="E2343" s="116">
        <v>3325.05</v>
      </c>
      <c r="F2343" s="116">
        <v>3521.45</v>
      </c>
      <c r="G2343">
        <v>13382</v>
      </c>
      <c r="H2343" s="116"/>
      <c r="I2343" s="116"/>
      <c r="L2343" s="170">
        <v>46080</v>
      </c>
      <c r="M2343" s="116">
        <v>3512.4</v>
      </c>
      <c r="N2343" s="116">
        <v>3535</v>
      </c>
      <c r="O2343" s="116">
        <v>3312.7</v>
      </c>
      <c r="P2343" s="116">
        <v>3335</v>
      </c>
      <c r="Q2343" s="116">
        <v>3512.4</v>
      </c>
      <c r="R2343">
        <v>323780</v>
      </c>
    </row>
    <row r="2344" spans="1:18" x14ac:dyDescent="0.25">
      <c r="A2344" s="170">
        <v>46083</v>
      </c>
      <c r="B2344" s="116">
        <v>3510</v>
      </c>
      <c r="C2344" s="116">
        <v>3447.6</v>
      </c>
      <c r="D2344" s="116">
        <v>3325.75</v>
      </c>
      <c r="E2344" s="116">
        <v>3325.75</v>
      </c>
      <c r="F2344" s="116">
        <v>3447.6</v>
      </c>
      <c r="G2344">
        <v>17098</v>
      </c>
      <c r="H2344" s="116"/>
      <c r="I2344" s="116"/>
      <c r="L2344" s="170">
        <v>46083</v>
      </c>
      <c r="M2344" s="116">
        <v>3443.2</v>
      </c>
      <c r="N2344" s="116">
        <v>3510</v>
      </c>
      <c r="O2344" s="116">
        <v>3361.2</v>
      </c>
      <c r="P2344" s="116">
        <v>3387.9</v>
      </c>
      <c r="Q2344" s="116">
        <v>3443.2</v>
      </c>
      <c r="R2344">
        <v>99923</v>
      </c>
    </row>
    <row r="2345" spans="1:18" x14ac:dyDescent="0.25">
      <c r="A2345" s="170">
        <v>46085</v>
      </c>
      <c r="B2345" s="116">
        <v>3426.25</v>
      </c>
      <c r="C2345" s="116">
        <v>3314.45</v>
      </c>
      <c r="D2345" s="116">
        <v>3305</v>
      </c>
      <c r="E2345" s="116">
        <v>3410.05</v>
      </c>
      <c r="F2345" s="116">
        <v>3314.45</v>
      </c>
      <c r="G2345">
        <v>9480</v>
      </c>
      <c r="H2345" s="116"/>
      <c r="I2345" s="116"/>
      <c r="L2345" s="170">
        <v>46085</v>
      </c>
      <c r="M2345" s="116">
        <v>3317.2</v>
      </c>
      <c r="N2345" s="116">
        <v>3434.9</v>
      </c>
      <c r="O2345" s="116">
        <v>3305.3</v>
      </c>
      <c r="P2345" s="116">
        <v>3434.9</v>
      </c>
      <c r="Q2345" s="116">
        <v>3317.2</v>
      </c>
      <c r="R2345">
        <v>85540</v>
      </c>
    </row>
    <row r="2346" spans="1:18" x14ac:dyDescent="0.25">
      <c r="A2346" s="170">
        <v>46086</v>
      </c>
      <c r="B2346" s="116">
        <v>3389.25</v>
      </c>
      <c r="C2346" s="116">
        <v>3301.55</v>
      </c>
      <c r="D2346" s="116">
        <v>3282.55</v>
      </c>
      <c r="E2346" s="116">
        <v>3389.25</v>
      </c>
      <c r="F2346" s="116">
        <v>3301.55</v>
      </c>
      <c r="G2346">
        <v>3159</v>
      </c>
      <c r="H2346" s="116"/>
      <c r="I2346" s="116"/>
      <c r="L2346" s="170">
        <v>46086</v>
      </c>
      <c r="M2346" s="116">
        <v>3297.5</v>
      </c>
      <c r="N2346" s="116">
        <v>3376.8</v>
      </c>
      <c r="O2346" s="116">
        <v>3278.1</v>
      </c>
      <c r="P2346" s="116">
        <v>3355</v>
      </c>
      <c r="Q2346" s="116">
        <v>3297.5</v>
      </c>
      <c r="R2346">
        <v>64127</v>
      </c>
    </row>
    <row r="2347" spans="1:18" x14ac:dyDescent="0.25">
      <c r="A2347" s="170">
        <v>46087</v>
      </c>
      <c r="B2347" s="116">
        <v>3322.55</v>
      </c>
      <c r="C2347" s="116">
        <v>3186.8</v>
      </c>
      <c r="D2347" s="116">
        <v>3163</v>
      </c>
      <c r="E2347" s="116">
        <v>3319.55</v>
      </c>
      <c r="F2347" s="116">
        <v>3186.8</v>
      </c>
      <c r="G2347">
        <v>8485</v>
      </c>
      <c r="H2347" s="116"/>
      <c r="I2347" s="116"/>
      <c r="L2347" s="170">
        <v>46087</v>
      </c>
      <c r="M2347" s="116">
        <v>3187.4</v>
      </c>
      <c r="N2347" s="116">
        <v>3324.8</v>
      </c>
      <c r="O2347" s="116">
        <v>3162.1</v>
      </c>
      <c r="P2347" s="116">
        <v>3306</v>
      </c>
      <c r="Q2347" s="116">
        <v>3187.4</v>
      </c>
      <c r="R2347">
        <v>103443</v>
      </c>
    </row>
    <row r="2348" spans="1:18" x14ac:dyDescent="0.25">
      <c r="A2348" s="170">
        <v>46090</v>
      </c>
      <c r="B2348" s="116">
        <v>3140.05</v>
      </c>
      <c r="C2348" s="116">
        <v>3116.7</v>
      </c>
      <c r="D2348" s="116">
        <v>3060.5</v>
      </c>
      <c r="E2348" s="116">
        <v>3099.55</v>
      </c>
      <c r="F2348" s="116">
        <v>3116.7</v>
      </c>
      <c r="G2348">
        <v>7144</v>
      </c>
      <c r="H2348" s="116"/>
      <c r="I2348" s="116"/>
      <c r="L2348" s="170">
        <v>46090</v>
      </c>
      <c r="M2348" s="116">
        <v>3113.8</v>
      </c>
      <c r="N2348" s="116">
        <v>3137.7</v>
      </c>
      <c r="O2348" s="116">
        <v>3060</v>
      </c>
      <c r="P2348" s="116">
        <v>3100</v>
      </c>
      <c r="Q2348" s="116">
        <v>3113.8</v>
      </c>
      <c r="R2348">
        <v>98473</v>
      </c>
    </row>
    <row r="2349" spans="1:18" x14ac:dyDescent="0.25">
      <c r="A2349" s="170">
        <v>46091</v>
      </c>
      <c r="B2349" s="116">
        <v>3178</v>
      </c>
      <c r="C2349" s="116">
        <v>3148.15</v>
      </c>
      <c r="D2349" s="116">
        <v>3098.2</v>
      </c>
      <c r="E2349" s="116">
        <v>3178</v>
      </c>
      <c r="F2349" s="116">
        <v>3148.15</v>
      </c>
      <c r="G2349">
        <v>8452</v>
      </c>
      <c r="H2349" s="116"/>
      <c r="I2349" s="116"/>
      <c r="L2349" s="170">
        <v>46091</v>
      </c>
      <c r="M2349" s="116">
        <v>3150.8</v>
      </c>
      <c r="N2349" s="116">
        <v>3174</v>
      </c>
      <c r="O2349" s="116">
        <v>3090.4</v>
      </c>
      <c r="P2349" s="116">
        <v>3174</v>
      </c>
      <c r="Q2349" s="116">
        <v>3150.8</v>
      </c>
      <c r="R2349">
        <v>83052</v>
      </c>
    </row>
    <row r="2350" spans="1:18" x14ac:dyDescent="0.25">
      <c r="A2350" s="170">
        <v>46092</v>
      </c>
      <c r="B2350" s="116">
        <v>3227.75</v>
      </c>
      <c r="C2350" s="116">
        <v>3097.25</v>
      </c>
      <c r="D2350" s="116">
        <v>3089.2</v>
      </c>
      <c r="E2350" s="116">
        <v>3162.85</v>
      </c>
      <c r="F2350" s="116">
        <v>3097.25</v>
      </c>
      <c r="G2350">
        <v>5209</v>
      </c>
      <c r="H2350" s="116"/>
      <c r="I2350" s="116"/>
      <c r="L2350" s="170">
        <v>46092</v>
      </c>
      <c r="M2350" s="116">
        <v>3097.4</v>
      </c>
      <c r="N2350" s="116">
        <v>3230.5</v>
      </c>
      <c r="O2350" s="116">
        <v>3091</v>
      </c>
      <c r="P2350" s="116">
        <v>3160</v>
      </c>
      <c r="Q2350" s="116">
        <v>3097.4</v>
      </c>
      <c r="R2350">
        <v>82411</v>
      </c>
    </row>
    <row r="2351" spans="1:18" x14ac:dyDescent="0.25">
      <c r="A2351" s="170">
        <v>46093</v>
      </c>
      <c r="B2351" s="116">
        <v>3160</v>
      </c>
      <c r="C2351" s="116">
        <v>3128</v>
      </c>
      <c r="D2351" s="116">
        <v>3046.85</v>
      </c>
      <c r="E2351" s="116">
        <v>3090</v>
      </c>
      <c r="F2351" s="116">
        <v>3128</v>
      </c>
      <c r="G2351">
        <v>4455</v>
      </c>
      <c r="H2351" s="116"/>
      <c r="I2351" s="116"/>
      <c r="L2351" s="170">
        <v>46093</v>
      </c>
      <c r="M2351" s="116">
        <v>3129.5</v>
      </c>
      <c r="N2351" s="116">
        <v>3162</v>
      </c>
      <c r="O2351" s="116">
        <v>3042</v>
      </c>
      <c r="P2351" s="116">
        <v>3100</v>
      </c>
      <c r="Q2351" s="116">
        <v>3129.5</v>
      </c>
      <c r="R2351">
        <v>54267</v>
      </c>
    </row>
    <row r="2352" spans="1:18" x14ac:dyDescent="0.25">
      <c r="A2352" s="170">
        <v>46094</v>
      </c>
      <c r="B2352" s="116">
        <v>3573.9</v>
      </c>
      <c r="C2352" s="116">
        <v>3426.95</v>
      </c>
      <c r="D2352" s="116">
        <v>3080.85</v>
      </c>
      <c r="E2352" s="116">
        <v>3128</v>
      </c>
      <c r="F2352" s="116">
        <v>3426.95</v>
      </c>
      <c r="G2352">
        <v>244621</v>
      </c>
      <c r="H2352" s="116"/>
      <c r="I2352" s="116"/>
      <c r="L2352" s="170">
        <v>46094</v>
      </c>
      <c r="M2352" s="116">
        <v>3430.1</v>
      </c>
      <c r="N2352" s="116">
        <v>3584</v>
      </c>
      <c r="O2352" s="116">
        <v>3010</v>
      </c>
      <c r="P2352" s="116">
        <v>3129</v>
      </c>
      <c r="Q2352" s="116">
        <v>3430.1</v>
      </c>
      <c r="R2352">
        <v>3433441</v>
      </c>
    </row>
    <row r="2353" spans="1:18" x14ac:dyDescent="0.25">
      <c r="A2353" s="170">
        <v>46097</v>
      </c>
      <c r="B2353" s="116">
        <v>3455.25</v>
      </c>
      <c r="C2353" s="116">
        <v>3325.9</v>
      </c>
      <c r="D2353" s="116">
        <v>3241</v>
      </c>
      <c r="E2353" s="116">
        <v>3455.2</v>
      </c>
      <c r="F2353" s="116">
        <v>3325.9</v>
      </c>
      <c r="G2353">
        <v>59912</v>
      </c>
      <c r="H2353" s="116"/>
      <c r="I2353" s="116"/>
      <c r="L2353" s="170">
        <v>46097</v>
      </c>
      <c r="M2353" s="116">
        <v>3324.9</v>
      </c>
      <c r="N2353" s="116">
        <v>3457</v>
      </c>
      <c r="O2353" s="116">
        <v>3240</v>
      </c>
      <c r="P2353" s="116">
        <v>3457</v>
      </c>
      <c r="Q2353" s="116">
        <v>3324.9</v>
      </c>
      <c r="R2353">
        <v>703278</v>
      </c>
    </row>
    <row r="2354" spans="1:18" x14ac:dyDescent="0.25">
      <c r="A2354" s="170">
        <v>46098</v>
      </c>
      <c r="B2354" s="116">
        <v>3380.85</v>
      </c>
      <c r="C2354" s="116">
        <v>3334.55</v>
      </c>
      <c r="D2354" s="116">
        <v>3265.15</v>
      </c>
      <c r="E2354" s="116">
        <v>3323.45</v>
      </c>
      <c r="F2354" s="116">
        <v>3334.55</v>
      </c>
      <c r="G2354">
        <v>30133</v>
      </c>
      <c r="H2354" s="116"/>
      <c r="I2354" s="116"/>
      <c r="L2354" s="170">
        <v>46098</v>
      </c>
      <c r="M2354" s="116">
        <v>3332.7</v>
      </c>
      <c r="N2354" s="116">
        <v>3384.2</v>
      </c>
      <c r="O2354" s="116">
        <v>3266.6</v>
      </c>
      <c r="P2354" s="116">
        <v>3320</v>
      </c>
      <c r="Q2354" s="116">
        <v>3332.7</v>
      </c>
      <c r="R2354">
        <v>272692</v>
      </c>
    </row>
    <row r="2355" spans="1:18" x14ac:dyDescent="0.25">
      <c r="A2355" s="170">
        <v>46099</v>
      </c>
      <c r="B2355" s="116">
        <v>3463.8</v>
      </c>
      <c r="C2355" s="116">
        <v>3360.35</v>
      </c>
      <c r="D2355" s="116">
        <v>3323.65</v>
      </c>
      <c r="E2355" s="116">
        <v>3335.35</v>
      </c>
      <c r="F2355" s="116">
        <v>3360.35</v>
      </c>
      <c r="G2355">
        <v>19436</v>
      </c>
      <c r="H2355" s="116"/>
      <c r="I2355" s="116"/>
      <c r="L2355" s="170">
        <v>46099</v>
      </c>
      <c r="M2355" s="116">
        <v>3367</v>
      </c>
      <c r="N2355" s="116">
        <v>3464</v>
      </c>
      <c r="O2355" s="116">
        <v>3306.1</v>
      </c>
      <c r="P2355" s="116">
        <v>3350</v>
      </c>
      <c r="Q2355" s="116">
        <v>3367</v>
      </c>
      <c r="R2355">
        <v>219561</v>
      </c>
    </row>
    <row r="2356" spans="1:18" x14ac:dyDescent="0.25">
      <c r="A2356" s="170">
        <v>46100</v>
      </c>
      <c r="B2356" s="116">
        <v>3385.7</v>
      </c>
      <c r="C2356" s="116">
        <v>3311.55</v>
      </c>
      <c r="D2356" s="116">
        <v>3301.2</v>
      </c>
      <c r="E2356" s="116">
        <v>3358.9</v>
      </c>
      <c r="F2356" s="116">
        <v>3311.55</v>
      </c>
      <c r="G2356">
        <v>5591</v>
      </c>
      <c r="H2356" s="116"/>
      <c r="I2356" s="116"/>
      <c r="L2356" s="170">
        <v>46100</v>
      </c>
      <c r="M2356" s="116">
        <v>3313.5</v>
      </c>
      <c r="N2356" s="116">
        <v>3388.3</v>
      </c>
      <c r="O2356" s="116">
        <v>3300</v>
      </c>
      <c r="P2356" s="116">
        <v>3320</v>
      </c>
      <c r="Q2356" s="116">
        <v>3313.5</v>
      </c>
      <c r="R2356">
        <v>132506</v>
      </c>
    </row>
    <row r="2357" spans="1:18" x14ac:dyDescent="0.25">
      <c r="A2357" s="170">
        <v>46101</v>
      </c>
      <c r="B2357" s="116">
        <v>3343.8</v>
      </c>
      <c r="C2357" s="116">
        <v>3235.15</v>
      </c>
      <c r="D2357" s="116">
        <v>3213.35</v>
      </c>
      <c r="E2357" s="116">
        <v>3316.75</v>
      </c>
      <c r="F2357" s="116">
        <v>3235.15</v>
      </c>
      <c r="G2357">
        <v>7262</v>
      </c>
      <c r="H2357" s="116"/>
      <c r="I2357" s="116"/>
      <c r="L2357" s="170">
        <v>46101</v>
      </c>
      <c r="M2357" s="116">
        <v>3229.1</v>
      </c>
      <c r="N2357" s="116">
        <v>3364.3</v>
      </c>
      <c r="O2357" s="116">
        <v>3211</v>
      </c>
      <c r="P2357" s="116">
        <v>3363.2</v>
      </c>
      <c r="Q2357" s="116">
        <v>3229.1</v>
      </c>
      <c r="R2357">
        <v>159292</v>
      </c>
    </row>
    <row r="2358" spans="1:18" x14ac:dyDescent="0.25">
      <c r="A2358" s="170">
        <v>46104</v>
      </c>
      <c r="B2358" s="116">
        <v>3212.5</v>
      </c>
      <c r="C2358" s="116">
        <v>3085.65</v>
      </c>
      <c r="D2358" s="116">
        <v>3065</v>
      </c>
      <c r="E2358" s="116">
        <v>3210.2</v>
      </c>
      <c r="F2358" s="116">
        <v>3085.65</v>
      </c>
      <c r="G2358">
        <v>18862</v>
      </c>
      <c r="H2358" s="116"/>
      <c r="I2358" s="116"/>
      <c r="L2358" s="170">
        <v>46104</v>
      </c>
      <c r="M2358" s="116">
        <v>3075.6</v>
      </c>
      <c r="N2358" s="116">
        <v>3219.9</v>
      </c>
      <c r="O2358" s="116">
        <v>3050</v>
      </c>
      <c r="P2358" s="116">
        <v>3219.9</v>
      </c>
      <c r="Q2358" s="116">
        <v>3075.6</v>
      </c>
      <c r="R2358">
        <v>129801</v>
      </c>
    </row>
    <row r="2359" spans="1:18" x14ac:dyDescent="0.25">
      <c r="A2359" s="170">
        <v>46105</v>
      </c>
      <c r="B2359" s="116">
        <v>3185.6</v>
      </c>
      <c r="C2359" s="116">
        <v>3152.95</v>
      </c>
      <c r="D2359" s="116">
        <v>3049.5</v>
      </c>
      <c r="E2359" s="116">
        <v>3185.6</v>
      </c>
      <c r="F2359" s="116">
        <v>3152.95</v>
      </c>
      <c r="G2359">
        <v>23563</v>
      </c>
      <c r="H2359" s="116"/>
      <c r="I2359" s="116"/>
      <c r="L2359" s="170">
        <v>46105</v>
      </c>
      <c r="M2359" s="116">
        <v>3153.5</v>
      </c>
      <c r="N2359" s="116">
        <v>3175.1</v>
      </c>
      <c r="O2359" s="116">
        <v>3051.7</v>
      </c>
      <c r="P2359" s="116">
        <v>3164.9</v>
      </c>
      <c r="Q2359" s="116">
        <v>3153.5</v>
      </c>
      <c r="R2359">
        <v>184445</v>
      </c>
    </row>
    <row r="2360" spans="1:18" x14ac:dyDescent="0.25">
      <c r="A2360" s="170">
        <v>46106</v>
      </c>
      <c r="B2360" s="116">
        <v>3215.05</v>
      </c>
      <c r="C2360" s="116">
        <v>3200.25</v>
      </c>
      <c r="D2360" s="116">
        <v>3132.05</v>
      </c>
      <c r="E2360" s="116">
        <v>3198.35</v>
      </c>
      <c r="F2360" s="116">
        <v>3200.25</v>
      </c>
      <c r="G2360">
        <v>14608</v>
      </c>
      <c r="H2360" s="116"/>
      <c r="I2360" s="116"/>
      <c r="L2360" s="170">
        <v>46106</v>
      </c>
      <c r="M2360" s="116">
        <v>3200.4</v>
      </c>
      <c r="N2360" s="116">
        <v>3211</v>
      </c>
      <c r="O2360" s="116">
        <v>3131.5</v>
      </c>
      <c r="P2360" s="116">
        <v>3180</v>
      </c>
      <c r="Q2360" s="116">
        <v>3200.4</v>
      </c>
      <c r="R2360">
        <v>171699</v>
      </c>
    </row>
    <row r="2361" spans="1:18" x14ac:dyDescent="0.25">
      <c r="A2361" s="170">
        <v>46108</v>
      </c>
      <c r="B2361" s="116">
        <v>3235.75</v>
      </c>
      <c r="C2361" s="116">
        <v>3198</v>
      </c>
      <c r="D2361" s="116">
        <v>3140</v>
      </c>
      <c r="E2361" s="116">
        <v>3209.5</v>
      </c>
      <c r="F2361" s="116">
        <v>3198</v>
      </c>
      <c r="G2361">
        <v>15049</v>
      </c>
      <c r="H2361" s="116"/>
      <c r="I2361" s="116"/>
      <c r="L2361" s="170">
        <v>46108</v>
      </c>
      <c r="M2361" s="116">
        <v>3198.4</v>
      </c>
      <c r="N2361" s="116">
        <v>3239.4</v>
      </c>
      <c r="O2361" s="116">
        <v>3140</v>
      </c>
      <c r="P2361" s="116">
        <v>3200.4</v>
      </c>
      <c r="Q2361" s="116">
        <v>3198.4</v>
      </c>
      <c r="R2361">
        <v>207721</v>
      </c>
    </row>
    <row r="2362" spans="1:18" x14ac:dyDescent="0.25">
      <c r="A2362" s="170">
        <v>46111</v>
      </c>
      <c r="B2362" s="116">
        <v>3179.75</v>
      </c>
      <c r="C2362" s="116">
        <v>3120</v>
      </c>
      <c r="D2362" s="116">
        <v>3101.25</v>
      </c>
      <c r="E2362" s="116">
        <v>3179.75</v>
      </c>
      <c r="F2362" s="116">
        <v>3120</v>
      </c>
      <c r="G2362">
        <v>7942</v>
      </c>
      <c r="H2362" s="116"/>
      <c r="I2362" s="116"/>
      <c r="L2362" s="170">
        <v>46111</v>
      </c>
      <c r="M2362" s="116">
        <v>3121.7</v>
      </c>
      <c r="N2362" s="116">
        <v>3169.8</v>
      </c>
      <c r="O2362" s="116">
        <v>3101.6</v>
      </c>
      <c r="P2362" s="116">
        <v>3141</v>
      </c>
      <c r="Q2362" s="116">
        <v>3121.7</v>
      </c>
      <c r="R2362">
        <v>140162</v>
      </c>
    </row>
    <row r="2363" spans="1:18" x14ac:dyDescent="0.25">
      <c r="A2363" s="170">
        <v>46113</v>
      </c>
      <c r="B2363" s="116">
        <v>3351.35</v>
      </c>
      <c r="C2363" s="116">
        <v>3326.35</v>
      </c>
      <c r="D2363" s="116">
        <v>3162.4</v>
      </c>
      <c r="E2363" s="116">
        <v>3247.1</v>
      </c>
      <c r="F2363" s="116">
        <v>3326.35</v>
      </c>
      <c r="G2363">
        <v>6958</v>
      </c>
      <c r="H2363" s="116"/>
      <c r="I2363" s="116"/>
      <c r="L2363" s="170">
        <v>46113</v>
      </c>
      <c r="M2363" s="116">
        <v>3324</v>
      </c>
      <c r="N2363" s="116">
        <v>3352.2</v>
      </c>
      <c r="O2363" s="116">
        <v>3170</v>
      </c>
      <c r="P2363" s="116">
        <v>3194.7</v>
      </c>
      <c r="Q2363" s="116">
        <v>3324</v>
      </c>
      <c r="R2363">
        <v>171328</v>
      </c>
    </row>
    <row r="2364" spans="1:18" x14ac:dyDescent="0.25">
      <c r="A2364" s="170">
        <v>46114</v>
      </c>
      <c r="B2364" s="116">
        <v>3363</v>
      </c>
      <c r="C2364" s="116">
        <v>3349.3</v>
      </c>
      <c r="D2364" s="116">
        <v>3151.5</v>
      </c>
      <c r="E2364" s="116">
        <v>3302.15</v>
      </c>
      <c r="F2364" s="116">
        <v>3349.3</v>
      </c>
      <c r="G2364">
        <v>12590</v>
      </c>
      <c r="H2364" s="116"/>
      <c r="I2364" s="116"/>
      <c r="L2364" s="170">
        <v>46114</v>
      </c>
      <c r="M2364" s="116">
        <v>3347.5</v>
      </c>
      <c r="N2364" s="116">
        <v>3365</v>
      </c>
      <c r="O2364" s="116">
        <v>3210.2</v>
      </c>
      <c r="P2364" s="116">
        <v>3290</v>
      </c>
      <c r="Q2364" s="116">
        <v>3347.5</v>
      </c>
      <c r="R2364">
        <v>64818</v>
      </c>
    </row>
    <row r="2365" spans="1:18" x14ac:dyDescent="0.25">
      <c r="A2365" s="170">
        <v>46118</v>
      </c>
      <c r="B2365" s="116">
        <v>3421.75</v>
      </c>
      <c r="C2365" s="116">
        <v>3346.35</v>
      </c>
      <c r="D2365" s="116">
        <v>3318.85</v>
      </c>
      <c r="E2365" s="116">
        <v>3318.85</v>
      </c>
      <c r="F2365" s="116">
        <v>3346.35</v>
      </c>
      <c r="G2365">
        <v>9072</v>
      </c>
      <c r="H2365" s="116"/>
      <c r="I2365" s="116"/>
      <c r="L2365" s="170">
        <v>46118</v>
      </c>
      <c r="M2365" s="116">
        <v>3346.5</v>
      </c>
      <c r="N2365" s="116">
        <v>3424</v>
      </c>
      <c r="O2365" s="116">
        <v>3321.5</v>
      </c>
      <c r="P2365" s="116">
        <v>3348.9</v>
      </c>
      <c r="Q2365" s="116">
        <v>3346.5</v>
      </c>
      <c r="R2365">
        <v>78445</v>
      </c>
    </row>
    <row r="2366" spans="1:18" x14ac:dyDescent="0.25">
      <c r="A2366" s="170">
        <v>46119</v>
      </c>
      <c r="B2366" s="116">
        <v>3391.5</v>
      </c>
      <c r="C2366" s="116">
        <v>3339.2</v>
      </c>
      <c r="D2366" s="116">
        <v>3300</v>
      </c>
      <c r="E2366" s="116">
        <v>3325.65</v>
      </c>
      <c r="F2366" s="116">
        <v>3339.2</v>
      </c>
      <c r="G2366">
        <v>3866</v>
      </c>
      <c r="H2366" s="116"/>
      <c r="I2366" s="116"/>
      <c r="L2366" s="170">
        <v>46119</v>
      </c>
      <c r="M2366" s="116">
        <v>3342.1</v>
      </c>
      <c r="N2366" s="116">
        <v>3392</v>
      </c>
      <c r="O2366" s="116">
        <v>3300</v>
      </c>
      <c r="P2366" s="116">
        <v>3342</v>
      </c>
      <c r="Q2366" s="116">
        <v>3342.1</v>
      </c>
      <c r="R2366">
        <v>72291</v>
      </c>
    </row>
    <row r="2367" spans="1:18" x14ac:dyDescent="0.25">
      <c r="A2367" s="170">
        <v>46120</v>
      </c>
      <c r="B2367" s="116">
        <v>3490</v>
      </c>
      <c r="C2367" s="116">
        <v>3380</v>
      </c>
      <c r="D2367" s="116">
        <v>3358.35</v>
      </c>
      <c r="E2367" s="116">
        <v>3485</v>
      </c>
      <c r="F2367" s="116">
        <v>3380</v>
      </c>
      <c r="G2367">
        <v>11494</v>
      </c>
      <c r="H2367" s="116"/>
      <c r="I2367" s="116"/>
      <c r="L2367" s="170">
        <v>46120</v>
      </c>
      <c r="M2367" s="116">
        <v>3376.8</v>
      </c>
      <c r="N2367" s="116">
        <v>3490</v>
      </c>
      <c r="O2367" s="116">
        <v>3355</v>
      </c>
      <c r="P2367" s="116">
        <v>3490</v>
      </c>
      <c r="Q2367" s="116">
        <v>3376.8</v>
      </c>
      <c r="R2367">
        <v>115185</v>
      </c>
    </row>
    <row r="2368" spans="1:18" x14ac:dyDescent="0.25">
      <c r="A2368" s="170">
        <v>46121</v>
      </c>
      <c r="B2368" s="116">
        <v>3405.55</v>
      </c>
      <c r="C2368" s="116">
        <v>3333.3</v>
      </c>
      <c r="D2368" s="116">
        <v>3325.8</v>
      </c>
      <c r="E2368" s="116">
        <v>3376.9</v>
      </c>
      <c r="F2368" s="116">
        <v>3333.3</v>
      </c>
      <c r="G2368">
        <v>5110</v>
      </c>
      <c r="H2368" s="116"/>
      <c r="I2368" s="116"/>
      <c r="L2368" s="170">
        <v>46121</v>
      </c>
      <c r="M2368" s="116">
        <v>3333.2</v>
      </c>
      <c r="N2368" s="116">
        <v>3405</v>
      </c>
      <c r="O2368" s="116">
        <v>3325.8</v>
      </c>
      <c r="P2368" s="116">
        <v>3376.8</v>
      </c>
      <c r="Q2368" s="116">
        <v>3333.2</v>
      </c>
      <c r="R2368">
        <v>86888</v>
      </c>
    </row>
    <row r="2369" spans="1:18" x14ac:dyDescent="0.25">
      <c r="A2369" s="170">
        <v>46122</v>
      </c>
      <c r="B2369" s="116">
        <v>3479</v>
      </c>
      <c r="C2369" s="116">
        <v>3441.8</v>
      </c>
      <c r="D2369" s="116">
        <v>3356.45</v>
      </c>
      <c r="E2369" s="116">
        <v>3387.95</v>
      </c>
      <c r="F2369" s="116">
        <v>3441.8</v>
      </c>
      <c r="G2369">
        <v>18918</v>
      </c>
      <c r="H2369" s="116"/>
      <c r="I2369" s="116"/>
      <c r="L2369" s="170">
        <v>46122</v>
      </c>
      <c r="M2369" s="116">
        <v>3446.5</v>
      </c>
      <c r="N2369" s="116">
        <v>3478.7</v>
      </c>
      <c r="O2369" s="116">
        <v>3355.1</v>
      </c>
      <c r="P2369" s="116">
        <v>3382.5</v>
      </c>
      <c r="Q2369" s="116">
        <v>3446.5</v>
      </c>
      <c r="R2369">
        <v>190179</v>
      </c>
    </row>
    <row r="2370" spans="1:18" x14ac:dyDescent="0.25">
      <c r="A2370" s="170">
        <v>46125</v>
      </c>
      <c r="B2370" s="116">
        <v>3434.8</v>
      </c>
      <c r="C2370" s="116">
        <v>3358.95</v>
      </c>
      <c r="D2370" s="116">
        <v>3340</v>
      </c>
      <c r="E2370" s="116">
        <v>3398.5</v>
      </c>
      <c r="F2370" s="116">
        <v>3358.95</v>
      </c>
      <c r="G2370">
        <v>4718</v>
      </c>
      <c r="H2370" s="116"/>
      <c r="I2370" s="116"/>
      <c r="L2370" s="170">
        <v>46125</v>
      </c>
      <c r="M2370" s="116">
        <v>3356.1</v>
      </c>
      <c r="N2370" s="116">
        <v>3434.6</v>
      </c>
      <c r="O2370" s="116">
        <v>3338.7</v>
      </c>
      <c r="P2370" s="116">
        <v>3395</v>
      </c>
      <c r="Q2370" s="116">
        <v>3356.1</v>
      </c>
      <c r="R2370">
        <v>103678</v>
      </c>
    </row>
    <row r="2371" spans="1:18" x14ac:dyDescent="0.25">
      <c r="A2371" s="170">
        <v>46127</v>
      </c>
      <c r="B2371" s="116">
        <v>3509.7</v>
      </c>
      <c r="C2371" s="116">
        <v>3431.7</v>
      </c>
      <c r="D2371" s="116">
        <v>3396.4</v>
      </c>
      <c r="E2371" s="116">
        <v>3426.1</v>
      </c>
      <c r="F2371" s="116">
        <v>3431.7</v>
      </c>
      <c r="G2371">
        <v>13613</v>
      </c>
      <c r="H2371" s="116"/>
      <c r="I2371" s="116"/>
      <c r="L2371" s="170">
        <v>46127</v>
      </c>
      <c r="M2371" s="116">
        <v>3430.7</v>
      </c>
      <c r="N2371" s="116">
        <v>3510</v>
      </c>
      <c r="O2371" s="116">
        <v>3390.3</v>
      </c>
      <c r="P2371" s="116">
        <v>3419.8</v>
      </c>
      <c r="Q2371" s="116">
        <v>3430.7</v>
      </c>
      <c r="R2371">
        <v>150985</v>
      </c>
    </row>
    <row r="2372" spans="1:18" x14ac:dyDescent="0.25">
      <c r="A2372" s="170">
        <v>46128</v>
      </c>
      <c r="B2372" s="116">
        <v>3589</v>
      </c>
      <c r="C2372" s="116">
        <v>3449</v>
      </c>
      <c r="D2372" s="116">
        <v>3432.1</v>
      </c>
      <c r="E2372" s="116">
        <v>3469.95</v>
      </c>
      <c r="F2372" s="116">
        <v>3449</v>
      </c>
      <c r="G2372">
        <v>13136</v>
      </c>
      <c r="H2372" s="116"/>
      <c r="I2372" s="116"/>
      <c r="L2372" s="170">
        <v>46128</v>
      </c>
      <c r="M2372" s="116">
        <v>3448.2</v>
      </c>
      <c r="N2372" s="116">
        <v>3589.4</v>
      </c>
      <c r="O2372" s="116">
        <v>3432</v>
      </c>
      <c r="P2372" s="116">
        <v>3465</v>
      </c>
      <c r="Q2372" s="116">
        <v>3448.2</v>
      </c>
      <c r="R2372">
        <v>298196</v>
      </c>
    </row>
    <row r="2373" spans="1:18" x14ac:dyDescent="0.25">
      <c r="A2373" s="170">
        <v>46129</v>
      </c>
      <c r="B2373" s="116">
        <v>3519.95</v>
      </c>
      <c r="C2373" s="116">
        <v>3488.5</v>
      </c>
      <c r="D2373" s="116">
        <v>3459.7</v>
      </c>
      <c r="E2373" s="116">
        <v>3469.05</v>
      </c>
      <c r="F2373" s="116">
        <v>3488.5</v>
      </c>
      <c r="G2373">
        <v>9199</v>
      </c>
      <c r="H2373" s="116"/>
      <c r="I2373" s="116"/>
      <c r="L2373" s="170">
        <v>46129</v>
      </c>
      <c r="M2373" s="116">
        <v>3490.1</v>
      </c>
      <c r="N2373" s="116">
        <v>3520</v>
      </c>
      <c r="O2373" s="116">
        <v>3448.2</v>
      </c>
      <c r="P2373" s="116">
        <v>3474.9</v>
      </c>
      <c r="Q2373" s="116">
        <v>3490.1</v>
      </c>
      <c r="R2373">
        <v>79835</v>
      </c>
    </row>
    <row r="2374" spans="1:18" x14ac:dyDescent="0.25">
      <c r="A2374" s="170">
        <v>46132</v>
      </c>
      <c r="B2374" s="116">
        <v>3607.15</v>
      </c>
      <c r="C2374" s="116">
        <v>3575.45</v>
      </c>
      <c r="D2374" s="116">
        <v>3440</v>
      </c>
      <c r="E2374" s="116">
        <v>3529.05</v>
      </c>
      <c r="F2374" s="116">
        <v>3575.45</v>
      </c>
      <c r="G2374">
        <v>68568</v>
      </c>
      <c r="H2374" s="116"/>
      <c r="I2374" s="116"/>
      <c r="L2374" s="170">
        <v>46132</v>
      </c>
      <c r="M2374" s="116">
        <v>3572.5</v>
      </c>
      <c r="N2374" s="116">
        <v>3610</v>
      </c>
      <c r="O2374" s="116">
        <v>3438</v>
      </c>
      <c r="P2374" s="116">
        <v>3499</v>
      </c>
      <c r="Q2374" s="116">
        <v>3572.5</v>
      </c>
      <c r="R2374">
        <v>160914</v>
      </c>
    </row>
    <row r="2375" spans="1:18" x14ac:dyDescent="0.25">
      <c r="A2375" s="170">
        <v>46133</v>
      </c>
      <c r="B2375" s="116">
        <v>3661.15</v>
      </c>
      <c r="C2375" s="116">
        <v>3642.75</v>
      </c>
      <c r="D2375" s="116">
        <v>3585</v>
      </c>
      <c r="E2375" s="116">
        <v>3589.05</v>
      </c>
      <c r="F2375" s="116">
        <v>3642.75</v>
      </c>
      <c r="G2375">
        <v>10413</v>
      </c>
      <c r="H2375" s="116"/>
      <c r="I2375" s="116"/>
      <c r="L2375" s="170">
        <v>46133</v>
      </c>
      <c r="M2375" s="116">
        <v>3642.4</v>
      </c>
      <c r="N2375" s="116">
        <v>3660</v>
      </c>
      <c r="O2375" s="116">
        <v>3580</v>
      </c>
      <c r="P2375" s="116">
        <v>3590.3</v>
      </c>
      <c r="Q2375" s="116">
        <v>3642.4</v>
      </c>
      <c r="R2375">
        <v>141392</v>
      </c>
    </row>
    <row r="2376" spans="1:18" x14ac:dyDescent="0.25">
      <c r="A2376" s="170">
        <v>46134</v>
      </c>
      <c r="B2376" s="116">
        <v>3664.15</v>
      </c>
      <c r="C2376" s="116">
        <v>3551.45</v>
      </c>
      <c r="D2376" s="116">
        <v>3531.7</v>
      </c>
      <c r="E2376" s="116">
        <v>3617.7</v>
      </c>
      <c r="F2376" s="116">
        <v>3551.45</v>
      </c>
      <c r="G2376">
        <v>10401</v>
      </c>
      <c r="H2376" s="116"/>
      <c r="I2376" s="116"/>
      <c r="L2376" s="170">
        <v>46134</v>
      </c>
      <c r="M2376" s="116">
        <v>3550.2</v>
      </c>
      <c r="N2376" s="116">
        <v>3665.5</v>
      </c>
      <c r="O2376" s="116">
        <v>3531</v>
      </c>
      <c r="P2376" s="116">
        <v>3641.9</v>
      </c>
      <c r="Q2376" s="116">
        <v>3550.2</v>
      </c>
      <c r="R2376">
        <v>97737</v>
      </c>
    </row>
    <row r="2377" spans="1:18" x14ac:dyDescent="0.25">
      <c r="A2377" s="170">
        <v>46135</v>
      </c>
      <c r="B2377" s="116">
        <v>3510.2</v>
      </c>
      <c r="C2377" s="116">
        <v>3449.1</v>
      </c>
      <c r="D2377" s="116">
        <v>3425</v>
      </c>
      <c r="E2377" s="116">
        <v>3510.15</v>
      </c>
      <c r="F2377" s="116">
        <v>3449.1</v>
      </c>
      <c r="G2377">
        <v>13750</v>
      </c>
      <c r="H2377" s="116"/>
      <c r="I2377" s="116"/>
      <c r="L2377" s="170">
        <v>46135</v>
      </c>
      <c r="M2377" s="116">
        <v>3449.6</v>
      </c>
      <c r="N2377" s="116">
        <v>3510</v>
      </c>
      <c r="O2377" s="116">
        <v>3424</v>
      </c>
      <c r="P2377" s="116">
        <v>3498.6</v>
      </c>
      <c r="Q2377" s="116">
        <v>3449.6</v>
      </c>
      <c r="R2377">
        <v>208337</v>
      </c>
    </row>
    <row r="2378" spans="1:18" x14ac:dyDescent="0.25">
      <c r="A2378" s="170">
        <v>46136</v>
      </c>
      <c r="B2378" s="116">
        <v>3497.15</v>
      </c>
      <c r="C2378" s="116">
        <v>3380.9</v>
      </c>
      <c r="D2378" s="116">
        <v>3367.6</v>
      </c>
      <c r="E2378" s="116">
        <v>3459.85</v>
      </c>
      <c r="F2378" s="116">
        <v>3380.9</v>
      </c>
      <c r="G2378">
        <v>5692</v>
      </c>
      <c r="H2378" s="116"/>
      <c r="I2378" s="116"/>
      <c r="L2378" s="170">
        <v>46136</v>
      </c>
      <c r="M2378" s="116">
        <v>3379.8</v>
      </c>
      <c r="N2378" s="116">
        <v>3495</v>
      </c>
      <c r="O2378" s="116">
        <v>3362</v>
      </c>
      <c r="P2378" s="116">
        <v>3450</v>
      </c>
      <c r="Q2378" s="116">
        <v>3379.8</v>
      </c>
      <c r="R2378">
        <v>118261</v>
      </c>
    </row>
    <row r="2379" spans="1:18" x14ac:dyDescent="0.25">
      <c r="A2379" s="170">
        <v>46139</v>
      </c>
      <c r="B2379" s="116">
        <v>3605.65</v>
      </c>
      <c r="C2379" s="116">
        <v>3590.4</v>
      </c>
      <c r="D2379" s="116">
        <v>3363.4</v>
      </c>
      <c r="E2379" s="116">
        <v>3363.4</v>
      </c>
      <c r="F2379" s="116">
        <v>3590.4</v>
      </c>
      <c r="G2379">
        <v>17090</v>
      </c>
      <c r="H2379" s="116"/>
      <c r="I2379" s="116"/>
      <c r="L2379" s="170">
        <v>46139</v>
      </c>
      <c r="M2379" s="116">
        <v>3589.8</v>
      </c>
      <c r="N2379" s="116">
        <v>3608</v>
      </c>
      <c r="O2379" s="116">
        <v>3388</v>
      </c>
      <c r="P2379" s="116">
        <v>3397.9</v>
      </c>
      <c r="Q2379" s="116">
        <v>3589.8</v>
      </c>
      <c r="R2379">
        <v>200428</v>
      </c>
    </row>
    <row r="2380" spans="1:18" x14ac:dyDescent="0.25">
      <c r="A2380" s="170">
        <v>46140</v>
      </c>
      <c r="B2380" s="116">
        <v>3605.55</v>
      </c>
      <c r="C2380" s="116">
        <v>3569.9</v>
      </c>
      <c r="D2380" s="116">
        <v>3554.45</v>
      </c>
      <c r="E2380" s="116">
        <v>3595.15</v>
      </c>
      <c r="F2380" s="116">
        <v>3569.9</v>
      </c>
      <c r="G2380">
        <v>5918</v>
      </c>
      <c r="H2380" s="116"/>
      <c r="I2380" s="116"/>
      <c r="L2380" s="170">
        <v>46140</v>
      </c>
      <c r="M2380" s="116">
        <v>3566.4</v>
      </c>
      <c r="N2380" s="116">
        <v>3605</v>
      </c>
      <c r="O2380" s="116">
        <v>3552</v>
      </c>
      <c r="P2380" s="116">
        <v>3598.9</v>
      </c>
      <c r="Q2380" s="116">
        <v>3566.4</v>
      </c>
      <c r="R2380">
        <v>62697</v>
      </c>
    </row>
    <row r="2381" spans="1:18" x14ac:dyDescent="0.25">
      <c r="A2381" s="170">
        <v>46141</v>
      </c>
      <c r="B2381" s="116">
        <v>3640</v>
      </c>
      <c r="C2381" s="116">
        <v>3557.7</v>
      </c>
      <c r="D2381" s="116">
        <v>3550.45</v>
      </c>
      <c r="E2381" s="116">
        <v>3570</v>
      </c>
      <c r="F2381" s="116">
        <v>3557.7</v>
      </c>
      <c r="G2381">
        <v>9209</v>
      </c>
      <c r="H2381" s="116"/>
      <c r="I2381" s="116"/>
      <c r="L2381" s="170">
        <v>46141</v>
      </c>
      <c r="M2381" s="116">
        <v>3559.6</v>
      </c>
      <c r="N2381" s="116">
        <v>3643.4</v>
      </c>
      <c r="O2381" s="116">
        <v>3540</v>
      </c>
      <c r="P2381" s="116">
        <v>3589.9</v>
      </c>
      <c r="Q2381" s="116">
        <v>3559.6</v>
      </c>
      <c r="R2381">
        <v>114919</v>
      </c>
    </row>
    <row r="2382" spans="1:18" x14ac:dyDescent="0.25">
      <c r="A2382" s="170">
        <v>46142</v>
      </c>
      <c r="B2382" s="116">
        <v>3643.75</v>
      </c>
      <c r="C2382" s="116">
        <v>3625.7</v>
      </c>
      <c r="D2382" s="116">
        <v>3477.6</v>
      </c>
      <c r="E2382" s="116">
        <v>3578.75</v>
      </c>
      <c r="F2382" s="116">
        <v>3625.7</v>
      </c>
      <c r="G2382">
        <v>7663</v>
      </c>
      <c r="H2382" s="116"/>
      <c r="I2382" s="116"/>
      <c r="L2382" s="170">
        <v>46142</v>
      </c>
      <c r="M2382" s="116">
        <v>3626.3</v>
      </c>
      <c r="N2382" s="116">
        <v>3644.1</v>
      </c>
      <c r="O2382" s="116">
        <v>3477.6</v>
      </c>
      <c r="P2382" s="116">
        <v>3541.8</v>
      </c>
      <c r="Q2382" s="116">
        <v>3626.3</v>
      </c>
      <c r="R2382">
        <v>126549</v>
      </c>
    </row>
    <row r="2383" spans="1:18" x14ac:dyDescent="0.25">
      <c r="A2383" s="170">
        <v>46146</v>
      </c>
      <c r="B2383" s="116">
        <v>3722</v>
      </c>
      <c r="C2383" s="116">
        <v>3705.6</v>
      </c>
      <c r="D2383" s="116">
        <v>3591.2</v>
      </c>
      <c r="E2383" s="116">
        <v>3648.15</v>
      </c>
      <c r="F2383" s="116">
        <v>3705.6</v>
      </c>
      <c r="G2383">
        <v>7879</v>
      </c>
      <c r="H2383" s="116"/>
      <c r="I2383" s="116"/>
      <c r="L2383" s="170">
        <v>46146</v>
      </c>
      <c r="M2383" s="116">
        <v>3706.7</v>
      </c>
      <c r="N2383" s="116">
        <v>3723.4</v>
      </c>
      <c r="O2383" s="116">
        <v>3592.1</v>
      </c>
      <c r="P2383" s="116">
        <v>3626.3</v>
      </c>
      <c r="Q2383" s="116">
        <v>3706.7</v>
      </c>
      <c r="R2383">
        <v>143571</v>
      </c>
    </row>
    <row r="2384" spans="1:18" x14ac:dyDescent="0.25">
      <c r="A2384" s="170">
        <v>46147</v>
      </c>
      <c r="B2384" s="116">
        <v>3758.45</v>
      </c>
      <c r="C2384" s="116">
        <v>3744.3</v>
      </c>
      <c r="D2384" s="116">
        <v>3694.45</v>
      </c>
      <c r="E2384" s="116">
        <v>3700.05</v>
      </c>
      <c r="F2384" s="116">
        <v>3744.3</v>
      </c>
      <c r="G2384">
        <v>6307</v>
      </c>
      <c r="H2384" s="116"/>
      <c r="I2384" s="116"/>
      <c r="L2384" s="170">
        <v>46147</v>
      </c>
      <c r="M2384" s="116">
        <v>3739.8</v>
      </c>
      <c r="N2384" s="116">
        <v>3756.1</v>
      </c>
      <c r="O2384" s="116">
        <v>3687.4</v>
      </c>
      <c r="P2384" s="116">
        <v>3706.7</v>
      </c>
      <c r="Q2384" s="116">
        <v>3739.8</v>
      </c>
      <c r="R2384">
        <v>80066</v>
      </c>
    </row>
    <row r="2385" spans="1:18" x14ac:dyDescent="0.25">
      <c r="A2385" s="170">
        <v>46148</v>
      </c>
      <c r="B2385" s="116">
        <v>3823.7</v>
      </c>
      <c r="C2385" s="116">
        <v>3799.75</v>
      </c>
      <c r="D2385" s="116">
        <v>3715</v>
      </c>
      <c r="E2385" s="116">
        <v>3762.9</v>
      </c>
      <c r="F2385" s="116">
        <v>3799.75</v>
      </c>
      <c r="G2385">
        <v>13085</v>
      </c>
      <c r="H2385" s="116"/>
      <c r="I2385" s="116"/>
      <c r="L2385" s="170">
        <v>46148</v>
      </c>
      <c r="M2385" s="116">
        <v>3804.8</v>
      </c>
      <c r="N2385" s="116">
        <v>3825.8</v>
      </c>
      <c r="O2385" s="116">
        <v>3714</v>
      </c>
      <c r="P2385" s="116">
        <v>3747</v>
      </c>
      <c r="Q2385" s="116">
        <v>3804.8</v>
      </c>
      <c r="R2385">
        <v>89776</v>
      </c>
    </row>
    <row r="2386" spans="1:18" x14ac:dyDescent="0.25">
      <c r="A2386" s="170">
        <v>46149</v>
      </c>
      <c r="B2386" s="116">
        <v>3830.9</v>
      </c>
      <c r="C2386" s="116">
        <v>3767.95</v>
      </c>
      <c r="D2386" s="116">
        <v>3759.7</v>
      </c>
      <c r="E2386" s="116">
        <v>3801.05</v>
      </c>
      <c r="F2386" s="116">
        <v>3767.95</v>
      </c>
      <c r="G2386">
        <v>2785</v>
      </c>
      <c r="H2386" s="116"/>
      <c r="I2386" s="116"/>
      <c r="L2386" s="170">
        <v>46149</v>
      </c>
      <c r="M2386" s="116">
        <v>3772.9</v>
      </c>
      <c r="N2386" s="116">
        <v>3843.2</v>
      </c>
      <c r="O2386" s="116">
        <v>3756</v>
      </c>
      <c r="P2386" s="116">
        <v>3804.9</v>
      </c>
      <c r="Q2386" s="116">
        <v>3772.9</v>
      </c>
      <c r="R2386">
        <v>58175</v>
      </c>
    </row>
    <row r="2387" spans="1:18" x14ac:dyDescent="0.25">
      <c r="A2387" s="170">
        <v>46150</v>
      </c>
      <c r="B2387" s="116">
        <v>3844</v>
      </c>
      <c r="C2387" s="116">
        <v>3802.45</v>
      </c>
      <c r="D2387" s="116">
        <v>3777</v>
      </c>
      <c r="E2387" s="116">
        <v>3816.55</v>
      </c>
      <c r="F2387" s="116">
        <v>3802.45</v>
      </c>
      <c r="G2387">
        <v>7162</v>
      </c>
      <c r="H2387" s="116"/>
      <c r="I2387" s="116"/>
      <c r="L2387" s="170">
        <v>46150</v>
      </c>
      <c r="M2387" s="116">
        <v>3802.6</v>
      </c>
      <c r="N2387" s="116">
        <v>3847.9</v>
      </c>
      <c r="O2387" s="116">
        <v>3774.1</v>
      </c>
      <c r="P2387" s="116">
        <v>3795</v>
      </c>
      <c r="Q2387" s="116">
        <v>3802.6</v>
      </c>
      <c r="R2387">
        <v>88953</v>
      </c>
    </row>
    <row r="2388" spans="1:18" x14ac:dyDescent="0.25">
      <c r="A2388" s="170">
        <v>46153</v>
      </c>
      <c r="B2388" s="116">
        <v>3843.25</v>
      </c>
      <c r="C2388" s="116">
        <v>3795.2</v>
      </c>
      <c r="D2388" s="116">
        <v>3757.4</v>
      </c>
      <c r="E2388" s="116">
        <v>3843.25</v>
      </c>
      <c r="F2388" s="116">
        <v>3795.2</v>
      </c>
      <c r="G2388">
        <v>4958</v>
      </c>
      <c r="H2388" s="116"/>
      <c r="I2388" s="116"/>
      <c r="L2388" s="170">
        <v>46153</v>
      </c>
      <c r="M2388" s="116">
        <v>3788.4</v>
      </c>
      <c r="N2388" s="116">
        <v>3844</v>
      </c>
      <c r="O2388" s="116">
        <v>3750</v>
      </c>
      <c r="P2388" s="116">
        <v>3825</v>
      </c>
      <c r="Q2388" s="116">
        <v>3788.4</v>
      </c>
      <c r="R2388">
        <v>110263</v>
      </c>
    </row>
    <row r="2389" spans="1:18" x14ac:dyDescent="0.25">
      <c r="A2389" s="170">
        <v>46154</v>
      </c>
      <c r="B2389" s="116">
        <v>3796</v>
      </c>
      <c r="C2389" s="116">
        <v>3603.95</v>
      </c>
      <c r="D2389" s="116">
        <v>3563.15</v>
      </c>
      <c r="E2389" s="116">
        <v>3730.25</v>
      </c>
      <c r="F2389" s="116">
        <v>3603.95</v>
      </c>
      <c r="G2389">
        <v>15516</v>
      </c>
      <c r="H2389" s="116"/>
      <c r="I2389" s="116"/>
      <c r="L2389" s="170">
        <v>46154</v>
      </c>
      <c r="M2389" s="116">
        <v>3603.7</v>
      </c>
      <c r="N2389" s="116">
        <v>3802.2</v>
      </c>
      <c r="O2389" s="116">
        <v>3561.6</v>
      </c>
      <c r="P2389" s="116">
        <v>3769.5</v>
      </c>
      <c r="Q2389" s="116">
        <v>3603.7</v>
      </c>
      <c r="R2389">
        <v>140621</v>
      </c>
    </row>
    <row r="2390" spans="1:18" x14ac:dyDescent="0.25">
      <c r="A2390" s="170">
        <v>46155</v>
      </c>
      <c r="B2390" s="116">
        <v>3600.35</v>
      </c>
      <c r="C2390" s="116">
        <v>3499.35</v>
      </c>
      <c r="D2390" s="116">
        <v>3491</v>
      </c>
      <c r="E2390" s="116">
        <v>3532.3</v>
      </c>
      <c r="F2390" s="116">
        <v>3499.35</v>
      </c>
      <c r="G2390">
        <v>9672</v>
      </c>
      <c r="H2390" s="116"/>
      <c r="I2390" s="116"/>
      <c r="L2390" s="170">
        <v>46155</v>
      </c>
      <c r="M2390" s="116">
        <v>3497.9</v>
      </c>
      <c r="N2390" s="116">
        <v>3602.4</v>
      </c>
      <c r="O2390" s="116">
        <v>3487.3</v>
      </c>
      <c r="P2390" s="116">
        <v>3578</v>
      </c>
      <c r="Q2390" s="116">
        <v>3497.9</v>
      </c>
      <c r="R2390">
        <v>65489</v>
      </c>
    </row>
    <row r="2391" spans="1:18" x14ac:dyDescent="0.25">
      <c r="A2391" s="170">
        <v>46156</v>
      </c>
      <c r="B2391" s="116">
        <v>3526.8</v>
      </c>
      <c r="C2391" s="116">
        <v>3465.1</v>
      </c>
      <c r="D2391" s="116">
        <v>3431</v>
      </c>
      <c r="E2391" s="116">
        <v>3486.45</v>
      </c>
      <c r="F2391" s="116">
        <v>3465.1</v>
      </c>
      <c r="G2391">
        <v>6976</v>
      </c>
      <c r="H2391" s="116"/>
      <c r="I2391" s="116"/>
      <c r="L2391" s="170">
        <v>46156</v>
      </c>
      <c r="M2391" s="116">
        <v>3466.6</v>
      </c>
      <c r="N2391" s="116">
        <v>3527.1</v>
      </c>
      <c r="O2391" s="116">
        <v>3431</v>
      </c>
      <c r="P2391" s="116">
        <v>3508.9</v>
      </c>
      <c r="Q2391" s="116">
        <v>3466.6</v>
      </c>
      <c r="R2391">
        <v>54105</v>
      </c>
    </row>
    <row r="2392" spans="1:18" x14ac:dyDescent="0.25">
      <c r="A2392" s="170">
        <v>46157</v>
      </c>
      <c r="B2392" s="116">
        <v>3537.9</v>
      </c>
      <c r="C2392" s="116">
        <v>3490.45</v>
      </c>
      <c r="D2392" s="116">
        <v>3475</v>
      </c>
      <c r="E2392" s="116">
        <v>3495</v>
      </c>
      <c r="F2392" s="116">
        <v>3490.45</v>
      </c>
      <c r="G2392">
        <v>3987</v>
      </c>
      <c r="H2392" s="116"/>
      <c r="I2392" s="116"/>
      <c r="L2392" s="170">
        <v>46157</v>
      </c>
      <c r="M2392" s="116">
        <v>3495.1</v>
      </c>
      <c r="N2392" s="116">
        <v>3535.4</v>
      </c>
      <c r="O2392" s="116">
        <v>3472.5</v>
      </c>
      <c r="P2392" s="116">
        <v>3498</v>
      </c>
      <c r="Q2392" s="116">
        <v>3495.1</v>
      </c>
      <c r="R2392">
        <v>48834</v>
      </c>
    </row>
    <row r="2393" spans="1:18" x14ac:dyDescent="0.25">
      <c r="A2393" s="170">
        <v>46160</v>
      </c>
      <c r="B2393" s="116">
        <v>3579.75</v>
      </c>
      <c r="C2393" s="116">
        <v>3550.95</v>
      </c>
      <c r="D2393" s="116">
        <v>3425</v>
      </c>
      <c r="E2393" s="116">
        <v>3495</v>
      </c>
      <c r="F2393" s="116">
        <v>3550.95</v>
      </c>
      <c r="G2393">
        <v>7673</v>
      </c>
      <c r="H2393" s="116"/>
      <c r="I2393" s="116"/>
      <c r="L2393" s="170">
        <v>46160</v>
      </c>
      <c r="M2393" s="116">
        <v>3549.5</v>
      </c>
      <c r="N2393" s="116">
        <v>3575</v>
      </c>
      <c r="O2393" s="116">
        <v>3425</v>
      </c>
      <c r="P2393" s="116">
        <v>3480</v>
      </c>
      <c r="Q2393" s="116">
        <v>3549.5</v>
      </c>
      <c r="R2393">
        <v>78443</v>
      </c>
    </row>
    <row r="2394" spans="1:18" x14ac:dyDescent="0.25">
      <c r="A2394" s="170">
        <v>46161</v>
      </c>
      <c r="B2394" s="116">
        <v>3722</v>
      </c>
      <c r="C2394" s="116">
        <v>3550.6</v>
      </c>
      <c r="D2394" s="116">
        <v>3528.8</v>
      </c>
      <c r="E2394" s="116">
        <v>3575</v>
      </c>
      <c r="F2394" s="116">
        <v>3550.6</v>
      </c>
      <c r="G2394">
        <v>13180</v>
      </c>
      <c r="H2394" s="116"/>
      <c r="I2394" s="116"/>
      <c r="L2394" s="170">
        <v>46161</v>
      </c>
      <c r="M2394" s="116">
        <v>3554.6</v>
      </c>
      <c r="N2394" s="116">
        <v>3723.2</v>
      </c>
      <c r="O2394" s="116">
        <v>3520</v>
      </c>
      <c r="P2394" s="116">
        <v>3568.5</v>
      </c>
      <c r="Q2394" s="116">
        <v>3554.6</v>
      </c>
      <c r="R2394">
        <v>180442</v>
      </c>
    </row>
    <row r="2395" spans="1:18" x14ac:dyDescent="0.25">
      <c r="A2395" s="170">
        <v>46162</v>
      </c>
      <c r="B2395" s="116">
        <v>3655.1</v>
      </c>
      <c r="C2395" s="116">
        <v>3574.45</v>
      </c>
      <c r="D2395" s="116">
        <v>3531.1</v>
      </c>
      <c r="E2395" s="116">
        <v>3562.95</v>
      </c>
      <c r="F2395" s="116">
        <v>3574.45</v>
      </c>
      <c r="G2395">
        <v>8888</v>
      </c>
      <c r="H2395" s="116"/>
      <c r="I2395" s="116"/>
      <c r="L2395" s="170">
        <v>46162</v>
      </c>
      <c r="M2395" s="116">
        <v>3580.6</v>
      </c>
      <c r="N2395" s="116">
        <v>3657.9</v>
      </c>
      <c r="O2395" s="116">
        <v>3531</v>
      </c>
      <c r="P2395" s="116">
        <v>3531</v>
      </c>
      <c r="Q2395" s="116">
        <v>3580.6</v>
      </c>
      <c r="R2395">
        <v>102480</v>
      </c>
    </row>
    <row r="2396" spans="1:18" x14ac:dyDescent="0.25">
      <c r="A2396" s="170">
        <v>46163</v>
      </c>
      <c r="B2396" s="116">
        <v>3647.65</v>
      </c>
      <c r="C2396" s="116">
        <v>3575.2</v>
      </c>
      <c r="D2396" s="116">
        <v>3552.3</v>
      </c>
      <c r="E2396" s="116">
        <v>3629.8</v>
      </c>
      <c r="F2396" s="116">
        <v>3575.2</v>
      </c>
      <c r="G2396">
        <v>3770</v>
      </c>
      <c r="H2396" s="116"/>
      <c r="I2396" s="116"/>
      <c r="L2396" s="170">
        <v>46163</v>
      </c>
      <c r="M2396" s="116">
        <v>3587.3</v>
      </c>
      <c r="N2396" s="116">
        <v>3647.8</v>
      </c>
      <c r="O2396" s="116">
        <v>3551</v>
      </c>
      <c r="P2396" s="116">
        <v>3601</v>
      </c>
      <c r="Q2396" s="116">
        <v>3587.3</v>
      </c>
      <c r="R2396">
        <v>53667</v>
      </c>
    </row>
    <row r="2397" spans="1:18" x14ac:dyDescent="0.25">
      <c r="A2397" s="170">
        <v>46164</v>
      </c>
      <c r="B2397" s="116">
        <v>3578.95</v>
      </c>
      <c r="C2397" s="116">
        <v>3420.95</v>
      </c>
      <c r="D2397" s="116">
        <v>3410</v>
      </c>
      <c r="E2397" s="116">
        <v>3571</v>
      </c>
      <c r="F2397" s="116">
        <v>3420.95</v>
      </c>
      <c r="G2397">
        <v>91563</v>
      </c>
      <c r="H2397" s="116"/>
      <c r="I2397" s="116"/>
      <c r="L2397" s="170">
        <v>46164</v>
      </c>
      <c r="M2397" s="116">
        <v>3419.3</v>
      </c>
      <c r="N2397" s="116">
        <v>3565</v>
      </c>
      <c r="O2397" s="116">
        <v>3407</v>
      </c>
      <c r="P2397" s="116">
        <v>3565</v>
      </c>
      <c r="Q2397" s="116">
        <v>3419.3</v>
      </c>
      <c r="R2397">
        <v>120238</v>
      </c>
    </row>
    <row r="2398" spans="1:18" x14ac:dyDescent="0.25">
      <c r="A2398" s="170">
        <v>46167</v>
      </c>
      <c r="B2398" s="116">
        <v>3582</v>
      </c>
      <c r="C2398" s="116">
        <v>3547.25</v>
      </c>
      <c r="D2398" s="116">
        <v>3430.35</v>
      </c>
      <c r="E2398" s="116">
        <v>3430.35</v>
      </c>
      <c r="F2398" s="116">
        <v>3547.25</v>
      </c>
      <c r="G2398">
        <v>10745</v>
      </c>
      <c r="H2398" s="116"/>
      <c r="I2398" s="116"/>
      <c r="L2398" s="170">
        <v>46167</v>
      </c>
      <c r="M2398" s="116">
        <v>3546.2</v>
      </c>
      <c r="N2398" s="116">
        <v>3582.4</v>
      </c>
      <c r="O2398" s="116">
        <v>3435</v>
      </c>
      <c r="P2398" s="116">
        <v>3436.4</v>
      </c>
      <c r="Q2398" s="116">
        <v>3546.2</v>
      </c>
      <c r="R2398">
        <v>113653</v>
      </c>
    </row>
    <row r="2399" spans="1:18" x14ac:dyDescent="0.25">
      <c r="A2399" s="170">
        <v>46168</v>
      </c>
      <c r="B2399" s="116">
        <v>3576</v>
      </c>
      <c r="C2399" s="116">
        <v>3538.4</v>
      </c>
      <c r="D2399" s="116">
        <v>3460.15</v>
      </c>
      <c r="E2399" s="116">
        <v>3460.15</v>
      </c>
      <c r="F2399" s="116">
        <v>3538.4</v>
      </c>
      <c r="G2399">
        <v>3965</v>
      </c>
      <c r="H2399" s="116"/>
      <c r="I2399" s="116"/>
      <c r="L2399" s="170">
        <v>46168</v>
      </c>
      <c r="M2399" s="116">
        <v>3540.7</v>
      </c>
      <c r="N2399" s="116">
        <v>3577</v>
      </c>
      <c r="O2399" s="116">
        <v>3516.1</v>
      </c>
      <c r="P2399" s="116">
        <v>3540</v>
      </c>
      <c r="Q2399" s="116">
        <v>3540.7</v>
      </c>
      <c r="R2399">
        <v>39254</v>
      </c>
    </row>
    <row r="2400" spans="1:18" x14ac:dyDescent="0.25">
      <c r="A2400" s="170">
        <v>46169</v>
      </c>
      <c r="B2400" s="116">
        <v>3550.55</v>
      </c>
      <c r="C2400" s="116">
        <v>3490.85</v>
      </c>
      <c r="D2400" s="116">
        <v>3481</v>
      </c>
      <c r="E2400" s="116">
        <v>3550.55</v>
      </c>
      <c r="F2400" s="116">
        <v>3490.85</v>
      </c>
      <c r="G2400">
        <v>2945</v>
      </c>
      <c r="H2400" s="116"/>
      <c r="I2400" s="116"/>
      <c r="L2400" s="170">
        <v>46169</v>
      </c>
      <c r="M2400" s="116">
        <v>3491.6</v>
      </c>
      <c r="N2400" s="116">
        <v>3559.6</v>
      </c>
      <c r="O2400" s="116">
        <v>3479.8</v>
      </c>
      <c r="P2400" s="116">
        <v>3540.7</v>
      </c>
      <c r="Q2400" s="116">
        <v>3491.6</v>
      </c>
      <c r="R2400">
        <v>48055</v>
      </c>
    </row>
    <row r="2401" spans="1:18" x14ac:dyDescent="0.25">
      <c r="A2401" s="170">
        <v>46171</v>
      </c>
      <c r="B2401" s="116">
        <v>3595.15</v>
      </c>
      <c r="C2401" s="116">
        <v>3431.35</v>
      </c>
      <c r="D2401" s="116">
        <v>3396.35</v>
      </c>
      <c r="E2401" s="116">
        <v>3499.7</v>
      </c>
      <c r="F2401" s="116">
        <v>3431.35</v>
      </c>
      <c r="G2401">
        <v>3319</v>
      </c>
      <c r="H2401" s="116"/>
      <c r="I2401" s="116"/>
      <c r="L2401" s="170">
        <v>46171</v>
      </c>
      <c r="M2401" s="116">
        <v>3432.4</v>
      </c>
      <c r="N2401" s="116">
        <v>3596.6</v>
      </c>
      <c r="O2401" s="116">
        <v>3390.7</v>
      </c>
      <c r="P2401" s="116">
        <v>3495</v>
      </c>
      <c r="Q2401" s="116">
        <v>3432.4</v>
      </c>
      <c r="R2401">
        <v>107585</v>
      </c>
    </row>
    <row r="2402" spans="1:18" x14ac:dyDescent="0.25">
      <c r="A2402" s="170">
        <v>46174</v>
      </c>
      <c r="B2402" s="116">
        <v>3503.2</v>
      </c>
      <c r="C2402" s="116">
        <v>3383.65</v>
      </c>
      <c r="D2402" s="116">
        <v>3330</v>
      </c>
      <c r="E2402" s="116">
        <v>3489.05</v>
      </c>
      <c r="F2402" s="116">
        <v>3383.65</v>
      </c>
      <c r="G2402">
        <v>8027</v>
      </c>
      <c r="H2402" s="116"/>
      <c r="I2402" s="116"/>
      <c r="L2402" s="170">
        <v>46174</v>
      </c>
      <c r="M2402" s="116">
        <v>3385.5</v>
      </c>
      <c r="N2402" s="116">
        <v>3508.9</v>
      </c>
      <c r="O2402" s="116">
        <v>3310</v>
      </c>
      <c r="P2402" s="116">
        <v>3469</v>
      </c>
      <c r="Q2402" s="116">
        <v>3385.5</v>
      </c>
      <c r="R2402">
        <v>395897</v>
      </c>
    </row>
    <row r="2403" spans="1:18" x14ac:dyDescent="0.25">
      <c r="A2403" s="170">
        <v>46175</v>
      </c>
      <c r="B2403" s="116">
        <v>3550.9</v>
      </c>
      <c r="C2403" s="116">
        <v>3509.6</v>
      </c>
      <c r="D2403" s="116">
        <v>3381.5</v>
      </c>
      <c r="E2403" s="116">
        <v>3381.55</v>
      </c>
      <c r="F2403" s="116">
        <v>3509.6</v>
      </c>
      <c r="G2403">
        <v>8475</v>
      </c>
      <c r="H2403" s="116"/>
      <c r="I2403" s="116"/>
      <c r="L2403" s="170">
        <v>46175</v>
      </c>
      <c r="M2403" s="116">
        <v>3508.3</v>
      </c>
      <c r="N2403" s="116">
        <v>3549</v>
      </c>
      <c r="O2403" s="116">
        <v>3368</v>
      </c>
      <c r="P2403" s="116">
        <v>3368</v>
      </c>
      <c r="Q2403" s="116">
        <v>3508.3</v>
      </c>
      <c r="R2403">
        <v>267524</v>
      </c>
    </row>
    <row r="2404" spans="1:18" x14ac:dyDescent="0.25">
      <c r="A2404" s="170">
        <v>46176</v>
      </c>
      <c r="B2404" s="116">
        <v>3509.55</v>
      </c>
      <c r="C2404" s="116">
        <v>3301.55</v>
      </c>
      <c r="D2404" s="116">
        <v>3277.1</v>
      </c>
      <c r="E2404" s="116">
        <v>3509.55</v>
      </c>
      <c r="F2404" s="116">
        <v>3301.55</v>
      </c>
      <c r="G2404">
        <v>11481</v>
      </c>
      <c r="H2404" s="116"/>
      <c r="I2404" s="116"/>
      <c r="L2404" s="170">
        <v>46176</v>
      </c>
      <c r="M2404" s="116">
        <v>3299.2</v>
      </c>
      <c r="N2404" s="116">
        <v>3490</v>
      </c>
      <c r="O2404" s="116">
        <v>3275.3</v>
      </c>
      <c r="P2404" s="116">
        <v>3490</v>
      </c>
      <c r="Q2404" s="116">
        <v>3299.2</v>
      </c>
      <c r="R2404">
        <v>148396</v>
      </c>
    </row>
    <row r="2405" spans="1:18" x14ac:dyDescent="0.25">
      <c r="A2405" s="170">
        <v>46177</v>
      </c>
      <c r="B2405" s="116">
        <v>3325.5</v>
      </c>
      <c r="C2405" s="116">
        <v>3280.8</v>
      </c>
      <c r="D2405" s="116">
        <v>3255.05</v>
      </c>
      <c r="E2405" s="116">
        <v>3290.1</v>
      </c>
      <c r="F2405" s="116">
        <v>3280.8</v>
      </c>
      <c r="G2405">
        <v>8513</v>
      </c>
      <c r="H2405" s="116"/>
      <c r="I2405" s="116"/>
      <c r="L2405" s="170">
        <v>46177</v>
      </c>
      <c r="M2405" s="116">
        <v>3272.1</v>
      </c>
      <c r="N2405" s="116">
        <v>3326.5</v>
      </c>
      <c r="O2405" s="116">
        <v>3255</v>
      </c>
      <c r="P2405" s="116">
        <v>3279.9</v>
      </c>
      <c r="Q2405" s="116">
        <v>3272.1</v>
      </c>
      <c r="R2405">
        <v>80443</v>
      </c>
    </row>
    <row r="2406" spans="1:18" x14ac:dyDescent="0.25">
      <c r="A2406" s="170">
        <v>46178</v>
      </c>
      <c r="B2406" s="116">
        <v>3364.45</v>
      </c>
      <c r="C2406" s="116">
        <v>3214.95</v>
      </c>
      <c r="D2406" s="116">
        <v>3204</v>
      </c>
      <c r="E2406" s="116">
        <v>3281.6</v>
      </c>
      <c r="F2406" s="116">
        <v>3214.95</v>
      </c>
      <c r="G2406">
        <v>12004</v>
      </c>
      <c r="H2406" s="116"/>
      <c r="I2406" s="116"/>
      <c r="L2406" s="170">
        <v>46178</v>
      </c>
      <c r="M2406" s="116">
        <v>3212.7</v>
      </c>
      <c r="N2406" s="116">
        <v>3365</v>
      </c>
      <c r="O2406" s="116">
        <v>3200</v>
      </c>
      <c r="P2406" s="116">
        <v>3299.8</v>
      </c>
      <c r="Q2406" s="116">
        <v>3212.7</v>
      </c>
      <c r="R2406">
        <v>151344</v>
      </c>
    </row>
    <row r="2407" spans="1:18" x14ac:dyDescent="0.25">
      <c r="A2407" s="170">
        <v>46181</v>
      </c>
      <c r="B2407" s="116">
        <v>3218.35</v>
      </c>
      <c r="C2407" s="116">
        <v>3167.55</v>
      </c>
      <c r="D2407" s="116">
        <v>3154.05</v>
      </c>
      <c r="E2407" s="116">
        <v>3186.3</v>
      </c>
      <c r="F2407" s="116">
        <v>3167.55</v>
      </c>
      <c r="G2407">
        <v>10628</v>
      </c>
      <c r="H2407" s="116"/>
      <c r="I2407" s="116"/>
      <c r="L2407" s="170">
        <v>46181</v>
      </c>
      <c r="M2407" s="116">
        <v>3165.2</v>
      </c>
      <c r="N2407" s="116">
        <v>3221.4</v>
      </c>
      <c r="O2407" s="116">
        <v>3152</v>
      </c>
      <c r="P2407" s="116">
        <v>3212.7</v>
      </c>
      <c r="Q2407" s="116">
        <v>3165.2</v>
      </c>
      <c r="R2407">
        <v>109491</v>
      </c>
    </row>
    <row r="2408" spans="1:18" x14ac:dyDescent="0.25">
      <c r="A2408" s="170">
        <v>46182</v>
      </c>
      <c r="B2408" s="116">
        <v>3442.7</v>
      </c>
      <c r="C2408" s="116">
        <v>3410.15</v>
      </c>
      <c r="D2408" s="116">
        <v>3175</v>
      </c>
      <c r="E2408" s="116">
        <v>3175.4</v>
      </c>
      <c r="F2408" s="116">
        <v>3410.15</v>
      </c>
      <c r="G2408">
        <v>39497</v>
      </c>
      <c r="H2408" s="116"/>
      <c r="I2408" s="116"/>
      <c r="L2408" s="170">
        <v>46182</v>
      </c>
      <c r="M2408" s="116">
        <v>3417.7</v>
      </c>
      <c r="N2408" s="116">
        <v>3448</v>
      </c>
      <c r="O2408" s="116">
        <v>3168.1</v>
      </c>
      <c r="P2408" s="116">
        <v>3209.2</v>
      </c>
      <c r="Q2408" s="116">
        <v>3417.7</v>
      </c>
      <c r="R2408">
        <v>331860</v>
      </c>
    </row>
    <row r="2409" spans="1:18" x14ac:dyDescent="0.25">
      <c r="A2409" s="170">
        <v>46183</v>
      </c>
      <c r="B2409" s="116">
        <v>3446.9</v>
      </c>
      <c r="C2409" s="116">
        <v>3327.3</v>
      </c>
      <c r="D2409" s="116">
        <v>3315.8</v>
      </c>
      <c r="E2409" s="116">
        <v>3427.7</v>
      </c>
      <c r="F2409" s="116">
        <v>3327.3</v>
      </c>
      <c r="G2409">
        <v>6029</v>
      </c>
      <c r="H2409" s="116"/>
      <c r="I2409" s="116"/>
      <c r="L2409" s="170">
        <v>46183</v>
      </c>
      <c r="M2409" s="116">
        <v>3328</v>
      </c>
      <c r="N2409" s="116">
        <v>3444</v>
      </c>
      <c r="O2409" s="116">
        <v>3315.1</v>
      </c>
      <c r="P2409" s="116">
        <v>3420</v>
      </c>
      <c r="Q2409" s="116">
        <v>3328</v>
      </c>
      <c r="R2409">
        <v>79646</v>
      </c>
    </row>
    <row r="2410" spans="1:18" x14ac:dyDescent="0.25">
      <c r="A2410" s="170">
        <v>46184</v>
      </c>
      <c r="B2410" s="116">
        <v>3374.65</v>
      </c>
      <c r="C2410" s="116">
        <v>3287.85</v>
      </c>
      <c r="D2410" s="116">
        <v>3282.55</v>
      </c>
      <c r="E2410" s="116">
        <v>3323.65</v>
      </c>
      <c r="F2410" s="116">
        <v>3287.85</v>
      </c>
      <c r="G2410">
        <v>6645</v>
      </c>
      <c r="H2410" s="116"/>
      <c r="I2410" s="116"/>
      <c r="L2410" s="170">
        <v>46184</v>
      </c>
      <c r="M2410" s="116">
        <v>3291.1</v>
      </c>
      <c r="N2410" s="116">
        <v>3375.1</v>
      </c>
      <c r="O2410" s="116">
        <v>3280.7</v>
      </c>
      <c r="P2410" s="116">
        <v>3300.9</v>
      </c>
      <c r="Q2410" s="116">
        <v>3291.1</v>
      </c>
      <c r="R2410">
        <v>57748</v>
      </c>
    </row>
    <row r="2411" spans="1:18" x14ac:dyDescent="0.25">
      <c r="A2411" s="170">
        <v>46185</v>
      </c>
      <c r="B2411" s="116">
        <v>3368.4</v>
      </c>
      <c r="C2411" s="116">
        <v>3349.25</v>
      </c>
      <c r="D2411" s="116">
        <v>3290.15</v>
      </c>
      <c r="E2411" s="116">
        <v>3353.9</v>
      </c>
      <c r="F2411" s="116">
        <v>3349.25</v>
      </c>
      <c r="G2411">
        <v>3257</v>
      </c>
      <c r="H2411" s="116"/>
      <c r="I2411" s="116"/>
      <c r="L2411" s="170">
        <v>46185</v>
      </c>
      <c r="M2411" s="116">
        <v>3351.1</v>
      </c>
      <c r="N2411" s="116">
        <v>3365</v>
      </c>
      <c r="O2411" s="116">
        <v>3287.6</v>
      </c>
      <c r="P2411" s="116">
        <v>3318</v>
      </c>
      <c r="Q2411" s="116">
        <v>3351.1</v>
      </c>
      <c r="R2411">
        <v>57940</v>
      </c>
    </row>
    <row r="2412" spans="1:18" x14ac:dyDescent="0.25">
      <c r="A2412" s="170">
        <v>46188</v>
      </c>
      <c r="B2412" s="116">
        <v>3466.45</v>
      </c>
      <c r="C2412" s="116">
        <v>3395.7</v>
      </c>
      <c r="D2412" s="116">
        <v>3390</v>
      </c>
      <c r="E2412" s="116">
        <v>3466.45</v>
      </c>
      <c r="F2412" s="116">
        <v>3395.7</v>
      </c>
      <c r="G2412">
        <v>5534</v>
      </c>
      <c r="H2412" s="116"/>
      <c r="I2412" s="116"/>
      <c r="L2412" s="170">
        <v>46188</v>
      </c>
      <c r="M2412" s="116">
        <v>3395.3</v>
      </c>
      <c r="N2412" s="116">
        <v>3444</v>
      </c>
      <c r="O2412" s="116">
        <v>3390</v>
      </c>
      <c r="P2412" s="116">
        <v>3437</v>
      </c>
      <c r="Q2412" s="116">
        <v>3395.3</v>
      </c>
      <c r="R2412">
        <v>53639</v>
      </c>
    </row>
    <row r="2413" spans="1:18" x14ac:dyDescent="0.25">
      <c r="A2413" s="170">
        <v>46189</v>
      </c>
      <c r="B2413" s="116">
        <v>3469.3</v>
      </c>
      <c r="C2413" s="116">
        <v>3461.25</v>
      </c>
      <c r="D2413" s="116">
        <v>3389.2</v>
      </c>
      <c r="E2413" s="116">
        <v>3415.25</v>
      </c>
      <c r="F2413" s="116">
        <v>3461.25</v>
      </c>
      <c r="G2413">
        <v>6174</v>
      </c>
      <c r="H2413" s="116"/>
      <c r="I2413" s="116"/>
      <c r="L2413" s="170">
        <v>46189</v>
      </c>
      <c r="M2413" s="116">
        <v>3462.9</v>
      </c>
      <c r="N2413" s="116">
        <v>3500</v>
      </c>
      <c r="O2413" s="116">
        <v>3392.1</v>
      </c>
      <c r="P2413" s="116">
        <v>3418.9</v>
      </c>
      <c r="Q2413" s="116">
        <v>3462.9</v>
      </c>
      <c r="R2413">
        <v>86988</v>
      </c>
    </row>
    <row r="2414" spans="1:18" x14ac:dyDescent="0.25">
      <c r="A2414" s="170">
        <v>46190</v>
      </c>
      <c r="B2414" s="116">
        <v>3504.75</v>
      </c>
      <c r="C2414" s="116">
        <v>3453.25</v>
      </c>
      <c r="D2414" s="116">
        <v>3440</v>
      </c>
      <c r="E2414" s="116">
        <v>3473</v>
      </c>
      <c r="F2414" s="116">
        <v>3453.25</v>
      </c>
      <c r="G2414">
        <v>3353</v>
      </c>
      <c r="H2414" s="116"/>
      <c r="I2414" s="116"/>
      <c r="L2414" s="170">
        <v>46190</v>
      </c>
      <c r="M2414" s="116">
        <v>3453.8</v>
      </c>
      <c r="N2414" s="116">
        <v>3504.8</v>
      </c>
      <c r="O2414" s="116">
        <v>3434</v>
      </c>
      <c r="P2414" s="116">
        <v>3464</v>
      </c>
      <c r="Q2414" s="116">
        <v>3453.8</v>
      </c>
      <c r="R2414">
        <v>51558</v>
      </c>
    </row>
    <row r="2415" spans="1:18" x14ac:dyDescent="0.25">
      <c r="A2415" s="170"/>
      <c r="B2415" s="116"/>
      <c r="C2415" s="116"/>
      <c r="D2415" s="116"/>
      <c r="E2415" s="116"/>
      <c r="F2415" s="116"/>
      <c r="H2415" s="116"/>
      <c r="I2415" s="116"/>
      <c r="L2415" s="170"/>
    </row>
    <row r="2416" spans="1:18" x14ac:dyDescent="0.25">
      <c r="A2416" s="170"/>
      <c r="B2416" s="116"/>
      <c r="C2416" s="116"/>
      <c r="D2416" s="116"/>
      <c r="E2416" s="116"/>
      <c r="F2416" s="116"/>
      <c r="H2416" s="116"/>
      <c r="I2416" s="116"/>
      <c r="L2416" s="170"/>
    </row>
    <row r="2417" spans="1:12" x14ac:dyDescent="0.25">
      <c r="A2417" s="170"/>
      <c r="B2417" s="116"/>
      <c r="C2417" s="116"/>
      <c r="D2417" s="116"/>
      <c r="E2417" s="116"/>
      <c r="F2417" s="116"/>
      <c r="H2417" s="116"/>
      <c r="I2417" s="116"/>
      <c r="L2417" s="170"/>
    </row>
    <row r="2418" spans="1:12" x14ac:dyDescent="0.25">
      <c r="A2418" s="170"/>
      <c r="B2418" s="116"/>
      <c r="C2418" s="116"/>
      <c r="D2418" s="116"/>
      <c r="E2418" s="116"/>
      <c r="F2418" s="116"/>
      <c r="H2418" s="116"/>
      <c r="I2418" s="116"/>
      <c r="L2418" s="170"/>
    </row>
    <row r="2419" spans="1:12" x14ac:dyDescent="0.25">
      <c r="A2419" s="170"/>
      <c r="B2419" s="116"/>
      <c r="C2419" s="116"/>
      <c r="D2419" s="116"/>
      <c r="E2419" s="116"/>
      <c r="F2419" s="116"/>
      <c r="H2419" s="116"/>
      <c r="I2419" s="116"/>
      <c r="L2419" s="170"/>
    </row>
    <row r="2420" spans="1:12" x14ac:dyDescent="0.25">
      <c r="A2420" s="170"/>
      <c r="B2420" s="116"/>
      <c r="C2420" s="116"/>
      <c r="D2420" s="116"/>
      <c r="E2420" s="116"/>
      <c r="F2420" s="116"/>
      <c r="H2420" s="116"/>
      <c r="I2420" s="116"/>
      <c r="L2420" s="170"/>
    </row>
    <row r="2421" spans="1:12" x14ac:dyDescent="0.25">
      <c r="A2421" s="170"/>
      <c r="B2421" s="116"/>
      <c r="C2421" s="116"/>
      <c r="D2421" s="116"/>
      <c r="E2421" s="116"/>
      <c r="F2421" s="116"/>
      <c r="H2421" s="116"/>
      <c r="I2421" s="116"/>
      <c r="L2421" s="170"/>
    </row>
    <row r="2422" spans="1:12" x14ac:dyDescent="0.25">
      <c r="A2422" s="170"/>
      <c r="B2422" s="116"/>
      <c r="C2422" s="116"/>
      <c r="D2422" s="116"/>
      <c r="E2422" s="116"/>
      <c r="F2422" s="116"/>
      <c r="H2422" s="116"/>
      <c r="I2422" s="116"/>
      <c r="L2422" s="170"/>
    </row>
    <row r="2423" spans="1:12" x14ac:dyDescent="0.25">
      <c r="A2423" s="170"/>
      <c r="B2423" s="116"/>
      <c r="C2423" s="116"/>
      <c r="D2423" s="116"/>
      <c r="E2423" s="116"/>
      <c r="F2423" s="116"/>
      <c r="H2423" s="116"/>
      <c r="I2423" s="116"/>
      <c r="L2423" s="170"/>
    </row>
    <row r="2424" spans="1:12" x14ac:dyDescent="0.25">
      <c r="A2424" s="170"/>
      <c r="B2424" s="116"/>
      <c r="C2424" s="116"/>
      <c r="D2424" s="116"/>
      <c r="E2424" s="116"/>
      <c r="F2424" s="116"/>
      <c r="H2424" s="116"/>
      <c r="I2424" s="116"/>
      <c r="L2424" s="170"/>
    </row>
    <row r="2425" spans="1:12" x14ac:dyDescent="0.25">
      <c r="A2425" s="170"/>
      <c r="B2425" s="116"/>
      <c r="C2425" s="116"/>
      <c r="D2425" s="116"/>
      <c r="E2425" s="116"/>
      <c r="F2425" s="116"/>
      <c r="H2425" s="116"/>
      <c r="I2425" s="116"/>
      <c r="L2425" s="170"/>
    </row>
    <row r="2426" spans="1:12" x14ac:dyDescent="0.25">
      <c r="A2426" s="170"/>
      <c r="B2426" s="116"/>
      <c r="C2426" s="116"/>
      <c r="D2426" s="116"/>
      <c r="E2426" s="116"/>
      <c r="F2426" s="116"/>
      <c r="H2426" s="116"/>
      <c r="I2426" s="116"/>
      <c r="L2426" s="170"/>
    </row>
    <row r="2427" spans="1:12" x14ac:dyDescent="0.25">
      <c r="A2427" s="170"/>
      <c r="B2427" s="116"/>
      <c r="C2427" s="116"/>
      <c r="D2427" s="116"/>
      <c r="E2427" s="116"/>
      <c r="F2427" s="116"/>
      <c r="H2427" s="116"/>
      <c r="I2427" s="116"/>
      <c r="L2427" s="170"/>
    </row>
    <row r="2428" spans="1:12" x14ac:dyDescent="0.25">
      <c r="A2428" s="170"/>
      <c r="B2428" s="116"/>
      <c r="C2428" s="116"/>
      <c r="D2428" s="116"/>
      <c r="E2428" s="116"/>
      <c r="F2428" s="116"/>
      <c r="H2428" s="116"/>
      <c r="I2428" s="116"/>
      <c r="L2428" s="170"/>
    </row>
    <row r="2429" spans="1:12" x14ac:dyDescent="0.25">
      <c r="A2429" s="170"/>
      <c r="B2429" s="116"/>
      <c r="C2429" s="116"/>
      <c r="D2429" s="116"/>
      <c r="E2429" s="116"/>
      <c r="F2429" s="116"/>
      <c r="H2429" s="116"/>
      <c r="I2429" s="116"/>
      <c r="L2429" s="170"/>
    </row>
    <row r="2430" spans="1:12" x14ac:dyDescent="0.25">
      <c r="A2430" s="170"/>
      <c r="B2430" s="116"/>
      <c r="C2430" s="116"/>
      <c r="D2430" s="116"/>
      <c r="E2430" s="116"/>
      <c r="F2430" s="116"/>
      <c r="H2430" s="116"/>
      <c r="I2430" s="116"/>
      <c r="L2430" s="170"/>
    </row>
    <row r="2431" spans="1:12" x14ac:dyDescent="0.25">
      <c r="A2431" s="170"/>
      <c r="B2431" s="116"/>
      <c r="C2431" s="116"/>
      <c r="D2431" s="116"/>
      <c r="E2431" s="116"/>
      <c r="F2431" s="116"/>
      <c r="H2431" s="116"/>
      <c r="I2431" s="116"/>
      <c r="L2431" s="170"/>
    </row>
    <row r="2432" spans="1:12" x14ac:dyDescent="0.25">
      <c r="A2432" s="170"/>
      <c r="B2432" s="116"/>
      <c r="C2432" s="116"/>
      <c r="D2432" s="116"/>
      <c r="E2432" s="116"/>
      <c r="F2432" s="116"/>
      <c r="H2432" s="116"/>
      <c r="I2432" s="116"/>
      <c r="L2432" s="170"/>
    </row>
    <row r="2433" spans="1:12" x14ac:dyDescent="0.25">
      <c r="A2433" s="170"/>
      <c r="B2433" s="116"/>
      <c r="C2433" s="116"/>
      <c r="D2433" s="116"/>
      <c r="E2433" s="116"/>
      <c r="F2433" s="116"/>
      <c r="H2433" s="116"/>
      <c r="I2433" s="116"/>
      <c r="L2433" s="170"/>
    </row>
    <row r="2434" spans="1:12" x14ac:dyDescent="0.25">
      <c r="A2434" s="170"/>
      <c r="B2434" s="116"/>
      <c r="C2434" s="116"/>
      <c r="D2434" s="116"/>
      <c r="E2434" s="116"/>
      <c r="F2434" s="116"/>
      <c r="H2434" s="116"/>
      <c r="I2434" s="116"/>
      <c r="L2434" s="170"/>
    </row>
    <row r="2435" spans="1:12" x14ac:dyDescent="0.25">
      <c r="A2435" s="170"/>
      <c r="B2435" s="116"/>
      <c r="C2435" s="116"/>
      <c r="D2435" s="116"/>
      <c r="E2435" s="116"/>
      <c r="F2435" s="116"/>
      <c r="H2435" s="116"/>
      <c r="I2435" s="116"/>
      <c r="L2435" s="170"/>
    </row>
    <row r="2436" spans="1:12" x14ac:dyDescent="0.25">
      <c r="A2436" s="170"/>
      <c r="B2436" s="116"/>
      <c r="C2436" s="116"/>
      <c r="D2436" s="116"/>
      <c r="E2436" s="116"/>
      <c r="F2436" s="116"/>
      <c r="H2436" s="116"/>
      <c r="I2436" s="116"/>
      <c r="L2436" s="170"/>
    </row>
    <row r="2437" spans="1:12" x14ac:dyDescent="0.25">
      <c r="A2437" s="170"/>
      <c r="B2437" s="116"/>
      <c r="C2437" s="116"/>
      <c r="D2437" s="116"/>
      <c r="E2437" s="116"/>
      <c r="F2437" s="116"/>
      <c r="H2437" s="116"/>
      <c r="I2437" s="116"/>
      <c r="L2437" s="170"/>
    </row>
    <row r="2438" spans="1:12" x14ac:dyDescent="0.25">
      <c r="A2438" s="170"/>
      <c r="B2438" s="116"/>
      <c r="C2438" s="116"/>
      <c r="D2438" s="116"/>
      <c r="E2438" s="116"/>
      <c r="F2438" s="116"/>
      <c r="H2438" s="116"/>
      <c r="I2438" s="116"/>
      <c r="L2438" s="170"/>
    </row>
    <row r="2439" spans="1:12" x14ac:dyDescent="0.25">
      <c r="A2439" s="170"/>
      <c r="B2439" s="116"/>
      <c r="C2439" s="116"/>
      <c r="D2439" s="116"/>
      <c r="E2439" s="116"/>
      <c r="F2439" s="116"/>
      <c r="H2439" s="116"/>
      <c r="I2439" s="116"/>
      <c r="L2439" s="170"/>
    </row>
    <row r="2440" spans="1:12" x14ac:dyDescent="0.25">
      <c r="A2440" s="170"/>
      <c r="B2440" s="116"/>
      <c r="C2440" s="116"/>
      <c r="D2440" s="116"/>
      <c r="E2440" s="116"/>
      <c r="F2440" s="116"/>
      <c r="H2440" s="116"/>
      <c r="I2440" s="116"/>
      <c r="L2440" s="170"/>
    </row>
    <row r="2441" spans="1:12" x14ac:dyDescent="0.25">
      <c r="A2441" s="170"/>
      <c r="B2441" s="116"/>
      <c r="C2441" s="116"/>
      <c r="D2441" s="116"/>
      <c r="E2441" s="116"/>
      <c r="F2441" s="116"/>
      <c r="H2441" s="116"/>
      <c r="I2441" s="116"/>
      <c r="L2441" s="170"/>
    </row>
    <row r="2442" spans="1:12" x14ac:dyDescent="0.25">
      <c r="A2442" s="170"/>
      <c r="B2442" s="116"/>
      <c r="C2442" s="116"/>
      <c r="D2442" s="116"/>
      <c r="E2442" s="116"/>
      <c r="F2442" s="116"/>
      <c r="H2442" s="116"/>
      <c r="I2442" s="116"/>
      <c r="L2442" s="170"/>
    </row>
    <row r="2443" spans="1:12" x14ac:dyDescent="0.25">
      <c r="A2443" s="170"/>
      <c r="B2443" s="116"/>
      <c r="C2443" s="116"/>
      <c r="D2443" s="116"/>
      <c r="E2443" s="116"/>
      <c r="F2443" s="116"/>
      <c r="H2443" s="116"/>
      <c r="I2443" s="116"/>
      <c r="L2443" s="170"/>
    </row>
    <row r="2444" spans="1:12" x14ac:dyDescent="0.25">
      <c r="A2444" s="170"/>
      <c r="B2444" s="116"/>
      <c r="C2444" s="116"/>
      <c r="D2444" s="116"/>
      <c r="E2444" s="116"/>
      <c r="F2444" s="116"/>
      <c r="H2444" s="116"/>
      <c r="I2444" s="116"/>
      <c r="L2444" s="170"/>
    </row>
    <row r="2445" spans="1:12" x14ac:dyDescent="0.25">
      <c r="A2445" s="170"/>
      <c r="B2445" s="116"/>
      <c r="C2445" s="116"/>
      <c r="D2445" s="116"/>
      <c r="E2445" s="116"/>
      <c r="F2445" s="116"/>
      <c r="H2445" s="116"/>
      <c r="I2445" s="116"/>
      <c r="L2445" s="170"/>
    </row>
    <row r="2446" spans="1:12" x14ac:dyDescent="0.25">
      <c r="A2446" s="170"/>
      <c r="B2446" s="116"/>
      <c r="C2446" s="116"/>
      <c r="D2446" s="116"/>
      <c r="E2446" s="116"/>
      <c r="F2446" s="116"/>
      <c r="H2446" s="116"/>
      <c r="I2446" s="116"/>
      <c r="L2446" s="170"/>
    </row>
    <row r="2447" spans="1:12" x14ac:dyDescent="0.25">
      <c r="A2447" s="170"/>
      <c r="B2447" s="116"/>
      <c r="C2447" s="116"/>
      <c r="D2447" s="116"/>
      <c r="E2447" s="116"/>
      <c r="F2447" s="116"/>
      <c r="H2447" s="116"/>
      <c r="I2447" s="116"/>
      <c r="L2447" s="170"/>
    </row>
    <row r="2448" spans="1:12" x14ac:dyDescent="0.25">
      <c r="A2448" s="170"/>
      <c r="B2448" s="116"/>
      <c r="C2448" s="116"/>
      <c r="D2448" s="116"/>
      <c r="E2448" s="116"/>
      <c r="F2448" s="116"/>
      <c r="H2448" s="116"/>
      <c r="I2448" s="116"/>
      <c r="L2448" s="170"/>
    </row>
    <row r="2449" spans="1:12" x14ac:dyDescent="0.25">
      <c r="A2449" s="170"/>
      <c r="B2449" s="116"/>
      <c r="C2449" s="116"/>
      <c r="D2449" s="116"/>
      <c r="E2449" s="116"/>
      <c r="F2449" s="116"/>
      <c r="H2449" s="116"/>
      <c r="I2449" s="116"/>
      <c r="L2449" s="170"/>
    </row>
    <row r="2450" spans="1:12" x14ac:dyDescent="0.25">
      <c r="A2450" s="170"/>
      <c r="B2450" s="116"/>
      <c r="C2450" s="116"/>
      <c r="D2450" s="116"/>
      <c r="E2450" s="116"/>
      <c r="F2450" s="116"/>
      <c r="H2450" s="116"/>
      <c r="I2450" s="116"/>
      <c r="L2450" s="170"/>
    </row>
    <row r="2451" spans="1:12" x14ac:dyDescent="0.25">
      <c r="A2451" s="170"/>
      <c r="B2451" s="116"/>
      <c r="C2451" s="116"/>
      <c r="D2451" s="116"/>
      <c r="E2451" s="116"/>
      <c r="F2451" s="116"/>
      <c r="H2451" s="116"/>
      <c r="I2451" s="116"/>
      <c r="L2451" s="170"/>
    </row>
    <row r="2452" spans="1:12" x14ac:dyDescent="0.25">
      <c r="A2452" s="170"/>
      <c r="B2452" s="116"/>
      <c r="C2452" s="116"/>
      <c r="D2452" s="116"/>
      <c r="E2452" s="116"/>
      <c r="F2452" s="116"/>
      <c r="H2452" s="116"/>
      <c r="I2452" s="116"/>
      <c r="L2452" s="170"/>
    </row>
    <row r="2453" spans="1:12" x14ac:dyDescent="0.25">
      <c r="A2453" s="170"/>
      <c r="B2453" s="116"/>
      <c r="C2453" s="116"/>
      <c r="D2453" s="116"/>
      <c r="E2453" s="116"/>
      <c r="F2453" s="116"/>
      <c r="H2453" s="116"/>
      <c r="I2453" s="116"/>
      <c r="L2453" s="170"/>
    </row>
    <row r="2454" spans="1:12" x14ac:dyDescent="0.25">
      <c r="A2454" s="170"/>
      <c r="B2454" s="116"/>
      <c r="C2454" s="116"/>
      <c r="D2454" s="116"/>
      <c r="E2454" s="116"/>
      <c r="F2454" s="116"/>
      <c r="H2454" s="116"/>
      <c r="I2454" s="116"/>
      <c r="L2454" s="170"/>
    </row>
    <row r="2455" spans="1:12" x14ac:dyDescent="0.25">
      <c r="A2455" s="170"/>
      <c r="B2455" s="116"/>
      <c r="C2455" s="116"/>
      <c r="D2455" s="116"/>
      <c r="E2455" s="116"/>
      <c r="F2455" s="116"/>
      <c r="H2455" s="116"/>
      <c r="I2455" s="116"/>
      <c r="L2455" s="170"/>
    </row>
    <row r="2456" spans="1:12" x14ac:dyDescent="0.25">
      <c r="A2456" s="170"/>
      <c r="B2456" s="116"/>
      <c r="C2456" s="116"/>
      <c r="D2456" s="116"/>
      <c r="E2456" s="116"/>
      <c r="F2456" s="116"/>
      <c r="H2456" s="116"/>
      <c r="I2456" s="116"/>
      <c r="L2456" s="170"/>
    </row>
    <row r="2457" spans="1:12" x14ac:dyDescent="0.25">
      <c r="A2457" s="170"/>
      <c r="B2457" s="116"/>
      <c r="C2457" s="116"/>
      <c r="D2457" s="116"/>
      <c r="E2457" s="116"/>
      <c r="F2457" s="116"/>
      <c r="H2457" s="116"/>
      <c r="I2457" s="116"/>
      <c r="L2457" s="170"/>
    </row>
    <row r="2458" spans="1:12" x14ac:dyDescent="0.25">
      <c r="A2458" s="170"/>
      <c r="B2458" s="116"/>
      <c r="C2458" s="116"/>
      <c r="D2458" s="116"/>
      <c r="E2458" s="116"/>
      <c r="F2458" s="116"/>
      <c r="H2458" s="116"/>
      <c r="I2458" s="116"/>
      <c r="L2458" s="170"/>
    </row>
    <row r="2459" spans="1:12" x14ac:dyDescent="0.25">
      <c r="A2459" s="170"/>
      <c r="B2459" s="116"/>
      <c r="C2459" s="116"/>
      <c r="D2459" s="116"/>
      <c r="E2459" s="116"/>
      <c r="F2459" s="116"/>
      <c r="H2459" s="116"/>
      <c r="I2459" s="116"/>
      <c r="L2459" s="170"/>
    </row>
    <row r="2460" spans="1:12" x14ac:dyDescent="0.25">
      <c r="A2460" s="170"/>
      <c r="B2460" s="116"/>
      <c r="C2460" s="116"/>
      <c r="D2460" s="116"/>
      <c r="E2460" s="116"/>
      <c r="F2460" s="116"/>
      <c r="H2460" s="116"/>
      <c r="I2460" s="116"/>
      <c r="L2460" s="170"/>
    </row>
    <row r="2461" spans="1:12" x14ac:dyDescent="0.25">
      <c r="A2461" s="170"/>
      <c r="B2461" s="116"/>
      <c r="C2461" s="116"/>
      <c r="D2461" s="116"/>
      <c r="E2461" s="116"/>
      <c r="F2461" s="116"/>
      <c r="H2461" s="116"/>
      <c r="I2461" s="116"/>
      <c r="L2461" s="170"/>
    </row>
    <row r="2462" spans="1:12" x14ac:dyDescent="0.25">
      <c r="A2462" s="170"/>
      <c r="B2462" s="116"/>
      <c r="C2462" s="116"/>
      <c r="D2462" s="116"/>
      <c r="E2462" s="116"/>
      <c r="F2462" s="116"/>
      <c r="H2462" s="116"/>
      <c r="I2462" s="116"/>
      <c r="L2462" s="170"/>
    </row>
    <row r="2463" spans="1:12" x14ac:dyDescent="0.25">
      <c r="A2463" s="170"/>
      <c r="B2463" s="116"/>
      <c r="C2463" s="116"/>
      <c r="D2463" s="116"/>
      <c r="E2463" s="116"/>
      <c r="F2463" s="116"/>
      <c r="H2463" s="116"/>
      <c r="I2463" s="116"/>
      <c r="L2463" s="170"/>
    </row>
    <row r="2464" spans="1:12" x14ac:dyDescent="0.25">
      <c r="A2464" s="170"/>
      <c r="B2464" s="116"/>
      <c r="C2464" s="116"/>
      <c r="D2464" s="116"/>
      <c r="E2464" s="116"/>
      <c r="F2464" s="116"/>
      <c r="H2464" s="116"/>
      <c r="I2464" s="116"/>
      <c r="L2464" s="170"/>
    </row>
    <row r="2465" spans="1:12" x14ac:dyDescent="0.25">
      <c r="A2465" s="170"/>
      <c r="B2465" s="116"/>
      <c r="C2465" s="116"/>
      <c r="D2465" s="116"/>
      <c r="E2465" s="116"/>
      <c r="F2465" s="116"/>
      <c r="H2465" s="116"/>
      <c r="I2465" s="116"/>
      <c r="L2465" s="170"/>
    </row>
    <row r="2466" spans="1:12" x14ac:dyDescent="0.25">
      <c r="A2466" s="170"/>
      <c r="B2466" s="116"/>
      <c r="C2466" s="116"/>
      <c r="D2466" s="116"/>
      <c r="E2466" s="116"/>
      <c r="F2466" s="116"/>
      <c r="H2466" s="116"/>
      <c r="I2466" s="116"/>
      <c r="L2466" s="170"/>
    </row>
    <row r="2467" spans="1:12" x14ac:dyDescent="0.25">
      <c r="A2467" s="170"/>
      <c r="B2467" s="116"/>
      <c r="C2467" s="116"/>
      <c r="D2467" s="116"/>
      <c r="E2467" s="116"/>
      <c r="F2467" s="116"/>
      <c r="H2467" s="116"/>
      <c r="I2467" s="116"/>
      <c r="L2467" s="170"/>
    </row>
    <row r="2468" spans="1:12" x14ac:dyDescent="0.25">
      <c r="A2468" s="170"/>
      <c r="B2468" s="116"/>
      <c r="C2468" s="116"/>
      <c r="D2468" s="116"/>
      <c r="E2468" s="116"/>
      <c r="F2468" s="116"/>
      <c r="H2468" s="116"/>
      <c r="I2468" s="116"/>
      <c r="L2468" s="170"/>
    </row>
    <row r="2469" spans="1:12" x14ac:dyDescent="0.25">
      <c r="A2469" s="170"/>
      <c r="B2469" s="116"/>
      <c r="C2469" s="116"/>
      <c r="D2469" s="116"/>
      <c r="E2469" s="116"/>
      <c r="F2469" s="116"/>
      <c r="H2469" s="116"/>
      <c r="I2469" s="116"/>
      <c r="L2469" s="170"/>
    </row>
    <row r="2470" spans="1:12" x14ac:dyDescent="0.25">
      <c r="A2470" s="170"/>
      <c r="B2470" s="116"/>
      <c r="C2470" s="116"/>
      <c r="D2470" s="116"/>
      <c r="E2470" s="116"/>
      <c r="F2470" s="116"/>
      <c r="H2470" s="116"/>
      <c r="I2470" s="116"/>
      <c r="L2470" s="170"/>
    </row>
    <row r="2471" spans="1:12" x14ac:dyDescent="0.25">
      <c r="A2471" s="170"/>
      <c r="B2471" s="116"/>
      <c r="C2471" s="116"/>
      <c r="D2471" s="116"/>
      <c r="E2471" s="116"/>
      <c r="F2471" s="116"/>
      <c r="H2471" s="116"/>
      <c r="I2471" s="116"/>
      <c r="L2471" s="170"/>
    </row>
    <row r="2472" spans="1:12" x14ac:dyDescent="0.25">
      <c r="A2472" s="170"/>
      <c r="B2472" s="116"/>
      <c r="C2472" s="116"/>
      <c r="D2472" s="116"/>
      <c r="E2472" s="116"/>
      <c r="F2472" s="116"/>
      <c r="H2472" s="116"/>
      <c r="I2472" s="116"/>
      <c r="L2472" s="170"/>
    </row>
    <row r="2473" spans="1:12" x14ac:dyDescent="0.25">
      <c r="A2473" s="170"/>
      <c r="B2473" s="116"/>
      <c r="C2473" s="116"/>
      <c r="D2473" s="116"/>
      <c r="E2473" s="116"/>
      <c r="F2473" s="116"/>
      <c r="H2473" s="116"/>
      <c r="I2473" s="116"/>
      <c r="L2473" s="170"/>
    </row>
    <row r="2474" spans="1:12" x14ac:dyDescent="0.25">
      <c r="A2474" s="170"/>
      <c r="B2474" s="116"/>
      <c r="C2474" s="116"/>
      <c r="D2474" s="116"/>
      <c r="E2474" s="116"/>
      <c r="F2474" s="116"/>
      <c r="H2474" s="116"/>
      <c r="I2474" s="116"/>
      <c r="L2474" s="170"/>
    </row>
    <row r="2475" spans="1:12" x14ac:dyDescent="0.25">
      <c r="A2475" s="170"/>
      <c r="B2475" s="116"/>
      <c r="C2475" s="116"/>
      <c r="D2475" s="116"/>
      <c r="E2475" s="116"/>
      <c r="F2475" s="116"/>
      <c r="H2475" s="116"/>
      <c r="I2475" s="116"/>
      <c r="L2475" s="170"/>
    </row>
    <row r="2476" spans="1:12" x14ac:dyDescent="0.25">
      <c r="A2476" s="170"/>
      <c r="B2476" s="116"/>
      <c r="C2476" s="116"/>
      <c r="D2476" s="116"/>
      <c r="E2476" s="116"/>
      <c r="F2476" s="116"/>
      <c r="H2476" s="116"/>
      <c r="I2476" s="116"/>
      <c r="L2476" s="170"/>
    </row>
    <row r="2477" spans="1:12" x14ac:dyDescent="0.25">
      <c r="A2477" s="170"/>
      <c r="B2477" s="116"/>
      <c r="C2477" s="116"/>
      <c r="D2477" s="116"/>
      <c r="E2477" s="116"/>
      <c r="F2477" s="116"/>
      <c r="H2477" s="116"/>
      <c r="I2477" s="116"/>
      <c r="L2477" s="170"/>
    </row>
    <row r="2478" spans="1:12" x14ac:dyDescent="0.25">
      <c r="A2478" s="170"/>
      <c r="B2478" s="116"/>
      <c r="C2478" s="116"/>
      <c r="D2478" s="116"/>
      <c r="E2478" s="116"/>
      <c r="F2478" s="116"/>
      <c r="H2478" s="116"/>
      <c r="I2478" s="116"/>
      <c r="L2478" s="170"/>
    </row>
    <row r="2479" spans="1:12" x14ac:dyDescent="0.25">
      <c r="A2479" s="170"/>
      <c r="B2479" s="116"/>
      <c r="C2479" s="116"/>
      <c r="D2479" s="116"/>
      <c r="E2479" s="116"/>
      <c r="F2479" s="116"/>
      <c r="H2479" s="116"/>
      <c r="I2479" s="116"/>
      <c r="L2479" s="170"/>
    </row>
    <row r="2480" spans="1:12" x14ac:dyDescent="0.25">
      <c r="A2480" s="170"/>
      <c r="B2480" s="116"/>
      <c r="C2480" s="116"/>
      <c r="D2480" s="116"/>
      <c r="E2480" s="116"/>
      <c r="F2480" s="116"/>
      <c r="H2480" s="116"/>
      <c r="I2480" s="116"/>
      <c r="L2480" s="170"/>
    </row>
    <row r="2481" spans="1:12" x14ac:dyDescent="0.25">
      <c r="A2481" s="170"/>
      <c r="B2481" s="116"/>
      <c r="C2481" s="116"/>
      <c r="D2481" s="116"/>
      <c r="E2481" s="116"/>
      <c r="F2481" s="116"/>
      <c r="H2481" s="116"/>
      <c r="I2481" s="116"/>
      <c r="L2481" s="170"/>
    </row>
    <row r="2482" spans="1:12" x14ac:dyDescent="0.25">
      <c r="A2482" s="170"/>
      <c r="B2482" s="116"/>
      <c r="C2482" s="116"/>
      <c r="D2482" s="116"/>
      <c r="E2482" s="116"/>
      <c r="F2482" s="116"/>
      <c r="H2482" s="116"/>
      <c r="I2482" s="116"/>
      <c r="L2482" s="170"/>
    </row>
    <row r="2483" spans="1:12" x14ac:dyDescent="0.25">
      <c r="A2483" s="170"/>
      <c r="B2483" s="116"/>
      <c r="C2483" s="116"/>
      <c r="D2483" s="116"/>
      <c r="E2483" s="116"/>
      <c r="F2483" s="116"/>
      <c r="H2483" s="116"/>
      <c r="I2483" s="116"/>
      <c r="L2483" s="170"/>
    </row>
    <row r="2484" spans="1:12" x14ac:dyDescent="0.25">
      <c r="A2484" s="170"/>
      <c r="B2484" s="116"/>
      <c r="C2484" s="116"/>
      <c r="D2484" s="116"/>
      <c r="E2484" s="116"/>
      <c r="F2484" s="116"/>
      <c r="H2484" s="116"/>
      <c r="I2484" s="116"/>
      <c r="L2484" s="170"/>
    </row>
    <row r="2485" spans="1:12" x14ac:dyDescent="0.25">
      <c r="A2485" s="170"/>
      <c r="B2485" s="116"/>
      <c r="C2485" s="116"/>
      <c r="D2485" s="116"/>
      <c r="E2485" s="116"/>
      <c r="F2485" s="116"/>
      <c r="H2485" s="116"/>
      <c r="I2485" s="116"/>
      <c r="L2485" s="170"/>
    </row>
    <row r="2486" spans="1:12" x14ac:dyDescent="0.25">
      <c r="A2486" s="170"/>
      <c r="B2486" s="116"/>
      <c r="C2486" s="116"/>
      <c r="D2486" s="116"/>
      <c r="E2486" s="116"/>
      <c r="F2486" s="116"/>
      <c r="H2486" s="116"/>
      <c r="I2486" s="116"/>
      <c r="L2486" s="170"/>
    </row>
    <row r="2487" spans="1:12" x14ac:dyDescent="0.25">
      <c r="A2487" s="170"/>
      <c r="B2487" s="116"/>
      <c r="C2487" s="116"/>
      <c r="D2487" s="116"/>
      <c r="E2487" s="116"/>
      <c r="F2487" s="116"/>
      <c r="H2487" s="116"/>
      <c r="I2487" s="116"/>
      <c r="L2487" s="170"/>
    </row>
    <row r="2488" spans="1:12" x14ac:dyDescent="0.25">
      <c r="A2488" s="170"/>
      <c r="B2488" s="116"/>
      <c r="C2488" s="116"/>
      <c r="D2488" s="116"/>
      <c r="E2488" s="116"/>
      <c r="F2488" s="116"/>
      <c r="H2488" s="116"/>
      <c r="I2488" s="116"/>
      <c r="L2488" s="170"/>
    </row>
    <row r="2489" spans="1:12" x14ac:dyDescent="0.25">
      <c r="A2489" s="170"/>
      <c r="B2489" s="116"/>
      <c r="C2489" s="116"/>
      <c r="D2489" s="116"/>
      <c r="E2489" s="116"/>
      <c r="F2489" s="116"/>
      <c r="H2489" s="116"/>
      <c r="I2489" s="116"/>
      <c r="L2489" s="170"/>
    </row>
    <row r="2490" spans="1:12" x14ac:dyDescent="0.25">
      <c r="A2490" s="170"/>
      <c r="B2490" s="116"/>
      <c r="C2490" s="116"/>
      <c r="D2490" s="116"/>
      <c r="E2490" s="116"/>
      <c r="F2490" s="116"/>
      <c r="H2490" s="116"/>
      <c r="I2490" s="116"/>
      <c r="L2490" s="170"/>
    </row>
    <row r="2491" spans="1:12" x14ac:dyDescent="0.25">
      <c r="A2491" s="170"/>
      <c r="B2491" s="116"/>
      <c r="C2491" s="116"/>
      <c r="D2491" s="116"/>
      <c r="E2491" s="116"/>
      <c r="F2491" s="116"/>
      <c r="H2491" s="116"/>
      <c r="I2491" s="116"/>
      <c r="L2491" s="170"/>
    </row>
    <row r="2492" spans="1:12" x14ac:dyDescent="0.25">
      <c r="A2492" s="170"/>
      <c r="B2492" s="116"/>
      <c r="C2492" s="116"/>
      <c r="D2492" s="116"/>
      <c r="E2492" s="116"/>
      <c r="F2492" s="116"/>
      <c r="H2492" s="116"/>
      <c r="I2492" s="116"/>
      <c r="L2492" s="170"/>
    </row>
    <row r="2493" spans="1:12" x14ac:dyDescent="0.25">
      <c r="A2493" s="170"/>
      <c r="B2493" s="116"/>
      <c r="C2493" s="116"/>
      <c r="D2493" s="116"/>
      <c r="E2493" s="116"/>
      <c r="F2493" s="116"/>
      <c r="H2493" s="116"/>
      <c r="I2493" s="116"/>
      <c r="L2493" s="170"/>
    </row>
    <row r="2494" spans="1:12" x14ac:dyDescent="0.25">
      <c r="A2494" s="170"/>
      <c r="B2494" s="116"/>
      <c r="C2494" s="116"/>
      <c r="D2494" s="116"/>
      <c r="E2494" s="116"/>
      <c r="F2494" s="116"/>
      <c r="H2494" s="116"/>
      <c r="I2494" s="116"/>
      <c r="L2494" s="170"/>
    </row>
    <row r="2495" spans="1:12" x14ac:dyDescent="0.25">
      <c r="A2495" s="170"/>
      <c r="B2495" s="116"/>
      <c r="C2495" s="116"/>
      <c r="D2495" s="116"/>
      <c r="E2495" s="116"/>
      <c r="F2495" s="116"/>
      <c r="H2495" s="116"/>
      <c r="I2495" s="116"/>
      <c r="L2495" s="170"/>
    </row>
    <row r="2496" spans="1:12" x14ac:dyDescent="0.25">
      <c r="A2496" s="170"/>
      <c r="B2496" s="116"/>
      <c r="C2496" s="116"/>
      <c r="D2496" s="116"/>
      <c r="E2496" s="116"/>
      <c r="F2496" s="116"/>
      <c r="H2496" s="116"/>
      <c r="I2496" s="116"/>
      <c r="L2496" s="170"/>
    </row>
    <row r="2497" spans="1:12" x14ac:dyDescent="0.25">
      <c r="A2497" s="170"/>
      <c r="B2497" s="116"/>
      <c r="C2497" s="116"/>
      <c r="D2497" s="116"/>
      <c r="E2497" s="116"/>
      <c r="F2497" s="116"/>
      <c r="H2497" s="116"/>
      <c r="I2497" s="116"/>
      <c r="L2497" s="170"/>
    </row>
    <row r="2498" spans="1:12" x14ac:dyDescent="0.25">
      <c r="A2498" s="170"/>
      <c r="B2498" s="116"/>
      <c r="C2498" s="116"/>
      <c r="D2498" s="116"/>
      <c r="E2498" s="116"/>
      <c r="F2498" s="116"/>
      <c r="H2498" s="116"/>
      <c r="I2498" s="116"/>
      <c r="L2498" s="170"/>
    </row>
    <row r="2499" spans="1:12" x14ac:dyDescent="0.25">
      <c r="A2499" s="170"/>
      <c r="B2499" s="116"/>
      <c r="C2499" s="116"/>
      <c r="D2499" s="116"/>
      <c r="E2499" s="116"/>
      <c r="F2499" s="116"/>
      <c r="H2499" s="116"/>
      <c r="I2499" s="116"/>
      <c r="L2499" s="170"/>
    </row>
    <row r="2500" spans="1:12" x14ac:dyDescent="0.25">
      <c r="A2500" s="170"/>
      <c r="B2500" s="116"/>
      <c r="C2500" s="116"/>
      <c r="D2500" s="116"/>
      <c r="E2500" s="116"/>
      <c r="F2500" s="116"/>
      <c r="H2500" s="116"/>
      <c r="I2500" s="116"/>
      <c r="L2500" s="170"/>
    </row>
    <row r="2501" spans="1:12" x14ac:dyDescent="0.25">
      <c r="A2501" s="170"/>
      <c r="B2501" s="116"/>
      <c r="C2501" s="116"/>
      <c r="D2501" s="116"/>
      <c r="E2501" s="116"/>
      <c r="F2501" s="116"/>
      <c r="H2501" s="116"/>
      <c r="I2501" s="116"/>
      <c r="L2501" s="170"/>
    </row>
    <row r="2502" spans="1:12" x14ac:dyDescent="0.25">
      <c r="A2502" s="170"/>
      <c r="B2502" s="116"/>
      <c r="C2502" s="116"/>
      <c r="D2502" s="116"/>
      <c r="E2502" s="116"/>
      <c r="F2502" s="116"/>
      <c r="H2502" s="116"/>
      <c r="I2502" s="116"/>
      <c r="L2502" s="170"/>
    </row>
    <row r="2503" spans="1:12" x14ac:dyDescent="0.25">
      <c r="A2503" s="170"/>
      <c r="B2503" s="116"/>
      <c r="C2503" s="116"/>
      <c r="D2503" s="116"/>
      <c r="E2503" s="116"/>
      <c r="F2503" s="116"/>
      <c r="H2503" s="116"/>
      <c r="I2503" s="116"/>
      <c r="L2503" s="170"/>
    </row>
    <row r="2504" spans="1:12" x14ac:dyDescent="0.25">
      <c r="A2504" s="170"/>
      <c r="B2504" s="116"/>
      <c r="C2504" s="116"/>
      <c r="D2504" s="116"/>
      <c r="E2504" s="116"/>
      <c r="F2504" s="116"/>
      <c r="H2504" s="116"/>
      <c r="I2504" s="116"/>
      <c r="L2504" s="170"/>
    </row>
    <row r="2505" spans="1:12" x14ac:dyDescent="0.25">
      <c r="A2505" s="170"/>
      <c r="B2505" s="116"/>
      <c r="C2505" s="116"/>
      <c r="D2505" s="116"/>
      <c r="E2505" s="116"/>
      <c r="F2505" s="116"/>
      <c r="H2505" s="116"/>
      <c r="I2505" s="116"/>
      <c r="L2505" s="170"/>
    </row>
    <row r="2506" spans="1:12" x14ac:dyDescent="0.25">
      <c r="A2506" s="170"/>
      <c r="B2506" s="116"/>
      <c r="C2506" s="116"/>
      <c r="D2506" s="116"/>
      <c r="E2506" s="116"/>
      <c r="F2506" s="116"/>
      <c r="H2506" s="116"/>
      <c r="I2506" s="116"/>
      <c r="L2506" s="170"/>
    </row>
    <row r="2507" spans="1:12" x14ac:dyDescent="0.25">
      <c r="A2507" s="170"/>
      <c r="B2507" s="116"/>
      <c r="C2507" s="116"/>
      <c r="D2507" s="116"/>
      <c r="E2507" s="116"/>
      <c r="F2507" s="116"/>
      <c r="H2507" s="116"/>
      <c r="I2507" s="116"/>
      <c r="L2507" s="170"/>
    </row>
    <row r="2508" spans="1:12" x14ac:dyDescent="0.25">
      <c r="A2508" s="170"/>
      <c r="B2508" s="116"/>
      <c r="C2508" s="116"/>
      <c r="D2508" s="116"/>
      <c r="E2508" s="116"/>
      <c r="F2508" s="116"/>
      <c r="H2508" s="116"/>
      <c r="I2508" s="116"/>
      <c r="L2508" s="170"/>
    </row>
    <row r="2509" spans="1:12" x14ac:dyDescent="0.25">
      <c r="A2509" s="170"/>
      <c r="B2509" s="116"/>
      <c r="C2509" s="116"/>
      <c r="D2509" s="116"/>
      <c r="E2509" s="116"/>
      <c r="F2509" s="116"/>
      <c r="H2509" s="116"/>
      <c r="I2509" s="116"/>
      <c r="L2509" s="170"/>
    </row>
    <row r="2510" spans="1:12" x14ac:dyDescent="0.25">
      <c r="A2510" s="170"/>
      <c r="B2510" s="116"/>
      <c r="C2510" s="116"/>
      <c r="D2510" s="116"/>
      <c r="E2510" s="116"/>
      <c r="F2510" s="116"/>
      <c r="H2510" s="116"/>
      <c r="I2510" s="116"/>
      <c r="L2510" s="170"/>
    </row>
    <row r="2511" spans="1:12" x14ac:dyDescent="0.25">
      <c r="A2511" s="170"/>
      <c r="B2511" s="116"/>
      <c r="C2511" s="116"/>
      <c r="D2511" s="116"/>
      <c r="E2511" s="116"/>
      <c r="F2511" s="116"/>
      <c r="H2511" s="116"/>
      <c r="I2511" s="116"/>
      <c r="L2511" s="170"/>
    </row>
    <row r="2512" spans="1:12" x14ac:dyDescent="0.25">
      <c r="A2512" s="170"/>
      <c r="B2512" s="116"/>
      <c r="C2512" s="116"/>
      <c r="D2512" s="116"/>
      <c r="E2512" s="116"/>
      <c r="F2512" s="116"/>
      <c r="H2512" s="116"/>
      <c r="I2512" s="116"/>
      <c r="L2512" s="170"/>
    </row>
    <row r="2513" spans="1:12" x14ac:dyDescent="0.25">
      <c r="A2513" s="170"/>
      <c r="B2513" s="116"/>
      <c r="C2513" s="116"/>
      <c r="D2513" s="116"/>
      <c r="E2513" s="116"/>
      <c r="F2513" s="116"/>
      <c r="H2513" s="116"/>
      <c r="I2513" s="116"/>
      <c r="L2513" s="170"/>
    </row>
    <row r="2514" spans="1:12" x14ac:dyDescent="0.25">
      <c r="A2514" s="170"/>
      <c r="B2514" s="116"/>
      <c r="C2514" s="116"/>
      <c r="D2514" s="116"/>
      <c r="E2514" s="116"/>
      <c r="F2514" s="116"/>
      <c r="H2514" s="116"/>
      <c r="I2514" s="116"/>
      <c r="L2514" s="170"/>
    </row>
    <row r="2515" spans="1:12" x14ac:dyDescent="0.25">
      <c r="A2515" s="170"/>
      <c r="B2515" s="116"/>
      <c r="C2515" s="116"/>
      <c r="D2515" s="116"/>
      <c r="E2515" s="116"/>
      <c r="F2515" s="116"/>
      <c r="H2515" s="116"/>
      <c r="I2515" s="116"/>
      <c r="L2515" s="170"/>
    </row>
    <row r="2516" spans="1:12" x14ac:dyDescent="0.25">
      <c r="A2516" s="170"/>
      <c r="B2516" s="116"/>
      <c r="C2516" s="116"/>
      <c r="D2516" s="116"/>
      <c r="E2516" s="116"/>
      <c r="F2516" s="116"/>
      <c r="H2516" s="116"/>
      <c r="I2516" s="116"/>
      <c r="L2516" s="170"/>
    </row>
    <row r="2517" spans="1:12" x14ac:dyDescent="0.25">
      <c r="A2517" s="170"/>
      <c r="B2517" s="116"/>
      <c r="C2517" s="116"/>
      <c r="D2517" s="116"/>
      <c r="E2517" s="116"/>
      <c r="F2517" s="116"/>
      <c r="H2517" s="116"/>
      <c r="I2517" s="116"/>
      <c r="L2517" s="170"/>
    </row>
    <row r="2518" spans="1:12" x14ac:dyDescent="0.25">
      <c r="A2518" s="170"/>
      <c r="B2518" s="116"/>
      <c r="C2518" s="116"/>
      <c r="D2518" s="116"/>
      <c r="E2518" s="116"/>
      <c r="F2518" s="116"/>
      <c r="H2518" s="116"/>
      <c r="I2518" s="116"/>
      <c r="L2518" s="170"/>
    </row>
    <row r="2519" spans="1:12" x14ac:dyDescent="0.25">
      <c r="A2519" s="170"/>
      <c r="B2519" s="116"/>
      <c r="C2519" s="116"/>
      <c r="D2519" s="116"/>
      <c r="E2519" s="116"/>
      <c r="F2519" s="116"/>
      <c r="H2519" s="116"/>
      <c r="I2519" s="116"/>
      <c r="L2519" s="170"/>
    </row>
    <row r="2520" spans="1:12" x14ac:dyDescent="0.25">
      <c r="A2520" s="170"/>
      <c r="B2520" s="116"/>
      <c r="C2520" s="116"/>
      <c r="D2520" s="116"/>
      <c r="E2520" s="116"/>
      <c r="F2520" s="116"/>
      <c r="H2520" s="116"/>
      <c r="I2520" s="116"/>
      <c r="L2520" s="170"/>
    </row>
    <row r="2521" spans="1:12" x14ac:dyDescent="0.25">
      <c r="A2521" s="170"/>
      <c r="B2521" s="116"/>
      <c r="C2521" s="116"/>
      <c r="D2521" s="116"/>
      <c r="E2521" s="116"/>
      <c r="F2521" s="116"/>
      <c r="H2521" s="116"/>
      <c r="I2521" s="116"/>
      <c r="L2521" s="170"/>
    </row>
    <row r="2522" spans="1:12" x14ac:dyDescent="0.25">
      <c r="A2522" s="170"/>
      <c r="B2522" s="116"/>
      <c r="C2522" s="116"/>
      <c r="D2522" s="116"/>
      <c r="E2522" s="116"/>
      <c r="F2522" s="116"/>
      <c r="H2522" s="116"/>
      <c r="I2522" s="116"/>
      <c r="L2522" s="170"/>
    </row>
    <row r="2523" spans="1:12" x14ac:dyDescent="0.25">
      <c r="A2523" s="170"/>
      <c r="B2523" s="116"/>
      <c r="C2523" s="116"/>
      <c r="D2523" s="116"/>
      <c r="E2523" s="116"/>
      <c r="F2523" s="116"/>
      <c r="H2523" s="116"/>
      <c r="I2523" s="116"/>
      <c r="L2523" s="170"/>
    </row>
    <row r="2524" spans="1:12" x14ac:dyDescent="0.25">
      <c r="A2524" s="170"/>
      <c r="B2524" s="116"/>
      <c r="C2524" s="116"/>
      <c r="D2524" s="116"/>
      <c r="E2524" s="116"/>
      <c r="F2524" s="116"/>
      <c r="H2524" s="116"/>
      <c r="I2524" s="116"/>
      <c r="L2524" s="170"/>
    </row>
    <row r="2525" spans="1:12" x14ac:dyDescent="0.25">
      <c r="A2525" s="170"/>
      <c r="B2525" s="116"/>
      <c r="C2525" s="116"/>
      <c r="D2525" s="116"/>
      <c r="E2525" s="116"/>
      <c r="F2525" s="116"/>
      <c r="H2525" s="116"/>
      <c r="I2525" s="116"/>
      <c r="L2525" s="170"/>
    </row>
    <row r="2526" spans="1:12" x14ac:dyDescent="0.25">
      <c r="A2526" s="170"/>
      <c r="B2526" s="116"/>
      <c r="C2526" s="116"/>
      <c r="D2526" s="116"/>
      <c r="E2526" s="116"/>
      <c r="F2526" s="116"/>
      <c r="H2526" s="116"/>
      <c r="I2526" s="116"/>
      <c r="L2526" s="170"/>
    </row>
    <row r="2527" spans="1:12" x14ac:dyDescent="0.25">
      <c r="A2527" s="170"/>
      <c r="B2527" s="116"/>
      <c r="C2527" s="116"/>
      <c r="D2527" s="116"/>
      <c r="E2527" s="116"/>
      <c r="F2527" s="116"/>
      <c r="H2527" s="116"/>
      <c r="I2527" s="116"/>
      <c r="L2527" s="170"/>
    </row>
    <row r="2528" spans="1:12" x14ac:dyDescent="0.25">
      <c r="A2528" s="170"/>
      <c r="B2528" s="116"/>
      <c r="C2528" s="116"/>
      <c r="D2528" s="116"/>
      <c r="E2528" s="116"/>
      <c r="F2528" s="116"/>
      <c r="H2528" s="116"/>
      <c r="I2528" s="116"/>
      <c r="L2528" s="170"/>
    </row>
    <row r="2529" spans="1:12" x14ac:dyDescent="0.25">
      <c r="A2529" s="170"/>
      <c r="B2529" s="116"/>
      <c r="C2529" s="116"/>
      <c r="D2529" s="116"/>
      <c r="E2529" s="116"/>
      <c r="F2529" s="116"/>
      <c r="H2529" s="116"/>
      <c r="I2529" s="116"/>
      <c r="L2529" s="170"/>
    </row>
    <row r="2530" spans="1:12" x14ac:dyDescent="0.25">
      <c r="A2530" s="170"/>
      <c r="B2530" s="116"/>
      <c r="C2530" s="116"/>
      <c r="D2530" s="116"/>
      <c r="E2530" s="116"/>
      <c r="F2530" s="116"/>
      <c r="H2530" s="116"/>
      <c r="I2530" s="116"/>
      <c r="L2530" s="170"/>
    </row>
    <row r="2531" spans="1:12" x14ac:dyDescent="0.25">
      <c r="A2531" s="170"/>
      <c r="B2531" s="116"/>
      <c r="C2531" s="116"/>
      <c r="D2531" s="116"/>
      <c r="E2531" s="116"/>
      <c r="F2531" s="116"/>
      <c r="H2531" s="116"/>
      <c r="I2531" s="116"/>
      <c r="L2531" s="170"/>
    </row>
    <row r="2532" spans="1:12" x14ac:dyDescent="0.25">
      <c r="A2532" s="170"/>
      <c r="B2532" s="116"/>
      <c r="C2532" s="116"/>
      <c r="D2532" s="116"/>
      <c r="E2532" s="116"/>
      <c r="F2532" s="116"/>
      <c r="H2532" s="116"/>
      <c r="I2532" s="116"/>
      <c r="L2532" s="170"/>
    </row>
    <row r="2533" spans="1:12" x14ac:dyDescent="0.25">
      <c r="A2533" s="170"/>
      <c r="B2533" s="116"/>
      <c r="C2533" s="116"/>
      <c r="D2533" s="116"/>
      <c r="E2533" s="116"/>
      <c r="F2533" s="116"/>
      <c r="H2533" s="116"/>
      <c r="I2533" s="116"/>
      <c r="L2533" s="170"/>
    </row>
    <row r="2534" spans="1:12" x14ac:dyDescent="0.25">
      <c r="A2534" s="170"/>
      <c r="B2534" s="116"/>
      <c r="C2534" s="116"/>
      <c r="D2534" s="116"/>
      <c r="E2534" s="116"/>
      <c r="F2534" s="116"/>
      <c r="H2534" s="116"/>
      <c r="I2534" s="116"/>
      <c r="L2534" s="170"/>
    </row>
    <row r="2535" spans="1:12" x14ac:dyDescent="0.25">
      <c r="A2535" s="170"/>
      <c r="B2535" s="116"/>
      <c r="C2535" s="116"/>
      <c r="D2535" s="116"/>
      <c r="E2535" s="116"/>
      <c r="F2535" s="116"/>
      <c r="H2535" s="116"/>
      <c r="I2535" s="116"/>
      <c r="L2535" s="170"/>
    </row>
    <row r="2536" spans="1:12" x14ac:dyDescent="0.25">
      <c r="A2536" s="170"/>
      <c r="B2536" s="116"/>
      <c r="C2536" s="116"/>
      <c r="D2536" s="116"/>
      <c r="E2536" s="116"/>
      <c r="F2536" s="116"/>
      <c r="H2536" s="116"/>
      <c r="I2536" s="116"/>
      <c r="L2536" s="170"/>
    </row>
    <row r="2537" spans="1:12" x14ac:dyDescent="0.25">
      <c r="A2537" s="170"/>
      <c r="B2537" s="116"/>
      <c r="C2537" s="116"/>
      <c r="D2537" s="116"/>
      <c r="E2537" s="116"/>
      <c r="F2537" s="116"/>
      <c r="H2537" s="116"/>
      <c r="I2537" s="116"/>
      <c r="L2537" s="170"/>
    </row>
    <row r="2538" spans="1:12" x14ac:dyDescent="0.25">
      <c r="A2538" s="170"/>
      <c r="B2538" s="116"/>
      <c r="C2538" s="116"/>
      <c r="D2538" s="116"/>
      <c r="E2538" s="116"/>
      <c r="F2538" s="116"/>
      <c r="H2538" s="116"/>
      <c r="I2538" s="116"/>
      <c r="L2538" s="170"/>
    </row>
    <row r="2539" spans="1:12" x14ac:dyDescent="0.25">
      <c r="A2539" s="170"/>
      <c r="B2539" s="116"/>
      <c r="C2539" s="116"/>
      <c r="D2539" s="116"/>
      <c r="E2539" s="116"/>
      <c r="F2539" s="116"/>
      <c r="H2539" s="116"/>
      <c r="I2539" s="116"/>
      <c r="L2539" s="170"/>
    </row>
    <row r="2540" spans="1:12" x14ac:dyDescent="0.25">
      <c r="A2540" s="170"/>
      <c r="B2540" s="116"/>
      <c r="C2540" s="116"/>
      <c r="D2540" s="116"/>
      <c r="E2540" s="116"/>
      <c r="F2540" s="116"/>
      <c r="H2540" s="116"/>
      <c r="I2540" s="116"/>
      <c r="L2540" s="170"/>
    </row>
    <row r="2541" spans="1:12" x14ac:dyDescent="0.25">
      <c r="A2541" s="170"/>
      <c r="B2541" s="116"/>
      <c r="C2541" s="116"/>
      <c r="D2541" s="116"/>
      <c r="E2541" s="116"/>
      <c r="F2541" s="116"/>
      <c r="H2541" s="116"/>
      <c r="I2541" s="116"/>
      <c r="L2541" s="170"/>
    </row>
    <row r="2542" spans="1:12" x14ac:dyDescent="0.25">
      <c r="A2542" s="170"/>
      <c r="B2542" s="116"/>
      <c r="C2542" s="116"/>
      <c r="D2542" s="116"/>
      <c r="E2542" s="116"/>
      <c r="F2542" s="116"/>
      <c r="H2542" s="116"/>
      <c r="I2542" s="116"/>
      <c r="L2542" s="170"/>
    </row>
    <row r="2543" spans="1:12" x14ac:dyDescent="0.25">
      <c r="A2543" s="170"/>
      <c r="B2543" s="116"/>
      <c r="C2543" s="116"/>
      <c r="D2543" s="116"/>
      <c r="E2543" s="116"/>
      <c r="F2543" s="116"/>
      <c r="H2543" s="116"/>
      <c r="I2543" s="116"/>
      <c r="L2543" s="170"/>
    </row>
    <row r="2544" spans="1:12" x14ac:dyDescent="0.25">
      <c r="A2544" s="170"/>
      <c r="B2544" s="116"/>
      <c r="C2544" s="116"/>
      <c r="D2544" s="116"/>
      <c r="E2544" s="116"/>
      <c r="F2544" s="116"/>
      <c r="H2544" s="116"/>
      <c r="I2544" s="116"/>
      <c r="L2544" s="170"/>
    </row>
    <row r="2545" spans="1:12" x14ac:dyDescent="0.25">
      <c r="A2545" s="170"/>
      <c r="B2545" s="116"/>
      <c r="C2545" s="116"/>
      <c r="D2545" s="116"/>
      <c r="E2545" s="116"/>
      <c r="F2545" s="116"/>
      <c r="H2545" s="116"/>
      <c r="I2545" s="116"/>
      <c r="L2545" s="170"/>
    </row>
    <row r="2546" spans="1:12" x14ac:dyDescent="0.25">
      <c r="A2546" s="170"/>
      <c r="B2546" s="116"/>
      <c r="C2546" s="116"/>
      <c r="D2546" s="116"/>
      <c r="E2546" s="116"/>
      <c r="F2546" s="116"/>
      <c r="H2546" s="116"/>
      <c r="I2546" s="116"/>
      <c r="L2546" s="170"/>
    </row>
    <row r="2547" spans="1:12" x14ac:dyDescent="0.25">
      <c r="A2547" s="170"/>
      <c r="B2547" s="116"/>
      <c r="C2547" s="116"/>
      <c r="D2547" s="116"/>
      <c r="E2547" s="116"/>
      <c r="F2547" s="116"/>
      <c r="H2547" s="116"/>
      <c r="I2547" s="116"/>
      <c r="L2547" s="170"/>
    </row>
    <row r="2548" spans="1:12" x14ac:dyDescent="0.25">
      <c r="A2548" s="170"/>
      <c r="B2548" s="116"/>
      <c r="C2548" s="116"/>
      <c r="D2548" s="116"/>
      <c r="E2548" s="116"/>
      <c r="F2548" s="116"/>
      <c r="H2548" s="116"/>
      <c r="I2548" s="116"/>
      <c r="L2548" s="170"/>
    </row>
    <row r="2549" spans="1:12" x14ac:dyDescent="0.25">
      <c r="A2549" s="170"/>
      <c r="B2549" s="116"/>
      <c r="C2549" s="116"/>
      <c r="D2549" s="116"/>
      <c r="E2549" s="116"/>
      <c r="F2549" s="116"/>
      <c r="H2549" s="116"/>
      <c r="I2549" s="116"/>
      <c r="L2549" s="170"/>
    </row>
    <row r="2550" spans="1:12" x14ac:dyDescent="0.25">
      <c r="A2550" s="170"/>
      <c r="B2550" s="116"/>
      <c r="C2550" s="116"/>
      <c r="D2550" s="116"/>
      <c r="E2550" s="116"/>
      <c r="F2550" s="116"/>
      <c r="H2550" s="116"/>
      <c r="I2550" s="116"/>
      <c r="L2550" s="170"/>
    </row>
    <row r="2551" spans="1:12" x14ac:dyDescent="0.25">
      <c r="A2551" s="170"/>
      <c r="B2551" s="116"/>
      <c r="C2551" s="116"/>
      <c r="D2551" s="116"/>
      <c r="E2551" s="116"/>
      <c r="F2551" s="116"/>
      <c r="H2551" s="116"/>
      <c r="I2551" s="116"/>
      <c r="L2551" s="170"/>
    </row>
    <row r="2552" spans="1:12" x14ac:dyDescent="0.25">
      <c r="A2552" s="170"/>
      <c r="B2552" s="116"/>
      <c r="C2552" s="116"/>
      <c r="D2552" s="116"/>
      <c r="E2552" s="116"/>
      <c r="F2552" s="116"/>
      <c r="H2552" s="116"/>
      <c r="I2552" s="116"/>
      <c r="L2552" s="170"/>
    </row>
    <row r="2553" spans="1:12" x14ac:dyDescent="0.25">
      <c r="A2553" s="170"/>
      <c r="B2553" s="116"/>
      <c r="C2553" s="116"/>
      <c r="D2553" s="116"/>
      <c r="E2553" s="116"/>
      <c r="F2553" s="116"/>
      <c r="H2553" s="116"/>
      <c r="I2553" s="116"/>
      <c r="L2553" s="170"/>
    </row>
    <row r="2554" spans="1:12" x14ac:dyDescent="0.25">
      <c r="A2554" s="170"/>
      <c r="B2554" s="116"/>
      <c r="C2554" s="116"/>
      <c r="D2554" s="116"/>
      <c r="E2554" s="116"/>
      <c r="F2554" s="116"/>
      <c r="H2554" s="116"/>
      <c r="I2554" s="116"/>
      <c r="L2554" s="170"/>
    </row>
    <row r="2555" spans="1:12" x14ac:dyDescent="0.25">
      <c r="A2555" s="170"/>
      <c r="B2555" s="116"/>
      <c r="C2555" s="116"/>
      <c r="D2555" s="116"/>
      <c r="E2555" s="116"/>
      <c r="F2555" s="116"/>
      <c r="H2555" s="116"/>
      <c r="I2555" s="116"/>
      <c r="L2555" s="170"/>
    </row>
    <row r="2556" spans="1:12" x14ac:dyDescent="0.25">
      <c r="A2556" s="170"/>
      <c r="B2556" s="116"/>
      <c r="C2556" s="116"/>
      <c r="D2556" s="116"/>
      <c r="E2556" s="116"/>
      <c r="F2556" s="116"/>
      <c r="H2556" s="116"/>
      <c r="I2556" s="116"/>
      <c r="L2556" s="170"/>
    </row>
    <row r="2557" spans="1:12" x14ac:dyDescent="0.25">
      <c r="A2557" s="170"/>
      <c r="B2557" s="116"/>
      <c r="C2557" s="116"/>
      <c r="D2557" s="116"/>
      <c r="E2557" s="116"/>
      <c r="F2557" s="116"/>
      <c r="H2557" s="116"/>
      <c r="I2557" s="116"/>
      <c r="L2557" s="170"/>
    </row>
    <row r="2558" spans="1:12" x14ac:dyDescent="0.25">
      <c r="A2558" s="170"/>
      <c r="B2558" s="116"/>
      <c r="C2558" s="116"/>
      <c r="D2558" s="116"/>
      <c r="E2558" s="116"/>
      <c r="F2558" s="116"/>
      <c r="H2558" s="116"/>
      <c r="I2558" s="116"/>
      <c r="L2558" s="170"/>
    </row>
    <row r="2559" spans="1:12" x14ac:dyDescent="0.25">
      <c r="A2559" s="170"/>
      <c r="B2559" s="116"/>
      <c r="C2559" s="116"/>
      <c r="D2559" s="116"/>
      <c r="E2559" s="116"/>
      <c r="F2559" s="116"/>
      <c r="H2559" s="116"/>
      <c r="I2559" s="116"/>
      <c r="L2559" s="170"/>
    </row>
    <row r="2560" spans="1:12" x14ac:dyDescent="0.25">
      <c r="A2560" s="170"/>
      <c r="B2560" s="116"/>
      <c r="C2560" s="116"/>
      <c r="D2560" s="116"/>
      <c r="E2560" s="116"/>
      <c r="F2560" s="116"/>
      <c r="H2560" s="116"/>
      <c r="I2560" s="116"/>
      <c r="L2560" s="170"/>
    </row>
    <row r="2561" spans="1:18" x14ac:dyDescent="0.25">
      <c r="A2561" s="170"/>
      <c r="B2561" s="116"/>
      <c r="C2561" s="116"/>
      <c r="D2561" s="116"/>
      <c r="E2561" s="116"/>
      <c r="F2561" s="116"/>
      <c r="H2561" s="116"/>
      <c r="I2561" s="116"/>
      <c r="L2561" s="170"/>
    </row>
    <row r="2562" spans="1:18" x14ac:dyDescent="0.25">
      <c r="A2562" s="170"/>
      <c r="B2562" s="116"/>
      <c r="C2562" s="116"/>
      <c r="D2562" s="116"/>
      <c r="E2562" s="116"/>
      <c r="F2562" s="116"/>
      <c r="H2562" s="116"/>
      <c r="I2562" s="116"/>
      <c r="L2562" s="170"/>
    </row>
    <row r="2563" spans="1:18" x14ac:dyDescent="0.25">
      <c r="A2563" s="170"/>
      <c r="B2563" s="116"/>
      <c r="C2563" s="116"/>
      <c r="D2563" s="116"/>
      <c r="E2563" s="116"/>
      <c r="F2563" s="116"/>
      <c r="H2563" s="116"/>
      <c r="I2563" s="116"/>
      <c r="L2563" s="170"/>
    </row>
    <row r="2564" spans="1:18" x14ac:dyDescent="0.25">
      <c r="A2564" s="170"/>
      <c r="B2564" s="116"/>
      <c r="C2564" s="116"/>
      <c r="D2564" s="116"/>
      <c r="E2564" s="116"/>
      <c r="F2564" s="116"/>
      <c r="H2564" s="116"/>
      <c r="I2564" s="116"/>
      <c r="L2564" s="170"/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2026-06-17T15:19:25Z</dcterms:modified>
  <cp:category/>
  <cp:contentStatus/>
</cp:coreProperties>
</file>