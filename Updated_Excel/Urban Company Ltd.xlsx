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0AFED78-5A06-4A6C-9B50-37AC1B1CA2B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E27" i="2"/>
  <c r="AE81" i="2"/>
  <c r="AE109" i="2"/>
  <c r="AB22" i="2"/>
  <c r="AB41" i="2"/>
  <c r="AB57" i="2"/>
  <c r="AD66" i="2"/>
  <c r="AD74" i="2"/>
  <c r="AD90" i="2"/>
  <c r="AD110" i="2"/>
  <c r="AB36" i="2"/>
  <c r="AB64" i="2"/>
  <c r="AC26" i="2"/>
  <c r="AE68" i="2"/>
  <c r="AE80" i="2"/>
  <c r="AE92" i="2"/>
  <c r="AD54" i="2"/>
  <c r="AE19" i="2"/>
  <c r="AE17" i="2"/>
  <c r="AC12" i="2"/>
  <c r="AC68" i="2"/>
  <c r="AC5" i="2"/>
  <c r="AC113" i="2" s="1"/>
  <c r="AF107" i="2"/>
  <c r="AE88" i="2"/>
  <c r="AB11" i="2"/>
  <c r="AB19" i="2"/>
  <c r="AB27" i="2"/>
  <c r="AB35" i="2"/>
  <c r="AB46" i="2"/>
  <c r="AB54" i="2"/>
  <c r="AC9" i="2"/>
  <c r="AC21" i="2"/>
  <c r="AC33" i="2"/>
  <c r="AC48" i="2"/>
  <c r="AB6" i="2"/>
  <c r="AD82" i="2"/>
  <c r="AD98" i="2"/>
  <c r="AF6" i="2"/>
  <c r="AC53" i="2"/>
  <c r="AD19" i="2"/>
  <c r="AE50" i="2"/>
  <c r="AF78" i="2"/>
  <c r="AF94" i="2"/>
  <c r="AE79" i="2"/>
  <c r="AE107" i="2"/>
  <c r="AF68" i="2"/>
  <c r="AF84" i="2"/>
  <c r="AF104" i="2"/>
  <c r="AC43" i="2"/>
  <c r="AC82" i="2"/>
  <c r="AC110" i="2"/>
  <c r="AD89" i="2"/>
  <c r="AD109" i="2"/>
  <c r="AE16" i="2"/>
  <c r="AB87" i="2"/>
  <c r="AE44" i="2"/>
  <c r="AC87" i="2"/>
  <c r="AD107" i="2"/>
  <c r="AE73" i="2"/>
  <c r="AD8" i="2"/>
  <c r="AC17" i="2"/>
  <c r="AD17" i="2"/>
  <c r="AC45" i="2"/>
  <c r="AB78" i="2"/>
  <c r="AE6" i="2"/>
  <c r="AF74" i="2"/>
  <c r="AE77" i="2"/>
  <c r="AF25" i="2"/>
  <c r="AF36" i="2"/>
  <c r="AB97" i="2"/>
  <c r="AD31" i="2"/>
  <c r="AC22" i="2"/>
  <c r="AE90" i="2"/>
  <c r="AE31" i="2"/>
  <c r="AE75" i="2"/>
  <c r="AD81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46" i="2"/>
  <c r="AE85" i="2"/>
  <c r="AE82" i="2"/>
  <c r="AB24" i="2"/>
  <c r="AF60" i="2"/>
  <c r="AC64" i="2"/>
  <c r="AB80" i="2"/>
  <c r="AE35" i="2"/>
  <c r="AE83" i="2"/>
  <c r="AE7" i="2"/>
  <c r="AB70" i="2"/>
  <c r="AB106" i="2"/>
  <c r="AC62" i="2"/>
  <c r="AE54" i="2"/>
  <c r="AE23" i="2"/>
  <c r="AC66" i="2"/>
  <c r="AE28" i="2"/>
  <c r="AF32" i="2"/>
  <c r="AF51" i="2"/>
  <c r="AB71" i="2"/>
  <c r="AB95" i="2"/>
  <c r="AC63" i="2"/>
  <c r="AD32" i="2"/>
  <c r="AC44" i="2"/>
  <c r="AF63" i="2"/>
  <c r="AF95" i="2"/>
  <c r="AE64" i="2"/>
  <c r="AB108" i="2"/>
  <c r="AB33" i="2"/>
  <c r="AB52" i="2"/>
  <c r="AE45" i="2"/>
  <c r="AD88" i="2"/>
  <c r="AD108" i="2"/>
  <c r="AE21" i="2"/>
  <c r="AD11" i="2"/>
  <c r="AC96" i="2"/>
  <c r="AF9" i="2"/>
  <c r="AC7" i="2"/>
  <c r="AF20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C95" i="2"/>
  <c r="AB96" i="2"/>
  <c r="AB86" i="2"/>
  <c r="AC86" i="2"/>
  <c r="AE87" i="2"/>
  <c r="AD73" i="2"/>
  <c r="AC90" i="2"/>
  <c r="AF16" i="2"/>
  <c r="AE104" i="2"/>
  <c r="AC75" i="2"/>
  <c r="AD71" i="2"/>
  <c r="AD77" i="2"/>
  <c r="AE97" i="2"/>
  <c r="AD51" i="2"/>
  <c r="AB43" i="2"/>
  <c r="AE58" i="2"/>
  <c r="AB18" i="2"/>
  <c r="AB60" i="2"/>
  <c r="AF90" i="2"/>
  <c r="AC60" i="2"/>
  <c r="AF96" i="2"/>
  <c r="AF17" i="2"/>
  <c r="AB73" i="2"/>
  <c r="AF62" i="2"/>
  <c r="AE78" i="2"/>
  <c r="AF49" i="2"/>
  <c r="AE63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E89" i="2"/>
  <c r="AB93" i="2"/>
  <c r="AB105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B63" i="2"/>
  <c r="AD58" i="2"/>
  <c r="AC105" i="2"/>
  <c r="AE15" i="2"/>
  <c r="AE95" i="2"/>
  <c r="AC8" i="2"/>
  <c r="AD64" i="2"/>
  <c r="AF52" i="2"/>
  <c r="AC58" i="2"/>
  <c r="AB65" i="2"/>
  <c r="AB109" i="2"/>
  <c r="AF14" i="2"/>
  <c r="AD91" i="2"/>
  <c r="AE99" i="2"/>
  <c r="AC24" i="2"/>
  <c r="AF5" i="2"/>
  <c r="AF113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C93" i="2"/>
  <c r="AD99" i="2"/>
  <c r="AD87" i="2"/>
  <c r="AC92" i="2"/>
  <c r="AC56" i="2"/>
  <c r="AF87" i="2"/>
  <c r="AF26" i="2"/>
  <c r="AE76" i="2"/>
  <c r="AB88" i="2"/>
  <c r="AB94" i="2"/>
  <c r="AB17" i="2"/>
  <c r="AB44" i="2"/>
  <c r="AE18" i="2"/>
  <c r="AE57" i="2"/>
  <c r="AB53" i="2"/>
  <c r="AD72" i="2"/>
  <c r="AD96" i="2"/>
  <c r="AE108" i="2"/>
  <c r="AE48" i="2"/>
  <c r="AC89" i="2"/>
  <c r="AC28" i="2"/>
  <c r="AC72" i="2"/>
  <c r="AE105" i="2"/>
  <c r="AF33" i="2"/>
  <c r="AC19" i="2"/>
  <c r="AC46" i="2"/>
  <c r="AC78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69" i="2"/>
  <c r="AE93" i="2"/>
  <c r="AF70" i="2"/>
  <c r="AF106" i="2"/>
  <c r="AF76" i="2"/>
  <c r="AC70" i="2"/>
  <c r="AC94" i="2"/>
  <c r="AE43" i="2"/>
  <c r="AF41" i="2"/>
  <c r="AD16" i="2"/>
  <c r="AC29" i="2"/>
  <c r="AD33" i="2"/>
  <c r="AF71" i="2"/>
  <c r="AD59" i="2"/>
  <c r="AE30" i="2"/>
  <c r="AD80" i="2"/>
  <c r="AB28" i="2"/>
  <c r="AC65" i="2"/>
  <c r="AD46" i="2"/>
  <c r="AF110" i="2"/>
  <c r="AB81" i="2"/>
  <c r="AC4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B20" i="2"/>
  <c r="AB55" i="2"/>
  <c r="AC14" i="2"/>
  <c r="AC41" i="2"/>
  <c r="AE62" i="2"/>
  <c r="AE74" i="2"/>
  <c r="AE86" i="2"/>
  <c r="AC107" i="2"/>
  <c r="AD35" i="2"/>
  <c r="AD65" i="2"/>
  <c r="AF86" i="2"/>
  <c r="AE67" i="2"/>
  <c r="AE91" i="2"/>
  <c r="AE42" i="2"/>
  <c r="AF92" i="2"/>
  <c r="AE55" i="2"/>
  <c r="AB79" i="2"/>
  <c r="AB107" i="2"/>
  <c r="AD23" i="2"/>
  <c r="AE110" i="2"/>
  <c r="AC55" i="2"/>
  <c r="AD93" i="2"/>
  <c r="AD24" i="2"/>
  <c r="AD43" i="2"/>
  <c r="AD52" i="2"/>
  <c r="AF79" i="2"/>
  <c r="AC18" i="2"/>
  <c r="AB8" i="2"/>
  <c r="AE71" i="2"/>
  <c r="AC98" i="2"/>
  <c r="AB9" i="2"/>
  <c r="AB34" i="2"/>
  <c r="AF80" i="2"/>
  <c r="AC31" i="2"/>
  <c r="AF55" i="2"/>
  <c r="AB89" i="2"/>
  <c r="AC109" i="2"/>
  <c r="AE66" i="2"/>
  <c r="AD75" i="2"/>
  <c r="AD97" i="2"/>
  <c r="AC106" i="2"/>
  <c r="AF7" i="2"/>
  <c r="AF15" i="2"/>
  <c r="AF23" i="2"/>
  <c r="AF31" i="2"/>
  <c r="AF42" i="2"/>
  <c r="AF50" i="2"/>
  <c r="AF58" i="2"/>
  <c r="AB72" i="2"/>
  <c r="AC74" i="2"/>
  <c r="AB25" i="2"/>
  <c r="AC77" i="2"/>
  <c r="AE11" i="2"/>
  <c r="AF44" i="2"/>
  <c r="AA172" i="1" l="1"/>
  <c r="AA170" i="1"/>
  <c r="AA163" i="1"/>
  <c r="AA159" i="1"/>
  <c r="AA153" i="1"/>
  <c r="AA151" i="1"/>
  <c r="AA149" i="1"/>
  <c r="AA146" i="1"/>
  <c r="AA144" i="1"/>
  <c r="AA143" i="1"/>
  <c r="AA137" i="1"/>
  <c r="AA135" i="1"/>
  <c r="AA132" i="1"/>
  <c r="AA67" i="1"/>
  <c r="AA46" i="1"/>
  <c r="AA36" i="1"/>
  <c r="AA24" i="1"/>
  <c r="AA21" i="1"/>
  <c r="AA13" i="1"/>
  <c r="AA8" i="1"/>
  <c r="AA126" i="1"/>
  <c r="AA79" i="1"/>
  <c r="AA77" i="1"/>
  <c r="AA51" i="1"/>
  <c r="AA45" i="1"/>
  <c r="AA35" i="1"/>
  <c r="AA25" i="1"/>
  <c r="AA23" i="1"/>
  <c r="AA20" i="1"/>
  <c r="AA171" i="1"/>
  <c r="AA164" i="1"/>
  <c r="AA160" i="1"/>
  <c r="AA155" i="1"/>
  <c r="AA150" i="1"/>
  <c r="AA147" i="1"/>
  <c r="AA145" i="1"/>
  <c r="AA142" i="1"/>
  <c r="AA140" i="1"/>
  <c r="AA136" i="1"/>
  <c r="AA133" i="1"/>
  <c r="AA127" i="1"/>
  <c r="AA125" i="1"/>
  <c r="AA124" i="1"/>
  <c r="AA128" i="1" s="1"/>
  <c r="AA122" i="1"/>
  <c r="AA119" i="1"/>
  <c r="AA118" i="1"/>
  <c r="AA117" i="1"/>
  <c r="AA78" i="1"/>
  <c r="AA47" i="1"/>
  <c r="AA39" i="1"/>
  <c r="AA32" i="1"/>
  <c r="AA22" i="1"/>
  <c r="AA15" i="1"/>
  <c r="AA9" i="1"/>
  <c r="AA252" i="1"/>
  <c r="AA231" i="1"/>
  <c r="AA183" i="1"/>
  <c r="AA180" i="1"/>
  <c r="AA154" i="1"/>
  <c r="AF112" i="2"/>
  <c r="AB112" i="2"/>
  <c r="AA73" i="1" s="1"/>
  <c r="AB113" i="2"/>
  <c r="AA74" i="1" s="1"/>
  <c r="AB111" i="2"/>
  <c r="B1" i="9"/>
  <c r="AF111" i="2"/>
  <c r="AE111" i="2"/>
  <c r="L1" i="9"/>
  <c r="AC111" i="2"/>
  <c r="AE112" i="2"/>
  <c r="AE113" i="2"/>
  <c r="AD111" i="2"/>
  <c r="AD112" i="2"/>
  <c r="A1" i="9"/>
  <c r="AC112" i="2"/>
  <c r="AA131" i="1" l="1"/>
  <c r="AA173" i="1"/>
  <c r="AA179" i="1"/>
  <c r="AA161" i="1"/>
  <c r="AA26" i="1"/>
  <c r="AA148" i="1"/>
  <c r="AA120" i="1"/>
  <c r="AA194" i="1"/>
  <c r="AA156" i="1"/>
  <c r="AA37" i="1"/>
  <c r="AA129" i="1"/>
  <c r="AA134" i="1"/>
  <c r="AA138" i="1" s="1"/>
  <c r="AA10" i="1"/>
  <c r="AA27" i="1" s="1"/>
  <c r="AA253" i="1"/>
  <c r="AA157" i="1"/>
  <c r="AA182" i="1"/>
  <c r="AA16" i="1"/>
  <c r="AA98" i="1"/>
  <c r="AA244" i="1"/>
  <c r="AA248" i="1"/>
  <c r="AA246" i="1"/>
  <c r="AA185" i="1"/>
  <c r="AA184" i="1" s="1"/>
  <c r="AA168" i="1"/>
  <c r="AA109" i="1" s="1"/>
  <c r="AA33" i="1"/>
  <c r="AA175" i="1"/>
  <c r="AA165" i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6" i="1" l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9" i="1"/>
  <c r="AA232" i="1"/>
  <c r="AA233" i="1" s="1"/>
  <c r="AA34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BB31" i="3"/>
  <c r="BD12" i="3"/>
  <c r="BA18" i="3"/>
  <c r="Z78" i="2"/>
  <c r="EY14" i="4" a="1"/>
  <c r="FC7" i="4" a="1"/>
  <c r="FF11" i="4" a="1"/>
  <c r="FA16" i="4" a="1"/>
  <c r="BU5" i="3"/>
  <c r="BU11" i="3"/>
  <c r="BU17" i="3"/>
  <c r="BU23" i="3"/>
  <c r="BU29" i="3"/>
  <c r="BU35" i="3"/>
  <c r="BU41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L41" i="3"/>
  <c r="BT8" i="3"/>
  <c r="BQ6" i="3"/>
  <c r="BQ12" i="3"/>
  <c r="BQ18" i="3"/>
  <c r="BQ24" i="3"/>
  <c r="BQ30" i="3"/>
  <c r="BQ36" i="3"/>
  <c r="BQ42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U6" i="3"/>
  <c r="BU12" i="3"/>
  <c r="BU18" i="3"/>
  <c r="BU24" i="3"/>
  <c r="BU30" i="3"/>
  <c r="BU36" i="3"/>
  <c r="BU42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C31" i="3"/>
  <c r="AA31" i="2"/>
  <c r="Z87" i="2"/>
  <c r="BB35" i="3"/>
  <c r="Z28" i="2"/>
  <c r="AA25" i="2"/>
  <c r="BB36" i="3"/>
  <c r="BB29" i="3"/>
  <c r="FF13" i="4" a="1"/>
  <c r="FF16" i="4" a="1"/>
  <c r="FD8" i="4" a="1"/>
  <c r="EX15" i="4" a="1"/>
  <c r="EZ13" i="4" a="1"/>
  <c r="Y62" i="2"/>
  <c r="AA58" i="2"/>
  <c r="BA15" i="3"/>
  <c r="BA32" i="3"/>
  <c r="BC45" i="3"/>
  <c r="Z35" i="2"/>
  <c r="BQ7" i="3"/>
  <c r="BQ13" i="3"/>
  <c r="BQ19" i="3"/>
  <c r="BQ25" i="3"/>
  <c r="BQ31" i="3"/>
  <c r="BQ37" i="3"/>
  <c r="BQ45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B12" i="3"/>
  <c r="Z24" i="2"/>
  <c r="BA30" i="3"/>
  <c r="Z7" i="2"/>
  <c r="FD15" i="4" a="1"/>
  <c r="EZ16" i="4" a="1"/>
  <c r="EY9" i="4" a="1"/>
  <c r="FB16" i="4" a="1"/>
  <c r="Z61" i="2"/>
  <c r="BA41" i="3"/>
  <c r="Z23" i="2"/>
  <c r="Z90" i="2"/>
  <c r="Y81" i="2"/>
  <c r="AA21" i="2"/>
  <c r="BB33" i="3"/>
  <c r="AA97" i="2"/>
  <c r="BU7" i="3"/>
  <c r="BU13" i="3"/>
  <c r="BU19" i="3"/>
  <c r="BU25" i="3"/>
  <c r="BU31" i="3"/>
  <c r="BU37" i="3"/>
  <c r="BU45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AA30" i="2"/>
  <c r="Y45" i="2"/>
  <c r="BB8" i="3"/>
  <c r="Y66" i="2"/>
  <c r="BC22" i="3"/>
  <c r="Z71" i="2"/>
  <c r="Z56" i="2"/>
  <c r="BQ8" i="3"/>
  <c r="BQ14" i="3"/>
  <c r="BQ20" i="3"/>
  <c r="BQ26" i="3"/>
  <c r="BQ32" i="3"/>
  <c r="BQ38" i="3"/>
  <c r="BQ46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BU8" i="3"/>
  <c r="BU14" i="3"/>
  <c r="BU20" i="3"/>
  <c r="BU26" i="3"/>
  <c r="BU32" i="3"/>
  <c r="BU38" i="3"/>
  <c r="BU46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M27" i="3"/>
  <c r="BF33" i="3"/>
  <c r="BI12" i="3"/>
  <c r="BI32" i="3"/>
  <c r="BN46" i="3"/>
  <c r="BT20" i="3"/>
  <c r="BP21" i="3"/>
  <c r="BP7" i="3"/>
  <c r="BM39" i="3"/>
  <c r="BN37" i="3"/>
  <c r="BL29" i="3"/>
  <c r="BN18" i="3"/>
  <c r="BF38" i="3"/>
  <c r="BE46" i="3"/>
  <c r="BL9" i="3"/>
  <c r="BQ9" i="3"/>
  <c r="BQ15" i="3"/>
  <c r="BQ21" i="3"/>
  <c r="BQ27" i="3"/>
  <c r="BQ33" i="3"/>
  <c r="BQ39" i="3"/>
  <c r="BR5" i="3"/>
  <c r="BR11" i="3"/>
  <c r="BS41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J9" i="3"/>
  <c r="BE9" i="3"/>
  <c r="BM13" i="3"/>
  <c r="BK18" i="3"/>
  <c r="BI23" i="3"/>
  <c r="BH18" i="3"/>
  <c r="BI18" i="3"/>
  <c r="BM38" i="3"/>
  <c r="BU9" i="3"/>
  <c r="BQ10" i="3"/>
  <c r="BU10" i="3"/>
  <c r="BU16" i="3"/>
  <c r="BU22" i="3"/>
  <c r="BU28" i="3"/>
  <c r="BU34" i="3"/>
  <c r="BU40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Z16" i="2"/>
  <c r="Y95" i="2"/>
  <c r="BC26" i="3"/>
  <c r="Z63" i="2"/>
  <c r="AA59" i="2"/>
  <c r="BC46" i="3"/>
  <c r="FF6" i="4" a="1"/>
  <c r="FB11" i="4" a="1"/>
  <c r="BU15" i="3"/>
  <c r="BV11" i="3"/>
  <c r="BK13" i="3"/>
  <c r="BV35" i="3"/>
  <c r="BS31" i="3"/>
  <c r="BE14" i="3"/>
  <c r="BI9" i="3"/>
  <c r="BJ39" i="3"/>
  <c r="BF8" i="3"/>
  <c r="BE37" i="3"/>
  <c r="BK7" i="3"/>
  <c r="BL13" i="3"/>
  <c r="AA18" i="2"/>
  <c r="Z54" i="2"/>
  <c r="BA26" i="3"/>
  <c r="BD36" i="3"/>
  <c r="Y65" i="2"/>
  <c r="Y25" i="2"/>
  <c r="BB18" i="3"/>
  <c r="Z106" i="2"/>
  <c r="Y82" i="2"/>
  <c r="Y56" i="2"/>
  <c r="BC30" i="3"/>
  <c r="BB23" i="3"/>
  <c r="Y41" i="2"/>
  <c r="FC12" i="4" a="1"/>
  <c r="EX5" i="4" a="1"/>
  <c r="FE14" i="4" a="1"/>
  <c r="EX14" i="4" a="1"/>
  <c r="FD9" i="4" a="1"/>
  <c r="FA15" i="4" a="1"/>
  <c r="FB12" i="4" a="1"/>
  <c r="FC13" i="4" a="1"/>
  <c r="FE16" i="4" a="1"/>
  <c r="BV41" i="3"/>
  <c r="BM34" i="3"/>
  <c r="BG14" i="3"/>
  <c r="BE20" i="3"/>
  <c r="BF16" i="3"/>
  <c r="CL20" i="1" s="1"/>
  <c r="BM12" i="3"/>
  <c r="BJ34" i="3"/>
  <c r="Y104" i="2"/>
  <c r="BB16" i="3"/>
  <c r="BD27" i="3"/>
  <c r="Y29" i="2"/>
  <c r="EY12" i="4" a="1"/>
  <c r="FE11" i="4" a="1"/>
  <c r="Z93" i="2"/>
  <c r="BC37" i="3"/>
  <c r="FE12" i="4" a="1"/>
  <c r="FD5" i="4" a="1"/>
  <c r="BS25" i="3"/>
  <c r="BI27" i="3"/>
  <c r="Z92" i="2"/>
  <c r="Z82" i="2"/>
  <c r="FB9" i="4" a="1"/>
  <c r="BR6" i="3"/>
  <c r="BL36" i="3"/>
  <c r="BH7" i="3"/>
  <c r="Y33" i="2"/>
  <c r="EZ6" i="4" a="1"/>
  <c r="BQ16" i="3"/>
  <c r="BR12" i="3"/>
  <c r="BG15" i="3"/>
  <c r="BR36" i="3"/>
  <c r="BO32" i="3"/>
  <c r="BE16" i="3"/>
  <c r="BM9" i="3"/>
  <c r="BF41" i="3"/>
  <c r="BJ14" i="3"/>
  <c r="BK38" i="3"/>
  <c r="BG9" i="3"/>
  <c r="BN16" i="3"/>
  <c r="Z48" i="2"/>
  <c r="AA78" i="2"/>
  <c r="BB32" i="3"/>
  <c r="Z20" i="2"/>
  <c r="AA50" i="2"/>
  <c r="BC13" i="3"/>
  <c r="AA88" i="2"/>
  <c r="Z94" i="2"/>
  <c r="AA82" i="2"/>
  <c r="Z83" i="2"/>
  <c r="BC5" i="3"/>
  <c r="BB39" i="3"/>
  <c r="Z17" i="2"/>
  <c r="FA8" i="4" a="1"/>
  <c r="BO40" i="3"/>
  <c r="BG42" i="3"/>
  <c r="Y99" i="2"/>
  <c r="BD21" i="3"/>
  <c r="Y43" i="2"/>
  <c r="AA81" i="2"/>
  <c r="Z6" i="2"/>
  <c r="Y5" i="2"/>
  <c r="X6" i="2"/>
  <c r="Y67" i="2"/>
  <c r="BD31" i="3"/>
  <c r="EY11" i="4" a="1"/>
  <c r="EY13" i="4" a="1"/>
  <c r="AA45" i="2"/>
  <c r="BQ40" i="3"/>
  <c r="BI45" i="3"/>
  <c r="Z5" i="2"/>
  <c r="BA10" i="3"/>
  <c r="EY5" i="4" a="1"/>
  <c r="BN31" i="3"/>
  <c r="BD29" i="3"/>
  <c r="Z12" i="2"/>
  <c r="FD13" i="4" a="1"/>
  <c r="BN21" i="3"/>
  <c r="BA17" i="3"/>
  <c r="Z21" i="2"/>
  <c r="BU21" i="3"/>
  <c r="BS42" i="3"/>
  <c r="BE34" i="3"/>
  <c r="BO20" i="3"/>
  <c r="BP15" i="3"/>
  <c r="BH32" i="3"/>
  <c r="Z108" i="2"/>
  <c r="FB5" i="4" a="1"/>
  <c r="BH20" i="3"/>
  <c r="BH36" i="3"/>
  <c r="AA51" i="2"/>
  <c r="EZ14" i="4" a="1"/>
  <c r="BR30" i="3"/>
  <c r="BA5" i="3"/>
  <c r="AA92" i="2"/>
  <c r="BQ22" i="3"/>
  <c r="BO45" i="3"/>
  <c r="BI36" i="3"/>
  <c r="BR42" i="3"/>
  <c r="BO41" i="3"/>
  <c r="BE36" i="3"/>
  <c r="BK14" i="3"/>
  <c r="BK21" i="3"/>
  <c r="BJ22" i="3"/>
  <c r="BF13" i="3"/>
  <c r="BE22" i="3"/>
  <c r="Y51" i="2"/>
  <c r="Z50" i="2"/>
  <c r="BC41" i="3"/>
  <c r="Y17" i="2"/>
  <c r="AA35" i="2"/>
  <c r="BC17" i="3"/>
  <c r="AA28" i="2"/>
  <c r="Y31" i="2"/>
  <c r="AA33" i="2"/>
  <c r="Z88" i="2"/>
  <c r="BD17" i="3"/>
  <c r="BD5" i="3"/>
  <c r="Z42" i="2"/>
  <c r="FA6" i="4" a="1"/>
  <c r="FC5" i="4" a="1"/>
  <c r="FD11" i="4" a="1"/>
  <c r="EY16" i="4" a="1"/>
  <c r="FC9" i="4" a="1"/>
  <c r="FD12" i="4" a="1"/>
  <c r="EZ15" i="4" a="1"/>
  <c r="Y18" i="2"/>
  <c r="AA57" i="2"/>
  <c r="EY7" i="4" a="1"/>
  <c r="Y52" i="2"/>
  <c r="Y89" i="2"/>
  <c r="FD6" i="4" a="1"/>
  <c r="EZ11" i="4" a="1"/>
  <c r="FE8" i="4" a="1"/>
  <c r="FB6" i="4" a="1"/>
  <c r="BB42" i="3"/>
  <c r="EX6" i="4" a="1"/>
  <c r="BC42" i="3"/>
  <c r="AA89" i="2"/>
  <c r="FA14" i="4" a="1"/>
  <c r="Y22" i="2"/>
  <c r="AA85" i="2"/>
  <c r="BU27" i="3"/>
  <c r="BT26" i="3"/>
  <c r="BJ10" i="3"/>
  <c r="BS7" i="3"/>
  <c r="BT10" i="3"/>
  <c r="BL5" i="3"/>
  <c r="BE19" i="3"/>
  <c r="BI40" i="3"/>
  <c r="BT19" i="3"/>
  <c r="BN13" i="3"/>
  <c r="BK23" i="3"/>
  <c r="V6" i="2"/>
  <c r="Z62" i="2"/>
  <c r="BC8" i="3"/>
  <c r="AA106" i="2"/>
  <c r="Z81" i="2"/>
  <c r="BA39" i="3"/>
  <c r="AA73" i="2"/>
  <c r="Z74" i="2"/>
  <c r="BD41" i="3"/>
  <c r="Z32" i="2"/>
  <c r="BB10" i="3"/>
  <c r="BB28" i="3"/>
  <c r="Y110" i="2"/>
  <c r="EX8" i="4" a="1"/>
  <c r="FA11" i="4" a="1"/>
  <c r="FC11" i="4" a="1"/>
  <c r="BC34" i="3"/>
  <c r="AA15" i="2"/>
  <c r="Z52" i="2"/>
  <c r="BC35" i="3"/>
  <c r="FB13" i="4" a="1"/>
  <c r="BL14" i="3"/>
  <c r="BP34" i="3"/>
  <c r="Y94" i="2"/>
  <c r="Z34" i="2"/>
  <c r="BV29" i="3"/>
  <c r="BL39" i="3"/>
  <c r="BB45" i="3"/>
  <c r="BA28" i="3"/>
  <c r="BB7" i="3"/>
  <c r="Z8" i="2"/>
  <c r="BB34" i="3"/>
  <c r="BJ33" i="3"/>
  <c r="BO26" i="3"/>
  <c r="BM35" i="3"/>
  <c r="BI6" i="3"/>
  <c r="AA7" i="2"/>
  <c r="BA25" i="3"/>
  <c r="FA13" i="4" a="1"/>
  <c r="BQ28" i="3"/>
  <c r="BT34" i="3"/>
  <c r="BF20" i="3"/>
  <c r="CL9" i="1" s="1"/>
  <c r="BO8" i="3"/>
  <c r="BT22" i="3"/>
  <c r="BF12" i="3"/>
  <c r="CL14" i="1" s="1"/>
  <c r="BI19" i="3"/>
  <c r="BE42" i="3"/>
  <c r="BT25" i="3"/>
  <c r="BJ15" i="3"/>
  <c r="BG25" i="3"/>
  <c r="AA40" i="2"/>
  <c r="AA14" i="2"/>
  <c r="AA47" i="2"/>
  <c r="BD39" i="3"/>
  <c r="Y19" i="2"/>
  <c r="Z70" i="2"/>
  <c r="BA36" i="3"/>
  <c r="AA20" i="2"/>
  <c r="AA13" i="2"/>
  <c r="AV10" i="3"/>
  <c r="BC33" i="3"/>
  <c r="Z26" i="2"/>
  <c r="FA9" i="4" a="1"/>
  <c r="FF8" i="4" a="1"/>
  <c r="EZ9" i="4" a="1"/>
  <c r="BD25" i="3"/>
  <c r="Y97" i="2"/>
  <c r="FB15" i="4" a="1"/>
  <c r="AA49" i="2"/>
  <c r="FF15" i="4" a="1"/>
  <c r="BL12" i="3"/>
  <c r="Y47" i="2"/>
  <c r="BB11" i="3"/>
  <c r="BP23" i="3"/>
  <c r="BH13" i="3"/>
  <c r="BA23" i="3"/>
  <c r="Z51" i="2"/>
  <c r="FE5" i="4" a="1"/>
  <c r="FE9" i="4" a="1"/>
  <c r="BU33" i="3"/>
  <c r="BK32" i="3"/>
  <c r="BV17" i="3"/>
  <c r="BS13" i="3"/>
  <c r="BI29" i="3"/>
  <c r="BT24" i="3"/>
  <c r="BM23" i="3"/>
  <c r="BF36" i="3"/>
  <c r="BT31" i="3"/>
  <c r="BJ19" i="3"/>
  <c r="BM28" i="3"/>
  <c r="Z66" i="2"/>
  <c r="Y64" i="2"/>
  <c r="Y35" i="2"/>
  <c r="BA16" i="3"/>
  <c r="W6" i="2"/>
  <c r="AA26" i="2"/>
  <c r="BD8" i="3"/>
  <c r="AA42" i="2"/>
  <c r="AA99" i="2"/>
  <c r="BD9" i="3"/>
  <c r="EZ8" i="4" a="1"/>
  <c r="FF7" i="4" a="1"/>
  <c r="BR24" i="3"/>
  <c r="BF22" i="3"/>
  <c r="BM40" i="3"/>
  <c r="BB37" i="3"/>
  <c r="Y61" i="2"/>
  <c r="AA32" i="2"/>
  <c r="BC36" i="3"/>
  <c r="Z43" i="2"/>
  <c r="BL34" i="3"/>
  <c r="Y80" i="2"/>
  <c r="BC6" i="3"/>
  <c r="BH41" i="3"/>
  <c r="BQ34" i="3"/>
  <c r="BM33" i="3"/>
  <c r="BR18" i="3"/>
  <c r="BO14" i="3"/>
  <c r="BI31" i="3"/>
  <c r="BT28" i="3"/>
  <c r="BG24" i="3"/>
  <c r="BJ42" i="3"/>
  <c r="BP26" i="3"/>
  <c r="BL28" i="3"/>
  <c r="BI38" i="3"/>
  <c r="AA109" i="2"/>
  <c r="AA80" i="2"/>
  <c r="Z72" i="2"/>
  <c r="BA29" i="3"/>
  <c r="Y108" i="2"/>
  <c r="AA76" i="2"/>
  <c r="BB19" i="3"/>
  <c r="Z59" i="2"/>
  <c r="AA65" i="2"/>
  <c r="BD46" i="3"/>
  <c r="BU39" i="3"/>
  <c r="BH12" i="3"/>
  <c r="BV23" i="3"/>
  <c r="BS19" i="3"/>
  <c r="BF11" i="3"/>
  <c r="CL15" i="1" s="1"/>
  <c r="BP37" i="3"/>
  <c r="BK40" i="3"/>
  <c r="BJ20" i="3"/>
  <c r="BP28" i="3"/>
  <c r="BL30" i="3"/>
  <c r="BE40" i="3"/>
  <c r="AA54" i="2"/>
  <c r="Y21" i="2"/>
  <c r="BC20" i="3"/>
  <c r="BC10" i="3"/>
  <c r="AA10" i="2"/>
  <c r="Y106" i="2"/>
  <c r="BD30" i="3"/>
  <c r="AA74" i="2"/>
  <c r="AA70" i="2"/>
  <c r="BB26" i="3"/>
  <c r="BV5" i="3"/>
  <c r="Z76" i="2"/>
  <c r="BE5" i="3"/>
  <c r="BB38" i="3"/>
  <c r="BA24" i="3"/>
  <c r="FC8" i="4" a="1"/>
  <c r="BH59" i="3" l="1"/>
  <c r="CL26" i="1"/>
  <c r="AA52" i="1"/>
  <c r="AA54" i="1"/>
  <c r="AA193" i="1"/>
  <c r="AA195" i="1" s="1"/>
  <c r="BG79" i="3"/>
  <c r="BG59" i="3"/>
  <c r="BP92" i="3"/>
  <c r="BP57" i="3"/>
  <c r="CL10" i="1"/>
  <c r="CL231" i="1"/>
  <c r="CL253" i="1"/>
  <c r="CL194" i="1"/>
  <c r="CL252" i="1"/>
  <c r="CL65" i="1"/>
  <c r="CK51" i="1"/>
  <c r="CK45" i="1"/>
  <c r="CK20" i="1"/>
  <c r="CK9" i="1"/>
  <c r="CK23" i="1"/>
  <c r="CK24" i="1"/>
  <c r="CK14" i="1"/>
  <c r="CK64" i="1"/>
  <c r="CK35" i="1"/>
  <c r="CK25" i="1"/>
  <c r="CK46" i="1"/>
  <c r="CK63" i="1"/>
  <c r="CK65" i="1" s="1"/>
  <c r="CK21" i="1"/>
  <c r="CK47" i="1"/>
  <c r="CK13" i="1"/>
  <c r="CK39" i="1"/>
  <c r="CK22" i="1"/>
  <c r="CK8" i="1"/>
  <c r="CK10" i="1" s="1"/>
  <c r="CL12" i="1" s="1"/>
  <c r="CK15" i="1"/>
  <c r="CK32" i="1"/>
  <c r="CK36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E85" i="3"/>
  <c r="BH62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BV48" i="3"/>
  <c r="BT49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HF6" i="4" a="1"/>
  <c r="BQ6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BQ56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G66" i="3"/>
  <c r="BU5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66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P50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E82" i="3"/>
  <c r="BI92" i="3"/>
  <c r="BH92" i="3"/>
  <c r="BI90" i="3"/>
  <c r="BR50" i="3"/>
  <c r="BS83" i="3"/>
  <c r="BU84" i="3"/>
  <c r="BR97" i="3"/>
  <c r="BV89" i="3"/>
  <c r="BT47" i="3"/>
  <c r="BN75" i="3"/>
  <c r="BN91" i="3"/>
  <c r="BO73" i="3"/>
  <c r="BG48" i="3"/>
  <c r="BE69" i="3"/>
  <c r="BM63" i="3"/>
  <c r="BJ72" i="3"/>
  <c r="BJ67" i="3"/>
  <c r="BK59" i="3"/>
  <c r="BK95" i="3"/>
  <c r="GC5" i="4" a="1"/>
  <c r="FO8" i="4" a="1"/>
  <c r="FR9" i="4" a="1"/>
  <c r="GF14" i="4" a="1"/>
  <c r="GX7" i="4" a="1"/>
  <c r="FL9" i="4" a="1"/>
  <c r="FK13" i="4" a="1"/>
  <c r="HA6" i="4" a="1"/>
  <c r="GB6" i="4" a="1"/>
  <c r="HF11" i="4" a="1"/>
  <c r="GT5" i="4" a="1"/>
  <c r="FL6" i="4" a="1"/>
  <c r="GU6" i="4" a="1"/>
  <c r="FN5" i="4" a="1"/>
  <c r="FW8" i="4" a="1"/>
  <c r="HD9" i="4" a="1"/>
  <c r="FZ8" i="4" a="1"/>
  <c r="GA6" i="4" a="1"/>
  <c r="FL7" i="4" a="1"/>
  <c r="FL12" i="4" a="1"/>
  <c r="FK11" i="4" a="1"/>
  <c r="FJ12" i="4" a="1"/>
  <c r="FI13" i="4" a="1"/>
  <c r="FN7" i="4" a="1"/>
  <c r="HB11" i="4" a="1"/>
  <c r="HA12" i="4" a="1"/>
  <c r="FT16" i="4" a="1"/>
  <c r="GK13" i="4" a="1"/>
  <c r="BC80" i="3"/>
  <c r="BP80" i="3"/>
  <c r="BM84" i="3"/>
  <c r="BI86" i="3"/>
  <c r="BH90" i="3"/>
  <c r="BI94" i="3"/>
  <c r="BR58" i="3"/>
  <c r="BS84" i="3"/>
  <c r="BU81" i="3"/>
  <c r="BR87" i="3"/>
  <c r="BV92" i="3"/>
  <c r="BT81" i="3"/>
  <c r="BN64" i="3"/>
  <c r="BN97" i="3"/>
  <c r="BO64" i="3"/>
  <c r="BG62" i="3"/>
  <c r="BE73" i="3"/>
  <c r="BM89" i="3"/>
  <c r="BJ76" i="3"/>
  <c r="BJ69" i="3"/>
  <c r="BK67" i="3"/>
  <c r="BK91" i="3"/>
  <c r="FL5" i="4" a="1"/>
  <c r="FY8" i="4" a="1"/>
  <c r="HH9" i="4" a="1"/>
  <c r="FR15" i="4" a="1"/>
  <c r="GW5" i="4" a="1"/>
  <c r="GR7" i="4" a="1"/>
  <c r="HG13" i="4" a="1"/>
  <c r="FW7" i="4" a="1"/>
  <c r="GB9" i="4" a="1"/>
  <c r="GW12" i="4" a="1"/>
  <c r="FP6" i="4" a="1"/>
  <c r="HG7" i="4" a="1"/>
  <c r="FH9" i="4" a="1"/>
  <c r="FZ5" i="4" a="1"/>
  <c r="GI8" i="4" a="1"/>
  <c r="FN11" i="4" a="1"/>
  <c r="GD9" i="4" a="1"/>
  <c r="FP7" i="4" a="1"/>
  <c r="FK8" i="4" a="1"/>
  <c r="GR12" i="4" a="1"/>
  <c r="FO11" i="4" a="1"/>
  <c r="FO12" i="4" a="1"/>
  <c r="FL13" i="4" a="1"/>
  <c r="GI7" i="4" a="1"/>
  <c r="HG11" i="4" a="1"/>
  <c r="FG13" i="4" a="1"/>
  <c r="HF13" i="4" a="1"/>
  <c r="HE14" i="4" a="1"/>
  <c r="FV12" i="4" a="1"/>
  <c r="FL15" i="4" a="1"/>
  <c r="GX15" i="4" a="1"/>
  <c r="FV16" i="4" a="1"/>
  <c r="GV16" i="4" a="1"/>
  <c r="GY14" i="4" a="1"/>
  <c r="GI12" i="4" a="1"/>
  <c r="FI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C14" i="4" a="1"/>
  <c r="GU7" i="4" a="1"/>
  <c r="GM6" i="4" a="1"/>
  <c r="FS13" i="4" a="1"/>
  <c r="GV6" i="4" a="1"/>
  <c r="GT7" i="4" a="1"/>
  <c r="FJ13" i="4" a="1"/>
  <c r="FI14" i="4" a="1"/>
  <c r="GQ12" i="4" a="1"/>
  <c r="FP15" i="4" a="1"/>
  <c r="GZ15" i="4" a="1"/>
  <c r="FX16" i="4" a="1"/>
  <c r="GX16" i="4" a="1"/>
  <c r="FV15" i="4" a="1"/>
  <c r="GT12" i="4" a="1"/>
  <c r="FT15" i="4" a="1"/>
  <c r="HD13" i="4" a="1"/>
  <c r="HE15" i="4" a="1"/>
  <c r="BC64" i="3"/>
  <c r="BD48" i="3"/>
  <c r="BD57" i="3"/>
  <c r="BD81" i="3"/>
  <c r="FW14" i="4" a="1"/>
  <c r="FI16" i="4" a="1"/>
  <c r="BC78" i="3"/>
  <c r="BJ88" i="3"/>
  <c r="BM57" i="3"/>
  <c r="BB77" i="3"/>
  <c r="BL47" i="3"/>
  <c r="BF89" i="3"/>
  <c r="CL153" i="1" s="1"/>
  <c r="CL183" i="1" s="1"/>
  <c r="BV47" i="3"/>
  <c r="BS55" i="3"/>
  <c r="BU88" i="3"/>
  <c r="BR68" i="3"/>
  <c r="BV94" i="3"/>
  <c r="BT85" i="3"/>
  <c r="BN61" i="3"/>
  <c r="BP75" i="3"/>
  <c r="BO83" i="3"/>
  <c r="BG47" i="3"/>
  <c r="BE77" i="3"/>
  <c r="BM55" i="3"/>
  <c r="BJ78" i="3"/>
  <c r="BJ71" i="3"/>
  <c r="BK58" i="3"/>
  <c r="BK54" i="3"/>
  <c r="FP5" i="4" a="1"/>
  <c r="GK8" i="4" a="1"/>
  <c r="FR11" i="4" a="1"/>
  <c r="FT7" i="4" a="1"/>
  <c r="FS6" i="4" a="1"/>
  <c r="FT8" i="4" a="1"/>
  <c r="FW9" i="4" a="1"/>
  <c r="FI12" i="4" a="1"/>
  <c r="GJ5" i="4" a="1"/>
  <c r="GW8" i="4" a="1"/>
  <c r="GZ6" i="4" a="1"/>
  <c r="FK5" i="4" a="1"/>
  <c r="GN7" i="4" a="1"/>
  <c r="GJ8" i="4" a="1"/>
  <c r="FN13" i="4" a="1"/>
  <c r="FS11" i="4" a="1"/>
  <c r="FR12" i="4" a="1"/>
  <c r="FQ13" i="4" a="1"/>
  <c r="FM12" i="4" a="1"/>
  <c r="HH14" i="4" a="1"/>
  <c r="HH8" i="4" a="1"/>
  <c r="GG15" i="4" a="1"/>
  <c r="GA16" i="4" a="1"/>
  <c r="GY16" i="4" a="1"/>
  <c r="FS14" i="4" a="1"/>
  <c r="BC79" i="3"/>
  <c r="GD16" i="4" a="1"/>
  <c r="FY11" i="4" a="1"/>
  <c r="BC96" i="3"/>
  <c r="BC87" i="3"/>
  <c r="BD60" i="3"/>
  <c r="BD63" i="3"/>
  <c r="GJ11" i="4" a="1"/>
  <c r="GQ16" i="4" a="1"/>
  <c r="HA15" i="4" a="1"/>
  <c r="BD69" i="3"/>
  <c r="BA96" i="3"/>
  <c r="BB50" i="3"/>
  <c r="BB80" i="3"/>
  <c r="BL71" i="3"/>
  <c r="BF71" i="3"/>
  <c r="BV65" i="3"/>
  <c r="BS78" i="3"/>
  <c r="BR86" i="3"/>
  <c r="BR67" i="3"/>
  <c r="BV69" i="3"/>
  <c r="BT86" i="3"/>
  <c r="BN55" i="3"/>
  <c r="BP85" i="3"/>
  <c r="BO78" i="3"/>
  <c r="BH91" i="3"/>
  <c r="BI56" i="3"/>
  <c r="BF62" i="3"/>
  <c r="CL124" i="1" s="1"/>
  <c r="BJ93" i="3"/>
  <c r="BJ73" i="3"/>
  <c r="BK85" i="3"/>
  <c r="BK49" i="3"/>
  <c r="GQ5" i="4" a="1"/>
  <c r="GU8" i="4" a="1"/>
  <c r="FZ11" i="4" a="1"/>
  <c r="GH8" i="4" a="1"/>
  <c r="GQ6" i="4" a="1"/>
  <c r="GR8" i="4" a="1"/>
  <c r="HD14" i="4" a="1"/>
  <c r="GO5" i="4" a="1"/>
  <c r="GB7" i="4" a="1"/>
  <c r="GY13" i="4" a="1"/>
  <c r="FO7" i="4" a="1"/>
  <c r="HA5" i="4" a="1"/>
  <c r="GG12" i="4" a="1"/>
  <c r="FM6" i="4" a="1"/>
  <c r="GU5" i="4" a="1"/>
  <c r="GY7" i="4" a="1"/>
  <c r="FW5" i="4" a="1"/>
  <c r="FJ8" i="4" a="1"/>
  <c r="HG8" i="4" a="1"/>
  <c r="GL13" i="4" a="1"/>
  <c r="FW11" i="4" a="1"/>
  <c r="FW12" i="4" a="1"/>
  <c r="FT13" i="4" a="1"/>
  <c r="FK9" i="4" a="1"/>
  <c r="FP12" i="4" a="1"/>
  <c r="FO13" i="4" a="1"/>
  <c r="FL14" i="4" a="1"/>
  <c r="FO6" i="4" a="1"/>
  <c r="HB12" i="4" a="1"/>
  <c r="FS15" i="4" a="1"/>
  <c r="HB15" i="4" a="1"/>
  <c r="FZ16" i="4" a="1"/>
  <c r="GZ16" i="4" a="1"/>
  <c r="GP6" i="4" a="1"/>
  <c r="FX13" i="4" a="1"/>
  <c r="FX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48" i="3"/>
  <c r="Y113" i="2"/>
  <c r="BS67" i="3"/>
  <c r="BL85" i="3"/>
  <c r="BA71" i="3"/>
  <c r="BB71" i="3"/>
  <c r="BA66" i="3"/>
  <c r="BL96" i="3"/>
  <c r="BF66" i="3"/>
  <c r="CL151" i="1" s="1"/>
  <c r="BT92" i="3"/>
  <c r="BS69" i="3"/>
  <c r="BR55" i="3"/>
  <c r="BV62" i="3"/>
  <c r="BV66" i="3"/>
  <c r="BT87" i="3"/>
  <c r="BN62" i="3"/>
  <c r="BF81" i="3"/>
  <c r="CL144" i="1" s="1"/>
  <c r="CL179" i="1" s="1"/>
  <c r="BO91" i="3"/>
  <c r="BH89" i="3"/>
  <c r="BI75" i="3"/>
  <c r="BF57" i="3"/>
  <c r="CL118" i="1" s="1"/>
  <c r="BJ97" i="3"/>
  <c r="BJ81" i="3"/>
  <c r="BK80" i="3"/>
  <c r="BK96" i="3"/>
  <c r="HG5" i="4" a="1"/>
  <c r="HH6" i="4" a="1"/>
  <c r="FZ6" i="4" a="1"/>
  <c r="FY9" i="4" a="1"/>
  <c r="HA7" i="4" a="1"/>
  <c r="GP9" i="4" a="1"/>
  <c r="FW15" i="4" a="1"/>
  <c r="HB6" i="4" a="1"/>
  <c r="GN8" i="4" a="1"/>
  <c r="FU14" i="4" a="1"/>
  <c r="HE5" i="4" a="1"/>
  <c r="GW7" i="4" a="1"/>
  <c r="HH12" i="4" a="1"/>
  <c r="GK6" i="4" a="1"/>
  <c r="GR6" i="4" a="1"/>
  <c r="GN9" i="4" a="1"/>
  <c r="FR5" i="4" a="1"/>
  <c r="GA8" i="4" a="1"/>
  <c r="GC9" i="4" a="1"/>
  <c r="FM14" i="4" a="1"/>
  <c r="GA11" i="4" a="1"/>
  <c r="FZ12" i="4" a="1"/>
  <c r="GB13" i="4" a="1"/>
  <c r="FP9" i="4" a="1"/>
  <c r="FU12" i="4" a="1"/>
  <c r="FR13" i="4" a="1"/>
  <c r="FQ14" i="4" a="1"/>
  <c r="FY7" i="4" a="1"/>
  <c r="FU13" i="4" a="1"/>
  <c r="GC15" i="4" a="1"/>
  <c r="HD15" i="4" a="1"/>
  <c r="GB16" i="4" a="1"/>
  <c r="HB16" i="4" a="1"/>
  <c r="FV8" i="4" a="1"/>
  <c r="GS13" i="4" a="1"/>
  <c r="GA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BF67" i="3"/>
  <c r="BI60" i="3"/>
  <c r="BF70" i="3"/>
  <c r="CL133" i="1" s="1"/>
  <c r="BJ54" i="3"/>
  <c r="BJ83" i="3"/>
  <c r="BK66" i="3"/>
  <c r="BK63" i="3"/>
  <c r="FX6" i="4" a="1"/>
  <c r="GQ7" i="4" a="1"/>
  <c r="HE8" i="4" a="1"/>
  <c r="HA9" i="4" a="1"/>
  <c r="FS8" i="4" a="1"/>
  <c r="HB9" i="4" a="1"/>
  <c r="GO7" i="4" a="1"/>
  <c r="FX7" i="4" a="1"/>
  <c r="FJ9" i="4" a="1"/>
  <c r="GS14" i="4" a="1"/>
  <c r="GD6" i="4" a="1"/>
  <c r="GF8" i="4" a="1"/>
  <c r="GD13" i="4" a="1"/>
  <c r="FG7" i="4" a="1"/>
  <c r="GL7" i="4" a="1"/>
  <c r="HC11" i="4" a="1"/>
  <c r="GD5" i="4" a="1"/>
  <c r="GO8" i="4" a="1"/>
  <c r="GV9" i="4" a="1"/>
  <c r="GK14" i="4" a="1"/>
  <c r="GE11" i="4" a="1"/>
  <c r="GH12" i="4" a="1"/>
  <c r="GG13" i="4" a="1"/>
  <c r="GA9" i="4" a="1"/>
  <c r="FX12" i="4" a="1"/>
  <c r="FW13" i="4" a="1"/>
  <c r="FT14" i="4" a="1"/>
  <c r="FN8" i="4" a="1"/>
  <c r="GF13" i="4" a="1"/>
  <c r="GF15" i="4" a="1"/>
  <c r="HF15" i="4" a="1"/>
  <c r="HF16" i="4" a="1"/>
  <c r="HB8" i="4" a="1"/>
  <c r="HH13" i="4" a="1"/>
  <c r="GD15" i="4" a="1"/>
  <c r="GM15" i="4" a="1"/>
  <c r="GG16" i="4" a="1"/>
  <c r="HE16" i="4" a="1"/>
  <c r="BB93" i="3"/>
  <c r="BC59" i="3"/>
  <c r="FU15" i="4" a="1"/>
  <c r="BQ61" i="3"/>
  <c r="BB94" i="3"/>
  <c r="BA77" i="3"/>
  <c r="BL74" i="3"/>
  <c r="BF80" i="3"/>
  <c r="CL159" i="1" s="1"/>
  <c r="BT75" i="3"/>
  <c r="BS64" i="3"/>
  <c r="BR64" i="3"/>
  <c r="BV95" i="3"/>
  <c r="BT71" i="3"/>
  <c r="BT54" i="3"/>
  <c r="BN96" i="3"/>
  <c r="BH63" i="3"/>
  <c r="BG64" i="3"/>
  <c r="BC56" i="3"/>
  <c r="BL59" i="3"/>
  <c r="BQ79" i="3"/>
  <c r="BO97" i="3"/>
  <c r="BU59" i="3"/>
  <c r="BR74" i="3"/>
  <c r="BV68" i="3"/>
  <c r="BT68" i="3"/>
  <c r="BT95" i="3"/>
  <c r="BN47" i="3"/>
  <c r="BF77" i="3"/>
  <c r="CL140" i="1" s="1"/>
  <c r="BS79" i="3"/>
  <c r="BL73" i="3"/>
  <c r="BI87" i="3"/>
  <c r="BF56" i="3"/>
  <c r="CL117" i="1" s="1"/>
  <c r="BJ48" i="3"/>
  <c r="BJ85" i="3"/>
  <c r="BK60" i="3"/>
  <c r="BK71" i="3"/>
  <c r="GN6" i="4" a="1"/>
  <c r="FG9" i="4" a="1"/>
  <c r="GI9" i="4" a="1"/>
  <c r="FO5" i="4" a="1"/>
  <c r="GE8" i="4" a="1"/>
  <c r="FL11" i="4" a="1"/>
  <c r="GX8" i="4" a="1"/>
  <c r="GV7" i="4" a="1"/>
  <c r="GK9" i="4" a="1"/>
  <c r="FO15" i="4" a="1"/>
  <c r="FH7" i="4" a="1"/>
  <c r="HD8" i="4" a="1"/>
  <c r="HB13" i="4" a="1"/>
  <c r="HC7" i="4" a="1"/>
  <c r="FO9" i="4" a="1"/>
  <c r="GZ12" i="4" a="1"/>
  <c r="GY5" i="4" a="1"/>
  <c r="HA8" i="4" a="1"/>
  <c r="FH11" i="4" a="1"/>
  <c r="FG15" i="4" a="1"/>
  <c r="GN11" i="4" a="1"/>
  <c r="GM12" i="4" a="1"/>
  <c r="GJ13" i="4" a="1"/>
  <c r="GF9" i="4" a="1"/>
  <c r="GC12" i="4" a="1"/>
  <c r="FZ13" i="4" a="1"/>
  <c r="FY14" i="4" a="1"/>
  <c r="GT8" i="4" a="1"/>
  <c r="HA13" i="4" a="1"/>
  <c r="GH15" i="4" a="1"/>
  <c r="HH15" i="4" a="1"/>
  <c r="GH16" i="4" a="1"/>
  <c r="HH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A65" i="3"/>
  <c r="BE61" i="3"/>
  <c r="BT70" i="3"/>
  <c r="BN79" i="3"/>
  <c r="BP55" i="3"/>
  <c r="BE91" i="3"/>
  <c r="BJ61" i="3"/>
  <c r="GT14" i="4" a="1"/>
  <c r="GB8" i="4" a="1"/>
  <c r="GG6" i="4" a="1"/>
  <c r="FQ12" i="4" a="1"/>
  <c r="FH6" i="4" a="1"/>
  <c r="FH8" i="4" a="1"/>
  <c r="GF7" i="4" a="1"/>
  <c r="GN14" i="4" a="1"/>
  <c r="HE9" i="4" a="1"/>
  <c r="HC12" i="4" a="1"/>
  <c r="GS12" i="4" a="1"/>
  <c r="GP14" i="4" a="1"/>
  <c r="FP16" i="4" a="1"/>
  <c r="GP16" i="4" a="1"/>
  <c r="FH13" i="4" a="1"/>
  <c r="GI14" i="4" a="1"/>
  <c r="HG12" i="4" a="1"/>
  <c r="FS16" i="4" a="1"/>
  <c r="BC97" i="3"/>
  <c r="FN12" i="4" a="1"/>
  <c r="BD64" i="3"/>
  <c r="BK68" i="3"/>
  <c r="BH55" i="3"/>
  <c r="BC85" i="3"/>
  <c r="BL56" i="3"/>
  <c r="BQ76" i="3"/>
  <c r="BO49" i="3"/>
  <c r="BU60" i="3"/>
  <c r="BR47" i="3"/>
  <c r="BV91" i="3"/>
  <c r="BT63" i="3"/>
  <c r="BN86" i="3"/>
  <c r="BN56" i="3"/>
  <c r="BF75" i="3"/>
  <c r="BS81" i="3"/>
  <c r="BL50" i="3"/>
  <c r="BI91" i="3"/>
  <c r="BF50" i="3"/>
  <c r="CL74" i="1" s="1"/>
  <c r="BJ55" i="3"/>
  <c r="BK81" i="3"/>
  <c r="BK87" i="3"/>
  <c r="BK89" i="3"/>
  <c r="FJ7" i="4" a="1"/>
  <c r="GH6" i="4" a="1"/>
  <c r="GX11" i="4" a="1"/>
  <c r="FV5" i="4" a="1"/>
  <c r="HC8" i="4" a="1"/>
  <c r="GB11" i="4" a="1"/>
  <c r="FU5" i="4" a="1"/>
  <c r="GC8" i="4" a="1"/>
  <c r="GZ9" i="4" a="1"/>
  <c r="GO9" i="4" a="1"/>
  <c r="HD7" i="4" a="1"/>
  <c r="FZ9" i="4" a="1"/>
  <c r="FX14" i="4" a="1"/>
  <c r="GZ5" i="4" a="1"/>
  <c r="FJ6" i="4" a="1"/>
  <c r="FV13" i="4" a="1"/>
  <c r="FU6" i="4" a="1"/>
  <c r="HF5" i="4" a="1"/>
  <c r="FT11" i="4" a="1"/>
  <c r="FR8" i="4" a="1"/>
  <c r="GS11" i="4" a="1"/>
  <c r="GP12" i="4" a="1"/>
  <c r="GO13" i="4" a="1"/>
  <c r="GI11" i="4" a="1"/>
  <c r="GF12" i="4" a="1"/>
  <c r="GE13" i="4" a="1"/>
  <c r="GB14" i="4" a="1"/>
  <c r="FQ9" i="4" a="1"/>
  <c r="FJ14" i="4" a="1"/>
  <c r="GJ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Z112" i="2"/>
  <c r="GL16" i="4" a="1"/>
  <c r="BD79" i="3"/>
  <c r="BU72" i="3"/>
  <c r="BJ60" i="3"/>
  <c r="BK77" i="3"/>
  <c r="FL8" i="4" a="1"/>
  <c r="FS9" i="4" a="1"/>
  <c r="HD11" i="4" a="1"/>
  <c r="GT11" i="4" a="1"/>
  <c r="GO14" i="4" a="1"/>
  <c r="GR15" i="4" a="1"/>
  <c r="GW15" i="4" a="1"/>
  <c r="BC92" i="3"/>
  <c r="HG14" i="4" a="1"/>
  <c r="BC89" i="3"/>
  <c r="BK84" i="3"/>
  <c r="BU63" i="3"/>
  <c r="BM88" i="3"/>
  <c r="BQ50" i="3"/>
  <c r="BE84" i="3"/>
  <c r="BQ71" i="3"/>
  <c r="BO84" i="3"/>
  <c r="BU96" i="3"/>
  <c r="BR84" i="3"/>
  <c r="BV90" i="3"/>
  <c r="BT76" i="3"/>
  <c r="BN82" i="3"/>
  <c r="BN66" i="3"/>
  <c r="Y112" i="2"/>
  <c r="BS87" i="3"/>
  <c r="BE49" i="3"/>
  <c r="BI61" i="3"/>
  <c r="BJ49" i="3"/>
  <c r="BJ62" i="3"/>
  <c r="BK69" i="3"/>
  <c r="BK90" i="3"/>
  <c r="BK93" i="3"/>
  <c r="FN6" i="4" a="1"/>
  <c r="FQ7" i="4" a="1"/>
  <c r="FT12" i="4" a="1"/>
  <c r="GH5" i="4" a="1"/>
  <c r="HC5" i="4" a="1"/>
  <c r="GJ6" i="4" a="1"/>
  <c r="GG5" i="4" a="1"/>
  <c r="GM8" i="4" a="1"/>
  <c r="FJ11" i="4" a="1"/>
  <c r="FI5" i="4" a="1"/>
  <c r="FU8" i="4" a="1"/>
  <c r="GT9" i="4" a="1"/>
  <c r="FZ15" i="4" a="1"/>
  <c r="FV6" i="4" a="1"/>
  <c r="FX8" i="4" a="1"/>
  <c r="GT13" i="4" a="1"/>
  <c r="GS6" i="4" a="1"/>
  <c r="GN5" i="4" a="1"/>
  <c r="GO6" i="4" a="1"/>
  <c r="FN9" i="4" a="1"/>
  <c r="GV11" i="4" a="1"/>
  <c r="GU12" i="4" a="1"/>
  <c r="GR13" i="4" a="1"/>
  <c r="GL11" i="4" a="1"/>
  <c r="GK12" i="4" a="1"/>
  <c r="GH13" i="4" a="1"/>
  <c r="GG14" i="4" a="1"/>
  <c r="GL9" i="4" a="1"/>
  <c r="FO14" i="4" a="1"/>
  <c r="GN15" i="4" a="1"/>
  <c r="FL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93" i="3"/>
  <c r="BN85" i="3"/>
  <c r="BK92" i="3"/>
  <c r="GY6" i="4" a="1"/>
  <c r="GQ13" i="4" a="1"/>
  <c r="GX5" i="4" a="1"/>
  <c r="FT5" i="4" a="1"/>
  <c r="FU9" i="4" a="1"/>
  <c r="FT9" i="4" a="1"/>
  <c r="GZ13" i="4" a="1"/>
  <c r="GG11" i="4" a="1"/>
  <c r="GQ14" i="4" a="1"/>
  <c r="BD56" i="3"/>
  <c r="GY12" i="4" a="1"/>
  <c r="BM73" i="3"/>
  <c r="BD82" i="3"/>
  <c r="BQ54" i="3"/>
  <c r="BE78" i="3"/>
  <c r="BQ80" i="3"/>
  <c r="BO88" i="3"/>
  <c r="BU77" i="3"/>
  <c r="BR82" i="3"/>
  <c r="BV88" i="3"/>
  <c r="BT64" i="3"/>
  <c r="BN77" i="3"/>
  <c r="BN69" i="3"/>
  <c r="Y111" i="2"/>
  <c r="BS89" i="3"/>
  <c r="BE58" i="3"/>
  <c r="BM54" i="3"/>
  <c r="BJ58" i="3"/>
  <c r="BJ57" i="3"/>
  <c r="BK82" i="3"/>
  <c r="BK57" i="3"/>
  <c r="BK61" i="3"/>
  <c r="GL6" i="4" a="1"/>
  <c r="HH7" i="4" a="1"/>
  <c r="GJ12" i="4" a="1"/>
  <c r="HB5" i="4" a="1"/>
  <c r="FY6" i="4" a="1"/>
  <c r="GD7" i="4" a="1"/>
  <c r="FX5" i="4" a="1"/>
  <c r="GY8" i="4" a="1"/>
  <c r="FV11" i="4" a="1"/>
  <c r="FY5" i="4" a="1"/>
  <c r="GG8" i="4" a="1"/>
  <c r="HF9" i="4" a="1"/>
  <c r="GZ7" i="4" a="1"/>
  <c r="GT6" i="4" a="1"/>
  <c r="GV8" i="4" a="1"/>
  <c r="FP14" i="4" a="1"/>
  <c r="FR7" i="4" a="1"/>
  <c r="HB7" i="4" a="1"/>
  <c r="FS7" i="4" a="1"/>
  <c r="GW9" i="4" a="1"/>
  <c r="HA11" i="4" a="1"/>
  <c r="GX12" i="4" a="1"/>
  <c r="GW13" i="4" a="1"/>
  <c r="GQ11" i="4" a="1"/>
  <c r="GN12" i="4" a="1"/>
  <c r="GM13" i="4" a="1"/>
  <c r="GJ14" i="4" a="1"/>
  <c r="HC9" i="4" a="1"/>
  <c r="GE14" i="4" a="1"/>
  <c r="GP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P89" i="3"/>
  <c r="BH60" i="3"/>
  <c r="BO74" i="3"/>
  <c r="BU85" i="3"/>
  <c r="BR80" i="3"/>
  <c r="BV61" i="3"/>
  <c r="BO47" i="3"/>
  <c r="BM85" i="3"/>
  <c r="HD6" i="4" a="1"/>
  <c r="GS8" i="4" a="1"/>
  <c r="FX11" i="4" a="1"/>
  <c r="FI9" i="4" a="1"/>
  <c r="GP13" i="4" a="1"/>
  <c r="FN15" i="4" a="1"/>
  <c r="GC11" i="4" a="1"/>
  <c r="BD77" i="3"/>
  <c r="GU16" i="4" a="1"/>
  <c r="BP60" i="3"/>
  <c r="BG96" i="3"/>
  <c r="BP59" i="3"/>
  <c r="BH79" i="3"/>
  <c r="BE48" i="3"/>
  <c r="BU74" i="3"/>
  <c r="BO77" i="3"/>
  <c r="BU93" i="3"/>
  <c r="BR77" i="3"/>
  <c r="BV86" i="3"/>
  <c r="BT57" i="3"/>
  <c r="BN80" i="3"/>
  <c r="BN87" i="3"/>
  <c r="BO48" i="3"/>
  <c r="BG68" i="3"/>
  <c r="BE67" i="3"/>
  <c r="BM83" i="3"/>
  <c r="BJ70" i="3"/>
  <c r="BJ65" i="3"/>
  <c r="BK55" i="3"/>
  <c r="BK56" i="3"/>
  <c r="FK15" i="4" a="1"/>
  <c r="GS7" i="4" a="1"/>
  <c r="GZ8" i="4" a="1"/>
  <c r="FH14" i="4" a="1"/>
  <c r="GE7" i="4" a="1"/>
  <c r="GA7" i="4" a="1"/>
  <c r="GO12" i="4" a="1"/>
  <c r="GF6" i="4" a="1"/>
  <c r="FQ6" i="4" a="1"/>
  <c r="GH11" i="4" a="1"/>
  <c r="GF5" i="4" a="1"/>
  <c r="GP5" i="4" a="1"/>
  <c r="HD5" i="4" a="1"/>
  <c r="FQ5" i="4" a="1"/>
  <c r="FG8" i="4" a="1"/>
  <c r="GR9" i="4" a="1"/>
  <c r="FJ15" i="4" a="1"/>
  <c r="HH5" i="4" a="1"/>
  <c r="GM9" i="4" a="1"/>
  <c r="GP11" i="4" a="1"/>
  <c r="FG11" i="4" a="1"/>
  <c r="FG12" i="4" a="1"/>
  <c r="HF12" i="4" a="1"/>
  <c r="HE6" i="4" a="1"/>
  <c r="GY11" i="4" a="1"/>
  <c r="GV12" i="4" a="1"/>
  <c r="GU13" i="4" a="1"/>
  <c r="GW14" i="4" a="1"/>
  <c r="GR11" i="4" a="1"/>
  <c r="GU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HC13" i="4" a="1"/>
  <c r="GZ14" i="4" a="1"/>
  <c r="FK12" i="4" a="1"/>
  <c r="HF14" i="4" a="1"/>
  <c r="GV15" i="4" a="1"/>
  <c r="GT16" i="4" a="1"/>
  <c r="GD14" i="4" a="1"/>
  <c r="FY15" i="4" a="1"/>
  <c r="FW16" i="4" a="1"/>
  <c r="BC73" i="3"/>
  <c r="CL120" i="1" l="1"/>
  <c r="CL128" i="1"/>
  <c r="CH140" i="1"/>
  <c r="CI140" i="1" s="1"/>
  <c r="AA202" i="1"/>
  <c r="CL98" i="1"/>
  <c r="CL99" i="1" s="1"/>
  <c r="CL27" i="1"/>
  <c r="CL16" i="1"/>
  <c r="CO20" i="1"/>
  <c r="CS20" i="1" s="1"/>
  <c r="CH126" i="1"/>
  <c r="CI126" i="1" s="1"/>
  <c r="Z154" i="1"/>
  <c r="CH154" i="1" s="1"/>
  <c r="CL129" i="1"/>
  <c r="CL161" i="1"/>
  <c r="CL168" i="1" s="1"/>
  <c r="CL109" i="1" s="1"/>
  <c r="CL92" i="1"/>
  <c r="CL138" i="1"/>
  <c r="CL156" i="1"/>
  <c r="CL185" i="1" s="1"/>
  <c r="CL184" i="1" s="1"/>
  <c r="CL148" i="1"/>
  <c r="Y148" i="1"/>
  <c r="X148" i="1"/>
  <c r="CJ159" i="1"/>
  <c r="CJ150" i="1"/>
  <c r="KC16" i="4" s="1"/>
  <c r="JU16" i="4" s="1"/>
  <c r="JT16" i="4" s="1"/>
  <c r="KA9" i="4" s="1"/>
  <c r="CJ140" i="1"/>
  <c r="CK140" i="1" s="1"/>
  <c r="CL202" i="1" s="1"/>
  <c r="JQ9" i="4" s="1"/>
  <c r="CJ151" i="1"/>
  <c r="KE9" i="4" s="1"/>
  <c r="KD15" i="4" s="1"/>
  <c r="CJ145" i="1"/>
  <c r="CJ180" i="1" s="1"/>
  <c r="CK180" i="1" s="1"/>
  <c r="CJ117" i="1"/>
  <c r="JU9" i="4" s="1"/>
  <c r="JU21" i="4" s="1"/>
  <c r="JY9" i="4" s="1"/>
  <c r="KA16" i="4" s="1"/>
  <c r="KA21" i="4" s="1"/>
  <c r="JS16" i="4" s="1"/>
  <c r="JR16" i="4" s="1"/>
  <c r="CK73" i="1"/>
  <c r="X73" i="1"/>
  <c r="CJ143" i="1"/>
  <c r="CJ152" i="1"/>
  <c r="JZ16" i="4" s="1"/>
  <c r="KG8" i="4" s="1"/>
  <c r="CJ149" i="1"/>
  <c r="KB16" i="4" s="1"/>
  <c r="KG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H16" i="4" s="1"/>
  <c r="JS9" i="4" s="1"/>
  <c r="KG16" i="4" s="1"/>
  <c r="JY16" i="4" s="1"/>
  <c r="JW9" i="4" s="1"/>
  <c r="KD9" i="4" s="1"/>
  <c r="KF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KB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H74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X16" i="4" s="1"/>
  <c r="KE16" i="4" s="1"/>
  <c r="JW16" i="4" s="1"/>
  <c r="JW21" i="4" s="1"/>
  <c r="KA8" i="4" s="1"/>
  <c r="JQ16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V16" i="4" s="1"/>
  <c r="CJ134" i="1"/>
  <c r="CK33" i="1" s="1"/>
  <c r="CJ154" i="1"/>
  <c r="KG15" i="4" s="1"/>
  <c r="KE14" i="4" s="1"/>
  <c r="KD16" i="4" s="1"/>
  <c r="KD21" i="4" s="1"/>
  <c r="JT7" i="4" s="1"/>
  <c r="JX9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Z74" i="1"/>
  <c r="CJ153" i="1"/>
  <c r="CJ183" i="1" s="1"/>
  <c r="CK183" i="1" s="1"/>
  <c r="JT8" i="4" s="1"/>
  <c r="CJ147" i="1"/>
  <c r="Y74" i="1"/>
  <c r="CI74" i="1"/>
  <c r="Z73" i="1"/>
  <c r="CJ160" i="1"/>
  <c r="CK74" i="1"/>
  <c r="CJ142" i="1"/>
  <c r="CH73" i="1"/>
  <c r="CJ74" i="1"/>
  <c r="CJ155" i="1"/>
  <c r="CJ124" i="1"/>
  <c r="CK124" i="1" s="1"/>
  <c r="CM124" i="1" s="1"/>
  <c r="CG73" i="1"/>
  <c r="KC14" i="4" s="1"/>
  <c r="JV7" i="4" s="1"/>
  <c r="KC9" i="4" s="1"/>
  <c r="JV9" i="4" s="1"/>
  <c r="JZ9" i="4" s="1"/>
  <c r="CJ73" i="1"/>
  <c r="CG74" i="1"/>
  <c r="JZ7" i="4" s="1"/>
  <c r="CJ133" i="1"/>
  <c r="CK133" i="1" s="1"/>
  <c r="CI73" i="1"/>
  <c r="X179" i="1"/>
  <c r="Z148" i="1"/>
  <c r="AA196" i="1" s="1"/>
  <c r="CK16" i="1"/>
  <c r="CK26" i="1"/>
  <c r="CK27" i="1" s="1"/>
  <c r="CK98" i="1"/>
  <c r="CK99" i="1" s="1"/>
  <c r="Y173" i="1"/>
  <c r="X10" i="1"/>
  <c r="X183" i="1"/>
  <c r="X252" i="1"/>
  <c r="Y134" i="1"/>
  <c r="Z252" i="1"/>
  <c r="X180" i="1"/>
  <c r="Y26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Z253" i="1"/>
  <c r="Z194" i="1"/>
  <c r="Y252" i="1"/>
  <c r="Y10" i="1"/>
  <c r="Y231" i="1"/>
  <c r="Y183" i="1"/>
  <c r="CH117" i="1"/>
  <c r="Z120" i="1"/>
  <c r="CH144" i="1"/>
  <c r="Z179" i="1"/>
  <c r="Z231" i="1"/>
  <c r="Z180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JX7" i="4"/>
  <c r="CG10" i="1"/>
  <c r="CK11" i="1" s="1"/>
  <c r="Z173" i="1"/>
  <c r="Z10" i="1"/>
  <c r="X156" i="1"/>
  <c r="JW15" i="4"/>
  <c r="Y120" i="1"/>
  <c r="X128" i="1"/>
  <c r="X161" i="1"/>
  <c r="X120" i="1"/>
  <c r="X175" i="1" s="1"/>
  <c r="Y128" i="1"/>
  <c r="Z26" i="1"/>
  <c r="X26" i="1"/>
  <c r="JX8" i="4"/>
  <c r="KB8" i="4"/>
  <c r="KA7" i="4"/>
  <c r="KE7" i="4"/>
  <c r="JU15" i="4"/>
  <c r="JZ15" i="4"/>
  <c r="KE15" i="4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Z209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L19" i="1" l="1"/>
  <c r="X157" i="1"/>
  <c r="CI128" i="1"/>
  <c r="CI202" i="1"/>
  <c r="CH156" i="1"/>
  <c r="CH185" i="1" s="1"/>
  <c r="CH128" i="1"/>
  <c r="Z156" i="1"/>
  <c r="AA197" i="1" s="1"/>
  <c r="X182" i="1"/>
  <c r="Y196" i="1"/>
  <c r="Y182" i="1"/>
  <c r="CW20" i="1"/>
  <c r="DA20" i="1" s="1"/>
  <c r="JX21" i="4"/>
  <c r="KH9" i="4" s="1"/>
  <c r="JR9" i="4" s="1"/>
  <c r="JT9" i="4" s="1"/>
  <c r="Z175" i="1"/>
  <c r="AA207" i="1"/>
  <c r="AA11" i="1"/>
  <c r="AA188" i="1"/>
  <c r="AA206" i="1"/>
  <c r="AA249" i="1"/>
  <c r="AA198" i="1"/>
  <c r="AA199" i="1" s="1"/>
  <c r="JZ21" i="4"/>
  <c r="KH7" i="4" s="1"/>
  <c r="KE21" i="4"/>
  <c r="CJ131" i="1"/>
  <c r="CK131" i="1" s="1"/>
  <c r="CJ120" i="1"/>
  <c r="CJ92" i="1" s="1"/>
  <c r="CJ94" i="1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C15" i="4"/>
  <c r="JT14" i="4"/>
  <c r="JT19" i="4" s="1"/>
  <c r="KE8" i="4"/>
  <c r="KE20" i="4" s="1"/>
  <c r="JV15" i="4"/>
  <c r="KC7" i="4"/>
  <c r="KC19" i="4" s="1"/>
  <c r="Z196" i="1"/>
  <c r="CL17" i="1"/>
  <c r="CL28" i="1"/>
  <c r="CL248" i="1"/>
  <c r="CL246" i="1"/>
  <c r="CL157" i="1"/>
  <c r="CL165" i="1" s="1"/>
  <c r="CL166" i="1" s="1"/>
  <c r="CL182" i="1"/>
  <c r="KF14" i="4"/>
  <c r="CJ161" i="1"/>
  <c r="JQ15" i="4"/>
  <c r="JQ8" i="4"/>
  <c r="KG14" i="4"/>
  <c r="KF7" i="4"/>
  <c r="JR21" i="4"/>
  <c r="CL77" i="1" s="1"/>
  <c r="JX14" i="4"/>
  <c r="JX19" i="4" s="1"/>
  <c r="JR7" i="4"/>
  <c r="JQ14" i="4"/>
  <c r="JY8" i="4"/>
  <c r="KG21" i="4"/>
  <c r="JQ7" i="4"/>
  <c r="JW7" i="4"/>
  <c r="JW8" i="4"/>
  <c r="JW20" i="4" s="1"/>
  <c r="JU14" i="4"/>
  <c r="JR8" i="4"/>
  <c r="JS8" i="4"/>
  <c r="CI16" i="1"/>
  <c r="CL244" i="1"/>
  <c r="CL225" i="1"/>
  <c r="CL188" i="1"/>
  <c r="CL11" i="1"/>
  <c r="JR15" i="4"/>
  <c r="JR20" i="4" s="1"/>
  <c r="CL79" i="1" s="1"/>
  <c r="KF8" i="4"/>
  <c r="KB21" i="4"/>
  <c r="CJ138" i="1"/>
  <c r="Z182" i="1"/>
  <c r="Z181" i="1" s="1"/>
  <c r="JR14" i="4"/>
  <c r="JR19" i="4" s="1"/>
  <c r="CL78" i="1" s="1"/>
  <c r="CJ202" i="1"/>
  <c r="JS15" i="4"/>
  <c r="JS20" i="4" s="1"/>
  <c r="KC8" i="4"/>
  <c r="JS7" i="4"/>
  <c r="JU8" i="4"/>
  <c r="JU20" i="4" s="1"/>
  <c r="KG7" i="4"/>
  <c r="JZ14" i="4"/>
  <c r="JZ19" i="4" s="1"/>
  <c r="JY14" i="4"/>
  <c r="JS21" i="4"/>
  <c r="KD14" i="4"/>
  <c r="KC21" i="4"/>
  <c r="CJ148" i="1"/>
  <c r="CJ182" i="1" s="1"/>
  <c r="JU7" i="4"/>
  <c r="JU19" i="4" s="1"/>
  <c r="JV8" i="4"/>
  <c r="JV20" i="4" s="1"/>
  <c r="JY15" i="4"/>
  <c r="JY20" i="4" s="1"/>
  <c r="KH21" i="4"/>
  <c r="JZ8" i="4"/>
  <c r="JZ20" i="4" s="1"/>
  <c r="JX15" i="4"/>
  <c r="JX20" i="4" s="1"/>
  <c r="KD7" i="4"/>
  <c r="KH14" i="4"/>
  <c r="KH19" i="4" s="1"/>
  <c r="KF15" i="4"/>
  <c r="KF21" i="4"/>
  <c r="JW14" i="4"/>
  <c r="KB15" i="4"/>
  <c r="KB20" i="4" s="1"/>
  <c r="JY7" i="4"/>
  <c r="JV14" i="4"/>
  <c r="JV19" i="4" s="1"/>
  <c r="KA14" i="4"/>
  <c r="KA19" i="4" s="1"/>
  <c r="JQ21" i="4"/>
  <c r="CK77" i="1" s="1"/>
  <c r="CK102" i="1" s="1"/>
  <c r="JV21" i="4"/>
  <c r="JT15" i="4"/>
  <c r="JT20" i="4" s="1"/>
  <c r="KH8" i="4"/>
  <c r="KA15" i="4"/>
  <c r="KB7" i="4"/>
  <c r="KH15" i="4"/>
  <c r="KH20" i="4" s="1"/>
  <c r="KD8" i="4"/>
  <c r="KD20" i="4" s="1"/>
  <c r="KB14" i="4"/>
  <c r="KB19" i="4" s="1"/>
  <c r="CJ156" i="1"/>
  <c r="CJ185" i="1" s="1"/>
  <c r="CJ184" i="1" s="1"/>
  <c r="CK184" i="1" s="1"/>
  <c r="JS14" i="4"/>
  <c r="JY21" i="4"/>
  <c r="CK17" i="1"/>
  <c r="CK28" i="1"/>
  <c r="CJ128" i="1"/>
  <c r="X27" i="1"/>
  <c r="X98" i="1"/>
  <c r="X16" i="1"/>
  <c r="Y138" i="1"/>
  <c r="Y33" i="1"/>
  <c r="CH148" i="1"/>
  <c r="CH179" i="1"/>
  <c r="KA20" i="4"/>
  <c r="KG20" i="4"/>
  <c r="Z248" i="1"/>
  <c r="Z27" i="1"/>
  <c r="Y98" i="1"/>
  <c r="Y188" i="1"/>
  <c r="Y27" i="1"/>
  <c r="Y11" i="1"/>
  <c r="Y16" i="1"/>
  <c r="CI117" i="1"/>
  <c r="CH120" i="1"/>
  <c r="CH131" i="1"/>
  <c r="Z134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CK202" i="1"/>
  <c r="Y249" i="1"/>
  <c r="Y206" i="1"/>
  <c r="Y168" i="1"/>
  <c r="Y109" i="1" s="1"/>
  <c r="CK128" i="1"/>
  <c r="KE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Z185" i="1"/>
  <c r="Z157" i="1"/>
  <c r="Z197" i="1"/>
  <c r="X181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G19" i="4" l="1"/>
  <c r="Y181" i="1"/>
  <c r="KC20" i="4"/>
  <c r="JT21" i="4"/>
  <c r="AA205" i="1"/>
  <c r="KF19" i="4"/>
  <c r="JQ20" i="4"/>
  <c r="CK79" i="1" s="1"/>
  <c r="JQ19" i="4"/>
  <c r="CK78" i="1" s="1"/>
  <c r="JY19" i="4"/>
  <c r="KD19" i="4"/>
  <c r="JS19" i="4"/>
  <c r="KF20" i="4"/>
  <c r="JW19" i="4"/>
  <c r="CL31" i="1"/>
  <c r="Z198" i="1"/>
  <c r="CI17" i="1"/>
  <c r="CI28" i="1"/>
  <c r="CL29" i="1"/>
  <c r="CL250" i="1"/>
  <c r="CL232" i="1"/>
  <c r="CL233" i="1" s="1"/>
  <c r="CL34" i="1"/>
  <c r="CL38" i="1" s="1"/>
  <c r="CL181" i="1"/>
  <c r="CL186" i="1"/>
  <c r="CL102" i="1"/>
  <c r="CL94" i="1"/>
  <c r="CK209" i="1"/>
  <c r="CJ248" i="1"/>
  <c r="CJ244" i="1"/>
  <c r="CJ246" i="1"/>
  <c r="CL96" i="1"/>
  <c r="CL104" i="1"/>
  <c r="CL108" i="1"/>
  <c r="CL111" i="1" s="1"/>
  <c r="CL103" i="1"/>
  <c r="CL95" i="1"/>
  <c r="CL107" i="1"/>
  <c r="CL110" i="1" s="1"/>
  <c r="CJ129" i="1"/>
  <c r="CJ206" i="1"/>
  <c r="CL249" i="1"/>
  <c r="CL206" i="1"/>
  <c r="CJ157" i="1"/>
  <c r="CJ165" i="1" s="1"/>
  <c r="CJ166" i="1" s="1"/>
  <c r="CJ249" i="1"/>
  <c r="CK29" i="1"/>
  <c r="CK34" i="1"/>
  <c r="CK38" i="1" s="1"/>
  <c r="Y18" i="1"/>
  <c r="CH182" i="1"/>
  <c r="CH186" i="1" s="1"/>
  <c r="CH157" i="1"/>
  <c r="Y165" i="1"/>
  <c r="Y166" i="1" s="1"/>
  <c r="X28" i="1"/>
  <c r="X17" i="1"/>
  <c r="Y246" i="1"/>
  <c r="Y244" i="1"/>
  <c r="CI179" i="1"/>
  <c r="Z17" i="1"/>
  <c r="Z28" i="1"/>
  <c r="Z18" i="1"/>
  <c r="CH129" i="1"/>
  <c r="CH92" i="1"/>
  <c r="CH95" i="1" s="1"/>
  <c r="CH248" i="1"/>
  <c r="CH134" i="1"/>
  <c r="CI131" i="1"/>
  <c r="CI134" i="1" s="1"/>
  <c r="X244" i="1"/>
  <c r="X246" i="1"/>
  <c r="X165" i="1"/>
  <c r="X166" i="1" s="1"/>
  <c r="Y203" i="1"/>
  <c r="Y201" i="1" s="1"/>
  <c r="Y28" i="1"/>
  <c r="Y17" i="1"/>
  <c r="Z138" i="1"/>
  <c r="AA203" i="1" s="1"/>
  <c r="AA201" i="1" s="1"/>
  <c r="Z33" i="1"/>
  <c r="CU133" i="1"/>
  <c r="CV133" i="1" s="1"/>
  <c r="CW133" i="1" s="1"/>
  <c r="CX133" i="1" s="1"/>
  <c r="AC133" i="1"/>
  <c r="CJ96" i="1"/>
  <c r="CJ95" i="1"/>
  <c r="CG28" i="1"/>
  <c r="CG17" i="1"/>
  <c r="CK185" i="1"/>
  <c r="Y184" i="1"/>
  <c r="Y186" i="1"/>
  <c r="CI185" i="1"/>
  <c r="CI152" i="1"/>
  <c r="CM140" i="1"/>
  <c r="CJ181" i="1"/>
  <c r="CK181" i="1" s="1"/>
  <c r="CJ186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189" i="1" l="1"/>
  <c r="CK104" i="1"/>
  <c r="CK103" i="1"/>
  <c r="CK107" i="1"/>
  <c r="AA250" i="1"/>
  <c r="AA251" i="1" s="1"/>
  <c r="AA30" i="1"/>
  <c r="AA210" i="1"/>
  <c r="AA211" i="1" s="1"/>
  <c r="AA213" i="1"/>
  <c r="CK108" i="1"/>
  <c r="CI29" i="1"/>
  <c r="CI232" i="1"/>
  <c r="CI233" i="1" s="1"/>
  <c r="CI34" i="1"/>
  <c r="CL251" i="1"/>
  <c r="CL40" i="1"/>
  <c r="CL41" i="1"/>
  <c r="CK31" i="1"/>
  <c r="CL226" i="1"/>
  <c r="CL112" i="1"/>
  <c r="CH181" i="1"/>
  <c r="CI181" i="1" s="1"/>
  <c r="CK40" i="1"/>
  <c r="CK41" i="1"/>
  <c r="Y189" i="1"/>
  <c r="Y190" i="1" s="1"/>
  <c r="X232" i="1"/>
  <c r="X233" i="1" s="1"/>
  <c r="X34" i="1"/>
  <c r="X112" i="1"/>
  <c r="X29" i="1"/>
  <c r="Y30" i="1"/>
  <c r="Z250" i="1"/>
  <c r="Z251" i="1" s="1"/>
  <c r="Z34" i="1"/>
  <c r="Z112" i="1"/>
  <c r="Z29" i="1"/>
  <c r="Z232" i="1"/>
  <c r="Z233" i="1" s="1"/>
  <c r="CI33" i="1"/>
  <c r="CH138" i="1"/>
  <c r="Y250" i="1"/>
  <c r="Y251" i="1" s="1"/>
  <c r="Y112" i="1"/>
  <c r="Y34" i="1"/>
  <c r="Y29" i="1"/>
  <c r="Y232" i="1"/>
  <c r="Y233" i="1" s="1"/>
  <c r="Z30" i="1"/>
  <c r="CY133" i="1"/>
  <c r="CZ133" i="1" s="1"/>
  <c r="DA133" i="1" s="1"/>
  <c r="DB133" i="1" s="1"/>
  <c r="AE133" i="1" s="1"/>
  <c r="AD133" i="1"/>
  <c r="CG34" i="1"/>
  <c r="CG38" i="1" s="1"/>
  <c r="CG29" i="1"/>
  <c r="CG232" i="1"/>
  <c r="CG233" i="1" s="1"/>
  <c r="CK30" i="1"/>
  <c r="CI250" i="1"/>
  <c r="CI251" i="1" s="1"/>
  <c r="CK112" i="1"/>
  <c r="Z189" i="1"/>
  <c r="Z190" i="1" s="1"/>
  <c r="CH94" i="1"/>
  <c r="CH96" i="1"/>
  <c r="CJ33" i="1"/>
  <c r="CI138" i="1"/>
  <c r="CJ203" i="1" s="1"/>
  <c r="CJ201" i="1" s="1"/>
  <c r="Z203" i="1"/>
  <c r="Z201" i="1" s="1"/>
  <c r="Z165" i="1"/>
  <c r="Z166" i="1" s="1"/>
  <c r="Z246" i="1"/>
  <c r="Z244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I41" i="1" s="1"/>
  <c r="CL44" i="1"/>
  <c r="CI40" i="1"/>
  <c r="CL234" i="1"/>
  <c r="CL48" i="1"/>
  <c r="CL42" i="1"/>
  <c r="CL245" i="1" s="1"/>
  <c r="CL113" i="1"/>
  <c r="CL114" i="1"/>
  <c r="CI182" i="1"/>
  <c r="CI146" i="1"/>
  <c r="CJ38" i="1"/>
  <c r="CJ41" i="1" s="1"/>
  <c r="CL55" i="1"/>
  <c r="CK42" i="1"/>
  <c r="CK48" i="1"/>
  <c r="CG41" i="1"/>
  <c r="CG40" i="1"/>
  <c r="X38" i="1"/>
  <c r="X41" i="1" s="1"/>
  <c r="X55" i="1"/>
  <c r="Z38" i="1"/>
  <c r="Z55" i="1"/>
  <c r="CH165" i="1"/>
  <c r="CH166" i="1" s="1"/>
  <c r="CI203" i="1"/>
  <c r="CI201" i="1" s="1"/>
  <c r="CH246" i="1"/>
  <c r="Y38" i="1"/>
  <c r="Y40" i="1" s="1"/>
  <c r="Y55" i="1"/>
  <c r="CN202" i="1"/>
  <c r="CO140" i="1"/>
  <c r="CH40" i="1"/>
  <c r="CH41" i="1"/>
  <c r="CL43" i="1" s="1"/>
  <c r="CN184" i="1"/>
  <c r="CM185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L227" i="1" l="1"/>
  <c r="CI42" i="1"/>
  <c r="CI245" i="1" s="1"/>
  <c r="CI234" i="1"/>
  <c r="CI48" i="1"/>
  <c r="CJ40" i="1"/>
  <c r="CG234" i="1"/>
  <c r="CG48" i="1"/>
  <c r="CL66" i="1"/>
  <c r="CL193" i="1"/>
  <c r="CL195" i="1" s="1"/>
  <c r="CL52" i="1"/>
  <c r="CK43" i="1"/>
  <c r="CG42" i="1"/>
  <c r="CG245" i="1" s="1"/>
  <c r="CI119" i="1"/>
  <c r="X40" i="1"/>
  <c r="CK52" i="1"/>
  <c r="CK66" i="1"/>
  <c r="Y41" i="1"/>
  <c r="Z41" i="1"/>
  <c r="Z40" i="1"/>
  <c r="CP140" i="1"/>
  <c r="CP202" i="1" s="1"/>
  <c r="CO202" i="1"/>
  <c r="CJ227" i="1"/>
  <c r="CI44" i="1"/>
  <c r="CJ44" i="1"/>
  <c r="CJ42" i="1"/>
  <c r="CJ245" i="1" s="1"/>
  <c r="CJ234" i="1"/>
  <c r="CJ48" i="1"/>
  <c r="CL54" i="1" s="1"/>
  <c r="CK44" i="1"/>
  <c r="CK132" i="1"/>
  <c r="CK194" i="1"/>
  <c r="CH44" i="1"/>
  <c r="CH48" i="1"/>
  <c r="CH42" i="1"/>
  <c r="CH245" i="1" s="1"/>
  <c r="CH234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X13" i="3"/>
  <c r="AT33" i="3"/>
  <c r="ES5" i="4" a="1"/>
  <c r="EO12" i="4" a="1"/>
  <c r="EP11" i="4" a="1"/>
  <c r="ES12" i="4" a="1"/>
  <c r="EL12" i="4" a="1"/>
  <c r="EV11" i="4" a="1"/>
  <c r="ET15" i="4" a="1"/>
  <c r="EL13" i="4" a="1"/>
  <c r="AF32" i="3"/>
  <c r="AX6" i="6" a="1"/>
  <c r="AZ20" i="3"/>
  <c r="AT23" i="3"/>
  <c r="E6" i="6" a="1"/>
  <c r="AF36" i="3"/>
  <c r="AW38" i="3"/>
  <c r="AX11" i="3"/>
  <c r="S6" i="6" a="1"/>
  <c r="X6" i="6" a="1"/>
  <c r="EP5" i="4" a="1"/>
  <c r="EU15" i="4" a="1"/>
  <c r="EV5" i="4" a="1"/>
  <c r="ES11" i="4" a="1"/>
  <c r="P5" i="6" a="1"/>
  <c r="AV6" i="3"/>
  <c r="AW5" i="3"/>
  <c r="AY14" i="3"/>
  <c r="AY22" i="3"/>
  <c r="AX19" i="3"/>
  <c r="AP5" i="3"/>
  <c r="AF12" i="3"/>
  <c r="AU35" i="3"/>
  <c r="AP6" i="3"/>
  <c r="AF14" i="3"/>
  <c r="G6" i="6" a="1"/>
  <c r="AY41" i="3"/>
  <c r="EU12" i="4" a="1"/>
  <c r="EW14" i="4" a="1"/>
  <c r="AT13" i="3"/>
  <c r="P6" i="6" a="1"/>
  <c r="AT25" i="3"/>
  <c r="AW36" i="3"/>
  <c r="AW9" i="3"/>
  <c r="EP14" i="4" a="1"/>
  <c r="Q6" i="6" a="1"/>
  <c r="N5" i="6" a="1"/>
  <c r="AT5" i="3"/>
  <c r="AV24" i="3"/>
  <c r="AU11" i="3"/>
  <c r="AX15" i="3"/>
  <c r="AS14" i="3"/>
  <c r="U5" i="6" a="1"/>
  <c r="AT42" i="3"/>
  <c r="AS20" i="3"/>
  <c r="AN6" i="6" a="1"/>
  <c r="AS26" i="3"/>
  <c r="AS30" i="3"/>
  <c r="EL9" i="4" a="1"/>
  <c r="AX22" i="3"/>
  <c r="AT40" i="3"/>
  <c r="AX25" i="3"/>
  <c r="C6" i="6" a="1"/>
  <c r="N6" i="6" a="1"/>
  <c r="AF18" i="3"/>
  <c r="AV9" i="3"/>
  <c r="AD5" i="6" a="1"/>
  <c r="AX14" i="3"/>
  <c r="AL6" i="6" a="1"/>
  <c r="AS21" i="3"/>
  <c r="EN13" i="4" a="1"/>
  <c r="EU13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X5" i="6" a="1"/>
  <c r="AW15" i="3"/>
  <c r="EL6" i="4" a="1"/>
  <c r="EU7" i="4" a="1"/>
  <c r="ER7" i="4" a="1"/>
  <c r="ER6" i="4" a="1"/>
  <c r="EM6" i="4" a="1"/>
  <c r="ES13" i="4" a="1"/>
  <c r="EL14" i="4" a="1"/>
  <c r="AW16" i="3"/>
  <c r="AZ10" i="3"/>
  <c r="AU29" i="3"/>
  <c r="AY18" i="3"/>
  <c r="AY11" i="3"/>
  <c r="AY16" i="3"/>
  <c r="AV15" i="3"/>
  <c r="ER13" i="4" a="1"/>
  <c r="AY45" i="3"/>
  <c r="AU38" i="3"/>
  <c r="AO5" i="6" a="1"/>
  <c r="AF20" i="3"/>
  <c r="AY10" i="3"/>
  <c r="AW14" i="3"/>
  <c r="AT9" i="3"/>
  <c r="AV22" i="3"/>
  <c r="AT18" i="3"/>
  <c r="W6" i="6" a="1"/>
  <c r="AV32" i="3"/>
  <c r="AS5" i="3"/>
  <c r="EO14" i="4" a="1"/>
  <c r="ES15" i="4" a="1"/>
  <c r="ES7" i="4" a="1"/>
  <c r="EO11" i="4" a="1"/>
  <c r="AV21" i="3"/>
  <c r="AT37" i="3"/>
  <c r="AF21" i="3"/>
  <c r="AX17" i="3"/>
  <c r="AW35" i="3"/>
  <c r="AS19" i="3"/>
  <c r="AY36" i="3"/>
  <c r="AF13" i="3"/>
  <c r="EU9" i="4" a="1"/>
  <c r="AT20" i="3"/>
  <c r="AY32" i="3"/>
  <c r="AB5" i="3"/>
  <c r="AW22" i="3"/>
  <c r="AT15" i="3"/>
  <c r="AU33" i="3"/>
  <c r="AS6" i="6" a="1"/>
  <c r="AQ5" i="6" a="1"/>
  <c r="AW26" i="3"/>
  <c r="AU9" i="3"/>
  <c r="AG6" i="6" a="1"/>
  <c r="AX40" i="3"/>
  <c r="AF6" i="3"/>
  <c r="AW19" i="3"/>
  <c r="AT36" i="3"/>
  <c r="EP13" i="4" a="1"/>
  <c r="EV12" i="4" a="1"/>
  <c r="AV5" i="6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F9" i="3"/>
  <c r="AU6" i="3"/>
  <c r="AV36" i="3"/>
  <c r="AX8" i="3"/>
  <c r="AZ29" i="3"/>
  <c r="EM15" i="4" a="1"/>
  <c r="AS39" i="3"/>
  <c r="AY20" i="3"/>
  <c r="AW41" i="3"/>
  <c r="AF22" i="3"/>
  <c r="EQ11" i="4" a="1"/>
  <c r="EL16" i="4" a="1"/>
  <c r="EO5" i="4" a="1"/>
  <c r="ET7" i="4" a="1"/>
  <c r="AZ18" i="3"/>
  <c r="AX16" i="3"/>
  <c r="V5" i="6" a="1"/>
  <c r="AY31" i="3"/>
  <c r="AK6" i="6" a="1"/>
  <c r="AV17" i="3"/>
  <c r="AW32" i="3"/>
  <c r="AS10" i="3"/>
  <c r="EQ15" i="4" a="1"/>
  <c r="EM12" i="4" a="1"/>
  <c r="AX36" i="3"/>
  <c r="AZ14" i="3"/>
  <c r="AT14" i="3"/>
  <c r="AV30" i="3"/>
  <c r="AS38" i="3"/>
  <c r="F6" i="6" a="1"/>
  <c r="AU14" i="3"/>
  <c r="T6" i="6" a="1"/>
  <c r="AV19" i="3"/>
  <c r="AZ13" i="3"/>
  <c r="AR5" i="6" a="1"/>
  <c r="EU11" i="4" a="1"/>
  <c r="EW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O6" i="4" a="1"/>
  <c r="EQ8" i="4" a="1"/>
  <c r="EW9" i="4" a="1"/>
  <c r="EV16" i="4" a="1"/>
  <c r="AA5" i="6" a="1"/>
  <c r="AF41" i="3"/>
  <c r="Q5" i="6" a="1"/>
  <c r="AU13" i="3"/>
  <c r="AY19" i="3"/>
  <c r="AT16" i="3"/>
  <c r="S5" i="6" a="1"/>
  <c r="AZ30" i="3"/>
  <c r="AV28" i="3"/>
  <c r="AY34" i="3"/>
  <c r="AZ38" i="3"/>
  <c r="Y6" i="6" a="1"/>
  <c r="EQ16" i="4" a="1"/>
  <c r="C5" i="4" a="1"/>
  <c r="EQ14" i="4" a="1"/>
  <c r="ET13" i="4" a="1"/>
  <c r="AW6" i="6" a="1"/>
  <c r="AS36" i="3"/>
  <c r="AT45" i="3"/>
  <c r="AW8" i="3"/>
  <c r="AW25" i="3"/>
  <c r="ES14" i="4" a="1"/>
  <c r="EM16" i="4" a="1"/>
  <c r="AX33" i="3"/>
  <c r="AV37" i="3"/>
  <c r="EP8" i="4" a="1"/>
  <c r="EN8" i="4" a="1"/>
  <c r="AU18" i="3"/>
  <c r="AY26" i="3"/>
  <c r="AR6" i="3"/>
  <c r="AU39" i="3"/>
  <c r="AU21" i="3"/>
  <c r="AW34" i="3"/>
  <c r="AF7" i="3"/>
  <c r="AV31" i="3"/>
  <c r="AV6" i="6" a="1"/>
  <c r="EW15" i="4" a="1"/>
  <c r="ER5" i="4" a="1"/>
  <c r="EN11" i="4" a="1"/>
  <c r="ER9" i="4" a="1"/>
  <c r="AK5" i="6" a="1"/>
  <c r="AS17" i="3"/>
  <c r="AY9" i="3"/>
  <c r="AT12" i="3"/>
  <c r="AW24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Z5" i="6" a="1"/>
  <c r="AF46" i="3"/>
  <c r="AA6" i="6" a="1"/>
  <c r="AR5" i="3"/>
  <c r="AZ27" i="3"/>
  <c r="AF23" i="3"/>
  <c r="AU30" i="3"/>
  <c r="X5" i="6" a="1"/>
  <c r="AF17" i="3"/>
  <c r="ER16" i="4" a="1"/>
  <c r="EP12" i="4" a="1"/>
  <c r="EM11" i="4" a="1"/>
  <c r="ES16" i="4" a="1"/>
  <c r="EM14" i="4" a="1"/>
  <c r="ET8" i="4" a="1"/>
  <c r="EM13" i="4" a="1"/>
  <c r="EV9" i="4" a="1"/>
  <c r="AS46" i="3"/>
  <c r="AV33" i="3"/>
  <c r="AY28" i="3"/>
  <c r="AF28" i="3"/>
  <c r="AT6" i="3"/>
  <c r="EW12" i="4" a="1"/>
  <c r="EQ5" i="4" a="1"/>
  <c r="EO13" i="4" a="1"/>
  <c r="AY46" i="3"/>
  <c r="AT22" i="3"/>
  <c r="H5" i="6" a="1"/>
  <c r="AW33" i="3"/>
  <c r="AP5" i="6" a="1"/>
  <c r="EQ9" i="4" a="1"/>
  <c r="EL5" i="4" a="1"/>
  <c r="R5" i="6" a="1"/>
  <c r="AS15" i="3"/>
  <c r="AX7" i="3"/>
  <c r="AY33" i="3"/>
  <c r="AZ35" i="3"/>
  <c r="AV14" i="3"/>
  <c r="U6" i="6" a="1"/>
  <c r="AV41" i="3"/>
  <c r="AS32" i="3"/>
  <c r="AT11" i="3"/>
  <c r="AH6" i="6" a="1"/>
  <c r="ET16" i="4" a="1"/>
  <c r="EL11" i="4" a="1"/>
  <c r="EV6" i="4" a="1"/>
  <c r="ET5" i="4" a="1"/>
  <c r="K6" i="6" a="1"/>
  <c r="AZ28" i="3"/>
  <c r="AW27" i="3"/>
  <c r="AG5" i="6" a="1"/>
  <c r="AR7" i="3"/>
  <c r="AX10" i="3"/>
  <c r="AU24" i="3"/>
  <c r="AF8" i="3"/>
  <c r="AU32" i="3"/>
  <c r="AU31" i="3"/>
  <c r="AZ40" i="3"/>
  <c r="EQ13" i="4" a="1"/>
  <c r="EW13" i="4" a="1"/>
  <c r="EL15" i="4" a="1"/>
  <c r="AZ6" i="3"/>
  <c r="AJ6" i="6" a="1"/>
  <c r="AS35" i="3"/>
  <c r="AV39" i="3"/>
  <c r="AY5" i="3"/>
  <c r="AS40" i="3"/>
  <c r="AW42" i="3"/>
  <c r="AE5" i="6" a="1"/>
  <c r="AS33" i="3"/>
  <c r="M5" i="6" a="1"/>
  <c r="C6" i="4" a="1"/>
  <c r="EP6" i="4" a="1"/>
  <c r="ER15" i="4" a="1"/>
  <c r="EW11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AF5" i="3"/>
  <c r="AY12" i="3"/>
  <c r="AY21" i="3"/>
  <c r="AZ12" i="3"/>
  <c r="AF27" i="3"/>
  <c r="AT30" i="3"/>
  <c r="AX39" i="3"/>
  <c r="AZ9" i="3"/>
  <c r="AO6" i="6" a="1"/>
  <c r="AT32" i="3"/>
  <c r="L5" i="6" a="1"/>
  <c r="AZ32" i="3"/>
  <c r="AZ26" i="3"/>
  <c r="AM5" i="6" a="1"/>
  <c r="EQ12" i="4" a="1"/>
  <c r="AU5" i="6" a="1"/>
  <c r="AS12" i="3"/>
  <c r="AS7" i="3"/>
  <c r="AU36" i="3"/>
  <c r="AP6" i="6" a="1"/>
  <c r="AY27" i="3"/>
  <c r="W5" i="6" a="1"/>
  <c r="AH5" i="6" a="1"/>
  <c r="AF33" i="3"/>
  <c r="AT34" i="3"/>
  <c r="AS42" i="3"/>
  <c r="EN14" i="4" a="1"/>
  <c r="EU16" i="4" a="1"/>
  <c r="EL7" i="4" a="1"/>
  <c r="AW11" i="3"/>
  <c r="H6" i="6" a="1"/>
  <c r="AW7" i="3"/>
  <c r="AV16" i="3"/>
  <c r="AU8" i="3"/>
  <c r="AS27" i="3"/>
  <c r="EP9" i="4" a="1"/>
  <c r="ES6" i="4" a="1"/>
  <c r="EP7" i="4" a="1"/>
  <c r="AY6" i="6" a="1"/>
  <c r="AX28" i="3"/>
  <c r="AT46" i="3"/>
  <c r="AT41" i="3"/>
  <c r="V6" i="6" a="1"/>
  <c r="EU8" i="4" a="1"/>
  <c r="EN15" i="4" a="1"/>
  <c r="AX12" i="3"/>
  <c r="AF35" i="3"/>
  <c r="AZ36" i="3"/>
  <c r="AT21" i="3"/>
  <c r="AS37" i="3"/>
  <c r="AV5" i="3"/>
  <c r="AZ45" i="3"/>
  <c r="AY38" i="3"/>
  <c r="AC5" i="6" a="1"/>
  <c r="ER8" i="4" a="1"/>
  <c r="EV8" i="4" a="1"/>
  <c r="AX29" i="3"/>
  <c r="AW18" i="3"/>
  <c r="AX37" i="3"/>
  <c r="EW16" i="4" a="1"/>
  <c r="EL8" i="4" a="1"/>
  <c r="EV14" i="4" a="1"/>
  <c r="Z42" i="1" l="1"/>
  <c r="Z245" i="1" s="1"/>
  <c r="AA43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Z48" i="1"/>
  <c r="Z234" i="1"/>
  <c r="CQ140" i="1"/>
  <c r="CJ66" i="1"/>
  <c r="CL69" i="1" s="1"/>
  <c r="CJ193" i="1"/>
  <c r="CJ195" i="1" s="1"/>
  <c r="CJ52" i="1"/>
  <c r="CK138" i="1"/>
  <c r="CJ54" i="1"/>
  <c r="CH193" i="1"/>
  <c r="CH195" i="1" s="1"/>
  <c r="CH66" i="1"/>
  <c r="CK69" i="1" s="1"/>
  <c r="CH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W70" i="3"/>
  <c r="AW58" i="3"/>
  <c r="AZ54" i="3"/>
  <c r="AT87" i="3"/>
  <c r="AX63" i="3"/>
  <c r="AY68" i="3"/>
  <c r="AV77" i="3"/>
  <c r="AS67" i="3"/>
  <c r="AY76" i="3"/>
  <c r="AU95" i="3"/>
  <c r="AT59" i="3"/>
  <c r="AX74" i="3"/>
  <c r="AF86" i="3"/>
  <c r="AX66" i="3"/>
  <c r="AS73" i="3"/>
  <c r="AU72" i="3"/>
  <c r="AT71" i="3"/>
  <c r="AX89" i="3"/>
  <c r="AW49" i="3"/>
  <c r="AW94" i="3"/>
  <c r="AV75" i="3"/>
  <c r="AT77" i="3"/>
  <c r="AX54" i="3"/>
  <c r="AY66" i="3"/>
  <c r="AF72" i="3"/>
  <c r="AX48" i="3"/>
  <c r="AW97" i="3"/>
  <c r="AZ94" i="3"/>
  <c r="AY72" i="3"/>
  <c r="AW86" i="3"/>
  <c r="AT80" i="3"/>
  <c r="AY82" i="3"/>
  <c r="AX68" i="3"/>
  <c r="AX50" i="3"/>
  <c r="AZ73" i="3"/>
  <c r="AT69" i="3"/>
  <c r="AZ88" i="3"/>
  <c r="AY87" i="3"/>
  <c r="AZ61" i="3"/>
  <c r="AW69" i="3"/>
  <c r="AV55" i="3"/>
  <c r="AF69" i="3"/>
  <c r="C94" i="3"/>
  <c r="AV85" i="3"/>
  <c r="AF85" i="3"/>
  <c r="AX58" i="3"/>
  <c r="AY48" i="3"/>
  <c r="AZ71" i="3"/>
  <c r="AY56" i="3"/>
  <c r="AW77" i="3"/>
  <c r="AU91" i="3"/>
  <c r="AZ93" i="3"/>
  <c r="AW74" i="3"/>
  <c r="AV97" i="3"/>
  <c r="AU77" i="3"/>
  <c r="AY85" i="3"/>
  <c r="AV84" i="3"/>
  <c r="C89" i="3"/>
  <c r="AW61" i="3"/>
  <c r="AS77" i="3"/>
  <c r="AU89" i="3"/>
  <c r="AF54" i="3"/>
  <c r="AY81" i="3"/>
  <c r="AX85" i="3"/>
  <c r="AX96" i="3"/>
  <c r="AZ89" i="3"/>
  <c r="AT68" i="3"/>
  <c r="AV82" i="3"/>
  <c r="AY50" i="3"/>
  <c r="AZ97" i="3"/>
  <c r="AV71" i="3"/>
  <c r="AS93" i="3"/>
  <c r="AU63" i="3"/>
  <c r="AT86" i="3"/>
  <c r="AX62" i="3"/>
  <c r="AT63" i="3"/>
  <c r="AF78" i="3"/>
  <c r="AZ47" i="3"/>
  <c r="AX56" i="3"/>
  <c r="AZ63" i="3"/>
  <c r="AF81" i="3"/>
  <c r="AY49" i="3"/>
  <c r="AZ79" i="3"/>
  <c r="C97" i="3"/>
  <c r="AX88" i="3"/>
  <c r="AX79" i="3"/>
  <c r="AZ62" i="3"/>
  <c r="AT78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F80" i="3"/>
  <c r="AX81" i="3"/>
  <c r="AY62" i="3"/>
  <c r="AS58" i="3"/>
  <c r="AU80" i="3"/>
  <c r="C93" i="3"/>
  <c r="AX49" i="3"/>
  <c r="AS86" i="3"/>
  <c r="AX84" i="3"/>
  <c r="AW75" i="3"/>
  <c r="AW76" i="3"/>
  <c r="AY94" i="3"/>
  <c r="AS83" i="3"/>
  <c r="AT96" i="3"/>
  <c r="AW96" i="3"/>
  <c r="AW63" i="3"/>
  <c r="AY55" i="3"/>
  <c r="AZ84" i="3"/>
  <c r="AY71" i="3"/>
  <c r="AW89" i="3"/>
  <c r="AF49" i="3"/>
  <c r="AY61" i="3"/>
  <c r="AX73" i="3"/>
  <c r="AX55" i="3"/>
  <c r="AZ92" i="3"/>
  <c r="AU82" i="3"/>
  <c r="C60" i="3"/>
  <c r="AS85" i="3"/>
  <c r="AV83" i="3"/>
  <c r="AV57" i="3"/>
  <c r="C91" i="3"/>
  <c r="AU54" i="3"/>
  <c r="AT70" i="3"/>
  <c r="AZ69" i="3"/>
  <c r="AW59" i="3"/>
  <c r="AW48" i="3"/>
  <c r="AV64" i="3"/>
  <c r="AU73" i="3"/>
  <c r="AV81" i="3"/>
  <c r="AS76" i="3"/>
  <c r="AF93" i="3"/>
  <c r="C70" i="3"/>
  <c r="AX69" i="3"/>
  <c r="C56" i="3"/>
  <c r="AU47" i="3"/>
  <c r="AT84" i="3"/>
  <c r="AF58" i="3"/>
  <c r="AT49" i="3"/>
  <c r="AW54" i="3"/>
  <c r="AV89" i="3"/>
  <c r="C90" i="3"/>
  <c r="AU58" i="3"/>
  <c r="AT92" i="3"/>
  <c r="AZ82" i="3"/>
  <c r="C77" i="3"/>
  <c r="AX67" i="3"/>
  <c r="C67" i="3"/>
  <c r="AZ49" i="3"/>
  <c r="AT65" i="3"/>
  <c r="AX75" i="3"/>
  <c r="AY73" i="3"/>
  <c r="AF57" i="3"/>
  <c r="AZ78" i="3"/>
  <c r="AF77" i="3"/>
  <c r="AW82" i="3"/>
  <c r="AF68" i="3"/>
  <c r="AT66" i="3"/>
  <c r="C68" i="3"/>
  <c r="AZ85" i="3"/>
  <c r="AT72" i="3"/>
  <c r="AW64" i="3"/>
  <c r="AW47" i="3"/>
  <c r="AS78" i="3"/>
  <c r="AU88" i="3"/>
  <c r="C72" i="3"/>
  <c r="AU85" i="3"/>
  <c r="C55" i="3"/>
  <c r="AW62" i="3"/>
  <c r="AW87" i="3"/>
  <c r="AF60" i="3"/>
  <c r="AV87" i="3"/>
  <c r="AY75" i="3"/>
  <c r="C54" i="3"/>
  <c r="AF88" i="3"/>
  <c r="AS90" i="3"/>
  <c r="AU70" i="3"/>
  <c r="AT73" i="3"/>
  <c r="AS92" i="3"/>
  <c r="AT47" i="3"/>
  <c r="AW93" i="3"/>
  <c r="AW92" i="3"/>
  <c r="AV91" i="3"/>
  <c r="AU84" i="3"/>
  <c r="AS75" i="3"/>
  <c r="AU48" i="3"/>
  <c r="C76" i="3"/>
  <c r="AF73" i="3"/>
  <c r="AW81" i="3"/>
  <c r="AU50" i="3"/>
  <c r="AS48" i="3"/>
  <c r="AU67" i="3"/>
  <c r="AZ96" i="3"/>
  <c r="AX72" i="3"/>
  <c r="AZ59" i="3"/>
  <c r="AT62" i="3"/>
  <c r="AY92" i="3"/>
  <c r="AY77" i="3"/>
  <c r="AX78" i="3"/>
  <c r="AY86" i="3"/>
  <c r="AX59" i="3"/>
  <c r="AY91" i="3"/>
  <c r="C58" i="3"/>
  <c r="AU83" i="3"/>
  <c r="C64" i="3"/>
  <c r="C84" i="3"/>
  <c r="AY90" i="3"/>
  <c r="AF97" i="3"/>
  <c r="AS96" i="3"/>
  <c r="AU79" i="3"/>
  <c r="AZ66" i="3"/>
  <c r="AS81" i="3"/>
  <c r="AU55" i="3"/>
  <c r="AT50" i="3"/>
  <c r="C87" i="3"/>
  <c r="C92" i="3"/>
  <c r="AX61" i="3"/>
  <c r="AV80" i="3"/>
  <c r="AV50" i="3"/>
  <c r="AY74" i="3"/>
  <c r="C65" i="3"/>
  <c r="AU87" i="3"/>
  <c r="AS55" i="3"/>
  <c r="AZ58" i="3"/>
  <c r="AZ87" i="3"/>
  <c r="AZ56" i="3"/>
  <c r="AU90" i="3"/>
  <c r="AU78" i="3"/>
  <c r="AF63" i="3"/>
  <c r="AU75" i="3"/>
  <c r="AF62" i="3"/>
  <c r="AS94" i="3"/>
  <c r="AZ68" i="3"/>
  <c r="AY80" i="3"/>
  <c r="AF84" i="3"/>
  <c r="AU64" i="3"/>
  <c r="AF61" i="3"/>
  <c r="AX60" i="3"/>
  <c r="AU71" i="3"/>
  <c r="C57" i="3"/>
  <c r="C75" i="3"/>
  <c r="AY63" i="3"/>
  <c r="AV48" i="3"/>
  <c r="AF71" i="3"/>
  <c r="AV63" i="3"/>
  <c r="AT93" i="3"/>
  <c r="AV56" i="3"/>
  <c r="AW88" i="3"/>
  <c r="AY59" i="3"/>
  <c r="C63" i="3"/>
  <c r="AT95" i="3"/>
  <c r="AW73" i="3"/>
  <c r="C50" i="3"/>
  <c r="AX87" i="3"/>
  <c r="AS64" i="3"/>
  <c r="AT55" i="3"/>
  <c r="C81" i="3"/>
  <c r="AX86" i="3"/>
  <c r="AX83" i="3"/>
  <c r="C61" i="3"/>
  <c r="AX82" i="3"/>
  <c r="AF76" i="3"/>
  <c r="AT81" i="3"/>
  <c r="C96" i="3"/>
  <c r="AV58" i="3"/>
  <c r="C80" i="3"/>
  <c r="AY54" i="3"/>
  <c r="AX64" i="3"/>
  <c r="AF95" i="3"/>
  <c r="AV92" i="3"/>
  <c r="AZ48" i="3"/>
  <c r="AX94" i="3"/>
  <c r="AU76" i="3"/>
  <c r="AY84" i="3"/>
  <c r="AZ55" i="3"/>
  <c r="AW66" i="3"/>
  <c r="AZ60" i="3"/>
  <c r="AF66" i="3"/>
  <c r="AZ75" i="3"/>
  <c r="AZ91" i="3"/>
  <c r="AZ67" i="3"/>
  <c r="AU74" i="3"/>
  <c r="AF83" i="3"/>
  <c r="AS70" i="3"/>
  <c r="AF82" i="3"/>
  <c r="AS54" i="3"/>
  <c r="C71" i="3"/>
  <c r="AY58" i="3"/>
  <c r="AF92" i="3"/>
  <c r="AW79" i="3"/>
  <c r="AY69" i="3"/>
  <c r="AZ57" i="3"/>
  <c r="AV76" i="3"/>
  <c r="AU69" i="3"/>
  <c r="AT85" i="3"/>
  <c r="AV86" i="3"/>
  <c r="C74" i="3"/>
  <c r="AW55" i="3"/>
  <c r="AS89" i="3"/>
  <c r="AU57" i="3"/>
  <c r="AT83" i="3"/>
  <c r="AX70" i="3"/>
  <c r="AT79" i="3"/>
  <c r="AS88" i="3"/>
  <c r="AY96" i="3"/>
  <c r="AF59" i="3"/>
  <c r="C83" i="3"/>
  <c r="AT56" i="3"/>
  <c r="C73" i="3"/>
  <c r="AV96" i="3"/>
  <c r="AT61" i="3"/>
  <c r="AT54" i="3"/>
  <c r="AS69" i="3"/>
  <c r="AW90" i="3"/>
  <c r="AY57" i="3"/>
  <c r="AV49" i="3"/>
  <c r="AS65" i="3"/>
  <c r="AV67" i="3"/>
  <c r="AT91" i="3"/>
  <c r="AT75" i="3"/>
  <c r="AS60" i="3"/>
  <c r="AX97" i="3"/>
  <c r="AV62" i="3"/>
  <c r="AV94" i="3"/>
  <c r="AZ74" i="3"/>
  <c r="C59" i="3"/>
  <c r="AV66" i="3"/>
  <c r="AF90" i="3"/>
  <c r="AF67" i="3"/>
  <c r="AS61" i="3"/>
  <c r="AU49" i="3"/>
  <c r="AW71" i="3"/>
  <c r="AF65" i="3"/>
  <c r="AF64" i="3"/>
  <c r="AT88" i="3"/>
  <c r="AY67" i="3"/>
  <c r="C78" i="3"/>
  <c r="AT94" i="3"/>
  <c r="AF75" i="3"/>
  <c r="AZ90" i="3"/>
  <c r="AF55" i="3"/>
  <c r="AU81" i="3"/>
  <c r="AW67" i="3"/>
  <c r="AV90" i="3"/>
  <c r="AW95" i="3"/>
  <c r="AV72" i="3"/>
  <c r="AF47" i="3"/>
  <c r="AS63" i="3"/>
  <c r="AS56" i="3"/>
  <c r="C79" i="3"/>
  <c r="AT90" i="3"/>
  <c r="AF96" i="3"/>
  <c r="AW83" i="3"/>
  <c r="AF79" i="3"/>
  <c r="AS50" i="3"/>
  <c r="AX57" i="3"/>
  <c r="AU62" i="3"/>
  <c r="AS62" i="3"/>
  <c r="AU61" i="3"/>
  <c r="AV95" i="3"/>
  <c r="AS97" i="3"/>
  <c r="AT64" i="3"/>
  <c r="AW50" i="3"/>
  <c r="AV79" i="3"/>
  <c r="AY60" i="3"/>
  <c r="AZ95" i="3"/>
  <c r="AW80" i="3"/>
  <c r="AZ72" i="3"/>
  <c r="AT57" i="3"/>
  <c r="AW84" i="3"/>
  <c r="AV61" i="3"/>
  <c r="AS59" i="3"/>
  <c r="AU65" i="3"/>
  <c r="AU68" i="3"/>
  <c r="C88" i="3"/>
  <c r="AV68" i="3"/>
  <c r="AW65" i="3"/>
  <c r="AV93" i="3"/>
  <c r="AV69" i="3"/>
  <c r="C95" i="3"/>
  <c r="AF70" i="3"/>
  <c r="AZ77" i="3"/>
  <c r="AT60" i="3"/>
  <c r="AW68" i="3"/>
  <c r="AZ76" i="3"/>
  <c r="AX47" i="3"/>
  <c r="AS80" i="3"/>
  <c r="AZ81" i="3"/>
  <c r="AS71" i="3"/>
  <c r="AX95" i="3"/>
  <c r="AF89" i="3"/>
  <c r="AU93" i="3"/>
  <c r="AS95" i="3"/>
  <c r="AY95" i="3"/>
  <c r="AF74" i="3"/>
  <c r="AZ50" i="3"/>
  <c r="C69" i="3"/>
  <c r="AU94" i="3"/>
  <c r="CQ202" i="1" l="1"/>
  <c r="CR140" i="1"/>
  <c r="CL85" i="1"/>
  <c r="CL86" i="1"/>
  <c r="CL87" i="1"/>
  <c r="CM131" i="1"/>
  <c r="CN131" i="1" s="1"/>
  <c r="CO131" i="1" s="1"/>
  <c r="CP131" i="1" s="1"/>
  <c r="CK203" i="1"/>
  <c r="CK201" i="1" s="1"/>
  <c r="CL203" i="1"/>
  <c r="CL201" i="1" s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R202" i="1" l="1"/>
  <c r="CS140" i="1"/>
  <c r="AB131" i="1"/>
  <c r="CQ131" i="1"/>
  <c r="CR131" i="1" s="1"/>
  <c r="CS131" i="1" s="1"/>
  <c r="CT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202" i="1"/>
  <c r="CT140" i="1"/>
  <c r="CT202" i="1" s="1"/>
  <c r="AC131" i="1"/>
  <c r="CU131" i="1"/>
  <c r="CV131" i="1" s="1"/>
  <c r="CW131" i="1" s="1"/>
  <c r="CX131" i="1" s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226" i="1" l="1"/>
  <c r="CU140" i="1"/>
  <c r="CF30" i="1"/>
  <c r="AD131" i="1"/>
  <c r="CY131" i="1"/>
  <c r="CZ131" i="1" s="1"/>
  <c r="DA131" i="1" s="1"/>
  <c r="DB131" i="1" s="1"/>
  <c r="AE131" i="1" s="1"/>
  <c r="CG251" i="1"/>
  <c r="CT184" i="1"/>
  <c r="CS185" i="1"/>
  <c r="CF166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Z249" i="1" s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B125" i="1"/>
  <c r="DB128" i="1" s="1"/>
  <c r="DA128" i="1"/>
  <c r="CZ206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E33" i="2"/>
  <c r="Q18" i="2"/>
  <c r="I27" i="2"/>
  <c r="U21" i="2"/>
  <c r="O6" i="2"/>
  <c r="H29" i="2"/>
  <c r="N24" i="2"/>
  <c r="N36" i="2"/>
  <c r="C31" i="2"/>
  <c r="W13" i="2"/>
  <c r="W5" i="2"/>
  <c r="R18" i="2"/>
  <c r="U35" i="2"/>
  <c r="O25" i="2"/>
  <c r="V16" i="2"/>
  <c r="F31" i="2"/>
  <c r="N33" i="2"/>
  <c r="I32" i="2"/>
  <c r="W20" i="2"/>
  <c r="H23" i="2"/>
  <c r="R24" i="2"/>
  <c r="S22" i="2"/>
  <c r="V5" i="2"/>
  <c r="W10" i="2"/>
  <c r="M26" i="2"/>
  <c r="P13" i="2"/>
  <c r="P26" i="2"/>
  <c r="L26" i="2"/>
  <c r="G28" i="2"/>
  <c r="U10" i="2"/>
  <c r="F36" i="2"/>
  <c r="D31" i="2"/>
  <c r="C32" i="2"/>
  <c r="I7" i="2"/>
  <c r="T20" i="2"/>
  <c r="L30" i="2"/>
  <c r="L5" i="2"/>
  <c r="AS49" i="3"/>
  <c r="AR72" i="3"/>
  <c r="E18" i="2"/>
  <c r="Q57" i="2"/>
  <c r="O31" i="2"/>
  <c r="AR87" i="3"/>
  <c r="V8" i="2"/>
  <c r="W34" i="2"/>
  <c r="N22" i="2"/>
  <c r="D25" i="2"/>
  <c r="AR77" i="3"/>
  <c r="AM46" i="3"/>
  <c r="X46" i="3"/>
  <c r="D19" i="3"/>
  <c r="D16" i="3"/>
  <c r="AC46" i="3"/>
  <c r="AP45" i="3"/>
  <c r="AR11" i="3"/>
  <c r="G14" i="3"/>
  <c r="F13" i="3"/>
  <c r="D9" i="3"/>
  <c r="D27" i="3"/>
  <c r="G13" i="3"/>
  <c r="AO6" i="3"/>
  <c r="E30" i="3"/>
  <c r="AH45" i="3"/>
  <c r="G8" i="3"/>
  <c r="E8" i="3"/>
  <c r="N9" i="4" a="1"/>
  <c r="EJ14" i="4" a="1"/>
  <c r="CY6" i="4" a="1"/>
  <c r="J8" i="4" a="1"/>
  <c r="BJ12" i="4" a="1"/>
  <c r="AI16" i="4" a="1"/>
  <c r="D8" i="4" a="1"/>
  <c r="DG8" i="4" a="1"/>
  <c r="BD6" i="4" a="1"/>
  <c r="AB13" i="4" a="1"/>
  <c r="BW15" i="4" a="1"/>
  <c r="DH12" i="4" a="1"/>
  <c r="EK15" i="4" a="1"/>
  <c r="DN9" i="4" a="1"/>
  <c r="J5" i="4" a="1"/>
  <c r="AC14" i="4" a="1"/>
  <c r="DZ16" i="4" a="1"/>
  <c r="P14" i="4" a="1"/>
  <c r="CV12" i="4" a="1"/>
  <c r="M14" i="4" a="1"/>
  <c r="BO12" i="4" a="1"/>
  <c r="F16" i="4" a="1"/>
  <c r="BL8" i="4" a="1"/>
  <c r="EA13" i="4" a="1"/>
  <c r="AK5" i="4" a="1"/>
  <c r="U9" i="4" a="1"/>
  <c r="EA15" i="4" a="1"/>
  <c r="BP8" i="4" a="1"/>
  <c r="CE6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W9" i="2"/>
  <c r="H9" i="2"/>
  <c r="V34" i="2"/>
  <c r="X41" i="2"/>
  <c r="U29" i="2"/>
  <c r="U12" i="2"/>
  <c r="T36" i="2"/>
  <c r="X11" i="2"/>
  <c r="W21" i="2"/>
  <c r="X23" i="2"/>
  <c r="U30" i="2"/>
  <c r="I8" i="2"/>
  <c r="K29" i="2"/>
  <c r="P22" i="2"/>
  <c r="G31" i="2"/>
  <c r="F34" i="2"/>
  <c r="W35" i="2"/>
  <c r="T30" i="2"/>
  <c r="X10" i="2"/>
  <c r="L19" i="2"/>
  <c r="H6" i="2"/>
  <c r="E29" i="2"/>
  <c r="S19" i="2"/>
  <c r="P8" i="2"/>
  <c r="O36" i="2"/>
  <c r="I17" i="2"/>
  <c r="O11" i="2"/>
  <c r="M12" i="2"/>
  <c r="L31" i="2"/>
  <c r="V22" i="2"/>
  <c r="C35" i="2"/>
  <c r="O34" i="2"/>
  <c r="W15" i="2"/>
  <c r="O10" i="2"/>
  <c r="E12" i="2"/>
  <c r="T6" i="2"/>
  <c r="L11" i="2"/>
  <c r="V11" i="2"/>
  <c r="AR49" i="3"/>
  <c r="AR68" i="3"/>
  <c r="U33" i="2"/>
  <c r="J23" i="2"/>
  <c r="Q34" i="2"/>
  <c r="AR75" i="3"/>
  <c r="N8" i="2"/>
  <c r="C15" i="2"/>
  <c r="D14" i="2"/>
  <c r="U9" i="2"/>
  <c r="AR96" i="3"/>
  <c r="AG45" i="3"/>
  <c r="W45" i="3"/>
  <c r="AE46" i="3"/>
  <c r="E41" i="3"/>
  <c r="D26" i="3"/>
  <c r="AE45" i="3"/>
  <c r="R46" i="3"/>
  <c r="AH46" i="3"/>
  <c r="F31" i="3"/>
  <c r="Z45" i="3"/>
  <c r="F11" i="3"/>
  <c r="E24" i="3"/>
  <c r="AJ45" i="3"/>
  <c r="E12" i="3"/>
  <c r="E15" i="3"/>
  <c r="U46" i="3"/>
  <c r="G22" i="3"/>
  <c r="R16" i="4" a="1"/>
  <c r="AF7" i="4" a="1"/>
  <c r="DM5" i="4" a="1"/>
  <c r="BL13" i="4" a="1"/>
  <c r="AO12" i="4" a="1"/>
  <c r="AI14" i="4" a="1"/>
  <c r="S11" i="4" a="1"/>
  <c r="AK8" i="4" a="1"/>
  <c r="C15" i="4" a="1"/>
  <c r="C9" i="4" a="1"/>
  <c r="CF9" i="4" a="1"/>
  <c r="CB13" i="4" a="1"/>
  <c r="DG15" i="4" a="1"/>
  <c r="EG16" i="4" a="1"/>
  <c r="U16" i="4" a="1"/>
  <c r="DQ13" i="4" a="1"/>
  <c r="V12" i="4" a="1"/>
  <c r="AE7" i="4" a="1"/>
  <c r="CU6" i="4" a="1"/>
  <c r="BI6" i="4" a="1"/>
  <c r="CW7" i="4" a="1"/>
  <c r="AK6" i="4" a="1"/>
  <c r="BH14" i="4" a="1"/>
  <c r="CM6" i="4" a="1"/>
  <c r="EI6" i="4" a="1"/>
  <c r="CS15" i="4" a="1"/>
  <c r="Y6" i="4" a="1"/>
  <c r="DA8" i="4" a="1"/>
  <c r="EG6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V29" i="2"/>
  <c r="Q69" i="2"/>
  <c r="T5" i="2"/>
  <c r="Q19" i="2"/>
  <c r="Q6" i="2"/>
  <c r="N9" i="2"/>
  <c r="U14" i="2"/>
  <c r="P7" i="2"/>
  <c r="K33" i="2"/>
  <c r="G29" i="2"/>
  <c r="O15" i="2"/>
  <c r="T12" i="2"/>
  <c r="J21" i="2"/>
  <c r="V24" i="2"/>
  <c r="P23" i="2"/>
  <c r="S13" i="2"/>
  <c r="D24" i="2"/>
  <c r="D28" i="2"/>
  <c r="Q55" i="2"/>
  <c r="R23" i="2"/>
  <c r="O22" i="2"/>
  <c r="Q9" i="2"/>
  <c r="N19" i="2"/>
  <c r="D10" i="2"/>
  <c r="N10" i="2"/>
  <c r="V18" i="2"/>
  <c r="G24" i="2"/>
  <c r="U20" i="2"/>
  <c r="T19" i="2"/>
  <c r="D33" i="2"/>
  <c r="L36" i="2"/>
  <c r="X21" i="2"/>
  <c r="Q20" i="2"/>
  <c r="E15" i="2"/>
  <c r="I25" i="2"/>
  <c r="C14" i="2"/>
  <c r="T10" i="2"/>
  <c r="Q59" i="2"/>
  <c r="AR55" i="3"/>
  <c r="P18" i="2"/>
  <c r="W70" i="2"/>
  <c r="C26" i="2"/>
  <c r="K19" i="2"/>
  <c r="AR54" i="3"/>
  <c r="X26" i="2"/>
  <c r="C11" i="2"/>
  <c r="H35" i="2"/>
  <c r="C30" i="2"/>
  <c r="AR81" i="3"/>
  <c r="G7" i="3"/>
  <c r="H45" i="3"/>
  <c r="AI46" i="3"/>
  <c r="F19" i="3"/>
  <c r="E20" i="3"/>
  <c r="D40" i="3"/>
  <c r="V45" i="3"/>
  <c r="AR32" i="3"/>
  <c r="AD14" i="3"/>
  <c r="AQ45" i="3"/>
  <c r="P45" i="3"/>
  <c r="F27" i="3"/>
  <c r="D38" i="3"/>
  <c r="E29" i="3"/>
  <c r="D25" i="3"/>
  <c r="D31" i="3"/>
  <c r="F26" i="3"/>
  <c r="F11" i="4" a="1"/>
  <c r="CX7" i="4" a="1"/>
  <c r="DZ14" i="4" a="1"/>
  <c r="F12" i="4" a="1"/>
  <c r="BX9" i="4" a="1"/>
  <c r="CM16" i="4" a="1"/>
  <c r="BX8" i="4" a="1"/>
  <c r="BH5" i="4" a="1"/>
  <c r="L9" i="4" a="1"/>
  <c r="BV13" i="4" a="1"/>
  <c r="CQ14" i="4" a="1"/>
  <c r="T7" i="4" a="1"/>
  <c r="CT8" i="4" a="1"/>
  <c r="AB11" i="4" a="1"/>
  <c r="R14" i="4" a="1"/>
  <c r="BT13" i="4" a="1"/>
  <c r="AQ13" i="4" a="1"/>
  <c r="CV6" i="4" a="1"/>
  <c r="DE15" i="4" a="1"/>
  <c r="BY5" i="4" a="1"/>
  <c r="DX6" i="4" a="1"/>
  <c r="DD13" i="4" a="1"/>
  <c r="CF14" i="4" a="1"/>
  <c r="BK12" i="4" a="1"/>
  <c r="BS12" i="4" a="1"/>
  <c r="EE12" i="4" a="1"/>
  <c r="CM7" i="4" a="1"/>
  <c r="CF6" i="4" a="1"/>
  <c r="BK11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X7" i="2"/>
  <c r="U19" i="2"/>
  <c r="N5" i="2"/>
  <c r="M16" i="2"/>
  <c r="W46" i="2"/>
  <c r="X14" i="2"/>
  <c r="G19" i="2"/>
  <c r="V35" i="2"/>
  <c r="P9" i="2"/>
  <c r="D34" i="2"/>
  <c r="O19" i="2"/>
  <c r="L10" i="2"/>
  <c r="P15" i="2"/>
  <c r="T15" i="2"/>
  <c r="V33" i="2"/>
  <c r="H49" i="2"/>
  <c r="R13" i="2"/>
  <c r="C9" i="2"/>
  <c r="W32" i="2"/>
  <c r="T29" i="2"/>
  <c r="J6" i="2"/>
  <c r="N17" i="2"/>
  <c r="R20" i="2"/>
  <c r="M5" i="2"/>
  <c r="G30" i="2"/>
  <c r="J31" i="2"/>
  <c r="T27" i="2"/>
  <c r="I30" i="2"/>
  <c r="E8" i="2"/>
  <c r="M29" i="2"/>
  <c r="V13" i="2"/>
  <c r="M36" i="2"/>
  <c r="H21" i="2"/>
  <c r="W7" i="2"/>
  <c r="M7" i="2"/>
  <c r="M10" i="2"/>
  <c r="E34" i="2"/>
  <c r="E17" i="2"/>
  <c r="AR88" i="3"/>
  <c r="O21" i="2"/>
  <c r="X36" i="2"/>
  <c r="J14" i="2"/>
  <c r="D5" i="2"/>
  <c r="AR80" i="3"/>
  <c r="AR65" i="3"/>
  <c r="F14" i="2"/>
  <c r="Q54" i="2"/>
  <c r="J30" i="2"/>
  <c r="G18" i="2"/>
  <c r="AR34" i="3"/>
  <c r="F17" i="3"/>
  <c r="AR41" i="3"/>
  <c r="F25" i="3"/>
  <c r="D34" i="3"/>
  <c r="D12" i="3"/>
  <c r="N45" i="3"/>
  <c r="AR17" i="3"/>
  <c r="AG46" i="3"/>
  <c r="G21" i="3"/>
  <c r="D45" i="3"/>
  <c r="F37" i="3"/>
  <c r="Z46" i="3"/>
  <c r="AR26" i="3"/>
  <c r="Y46" i="3"/>
  <c r="D7" i="3"/>
  <c r="AK45" i="3"/>
  <c r="BO14" i="4" a="1"/>
  <c r="AB12" i="4" a="1"/>
  <c r="EC15" i="4" a="1"/>
  <c r="EJ5" i="4" a="1"/>
  <c r="EI16" i="4" a="1"/>
  <c r="BE15" i="4" a="1"/>
  <c r="DU7" i="4" a="1"/>
  <c r="BD15" i="4" a="1"/>
  <c r="I14" i="4" a="1"/>
  <c r="CX14" i="4" a="1"/>
  <c r="CS14" i="4" a="1"/>
  <c r="S15" i="4" a="1"/>
  <c r="EG5" i="4" a="1"/>
  <c r="AR11" i="4" a="1"/>
  <c r="AD11" i="4" a="1"/>
  <c r="AG15" i="4" a="1"/>
  <c r="DC12" i="4" a="1"/>
  <c r="CZ15" i="4" a="1"/>
  <c r="AV16" i="4" a="1"/>
  <c r="Y8" i="4" a="1"/>
  <c r="CU8" i="4" a="1"/>
  <c r="CP14" i="4" a="1"/>
  <c r="O6" i="4" a="1"/>
  <c r="DF13" i="4" a="1"/>
  <c r="T8" i="4" a="1"/>
  <c r="Q5" i="4" a="1"/>
  <c r="BU13" i="4" a="1"/>
  <c r="BB16" i="4" a="1"/>
  <c r="CA12" i="4" a="1"/>
  <c r="W8" i="4" a="1"/>
  <c r="AP11" i="4" a="1"/>
  <c r="DU11" i="4" a="1"/>
  <c r="BV16" i="4" a="1"/>
  <c r="DT9" i="4" a="1"/>
  <c r="AL15" i="4" a="1"/>
  <c r="BB14" i="4" a="1"/>
  <c r="Z7" i="4" a="1"/>
  <c r="I16" i="4" a="1"/>
  <c r="F23" i="2"/>
  <c r="C8" i="2"/>
  <c r="J24" i="2"/>
  <c r="H8" i="2"/>
  <c r="Q58" i="2"/>
  <c r="U6" i="2"/>
  <c r="L23" i="2"/>
  <c r="S25" i="2"/>
  <c r="D47" i="2"/>
  <c r="L20" i="2"/>
  <c r="Q30" i="2"/>
  <c r="J10" i="2"/>
  <c r="L33" i="2"/>
  <c r="G33" i="2"/>
  <c r="D17" i="2"/>
  <c r="S17" i="2"/>
  <c r="J15" i="2"/>
  <c r="M8" i="2"/>
  <c r="C28" i="2"/>
  <c r="S9" i="2"/>
  <c r="T7" i="2"/>
  <c r="R34" i="2"/>
  <c r="P28" i="2"/>
  <c r="L15" i="2"/>
  <c r="I35" i="2"/>
  <c r="X20" i="2"/>
  <c r="J36" i="2"/>
  <c r="R14" i="2"/>
  <c r="N7" i="2"/>
  <c r="L22" i="2"/>
  <c r="E24" i="2"/>
  <c r="N6" i="2"/>
  <c r="X92" i="2"/>
  <c r="V31" i="2"/>
  <c r="U26" i="2"/>
  <c r="H28" i="2"/>
  <c r="R27" i="2"/>
  <c r="Q36" i="2"/>
  <c r="AR50" i="3"/>
  <c r="J11" i="2"/>
  <c r="D11" i="2"/>
  <c r="X32" i="2"/>
  <c r="M31" i="2"/>
  <c r="AR91" i="3"/>
  <c r="AR47" i="3"/>
  <c r="K27" i="2"/>
  <c r="H5" i="2"/>
  <c r="V25" i="2"/>
  <c r="V15" i="2"/>
  <c r="AA46" i="3"/>
  <c r="F8" i="3"/>
  <c r="F20" i="3"/>
  <c r="G5" i="3"/>
  <c r="E14" i="3"/>
  <c r="AD13" i="3"/>
  <c r="AR40" i="3"/>
  <c r="AR25" i="3"/>
  <c r="O45" i="3"/>
  <c r="G18" i="3"/>
  <c r="AD7" i="3"/>
  <c r="E31" i="3"/>
  <c r="AR14" i="3"/>
  <c r="E7" i="3"/>
  <c r="AD16" i="3"/>
  <c r="AR23" i="3"/>
  <c r="F41" i="3"/>
  <c r="CI14" i="4" a="1"/>
  <c r="DO14" i="4" a="1"/>
  <c r="BU6" i="4" a="1"/>
  <c r="AG7" i="4" a="1"/>
  <c r="CF7" i="4" a="1"/>
  <c r="D14" i="4" a="1"/>
  <c r="AC11" i="4" a="1"/>
  <c r="AD8" i="4" a="1"/>
  <c r="DS12" i="4" a="1"/>
  <c r="CD5" i="4" a="1"/>
  <c r="EI14" i="4" a="1"/>
  <c r="DM12" i="4" a="1"/>
  <c r="AH8" i="4" a="1"/>
  <c r="EA5" i="4" a="1"/>
  <c r="AE6" i="4" a="1"/>
  <c r="M5" i="4" a="1"/>
  <c r="AO11" i="4" a="1"/>
  <c r="P16" i="4" a="1"/>
  <c r="DE12" i="4" a="1"/>
  <c r="AM5" i="4" a="1"/>
  <c r="W13" i="4" a="1"/>
  <c r="BQ9" i="4" a="1"/>
  <c r="BE7" i="4" a="1"/>
  <c r="CP13" i="4" a="1"/>
  <c r="V5" i="4" a="1"/>
  <c r="AI8" i="4" a="1"/>
  <c r="AU13" i="4" a="1"/>
  <c r="DR12" i="4" a="1"/>
  <c r="CS12" i="4" a="1"/>
  <c r="BJ9" i="4" a="1"/>
  <c r="M14" i="2"/>
  <c r="X19" i="2"/>
  <c r="L34" i="2"/>
  <c r="G23" i="2"/>
  <c r="N11" i="2"/>
  <c r="U36" i="2"/>
  <c r="L17" i="2"/>
  <c r="Q56" i="2"/>
  <c r="N18" i="2"/>
  <c r="D8" i="2"/>
  <c r="I31" i="2"/>
  <c r="Q21" i="2"/>
  <c r="D20" i="2"/>
  <c r="U34" i="2"/>
  <c r="F17" i="2"/>
  <c r="I20" i="2"/>
  <c r="W12" i="2"/>
  <c r="H13" i="2"/>
  <c r="R21" i="2"/>
  <c r="C22" i="2"/>
  <c r="U7" i="2"/>
  <c r="C59" i="2"/>
  <c r="V10" i="2"/>
  <c r="E31" i="2"/>
  <c r="V36" i="2"/>
  <c r="I24" i="2"/>
  <c r="T13" i="2"/>
  <c r="L18" i="2"/>
  <c r="L21" i="2"/>
  <c r="P30" i="2"/>
  <c r="P35" i="2"/>
  <c r="P32" i="2"/>
  <c r="M15" i="2"/>
  <c r="J20" i="2"/>
  <c r="E23" i="2"/>
  <c r="Q32" i="2"/>
  <c r="R17" i="2"/>
  <c r="T11" i="2"/>
  <c r="AR93" i="3"/>
  <c r="F26" i="2"/>
  <c r="R26" i="2"/>
  <c r="J16" i="2"/>
  <c r="M30" i="2"/>
  <c r="AR95" i="3"/>
  <c r="P12" i="2"/>
  <c r="I34" i="2"/>
  <c r="I21" i="2"/>
  <c r="E21" i="2"/>
  <c r="O14" i="2"/>
  <c r="AJ46" i="3"/>
  <c r="D37" i="3"/>
  <c r="AR12" i="3"/>
  <c r="E26" i="3"/>
  <c r="E18" i="3"/>
  <c r="D29" i="3"/>
  <c r="D15" i="3"/>
  <c r="D11" i="3"/>
  <c r="E35" i="3"/>
  <c r="AD46" i="3"/>
  <c r="F24" i="3"/>
  <c r="AD12" i="3"/>
  <c r="AO46" i="3"/>
  <c r="F30" i="3"/>
  <c r="AR29" i="3"/>
  <c r="D35" i="3"/>
  <c r="F38" i="3"/>
  <c r="ED16" i="4" a="1"/>
  <c r="AL12" i="4" a="1"/>
  <c r="Y16" i="4" a="1"/>
  <c r="AK9" i="4" a="1"/>
  <c r="J9" i="4" a="1"/>
  <c r="BU12" i="4" a="1"/>
  <c r="CR8" i="4" a="1"/>
  <c r="BO8" i="4" a="1"/>
  <c r="BP7" i="4" a="1"/>
  <c r="AF16" i="4" a="1"/>
  <c r="CN16" i="4" a="1"/>
  <c r="AC16" i="4" a="1"/>
  <c r="BN16" i="4" a="1"/>
  <c r="DM15" i="4" a="1"/>
  <c r="BU8" i="4" a="1"/>
  <c r="CV9" i="4" a="1"/>
  <c r="CO9" i="4" a="1"/>
  <c r="BH6" i="4" a="1"/>
  <c r="DG11" i="4" a="1"/>
  <c r="AY7" i="4" a="1"/>
  <c r="BZ9" i="4" a="1"/>
  <c r="BR13" i="4" a="1"/>
  <c r="BD5" i="4" a="1"/>
  <c r="EB8" i="4" a="1"/>
  <c r="DF11" i="4" a="1"/>
  <c r="DP12" i="4" a="1"/>
  <c r="DS6" i="4" a="1"/>
  <c r="DP5" i="4" a="1"/>
  <c r="AM6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F13" i="2"/>
  <c r="W36" i="2"/>
  <c r="G6" i="2"/>
  <c r="O7" i="2"/>
  <c r="S27" i="2"/>
  <c r="F89" i="2"/>
  <c r="R10" i="2"/>
  <c r="P27" i="2"/>
  <c r="C20" i="2"/>
  <c r="K87" i="2"/>
  <c r="K12" i="2"/>
  <c r="R5" i="2"/>
  <c r="N27" i="2"/>
  <c r="W24" i="2"/>
  <c r="F28" i="2"/>
  <c r="S16" i="2"/>
  <c r="S62" i="2"/>
  <c r="P14" i="2"/>
  <c r="C34" i="2"/>
  <c r="F11" i="2"/>
  <c r="X22" i="2"/>
  <c r="M28" i="2"/>
  <c r="X15" i="2"/>
  <c r="E26" i="2"/>
  <c r="R9" i="2"/>
  <c r="H34" i="2"/>
  <c r="S6" i="2"/>
  <c r="F9" i="2"/>
  <c r="Q10" i="2"/>
  <c r="Q29" i="2"/>
  <c r="H26" i="2"/>
  <c r="F33" i="2"/>
  <c r="D18" i="2"/>
  <c r="G9" i="2"/>
  <c r="F16" i="2"/>
  <c r="Q7" i="2"/>
  <c r="T21" i="2"/>
  <c r="AR56" i="3"/>
  <c r="X24" i="2"/>
  <c r="K18" i="2"/>
  <c r="T32" i="2"/>
  <c r="F8" i="2"/>
  <c r="S24" i="2"/>
  <c r="C16" i="2"/>
  <c r="S10" i="2"/>
  <c r="H33" i="2"/>
  <c r="F15" i="2"/>
  <c r="C12" i="2"/>
  <c r="N15" i="2"/>
  <c r="E9" i="3"/>
  <c r="G27" i="3"/>
  <c r="AD10" i="3"/>
  <c r="AR9" i="3"/>
  <c r="I46" i="3"/>
  <c r="F12" i="3"/>
  <c r="T45" i="3"/>
  <c r="V46" i="3"/>
  <c r="E37" i="3"/>
  <c r="AP46" i="3"/>
  <c r="F34" i="3"/>
  <c r="G23" i="3"/>
  <c r="AO45" i="3"/>
  <c r="E46" i="3"/>
  <c r="AR10" i="3"/>
  <c r="D14" i="3"/>
  <c r="R45" i="3"/>
  <c r="DV16" i="4" a="1"/>
  <c r="BY7" i="4" a="1"/>
  <c r="Y5" i="4" a="1"/>
  <c r="CM12" i="4" a="1"/>
  <c r="J16" i="4" a="1"/>
  <c r="E14" i="4" a="1"/>
  <c r="BV5" i="4" a="1"/>
  <c r="BZ15" i="4" a="1"/>
  <c r="AJ14" i="4" a="1"/>
  <c r="EC7" i="4" a="1"/>
  <c r="DQ16" i="4" a="1"/>
  <c r="AK14" i="4" a="1"/>
  <c r="K15" i="4" a="1"/>
  <c r="BE12" i="4" a="1"/>
  <c r="X7" i="4" a="1"/>
  <c r="AE16" i="4" a="1"/>
  <c r="DI8" i="4" a="1"/>
  <c r="AO5" i="4" a="1"/>
  <c r="AI13" i="4" a="1"/>
  <c r="AC12" i="4" a="1"/>
  <c r="AX6" i="4" a="1"/>
  <c r="DD9" i="4" a="1"/>
  <c r="DP11" i="4" a="1"/>
  <c r="AH5" i="4" a="1"/>
  <c r="DK13" i="4" a="1"/>
  <c r="DQ14" i="4" a="1"/>
  <c r="DJ14" i="4" a="1"/>
  <c r="BK15" i="4" a="1"/>
  <c r="DE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X28" i="2"/>
  <c r="K5" i="2"/>
  <c r="U27" i="2"/>
  <c r="D16" i="2"/>
  <c r="O16" i="2"/>
  <c r="Q78" i="2"/>
  <c r="M18" i="2"/>
  <c r="V26" i="2"/>
  <c r="S12" i="2"/>
  <c r="I16" i="2"/>
  <c r="C17" i="2"/>
  <c r="K13" i="2"/>
  <c r="I9" i="2"/>
  <c r="S26" i="2"/>
  <c r="Q14" i="2"/>
  <c r="F35" i="2"/>
  <c r="K36" i="2"/>
  <c r="P36" i="2"/>
  <c r="T35" i="2"/>
  <c r="I23" i="2"/>
  <c r="K26" i="2"/>
  <c r="G17" i="2"/>
  <c r="L8" i="2"/>
  <c r="F75" i="2"/>
  <c r="Q16" i="2"/>
  <c r="I28" i="2"/>
  <c r="K32" i="2"/>
  <c r="F6" i="2"/>
  <c r="P34" i="2"/>
  <c r="V28" i="2"/>
  <c r="U11" i="2"/>
  <c r="Q33" i="2"/>
  <c r="O12" i="2"/>
  <c r="I19" i="2"/>
  <c r="I15" i="2"/>
  <c r="W31" i="2"/>
  <c r="N14" i="2"/>
  <c r="H54" i="2"/>
  <c r="J19" i="2"/>
  <c r="S15" i="2"/>
  <c r="W11" i="2"/>
  <c r="K16" i="2"/>
  <c r="U13" i="2"/>
  <c r="P33" i="2"/>
  <c r="E10" i="2"/>
  <c r="H27" i="2"/>
  <c r="H18" i="2"/>
  <c r="K59" i="2"/>
  <c r="H11" i="2"/>
  <c r="G8" i="2"/>
  <c r="H15" i="2"/>
  <c r="L6" i="2"/>
  <c r="W14" i="2"/>
  <c r="J32" i="2"/>
  <c r="R36" i="2"/>
  <c r="AR57" i="3"/>
  <c r="S35" i="2"/>
  <c r="F10" i="2"/>
  <c r="O8" i="2"/>
  <c r="D9" i="2"/>
  <c r="O32" i="2"/>
  <c r="G16" i="2"/>
  <c r="V12" i="2"/>
  <c r="C6" i="2"/>
  <c r="L12" i="2"/>
  <c r="R54" i="2"/>
  <c r="E19" i="2"/>
  <c r="X8" i="2"/>
  <c r="E14" i="2"/>
  <c r="D29" i="2"/>
  <c r="K23" i="2"/>
  <c r="O30" i="2"/>
  <c r="V23" i="2"/>
  <c r="J25" i="2"/>
  <c r="N16" i="2"/>
  <c r="K7" i="2"/>
  <c r="S20" i="2"/>
  <c r="J12" i="2"/>
  <c r="G10" i="2"/>
  <c r="P6" i="2"/>
  <c r="S28" i="2"/>
  <c r="G35" i="2"/>
  <c r="X27" i="2"/>
  <c r="M20" i="2"/>
  <c r="M13" i="2"/>
  <c r="T14" i="2"/>
  <c r="J28" i="2"/>
  <c r="F29" i="2"/>
  <c r="C18" i="2"/>
  <c r="AR89" i="3"/>
  <c r="P5" i="2"/>
  <c r="J17" i="2"/>
  <c r="O24" i="2"/>
  <c r="AR60" i="3"/>
  <c r="J5" i="2"/>
  <c r="U24" i="2"/>
  <c r="R19" i="2"/>
  <c r="C23" i="2"/>
  <c r="AR84" i="3"/>
  <c r="F22" i="2"/>
  <c r="P21" i="2"/>
  <c r="E9" i="2"/>
  <c r="K15" i="2"/>
  <c r="J34" i="2"/>
  <c r="AF48" i="3"/>
  <c r="F39" i="3"/>
  <c r="G11" i="3"/>
  <c r="AR24" i="3"/>
  <c r="AD15" i="3"/>
  <c r="AD18" i="3"/>
  <c r="D21" i="3"/>
  <c r="G45" i="3"/>
  <c r="X33" i="2"/>
  <c r="V7" i="2"/>
  <c r="R6" i="2"/>
  <c r="L32" i="2"/>
  <c r="O28" i="2"/>
  <c r="F20" i="2"/>
  <c r="I22" i="2"/>
  <c r="T31" i="2"/>
  <c r="C10" i="2"/>
  <c r="F32" i="2"/>
  <c r="K14" i="2"/>
  <c r="U31" i="2"/>
  <c r="S46" i="3"/>
  <c r="E32" i="3"/>
  <c r="AR27" i="3"/>
  <c r="M46" i="3"/>
  <c r="F9" i="3"/>
  <c r="F7" i="3"/>
  <c r="F28" i="3"/>
  <c r="Z8" i="4" a="1"/>
  <c r="DK7" i="4" a="1"/>
  <c r="BE11" i="4" a="1"/>
  <c r="DF5" i="4" a="1"/>
  <c r="CG12" i="4" a="1"/>
  <c r="DF7" i="4" a="1"/>
  <c r="K14" i="4" a="1"/>
  <c r="P9" i="4" a="1"/>
  <c r="C7" i="4" a="1"/>
  <c r="DN12" i="4" a="1"/>
  <c r="AY6" i="4" a="1"/>
  <c r="CT7" i="4" a="1"/>
  <c r="EJ12" i="4" a="1"/>
  <c r="CS7" i="4" a="1"/>
  <c r="DP7" i="4" a="1"/>
  <c r="CL12" i="4" a="1"/>
  <c r="BJ6" i="4" a="1"/>
  <c r="O11" i="4" a="1"/>
  <c r="BP16" i="4" a="1"/>
  <c r="DB7" i="4" a="1"/>
  <c r="F9" i="4" a="1"/>
  <c r="CP9" i="4" a="1"/>
  <c r="BG15" i="4" a="1"/>
  <c r="BP15" i="4" a="1"/>
  <c r="EI5" i="4" a="1"/>
  <c r="CV13" i="4" a="1"/>
  <c r="DH13" i="4" a="1"/>
  <c r="CO15" i="4" a="1"/>
  <c r="BB5" i="4" a="1"/>
  <c r="BE9" i="4" a="1"/>
  <c r="BZ7" i="4" a="1"/>
  <c r="J13" i="4" a="1"/>
  <c r="CJ14" i="4" a="1"/>
  <c r="I9" i="4" a="1"/>
  <c r="DR8" i="4" a="1"/>
  <c r="AD6" i="4" a="1"/>
  <c r="W7" i="4" a="1"/>
  <c r="DQ6" i="4" a="1"/>
  <c r="AH6" i="4" a="1"/>
  <c r="BF5" i="4" a="1"/>
  <c r="DR9" i="4" a="1"/>
  <c r="AW8" i="4" a="1"/>
  <c r="DM14" i="4" a="1"/>
  <c r="EG8" i="4" a="1"/>
  <c r="DH7" i="4" a="1"/>
  <c r="CW6" i="4" a="1"/>
  <c r="BB7" i="4" a="1"/>
  <c r="Q15" i="4" a="1"/>
  <c r="S8" i="4" a="1"/>
  <c r="BN5" i="4" a="1"/>
  <c r="L8" i="4" a="1"/>
  <c r="EA12" i="4" a="1"/>
  <c r="BA13" i="4" a="1"/>
  <c r="BP6" i="4" a="1"/>
  <c r="EJ15" i="4" a="1"/>
  <c r="DE7" i="4" a="1"/>
  <c r="CI9" i="4" a="1"/>
  <c r="DJ15" i="4" a="1"/>
  <c r="AS7" i="4" a="1"/>
  <c r="AE8" i="4" a="1"/>
  <c r="EG13" i="4" a="1"/>
  <c r="CQ16" i="4" a="1"/>
  <c r="DL8" i="4" a="1"/>
  <c r="S6" i="4" a="1"/>
  <c r="AV13" i="4" a="1"/>
  <c r="U13" i="4" a="1"/>
  <c r="DW12" i="4" a="1"/>
  <c r="N8" i="4" a="1"/>
  <c r="CN5" i="4" a="1"/>
  <c r="CC9" i="4" a="1"/>
  <c r="K5" i="4" a="1"/>
  <c r="DJ12" i="4" a="1"/>
  <c r="AO15" i="4" a="1"/>
  <c r="BS9" i="4" a="1"/>
  <c r="DN11" i="4" a="1"/>
  <c r="AI12" i="4" a="1"/>
  <c r="CG15" i="4" a="1"/>
  <c r="EI15" i="4" a="1"/>
  <c r="H13" i="4" a="1"/>
  <c r="AW6" i="4" a="1"/>
  <c r="DV13" i="4" a="1"/>
  <c r="K11" i="2"/>
  <c r="U28" i="2"/>
  <c r="N20" i="2"/>
  <c r="D24" i="3"/>
  <c r="K45" i="3"/>
  <c r="AB14" i="4" a="1"/>
  <c r="CH16" i="4" a="1"/>
  <c r="DO13" i="4" a="1"/>
  <c r="ED15" i="4" a="1"/>
  <c r="BH13" i="4" a="1"/>
  <c r="AU14" i="4" a="1"/>
  <c r="BS8" i="4" a="1"/>
  <c r="CE15" i="4" a="1"/>
  <c r="AL11" i="4" a="1"/>
  <c r="BL6" i="4" a="1"/>
  <c r="AQ6" i="4" a="1"/>
  <c r="BI8" i="4" a="1"/>
  <c r="DD15" i="4" a="1"/>
  <c r="J18" i="2"/>
  <c r="C13" i="2"/>
  <c r="E28" i="3"/>
  <c r="AR38" i="3"/>
  <c r="D46" i="3"/>
  <c r="EG12" i="4" a="1"/>
  <c r="CH7" i="4" a="1"/>
  <c r="AF8" i="4" a="1"/>
  <c r="AY12" i="4" a="1"/>
  <c r="EE16" i="4" a="1"/>
  <c r="AV8" i="4" a="1"/>
  <c r="BQ11" i="4" a="1"/>
  <c r="AN15" i="4" a="1"/>
  <c r="DB12" i="4" a="1"/>
  <c r="T9" i="4" a="1"/>
  <c r="DO8" i="4" a="1"/>
  <c r="C13" i="4" a="1"/>
  <c r="E12" i="4" a="1"/>
  <c r="BW13" i="4" a="1"/>
  <c r="DN8" i="4" a="1"/>
  <c r="EH9" i="4" a="1"/>
  <c r="DX15" i="4" a="1"/>
  <c r="Y14" i="4" a="1"/>
  <c r="AD13" i="4" a="1"/>
  <c r="CB6" i="4" a="1"/>
  <c r="CW15" i="4" a="1"/>
  <c r="AP8" i="4" a="1"/>
  <c r="Q11" i="4" a="1"/>
  <c r="T17" i="2"/>
  <c r="Y15" i="4" a="1"/>
  <c r="Q8" i="2"/>
  <c r="AR90" i="3"/>
  <c r="D32" i="3"/>
  <c r="AR16" i="3"/>
  <c r="AL5" i="4" a="1"/>
  <c r="BB6" i="4" a="1"/>
  <c r="BO16" i="4" a="1"/>
  <c r="AP7" i="4" a="1"/>
  <c r="AA7" i="4" a="1"/>
  <c r="DL12" i="4" a="1"/>
  <c r="CH12" i="4" a="1"/>
  <c r="EI11" i="4" a="1"/>
  <c r="F24" i="2"/>
  <c r="U23" i="2"/>
  <c r="U18" i="2"/>
  <c r="J9" i="2"/>
  <c r="D35" i="2"/>
  <c r="T9" i="2"/>
  <c r="P69" i="2"/>
  <c r="M17" i="2"/>
  <c r="T8" i="2"/>
  <c r="R11" i="2"/>
  <c r="I11" i="2"/>
  <c r="L27" i="2"/>
  <c r="F22" i="3"/>
  <c r="AR33" i="3"/>
  <c r="K46" i="3"/>
  <c r="G15" i="3"/>
  <c r="AR8" i="3"/>
  <c r="D18" i="3"/>
  <c r="F35" i="3"/>
  <c r="BK8" i="4" a="1"/>
  <c r="CB7" i="4" a="1"/>
  <c r="DF15" i="4" a="1"/>
  <c r="BC12" i="4" a="1"/>
  <c r="EK5" i="4" a="1"/>
  <c r="CX6" i="4" a="1"/>
  <c r="R11" i="4" a="1"/>
  <c r="J7" i="4" a="1"/>
  <c r="X8" i="4" a="1"/>
  <c r="DR11" i="4" a="1"/>
  <c r="DI13" i="4" a="1"/>
  <c r="CT12" i="4" a="1"/>
  <c r="CP8" i="4" a="1"/>
  <c r="DL5" i="4" a="1"/>
  <c r="AZ6" i="4" a="1"/>
  <c r="DS5" i="4" a="1"/>
  <c r="BH16" i="4" a="1"/>
  <c r="N12" i="4" a="1"/>
  <c r="BD11" i="4" a="1"/>
  <c r="CS5" i="4" a="1"/>
  <c r="DN6" i="4" a="1"/>
  <c r="CQ11" i="4" a="1"/>
  <c r="F13" i="4" a="1"/>
  <c r="AE15" i="4" a="1"/>
  <c r="CC14" i="4" a="1"/>
  <c r="R5" i="4" a="1"/>
  <c r="AV5" i="4" a="1"/>
  <c r="AL7" i="4" a="1"/>
  <c r="AE13" i="4" a="1"/>
  <c r="AF11" i="4" a="1"/>
  <c r="AY16" i="4" a="1"/>
  <c r="CO7" i="4" a="1"/>
  <c r="DI5" i="4" a="1"/>
  <c r="AV14" i="4" a="1"/>
  <c r="EF6" i="4" a="1"/>
  <c r="CZ5" i="4" a="1"/>
  <c r="EB11" i="4" a="1"/>
  <c r="X16" i="4" a="1"/>
  <c r="DV8" i="4" a="1"/>
  <c r="BY16" i="4" a="1"/>
  <c r="EF9" i="4" a="1"/>
  <c r="CL5" i="4" a="1"/>
  <c r="AD15" i="4" a="1"/>
  <c r="AF12" i="4" a="1"/>
  <c r="AM8" i="4" a="1"/>
  <c r="CL13" i="4" a="1"/>
  <c r="AX7" i="4" a="1"/>
  <c r="BA11" i="4" a="1"/>
  <c r="EF16" i="4" a="1"/>
  <c r="CZ13" i="4" a="1"/>
  <c r="CJ16" i="4" a="1"/>
  <c r="H9" i="4" a="1"/>
  <c r="L15" i="4" a="1"/>
  <c r="BQ14" i="4" a="1"/>
  <c r="CL14" i="4" a="1"/>
  <c r="CK16" i="4" a="1"/>
  <c r="BO11" i="4" a="1"/>
  <c r="BN14" i="4" a="1"/>
  <c r="DE9" i="4" a="1"/>
  <c r="DV14" i="4" a="1"/>
  <c r="CB11" i="4" a="1"/>
  <c r="CP11" i="4" a="1"/>
  <c r="AJ15" i="4" a="1"/>
  <c r="AC7" i="4" a="1"/>
  <c r="BU5" i="4" a="1"/>
  <c r="Q16" i="4" a="1"/>
  <c r="O13" i="4" a="1"/>
  <c r="W17" i="2"/>
  <c r="R8" i="2"/>
  <c r="R15" i="2"/>
  <c r="U16" i="2"/>
  <c r="M11" i="2"/>
  <c r="E42" i="3"/>
  <c r="CN8" i="4" a="1"/>
  <c r="D15" i="4" a="1"/>
  <c r="I13" i="4" a="1"/>
  <c r="EF15" i="4" a="1"/>
  <c r="BW16" i="4" a="1"/>
  <c r="AG14" i="4" a="1"/>
  <c r="CA11" i="4" a="1"/>
  <c r="G6" i="4" a="1"/>
  <c r="DB13" i="4" a="1"/>
  <c r="BZ6" i="4" a="1"/>
  <c r="DU6" i="4" a="1"/>
  <c r="AY14" i="4" a="1"/>
  <c r="CU12" i="4" a="1"/>
  <c r="BD13" i="4" a="1"/>
  <c r="DA15" i="4" a="1"/>
  <c r="AQ11" i="4" a="1"/>
  <c r="W16" i="4" a="1"/>
  <c r="DH11" i="4" a="1"/>
  <c r="S13" i="4" a="1"/>
  <c r="DG6" i="4" a="1"/>
  <c r="EG15" i="4" a="1"/>
  <c r="BA16" i="4" a="1"/>
  <c r="U22" i="2"/>
  <c r="H36" i="2"/>
  <c r="W33" i="2"/>
  <c r="DD11" i="4" a="1"/>
  <c r="CP5" i="4" a="1"/>
  <c r="AU6" i="4" a="1"/>
  <c r="AH16" i="4" a="1"/>
  <c r="CL8" i="4" a="1"/>
  <c r="G15" i="4" a="1"/>
  <c r="BW14" i="4" a="1"/>
  <c r="BC11" i="4" a="1"/>
  <c r="DP13" i="4" a="1"/>
  <c r="AS47" i="3"/>
  <c r="BW7" i="4" a="1"/>
  <c r="I8" i="4" a="1"/>
  <c r="AW9" i="4" a="1"/>
  <c r="E5" i="4" a="1"/>
  <c r="R15" i="4" a="1"/>
  <c r="AM9" i="4" a="1"/>
  <c r="EJ11" i="4" a="1"/>
  <c r="G5" i="4" a="1"/>
  <c r="R29" i="2"/>
  <c r="H10" i="2"/>
  <c r="H25" i="2"/>
  <c r="BI7" i="4" a="1"/>
  <c r="U14" i="4" a="1"/>
  <c r="AK15" i="4" a="1"/>
  <c r="AW12" i="4" a="1"/>
  <c r="DC8" i="4" a="1"/>
  <c r="BT14" i="4" a="1"/>
  <c r="BG6" i="4" a="1"/>
  <c r="CE8" i="4" a="1"/>
  <c r="CP6" i="4" a="1"/>
  <c r="P13" i="4" a="1"/>
  <c r="X12" i="4" a="1"/>
  <c r="M22" i="2"/>
  <c r="O35" i="2"/>
  <c r="H22" i="2"/>
  <c r="D12" i="2"/>
  <c r="N31" i="2"/>
  <c r="G25" i="2"/>
  <c r="S7" i="2"/>
  <c r="U5" i="2"/>
  <c r="E7" i="2"/>
  <c r="R22" i="2"/>
  <c r="W19" i="2"/>
  <c r="X12" i="2"/>
  <c r="D13" i="3"/>
  <c r="F33" i="3"/>
  <c r="AR15" i="3"/>
  <c r="D8" i="3"/>
  <c r="AR31" i="3"/>
  <c r="AB46" i="3"/>
  <c r="DO5" i="4" a="1"/>
  <c r="BM8" i="4" a="1"/>
  <c r="AN7" i="4" a="1"/>
  <c r="DB14" i="4" a="1"/>
  <c r="DP9" i="4" a="1"/>
  <c r="BZ5" i="4" a="1"/>
  <c r="W5" i="4" a="1"/>
  <c r="BP11" i="4" a="1"/>
  <c r="CX15" i="4" a="1"/>
  <c r="DL11" i="4" a="1"/>
  <c r="DG5" i="4" a="1"/>
  <c r="CA9" i="4" a="1"/>
  <c r="BG12" i="4" a="1"/>
  <c r="CJ11" i="4" a="1"/>
  <c r="AK12" i="4" a="1"/>
  <c r="DO9" i="4" a="1"/>
  <c r="AR8" i="4" a="1"/>
  <c r="DP8" i="4" a="1"/>
  <c r="AB15" i="4" a="1"/>
  <c r="AS9" i="4" a="1"/>
  <c r="EC9" i="4" a="1"/>
  <c r="CD9" i="4" a="1"/>
  <c r="F7" i="4" a="1"/>
  <c r="EH7" i="4" a="1"/>
  <c r="M16" i="4" a="1"/>
  <c r="N7" i="4" a="1"/>
  <c r="EK16" i="4" a="1"/>
  <c r="AH9" i="4" a="1"/>
  <c r="DZ9" i="4" a="1"/>
  <c r="AV12" i="4" a="1"/>
  <c r="CG6" i="4" a="1"/>
  <c r="CU5" i="4" a="1"/>
  <c r="BL11" i="4" a="1"/>
  <c r="H15" i="4" a="1"/>
  <c r="AK16" i="4" a="1"/>
  <c r="EE13" i="4" a="1"/>
  <c r="EE8" i="4" a="1"/>
  <c r="EJ6" i="4" a="1"/>
  <c r="DL7" i="4" a="1"/>
  <c r="CX12" i="4" a="1"/>
  <c r="CV11" i="4" a="1"/>
  <c r="AT16" i="4" a="1"/>
  <c r="L14" i="4" a="1"/>
  <c r="BC7" i="4" a="1"/>
  <c r="BN12" i="4" a="1"/>
  <c r="CA7" i="4" a="1"/>
  <c r="DK15" i="4" a="1"/>
  <c r="Z13" i="4" a="1"/>
  <c r="BO7" i="4" a="1"/>
  <c r="BU11" i="4" a="1"/>
  <c r="BQ13" i="4" a="1"/>
  <c r="AM14" i="4" a="1"/>
  <c r="CU7" i="4" a="1"/>
  <c r="AH11" i="4" a="1"/>
  <c r="AM16" i="4" a="1"/>
  <c r="DC6" i="4" a="1"/>
  <c r="DE13" i="4" a="1"/>
  <c r="CW8" i="4" a="1"/>
  <c r="BD7" i="4" a="1"/>
  <c r="BK16" i="4" a="1"/>
  <c r="J22" i="2"/>
  <c r="AN45" i="3"/>
  <c r="F5" i="3"/>
  <c r="F83" i="3" s="1"/>
  <c r="X9" i="4" a="1"/>
  <c r="BC15" i="4" a="1"/>
  <c r="BI15" i="4" a="1"/>
  <c r="BR6" i="4" a="1"/>
  <c r="DD6" i="4" a="1"/>
  <c r="X30" i="2"/>
  <c r="AR42" i="3"/>
  <c r="G10" i="3"/>
  <c r="BV7" i="4" a="1"/>
  <c r="AI11" i="4" a="1"/>
  <c r="CT14" i="4" a="1"/>
  <c r="CC13" i="4" a="1"/>
  <c r="CW9" i="4" a="1"/>
  <c r="CI16" i="4" a="1"/>
  <c r="CF11" i="4" a="1"/>
  <c r="CM14" i="4" a="1"/>
  <c r="BQ16" i="4" a="1"/>
  <c r="X11" i="4" a="1"/>
  <c r="AA14" i="4" a="1"/>
  <c r="DZ8" i="4" a="1"/>
  <c r="CK9" i="4" a="1"/>
  <c r="CR11" i="4" a="1"/>
  <c r="DD7" i="4" a="1"/>
  <c r="AN6" i="4" a="1"/>
  <c r="EC6" i="4" a="1"/>
  <c r="DN13" i="4" a="1"/>
  <c r="AP12" i="4" a="1"/>
  <c r="C7" i="2"/>
  <c r="AU16" i="4" a="1"/>
  <c r="AS5" i="4" a="1"/>
  <c r="EA6" i="4" a="1"/>
  <c r="V9" i="4" a="1"/>
  <c r="H5" i="4" a="1"/>
  <c r="DZ5" i="4" a="1"/>
  <c r="AG6" i="4" a="1"/>
  <c r="CI6" i="4" a="1"/>
  <c r="AH14" i="4" a="1"/>
  <c r="K24" i="2"/>
  <c r="CF16" i="4" a="1"/>
  <c r="BH12" i="4" a="1"/>
  <c r="DU5" i="4" a="1"/>
  <c r="BL16" i="4" a="1"/>
  <c r="BV9" i="4" a="1"/>
  <c r="G7" i="4" a="1"/>
  <c r="DR14" i="4" a="1"/>
  <c r="BA14" i="4" a="1"/>
  <c r="BN13" i="4" a="1"/>
  <c r="CL7" i="4" a="1"/>
  <c r="T26" i="2"/>
  <c r="O17" i="2"/>
  <c r="K10" i="2"/>
  <c r="L9" i="2"/>
  <c r="Q27" i="2"/>
  <c r="K9" i="2"/>
  <c r="C25" i="2"/>
  <c r="O23" i="2"/>
  <c r="M24" i="2"/>
  <c r="C65" i="2"/>
  <c r="M9" i="2"/>
  <c r="AR86" i="3"/>
  <c r="E25" i="3"/>
  <c r="L46" i="3"/>
  <c r="C46" i="3"/>
  <c r="P46" i="3"/>
  <c r="F16" i="3"/>
  <c r="E27" i="3"/>
  <c r="AZ15" i="4" a="1"/>
  <c r="AK11" i="4" a="1"/>
  <c r="BI13" i="4" a="1"/>
  <c r="DR16" i="4" a="1"/>
  <c r="CO6" i="4" a="1"/>
  <c r="BA5" i="4" a="1"/>
  <c r="BK6" i="4" a="1"/>
  <c r="BT9" i="4" a="1"/>
  <c r="X15" i="4" a="1"/>
  <c r="AY9" i="4" a="1"/>
  <c r="EE11" i="4" a="1"/>
  <c r="BS16" i="4" a="1"/>
  <c r="AE12" i="4" a="1"/>
  <c r="BC8" i="4" a="1"/>
  <c r="BM13" i="4" a="1"/>
  <c r="AA11" i="4" a="1"/>
  <c r="M6" i="4" a="1"/>
  <c r="CG7" i="4" a="1"/>
  <c r="CK5" i="4" a="1"/>
  <c r="BS13" i="4" a="1"/>
  <c r="J14" i="4" a="1"/>
  <c r="AQ5" i="4" a="1"/>
  <c r="DX5" i="4" a="1"/>
  <c r="AR16" i="4" a="1"/>
  <c r="Y11" i="4" a="1"/>
  <c r="EH8" i="4" a="1"/>
  <c r="CF8" i="4" a="1"/>
  <c r="BJ14" i="4" a="1"/>
  <c r="BN6" i="4" a="1"/>
  <c r="CD11" i="4" a="1"/>
  <c r="CY14" i="4" a="1"/>
  <c r="G9" i="4" a="1"/>
  <c r="AN12" i="4" a="1"/>
  <c r="CQ7" i="4" a="1"/>
  <c r="CY13" i="4" a="1"/>
  <c r="BN8" i="4" a="1"/>
  <c r="CW5" i="4" a="1"/>
  <c r="M9" i="4" a="1"/>
  <c r="BY9" i="4" a="1"/>
  <c r="G8" i="4" a="1"/>
  <c r="DU9" i="4" a="1"/>
  <c r="R9" i="4" a="1"/>
  <c r="V7" i="4" a="1"/>
  <c r="CZ11" i="4" a="1"/>
  <c r="DV12" i="4" a="1"/>
  <c r="BH15" i="4" a="1"/>
  <c r="AG8" i="4" a="1"/>
  <c r="F5" i="4" a="1"/>
  <c r="AF14" i="4" a="1"/>
  <c r="DE6" i="4" a="1"/>
  <c r="O16" i="4" a="1"/>
  <c r="BR16" i="4" a="1"/>
  <c r="ED13" i="4" a="1"/>
  <c r="EF12" i="4" a="1"/>
  <c r="CO8" i="4" a="1"/>
  <c r="EB13" i="4" a="1"/>
  <c r="CX11" i="4" a="1"/>
  <c r="J6" i="4" a="1"/>
  <c r="DK12" i="4" a="1"/>
  <c r="EJ9" i="4" a="1"/>
  <c r="AL14" i="4" a="1"/>
  <c r="CJ15" i="4" a="1"/>
  <c r="BO6" i="4" a="1"/>
  <c r="EB9" i="4" a="1"/>
  <c r="DA5" i="4" a="1"/>
  <c r="BK7" i="4" a="1"/>
  <c r="C12" i="4" a="1"/>
  <c r="DT15" i="4" a="1"/>
  <c r="BQ5" i="4" a="1"/>
  <c r="T11" i="4" a="1"/>
  <c r="D15" i="2"/>
  <c r="R7" i="2"/>
  <c r="E45" i="2"/>
  <c r="E13" i="3"/>
  <c r="AZ14" i="4" a="1"/>
  <c r="BF13" i="4" a="1"/>
  <c r="DL15" i="4" a="1"/>
  <c r="CG16" i="4" a="1"/>
  <c r="BB13" i="4" a="1"/>
  <c r="CA15" i="4" a="1"/>
  <c r="CJ9" i="4" a="1"/>
  <c r="BI5" i="4" a="1"/>
  <c r="AB9" i="4" a="1"/>
  <c r="BY15" i="4" a="1"/>
  <c r="DO6" i="4" a="1"/>
  <c r="AJ5" i="4" a="1"/>
  <c r="BB15" i="4" a="1"/>
  <c r="BR11" i="4" a="1"/>
  <c r="AB16" i="4" a="1"/>
  <c r="DC16" i="4" a="1"/>
  <c r="DO11" i="4" a="1"/>
  <c r="D16" i="4" a="1"/>
  <c r="CG5" i="4" a="1"/>
  <c r="CX16" i="4" a="1"/>
  <c r="CR12" i="4" a="1"/>
  <c r="U7" i="4" a="1"/>
  <c r="CD13" i="4" a="1"/>
  <c r="AI6" i="4" a="1"/>
  <c r="Z6" i="4" a="1"/>
  <c r="EI8" i="4" a="1"/>
  <c r="R12" i="4" a="1"/>
  <c r="DI11" i="4" a="1"/>
  <c r="DS15" i="4" a="1"/>
  <c r="AO6" i="4" a="1"/>
  <c r="I6" i="4" a="1"/>
  <c r="EK11" i="4" a="1"/>
  <c r="CK12" i="4" a="1"/>
  <c r="BP13" i="4" a="1"/>
  <c r="CR14" i="4" a="1"/>
  <c r="CS9" i="4" a="1"/>
  <c r="K13" i="4" a="1"/>
  <c r="Q9" i="4" a="1"/>
  <c r="CO12" i="4" a="1"/>
  <c r="CQ9" i="4" a="1"/>
  <c r="F27" i="2"/>
  <c r="T24" i="2"/>
  <c r="N21" i="2"/>
  <c r="M34" i="2"/>
  <c r="AR94" i="3"/>
  <c r="AR78" i="3"/>
  <c r="D20" i="3"/>
  <c r="AI9" i="4" a="1"/>
  <c r="R13" i="4" a="1"/>
  <c r="DO12" i="4" a="1"/>
  <c r="CI13" i="4" a="1"/>
  <c r="DG16" i="4" a="1"/>
  <c r="AI5" i="4" a="1"/>
  <c r="I7" i="4" a="1"/>
  <c r="CE13" i="4" a="1"/>
  <c r="BX6" i="4" a="1"/>
  <c r="DF9" i="4" a="1"/>
  <c r="Q8" i="4" a="1"/>
  <c r="DH5" i="4" a="1"/>
  <c r="BT12" i="4" a="1"/>
  <c r="AN5" i="4" a="1"/>
  <c r="DY13" i="4" a="1"/>
  <c r="F29" i="3"/>
  <c r="BM15" i="4" a="1"/>
  <c r="BZ11" i="4" a="1"/>
  <c r="DW14" i="4" a="1"/>
  <c r="CR6" i="4" a="1"/>
  <c r="CO16" i="4" a="1"/>
  <c r="M11" i="4" a="1"/>
  <c r="T13" i="4" a="1"/>
  <c r="AX12" i="4" a="1"/>
  <c r="ED8" i="4" a="1"/>
  <c r="AA15" i="4" a="1"/>
  <c r="AF5" i="4" a="1"/>
  <c r="EI13" i="4" a="1"/>
  <c r="AA5" i="4" a="1"/>
  <c r="AW16" i="4" a="1"/>
  <c r="W14" i="4" a="1"/>
  <c r="I14" i="2"/>
  <c r="H14" i="2"/>
  <c r="G31" i="3"/>
  <c r="D6" i="3"/>
  <c r="DP14" i="4" a="1"/>
  <c r="CA8" i="4" a="1"/>
  <c r="CK11" i="4" a="1"/>
  <c r="D19" i="2"/>
  <c r="R33" i="2"/>
  <c r="K17" i="2"/>
  <c r="G32" i="2"/>
  <c r="X63" i="2"/>
  <c r="H7" i="2"/>
  <c r="S8" i="2"/>
  <c r="P25" i="2"/>
  <c r="V20" i="2"/>
  <c r="E20" i="2"/>
  <c r="X29" i="2"/>
  <c r="I26" i="2"/>
  <c r="AR36" i="3"/>
  <c r="W46" i="3"/>
  <c r="F6" i="3"/>
  <c r="AC45" i="3"/>
  <c r="AR18" i="3"/>
  <c r="D41" i="3"/>
  <c r="X13" i="4" a="1"/>
  <c r="BC9" i="4" a="1"/>
  <c r="DE11" i="4" a="1"/>
  <c r="BQ7" i="4" a="1"/>
  <c r="DH15" i="4" a="1"/>
  <c r="CQ13" i="4" a="1"/>
  <c r="BS7" i="4" a="1"/>
  <c r="CD8" i="4" a="1"/>
  <c r="C8" i="4" a="1"/>
  <c r="CN7" i="4" a="1"/>
  <c r="AH15" i="4" a="1"/>
  <c r="CN15" i="4" a="1"/>
  <c r="AX16" i="4" a="1"/>
  <c r="AN11" i="4" a="1"/>
  <c r="H6" i="4" a="1"/>
  <c r="DF12" i="4" a="1"/>
  <c r="K9" i="4" a="1"/>
  <c r="CD6" i="4" a="1"/>
  <c r="CH15" i="4" a="1"/>
  <c r="D11" i="4" a="1"/>
  <c r="DO16" i="4" a="1"/>
  <c r="BJ15" i="4" a="1"/>
  <c r="CY8" i="4" a="1"/>
  <c r="CI12" i="4" a="1"/>
  <c r="DM16" i="4" a="1"/>
  <c r="BC14" i="4" a="1"/>
  <c r="DC11" i="4" a="1"/>
  <c r="DX9" i="4" a="1"/>
  <c r="N11" i="4" a="1"/>
  <c r="BR7" i="4" a="1"/>
  <c r="S12" i="4" a="1"/>
  <c r="K6" i="4" a="1"/>
  <c r="DW13" i="4" a="1"/>
  <c r="AH7" i="4" a="1"/>
  <c r="AT13" i="4" a="1"/>
  <c r="BZ14" i="4" a="1"/>
  <c r="P12" i="4" a="1"/>
  <c r="AY13" i="4" a="1"/>
  <c r="CC5" i="4" a="1"/>
  <c r="CH5" i="4" a="1"/>
  <c r="DX16" i="4" a="1"/>
  <c r="BN15" i="4" a="1"/>
  <c r="CC7" i="4" a="1"/>
  <c r="AT9" i="4" a="1"/>
  <c r="G13" i="4" a="1"/>
  <c r="EC16" i="4" a="1"/>
  <c r="CW16" i="4" a="1"/>
  <c r="BR9" i="4" a="1"/>
  <c r="CC12" i="4" a="1"/>
  <c r="BL15" i="4" a="1"/>
  <c r="DV11" i="4" a="1"/>
  <c r="DY12" i="4" a="1"/>
  <c r="AO8" i="4" a="1"/>
  <c r="BA12" i="4" a="1"/>
  <c r="BU16" i="4" a="1"/>
  <c r="AB8" i="4" a="1"/>
  <c r="AF15" i="4" a="1"/>
  <c r="CV8" i="4" a="1"/>
  <c r="BI11" i="4" a="1"/>
  <c r="K11" i="4" a="1"/>
  <c r="EB14" i="4" a="1"/>
  <c r="BT11" i="4" a="1"/>
  <c r="CO11" i="4" a="1"/>
  <c r="K22" i="2"/>
  <c r="AZ7" i="4" a="1"/>
  <c r="DL13" i="4" a="1"/>
  <c r="BG11" i="4" a="1"/>
  <c r="DM13" i="4" a="1"/>
  <c r="U11" i="4" a="1"/>
  <c r="DF14" i="4" a="1"/>
  <c r="AZ9" i="4" a="1"/>
  <c r="AC5" i="4" a="1"/>
  <c r="DT13" i="4" a="1"/>
  <c r="AA8" i="4" a="1"/>
  <c r="U15" i="4" a="1"/>
  <c r="EC5" i="4" a="1"/>
  <c r="DN7" i="4" a="1"/>
  <c r="CR7" i="4" a="1"/>
  <c r="CX9" i="4" a="1"/>
  <c r="AY15" i="4" a="1"/>
  <c r="EH11" i="4" a="1"/>
  <c r="CU13" i="4" a="1"/>
  <c r="Q31" i="2"/>
  <c r="AR19" i="3"/>
  <c r="DK5" i="4" a="1"/>
  <c r="BG8" i="4" a="1"/>
  <c r="CY16" i="4" a="1"/>
  <c r="CH14" i="4" a="1"/>
  <c r="AS8" i="4" a="1"/>
  <c r="CV5" i="4" a="1"/>
  <c r="BM5" i="4" a="1"/>
  <c r="AP13" i="4" a="1"/>
  <c r="DS8" i="4" a="1"/>
  <c r="CM9" i="4" a="1"/>
  <c r="BX14" i="4" a="1"/>
  <c r="AY8" i="4" a="1"/>
  <c r="Q5" i="2"/>
  <c r="J33" i="2"/>
  <c r="Q12" i="2"/>
  <c r="G14" i="2"/>
  <c r="F25" i="2"/>
  <c r="U8" i="2"/>
  <c r="V9" i="2"/>
  <c r="H32" i="2"/>
  <c r="V17" i="2"/>
  <c r="AR48" i="3"/>
  <c r="M21" i="2"/>
  <c r="AR37" i="3"/>
  <c r="AD17" i="3"/>
  <c r="G46" i="3"/>
  <c r="AL46" i="3"/>
  <c r="D22" i="3"/>
  <c r="E34" i="3"/>
  <c r="I45" i="3"/>
  <c r="DL9" i="4" a="1"/>
  <c r="DH14" i="4" a="1"/>
  <c r="AS6" i="4" a="1"/>
  <c r="BL9" i="4" a="1"/>
  <c r="BK13" i="4" a="1"/>
  <c r="M7" i="4" a="1"/>
  <c r="CS8" i="4" a="1"/>
  <c r="AQ15" i="4" a="1"/>
  <c r="AD5" i="4" a="1"/>
  <c r="CM13" i="4" a="1"/>
  <c r="AZ8" i="4" a="1"/>
  <c r="DV15" i="4" a="1"/>
  <c r="D7" i="4" a="1"/>
  <c r="AW14" i="4" a="1"/>
  <c r="BP5" i="4" a="1"/>
  <c r="D9" i="4" a="1"/>
  <c r="EI12" i="4" a="1"/>
  <c r="BS14" i="4" a="1"/>
  <c r="BV11" i="4" a="1"/>
  <c r="G11" i="4" a="1"/>
  <c r="AL6" i="4" a="1"/>
  <c r="EB16" i="4" a="1"/>
  <c r="V8" i="4" a="1"/>
  <c r="EE6" i="4" a="1"/>
  <c r="AB6" i="4" a="1"/>
  <c r="C16" i="4" a="1"/>
  <c r="AU15" i="4" a="1"/>
  <c r="CE11" i="4" a="1"/>
  <c r="BP14" i="4" a="1"/>
  <c r="BY11" i="4" a="1"/>
  <c r="CO5" i="4" a="1"/>
  <c r="AS11" i="4" a="1"/>
  <c r="AJ8" i="4" a="1"/>
  <c r="F6" i="4" a="1"/>
  <c r="EB15" i="4" a="1"/>
  <c r="CL15" i="4" a="1"/>
  <c r="BB12" i="4" a="1"/>
  <c r="P11" i="4" a="1"/>
  <c r="S9" i="4" a="1"/>
  <c r="DC5" i="4" a="1"/>
  <c r="AR7" i="4" a="1"/>
  <c r="T5" i="4" a="1"/>
  <c r="EH6" i="4" a="1"/>
  <c r="CJ7" i="4" a="1"/>
  <c r="DI9" i="4" a="1"/>
  <c r="AU8" i="4" a="1"/>
  <c r="BX7" i="4" a="1"/>
  <c r="AM12" i="4" a="1"/>
  <c r="AQ14" i="4" a="1"/>
  <c r="CE9" i="4" a="1"/>
  <c r="CY5" i="4" a="1"/>
  <c r="H11" i="4" a="1"/>
  <c r="P15" i="4" a="1"/>
  <c r="DD14" i="4" a="1"/>
  <c r="DB11" i="4" a="1"/>
  <c r="BY6" i="4" a="1"/>
  <c r="CG13" i="4" a="1"/>
  <c r="AN14" i="4" a="1"/>
  <c r="BX11" i="4" a="1"/>
  <c r="AF6" i="4" a="1"/>
  <c r="CU11" i="4" a="1"/>
  <c r="BU15" i="4" a="1"/>
  <c r="DU12" i="4" a="1"/>
  <c r="EJ8" i="4" a="1"/>
  <c r="DY15" i="4" a="1"/>
  <c r="BM7" i="4" a="1"/>
  <c r="DA6" i="4" a="1"/>
  <c r="DF8" i="4" a="1"/>
  <c r="DT8" i="4" a="1"/>
  <c r="U15" i="2"/>
  <c r="T22" i="2"/>
  <c r="P20" i="2"/>
  <c r="J7" i="2"/>
  <c r="W29" i="2"/>
  <c r="M32" i="2"/>
  <c r="G11" i="2"/>
  <c r="F32" i="3"/>
  <c r="AB45" i="3"/>
  <c r="Q45" i="3"/>
  <c r="N46" i="3"/>
  <c r="G30" i="3"/>
  <c r="J45" i="3"/>
  <c r="BF11" i="4" a="1"/>
  <c r="AV9" i="4" a="1"/>
  <c r="DT12" i="4" a="1"/>
  <c r="CN11" i="4" a="1"/>
  <c r="DY16" i="4" a="1"/>
  <c r="CC8" i="4" a="1"/>
  <c r="EK8" i="4" a="1"/>
  <c r="CL9" i="4" a="1"/>
  <c r="EJ13" i="4" a="1"/>
  <c r="CK6" i="4" a="1"/>
  <c r="DW5" i="4" a="1"/>
  <c r="BK9" i="4" a="1"/>
  <c r="H12" i="4" a="1"/>
  <c r="CU14" i="4" a="1"/>
  <c r="CS13" i="4" a="1"/>
  <c r="BG13" i="4" a="1"/>
  <c r="DA16" i="4" a="1"/>
  <c r="AS12" i="4" a="1"/>
  <c r="D7" i="2"/>
  <c r="AR83" i="3"/>
  <c r="D30" i="3"/>
  <c r="F15" i="3"/>
  <c r="CY15" i="4" a="1"/>
  <c r="BG7" i="4" a="1"/>
  <c r="DT11" i="4" a="1"/>
  <c r="CV7" i="4" a="1"/>
  <c r="M13" i="4" a="1"/>
  <c r="Q46" i="2"/>
  <c r="J26" i="2"/>
  <c r="W30" i="2"/>
  <c r="D22" i="2"/>
  <c r="T18" i="2"/>
  <c r="E28" i="2"/>
  <c r="K6" i="2"/>
  <c r="AR71" i="3"/>
  <c r="R16" i="2"/>
  <c r="E27" i="2"/>
  <c r="M6" i="2"/>
  <c r="D33" i="3"/>
  <c r="E39" i="3"/>
  <c r="D39" i="3"/>
  <c r="AL45" i="3"/>
  <c r="AR39" i="3"/>
  <c r="AR28" i="3"/>
  <c r="AD11" i="3"/>
  <c r="BF9" i="4" a="1"/>
  <c r="DG12" i="4" a="1"/>
  <c r="BF7" i="4" a="1"/>
  <c r="DV7" i="4" a="1"/>
  <c r="DI14" i="4" a="1"/>
  <c r="ED14" i="4" a="1"/>
  <c r="DC7" i="4" a="1"/>
  <c r="CK14" i="4" a="1"/>
  <c r="DP16" i="4" a="1"/>
  <c r="BO5" i="4" a="1"/>
  <c r="EA8" i="4" a="1"/>
  <c r="W12" i="4" a="1"/>
  <c r="BQ8" i="4" a="1"/>
  <c r="DA14" i="4" a="1"/>
  <c r="AC6" i="4" a="1"/>
  <c r="DZ11" i="4" a="1"/>
  <c r="AT15" i="4" a="1"/>
  <c r="CG14" i="4" a="1"/>
  <c r="AW5" i="4" a="1"/>
  <c r="AH12" i="4" a="1"/>
  <c r="AX13" i="4" a="1"/>
  <c r="BZ13" i="4" a="1"/>
  <c r="DV6" i="4" a="1"/>
  <c r="CK13" i="4" a="1"/>
  <c r="I15" i="4" a="1"/>
  <c r="J12" i="4" a="1"/>
  <c r="Y7" i="4" a="1"/>
  <c r="CS6" i="4" a="1"/>
  <c r="DA12" i="4" a="1"/>
  <c r="DY5" i="4" a="1"/>
  <c r="CQ12" i="4" a="1"/>
  <c r="DU16" i="4" a="1"/>
  <c r="ED7" i="4" a="1"/>
  <c r="DM8" i="4" a="1"/>
  <c r="DX14" i="4" a="1"/>
  <c r="CW11" i="4" a="1"/>
  <c r="CV15" i="4" a="1"/>
  <c r="BH9" i="4" a="1"/>
  <c r="BL14" i="4" a="1"/>
  <c r="Y9" i="4" a="1"/>
  <c r="AR15" i="4" a="1"/>
  <c r="AQ8" i="4" a="1"/>
  <c r="AW11" i="4" a="1"/>
  <c r="DY6" i="4" a="1"/>
  <c r="BM12" i="4" a="1"/>
  <c r="CS16" i="4" a="1"/>
  <c r="S14" i="4" a="1"/>
  <c r="AE14" i="4" a="1"/>
  <c r="CK7" i="4" a="1"/>
  <c r="DM9" i="4" a="1"/>
  <c r="CV16" i="4" a="1"/>
  <c r="AG5" i="4" a="1"/>
  <c r="AT11" i="4" a="1"/>
  <c r="BX15" i="4" a="1"/>
  <c r="EI7" i="4" a="1"/>
  <c r="DI12" i="4" a="1"/>
  <c r="AN16" i="4" a="1"/>
  <c r="AJ11" i="4" a="1"/>
  <c r="Y13" i="4" a="1"/>
  <c r="BE14" i="4" a="1"/>
  <c r="AL16" i="4" a="1"/>
  <c r="DN16" i="4" a="1"/>
  <c r="DI6" i="4" a="1"/>
  <c r="ED12" i="4" a="1"/>
  <c r="Z11" i="4" a="1"/>
  <c r="DO7" i="4" a="1"/>
  <c r="CH9" i="4" a="1"/>
  <c r="DW16" i="4" a="1"/>
  <c r="DK8" i="4" a="1"/>
  <c r="D32" i="2"/>
  <c r="U25" i="2"/>
  <c r="N35" i="2"/>
  <c r="Q24" i="2"/>
  <c r="G27" i="2"/>
  <c r="F19" i="2"/>
  <c r="D13" i="2"/>
  <c r="AR69" i="3"/>
  <c r="E5" i="2"/>
  <c r="V19" i="2"/>
  <c r="E22" i="2"/>
  <c r="J46" i="3"/>
  <c r="AA45" i="3"/>
  <c r="E23" i="3"/>
  <c r="AR46" i="3"/>
  <c r="M45" i="3"/>
  <c r="G20" i="3"/>
  <c r="AR35" i="3"/>
  <c r="CI7" i="4" a="1"/>
  <c r="Z15" i="4" a="1"/>
  <c r="CZ12" i="4" a="1"/>
  <c r="Q12" i="4" a="1"/>
  <c r="DR5" i="4" a="1"/>
  <c r="AK13" i="4" a="1"/>
  <c r="D13" i="4" a="1"/>
  <c r="AG9" i="4" a="1"/>
  <c r="CU9" i="4" a="1"/>
  <c r="DQ11" i="4" a="1"/>
  <c r="CQ8" i="4" a="1"/>
  <c r="AD12" i="4" a="1"/>
  <c r="CP12" i="4" a="1"/>
  <c r="U5" i="4" a="1"/>
  <c r="BI9" i="4" a="1"/>
  <c r="AD16" i="4" a="1"/>
  <c r="AR13" i="4" a="1"/>
  <c r="T6" i="4" a="1"/>
  <c r="CZ8" i="4" a="1"/>
  <c r="AU5" i="4" a="1"/>
  <c r="CD15" i="4" a="1"/>
  <c r="CI8" i="4" a="1"/>
  <c r="BB11" i="4" a="1"/>
  <c r="BT8" i="4" a="1"/>
  <c r="CS11" i="4" a="1"/>
  <c r="BQ6" i="4" a="1"/>
  <c r="DE5" i="4" a="1"/>
  <c r="AJ6" i="4" a="1"/>
  <c r="BO15" i="4" a="1"/>
  <c r="DA9" i="4" a="1"/>
  <c r="BM11" i="4" a="1"/>
  <c r="BD8" i="4" a="1"/>
  <c r="DM7" i="4" a="1"/>
  <c r="EF7" i="4" a="1"/>
  <c r="BD16" i="4" a="1"/>
  <c r="EH15" i="4" a="1"/>
  <c r="S16" i="4" a="1"/>
  <c r="DS11" i="4" a="1"/>
  <c r="BW8" i="4" a="1"/>
  <c r="DS14" i="4" a="1"/>
  <c r="AP14" i="4" a="1"/>
  <c r="AM15" i="4" a="1"/>
  <c r="CM5" i="4" a="1"/>
  <c r="CE12" i="4" a="1"/>
  <c r="H7" i="4" a="1"/>
  <c r="CU15" i="4" a="1"/>
  <c r="AV7" i="4" a="1"/>
  <c r="BF15" i="4" a="1"/>
  <c r="BP9" i="4" a="1"/>
  <c r="DB5" i="4" a="1"/>
  <c r="BI12" i="4" a="1"/>
  <c r="N16" i="4" a="1"/>
  <c r="Q7" i="4" a="1"/>
  <c r="BV12" i="4" a="1"/>
  <c r="F14" i="4" a="1"/>
  <c r="J11" i="4" a="1"/>
  <c r="E11" i="4" a="1"/>
  <c r="O15" i="4" a="1"/>
  <c r="BK5" i="4" a="1"/>
  <c r="BG9" i="4" a="1"/>
  <c r="DY7" i="4" a="1"/>
  <c r="EK13" i="4" a="1"/>
  <c r="DD16" i="4" a="1"/>
  <c r="CQ5" i="4" a="1"/>
  <c r="O12" i="4" a="1"/>
  <c r="BS5" i="4" a="1"/>
  <c r="EK6" i="4" a="1"/>
  <c r="BF6" i="4" a="1"/>
  <c r="D5" i="4" a="1"/>
  <c r="DD8" i="4" a="1"/>
  <c r="DR13" i="4" a="1"/>
  <c r="AX5" i="4" a="1"/>
  <c r="EC14" i="4" a="1"/>
  <c r="S5" i="4" a="1"/>
  <c r="CZ7" i="4" a="1"/>
  <c r="BZ16" i="4" a="1"/>
  <c r="G16" i="4" a="1"/>
  <c r="BR14" i="4" a="1"/>
  <c r="DZ15" i="4" a="1"/>
  <c r="CY7" i="4" a="1"/>
  <c r="AQ9" i="4" a="1"/>
  <c r="CU16" i="4" a="1"/>
  <c r="L12" i="4" a="1"/>
  <c r="AE9" i="4" a="1"/>
  <c r="M8" i="4" a="1"/>
  <c r="BK14" i="4" a="1"/>
  <c r="AZ16" i="4" a="1"/>
  <c r="BL7" i="4" a="1"/>
  <c r="AT7" i="4" a="1"/>
  <c r="F73" i="3"/>
  <c r="G93" i="3"/>
  <c r="F87" i="3"/>
  <c r="G85" i="3"/>
  <c r="F96" i="3"/>
  <c r="F48" i="3"/>
  <c r="G84" i="3"/>
  <c r="F50" i="3"/>
  <c r="G59" i="3"/>
  <c r="F84" i="3"/>
  <c r="G75" i="3"/>
  <c r="G65" i="3"/>
  <c r="F75" i="3"/>
  <c r="F97" i="3"/>
  <c r="F65" i="3"/>
  <c r="G68" i="3"/>
  <c r="F85" i="3"/>
  <c r="F57" i="3"/>
  <c r="F90" i="3"/>
  <c r="F47" i="3"/>
  <c r="F72" i="3"/>
  <c r="F68" i="3"/>
  <c r="G62" i="3"/>
  <c r="F92" i="3"/>
  <c r="F56" i="3"/>
  <c r="F71" i="3"/>
  <c r="F70" i="3"/>
  <c r="F78" i="3"/>
  <c r="F67" i="3"/>
  <c r="F93" i="3"/>
  <c r="G90" i="3"/>
  <c r="G92" i="3"/>
  <c r="F49" i="3"/>
  <c r="G80" i="3"/>
  <c r="F91" i="3"/>
  <c r="F61" i="3"/>
  <c r="G76" i="3"/>
  <c r="F76" i="3"/>
  <c r="F69" i="3"/>
  <c r="G64" i="3"/>
  <c r="F80" i="3"/>
  <c r="G67" i="3"/>
  <c r="F82" i="3"/>
  <c r="G83" i="3"/>
  <c r="F62" i="3"/>
  <c r="F89" i="3"/>
  <c r="G82" i="3"/>
  <c r="G66" i="3"/>
  <c r="G89" i="3"/>
  <c r="G96" i="3"/>
  <c r="G95" i="3"/>
  <c r="F77" i="3"/>
  <c r="F79" i="3"/>
  <c r="G56" i="3"/>
  <c r="G79" i="3"/>
  <c r="F74" i="3"/>
  <c r="G73" i="3"/>
  <c r="G61" i="3"/>
  <c r="F66" i="3"/>
  <c r="G57" i="3"/>
  <c r="F54" i="3"/>
  <c r="F88" i="3"/>
  <c r="G81" i="3"/>
  <c r="G87" i="3"/>
  <c r="G78" i="3"/>
  <c r="G97" i="3"/>
  <c r="G72" i="3"/>
  <c r="G63" i="3"/>
  <c r="G86" i="3"/>
  <c r="G71" i="3"/>
  <c r="G77" i="3"/>
  <c r="F55" i="3"/>
  <c r="F81" i="3"/>
  <c r="G74" i="3"/>
  <c r="G60" i="3"/>
  <c r="G94" i="3"/>
  <c r="F58" i="3"/>
  <c r="F86" i="3"/>
  <c r="F64" i="3"/>
  <c r="F59" i="3"/>
  <c r="G69" i="3"/>
  <c r="G58" i="3"/>
  <c r="F95" i="3"/>
  <c r="F63" i="3"/>
  <c r="F94" i="3"/>
  <c r="G55" i="3"/>
  <c r="F60" i="3"/>
  <c r="G91" i="3"/>
  <c r="G70" i="3"/>
  <c r="G88" i="3"/>
  <c r="G54" i="3"/>
  <c r="CP77" i="1"/>
  <c r="CN63" i="1"/>
  <c r="CM65" i="1"/>
  <c r="D92" i="3" l="1"/>
  <c r="D54" i="3"/>
  <c r="D70" i="3"/>
  <c r="D60" i="3"/>
  <c r="D61" i="3"/>
  <c r="D69" i="3"/>
  <c r="D80" i="3"/>
  <c r="D76" i="3"/>
  <c r="D90" i="3"/>
  <c r="D72" i="3"/>
  <c r="D67" i="3"/>
  <c r="D86" i="3"/>
  <c r="D94" i="3"/>
  <c r="D58" i="3"/>
  <c r="D95" i="3"/>
  <c r="D83" i="3"/>
  <c r="D82" i="3"/>
  <c r="D88" i="3"/>
  <c r="D96" i="3"/>
  <c r="D68" i="3"/>
  <c r="D66" i="3"/>
  <c r="D87" i="3"/>
  <c r="D93" i="3"/>
  <c r="D64" i="3"/>
  <c r="D91" i="3"/>
  <c r="D78" i="3"/>
  <c r="D56" i="3"/>
  <c r="D65" i="3"/>
  <c r="D71" i="3"/>
  <c r="D97" i="3"/>
  <c r="D63" i="3"/>
  <c r="D73" i="3"/>
  <c r="D89" i="3"/>
  <c r="D55" i="3"/>
  <c r="D84" i="3"/>
  <c r="D81" i="3"/>
  <c r="D74" i="3"/>
  <c r="D62" i="3"/>
  <c r="D85" i="3"/>
  <c r="D75" i="3"/>
  <c r="D59" i="3"/>
  <c r="D57" i="3"/>
  <c r="D79" i="3"/>
  <c r="D77" i="3"/>
  <c r="E70" i="3"/>
  <c r="AD57" i="3"/>
  <c r="BJ118" i="1" s="1"/>
  <c r="BK118" i="1" s="1"/>
  <c r="E72" i="3"/>
  <c r="E79" i="3"/>
  <c r="AD92" i="3"/>
  <c r="BJ155" i="1" s="1"/>
  <c r="BK155" i="1" s="1"/>
  <c r="AD94" i="3"/>
  <c r="AD84" i="3"/>
  <c r="BJ146" i="1" s="1"/>
  <c r="BK146" i="1" s="1"/>
  <c r="AD69" i="3"/>
  <c r="BJ132" i="1" s="1"/>
  <c r="E94" i="3"/>
  <c r="AD85" i="3"/>
  <c r="BJ147" i="1" s="1"/>
  <c r="BK147" i="1" s="1"/>
  <c r="E60" i="3"/>
  <c r="E90" i="3"/>
  <c r="E68" i="3"/>
  <c r="AD88" i="3"/>
  <c r="BJ127" i="1" s="1"/>
  <c r="BK127" i="1" s="1"/>
  <c r="AD78" i="3"/>
  <c r="BJ142" i="1" s="1"/>
  <c r="BK142" i="1" s="1"/>
  <c r="AD74" i="3"/>
  <c r="BJ137" i="1" s="1"/>
  <c r="BK137" i="1" s="1"/>
  <c r="E54" i="3"/>
  <c r="E85" i="3"/>
  <c r="AD83" i="3"/>
  <c r="BJ160" i="1" s="1"/>
  <c r="E67" i="3"/>
  <c r="AD63" i="3"/>
  <c r="BJ125" i="1" s="1"/>
  <c r="BK125" i="1" s="1"/>
  <c r="AD58" i="3"/>
  <c r="BJ119" i="1" s="1"/>
  <c r="E93" i="3"/>
  <c r="E57" i="3"/>
  <c r="AD68" i="3"/>
  <c r="BJ131" i="1" s="1"/>
  <c r="E76" i="3"/>
  <c r="AD64" i="3"/>
  <c r="BJ149" i="1" s="1"/>
  <c r="E88" i="3"/>
  <c r="E64" i="3"/>
  <c r="E84" i="3"/>
  <c r="AD73" i="3"/>
  <c r="AD97" i="3"/>
  <c r="AD59" i="3"/>
  <c r="AD76" i="3"/>
  <c r="AD81" i="3"/>
  <c r="BJ144" i="1" s="1"/>
  <c r="AD60" i="3"/>
  <c r="BJ122" i="1" s="1"/>
  <c r="BK122" i="1" s="1"/>
  <c r="E86" i="3"/>
  <c r="AD96" i="3"/>
  <c r="BJ163" i="1" s="1"/>
  <c r="BK163" i="1" s="1"/>
  <c r="AD71" i="3"/>
  <c r="E55" i="3"/>
  <c r="AD79" i="3"/>
  <c r="BJ143" i="1" s="1"/>
  <c r="E87" i="3"/>
  <c r="E89" i="3"/>
  <c r="E56" i="3"/>
  <c r="E97" i="3"/>
  <c r="AD93" i="3"/>
  <c r="AD55" i="3"/>
  <c r="E95" i="3"/>
  <c r="E69" i="3"/>
  <c r="E81" i="3"/>
  <c r="AD56" i="3"/>
  <c r="BJ117" i="1" s="1"/>
  <c r="AD61" i="3"/>
  <c r="AD89" i="3"/>
  <c r="BJ153" i="1" s="1"/>
  <c r="E74" i="3"/>
  <c r="E82" i="3"/>
  <c r="E78" i="3"/>
  <c r="E66" i="3"/>
  <c r="E61" i="3"/>
  <c r="AD66" i="3"/>
  <c r="BJ151" i="1" s="1"/>
  <c r="BK151" i="1" s="1"/>
  <c r="E59" i="3"/>
  <c r="AD70" i="3"/>
  <c r="BJ133" i="1" s="1"/>
  <c r="AD72" i="3"/>
  <c r="BJ135" i="1" s="1"/>
  <c r="BK135" i="1" s="1"/>
  <c r="AD91" i="3"/>
  <c r="BJ154" i="1" s="1"/>
  <c r="BK154" i="1" s="1"/>
  <c r="AD62" i="3"/>
  <c r="BJ124" i="1" s="1"/>
  <c r="BK124" i="1" s="1"/>
  <c r="E91" i="3"/>
  <c r="E62" i="3"/>
  <c r="E63" i="3"/>
  <c r="E71" i="3"/>
  <c r="AD67" i="3"/>
  <c r="E58" i="3"/>
  <c r="E83" i="3"/>
  <c r="E96" i="3"/>
  <c r="E92" i="3"/>
  <c r="AD80" i="3"/>
  <c r="BJ159" i="1" s="1"/>
  <c r="AD90" i="3"/>
  <c r="BJ126" i="1" s="1"/>
  <c r="BK126" i="1" s="1"/>
  <c r="E65" i="3"/>
  <c r="E75" i="3"/>
  <c r="E80" i="3"/>
  <c r="AD82" i="3"/>
  <c r="BJ145" i="1" s="1"/>
  <c r="AD87" i="3"/>
  <c r="BJ152" i="1" s="1"/>
  <c r="BK152" i="1" s="1"/>
  <c r="AD77" i="3"/>
  <c r="BJ140" i="1" s="1"/>
  <c r="BK140" i="1" s="1"/>
  <c r="BL202" i="1" s="1"/>
  <c r="AD65" i="3"/>
  <c r="BJ150" i="1" s="1"/>
  <c r="BK150" i="1" s="1"/>
  <c r="AD86" i="3"/>
  <c r="AD75" i="3"/>
  <c r="AD54" i="3"/>
  <c r="E73" i="3"/>
  <c r="E77" i="3"/>
  <c r="AD95" i="3"/>
  <c r="BX46" i="1"/>
  <c r="AM9" i="1"/>
  <c r="AK35" i="1"/>
  <c r="U22" i="1"/>
  <c r="BX132" i="1"/>
  <c r="C24" i="1"/>
  <c r="E22" i="1"/>
  <c r="F32" i="1"/>
  <c r="F194" i="1" s="1"/>
  <c r="M51" i="1"/>
  <c r="T36" i="1"/>
  <c r="C45" i="1"/>
  <c r="JA9" i="4" s="1"/>
  <c r="IH9" i="4" s="1"/>
  <c r="JB16" i="4" s="1"/>
  <c r="BJ15" i="1"/>
  <c r="BX32" i="1"/>
  <c r="BX194" i="1" s="1"/>
  <c r="L8" i="1"/>
  <c r="L231" i="1" s="1"/>
  <c r="D32" i="1"/>
  <c r="D194" i="1" s="1"/>
  <c r="J8" i="1"/>
  <c r="J231" i="1" s="1"/>
  <c r="S25" i="1"/>
  <c r="V39" i="1"/>
  <c r="AL24" i="1"/>
  <c r="BX160" i="1"/>
  <c r="C9" i="1"/>
  <c r="IW16" i="4" s="1"/>
  <c r="II9" i="4" s="1"/>
  <c r="IR9" i="4" s="1"/>
  <c r="JE16" i="4" s="1"/>
  <c r="ID9" i="4" s="1"/>
  <c r="F13" i="1"/>
  <c r="L45" i="1"/>
  <c r="V47" i="1"/>
  <c r="I9" i="1"/>
  <c r="T23" i="1"/>
  <c r="JI8" i="4" s="1"/>
  <c r="JF16" i="4" s="1"/>
  <c r="AK45" i="1"/>
  <c r="BJ21" i="1"/>
  <c r="U21" i="1"/>
  <c r="G45" i="1"/>
  <c r="E36" i="1"/>
  <c r="F20" i="1"/>
  <c r="P15" i="1"/>
  <c r="I46" i="1"/>
  <c r="JC8" i="4" s="1"/>
  <c r="IV9" i="4" s="1"/>
  <c r="BX25" i="1"/>
  <c r="AL8" i="1"/>
  <c r="W47" i="1"/>
  <c r="O36" i="1"/>
  <c r="G9" i="1"/>
  <c r="W132" i="1"/>
  <c r="F45" i="1"/>
  <c r="J21" i="1"/>
  <c r="Q46" i="1"/>
  <c r="C22" i="1"/>
  <c r="AJ8" i="1"/>
  <c r="AJ231" i="1" s="1"/>
  <c r="G20" i="1"/>
  <c r="H20" i="1"/>
  <c r="IS16" i="4" s="1"/>
  <c r="AL39" i="1"/>
  <c r="IY16" i="4" s="1"/>
  <c r="AJ9" i="1"/>
  <c r="BX142" i="1"/>
  <c r="BY142" i="1" s="1"/>
  <c r="E32" i="1"/>
  <c r="E194" i="1" s="1"/>
  <c r="IV16" i="4" s="1"/>
  <c r="D122" i="1"/>
  <c r="Q9" i="1"/>
  <c r="C23" i="1"/>
  <c r="JF9" i="4" s="1"/>
  <c r="HS16" i="4" s="1"/>
  <c r="HT9" i="4" s="1"/>
  <c r="IE9" i="4" s="1"/>
  <c r="IL9" i="4" s="1"/>
  <c r="AL20" i="1"/>
  <c r="AK36" i="1"/>
  <c r="N35" i="1"/>
  <c r="B36" i="1"/>
  <c r="P32" i="1"/>
  <c r="P194" i="1" s="1"/>
  <c r="N21" i="1"/>
  <c r="IR7" i="4" s="1"/>
  <c r="IP16" i="4" s="1"/>
  <c r="B9" i="1"/>
  <c r="IK16" i="4" s="1"/>
  <c r="IQ16" i="4" s="1"/>
  <c r="AM13" i="1"/>
  <c r="BX51" i="1"/>
  <c r="W39" i="1"/>
  <c r="HV9" i="4" s="1"/>
  <c r="II16" i="4" s="1"/>
  <c r="IA16" i="4" s="1"/>
  <c r="JI16" i="4" s="1"/>
  <c r="JH7" i="4" s="1"/>
  <c r="IC9" i="4" s="1"/>
  <c r="JB8" i="4" s="1"/>
  <c r="JB9" i="4" s="1"/>
  <c r="BX24" i="1"/>
  <c r="W15" i="1"/>
  <c r="V22" i="1"/>
  <c r="D9" i="1"/>
  <c r="R9" i="1"/>
  <c r="F36" i="1"/>
  <c r="C15" i="1"/>
  <c r="N51" i="1"/>
  <c r="II7" i="4" s="1"/>
  <c r="G36" i="1"/>
  <c r="Q47" i="1"/>
  <c r="IA9" i="4" s="1"/>
  <c r="V46" i="1"/>
  <c r="IM16" i="4" s="1"/>
  <c r="AK51" i="1"/>
  <c r="L13" i="1"/>
  <c r="Q23" i="1"/>
  <c r="V21" i="1"/>
  <c r="IK14" i="4" s="1"/>
  <c r="HV16" i="4" s="1"/>
  <c r="AL46" i="1"/>
  <c r="AJ25" i="1"/>
  <c r="BX8" i="1"/>
  <c r="AM24" i="1"/>
  <c r="K32" i="1"/>
  <c r="K194" i="1" s="1"/>
  <c r="H13" i="1"/>
  <c r="Q13" i="1"/>
  <c r="L21" i="1"/>
  <c r="C51" i="1"/>
  <c r="T25" i="1"/>
  <c r="T35" i="1"/>
  <c r="BX20" i="1"/>
  <c r="BX126" i="1"/>
  <c r="BY126" i="1" s="1"/>
  <c r="S21" i="1"/>
  <c r="JH9" i="4" s="1"/>
  <c r="JG16" i="4" s="1"/>
  <c r="AK32" i="1"/>
  <c r="AK194" i="1" s="1"/>
  <c r="B24" i="1"/>
  <c r="I25" i="1"/>
  <c r="J13" i="1"/>
  <c r="IO9" i="4" s="1"/>
  <c r="IQ9" i="4" s="1"/>
  <c r="HQ9" i="4" s="1"/>
  <c r="IG9" i="4" s="1"/>
  <c r="HP9" i="4" s="1"/>
  <c r="AL32" i="1"/>
  <c r="AL194" i="1" s="1"/>
  <c r="J20" i="1"/>
  <c r="E45" i="1"/>
  <c r="K45" i="1"/>
  <c r="Q8" i="1"/>
  <c r="U9" i="1"/>
  <c r="U10" i="1" s="1"/>
  <c r="W46" i="1"/>
  <c r="AJ22" i="1"/>
  <c r="BJ25" i="1"/>
  <c r="BJ24" i="1"/>
  <c r="AM15" i="1"/>
  <c r="J23" i="1"/>
  <c r="BX146" i="1"/>
  <c r="BY146" i="1" s="1"/>
  <c r="B35" i="1"/>
  <c r="Q22" i="1"/>
  <c r="BX122" i="1"/>
  <c r="BY122" i="1" s="1"/>
  <c r="I21" i="1"/>
  <c r="BX153" i="1"/>
  <c r="BX183" i="1" s="1"/>
  <c r="BY183" i="1" s="1"/>
  <c r="B25" i="1"/>
  <c r="E47" i="1"/>
  <c r="S20" i="1"/>
  <c r="L24" i="1"/>
  <c r="W32" i="1"/>
  <c r="F51" i="1"/>
  <c r="O8" i="1"/>
  <c r="I15" i="1"/>
  <c r="J9" i="1"/>
  <c r="I36" i="1"/>
  <c r="U35" i="1"/>
  <c r="N39" i="1"/>
  <c r="J35" i="1"/>
  <c r="C47" i="1"/>
  <c r="D20" i="1"/>
  <c r="D22" i="1"/>
  <c r="Q153" i="1"/>
  <c r="K15" i="1"/>
  <c r="B8" i="1"/>
  <c r="U15" i="1"/>
  <c r="N45" i="1"/>
  <c r="R51" i="1"/>
  <c r="BX118" i="1"/>
  <c r="BY118" i="1" s="1"/>
  <c r="I45" i="1"/>
  <c r="V20" i="1"/>
  <c r="K8" i="1"/>
  <c r="K231" i="1" s="1"/>
  <c r="G23" i="1"/>
  <c r="G13" i="1"/>
  <c r="G25" i="1"/>
  <c r="G32" i="1"/>
  <c r="G194" i="1" s="1"/>
  <c r="O46" i="1"/>
  <c r="T24" i="1"/>
  <c r="V13" i="1"/>
  <c r="R23" i="1"/>
  <c r="I22" i="1"/>
  <c r="G153" i="1"/>
  <c r="M20" i="1"/>
  <c r="H23" i="1"/>
  <c r="H22" i="1"/>
  <c r="N15" i="1"/>
  <c r="P46" i="1"/>
  <c r="T13" i="1"/>
  <c r="E8" i="1"/>
  <c r="J45" i="1"/>
  <c r="E159" i="1"/>
  <c r="F21" i="1"/>
  <c r="H35" i="1"/>
  <c r="S51" i="1"/>
  <c r="E51" i="1"/>
  <c r="P20" i="1"/>
  <c r="J24" i="1"/>
  <c r="B21" i="1"/>
  <c r="R15" i="1"/>
  <c r="L25" i="1"/>
  <c r="P160" i="1"/>
  <c r="T32" i="1"/>
  <c r="AJ23" i="1"/>
  <c r="BX13" i="1"/>
  <c r="AM35" i="1"/>
  <c r="AL45" i="1"/>
  <c r="AL14" i="1"/>
  <c r="BJ13" i="1"/>
  <c r="M23" i="1"/>
  <c r="B15" i="1"/>
  <c r="E23" i="1"/>
  <c r="G46" i="1"/>
  <c r="S45" i="1"/>
  <c r="J25" i="1"/>
  <c r="BX117" i="1"/>
  <c r="BY117" i="1" s="1"/>
  <c r="P9" i="1"/>
  <c r="C25" i="1"/>
  <c r="E46" i="1"/>
  <c r="P47" i="1"/>
  <c r="R8" i="1"/>
  <c r="W23" i="1"/>
  <c r="E13" i="1"/>
  <c r="O20" i="1"/>
  <c r="M32" i="1"/>
  <c r="M194" i="1" s="1"/>
  <c r="J15" i="1"/>
  <c r="O32" i="1"/>
  <c r="R32" i="1"/>
  <c r="N9" i="1"/>
  <c r="F8" i="1"/>
  <c r="F231" i="1" s="1"/>
  <c r="E24" i="1"/>
  <c r="IX14" i="4" s="1"/>
  <c r="JG8" i="4" s="1"/>
  <c r="HW9" i="4" s="1"/>
  <c r="AJ46" i="1"/>
  <c r="BX39" i="1"/>
  <c r="BJ14" i="1"/>
  <c r="AK46" i="1"/>
  <c r="AJ15" i="1"/>
  <c r="AJ24" i="1"/>
  <c r="AJ39" i="1"/>
  <c r="AK25" i="1"/>
  <c r="AK47" i="1"/>
  <c r="BX14" i="1"/>
  <c r="N20" i="1"/>
  <c r="O15" i="1"/>
  <c r="BX164" i="1"/>
  <c r="BY164" i="1" s="1"/>
  <c r="L39" i="1"/>
  <c r="S13" i="1"/>
  <c r="Q21" i="1"/>
  <c r="P45" i="1"/>
  <c r="D35" i="1"/>
  <c r="L23" i="1"/>
  <c r="O45" i="1"/>
  <c r="O51" i="1"/>
  <c r="O39" i="1"/>
  <c r="K25" i="1"/>
  <c r="S24" i="1"/>
  <c r="T9" i="1"/>
  <c r="G24" i="1"/>
  <c r="V15" i="1"/>
  <c r="E21" i="1"/>
  <c r="M25" i="1"/>
  <c r="P127" i="1"/>
  <c r="K21" i="1"/>
  <c r="M13" i="1"/>
  <c r="F35" i="1"/>
  <c r="W22" i="1"/>
  <c r="L20" i="1"/>
  <c r="IK9" i="4" s="1"/>
  <c r="BX35" i="1"/>
  <c r="BJ20" i="1"/>
  <c r="BX23" i="1"/>
  <c r="AM25" i="1"/>
  <c r="BX36" i="1"/>
  <c r="AK23" i="1"/>
  <c r="AL9" i="1"/>
  <c r="U23" i="1"/>
  <c r="U36" i="1"/>
  <c r="U252" i="1" s="1"/>
  <c r="J32" i="1"/>
  <c r="BX154" i="1"/>
  <c r="BY154" i="1" s="1"/>
  <c r="W45" i="1"/>
  <c r="C13" i="1"/>
  <c r="I13" i="1"/>
  <c r="BX74" i="1"/>
  <c r="Q32" i="1"/>
  <c r="M8" i="1"/>
  <c r="M231" i="1" s="1"/>
  <c r="M9" i="1"/>
  <c r="Q20" i="1"/>
  <c r="H51" i="1"/>
  <c r="K23" i="1"/>
  <c r="S9" i="1"/>
  <c r="I23" i="1"/>
  <c r="R21" i="1"/>
  <c r="C21" i="1"/>
  <c r="F46" i="1"/>
  <c r="K46" i="1"/>
  <c r="P39" i="1"/>
  <c r="C124" i="1"/>
  <c r="R36" i="1"/>
  <c r="K35" i="1"/>
  <c r="T8" i="1"/>
  <c r="E35" i="1"/>
  <c r="HQ16" i="4" s="1"/>
  <c r="IF16" i="4" s="1"/>
  <c r="ID16" i="4" s="1"/>
  <c r="ID21" i="4" s="1"/>
  <c r="AX77" i="1" s="1"/>
  <c r="JD7" i="4" s="1"/>
  <c r="BX47" i="1"/>
  <c r="AM22" i="1"/>
  <c r="BX21" i="1"/>
  <c r="AJ14" i="1"/>
  <c r="AJ45" i="1"/>
  <c r="AL36" i="1"/>
  <c r="AL252" i="1" s="1"/>
  <c r="AL21" i="1"/>
  <c r="BX45" i="1"/>
  <c r="F25" i="1"/>
  <c r="I39" i="1"/>
  <c r="P153" i="1"/>
  <c r="E20" i="1"/>
  <c r="BX150" i="1"/>
  <c r="BY150" i="1" s="1"/>
  <c r="BX159" i="1"/>
  <c r="BX161" i="1" s="1"/>
  <c r="BY209" i="1" s="1"/>
  <c r="I20" i="1"/>
  <c r="BX127" i="1"/>
  <c r="BY127" i="1" s="1"/>
  <c r="D21" i="1"/>
  <c r="L9" i="1"/>
  <c r="L10" i="1" s="1"/>
  <c r="V9" i="1"/>
  <c r="V10" i="1" s="1"/>
  <c r="V98" i="1" s="1"/>
  <c r="U24" i="1"/>
  <c r="L47" i="1"/>
  <c r="H39" i="1"/>
  <c r="S32" i="1"/>
  <c r="S194" i="1" s="1"/>
  <c r="F39" i="1"/>
  <c r="M21" i="1"/>
  <c r="I8" i="1"/>
  <c r="I231" i="1" s="1"/>
  <c r="S47" i="1"/>
  <c r="V45" i="1"/>
  <c r="Q24" i="1"/>
  <c r="G163" i="1"/>
  <c r="U46" i="1"/>
  <c r="S23" i="1"/>
  <c r="O23" i="1"/>
  <c r="N22" i="1"/>
  <c r="U51" i="1"/>
  <c r="F22" i="1"/>
  <c r="W20" i="1"/>
  <c r="T22" i="1"/>
  <c r="W9" i="1"/>
  <c r="W10" i="1" s="1"/>
  <c r="X188" i="1" s="1"/>
  <c r="IM9" i="4" s="1"/>
  <c r="AL47" i="1"/>
  <c r="AJ36" i="1"/>
  <c r="AK39" i="1"/>
  <c r="BJ23" i="1"/>
  <c r="AK9" i="1"/>
  <c r="BX144" i="1"/>
  <c r="B39" i="1"/>
  <c r="G51" i="1"/>
  <c r="B13" i="1"/>
  <c r="J22" i="1"/>
  <c r="O25" i="1"/>
  <c r="B20" i="1"/>
  <c r="H36" i="1"/>
  <c r="D23" i="1"/>
  <c r="C46" i="1"/>
  <c r="S22" i="1"/>
  <c r="U25" i="1"/>
  <c r="M22" i="1"/>
  <c r="Q35" i="1"/>
  <c r="R24" i="1"/>
  <c r="O35" i="1"/>
  <c r="S15" i="1"/>
  <c r="N23" i="1"/>
  <c r="F47" i="1"/>
  <c r="J46" i="1"/>
  <c r="O9" i="1"/>
  <c r="T20" i="1"/>
  <c r="P8" i="1"/>
  <c r="P22" i="1"/>
  <c r="U47" i="1"/>
  <c r="JD14" i="4" s="1"/>
  <c r="JI9" i="4" s="1"/>
  <c r="HS9" i="4" s="1"/>
  <c r="IZ9" i="4" s="1"/>
  <c r="HR16" i="4" s="1"/>
  <c r="IL16" i="4" s="1"/>
  <c r="AK24" i="1"/>
  <c r="AK14" i="1"/>
  <c r="AL15" i="1"/>
  <c r="AJ47" i="1"/>
  <c r="BX163" i="1"/>
  <c r="BY163" i="1" s="1"/>
  <c r="C20" i="1"/>
  <c r="B23" i="1"/>
  <c r="I35" i="1"/>
  <c r="T46" i="1"/>
  <c r="BX131" i="1"/>
  <c r="BX73" i="1"/>
  <c r="U13" i="1"/>
  <c r="K13" i="1"/>
  <c r="S8" i="1"/>
  <c r="S231" i="1" s="1"/>
  <c r="D15" i="1"/>
  <c r="V23" i="1"/>
  <c r="B51" i="1"/>
  <c r="L15" i="1"/>
  <c r="N13" i="1"/>
  <c r="H21" i="1"/>
  <c r="R22" i="1"/>
  <c r="D47" i="1"/>
  <c r="G8" i="1"/>
  <c r="K22" i="1"/>
  <c r="S39" i="1"/>
  <c r="V51" i="1"/>
  <c r="J47" i="1"/>
  <c r="T39" i="1"/>
  <c r="W35" i="1"/>
  <c r="W13" i="1"/>
  <c r="T15" i="1"/>
  <c r="T47" i="1"/>
  <c r="W117" i="1"/>
  <c r="JE9" i="4" s="1"/>
  <c r="JG9" i="4" s="1"/>
  <c r="JC9" i="4" s="1"/>
  <c r="IC16" i="4" s="1"/>
  <c r="AM23" i="1"/>
  <c r="BX15" i="1"/>
  <c r="AJ20" i="1"/>
  <c r="BX140" i="1"/>
  <c r="BY140" i="1" s="1"/>
  <c r="BZ202" i="1" s="1"/>
  <c r="C36" i="1"/>
  <c r="BX152" i="1"/>
  <c r="BY152" i="1" s="1"/>
  <c r="P155" i="1"/>
  <c r="D25" i="1"/>
  <c r="BX135" i="1"/>
  <c r="BY135" i="1" s="1"/>
  <c r="BY73" i="1"/>
  <c r="K39" i="1"/>
  <c r="H9" i="1"/>
  <c r="B45" i="1"/>
  <c r="O24" i="1"/>
  <c r="G35" i="1"/>
  <c r="H45" i="1"/>
  <c r="M46" i="1"/>
  <c r="N36" i="1"/>
  <c r="T51" i="1"/>
  <c r="Q25" i="1"/>
  <c r="V24" i="1"/>
  <c r="G47" i="1"/>
  <c r="N8" i="1"/>
  <c r="H32" i="1"/>
  <c r="H194" i="1" s="1"/>
  <c r="P25" i="1"/>
  <c r="D46" i="1"/>
  <c r="IO16" i="4" s="1"/>
  <c r="IO21" i="4" s="1"/>
  <c r="BI77" i="1" s="1"/>
  <c r="JH16" i="4" s="1"/>
  <c r="HX9" i="4" s="1"/>
  <c r="BJ8" i="1"/>
  <c r="BJ231" i="1" s="1"/>
  <c r="AL35" i="1"/>
  <c r="BX9" i="1"/>
  <c r="BX10" i="1" s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53" i="1" s="1"/>
  <c r="J119" i="1"/>
  <c r="D13" i="1"/>
  <c r="P35" i="1"/>
  <c r="V32" i="1"/>
  <c r="E15" i="1"/>
  <c r="W25" i="1"/>
  <c r="W36" i="1"/>
  <c r="W252" i="1" s="1"/>
  <c r="E9" i="1"/>
  <c r="H47" i="1"/>
  <c r="R39" i="1"/>
  <c r="L32" i="1"/>
  <c r="L253" i="1" s="1"/>
  <c r="V25" i="1"/>
  <c r="L36" i="1"/>
  <c r="L252" i="1" s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T9" i="4" s="1"/>
  <c r="HS7" i="4" s="1"/>
  <c r="JG14" i="4" s="1"/>
  <c r="IB9" i="4" s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IW7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J252" i="1" s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IG8" i="4"/>
  <c r="JG15" i="4"/>
  <c r="JI14" i="4"/>
  <c r="IL8" i="4"/>
  <c r="HR8" i="4"/>
  <c r="IV14" i="4"/>
  <c r="HP8" i="4"/>
  <c r="IK8" i="4"/>
  <c r="IU8" i="4"/>
  <c r="IP8" i="4"/>
  <c r="HX14" i="4"/>
  <c r="IT14" i="4"/>
  <c r="HQ14" i="4"/>
  <c r="JE8" i="4"/>
  <c r="IB14" i="4"/>
  <c r="IN15" i="4"/>
  <c r="IN14" i="4"/>
  <c r="IT15" i="4"/>
  <c r="IK7" i="4"/>
  <c r="IG14" i="4"/>
  <c r="HY15" i="4"/>
  <c r="IS14" i="4"/>
  <c r="IV7" i="4"/>
  <c r="JE7" i="4"/>
  <c r="IC8" i="4"/>
  <c r="IA7" i="4"/>
  <c r="ID14" i="4"/>
  <c r="JC14" i="4"/>
  <c r="HS15" i="4"/>
  <c r="HZ8" i="4"/>
  <c r="IR15" i="4"/>
  <c r="HU15" i="4"/>
  <c r="JF8" i="4"/>
  <c r="JA8" i="4"/>
  <c r="JB7" i="4"/>
  <c r="JD15" i="4"/>
  <c r="IS8" i="4"/>
  <c r="HW15" i="4"/>
  <c r="HS8" i="4"/>
  <c r="JH14" i="4"/>
  <c r="IB7" i="4"/>
  <c r="JF15" i="4"/>
  <c r="IL14" i="4"/>
  <c r="HP14" i="4"/>
  <c r="IH15" i="4"/>
  <c r="JA7" i="4"/>
  <c r="IW8" i="4"/>
  <c r="IC15" i="4"/>
  <c r="IJ14" i="4"/>
  <c r="HW7" i="4"/>
  <c r="ID15" i="4"/>
  <c r="IW14" i="4"/>
  <c r="HP7" i="4"/>
  <c r="HP19" i="4" s="1"/>
  <c r="AJ78" i="1" s="1"/>
  <c r="IE15" i="4"/>
  <c r="IY14" i="4"/>
  <c r="IO7" i="4"/>
  <c r="II15" i="4"/>
  <c r="IS15" i="4"/>
  <c r="IJ15" i="4"/>
  <c r="HT8" i="4"/>
  <c r="IO15" i="4"/>
  <c r="HY14" i="4"/>
  <c r="HQ8" i="4"/>
  <c r="IF15" i="4"/>
  <c r="IV8" i="4"/>
  <c r="HQ15" i="4"/>
  <c r="HQ20" i="4" s="1"/>
  <c r="AK79" i="1" s="1"/>
  <c r="IX8" i="4"/>
  <c r="IB8" i="4"/>
  <c r="IB15" i="4"/>
  <c r="IB20" i="4" s="1"/>
  <c r="AV79" i="1" s="1"/>
  <c r="AV108" i="1" s="1"/>
  <c r="II8" i="4"/>
  <c r="IP15" i="4"/>
  <c r="JI15" i="4"/>
  <c r="HY8" i="4"/>
  <c r="HT15" i="4"/>
  <c r="IZ7" i="4"/>
  <c r="JA14" i="4"/>
  <c r="IE8" i="4"/>
  <c r="IR14" i="4"/>
  <c r="IK15" i="4"/>
  <c r="IU7" i="4"/>
  <c r="HR14" i="4"/>
  <c r="JG7" i="4"/>
  <c r="IG7" i="4"/>
  <c r="IQ14" i="4"/>
  <c r="HV8" i="4"/>
  <c r="HW8" i="4"/>
  <c r="IW15" i="4"/>
  <c r="IR8" i="4"/>
  <c r="IP14" i="4"/>
  <c r="IL15" i="4"/>
  <c r="IO8" i="4"/>
  <c r="HU7" i="4"/>
  <c r="ID8" i="4"/>
  <c r="IU15" i="4"/>
  <c r="IH14" i="4"/>
  <c r="HX7" i="4"/>
  <c r="IP7" i="4"/>
  <c r="JF14" i="4"/>
  <c r="HS14" i="4"/>
  <c r="HV15" i="4"/>
  <c r="HV14" i="4"/>
  <c r="JD8" i="4"/>
  <c r="IZ8" i="4"/>
  <c r="IM7" i="4"/>
  <c r="IF8" i="4"/>
  <c r="HT14" i="4"/>
  <c r="IY8" i="4"/>
  <c r="HX15" i="4"/>
  <c r="HQ7" i="4"/>
  <c r="IF14" i="4"/>
  <c r="IQ15" i="4"/>
  <c r="IZ14" i="4"/>
  <c r="IE14" i="4"/>
  <c r="IM15" i="4"/>
  <c r="IH7" i="4"/>
  <c r="HZ7" i="4"/>
  <c r="IQ8" i="4"/>
  <c r="HR15" i="4"/>
  <c r="IN8" i="4"/>
  <c r="IY15" i="4"/>
  <c r="JH8" i="4"/>
  <c r="IG15" i="4"/>
  <c r="IX7" i="4"/>
  <c r="IY7" i="4"/>
  <c r="HW14" i="4"/>
  <c r="HR7" i="4"/>
  <c r="IS7" i="4"/>
  <c r="JH15" i="4"/>
  <c r="JH20" i="4" s="1"/>
  <c r="CB79" i="1" s="1"/>
  <c r="IC14" i="4"/>
  <c r="IA14" i="4"/>
  <c r="JE15" i="4"/>
  <c r="IU14" i="4"/>
  <c r="IA15" i="4"/>
  <c r="IN7" i="4"/>
  <c r="IX15" i="4"/>
  <c r="IV15" i="4"/>
  <c r="IE7" i="4"/>
  <c r="JA15" i="4"/>
  <c r="IQ7" i="4"/>
  <c r="JC15" i="4"/>
  <c r="JC20" i="4" s="1"/>
  <c r="BW79" i="1" s="1"/>
  <c r="BW108" i="1" s="1"/>
  <c r="HZ15" i="4"/>
  <c r="IH8" i="4"/>
  <c r="IJ7" i="4"/>
  <c r="JI7" i="4"/>
  <c r="IT8" i="4"/>
  <c r="HV7" i="4"/>
  <c r="IL7" i="4"/>
  <c r="JC7" i="4"/>
  <c r="CM32" i="1"/>
  <c r="AB77" i="1"/>
  <c r="CQ77" i="1"/>
  <c r="AC140" i="1"/>
  <c r="CN65" i="1"/>
  <c r="CO63" i="1"/>
  <c r="IM21" i="4" l="1"/>
  <c r="BG77" i="1" s="1"/>
  <c r="HX8" i="4" s="1"/>
  <c r="HP15" i="4" s="1"/>
  <c r="IZ15" i="4" s="1"/>
  <c r="JC16" i="4" s="1"/>
  <c r="JF7" i="4" s="1"/>
  <c r="II14" i="4" s="1"/>
  <c r="HZ16" i="4" s="1"/>
  <c r="JH19" i="4"/>
  <c r="CB78" i="1" s="1"/>
  <c r="IB21" i="4"/>
  <c r="AV77" i="1" s="1"/>
  <c r="JI20" i="4"/>
  <c r="CC79" i="1" s="1"/>
  <c r="JH21" i="4"/>
  <c r="CB77" i="1" s="1"/>
  <c r="Q252" i="1"/>
  <c r="D252" i="1"/>
  <c r="AL183" i="1"/>
  <c r="AM183" i="1" s="1"/>
  <c r="BX134" i="1"/>
  <c r="G183" i="1"/>
  <c r="F252" i="1"/>
  <c r="R26" i="1"/>
  <c r="P10" i="1"/>
  <c r="P98" i="1" s="1"/>
  <c r="B252" i="1"/>
  <c r="AK26" i="1"/>
  <c r="AJ26" i="1"/>
  <c r="AL253" i="1"/>
  <c r="O252" i="1"/>
  <c r="BX231" i="1"/>
  <c r="M253" i="1"/>
  <c r="S26" i="1"/>
  <c r="K252" i="1"/>
  <c r="IH20" i="4"/>
  <c r="BB79" i="1" s="1"/>
  <c r="BB108" i="1" s="1"/>
  <c r="E26" i="1"/>
  <c r="IC20" i="4"/>
  <c r="AW79" i="1" s="1"/>
  <c r="AW108" i="1" s="1"/>
  <c r="HW19" i="4"/>
  <c r="AQ78" i="1" s="1"/>
  <c r="AQ107" i="1" s="1"/>
  <c r="IW19" i="4"/>
  <c r="BQ78" i="1" s="1"/>
  <c r="BQ107" i="1" s="1"/>
  <c r="F26" i="1"/>
  <c r="II20" i="4"/>
  <c r="BC79" i="1" s="1"/>
  <c r="BC108" i="1" s="1"/>
  <c r="IS20" i="4"/>
  <c r="BM79" i="1" s="1"/>
  <c r="BM108" i="1" s="1"/>
  <c r="H26" i="1"/>
  <c r="IO20" i="4"/>
  <c r="BI79" i="1" s="1"/>
  <c r="BI108" i="1" s="1"/>
  <c r="JF21" i="4"/>
  <c r="BZ77" i="1" s="1"/>
  <c r="BZ94" i="1" s="1"/>
  <c r="IA21" i="4"/>
  <c r="AU77" i="1" s="1"/>
  <c r="IQ21" i="4"/>
  <c r="BK77" i="1" s="1"/>
  <c r="IR19" i="4"/>
  <c r="BL78" i="1" s="1"/>
  <c r="Q183" i="1"/>
  <c r="IK21" i="4"/>
  <c r="BE77" i="1" s="1"/>
  <c r="BX252" i="1"/>
  <c r="R252" i="1"/>
  <c r="JF19" i="4"/>
  <c r="BZ78" i="1" s="1"/>
  <c r="C26" i="1"/>
  <c r="G253" i="1"/>
  <c r="K26" i="1"/>
  <c r="Q26" i="1"/>
  <c r="BX26" i="1"/>
  <c r="T26" i="1"/>
  <c r="HZ20" i="4"/>
  <c r="AT79" i="1" s="1"/>
  <c r="AT108" i="1" s="1"/>
  <c r="JI19" i="4"/>
  <c r="CC78" i="1" s="1"/>
  <c r="IT20" i="4"/>
  <c r="BN79" i="1" s="1"/>
  <c r="BN108" i="1" s="1"/>
  <c r="IY19" i="4"/>
  <c r="BS78" i="1" s="1"/>
  <c r="BS107" i="1" s="1"/>
  <c r="AM252" i="1"/>
  <c r="AJ124" i="1"/>
  <c r="AK124" i="1" s="1"/>
  <c r="AJ163" i="1"/>
  <c r="AK163" i="1" s="1"/>
  <c r="AJ127" i="1"/>
  <c r="AK127" i="1" s="1"/>
  <c r="AJ159" i="1"/>
  <c r="AJ122" i="1"/>
  <c r="AK122" i="1" s="1"/>
  <c r="AJ150" i="1"/>
  <c r="AK150" i="1" s="1"/>
  <c r="AJ153" i="1"/>
  <c r="AJ151" i="1"/>
  <c r="AK151" i="1" s="1"/>
  <c r="AJ149" i="1"/>
  <c r="AK149" i="1" s="1"/>
  <c r="AJ152" i="1"/>
  <c r="AK152" i="1" s="1"/>
  <c r="AJ142" i="1"/>
  <c r="AK142" i="1" s="1"/>
  <c r="AJ154" i="1"/>
  <c r="AK154" i="1" s="1"/>
  <c r="AJ133" i="1"/>
  <c r="AJ144" i="1"/>
  <c r="AJ179" i="1" s="1"/>
  <c r="AJ145" i="1"/>
  <c r="AJ160" i="1"/>
  <c r="AJ119" i="1"/>
  <c r="AJ146" i="1"/>
  <c r="AK146" i="1" s="1"/>
  <c r="AJ125" i="1"/>
  <c r="AK125" i="1" s="1"/>
  <c r="AJ117" i="1"/>
  <c r="AK117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J131" i="1"/>
  <c r="AJ135" i="1"/>
  <c r="AK135" i="1" s="1"/>
  <c r="AJ147" i="1"/>
  <c r="AK147" i="1" s="1"/>
  <c r="AJ143" i="1"/>
  <c r="AK143" i="1" s="1"/>
  <c r="AJ137" i="1"/>
  <c r="AK137" i="1" s="1"/>
  <c r="BY128" i="1"/>
  <c r="W98" i="1"/>
  <c r="V188" i="1"/>
  <c r="U98" i="1"/>
  <c r="X11" i="1"/>
  <c r="W16" i="1"/>
  <c r="X18" i="1" s="1"/>
  <c r="BJ164" i="1"/>
  <c r="IU16" i="4"/>
  <c r="HV21" i="4"/>
  <c r="AP77" i="1" s="1"/>
  <c r="IE16" i="4"/>
  <c r="IE21" i="4" s="1"/>
  <c r="AY77" i="1" s="1"/>
  <c r="IH16" i="4" s="1"/>
  <c r="IH21" i="4" s="1"/>
  <c r="BB77" i="1" s="1"/>
  <c r="W194" i="1"/>
  <c r="W253" i="1"/>
  <c r="E10" i="1"/>
  <c r="E231" i="1"/>
  <c r="T253" i="1"/>
  <c r="T194" i="1"/>
  <c r="IC7" i="4" s="1"/>
  <c r="R10" i="1"/>
  <c r="R231" i="1"/>
  <c r="O253" i="1"/>
  <c r="O194" i="1"/>
  <c r="R253" i="1"/>
  <c r="R194" i="1"/>
  <c r="J253" i="1"/>
  <c r="J194" i="1"/>
  <c r="Q253" i="1"/>
  <c r="Q194" i="1"/>
  <c r="T10" i="1"/>
  <c r="T231" i="1"/>
  <c r="P231" i="1"/>
  <c r="P183" i="1"/>
  <c r="IL21" i="4"/>
  <c r="BF77" i="1" s="1"/>
  <c r="HU16" i="4"/>
  <c r="G10" i="1"/>
  <c r="G231" i="1"/>
  <c r="IC21" i="4"/>
  <c r="AW77" i="1" s="1"/>
  <c r="IT7" i="4"/>
  <c r="IJ9" i="4" s="1"/>
  <c r="JB15" i="4" s="1"/>
  <c r="N10" i="1"/>
  <c r="N231" i="1"/>
  <c r="U253" i="1"/>
  <c r="U194" i="1"/>
  <c r="V253" i="1"/>
  <c r="V194" i="1"/>
  <c r="AJ33" i="1"/>
  <c r="AJ194" i="1"/>
  <c r="C253" i="1"/>
  <c r="C194" i="1"/>
  <c r="C10" i="1"/>
  <c r="C231" i="1"/>
  <c r="T252" i="1"/>
  <c r="B253" i="1"/>
  <c r="BY120" i="1"/>
  <c r="C252" i="1"/>
  <c r="G26" i="1"/>
  <c r="IV20" i="4"/>
  <c r="BP79" i="1" s="1"/>
  <c r="BP108" i="1" s="1"/>
  <c r="D10" i="1"/>
  <c r="IX20" i="4"/>
  <c r="BR79" i="1" s="1"/>
  <c r="BR108" i="1" s="1"/>
  <c r="N26" i="1"/>
  <c r="JG21" i="4"/>
  <c r="CA77" i="1" s="1"/>
  <c r="CA94" i="1" s="1"/>
  <c r="IP20" i="4"/>
  <c r="BJ79" i="1" s="1"/>
  <c r="BJ108" i="1" s="1"/>
  <c r="HY20" i="4"/>
  <c r="AS79" i="1" s="1"/>
  <c r="AS108" i="1" s="1"/>
  <c r="HT20" i="4"/>
  <c r="AN79" i="1" s="1"/>
  <c r="AN108" i="1" s="1"/>
  <c r="JA19" i="4"/>
  <c r="BU78" i="1" s="1"/>
  <c r="BU107" i="1" s="1"/>
  <c r="IE20" i="4"/>
  <c r="AY79" i="1" s="1"/>
  <c r="AY108" i="1" s="1"/>
  <c r="HQ21" i="4"/>
  <c r="AK77" i="1" s="1"/>
  <c r="IK20" i="4"/>
  <c r="BE79" i="1" s="1"/>
  <c r="BE108" i="1" s="1"/>
  <c r="IU19" i="4"/>
  <c r="BO78" i="1" s="1"/>
  <c r="BO107" i="1" s="1"/>
  <c r="U16" i="1"/>
  <c r="U17" i="1" s="1"/>
  <c r="BX156" i="1"/>
  <c r="BX185" i="1" s="1"/>
  <c r="BX184" i="1" s="1"/>
  <c r="B26" i="1"/>
  <c r="I252" i="1"/>
  <c r="V26" i="1"/>
  <c r="V27" i="1" s="1"/>
  <c r="M26" i="1"/>
  <c r="JG19" i="4"/>
  <c r="CA78" i="1" s="1"/>
  <c r="J26" i="1"/>
  <c r="L26" i="1"/>
  <c r="IG19" i="4"/>
  <c r="BA78" i="1" s="1"/>
  <c r="BA107" i="1" s="1"/>
  <c r="IQ19" i="4"/>
  <c r="BK78" i="1" s="1"/>
  <c r="BK107" i="1" s="1"/>
  <c r="HV20" i="4"/>
  <c r="AP79" i="1" s="1"/>
  <c r="AP108" i="1" s="1"/>
  <c r="HW20" i="4"/>
  <c r="AQ79" i="1" s="1"/>
  <c r="AQ108" i="1" s="1"/>
  <c r="AL26" i="1"/>
  <c r="IR20" i="4"/>
  <c r="BL79" i="1" s="1"/>
  <c r="BL96" i="1" s="1"/>
  <c r="IL20" i="4"/>
  <c r="BF79" i="1" s="1"/>
  <c r="BF108" i="1" s="1"/>
  <c r="JI21" i="4"/>
  <c r="CC77" i="1" s="1"/>
  <c r="HS21" i="4"/>
  <c r="AM77" i="1" s="1"/>
  <c r="IU20" i="4"/>
  <c r="BO79" i="1" s="1"/>
  <c r="BO108" i="1" s="1"/>
  <c r="JC21" i="4"/>
  <c r="BW77" i="1" s="1"/>
  <c r="HX19" i="4"/>
  <c r="AR78" i="1" s="1"/>
  <c r="AR107" i="1" s="1"/>
  <c r="HS19" i="4"/>
  <c r="AM78" i="1" s="1"/>
  <c r="N252" i="1"/>
  <c r="AM26" i="1"/>
  <c r="O26" i="1"/>
  <c r="P26" i="1"/>
  <c r="K10" i="1"/>
  <c r="BJ179" i="1"/>
  <c r="BK179" i="1" s="1"/>
  <c r="P252" i="1"/>
  <c r="I26" i="1"/>
  <c r="P253" i="1"/>
  <c r="II21" i="4"/>
  <c r="BC77" i="1" s="1"/>
  <c r="JE21" i="4"/>
  <c r="BY77" i="1" s="1"/>
  <c r="CA98" i="1"/>
  <c r="CA99" i="1" s="1"/>
  <c r="JC19" i="4"/>
  <c r="BW78" i="1" s="1"/>
  <c r="BW107" i="1" s="1"/>
  <c r="W26" i="1"/>
  <c r="W27" i="1" s="1"/>
  <c r="BX179" i="1"/>
  <c r="BY179" i="1" s="1"/>
  <c r="BX253" i="1"/>
  <c r="B231" i="1"/>
  <c r="M252" i="1"/>
  <c r="AL231" i="1"/>
  <c r="M10" i="1"/>
  <c r="H253" i="1"/>
  <c r="F253" i="1"/>
  <c r="W11" i="1"/>
  <c r="H252" i="1"/>
  <c r="B10" i="1"/>
  <c r="B16" i="1" s="1"/>
  <c r="B17" i="1" s="1"/>
  <c r="S10" i="1"/>
  <c r="Q231" i="1"/>
  <c r="BX128" i="1"/>
  <c r="BX168" i="1" s="1"/>
  <c r="AJ10" i="1"/>
  <c r="V16" i="1"/>
  <c r="V17" i="1" s="1"/>
  <c r="F10" i="1"/>
  <c r="L194" i="1"/>
  <c r="AL180" i="1"/>
  <c r="AM180" i="1" s="1"/>
  <c r="S252" i="1"/>
  <c r="S253" i="1"/>
  <c r="O231" i="1"/>
  <c r="I253" i="1"/>
  <c r="Q10" i="1"/>
  <c r="N253" i="1"/>
  <c r="AL10" i="1"/>
  <c r="AL16" i="1" s="1"/>
  <c r="AL17" i="1" s="1"/>
  <c r="AM98" i="1"/>
  <c r="AM99" i="1" s="1"/>
  <c r="AM253" i="1"/>
  <c r="AL179" i="1"/>
  <c r="AM179" i="1" s="1"/>
  <c r="D231" i="1"/>
  <c r="W188" i="1"/>
  <c r="AJ183" i="1"/>
  <c r="AM10" i="1"/>
  <c r="AM16" i="1" s="1"/>
  <c r="BX120" i="1"/>
  <c r="BX92" i="1" s="1"/>
  <c r="I10" i="1"/>
  <c r="I16" i="1" s="1"/>
  <c r="J10" i="1"/>
  <c r="BJ180" i="1"/>
  <c r="BK180" i="1" s="1"/>
  <c r="O10" i="1"/>
  <c r="H10" i="1"/>
  <c r="BJ183" i="1"/>
  <c r="BK183" i="1" s="1"/>
  <c r="G252" i="1"/>
  <c r="V11" i="1"/>
  <c r="K253" i="1"/>
  <c r="BX148" i="1"/>
  <c r="BX182" i="1" s="1"/>
  <c r="BJ161" i="1"/>
  <c r="BK209" i="1" s="1"/>
  <c r="BJ134" i="1"/>
  <c r="BK128" i="1"/>
  <c r="BK117" i="1"/>
  <c r="BJ120" i="1"/>
  <c r="AM128" i="1"/>
  <c r="AL161" i="1"/>
  <c r="AM209" i="1" s="1"/>
  <c r="BJ156" i="1"/>
  <c r="BJ185" i="1" s="1"/>
  <c r="AL134" i="1"/>
  <c r="AM134" i="1" s="1"/>
  <c r="AM138" i="1" s="1"/>
  <c r="BK149" i="1"/>
  <c r="BJ128" i="1"/>
  <c r="AL156" i="1"/>
  <c r="AL185" i="1" s="1"/>
  <c r="AL184" i="1" s="1"/>
  <c r="AL120" i="1"/>
  <c r="AL128" i="1"/>
  <c r="BK143" i="1"/>
  <c r="BJ148" i="1"/>
  <c r="AM143" i="1"/>
  <c r="AL148" i="1"/>
  <c r="IG20" i="4"/>
  <c r="BA79" i="1" s="1"/>
  <c r="BA108" i="1" s="1"/>
  <c r="HX20" i="4"/>
  <c r="AR79" i="1" s="1"/>
  <c r="AR108" i="1" s="1"/>
  <c r="CB94" i="1"/>
  <c r="CB102" i="1"/>
  <c r="CB85" i="1"/>
  <c r="HP20" i="4"/>
  <c r="AJ79" i="1" s="1"/>
  <c r="HR20" i="4"/>
  <c r="AL79" i="1" s="1"/>
  <c r="IX19" i="4"/>
  <c r="BR78" i="1" s="1"/>
  <c r="BR107" i="1" s="1"/>
  <c r="L16" i="1"/>
  <c r="L98" i="1"/>
  <c r="IB19" i="4"/>
  <c r="AV78" i="1" s="1"/>
  <c r="AV107" i="1" s="1"/>
  <c r="JD19" i="4"/>
  <c r="BX78" i="1" s="1"/>
  <c r="JE20" i="4"/>
  <c r="BY79" i="1" s="1"/>
  <c r="BY108" i="1" s="1"/>
  <c r="II19" i="4"/>
  <c r="BC78" i="1" s="1"/>
  <c r="BC107" i="1" s="1"/>
  <c r="IA19" i="4"/>
  <c r="AU78" i="1" s="1"/>
  <c r="AU107" i="1" s="1"/>
  <c r="JG20" i="4"/>
  <c r="CA79" i="1" s="1"/>
  <c r="IN19" i="4"/>
  <c r="BH78" i="1" s="1"/>
  <c r="BH107" i="1" s="1"/>
  <c r="IV19" i="4"/>
  <c r="BP78" i="1" s="1"/>
  <c r="BP107" i="1" s="1"/>
  <c r="IS19" i="4"/>
  <c r="BM78" i="1" s="1"/>
  <c r="BM107" i="1" s="1"/>
  <c r="JF20" i="4"/>
  <c r="BZ79" i="1" s="1"/>
  <c r="HV19" i="4"/>
  <c r="AP78" i="1" s="1"/>
  <c r="AP107" i="1" s="1"/>
  <c r="JA20" i="4"/>
  <c r="BU79" i="1" s="1"/>
  <c r="BU108" i="1" s="1"/>
  <c r="IN20" i="4"/>
  <c r="BH79" i="1" s="1"/>
  <c r="BH108" i="1" s="1"/>
  <c r="IQ20" i="4"/>
  <c r="BK79" i="1" s="1"/>
  <c r="BK108" i="1" s="1"/>
  <c r="IP19" i="4"/>
  <c r="BJ78" i="1" s="1"/>
  <c r="BJ107" i="1" s="1"/>
  <c r="IY20" i="4"/>
  <c r="BS79" i="1" s="1"/>
  <c r="BS108" i="1" s="1"/>
  <c r="IZ20" i="4"/>
  <c r="BT79" i="1" s="1"/>
  <c r="BT108" i="1" s="1"/>
  <c r="HS20" i="4"/>
  <c r="AM79" i="1" s="1"/>
  <c r="HQ19" i="4"/>
  <c r="AK78" i="1" s="1"/>
  <c r="IK19" i="4"/>
  <c r="BE78" i="1" s="1"/>
  <c r="BE107" i="1" s="1"/>
  <c r="JD20" i="4"/>
  <c r="BX79" i="1" s="1"/>
  <c r="BX108" i="1" s="1"/>
  <c r="BY12" i="1"/>
  <c r="CB11" i="1"/>
  <c r="CC188" i="1"/>
  <c r="BX16" i="1"/>
  <c r="BK202" i="1"/>
  <c r="P16" i="1"/>
  <c r="BY202" i="1"/>
  <c r="JB21" i="4"/>
  <c r="BV77" i="1" s="1"/>
  <c r="IV21" i="4"/>
  <c r="BP77" i="1" s="1"/>
  <c r="JA16" i="4" s="1"/>
  <c r="JA21" i="4" s="1"/>
  <c r="BU77" i="1" s="1"/>
  <c r="BX180" i="1"/>
  <c r="BY180" i="1" s="1"/>
  <c r="AJ37" i="1"/>
  <c r="AK10" i="1"/>
  <c r="D26" i="1"/>
  <c r="U26" i="1"/>
  <c r="IJ19" i="4"/>
  <c r="BD78" i="1" s="1"/>
  <c r="BD107" i="1" s="1"/>
  <c r="IW20" i="4"/>
  <c r="BQ79" i="1" s="1"/>
  <c r="BQ108" i="1" s="1"/>
  <c r="ID20" i="4"/>
  <c r="AX79" i="1" s="1"/>
  <c r="AX108" i="1" s="1"/>
  <c r="IH19" i="4"/>
  <c r="BB78" i="1" s="1"/>
  <c r="BB107" i="1" s="1"/>
  <c r="IF20" i="4"/>
  <c r="AZ79" i="1" s="1"/>
  <c r="AZ108" i="1" s="1"/>
  <c r="IZ19" i="4"/>
  <c r="BT78" i="1" s="1"/>
  <c r="BT107" i="1" s="1"/>
  <c r="IE19" i="4"/>
  <c r="AY78" i="1" s="1"/>
  <c r="AY107" i="1" s="1"/>
  <c r="HR19" i="4"/>
  <c r="AL78" i="1" s="1"/>
  <c r="AL107" i="1" s="1"/>
  <c r="IL19" i="4"/>
  <c r="BF78" i="1" s="1"/>
  <c r="BF107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B96" i="1"/>
  <c r="CB108" i="1"/>
  <c r="CB111" i="1" s="1"/>
  <c r="CB114" i="1" s="1"/>
  <c r="CB104" i="1"/>
  <c r="CB8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Y134" i="1" l="1"/>
  <c r="BY33" i="1"/>
  <c r="BX138" i="1"/>
  <c r="BZ249" i="1"/>
  <c r="BZ251" i="1" s="1"/>
  <c r="BZ206" i="1"/>
  <c r="BY249" i="1"/>
  <c r="BX129" i="1"/>
  <c r="CB86" i="1"/>
  <c r="CB103" i="1"/>
  <c r="CB95" i="1"/>
  <c r="CB107" i="1"/>
  <c r="CB110" i="1" s="1"/>
  <c r="CB113" i="1" s="1"/>
  <c r="CC96" i="1"/>
  <c r="CC104" i="1"/>
  <c r="CC108" i="1"/>
  <c r="CC87" i="1"/>
  <c r="B28" i="1"/>
  <c r="B29" i="1" s="1"/>
  <c r="BX27" i="1"/>
  <c r="M188" i="1"/>
  <c r="M11" i="1"/>
  <c r="AJ16" i="1"/>
  <c r="AJ17" i="1" s="1"/>
  <c r="AK12" i="1"/>
  <c r="F16" i="1"/>
  <c r="F17" i="1" s="1"/>
  <c r="AM102" i="1"/>
  <c r="AM17" i="1"/>
  <c r="AM28" i="1"/>
  <c r="H16" i="1"/>
  <c r="H98" i="1"/>
  <c r="F98" i="1"/>
  <c r="I188" i="1"/>
  <c r="W17" i="1"/>
  <c r="BZ95" i="1"/>
  <c r="BZ89" i="1"/>
  <c r="BZ107" i="1"/>
  <c r="BZ110" i="1" s="1"/>
  <c r="BL107" i="1"/>
  <c r="BL110" i="1" s="1"/>
  <c r="BL95" i="1"/>
  <c r="CC95" i="1"/>
  <c r="CC107" i="1"/>
  <c r="CC103" i="1"/>
  <c r="CC86" i="1"/>
  <c r="CF90" i="1" s="1"/>
  <c r="BL108" i="1"/>
  <c r="BL111" i="1" s="1"/>
  <c r="BX17" i="1"/>
  <c r="CB18" i="1"/>
  <c r="BY19" i="1"/>
  <c r="BX28" i="1"/>
  <c r="P17" i="1"/>
  <c r="AJ161" i="1"/>
  <c r="AK209" i="1" s="1"/>
  <c r="AJ128" i="1"/>
  <c r="AJ202" i="1"/>
  <c r="AI196" i="1"/>
  <c r="AI198" i="1" s="1"/>
  <c r="AJ134" i="1"/>
  <c r="AK33" i="1" s="1"/>
  <c r="AJ148" i="1"/>
  <c r="AJ180" i="1"/>
  <c r="AK180" i="1" s="1"/>
  <c r="AK128" i="1"/>
  <c r="AJ120" i="1"/>
  <c r="AJ156" i="1"/>
  <c r="AL202" i="1"/>
  <c r="AK202" i="1"/>
  <c r="AK206" i="1"/>
  <c r="AM249" i="1"/>
  <c r="BK134" i="1"/>
  <c r="BJ138" i="1"/>
  <c r="BL206" i="1"/>
  <c r="BL249" i="1"/>
  <c r="BJ92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AJ138" i="1"/>
  <c r="AJ165" i="1" s="1"/>
  <c r="BK206" i="1"/>
  <c r="AL249" i="1"/>
  <c r="AL129" i="1"/>
  <c r="BJ182" i="1"/>
  <c r="IN16" i="4"/>
  <c r="E16" i="1"/>
  <c r="E98" i="1"/>
  <c r="E27" i="1"/>
  <c r="IC19" i="4"/>
  <c r="AW78" i="1" s="1"/>
  <c r="AW107" i="1" s="1"/>
  <c r="HU8" i="4"/>
  <c r="R16" i="1"/>
  <c r="R188" i="1"/>
  <c r="R98" i="1"/>
  <c r="T98" i="1"/>
  <c r="T16" i="1"/>
  <c r="IP9" i="4"/>
  <c r="G11" i="1"/>
  <c r="G16" i="1"/>
  <c r="G17" i="1" s="1"/>
  <c r="G98" i="1"/>
  <c r="JB20" i="4"/>
  <c r="BV79" i="1" s="1"/>
  <c r="BV108" i="1" s="1"/>
  <c r="IF7" i="4"/>
  <c r="N16" i="1"/>
  <c r="N17" i="1" s="1"/>
  <c r="N98" i="1"/>
  <c r="N11" i="1"/>
  <c r="C188" i="1"/>
  <c r="C16" i="1"/>
  <c r="BZ207" i="1"/>
  <c r="BY92" i="1"/>
  <c r="BY94" i="1" s="1"/>
  <c r="CC94" i="1"/>
  <c r="CC102" i="1"/>
  <c r="CC85" i="1"/>
  <c r="K16" i="1"/>
  <c r="K98" i="1"/>
  <c r="S16" i="1"/>
  <c r="S98" i="1"/>
  <c r="Q16" i="1"/>
  <c r="Q188" i="1"/>
  <c r="Q98" i="1"/>
  <c r="O188" i="1"/>
  <c r="O98" i="1"/>
  <c r="H188" i="1"/>
  <c r="H11" i="1"/>
  <c r="AK16" i="1"/>
  <c r="AK27" i="1"/>
  <c r="BJ184" i="1"/>
  <c r="U11" i="1"/>
  <c r="U188" i="1"/>
  <c r="C27" i="1"/>
  <c r="V28" i="1"/>
  <c r="V34" i="1" s="1"/>
  <c r="V38" i="1" s="1"/>
  <c r="IT19" i="4"/>
  <c r="BN78" i="1" s="1"/>
  <c r="BN107" i="1" s="1"/>
  <c r="L188" i="1"/>
  <c r="L11" i="1"/>
  <c r="AM27" i="1"/>
  <c r="CA102" i="1"/>
  <c r="D27" i="1"/>
  <c r="D16" i="1"/>
  <c r="D11" i="1"/>
  <c r="D188" i="1"/>
  <c r="E188" i="1"/>
  <c r="E11" i="1"/>
  <c r="T188" i="1"/>
  <c r="S11" i="1"/>
  <c r="T11" i="1"/>
  <c r="S188" i="1"/>
  <c r="F188" i="1"/>
  <c r="BY129" i="1"/>
  <c r="P188" i="1"/>
  <c r="BY206" i="1"/>
  <c r="J11" i="1"/>
  <c r="P11" i="1"/>
  <c r="AL12" i="1"/>
  <c r="V18" i="1"/>
  <c r="AL27" i="1"/>
  <c r="M16" i="1"/>
  <c r="M17" i="1" s="1"/>
  <c r="W18" i="1"/>
  <c r="AM19" i="1"/>
  <c r="N188" i="1"/>
  <c r="I11" i="1"/>
  <c r="O16" i="1"/>
  <c r="AM12" i="1"/>
  <c r="W28" i="1"/>
  <c r="M98" i="1"/>
  <c r="BK249" i="1"/>
  <c r="BX181" i="1"/>
  <c r="G188" i="1"/>
  <c r="AL28" i="1"/>
  <c r="AL232" i="1" s="1"/>
  <c r="AL233" i="1" s="1"/>
  <c r="F11" i="1"/>
  <c r="O11" i="1"/>
  <c r="J98" i="1"/>
  <c r="BX95" i="1"/>
  <c r="J16" i="1"/>
  <c r="K11" i="1"/>
  <c r="BX186" i="1"/>
  <c r="CB189" i="1" s="1"/>
  <c r="BX157" i="1"/>
  <c r="J188" i="1"/>
  <c r="R11" i="1"/>
  <c r="AJ27" i="1"/>
  <c r="K188" i="1"/>
  <c r="I98" i="1"/>
  <c r="BY207" i="1"/>
  <c r="B27" i="1"/>
  <c r="Q11" i="1"/>
  <c r="BX248" i="1"/>
  <c r="AM225" i="1"/>
  <c r="C11" i="1"/>
  <c r="BJ248" i="1"/>
  <c r="BJ168" i="1"/>
  <c r="BJ109" i="1" s="1"/>
  <c r="BJ157" i="1"/>
  <c r="AL182" i="1"/>
  <c r="AL157" i="1"/>
  <c r="AL108" i="1"/>
  <c r="AM103" i="1"/>
  <c r="AM107" i="1"/>
  <c r="L17" i="1"/>
  <c r="AM108" i="1"/>
  <c r="AM104" i="1"/>
  <c r="I17" i="1"/>
  <c r="BX89" i="1"/>
  <c r="BX107" i="1"/>
  <c r="CA96" i="1"/>
  <c r="CA108" i="1"/>
  <c r="CA104" i="1"/>
  <c r="BZ108" i="1"/>
  <c r="BZ111" i="1" s="1"/>
  <c r="BZ96" i="1"/>
  <c r="B112" i="1"/>
  <c r="BX96" i="1"/>
  <c r="CA103" i="1"/>
  <c r="CA107" i="1"/>
  <c r="CA95" i="1"/>
  <c r="BX109" i="1"/>
  <c r="BY37" i="1"/>
  <c r="C18" i="1"/>
  <c r="AK19" i="1"/>
  <c r="BY96" i="1"/>
  <c r="AM232" i="1"/>
  <c r="AM233" i="1" s="1"/>
  <c r="BZ33" i="1"/>
  <c r="BY138" i="1"/>
  <c r="BZ203" i="1" s="1"/>
  <c r="BZ201" i="1" s="1"/>
  <c r="BX246" i="1"/>
  <c r="BY203" i="1"/>
  <c r="BY201" i="1" s="1"/>
  <c r="AM34" i="1"/>
  <c r="AM38" i="1" s="1"/>
  <c r="AM29" i="1"/>
  <c r="H17" i="1"/>
  <c r="I18" i="1"/>
  <c r="O17" i="1"/>
  <c r="P18" i="1"/>
  <c r="W232" i="1"/>
  <c r="W233" i="1" s="1"/>
  <c r="X30" i="1"/>
  <c r="X250" i="1"/>
  <c r="W34" i="1"/>
  <c r="W38" i="1" s="1"/>
  <c r="W29" i="1"/>
  <c r="W112" i="1"/>
  <c r="CE90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J196" i="1" l="1"/>
  <c r="AJ182" i="1"/>
  <c r="BZ205" i="1"/>
  <c r="CB30" i="1"/>
  <c r="BY31" i="1"/>
  <c r="BX232" i="1"/>
  <c r="BX233" i="1" s="1"/>
  <c r="CA112" i="1"/>
  <c r="BJ246" i="1"/>
  <c r="AL96" i="1"/>
  <c r="J18" i="1"/>
  <c r="G18" i="1"/>
  <c r="AL29" i="1"/>
  <c r="AL34" i="1"/>
  <c r="AL38" i="1" s="1"/>
  <c r="AL40" i="1" s="1"/>
  <c r="AM250" i="1"/>
  <c r="AM251" i="1" s="1"/>
  <c r="AM31" i="1"/>
  <c r="N18" i="1"/>
  <c r="M18" i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L95" i="1"/>
  <c r="AL109" i="1"/>
  <c r="AM37" i="1"/>
  <c r="AL181" i="1"/>
  <c r="AL186" i="1"/>
  <c r="AM41" i="1"/>
  <c r="AM42" i="1" s="1"/>
  <c r="AM245" i="1" s="1"/>
  <c r="AM40" i="1"/>
  <c r="BX29" i="1"/>
  <c r="BX34" i="1"/>
  <c r="AJ28" i="1"/>
  <c r="AJ34" i="1" s="1"/>
  <c r="AJ38" i="1" s="1"/>
  <c r="AJ41" i="1" s="1"/>
  <c r="AJ129" i="1"/>
  <c r="BX165" i="1"/>
  <c r="BX166" i="1" s="1"/>
  <c r="AJ166" i="1"/>
  <c r="H18" i="1"/>
  <c r="BY205" i="1"/>
  <c r="V112" i="1"/>
  <c r="V232" i="1"/>
  <c r="V233" i="1" s="1"/>
  <c r="V29" i="1"/>
  <c r="W30" i="1"/>
  <c r="O18" i="1"/>
  <c r="W250" i="1"/>
  <c r="AJ29" i="1"/>
  <c r="AJ232" i="1"/>
  <c r="AJ233" i="1" s="1"/>
  <c r="AK138" i="1"/>
  <c r="AL33" i="1"/>
  <c r="AJ203" i="1"/>
  <c r="AJ201" i="1" s="1"/>
  <c r="BJ186" i="1"/>
  <c r="BJ181" i="1"/>
  <c r="V41" i="1"/>
  <c r="V40" i="1"/>
  <c r="BX110" i="1"/>
  <c r="BX111" i="1"/>
  <c r="BJ110" i="1"/>
  <c r="BJ111" i="1"/>
  <c r="IX16" i="4"/>
  <c r="IW9" i="4" s="1"/>
  <c r="E17" i="1"/>
  <c r="F18" i="1"/>
  <c r="E28" i="1"/>
  <c r="E29" i="1" s="1"/>
  <c r="HU20" i="4"/>
  <c r="AO79" i="1" s="1"/>
  <c r="AO108" i="1" s="1"/>
  <c r="IY9" i="4"/>
  <c r="R17" i="1"/>
  <c r="S18" i="1"/>
  <c r="T17" i="1"/>
  <c r="U18" i="1"/>
  <c r="IP21" i="4"/>
  <c r="BJ77" i="1" s="1"/>
  <c r="BJ94" i="1" s="1"/>
  <c r="HY7" i="4"/>
  <c r="IF19" i="4"/>
  <c r="AZ78" i="1" s="1"/>
  <c r="AZ107" i="1" s="1"/>
  <c r="HU9" i="4"/>
  <c r="C17" i="1"/>
  <c r="D18" i="1"/>
  <c r="C28" i="1"/>
  <c r="L18" i="1"/>
  <c r="K17" i="1"/>
  <c r="T18" i="1"/>
  <c r="S17" i="1"/>
  <c r="Q18" i="1"/>
  <c r="R18" i="1"/>
  <c r="Q17" i="1"/>
  <c r="AK17" i="1"/>
  <c r="AK28" i="1"/>
  <c r="AL19" i="1"/>
  <c r="E18" i="1"/>
  <c r="D28" i="1"/>
  <c r="D17" i="1"/>
  <c r="K18" i="1"/>
  <c r="J17" i="1"/>
  <c r="W41" i="1"/>
  <c r="W40" i="1"/>
  <c r="W48" i="1"/>
  <c r="W52" i="1" s="1"/>
  <c r="W234" i="1"/>
  <c r="W42" i="1"/>
  <c r="W245" i="1" s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0" i="1" l="1"/>
  <c r="AJ42" i="1"/>
  <c r="AJ48" i="1"/>
  <c r="AJ234" i="1"/>
  <c r="BX38" i="1"/>
  <c r="CA55" i="1"/>
  <c r="W43" i="1"/>
  <c r="AL41" i="1"/>
  <c r="AL111" i="1"/>
  <c r="AL110" i="1"/>
  <c r="V42" i="1"/>
  <c r="V245" i="1" s="1"/>
  <c r="V48" i="1"/>
  <c r="AL203" i="1"/>
  <c r="AL201" i="1" s="1"/>
  <c r="AK203" i="1"/>
  <c r="AK201" i="1" s="1"/>
  <c r="IW21" i="4"/>
  <c r="BQ77" i="1" s="1"/>
  <c r="HX16" i="4"/>
  <c r="IY21" i="4"/>
  <c r="BS77" i="1" s="1"/>
  <c r="IT16" i="4"/>
  <c r="HY19" i="4"/>
  <c r="AS78" i="1" s="1"/>
  <c r="AS107" i="1" s="1"/>
  <c r="HT16" i="4"/>
  <c r="HT21" i="4" s="1"/>
  <c r="AN77" i="1" s="1"/>
  <c r="HU21" i="4"/>
  <c r="AO77" i="1" s="1"/>
  <c r="IJ8" i="4"/>
  <c r="C30" i="1"/>
  <c r="D30" i="1"/>
  <c r="C29" i="1"/>
  <c r="C250" i="1"/>
  <c r="AL250" i="1"/>
  <c r="AL251" i="1" s="1"/>
  <c r="AK31" i="1"/>
  <c r="AM112" i="1"/>
  <c r="AK34" i="1"/>
  <c r="AK38" i="1" s="1"/>
  <c r="AK29" i="1"/>
  <c r="AL31" i="1"/>
  <c r="AK232" i="1"/>
  <c r="AK233" i="1" s="1"/>
  <c r="AM226" i="1"/>
  <c r="D34" i="1"/>
  <c r="D38" i="1" s="1"/>
  <c r="D29" i="1"/>
  <c r="D112" i="1"/>
  <c r="E30" i="1"/>
  <c r="D250" i="1"/>
  <c r="D232" i="1"/>
  <c r="D233" i="1" s="1"/>
  <c r="AJ52" i="1"/>
  <c r="AJ66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193" i="1" l="1"/>
  <c r="AJ195" i="1" s="1"/>
  <c r="AJ199" i="1" s="1"/>
  <c r="AJ213" i="1" s="1"/>
  <c r="AJ207" i="1"/>
  <c r="AJ205" i="1" s="1"/>
  <c r="AL42" i="1"/>
  <c r="AL245" i="1" s="1"/>
  <c r="AL48" i="1"/>
  <c r="AM44" i="1"/>
  <c r="AL234" i="1"/>
  <c r="HX21" i="4"/>
  <c r="AR77" i="1" s="1"/>
  <c r="IU9" i="4"/>
  <c r="IT21" i="4"/>
  <c r="BN77" i="1" s="1"/>
  <c r="IM14" i="4"/>
  <c r="IJ20" i="4"/>
  <c r="BD79" i="1" s="1"/>
  <c r="BD108" i="1" s="1"/>
  <c r="HP16" i="4"/>
  <c r="HP21" i="4" s="1"/>
  <c r="AJ77" i="1" s="1"/>
  <c r="AK40" i="1"/>
  <c r="AK41" i="1"/>
  <c r="D40" i="1"/>
  <c r="D41" i="1"/>
  <c r="AJ210" i="1"/>
  <c r="AJ211" i="1" s="1"/>
  <c r="T250" i="1"/>
  <c r="P250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193" i="1"/>
  <c r="AL195" i="1" s="1"/>
  <c r="AL66" i="1"/>
  <c r="IU21" i="4"/>
  <c r="BO77" i="1" s="1"/>
  <c r="HY9" i="4"/>
  <c r="IM19" i="4"/>
  <c r="BG78" i="1" s="1"/>
  <c r="BG107" i="1" s="1"/>
  <c r="HW16" i="4"/>
  <c r="AL44" i="1"/>
  <c r="AK44" i="1"/>
  <c r="AK42" i="1"/>
  <c r="AK48" i="1"/>
  <c r="AK234" i="1"/>
  <c r="AM227" i="1"/>
  <c r="D48" i="1"/>
  <c r="D42" i="1"/>
  <c r="D234" i="1"/>
  <c r="CA54" i="1"/>
  <c r="BX66" i="1"/>
  <c r="CA69" i="1" s="1"/>
  <c r="BX193" i="1"/>
  <c r="BX195" i="1" s="1"/>
  <c r="BX52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HW21" i="4" l="1"/>
  <c r="AQ77" i="1" s="1"/>
  <c r="IR16" i="4" s="1"/>
  <c r="IZ16" i="4"/>
  <c r="AK52" i="1"/>
  <c r="AK66" i="1"/>
  <c r="AK193" i="1"/>
  <c r="AK195" i="1" s="1"/>
  <c r="AK119" i="1"/>
  <c r="AK120" i="1" s="1"/>
  <c r="D193" i="1"/>
  <c r="D195" i="1" s="1"/>
  <c r="D52" i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N9" i="4" l="1"/>
  <c r="IR21" i="4"/>
  <c r="BL77" i="1" s="1"/>
  <c r="BL94" i="1" s="1"/>
  <c r="IZ21" i="4"/>
  <c r="BT77" i="1" s="1"/>
  <c r="HZ9" i="4"/>
  <c r="AL207" i="1"/>
  <c r="AL205" i="1" s="1"/>
  <c r="AK207" i="1"/>
  <c r="AK205" i="1" s="1"/>
  <c r="AK129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IN21" i="4" l="1"/>
  <c r="BH77" i="1" s="1"/>
  <c r="IS9" i="4"/>
  <c r="IS21" i="4" s="1"/>
  <c r="BM77" i="1" s="1"/>
  <c r="IM8" i="4" s="1"/>
  <c r="HZ21" i="4"/>
  <c r="AT77" i="1" s="1"/>
  <c r="IA8" i="4" s="1"/>
  <c r="JE14" i="4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IM20" i="4" l="1"/>
  <c r="BG79" i="1" s="1"/>
  <c r="BG108" i="1" s="1"/>
  <c r="IJ16" i="4"/>
  <c r="IJ21" i="4" s="1"/>
  <c r="BD77" i="1" s="1"/>
  <c r="IA20" i="4"/>
  <c r="AU79" i="1" s="1"/>
  <c r="AU108" i="1" s="1"/>
  <c r="HU14" i="4"/>
  <c r="JE19" i="4"/>
  <c r="BY78" i="1" s="1"/>
  <c r="IX9" i="4"/>
  <c r="IX21" i="4" s="1"/>
  <c r="BR77" i="1" s="1"/>
  <c r="HZ14" i="4" s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M40" i="2"/>
  <c r="G65" i="2"/>
  <c r="P90" i="2"/>
  <c r="O77" i="2"/>
  <c r="P84" i="2"/>
  <c r="U104" i="2"/>
  <c r="L86" i="2"/>
  <c r="Q53" i="2"/>
  <c r="D80" i="2"/>
  <c r="X59" i="2"/>
  <c r="D78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F50" i="2"/>
  <c r="T69" i="2"/>
  <c r="K104" i="2"/>
  <c r="D110" i="2"/>
  <c r="P47" i="2"/>
  <c r="D91" i="2"/>
  <c r="U61" i="2"/>
  <c r="Q107" i="2"/>
  <c r="S47" i="2"/>
  <c r="D40" i="2"/>
  <c r="P110" i="2"/>
  <c r="H45" i="2"/>
  <c r="R97" i="2"/>
  <c r="O62" i="2"/>
  <c r="L78" i="2"/>
  <c r="AP75" i="3"/>
  <c r="AB92" i="3"/>
  <c r="AP58" i="3"/>
  <c r="AP85" i="3"/>
  <c r="AB64" i="3"/>
  <c r="C28" i="3"/>
  <c r="O22" i="3"/>
  <c r="AH23" i="3"/>
  <c r="T17" i="3"/>
  <c r="J41" i="3"/>
  <c r="E49" i="3"/>
  <c r="P34" i="3"/>
  <c r="AC39" i="3"/>
  <c r="AJ25" i="3"/>
  <c r="AI41" i="3"/>
  <c r="K40" i="3"/>
  <c r="N19" i="3"/>
  <c r="Q16" i="3"/>
  <c r="V31" i="3"/>
  <c r="X34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C81" i="2"/>
  <c r="N50" i="2"/>
  <c r="F57" i="2"/>
  <c r="V73" i="2"/>
  <c r="N40" i="2"/>
  <c r="D54" i="2"/>
  <c r="G50" i="2"/>
  <c r="U46" i="2"/>
  <c r="S52" i="2"/>
  <c r="F85" i="2"/>
  <c r="K41" i="2"/>
  <c r="G78" i="2"/>
  <c r="N98" i="2"/>
  <c r="L105" i="2"/>
  <c r="V79" i="2"/>
  <c r="AB59" i="3"/>
  <c r="AP55" i="3"/>
  <c r="AB75" i="3"/>
  <c r="AP80" i="3"/>
  <c r="AP67" i="3"/>
  <c r="H34" i="3"/>
  <c r="AL33" i="3"/>
  <c r="H41" i="3"/>
  <c r="O23" i="3"/>
  <c r="T25" i="3"/>
  <c r="Z6" i="3"/>
  <c r="Q36" i="3"/>
  <c r="I23" i="3"/>
  <c r="C7" i="3"/>
  <c r="AE9" i="3"/>
  <c r="U15" i="3"/>
  <c r="AQ38" i="3"/>
  <c r="AH17" i="3"/>
  <c r="M11" i="3"/>
  <c r="T33" i="3"/>
  <c r="K36" i="3"/>
  <c r="X28" i="3"/>
  <c r="W19" i="3"/>
  <c r="N5" i="3"/>
  <c r="N94" i="3" s="1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K39" i="3"/>
  <c r="K37" i="3"/>
  <c r="AL19" i="3"/>
  <c r="J31" i="3"/>
  <c r="U40" i="3"/>
  <c r="V39" i="3"/>
  <c r="Q7" i="3"/>
  <c r="AQ22" i="3"/>
  <c r="N30" i="3"/>
  <c r="X22" i="3"/>
  <c r="AL7" i="3"/>
  <c r="N64" i="2"/>
  <c r="L65" i="2"/>
  <c r="K74" i="2"/>
  <c r="V80" i="2"/>
  <c r="W92" i="2"/>
  <c r="E51" i="2"/>
  <c r="O44" i="2"/>
  <c r="K89" i="2"/>
  <c r="R43" i="2"/>
  <c r="R45" i="2"/>
  <c r="J90" i="2"/>
  <c r="C51" i="2"/>
  <c r="S54" i="2"/>
  <c r="X85" i="2"/>
  <c r="N77" i="2"/>
  <c r="AP93" i="3"/>
  <c r="AP59" i="3"/>
  <c r="AB63" i="3"/>
  <c r="AB56" i="3"/>
  <c r="AB91" i="3"/>
  <c r="AM33" i="3"/>
  <c r="J36" i="3"/>
  <c r="Y22" i="3"/>
  <c r="AO33" i="3"/>
  <c r="AO39" i="3"/>
  <c r="N15" i="3"/>
  <c r="AB19" i="3"/>
  <c r="H5" i="3"/>
  <c r="O28" i="3"/>
  <c r="I19" i="3"/>
  <c r="O38" i="3"/>
  <c r="R35" i="3"/>
  <c r="Y6" i="3"/>
  <c r="G37" i="3"/>
  <c r="S3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V56" i="3" s="1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P32" i="3"/>
  <c r="V15" i="3"/>
  <c r="AP17" i="3"/>
  <c r="AG34" i="3"/>
  <c r="I78" i="2"/>
  <c r="V75" i="2"/>
  <c r="P107" i="2"/>
  <c r="M45" i="2"/>
  <c r="R51" i="2"/>
  <c r="L108" i="2"/>
  <c r="E107" i="2"/>
  <c r="M70" i="2"/>
  <c r="T91" i="2"/>
  <c r="U86" i="2"/>
  <c r="O70" i="2"/>
  <c r="G79" i="2"/>
  <c r="H76" i="2"/>
  <c r="O47" i="2"/>
  <c r="L83" i="2"/>
  <c r="AB80" i="3"/>
  <c r="AP71" i="3"/>
  <c r="AP81" i="3"/>
  <c r="AP76" i="3"/>
  <c r="AP49" i="3"/>
  <c r="S7" i="3"/>
  <c r="C37" i="3"/>
  <c r="AQ13" i="3"/>
  <c r="AM32" i="3"/>
  <c r="AL41" i="3"/>
  <c r="AH21" i="3"/>
  <c r="P10" i="3"/>
  <c r="M34" i="3"/>
  <c r="AB20" i="3"/>
  <c r="AA25" i="3"/>
  <c r="G42" i="3"/>
  <c r="L37" i="3"/>
  <c r="Z25" i="3"/>
  <c r="N39" i="3"/>
  <c r="AE25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AM60" i="3" s="1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I33" i="3"/>
  <c r="AH8" i="3"/>
  <c r="K20" i="3"/>
  <c r="Y9" i="3"/>
  <c r="X39" i="3"/>
  <c r="R8" i="3"/>
  <c r="AG24" i="3"/>
  <c r="V42" i="3"/>
  <c r="AJ37" i="3"/>
  <c r="AN36" i="3"/>
  <c r="AA28" i="3"/>
  <c r="AC34" i="3"/>
  <c r="AO36" i="3"/>
  <c r="Q18" i="3"/>
  <c r="N18" i="3"/>
  <c r="AN19" i="3"/>
  <c r="AN29" i="3"/>
  <c r="K10" i="3"/>
  <c r="K50" i="2"/>
  <c r="K62" i="2"/>
  <c r="U68" i="2"/>
  <c r="N105" i="2"/>
  <c r="R105" i="2"/>
  <c r="K51" i="2"/>
  <c r="O53" i="2"/>
  <c r="K71" i="2"/>
  <c r="S59" i="2"/>
  <c r="G74" i="2"/>
  <c r="R68" i="2"/>
  <c r="W79" i="2"/>
  <c r="G51" i="2"/>
  <c r="O108" i="2"/>
  <c r="F88" i="2"/>
  <c r="AP86" i="3"/>
  <c r="C47" i="3"/>
  <c r="AP62" i="3"/>
  <c r="AB49" i="3"/>
  <c r="AP64" i="3"/>
  <c r="Z30" i="3"/>
  <c r="L19" i="3"/>
  <c r="U21" i="3"/>
  <c r="J16" i="3"/>
  <c r="R25" i="3"/>
  <c r="AL27" i="3"/>
  <c r="AN31" i="3"/>
  <c r="Z8" i="3"/>
  <c r="AH16" i="3"/>
  <c r="Z15" i="3"/>
  <c r="AA9" i="3"/>
  <c r="AP19" i="3"/>
  <c r="AA12" i="3"/>
  <c r="I16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R22" i="3"/>
  <c r="AK8" i="3"/>
  <c r="C36" i="3"/>
  <c r="R19" i="3"/>
  <c r="S10" i="3"/>
  <c r="AC41" i="3"/>
  <c r="J10" i="3"/>
  <c r="L10" i="3"/>
  <c r="M18" i="3"/>
  <c r="T11" i="3"/>
  <c r="K6" i="3"/>
  <c r="AD40" i="3"/>
  <c r="M104" i="2"/>
  <c r="I80" i="2"/>
  <c r="X93" i="2"/>
  <c r="E79" i="2"/>
  <c r="H85" i="2"/>
  <c r="G52" i="2"/>
  <c r="J58" i="2"/>
  <c r="E59" i="2"/>
  <c r="H108" i="2"/>
  <c r="T52" i="2"/>
  <c r="S111" i="2"/>
  <c r="J95" i="2"/>
  <c r="G60" i="2"/>
  <c r="F67" i="2"/>
  <c r="C63" i="2"/>
  <c r="AB48" i="3"/>
  <c r="AB79" i="3"/>
  <c r="AB62" i="3"/>
  <c r="AB97" i="3"/>
  <c r="AB76" i="3"/>
  <c r="W5" i="3"/>
  <c r="N24" i="3"/>
  <c r="P39" i="3"/>
  <c r="AQ39" i="3"/>
  <c r="S31" i="3"/>
  <c r="AG42" i="3"/>
  <c r="AK37" i="3"/>
  <c r="AK21" i="3"/>
  <c r="W33" i="3"/>
  <c r="I37" i="3"/>
  <c r="J12" i="3"/>
  <c r="AI11" i="3"/>
  <c r="AM25" i="3"/>
  <c r="W21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I18" i="3"/>
  <c r="AD21" i="3"/>
  <c r="AO9" i="3"/>
  <c r="R86" i="2"/>
  <c r="N58" i="2"/>
  <c r="R56" i="2"/>
  <c r="C42" i="2"/>
  <c r="L45" i="2"/>
  <c r="H89" i="2"/>
  <c r="H62" i="2"/>
  <c r="N91" i="2"/>
  <c r="T96" i="2"/>
  <c r="L106" i="2"/>
  <c r="L42" i="2"/>
  <c r="U107" i="2"/>
  <c r="R50" i="2"/>
  <c r="E96" i="2"/>
  <c r="AP68" i="3"/>
  <c r="AB77" i="3"/>
  <c r="AP65" i="3"/>
  <c r="AP82" i="3"/>
  <c r="AB86" i="3"/>
  <c r="AP73" i="3"/>
  <c r="P32" i="3"/>
  <c r="AJ38" i="3"/>
  <c r="AK5" i="3"/>
  <c r="AP10" i="3"/>
  <c r="AN22" i="3"/>
  <c r="U30" i="3"/>
  <c r="AO15" i="3"/>
  <c r="AD35" i="3"/>
  <c r="H38" i="3"/>
  <c r="AA34" i="3"/>
  <c r="H14" i="3"/>
  <c r="N40" i="3"/>
  <c r="O17" i="3"/>
  <c r="W18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S74" i="2"/>
  <c r="G99" i="2"/>
  <c r="X98" i="2"/>
  <c r="K88" i="2"/>
  <c r="V71" i="2"/>
  <c r="W106" i="2"/>
  <c r="K40" i="2"/>
  <c r="E74" i="2"/>
  <c r="F98" i="2"/>
  <c r="O88" i="2"/>
  <c r="T49" i="2"/>
  <c r="I58" i="2"/>
  <c r="N61" i="2"/>
  <c r="X84" i="2"/>
  <c r="AB61" i="3"/>
  <c r="AP97" i="3"/>
  <c r="AP57" i="3"/>
  <c r="AP87" i="3"/>
  <c r="AP50" i="3"/>
  <c r="AB85" i="3"/>
  <c r="I22" i="3"/>
  <c r="AI12" i="3"/>
  <c r="N26" i="3"/>
  <c r="Q34" i="3"/>
  <c r="O29" i="3"/>
  <c r="AC20" i="3"/>
  <c r="L25" i="3"/>
  <c r="V24" i="3"/>
  <c r="W37" i="3"/>
  <c r="AB41" i="3"/>
  <c r="E47" i="3"/>
  <c r="Z34" i="3"/>
  <c r="S32" i="3"/>
  <c r="N34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Z38" i="3"/>
  <c r="I12" i="3"/>
  <c r="AL28" i="3"/>
  <c r="AN11" i="3"/>
  <c r="AA22" i="3"/>
  <c r="AH38" i="3"/>
  <c r="K27" i="3"/>
  <c r="AC32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AO66" i="3" s="1"/>
  <c r="M40" i="3"/>
  <c r="V20" i="3"/>
  <c r="J19" i="3"/>
  <c r="S37" i="3"/>
  <c r="T31" i="3"/>
  <c r="L35" i="3"/>
  <c r="P46" i="2"/>
  <c r="G89" i="2"/>
  <c r="M78" i="2"/>
  <c r="Q93" i="2"/>
  <c r="C62" i="2"/>
  <c r="O112" i="2"/>
  <c r="U93" i="2"/>
  <c r="C44" i="2"/>
  <c r="N71" i="2"/>
  <c r="I44" i="2"/>
  <c r="M111" i="2"/>
  <c r="F69" i="2"/>
  <c r="AP48" i="3"/>
  <c r="AP63" i="3"/>
  <c r="AB95" i="3"/>
  <c r="G36" i="3"/>
  <c r="V8" i="3"/>
  <c r="P5" i="3"/>
  <c r="P54" i="3" s="1"/>
  <c r="K38" i="3"/>
  <c r="C38" i="3"/>
  <c r="X24" i="3"/>
  <c r="AJ33" i="3"/>
  <c r="H6" i="3"/>
  <c r="AB34" i="3"/>
  <c r="C41" i="3"/>
  <c r="AP16" i="3"/>
  <c r="AK30" i="3"/>
  <c r="J34" i="3"/>
  <c r="AB21" i="3"/>
  <c r="M91" i="2"/>
  <c r="Q89" i="2"/>
  <c r="I82" i="2"/>
  <c r="W44" i="2"/>
  <c r="R64" i="2"/>
  <c r="P82" i="2"/>
  <c r="N99" i="2"/>
  <c r="I55" i="2"/>
  <c r="H106" i="2"/>
  <c r="N110" i="2"/>
  <c r="K83" i="2"/>
  <c r="H77" i="2"/>
  <c r="C56" i="2"/>
  <c r="G83" i="2"/>
  <c r="AB60" i="3"/>
  <c r="AB47" i="3"/>
  <c r="AP79" i="3"/>
  <c r="AP94" i="3"/>
  <c r="AB67" i="3"/>
  <c r="AB84" i="3"/>
  <c r="K13" i="3"/>
  <c r="Z19" i="3"/>
  <c r="AM16" i="3"/>
  <c r="AH31" i="3"/>
  <c r="S16" i="3"/>
  <c r="O21" i="3"/>
  <c r="I28" i="3"/>
  <c r="AK12" i="3"/>
  <c r="H28" i="3"/>
  <c r="Q27" i="3"/>
  <c r="AO7" i="3"/>
  <c r="L11" i="3"/>
  <c r="K29" i="3"/>
  <c r="AL30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80" i="3" s="1"/>
  <c r="W35" i="3"/>
  <c r="L39" i="3"/>
  <c r="T12" i="3"/>
  <c r="AC5" i="3"/>
  <c r="AC63" i="3" s="1"/>
  <c r="AJ13" i="3"/>
  <c r="Z29" i="3"/>
  <c r="H10" i="3"/>
  <c r="R33" i="3"/>
  <c r="I6" i="3"/>
  <c r="AO16" i="3"/>
  <c r="M12" i="3"/>
  <c r="Z7" i="3"/>
  <c r="N9" i="3"/>
  <c r="AH28" i="3"/>
  <c r="AH25" i="3"/>
  <c r="AQ15" i="3"/>
  <c r="P31" i="3"/>
  <c r="Q15" i="3"/>
  <c r="L15" i="3"/>
  <c r="R13" i="3"/>
  <c r="Q12" i="3"/>
  <c r="X17" i="3"/>
  <c r="Y29" i="3"/>
  <c r="AM31" i="3"/>
  <c r="K12" i="3"/>
  <c r="V21" i="3"/>
  <c r="T18" i="3"/>
  <c r="AI40" i="3"/>
  <c r="E64" i="2"/>
  <c r="J45" i="2"/>
  <c r="AB88" i="3"/>
  <c r="AB54" i="3"/>
  <c r="AP77" i="3"/>
  <c r="AG39" i="3"/>
  <c r="AC18" i="3"/>
  <c r="M10" i="3"/>
  <c r="Y40" i="3"/>
  <c r="S36" i="3"/>
  <c r="P41" i="3"/>
  <c r="S33" i="3"/>
  <c r="J37" i="3"/>
  <c r="L33" i="3"/>
  <c r="V12" i="3"/>
  <c r="L8" i="3"/>
  <c r="W12" i="3"/>
  <c r="Y18" i="3"/>
  <c r="T35" i="3"/>
  <c r="AN32" i="3"/>
  <c r="AH14" i="3"/>
  <c r="G40" i="3"/>
  <c r="V18" i="3"/>
  <c r="AB11" i="3"/>
  <c r="W24" i="3"/>
  <c r="J7" i="3"/>
  <c r="P18" i="3"/>
  <c r="P68" i="2"/>
  <c r="V93" i="2"/>
  <c r="M108" i="2"/>
  <c r="AP89" i="3"/>
  <c r="R24" i="3"/>
  <c r="AD28" i="3"/>
  <c r="AA30" i="3"/>
  <c r="AJ30" i="3"/>
  <c r="AO14" i="3"/>
  <c r="AB10" i="3"/>
  <c r="K42" i="3"/>
  <c r="R14" i="3"/>
  <c r="AQ21" i="3"/>
  <c r="AQ37" i="3"/>
  <c r="AI42" i="3"/>
  <c r="R10" i="3"/>
  <c r="AI20" i="3"/>
  <c r="U9" i="3"/>
  <c r="AO12" i="3"/>
  <c r="Z21" i="3"/>
  <c r="AI37" i="3"/>
  <c r="AN42" i="3"/>
  <c r="X37" i="3"/>
  <c r="H26" i="3"/>
  <c r="AJ42" i="3"/>
  <c r="U32" i="3"/>
  <c r="AA15" i="3"/>
  <c r="AE40" i="3"/>
  <c r="AG13" i="3"/>
  <c r="J26" i="3"/>
  <c r="Y21" i="3"/>
  <c r="AH6" i="3"/>
  <c r="AA35" i="3"/>
  <c r="AO8" i="3"/>
  <c r="AC24" i="3"/>
  <c r="K16" i="3"/>
  <c r="T29" i="3"/>
  <c r="R16" i="3"/>
  <c r="AQ20" i="3"/>
  <c r="S13" i="3"/>
  <c r="AQ26" i="3"/>
  <c r="N31" i="3"/>
  <c r="X86" i="2"/>
  <c r="AP23" i="3"/>
  <c r="AE41" i="3"/>
  <c r="AC26" i="3"/>
  <c r="U18" i="3"/>
  <c r="K31" i="3"/>
  <c r="AQ16" i="3"/>
  <c r="AA38" i="3"/>
  <c r="AH29" i="3"/>
  <c r="AN5" i="3"/>
  <c r="AN91" i="3" s="1"/>
  <c r="L17" i="3"/>
  <c r="AL32" i="3"/>
  <c r="N17" i="3"/>
  <c r="Q39" i="3"/>
  <c r="C66" i="2"/>
  <c r="H40" i="3"/>
  <c r="H7" i="3"/>
  <c r="AN40" i="3"/>
  <c r="AM28" i="3"/>
  <c r="S25" i="3"/>
  <c r="AL11" i="3"/>
  <c r="X40" i="3"/>
  <c r="I106" i="2"/>
  <c r="N42" i="2"/>
  <c r="N92" i="2"/>
  <c r="AB69" i="3"/>
  <c r="Z10" i="3"/>
  <c r="I36" i="3"/>
  <c r="M15" i="3"/>
  <c r="AG7" i="3"/>
  <c r="R30" i="3"/>
  <c r="AM13" i="3"/>
  <c r="L28" i="3"/>
  <c r="H35" i="3"/>
  <c r="AM20" i="3"/>
  <c r="W31" i="3"/>
  <c r="S23" i="3"/>
  <c r="AH34" i="3"/>
  <c r="AA14" i="3"/>
  <c r="G38" i="3"/>
  <c r="U35" i="3"/>
  <c r="AN10" i="3"/>
  <c r="AL18" i="3"/>
  <c r="AK6" i="3"/>
  <c r="AK32" i="3"/>
  <c r="AK38" i="3"/>
  <c r="H31" i="3"/>
  <c r="M24" i="3"/>
  <c r="U42" i="3"/>
  <c r="AN41" i="3"/>
  <c r="S28" i="3"/>
  <c r="C11" i="3"/>
  <c r="AL5" i="3"/>
  <c r="AL86" i="3" s="1"/>
  <c r="AA39" i="3"/>
  <c r="AK40" i="3"/>
  <c r="N22" i="3"/>
  <c r="S12" i="3"/>
  <c r="T32" i="3"/>
  <c r="H18" i="3"/>
  <c r="J9" i="3"/>
  <c r="AD22" i="3"/>
  <c r="AI14" i="3"/>
  <c r="AB23" i="3"/>
  <c r="Y24" i="3"/>
  <c r="N42" i="3"/>
  <c r="I33" i="3"/>
  <c r="AJ10" i="3"/>
  <c r="AO26" i="3"/>
  <c r="AD27" i="3"/>
  <c r="AH30" i="3"/>
  <c r="K26" i="3"/>
  <c r="C14" i="3"/>
  <c r="AB8" i="3"/>
  <c r="Q8" i="3"/>
  <c r="L24" i="3"/>
  <c r="K90" i="2"/>
  <c r="S113" i="2"/>
  <c r="H55" i="2"/>
  <c r="AB74" i="3"/>
  <c r="R36" i="3"/>
  <c r="N14" i="3"/>
  <c r="AG37" i="3"/>
  <c r="AE7" i="3"/>
  <c r="P27" i="3"/>
  <c r="AP9" i="3"/>
  <c r="J15" i="3"/>
  <c r="AN14" i="3"/>
  <c r="M6" i="3"/>
  <c r="AL34" i="3"/>
  <c r="AI27" i="3"/>
  <c r="AK39" i="3"/>
  <c r="R39" i="3"/>
  <c r="AB35" i="3"/>
  <c r="Z13" i="3"/>
  <c r="L13" i="3"/>
  <c r="N6" i="3"/>
  <c r="C29" i="3"/>
  <c r="O14" i="3"/>
  <c r="AD42" i="3"/>
  <c r="N12" i="3"/>
  <c r="Y27" i="3"/>
  <c r="AE13" i="3"/>
  <c r="T36" i="3"/>
  <c r="M21" i="3"/>
  <c r="I5" i="3"/>
  <c r="I62" i="3" s="1"/>
  <c r="U16" i="3"/>
  <c r="AP21" i="3"/>
  <c r="AH39" i="3"/>
  <c r="AI22" i="3"/>
  <c r="Q30" i="3"/>
  <c r="Y42" i="3"/>
  <c r="U28" i="3"/>
  <c r="Z33" i="3"/>
  <c r="AB71" i="3"/>
  <c r="AA33" i="3"/>
  <c r="U29" i="3"/>
  <c r="AE16" i="3"/>
  <c r="AB31" i="3"/>
  <c r="AD49" i="3"/>
  <c r="N25" i="3"/>
  <c r="U7" i="3"/>
  <c r="AE12" i="3"/>
  <c r="S39" i="3"/>
  <c r="AG14" i="3"/>
  <c r="C35" i="3"/>
  <c r="L112" i="2"/>
  <c r="E40" i="2"/>
  <c r="R60" i="2"/>
  <c r="H20" i="3"/>
  <c r="AJ22" i="3"/>
  <c r="U19" i="3"/>
  <c r="AI15" i="3"/>
  <c r="AG27" i="3"/>
  <c r="K23" i="3"/>
  <c r="M26" i="3"/>
  <c r="AG21" i="3"/>
  <c r="X5" i="3"/>
  <c r="AB26" i="3"/>
  <c r="AM30" i="3"/>
  <c r="AE20" i="3"/>
  <c r="P23" i="3"/>
  <c r="AD33" i="3"/>
  <c r="AL36" i="3"/>
  <c r="AA7" i="3"/>
  <c r="C31" i="3"/>
  <c r="W17" i="3"/>
  <c r="K17" i="3"/>
  <c r="R11" i="3"/>
  <c r="X11" i="3"/>
  <c r="J35" i="3"/>
  <c r="P12" i="3"/>
  <c r="I61" i="2"/>
  <c r="S9" i="3"/>
  <c r="AC31" i="3"/>
  <c r="T7" i="3"/>
  <c r="AQ25" i="3"/>
  <c r="AO13" i="3"/>
  <c r="M38" i="3"/>
  <c r="Z18" i="3"/>
  <c r="R7" i="3"/>
  <c r="AK28" i="3"/>
  <c r="AH13" i="3"/>
  <c r="S17" i="3"/>
  <c r="V25" i="3"/>
  <c r="P11" i="3"/>
  <c r="AA20" i="3"/>
  <c r="AG29" i="3"/>
  <c r="X62" i="2"/>
  <c r="Q60" i="2"/>
  <c r="AP56" i="3"/>
  <c r="AN8" i="3"/>
  <c r="AD37" i="3"/>
  <c r="AA8" i="3"/>
  <c r="AC22" i="3"/>
  <c r="G35" i="3"/>
  <c r="J18" i="3"/>
  <c r="I41" i="3"/>
  <c r="AQ23" i="3"/>
  <c r="AI19" i="3"/>
  <c r="I35" i="3"/>
  <c r="AO29" i="3"/>
  <c r="P19" i="3"/>
  <c r="S19" i="3"/>
  <c r="M8" i="3"/>
  <c r="U14" i="3"/>
  <c r="AG20" i="3"/>
  <c r="D48" i="3"/>
  <c r="L34" i="3"/>
  <c r="AI17" i="3"/>
  <c r="H39" i="3"/>
  <c r="T6" i="3"/>
  <c r="AD39" i="3"/>
  <c r="AB93" i="3"/>
  <c r="AC35" i="3"/>
  <c r="AJ7" i="3"/>
  <c r="S41" i="3"/>
  <c r="P15" i="3"/>
  <c r="P37" i="3"/>
  <c r="W25" i="3"/>
  <c r="T40" i="3"/>
  <c r="U87" i="2"/>
  <c r="P25" i="3"/>
  <c r="AC9" i="3"/>
  <c r="X33" i="3"/>
  <c r="H29" i="3"/>
  <c r="P26" i="3"/>
  <c r="AN13" i="3"/>
  <c r="C26" i="3"/>
  <c r="AP18" i="3"/>
  <c r="Y26" i="3"/>
  <c r="L50" i="2"/>
  <c r="V59" i="2"/>
  <c r="AP96" i="3"/>
  <c r="H17" i="3"/>
  <c r="AE31" i="3"/>
  <c r="AM22" i="3"/>
  <c r="I39" i="3"/>
  <c r="AN35" i="3"/>
  <c r="V34" i="3"/>
  <c r="AC8" i="3"/>
  <c r="AJ8" i="3"/>
  <c r="AO25" i="3"/>
  <c r="W11" i="3"/>
  <c r="AK7" i="3"/>
  <c r="AA23" i="3"/>
  <c r="U23" i="3"/>
  <c r="O10" i="3"/>
  <c r="U39" i="3"/>
  <c r="AB7" i="3"/>
  <c r="U27" i="3"/>
  <c r="N38" i="3"/>
  <c r="M28" i="3"/>
  <c r="J33" i="3"/>
  <c r="T39" i="3"/>
  <c r="AI29" i="3"/>
  <c r="N33" i="3"/>
  <c r="AB17" i="3"/>
  <c r="X18" i="3"/>
  <c r="X20" i="3"/>
  <c r="L41" i="3"/>
  <c r="AK15" i="3"/>
  <c r="AD41" i="3"/>
  <c r="O39" i="3"/>
  <c r="X16" i="3"/>
  <c r="AK9" i="3"/>
  <c r="AK34" i="3"/>
  <c r="Y37" i="3"/>
  <c r="V6" i="3"/>
  <c r="AQ10" i="3"/>
  <c r="U8" i="3"/>
  <c r="V23" i="3"/>
  <c r="C74" i="2"/>
  <c r="V97" i="2"/>
  <c r="AB90" i="3"/>
  <c r="AN33" i="3"/>
  <c r="AE24" i="3"/>
  <c r="P30" i="3"/>
  <c r="W15" i="3"/>
  <c r="H19" i="3"/>
  <c r="AN23" i="3"/>
  <c r="AQ9" i="3"/>
  <c r="AJ5" i="3"/>
  <c r="AB6" i="3"/>
  <c r="AQ33" i="3"/>
  <c r="AC14" i="3"/>
  <c r="M5" i="3"/>
  <c r="Q28" i="3"/>
  <c r="M27" i="3"/>
  <c r="T19" i="3"/>
  <c r="AM17" i="3"/>
  <c r="AJ26" i="3"/>
  <c r="S29" i="3"/>
  <c r="U5" i="3"/>
  <c r="Z5" i="3"/>
  <c r="Z92" i="3" s="1"/>
  <c r="AN39" i="3"/>
  <c r="K34" i="3"/>
  <c r="AC40" i="3"/>
  <c r="K32" i="3"/>
  <c r="AB9" i="3"/>
  <c r="X19" i="3"/>
  <c r="AO37" i="3"/>
  <c r="AQ17" i="3"/>
  <c r="AA27" i="3"/>
  <c r="V62" i="2"/>
  <c r="D94" i="2"/>
  <c r="AB96" i="3"/>
  <c r="AJ31" i="3"/>
  <c r="AP41" i="3"/>
  <c r="Y13" i="3"/>
  <c r="M23" i="3"/>
  <c r="AH37" i="3"/>
  <c r="T41" i="3"/>
  <c r="AE18" i="3"/>
  <c r="T16" i="3"/>
  <c r="AG6" i="3"/>
  <c r="U25" i="3"/>
  <c r="M42" i="3"/>
  <c r="G34" i="3"/>
  <c r="P36" i="3"/>
  <c r="AK31" i="3"/>
  <c r="AE8" i="3"/>
  <c r="I20" i="3"/>
  <c r="AI7" i="3"/>
  <c r="Q13" i="3"/>
  <c r="M19" i="3"/>
  <c r="K33" i="3"/>
  <c r="X6" i="3"/>
  <c r="AI36" i="3"/>
  <c r="Y5" i="3"/>
  <c r="Y82" i="3" s="1"/>
  <c r="C16" i="3"/>
  <c r="E54" i="2"/>
  <c r="U108" i="2"/>
  <c r="AB82" i="3"/>
  <c r="W28" i="3"/>
  <c r="O37" i="3"/>
  <c r="AJ24" i="3"/>
  <c r="AH22" i="3"/>
  <c r="M25" i="3"/>
  <c r="AG26" i="3"/>
  <c r="S30" i="3"/>
  <c r="L26" i="3"/>
  <c r="W36" i="3"/>
  <c r="J21" i="3"/>
  <c r="AG36" i="3"/>
  <c r="J29" i="3"/>
  <c r="V32" i="3"/>
  <c r="AP39" i="3"/>
  <c r="AB36" i="3"/>
  <c r="Q6" i="3"/>
  <c r="AK42" i="3"/>
  <c r="W20" i="3"/>
  <c r="AG11" i="3"/>
  <c r="P43" i="2"/>
  <c r="V45" i="2"/>
  <c r="AP95" i="3"/>
  <c r="I38" i="3"/>
  <c r="M29" i="3"/>
  <c r="O5" i="3"/>
  <c r="Z35" i="3"/>
  <c r="Q26" i="3"/>
  <c r="J27" i="3"/>
  <c r="AB12" i="3"/>
  <c r="U22" i="3"/>
  <c r="O7" i="3"/>
  <c r="I14" i="3"/>
  <c r="AI89" i="3"/>
  <c r="AM59" i="3"/>
  <c r="L61" i="3"/>
  <c r="J68" i="3"/>
  <c r="L70" i="3"/>
  <c r="M67" i="3"/>
  <c r="AA93" i="3"/>
  <c r="T55" i="3"/>
  <c r="N78" i="3"/>
  <c r="AN70" i="3"/>
  <c r="AG93" i="3"/>
  <c r="U47" i="3"/>
  <c r="AJ85" i="3"/>
  <c r="AO48" i="3"/>
  <c r="S55" i="3"/>
  <c r="AH83" i="3"/>
  <c r="I64" i="3"/>
  <c r="S81" i="3"/>
  <c r="AJ83" i="3"/>
  <c r="V95" i="3"/>
  <c r="Z88" i="3"/>
  <c r="AQ86" i="3"/>
  <c r="AA80" i="3"/>
  <c r="Q48" i="3"/>
  <c r="U61" i="3"/>
  <c r="N87" i="3"/>
  <c r="AG75" i="3"/>
  <c r="I50" i="3"/>
  <c r="AI65" i="3"/>
  <c r="N69" i="3"/>
  <c r="L67" i="3"/>
  <c r="H64" i="3"/>
  <c r="L77" i="3"/>
  <c r="H62" i="3"/>
  <c r="H48" i="3"/>
  <c r="U56" i="3"/>
  <c r="Q96" i="3"/>
  <c r="AO54" i="3"/>
  <c r="Z74" i="3"/>
  <c r="I79" i="3"/>
  <c r="N47" i="3"/>
  <c r="AM61" i="3"/>
  <c r="AG81" i="3"/>
  <c r="U63" i="3"/>
  <c r="AJ96" i="3"/>
  <c r="AO96" i="3"/>
  <c r="S54" i="3"/>
  <c r="U97" i="3"/>
  <c r="I47" i="3"/>
  <c r="AI85" i="3"/>
  <c r="AM84" i="3"/>
  <c r="P71" i="3"/>
  <c r="O54" i="3"/>
  <c r="P92" i="3"/>
  <c r="L72" i="3"/>
  <c r="O69" i="3"/>
  <c r="O88" i="3"/>
  <c r="AI74" i="3"/>
  <c r="Q70" i="3"/>
  <c r="AO59" i="3"/>
  <c r="W77" i="3"/>
  <c r="N62" i="3"/>
  <c r="AM92" i="3"/>
  <c r="AG68" i="3"/>
  <c r="R48" i="3"/>
  <c r="AN57" i="3"/>
  <c r="V80" i="3"/>
  <c r="S94" i="3"/>
  <c r="U96" i="3"/>
  <c r="I56" i="3"/>
  <c r="H63" i="3"/>
  <c r="AI76" i="3"/>
  <c r="M97" i="3"/>
  <c r="H88" i="3"/>
  <c r="O60" i="3"/>
  <c r="L80" i="3"/>
  <c r="H89" i="3"/>
  <c r="P60" i="3"/>
  <c r="J72" i="3"/>
  <c r="M87" i="3"/>
  <c r="P86" i="3"/>
  <c r="J87" i="3"/>
  <c r="S72" i="3"/>
  <c r="W87" i="3"/>
  <c r="N83" i="3"/>
  <c r="AM86" i="3"/>
  <c r="T80" i="3"/>
  <c r="AI78" i="3"/>
  <c r="AI60" i="3"/>
  <c r="H68" i="3"/>
  <c r="O96" i="3"/>
  <c r="AA65" i="3"/>
  <c r="L68" i="3"/>
  <c r="O78" i="3"/>
  <c r="O87" i="3"/>
  <c r="H82" i="3"/>
  <c r="Q82" i="3"/>
  <c r="O81" i="3"/>
  <c r="U68" i="3"/>
  <c r="T63" i="3"/>
  <c r="W55" i="3"/>
  <c r="N59" i="3"/>
  <c r="AM78" i="3"/>
  <c r="AO86" i="3"/>
  <c r="AG76" i="3"/>
  <c r="S66" i="3"/>
  <c r="U64" i="3"/>
  <c r="AQ56" i="3"/>
  <c r="I97" i="3"/>
  <c r="AQ88" i="3"/>
  <c r="T50" i="3"/>
  <c r="R61" i="3"/>
  <c r="O75" i="3"/>
  <c r="T62" i="3"/>
  <c r="AM68" i="3"/>
  <c r="U54" i="3"/>
  <c r="K97" i="3"/>
  <c r="AM83" i="3"/>
  <c r="AK77" i="3"/>
  <c r="H75" i="3"/>
  <c r="J91" i="3"/>
  <c r="AN64" i="3"/>
  <c r="P59" i="3"/>
  <c r="Q87" i="3"/>
  <c r="M96" i="3"/>
  <c r="H97" i="3"/>
  <c r="J95" i="3"/>
  <c r="O50" i="3"/>
  <c r="AJ94" i="3"/>
  <c r="Z80" i="3"/>
  <c r="AO97" i="3"/>
  <c r="W86" i="3"/>
  <c r="N77" i="3"/>
  <c r="U48" i="3"/>
  <c r="V92" i="3"/>
  <c r="AG61" i="3"/>
  <c r="V54" i="3"/>
  <c r="S96" i="3"/>
  <c r="U86" i="3"/>
  <c r="AQ87" i="3"/>
  <c r="W78" i="3"/>
  <c r="R93" i="3"/>
  <c r="Z75" i="3"/>
  <c r="K90" i="3"/>
  <c r="T67" i="3"/>
  <c r="R80" i="3"/>
  <c r="AN49" i="3"/>
  <c r="Q72" i="3"/>
  <c r="AO69" i="3"/>
  <c r="AM67" i="3"/>
  <c r="AK96" i="3"/>
  <c r="H92" i="3"/>
  <c r="H76" i="3"/>
  <c r="L82" i="3"/>
  <c r="O47" i="3"/>
  <c r="J80" i="3"/>
  <c r="J56" i="3"/>
  <c r="P61" i="3"/>
  <c r="AJ67" i="3"/>
  <c r="Q75" i="3"/>
  <c r="AA95" i="3"/>
  <c r="V87" i="3"/>
  <c r="W56" i="3"/>
  <c r="AK89" i="3"/>
  <c r="AA87" i="3"/>
  <c r="AH56" i="3"/>
  <c r="AG49" i="3"/>
  <c r="Z76" i="3"/>
  <c r="AH64" i="3"/>
  <c r="AK60" i="3"/>
  <c r="AK95" i="3"/>
  <c r="AI90" i="3"/>
  <c r="AA89" i="3"/>
  <c r="AA58" i="3"/>
  <c r="Z93" i="3"/>
  <c r="AA97" i="3"/>
  <c r="Z73" i="3"/>
  <c r="AA55" i="3"/>
  <c r="AO73" i="3"/>
  <c r="N96" i="3"/>
  <c r="Z47" i="3"/>
  <c r="AJ57" i="3"/>
  <c r="H49" i="3"/>
  <c r="N49" i="3"/>
  <c r="AM47" i="3"/>
  <c r="L92" i="3"/>
  <c r="J86" i="3"/>
  <c r="Q85" i="3"/>
  <c r="AI70" i="3"/>
  <c r="Q57" i="3"/>
  <c r="V57" i="3"/>
  <c r="M47" i="3"/>
  <c r="AH72" i="3"/>
  <c r="W57" i="3"/>
  <c r="AM76" i="3"/>
  <c r="AJ97" i="3"/>
  <c r="AG67" i="3"/>
  <c r="U65" i="3"/>
  <c r="AO83" i="3"/>
  <c r="K77" i="3"/>
  <c r="AH57" i="3"/>
  <c r="R70" i="3"/>
  <c r="K61" i="3"/>
  <c r="AI58" i="3"/>
  <c r="AN75" i="3"/>
  <c r="T49" i="3"/>
  <c r="K79" i="3"/>
  <c r="J66" i="3"/>
  <c r="AG73" i="3"/>
  <c r="K63" i="3"/>
  <c r="AQ62" i="3"/>
  <c r="AH68" i="3"/>
  <c r="I68" i="3"/>
  <c r="R63" i="3"/>
  <c r="H70" i="3"/>
  <c r="Z55" i="3"/>
  <c r="AK58" i="3"/>
  <c r="R62" i="3"/>
  <c r="S71" i="3"/>
  <c r="K54" i="3"/>
  <c r="AI87" i="3"/>
  <c r="O63" i="3"/>
  <c r="S58" i="3"/>
  <c r="AI69" i="3"/>
  <c r="M60" i="3"/>
  <c r="P88" i="3"/>
  <c r="O83" i="3"/>
  <c r="H96" i="3"/>
  <c r="P84" i="3"/>
  <c r="J90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I54" i="3"/>
  <c r="S93" i="3"/>
  <c r="AJ50" i="3"/>
  <c r="V61" i="3"/>
  <c r="AQ82" i="3"/>
  <c r="Q97" i="3"/>
  <c r="AG95" i="3"/>
  <c r="AJ48" i="3"/>
  <c r="U94" i="3"/>
  <c r="AI49" i="3"/>
  <c r="AN88" i="3"/>
  <c r="Z65" i="3"/>
  <c r="N54" i="3"/>
  <c r="N89" i="3"/>
  <c r="AM56" i="3"/>
  <c r="L79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AQ66" i="3"/>
  <c r="R49" i="3"/>
  <c r="AG94" i="3"/>
  <c r="U93" i="3"/>
  <c r="AH87" i="3"/>
  <c r="AO92" i="3"/>
  <c r="Q90" i="3"/>
  <c r="AO80" i="3"/>
  <c r="AQ60" i="3"/>
  <c r="L95" i="3"/>
  <c r="P72" i="3"/>
  <c r="AG91" i="3"/>
  <c r="S60" i="3"/>
  <c r="AH58" i="3"/>
  <c r="T73" i="3"/>
  <c r="S83" i="3"/>
  <c r="J84" i="3"/>
  <c r="AM63" i="3"/>
  <c r="T93" i="3"/>
  <c r="I75" i="3"/>
  <c r="AG80" i="3"/>
  <c r="M54" i="3"/>
  <c r="P73" i="3"/>
  <c r="R66" i="3"/>
  <c r="Q80" i="3"/>
  <c r="AQ58" i="3"/>
  <c r="AJ91" i="3"/>
  <c r="AN85" i="3"/>
  <c r="AN79" i="3"/>
  <c r="AA50" i="3"/>
  <c r="W66" i="3"/>
  <c r="AG87" i="3"/>
  <c r="AQ76" i="3"/>
  <c r="I88" i="3"/>
  <c r="M58" i="3"/>
  <c r="AK66" i="3"/>
  <c r="R73" i="3"/>
  <c r="Q91" i="3"/>
  <c r="L89" i="3"/>
  <c r="M89" i="3"/>
  <c r="AG48" i="3"/>
  <c r="AK64" i="3"/>
  <c r="AQ49" i="3"/>
  <c r="AG50" i="3"/>
  <c r="I63" i="3"/>
  <c r="K95" i="3"/>
  <c r="U70" i="3"/>
  <c r="AH93" i="3"/>
  <c r="J82" i="3"/>
  <c r="AG65" i="3"/>
  <c r="U81" i="3"/>
  <c r="R64" i="3"/>
  <c r="I67" i="3"/>
  <c r="AH54" i="3"/>
  <c r="AM65" i="3"/>
  <c r="AJ73" i="3"/>
  <c r="V58" i="3"/>
  <c r="K57" i="3"/>
  <c r="L59" i="3"/>
  <c r="H58" i="3"/>
  <c r="M95" i="3"/>
  <c r="AG86" i="3"/>
  <c r="S79" i="3"/>
  <c r="K75" i="3"/>
  <c r="AQ72" i="3"/>
  <c r="T58" i="3"/>
  <c r="R95" i="3"/>
  <c r="AJ65" i="3"/>
  <c r="AO67" i="3"/>
  <c r="AM97" i="3"/>
  <c r="AG56" i="3"/>
  <c r="AH73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S95" i="3"/>
  <c r="W81" i="3"/>
  <c r="N97" i="3"/>
  <c r="AM96" i="3"/>
  <c r="Z97" i="3"/>
  <c r="AG90" i="3"/>
  <c r="R78" i="3"/>
  <c r="AJ76" i="3"/>
  <c r="V66" i="3"/>
  <c r="S75" i="3"/>
  <c r="U84" i="3"/>
  <c r="I93" i="3"/>
  <c r="AH50" i="3"/>
  <c r="AN48" i="3"/>
  <c r="Z72" i="3"/>
  <c r="AQ92" i="3"/>
  <c r="Z68" i="3"/>
  <c r="J73" i="3"/>
  <c r="W76" i="3"/>
  <c r="Z82" i="3"/>
  <c r="I87" i="3"/>
  <c r="T47" i="3"/>
  <c r="AI54" i="3"/>
  <c r="P66" i="3"/>
  <c r="J70" i="3"/>
  <c r="AI96" i="3"/>
  <c r="N64" i="3"/>
  <c r="L84" i="3"/>
  <c r="P47" i="3"/>
  <c r="AN67" i="3"/>
  <c r="H67" i="3"/>
  <c r="P56" i="3"/>
  <c r="AO76" i="3"/>
  <c r="AJ82" i="3"/>
  <c r="AN89" i="3"/>
  <c r="AH84" i="3"/>
  <c r="Z54" i="3"/>
  <c r="AI68" i="3"/>
  <c r="AA81" i="3"/>
  <c r="H55" i="3"/>
  <c r="V69" i="3"/>
  <c r="Q93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Z63" i="3"/>
  <c r="AA92" i="3"/>
  <c r="AA48" i="3"/>
  <c r="U83" i="3"/>
  <c r="P67" i="3"/>
  <c r="J77" i="3"/>
  <c r="AO95" i="3"/>
  <c r="Z56" i="3"/>
  <c r="L76" i="3"/>
  <c r="AN84" i="3"/>
  <c r="AN66" i="3"/>
  <c r="W47" i="3"/>
  <c r="K78" i="3"/>
  <c r="T94" i="3"/>
  <c r="AK94" i="3"/>
  <c r="AI50" i="3"/>
  <c r="H90" i="3"/>
  <c r="O94" i="3"/>
  <c r="M78" i="3"/>
  <c r="W84" i="3"/>
  <c r="AQ85" i="3"/>
  <c r="V84" i="3"/>
  <c r="P85" i="3"/>
  <c r="AQ75" i="3"/>
  <c r="N68" i="3"/>
  <c r="U78" i="3"/>
  <c r="M50" i="3"/>
  <c r="M65" i="3"/>
  <c r="AK71" i="3"/>
  <c r="AA54" i="3"/>
  <c r="Z78" i="3"/>
  <c r="K50" i="3"/>
  <c r="AA71" i="3"/>
  <c r="R92" i="3"/>
  <c r="AK55" i="3"/>
  <c r="AI72" i="3"/>
  <c r="R60" i="3"/>
  <c r="AI62" i="3"/>
  <c r="L71" i="3"/>
  <c r="O89" i="3"/>
  <c r="AA62" i="3"/>
  <c r="AQ89" i="3"/>
  <c r="H57" i="3"/>
  <c r="AH47" i="3"/>
  <c r="K76" i="3"/>
  <c r="AJ90" i="3"/>
  <c r="N55" i="3"/>
  <c r="R57" i="3"/>
  <c r="AJ92" i="3"/>
  <c r="J48" i="3"/>
  <c r="S85" i="3"/>
  <c r="AA60" i="3"/>
  <c r="AO64" i="3"/>
  <c r="J64" i="3"/>
  <c r="Z94" i="3"/>
  <c r="M94" i="3"/>
  <c r="AJ95" i="3"/>
  <c r="AN90" i="3"/>
  <c r="W59" i="3"/>
  <c r="V79" i="3"/>
  <c r="Q76" i="3"/>
  <c r="S97" i="3"/>
  <c r="R54" i="3"/>
  <c r="AQ59" i="3"/>
  <c r="T54" i="3"/>
  <c r="I48" i="3"/>
  <c r="H77" i="3"/>
  <c r="M80" i="3"/>
  <c r="AG74" i="3"/>
  <c r="Q71" i="3"/>
  <c r="AH48" i="3"/>
  <c r="AQ97" i="3"/>
  <c r="T84" i="3"/>
  <c r="AK80" i="3"/>
  <c r="H79" i="3"/>
  <c r="AI63" i="3"/>
  <c r="AI47" i="3"/>
  <c r="L88" i="3"/>
  <c r="L56" i="3"/>
  <c r="Q55" i="3"/>
  <c r="P79" i="3"/>
  <c r="H80" i="3"/>
  <c r="Q60" i="3"/>
  <c r="O84" i="3"/>
  <c r="T65" i="3"/>
  <c r="W74" i="3"/>
  <c r="N84" i="3"/>
  <c r="AM75" i="3"/>
  <c r="AG47" i="3"/>
  <c r="R55" i="3"/>
  <c r="AN83" i="3"/>
  <c r="V64" i="3"/>
  <c r="S59" i="3"/>
  <c r="I66" i="3"/>
  <c r="AN72" i="3"/>
  <c r="Z89" i="3"/>
  <c r="AQ81" i="3"/>
  <c r="AN58" i="3"/>
  <c r="W80" i="3"/>
  <c r="V71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W62" i="3"/>
  <c r="AH61" i="3"/>
  <c r="H50" i="3"/>
  <c r="I84" i="3"/>
  <c r="I74" i="3"/>
  <c r="AQ48" i="3"/>
  <c r="AG55" i="3"/>
  <c r="N66" i="3"/>
  <c r="W61" i="3"/>
  <c r="AH90" i="3"/>
  <c r="AK86" i="3"/>
  <c r="V50" i="3"/>
  <c r="AA70" i="3"/>
  <c r="T78" i="3"/>
  <c r="K49" i="3"/>
  <c r="J76" i="3"/>
  <c r="I65" i="3"/>
  <c r="V81" i="3"/>
  <c r="AK57" i="3"/>
  <c r="P75" i="3"/>
  <c r="P57" i="3"/>
  <c r="AO65" i="3"/>
  <c r="V65" i="3"/>
  <c r="S78" i="3"/>
  <c r="S57" i="3"/>
  <c r="T97" i="3"/>
  <c r="AG63" i="3"/>
  <c r="AM85" i="3"/>
  <c r="M68" i="3"/>
  <c r="N81" i="3"/>
  <c r="AN81" i="3"/>
  <c r="AK90" i="3"/>
  <c r="AJ77" i="3"/>
  <c r="W90" i="3"/>
  <c r="AO56" i="3"/>
  <c r="AM73" i="3"/>
  <c r="T87" i="3"/>
  <c r="L85" i="3"/>
  <c r="AK47" i="3"/>
  <c r="AK56" i="3"/>
  <c r="AN95" i="3"/>
  <c r="AG92" i="3"/>
  <c r="J49" i="3"/>
  <c r="N79" i="3"/>
  <c r="L75" i="3"/>
  <c r="L50" i="3"/>
  <c r="M62" i="3"/>
  <c r="AA47" i="3"/>
  <c r="AM49" i="3"/>
  <c r="AA78" i="3"/>
  <c r="T77" i="3"/>
  <c r="AH78" i="3"/>
  <c r="R65" i="3"/>
  <c r="AN97" i="3"/>
  <c r="AA84" i="3"/>
  <c r="Q58" i="3"/>
  <c r="M61" i="3"/>
  <c r="N85" i="3"/>
  <c r="W96" i="3"/>
  <c r="Q81" i="3"/>
  <c r="S73" i="3"/>
  <c r="R47" i="3"/>
  <c r="I80" i="3"/>
  <c r="AO63" i="3"/>
  <c r="I77" i="3"/>
  <c r="V85" i="3"/>
  <c r="J54" i="3"/>
  <c r="AA88" i="3"/>
  <c r="AJ74" i="3"/>
  <c r="U79" i="3"/>
  <c r="P94" i="3"/>
  <c r="V49" i="3"/>
  <c r="N93" i="3"/>
  <c r="AM74" i="3"/>
  <c r="AK49" i="3"/>
  <c r="H72" i="3"/>
  <c r="J83" i="3"/>
  <c r="AI77" i="3"/>
  <c r="P96" i="3"/>
  <c r="J79" i="3"/>
  <c r="H73" i="3"/>
  <c r="AN82" i="3"/>
  <c r="J94" i="3"/>
  <c r="M93" i="3"/>
  <c r="AA72" i="3"/>
  <c r="T96" i="3"/>
  <c r="W67" i="3"/>
  <c r="T69" i="3"/>
  <c r="R90" i="3"/>
  <c r="S82" i="3"/>
  <c r="AQ73" i="3"/>
  <c r="AQ70" i="3"/>
  <c r="W97" i="3"/>
  <c r="AJ89" i="3"/>
  <c r="V77" i="3"/>
  <c r="AJ64" i="3"/>
  <c r="AI61" i="3"/>
  <c r="M74" i="3"/>
  <c r="L57" i="3"/>
  <c r="AA82" i="3"/>
  <c r="K47" i="3"/>
  <c r="V88" i="3"/>
  <c r="U80" i="3"/>
  <c r="M82" i="3"/>
  <c r="AE97" i="3"/>
  <c r="T76" i="3"/>
  <c r="AH60" i="3"/>
  <c r="AH59" i="3"/>
  <c r="N61" i="3"/>
  <c r="AG88" i="3"/>
  <c r="M71" i="3"/>
  <c r="AC59" i="3"/>
  <c r="R58" i="3"/>
  <c r="K67" i="3"/>
  <c r="O65" i="3"/>
  <c r="O49" i="3"/>
  <c r="P90" i="3"/>
  <c r="R87" i="3"/>
  <c r="W91" i="3"/>
  <c r="H59" i="3"/>
  <c r="I61" i="3"/>
  <c r="AJ62" i="3"/>
  <c r="Z71" i="3"/>
  <c r="M69" i="3"/>
  <c r="N73" i="3"/>
  <c r="AQ54" i="3"/>
  <c r="AM90" i="3"/>
  <c r="AH82" i="3"/>
  <c r="U71" i="3"/>
  <c r="R68" i="3"/>
  <c r="P74" i="3"/>
  <c r="J65" i="3"/>
  <c r="S50" i="3"/>
  <c r="P77" i="3"/>
  <c r="AK73" i="3"/>
  <c r="V75" i="3"/>
  <c r="AM80" i="3"/>
  <c r="AI84" i="3"/>
  <c r="AE84" i="3"/>
  <c r="AN60" i="3"/>
  <c r="W48" i="3"/>
  <c r="AN86" i="3"/>
  <c r="AH71" i="3"/>
  <c r="R84" i="3"/>
  <c r="P69" i="3"/>
  <c r="AO79" i="3"/>
  <c r="T59" i="3"/>
  <c r="I57" i="3"/>
  <c r="H86" i="3"/>
  <c r="Z87" i="3"/>
  <c r="J92" i="3"/>
  <c r="AN76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S49" i="3"/>
  <c r="U76" i="3"/>
  <c r="AQ61" i="3"/>
  <c r="I69" i="3"/>
  <c r="AQ6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O90" i="3"/>
  <c r="I89" i="3"/>
  <c r="S86" i="3"/>
  <c r="AK79" i="3"/>
  <c r="P48" i="3"/>
  <c r="AI86" i="3"/>
  <c r="AO61" i="3"/>
  <c r="AH63" i="3"/>
  <c r="K69" i="3"/>
  <c r="M73" i="3"/>
  <c r="V62" i="3"/>
  <c r="M84" i="3"/>
  <c r="AE86" i="3"/>
  <c r="AH88" i="3"/>
  <c r="R94" i="3"/>
  <c r="O93" i="3"/>
  <c r="Z62" i="3"/>
  <c r="AG79" i="3"/>
  <c r="I72" i="3"/>
  <c r="H94" i="3"/>
  <c r="N75" i="3"/>
  <c r="V93" i="3"/>
  <c r="U90" i="3"/>
  <c r="T71" i="3"/>
  <c r="AM77" i="3"/>
  <c r="U82" i="3"/>
  <c r="AN68" i="3"/>
  <c r="T89" i="3"/>
  <c r="AN47" i="3"/>
  <c r="AC92" i="3"/>
  <c r="Q77" i="3"/>
  <c r="M79" i="3"/>
  <c r="I73" i="3"/>
  <c r="AO91" i="3"/>
  <c r="R77" i="3"/>
  <c r="AI64" i="3"/>
  <c r="AN96" i="3"/>
  <c r="Z49" i="3"/>
  <c r="N71" i="3"/>
  <c r="AC65" i="3"/>
  <c r="I59" i="3"/>
  <c r="AO49" i="3"/>
  <c r="AO81" i="3"/>
  <c r="AA57" i="3"/>
  <c r="AI93" i="3"/>
  <c r="AN65" i="3"/>
  <c r="N65" i="3"/>
  <c r="AG78" i="3"/>
  <c r="U59" i="3"/>
  <c r="Q92" i="3"/>
  <c r="AJ71" i="3"/>
  <c r="AH95" i="3"/>
  <c r="Z50" i="3"/>
  <c r="AJ49" i="3"/>
  <c r="K71" i="3"/>
  <c r="Q83" i="3"/>
  <c r="R85" i="3"/>
  <c r="O95" i="3"/>
  <c r="Q74" i="3"/>
  <c r="I76" i="3"/>
  <c r="L90" i="3"/>
  <c r="AM66" i="3"/>
  <c r="J88" i="3"/>
  <c r="AC72" i="3"/>
  <c r="W71" i="3"/>
  <c r="W83" i="3"/>
  <c r="AK92" i="3"/>
  <c r="P63" i="3"/>
  <c r="AM54" i="3"/>
  <c r="U89" i="3"/>
  <c r="AI75" i="3"/>
  <c r="P58" i="3"/>
  <c r="AJ72" i="3"/>
  <c r="W82" i="3"/>
  <c r="K86" i="3"/>
  <c r="Z70" i="3"/>
  <c r="AH76" i="3"/>
  <c r="R86" i="3"/>
  <c r="O71" i="3"/>
  <c r="AO71" i="3"/>
  <c r="I81" i="3"/>
  <c r="AN92" i="3"/>
  <c r="K62" i="3"/>
  <c r="AN62" i="3"/>
  <c r="AN63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M83" i="3"/>
  <c r="AO74" i="3"/>
  <c r="W68" i="3"/>
  <c r="N88" i="3"/>
  <c r="M49" i="3"/>
  <c r="V60" i="3"/>
  <c r="AG64" i="3"/>
  <c r="AG66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AK76" i="3"/>
  <c r="V73" i="3"/>
  <c r="T91" i="3"/>
  <c r="H81" i="3"/>
  <c r="AH74" i="3"/>
  <c r="J69" i="3"/>
  <c r="P76" i="3"/>
  <c r="Z81" i="3"/>
  <c r="AQ67" i="3"/>
  <c r="R89" i="3"/>
  <c r="AM93" i="3"/>
  <c r="AC61" i="3"/>
  <c r="S90" i="3"/>
  <c r="AN50" i="3"/>
  <c r="Z66" i="3"/>
  <c r="L74" i="3"/>
  <c r="T82" i="3"/>
  <c r="AN55" i="3"/>
  <c r="N63" i="3"/>
  <c r="AN56" i="3"/>
  <c r="H56" i="3"/>
  <c r="J63" i="3"/>
  <c r="AQ68" i="3"/>
  <c r="R81" i="3"/>
  <c r="J89" i="3"/>
  <c r="Q79" i="3"/>
  <c r="K68" i="3"/>
  <c r="J55" i="3"/>
  <c r="V74" i="3"/>
  <c r="L55" i="3"/>
  <c r="AI48" i="3"/>
  <c r="U50" i="3"/>
  <c r="AE60" i="3"/>
  <c r="AC89" i="3"/>
  <c r="AK69" i="3"/>
  <c r="O66" i="3"/>
  <c r="AN71" i="3"/>
  <c r="M59" i="3"/>
  <c r="AK85" i="3"/>
  <c r="S87" i="3"/>
  <c r="AC76" i="3"/>
  <c r="U62" i="3"/>
  <c r="W75" i="3"/>
  <c r="AE65" i="3"/>
  <c r="V97" i="3"/>
  <c r="W65" i="3"/>
  <c r="AO77" i="3"/>
  <c r="R91" i="3"/>
  <c r="AC93" i="3"/>
  <c r="I96" i="3"/>
  <c r="P8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H67" i="3"/>
  <c r="S61" i="3"/>
  <c r="Z79" i="3"/>
  <c r="K74" i="3"/>
  <c r="AH86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J62" i="3"/>
  <c r="AQ90" i="3"/>
  <c r="N74" i="3"/>
  <c r="AG72" i="3"/>
  <c r="K88" i="3"/>
  <c r="AQ69" i="3"/>
  <c r="Z59" i="3"/>
  <c r="I82" i="3"/>
  <c r="AM95" i="3"/>
  <c r="Q65" i="3"/>
  <c r="N60" i="3"/>
  <c r="W54" i="3"/>
  <c r="U72" i="3"/>
  <c r="AH92" i="3"/>
  <c r="P81" i="3"/>
  <c r="I91" i="3"/>
  <c r="AJ78" i="3"/>
  <c r="Z95" i="3"/>
  <c r="AN87" i="3"/>
  <c r="J67" i="3"/>
  <c r="W72" i="3"/>
  <c r="V59" i="3"/>
  <c r="S64" i="3"/>
  <c r="AE77" i="3"/>
  <c r="AA68" i="3"/>
  <c r="AM70" i="3"/>
  <c r="AQ50" i="3"/>
  <c r="T56" i="3"/>
  <c r="AG89" i="3"/>
  <c r="AO87" i="3"/>
  <c r="S62" i="3"/>
  <c r="AK68" i="3"/>
  <c r="L69" i="3"/>
  <c r="O90" i="3"/>
  <c r="AA59" i="3"/>
  <c r="AK48" i="3"/>
  <c r="AH66" i="3"/>
  <c r="AC73" i="3"/>
  <c r="H47" i="3"/>
  <c r="AN74" i="3"/>
  <c r="K89" i="3"/>
  <c r="V96" i="3"/>
  <c r="P68" i="3"/>
  <c r="N50" i="3"/>
  <c r="W50" i="3"/>
  <c r="K59" i="3"/>
  <c r="V63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H85" i="3"/>
  <c r="Q84" i="3"/>
  <c r="AC47" i="3"/>
  <c r="K87" i="3"/>
  <c r="AH91" i="3"/>
  <c r="R69" i="3"/>
  <c r="M63" i="3"/>
  <c r="O82" i="3"/>
  <c r="T88" i="3"/>
  <c r="AH65" i="3"/>
  <c r="AO55" i="3"/>
  <c r="I90" i="3"/>
  <c r="AN61" i="3"/>
  <c r="AM57" i="3"/>
  <c r="U75" i="3"/>
  <c r="S74" i="3"/>
  <c r="V89" i="3"/>
  <c r="AA77" i="3"/>
  <c r="AK84" i="3"/>
  <c r="H83" i="3"/>
  <c r="L87" i="3"/>
  <c r="AN93" i="3"/>
  <c r="T81" i="3"/>
  <c r="AH75" i="3"/>
  <c r="AE71" i="3"/>
  <c r="U55" i="3"/>
  <c r="AJ68" i="3"/>
  <c r="AA67" i="3"/>
  <c r="M91" i="3"/>
  <c r="AM71" i="3"/>
  <c r="U60" i="3"/>
  <c r="V55" i="3"/>
  <c r="AQ57" i="3"/>
  <c r="W85" i="3"/>
  <c r="V70" i="3"/>
  <c r="K84" i="3"/>
  <c r="T61" i="3"/>
  <c r="V91" i="3"/>
  <c r="V68" i="3"/>
  <c r="P65" i="3"/>
  <c r="W95" i="3"/>
  <c r="L66" i="3"/>
  <c r="J85" i="3"/>
  <c r="AE79" i="3"/>
  <c r="AO50" i="3"/>
  <c r="M48" i="3"/>
  <c r="U74" i="3"/>
  <c r="AG58" i="3"/>
  <c r="AH77" i="3"/>
  <c r="AQ80" i="3"/>
  <c r="T48" i="3"/>
  <c r="AJ54" i="3"/>
  <c r="W64" i="3"/>
  <c r="S88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W92" i="3"/>
  <c r="AM72" i="3"/>
  <c r="AE91" i="3"/>
  <c r="AG96" i="3"/>
  <c r="U73" i="3"/>
  <c r="J57" i="3"/>
  <c r="T66" i="3"/>
  <c r="K83" i="3"/>
  <c r="AH62" i="3"/>
  <c r="R59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M70" i="3"/>
  <c r="U66" i="3"/>
  <c r="AI97" i="3"/>
  <c r="AO82" i="3"/>
  <c r="U57" i="3"/>
  <c r="L78" i="3"/>
  <c r="O85" i="3"/>
  <c r="T85" i="3"/>
  <c r="I55" i="3"/>
  <c r="K58" i="3"/>
  <c r="P55" i="3"/>
  <c r="M57" i="3"/>
  <c r="V90" i="3"/>
  <c r="AC80" i="3"/>
  <c r="AO84" i="3"/>
  <c r="M72" i="3"/>
  <c r="AK88" i="3"/>
  <c r="Q94" i="3"/>
  <c r="AA76" i="3"/>
  <c r="AM55" i="3"/>
  <c r="I78" i="3"/>
  <c r="S70" i="3"/>
  <c r="AC66" i="3"/>
  <c r="O58" i="3"/>
  <c r="K70" i="3"/>
  <c r="AQ47" i="3"/>
  <c r="AM81" i="3"/>
  <c r="Z58" i="3"/>
  <c r="I49" i="3"/>
  <c r="S48" i="3"/>
  <c r="AJ69" i="3"/>
  <c r="O76" i="3"/>
  <c r="V47" i="3"/>
  <c r="Q49" i="3"/>
  <c r="M81" i="3"/>
  <c r="I83" i="3"/>
  <c r="K65" i="3"/>
  <c r="AH55" i="3"/>
  <c r="T83" i="3"/>
  <c r="W79" i="3"/>
  <c r="W63" i="3"/>
  <c r="N56" i="3"/>
  <c r="AO78" i="3"/>
  <c r="N86" i="3"/>
  <c r="AM88" i="3"/>
  <c r="AE76" i="3"/>
  <c r="K92" i="3"/>
  <c r="AK93" i="3"/>
  <c r="AJ61" i="3"/>
  <c r="Q86" i="3"/>
  <c r="L94" i="3"/>
  <c r="AQ94" i="3"/>
  <c r="K64" i="3"/>
  <c r="AE87" i="3"/>
  <c r="H60" i="3"/>
  <c r="O64" i="3"/>
  <c r="V72" i="3"/>
  <c r="N95" i="3"/>
  <c r="Z69" i="3"/>
  <c r="Z91" i="3"/>
  <c r="AH97" i="3"/>
  <c r="K72" i="3"/>
  <c r="AQ71" i="3"/>
  <c r="AE67" i="3"/>
  <c r="H85" i="3"/>
  <c r="AJ75" i="3"/>
  <c r="AI71" i="3"/>
  <c r="AQ91" i="3"/>
  <c r="AG82" i="3"/>
  <c r="M90" i="3"/>
  <c r="AG85" i="3"/>
  <c r="S69" i="3"/>
  <c r="AI94" i="3"/>
  <c r="K91" i="3"/>
  <c r="S63" i="3"/>
  <c r="Q68" i="3"/>
  <c r="Q88" i="3"/>
  <c r="AN78" i="3"/>
  <c r="L93" i="3"/>
  <c r="AA75" i="3"/>
  <c r="S47" i="3"/>
  <c r="AQ78" i="3"/>
  <c r="AK97" i="3"/>
  <c r="AH69" i="3"/>
  <c r="N80" i="3"/>
  <c r="AK65" i="3"/>
  <c r="AJ59" i="3"/>
  <c r="K80" i="3"/>
  <c r="U88" i="3"/>
  <c r="P50" i="3"/>
  <c r="AJ47" i="3"/>
  <c r="AH49" i="3"/>
  <c r="AO88" i="3"/>
  <c r="AN59" i="3"/>
  <c r="T68" i="3"/>
  <c r="AQ93" i="3"/>
  <c r="L63" i="3"/>
  <c r="AJ88" i="3"/>
  <c r="J74" i="3"/>
  <c r="AC64" i="3"/>
  <c r="N48" i="3"/>
  <c r="U49" i="3"/>
  <c r="H84" i="3"/>
  <c r="L62" i="3"/>
  <c r="K85" i="3"/>
  <c r="R74" i="3"/>
  <c r="AM89" i="3"/>
  <c r="R88" i="3"/>
  <c r="M92" i="3"/>
  <c r="J81" i="3"/>
  <c r="AK54" i="3"/>
  <c r="I58" i="3"/>
  <c r="AM58" i="3"/>
  <c r="Q95" i="3"/>
  <c r="AO62" i="3"/>
  <c r="K93" i="3"/>
  <c r="H69" i="3"/>
  <c r="K55" i="3"/>
  <c r="Q73" i="3"/>
  <c r="AI67" i="3"/>
  <c r="V94" i="3"/>
  <c r="Z64" i="3"/>
  <c r="AH96" i="3"/>
  <c r="S76" i="3"/>
  <c r="Z84" i="3" l="1"/>
  <c r="O74" i="3"/>
  <c r="AJ70" i="3"/>
  <c r="U85" i="3"/>
  <c r="U67" i="3"/>
  <c r="AJ79" i="3"/>
  <c r="Z86" i="3"/>
  <c r="O55" i="3"/>
  <c r="M66" i="3"/>
  <c r="U92" i="3"/>
  <c r="Z85" i="3"/>
  <c r="M55" i="3"/>
  <c r="AJ58" i="3"/>
  <c r="Y54" i="3"/>
  <c r="Y62" i="3"/>
  <c r="AC94" i="3"/>
  <c r="AE64" i="3"/>
  <c r="AL54" i="3"/>
  <c r="AE82" i="3"/>
  <c r="X92" i="3"/>
  <c r="Y75" i="3"/>
  <c r="AE61" i="3"/>
  <c r="X69" i="3"/>
  <c r="X91" i="3"/>
  <c r="AC68" i="3"/>
  <c r="AC55" i="3"/>
  <c r="Y73" i="3"/>
  <c r="AC82" i="3"/>
  <c r="AC84" i="3"/>
  <c r="AE75" i="3"/>
  <c r="AE55" i="3"/>
  <c r="AC77" i="3"/>
  <c r="X67" i="3"/>
  <c r="AL60" i="3"/>
  <c r="X93" i="3"/>
  <c r="AL87" i="3"/>
  <c r="AE88" i="3"/>
  <c r="AE72" i="3"/>
  <c r="X59" i="3"/>
  <c r="AL83" i="3"/>
  <c r="AE85" i="3"/>
  <c r="X54" i="3"/>
  <c r="AL89" i="3"/>
  <c r="AL61" i="3"/>
  <c r="Y84" i="3"/>
  <c r="AC83" i="3"/>
  <c r="AC97" i="3"/>
  <c r="AC78" i="3"/>
  <c r="AC56" i="3"/>
  <c r="X47" i="3"/>
  <c r="AE70" i="3"/>
  <c r="Y70" i="3"/>
  <c r="AE92" i="3"/>
  <c r="AC86" i="3"/>
  <c r="X80" i="3"/>
  <c r="X49" i="3"/>
  <c r="AC75" i="3"/>
  <c r="Y64" i="3"/>
  <c r="X65" i="3"/>
  <c r="AE90" i="3"/>
  <c r="AE56" i="3"/>
  <c r="Y91" i="3"/>
  <c r="X56" i="3"/>
  <c r="AE83" i="3"/>
  <c r="X76" i="3"/>
  <c r="AL79" i="3"/>
  <c r="Y60" i="3"/>
  <c r="Y48" i="3"/>
  <c r="AL90" i="3"/>
  <c r="AE48" i="3"/>
  <c r="AE94" i="3"/>
  <c r="Y66" i="3"/>
  <c r="AL75" i="3"/>
  <c r="AC54" i="3"/>
  <c r="AE93" i="3"/>
  <c r="Y78" i="3"/>
  <c r="X70" i="3"/>
  <c r="Y63" i="3"/>
  <c r="AC69" i="3"/>
  <c r="AE69" i="3"/>
  <c r="AC71" i="3"/>
  <c r="Y61" i="3"/>
  <c r="AL94" i="3"/>
  <c r="X86" i="3"/>
  <c r="Y69" i="3"/>
  <c r="X90" i="3"/>
  <c r="Y74" i="3"/>
  <c r="AL66" i="3"/>
  <c r="X97" i="3"/>
  <c r="AC79" i="3"/>
  <c r="Y90" i="3"/>
  <c r="AE58" i="3"/>
  <c r="AL69" i="3"/>
  <c r="Y93" i="3"/>
  <c r="Y92" i="3"/>
  <c r="AL47" i="3"/>
  <c r="AC85" i="3"/>
  <c r="AE54" i="3"/>
  <c r="AC81" i="3"/>
  <c r="AE73" i="3"/>
  <c r="AL64" i="3"/>
  <c r="AL63" i="3"/>
  <c r="X73" i="3"/>
  <c r="AL81" i="3"/>
  <c r="Y94" i="3"/>
  <c r="AL71" i="3"/>
  <c r="X77" i="3"/>
  <c r="AL76" i="3"/>
  <c r="AE47" i="3"/>
  <c r="AE49" i="3"/>
  <c r="AC58" i="3"/>
  <c r="Y89" i="3"/>
  <c r="Y88" i="3"/>
  <c r="AL50" i="3"/>
  <c r="Y79" i="3"/>
  <c r="AC87" i="3"/>
  <c r="X68" i="3"/>
  <c r="AC48" i="3"/>
  <c r="AC67" i="3"/>
  <c r="X50" i="3"/>
  <c r="X61" i="3"/>
  <c r="AC62" i="3"/>
  <c r="Y81" i="3"/>
  <c r="AL96" i="3"/>
  <c r="AC95" i="3"/>
  <c r="AE74" i="3"/>
  <c r="AE96" i="3"/>
  <c r="AE68" i="3"/>
  <c r="Y56" i="3"/>
  <c r="Y68" i="3"/>
  <c r="X62" i="3"/>
  <c r="X60" i="3"/>
  <c r="AL57" i="3"/>
  <c r="AL67" i="3"/>
  <c r="AL82" i="3"/>
  <c r="AL72" i="3"/>
  <c r="X66" i="3"/>
  <c r="AL68" i="3"/>
  <c r="Y58" i="3"/>
  <c r="X82" i="3"/>
  <c r="AL78" i="3"/>
  <c r="X84" i="3"/>
  <c r="AL84" i="3"/>
  <c r="Y97" i="3"/>
  <c r="AL49" i="3"/>
  <c r="X85" i="3"/>
  <c r="AL74" i="3"/>
  <c r="X71" i="3"/>
  <c r="X79" i="3"/>
  <c r="AL65" i="3"/>
  <c r="Y49" i="3"/>
  <c r="Y50" i="3"/>
  <c r="X63" i="3"/>
  <c r="AL56" i="3"/>
  <c r="Y85" i="3"/>
  <c r="X78" i="3"/>
  <c r="X55" i="3"/>
  <c r="AL73" i="3"/>
  <c r="AL59" i="3"/>
  <c r="Y57" i="3"/>
  <c r="Y71" i="3"/>
  <c r="Y55" i="3"/>
  <c r="Y72" i="3"/>
  <c r="AL88" i="3"/>
  <c r="AL58" i="3"/>
  <c r="X88" i="3"/>
  <c r="Y86" i="3"/>
  <c r="AL77" i="3"/>
  <c r="AL62" i="3"/>
  <c r="AL92" i="3"/>
  <c r="Y95" i="3"/>
  <c r="X95" i="3"/>
  <c r="X48" i="3"/>
  <c r="X87" i="3"/>
  <c r="X74" i="3"/>
  <c r="AL80" i="3"/>
  <c r="Y96" i="3"/>
  <c r="AL70" i="3"/>
  <c r="Y65" i="3"/>
  <c r="X96" i="3"/>
  <c r="X64" i="3"/>
  <c r="AL91" i="3"/>
  <c r="X75" i="3"/>
  <c r="AL93" i="3"/>
  <c r="Y80" i="3"/>
  <c r="X57" i="3"/>
  <c r="X58" i="3"/>
  <c r="Y59" i="3"/>
  <c r="Y76" i="3"/>
  <c r="AL95" i="3"/>
  <c r="AL55" i="3"/>
  <c r="Y87" i="3"/>
  <c r="X83" i="3"/>
  <c r="Y77" i="3"/>
  <c r="X72" i="3"/>
  <c r="X89" i="3"/>
  <c r="AL97" i="3"/>
  <c r="X81" i="3"/>
  <c r="Y67" i="3"/>
  <c r="AL48" i="3"/>
  <c r="X94" i="3"/>
  <c r="AL85" i="3"/>
  <c r="Y47" i="3"/>
  <c r="HU19" i="4"/>
  <c r="AO78" i="1" s="1"/>
  <c r="AO107" i="1" s="1"/>
  <c r="JD9" i="4"/>
  <c r="BY95" i="1"/>
  <c r="BY89" i="1"/>
  <c r="BY107" i="1"/>
  <c r="HZ19" i="4"/>
  <c r="AT78" i="1" s="1"/>
  <c r="AT107" i="1" s="1"/>
  <c r="JD16" i="4"/>
  <c r="N92" i="3"/>
  <c r="V86" i="3"/>
  <c r="R82" i="3"/>
  <c r="AC57" i="3"/>
  <c r="V76" i="3"/>
  <c r="R97" i="3"/>
  <c r="AC49" i="3"/>
  <c r="AJ60" i="3"/>
  <c r="AG84" i="3"/>
  <c r="U91" i="3"/>
  <c r="U58" i="3"/>
  <c r="S91" i="3"/>
  <c r="Y83" i="3"/>
  <c r="AA85" i="3"/>
  <c r="AO85" i="3"/>
  <c r="AO57" i="3"/>
  <c r="AG62" i="3"/>
  <c r="AG59" i="3"/>
  <c r="AO23" i="1"/>
  <c r="BH14" i="1"/>
  <c r="AW47" i="1"/>
  <c r="BF46" i="1"/>
  <c r="AS39" i="1"/>
  <c r="BV164" i="1"/>
  <c r="BW164" i="1" s="1"/>
  <c r="U122" i="1"/>
  <c r="O119" i="1"/>
  <c r="BM15" i="1"/>
  <c r="BC9" i="1"/>
  <c r="BQ51" i="1"/>
  <c r="AW8" i="1"/>
  <c r="AW231" i="1" s="1"/>
  <c r="AP39" i="1"/>
  <c r="AP22" i="1"/>
  <c r="AR47" i="1"/>
  <c r="BM47" i="1"/>
  <c r="AS36" i="1"/>
  <c r="BC32" i="1"/>
  <c r="BC194" i="1" s="1"/>
  <c r="BH145" i="1"/>
  <c r="T79" i="1"/>
  <c r="D153" i="1"/>
  <c r="D183" i="1" s="1"/>
  <c r="AI20" i="1"/>
  <c r="BD8" i="1"/>
  <c r="AO9" i="1"/>
  <c r="AM45" i="1"/>
  <c r="AS51" i="1"/>
  <c r="BA36" i="1"/>
  <c r="BM8" i="1"/>
  <c r="BM231" i="1" s="1"/>
  <c r="AZ20" i="1"/>
  <c r="BK25" i="1"/>
  <c r="AS35" i="1"/>
  <c r="BH163" i="1"/>
  <c r="BI163" i="1" s="1"/>
  <c r="BW21" i="1"/>
  <c r="AQ45" i="1"/>
  <c r="AY39" i="1"/>
  <c r="BP47" i="1"/>
  <c r="BS21" i="1"/>
  <c r="AW32" i="1"/>
  <c r="AW194" i="1" s="1"/>
  <c r="BI23" i="1"/>
  <c r="BH8" i="1"/>
  <c r="BH231" i="1" s="1"/>
  <c r="BT35" i="1"/>
  <c r="BC24" i="1"/>
  <c r="BH126" i="1"/>
  <c r="BI126" i="1" s="1"/>
  <c r="BB35" i="1"/>
  <c r="BW13" i="1"/>
  <c r="BB8" i="1"/>
  <c r="BB231" i="1" s="1"/>
  <c r="BQ45" i="1"/>
  <c r="BD20" i="1"/>
  <c r="BQ24" i="1"/>
  <c r="BD9" i="1"/>
  <c r="BD25" i="1"/>
  <c r="BH21" i="1"/>
  <c r="BO39" i="1"/>
  <c r="AS32" i="1"/>
  <c r="AU13" i="1"/>
  <c r="BA35" i="1"/>
  <c r="BG35" i="1"/>
  <c r="BC15" i="1"/>
  <c r="BU36" i="1"/>
  <c r="BB45" i="1"/>
  <c r="BT46" i="1"/>
  <c r="AN21" i="1"/>
  <c r="BV163" i="1"/>
  <c r="BW163" i="1" s="1"/>
  <c r="K149" i="1"/>
  <c r="BE47" i="1"/>
  <c r="BV25" i="1"/>
  <c r="AI47" i="1"/>
  <c r="AV47" i="1"/>
  <c r="AN39" i="1"/>
  <c r="AV36" i="1"/>
  <c r="T126" i="1"/>
  <c r="T154" i="1" s="1"/>
  <c r="BC36" i="1"/>
  <c r="AV24" i="1"/>
  <c r="BI46" i="1"/>
  <c r="AZ8" i="1"/>
  <c r="BO21" i="1"/>
  <c r="AR45" i="1"/>
  <c r="BM9" i="1"/>
  <c r="BA23" i="1"/>
  <c r="BU39" i="1"/>
  <c r="AO46" i="1"/>
  <c r="BW35" i="1"/>
  <c r="AP25" i="1"/>
  <c r="AM46" i="1"/>
  <c r="BV117" i="1"/>
  <c r="BM39" i="1"/>
  <c r="BG9" i="1"/>
  <c r="AV15" i="1"/>
  <c r="BB36" i="1"/>
  <c r="AY21" i="1"/>
  <c r="BQ32" i="1"/>
  <c r="BQ194" i="1" s="1"/>
  <c r="BF25" i="1"/>
  <c r="BW36" i="1"/>
  <c r="AV14" i="1"/>
  <c r="AP46" i="1"/>
  <c r="BD15" i="1"/>
  <c r="AX15" i="1"/>
  <c r="AQ21" i="1"/>
  <c r="BC21" i="1"/>
  <c r="AV35" i="1"/>
  <c r="BK9" i="1"/>
  <c r="BH47" i="1"/>
  <c r="BM22" i="1"/>
  <c r="AS47" i="1"/>
  <c r="AQ35" i="1"/>
  <c r="BO24" i="1"/>
  <c r="AN9" i="1"/>
  <c r="K73" i="1"/>
  <c r="AI46" i="1"/>
  <c r="BM23" i="1"/>
  <c r="BK14" i="1"/>
  <c r="AT36" i="1"/>
  <c r="BJ73" i="1"/>
  <c r="BK20" i="1"/>
  <c r="BA39" i="1"/>
  <c r="BA32" i="1"/>
  <c r="BE51" i="1"/>
  <c r="BV22" i="1"/>
  <c r="BA20" i="1"/>
  <c r="AS22" i="1"/>
  <c r="AT14" i="1"/>
  <c r="BJ51" i="1"/>
  <c r="AU23" i="1"/>
  <c r="AI39" i="1"/>
  <c r="AT8" i="1"/>
  <c r="BH46" i="1"/>
  <c r="BR45" i="1"/>
  <c r="AS8" i="1"/>
  <c r="AS231" i="1" s="1"/>
  <c r="BT23" i="1"/>
  <c r="AP24" i="1"/>
  <c r="AT23" i="1"/>
  <c r="BH137" i="1"/>
  <c r="BI137" i="1" s="1"/>
  <c r="R74" i="1"/>
  <c r="AI23" i="1"/>
  <c r="AQ47" i="1"/>
  <c r="BU47" i="1"/>
  <c r="BP13" i="1"/>
  <c r="AT51" i="1"/>
  <c r="BH35" i="1"/>
  <c r="BO23" i="1"/>
  <c r="AN25" i="1"/>
  <c r="AY14" i="1"/>
  <c r="AI15" i="1"/>
  <c r="AY32" i="1"/>
  <c r="AY194" i="1" s="1"/>
  <c r="BA51" i="1"/>
  <c r="BQ8" i="1"/>
  <c r="BR25" i="1"/>
  <c r="BT13" i="1"/>
  <c r="BA46" i="1"/>
  <c r="BG23" i="1"/>
  <c r="BN45" i="1"/>
  <c r="AY35" i="1"/>
  <c r="BS9" i="1"/>
  <c r="AN46" i="1"/>
  <c r="AR32" i="1"/>
  <c r="AR194" i="1" s="1"/>
  <c r="AS24" i="1"/>
  <c r="BF13" i="1"/>
  <c r="BH132" i="1"/>
  <c r="M118" i="1"/>
  <c r="H77" i="1"/>
  <c r="BR15" i="1"/>
  <c r="AY36" i="1"/>
  <c r="BS32" i="1"/>
  <c r="BS194" i="1" s="1"/>
  <c r="AT21" i="1"/>
  <c r="AR21" i="1"/>
  <c r="BN39" i="1"/>
  <c r="BW20" i="1"/>
  <c r="BA25" i="1"/>
  <c r="BI47" i="1"/>
  <c r="BV35" i="1"/>
  <c r="W135" i="1"/>
  <c r="W131" i="1" s="1"/>
  <c r="BW47" i="1"/>
  <c r="BW9" i="1"/>
  <c r="AX20" i="1"/>
  <c r="AZ39" i="1"/>
  <c r="AQ20" i="1"/>
  <c r="BU8" i="1"/>
  <c r="BU231" i="1" s="1"/>
  <c r="BG46" i="1"/>
  <c r="BN8" i="1"/>
  <c r="BE22" i="1"/>
  <c r="AP47" i="1"/>
  <c r="BG24" i="1"/>
  <c r="BP51" i="1"/>
  <c r="AN47" i="1"/>
  <c r="BT51" i="1"/>
  <c r="BF22" i="1"/>
  <c r="BU14" i="1"/>
  <c r="BO9" i="1"/>
  <c r="AX13" i="1"/>
  <c r="BO51" i="1"/>
  <c r="BW22" i="1"/>
  <c r="AX23" i="1"/>
  <c r="AQ51" i="1"/>
  <c r="BH13" i="1"/>
  <c r="BU23" i="1"/>
  <c r="BJ32" i="1"/>
  <c r="BV153" i="1"/>
  <c r="L79" i="1"/>
  <c r="U172" i="1"/>
  <c r="O136" i="1"/>
  <c r="AV25" i="1"/>
  <c r="BH15" i="1"/>
  <c r="BB25" i="1"/>
  <c r="BN23" i="1"/>
  <c r="AZ46" i="1"/>
  <c r="BE25" i="1"/>
  <c r="BC14" i="1"/>
  <c r="BB14" i="1"/>
  <c r="AS13" i="1"/>
  <c r="BI25" i="1"/>
  <c r="BV140" i="1"/>
  <c r="BW140" i="1" s="1"/>
  <c r="BX202" i="1" s="1"/>
  <c r="BH127" i="1"/>
  <c r="BI127" i="1" s="1"/>
  <c r="I122" i="1"/>
  <c r="D133" i="1"/>
  <c r="AZ25" i="1"/>
  <c r="BB22" i="1"/>
  <c r="AQ14" i="1"/>
  <c r="BE39" i="1"/>
  <c r="BD21" i="1"/>
  <c r="AW14" i="1"/>
  <c r="AR24" i="1"/>
  <c r="AW24" i="1"/>
  <c r="BW24" i="1"/>
  <c r="BN36" i="1"/>
  <c r="BN32" i="1"/>
  <c r="AS14" i="1"/>
  <c r="BU20" i="1"/>
  <c r="AO8" i="1"/>
  <c r="AO231" i="1" s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AQ39" i="1"/>
  <c r="AR15" i="1"/>
  <c r="AN32" i="1"/>
  <c r="BQ14" i="1"/>
  <c r="AO32" i="1"/>
  <c r="AO194" i="1" s="1"/>
  <c r="AU22" i="1"/>
  <c r="AY20" i="1"/>
  <c r="BS20" i="1"/>
  <c r="BH146" i="1"/>
  <c r="BI146" i="1" s="1"/>
  <c r="BV143" i="1"/>
  <c r="BW143" i="1" s="1"/>
  <c r="BH122" i="1"/>
  <c r="BI122" i="1" s="1"/>
  <c r="F164" i="1"/>
  <c r="B127" i="1"/>
  <c r="G145" i="1"/>
  <c r="G180" i="1" s="1"/>
  <c r="J164" i="1"/>
  <c r="M67" i="1"/>
  <c r="G77" i="1"/>
  <c r="Q133" i="1"/>
  <c r="BH22" i="1"/>
  <c r="AP45" i="1"/>
  <c r="BV20" i="1"/>
  <c r="BH45" i="1"/>
  <c r="AN8" i="1"/>
  <c r="BH164" i="1"/>
  <c r="BI164" i="1" s="1"/>
  <c r="BV125" i="1"/>
  <c r="BW125" i="1" s="1"/>
  <c r="M140" i="1"/>
  <c r="T172" i="1"/>
  <c r="N73" i="1"/>
  <c r="B131" i="1"/>
  <c r="P172" i="1"/>
  <c r="L160" i="1"/>
  <c r="AR46" i="1"/>
  <c r="BB9" i="1"/>
  <c r="AR22" i="1"/>
  <c r="BT24" i="1"/>
  <c r="AO21" i="1"/>
  <c r="AY24" i="1"/>
  <c r="AT35" i="1"/>
  <c r="BI15" i="1"/>
  <c r="BT15" i="1"/>
  <c r="BR32" i="1"/>
  <c r="AO14" i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45" i="1"/>
  <c r="BF45" i="1"/>
  <c r="AR36" i="1"/>
  <c r="BI9" i="1"/>
  <c r="AU39" i="1"/>
  <c r="AW45" i="1"/>
  <c r="AT47" i="1"/>
  <c r="BO14" i="1"/>
  <c r="BH147" i="1"/>
  <c r="BI147" i="1" s="1"/>
  <c r="BV74" i="1"/>
  <c r="BV152" i="1"/>
  <c r="BW152" i="1" s="1"/>
  <c r="BV118" i="1"/>
  <c r="S163" i="1"/>
  <c r="V77" i="1"/>
  <c r="U140" i="1"/>
  <c r="J126" i="1"/>
  <c r="J154" i="1" s="1"/>
  <c r="AX8" i="1"/>
  <c r="AX10" i="1" s="1"/>
  <c r="BG8" i="1"/>
  <c r="BN15" i="1"/>
  <c r="AI36" i="1"/>
  <c r="BV8" i="1"/>
  <c r="BV231" i="1" s="1"/>
  <c r="AS9" i="1"/>
  <c r="AY45" i="1"/>
  <c r="BN51" i="1"/>
  <c r="BW25" i="1"/>
  <c r="BC25" i="1"/>
  <c r="AU21" i="1"/>
  <c r="AN23" i="1"/>
  <c r="BG45" i="1"/>
  <c r="BJ46" i="1"/>
  <c r="BU24" i="1"/>
  <c r="BV13" i="1"/>
  <c r="BV145" i="1"/>
  <c r="BV150" i="1"/>
  <c r="BW150" i="1" s="1"/>
  <c r="BH140" i="1"/>
  <c r="BV131" i="1"/>
  <c r="Q149" i="1"/>
  <c r="T78" i="1"/>
  <c r="K118" i="1"/>
  <c r="K77" i="1"/>
  <c r="K122" i="1"/>
  <c r="B118" i="1"/>
  <c r="Q127" i="1"/>
  <c r="Q135" i="1"/>
  <c r="Q131" i="1" s="1"/>
  <c r="BJ22" i="1"/>
  <c r="BJ26" i="1" s="1"/>
  <c r="AO25" i="1"/>
  <c r="BI21" i="1"/>
  <c r="AN51" i="1"/>
  <c r="BO45" i="1"/>
  <c r="BR20" i="1"/>
  <c r="AP15" i="1"/>
  <c r="BP39" i="1"/>
  <c r="AW13" i="1"/>
  <c r="BW15" i="1"/>
  <c r="BW32" i="1"/>
  <c r="BW194" i="1" s="1"/>
  <c r="BG47" i="1"/>
  <c r="AN14" i="1"/>
  <c r="AY9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2" i="1"/>
  <c r="BS36" i="1"/>
  <c r="BO15" i="1"/>
  <c r="AP14" i="1"/>
  <c r="BQ22" i="1"/>
  <c r="BM51" i="1"/>
  <c r="BH124" i="1"/>
  <c r="BH143" i="1"/>
  <c r="BI143" i="1" s="1"/>
  <c r="B132" i="1"/>
  <c r="E137" i="1"/>
  <c r="I171" i="1"/>
  <c r="S151" i="1"/>
  <c r="G79" i="1"/>
  <c r="F151" i="1"/>
  <c r="G170" i="1"/>
  <c r="D146" i="1"/>
  <c r="W172" i="1"/>
  <c r="H147" i="1"/>
  <c r="AQ8" i="1"/>
  <c r="AQ231" i="1" s="1"/>
  <c r="AZ15" i="1"/>
  <c r="AS25" i="1"/>
  <c r="AR13" i="1"/>
  <c r="AP13" i="1"/>
  <c r="AY13" i="1"/>
  <c r="AW51" i="1"/>
  <c r="AQ23" i="1"/>
  <c r="AW22" i="1"/>
  <c r="BA13" i="1"/>
  <c r="AY8" i="1"/>
  <c r="BQ23" i="1"/>
  <c r="BR8" i="1"/>
  <c r="BR231" i="1" s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31" i="1" s="1"/>
  <c r="AU46" i="1"/>
  <c r="BD24" i="1"/>
  <c r="BD13" i="1"/>
  <c r="AN15" i="1"/>
  <c r="BW8" i="1"/>
  <c r="AW46" i="1"/>
  <c r="BU9" i="1"/>
  <c r="AO20" i="1"/>
  <c r="BG14" i="1"/>
  <c r="BF24" i="1"/>
  <c r="BN20" i="1"/>
  <c r="AX36" i="1"/>
  <c r="AP20" i="1"/>
  <c r="BA22" i="1"/>
  <c r="BV149" i="1"/>
  <c r="BW149" i="1" s="1"/>
  <c r="BH73" i="1"/>
  <c r="BV124" i="1"/>
  <c r="BW124" i="1" s="1"/>
  <c r="N79" i="1"/>
  <c r="F150" i="1"/>
  <c r="V146" i="1"/>
  <c r="Q136" i="1"/>
  <c r="J140" i="1"/>
  <c r="J150" i="1"/>
  <c r="T136" i="1"/>
  <c r="J149" i="1"/>
  <c r="AQ13" i="1"/>
  <c r="BT39" i="1"/>
  <c r="AT25" i="1"/>
  <c r="AW25" i="1"/>
  <c r="BI45" i="1"/>
  <c r="BG32" i="1"/>
  <c r="BG194" i="1" s="1"/>
  <c r="BB51" i="1"/>
  <c r="AQ9" i="1"/>
  <c r="BN9" i="1"/>
  <c r="AW21" i="1"/>
  <c r="BC23" i="1"/>
  <c r="BJ35" i="1"/>
  <c r="BN25" i="1"/>
  <c r="AZ24" i="1"/>
  <c r="BS8" i="1"/>
  <c r="BS231" i="1" s="1"/>
  <c r="BK47" i="1"/>
  <c r="AU14" i="1"/>
  <c r="BB32" i="1"/>
  <c r="BB194" i="1" s="1"/>
  <c r="BB46" i="1"/>
  <c r="BW46" i="1"/>
  <c r="AV32" i="1"/>
  <c r="AV194" i="1" s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X194" i="1" s="1"/>
  <c r="AU8" i="1"/>
  <c r="BI36" i="1"/>
  <c r="AI45" i="1"/>
  <c r="BV32" i="1"/>
  <c r="BV194" i="1" s="1"/>
  <c r="AX21" i="1"/>
  <c r="AI21" i="1"/>
  <c r="BS14" i="1"/>
  <c r="BM24" i="1"/>
  <c r="BP20" i="1"/>
  <c r="BM32" i="1"/>
  <c r="BM253" i="1" s="1"/>
  <c r="BT14" i="1"/>
  <c r="BC39" i="1"/>
  <c r="BO22" i="1"/>
  <c r="BJ9" i="1"/>
  <c r="BJ10" i="1" s="1"/>
  <c r="BJ16" i="1" s="1"/>
  <c r="BK36" i="1"/>
  <c r="BF36" i="1"/>
  <c r="AM51" i="1"/>
  <c r="BG36" i="1"/>
  <c r="BH9" i="1"/>
  <c r="BH10" i="1" s="1"/>
  <c r="AS45" i="1"/>
  <c r="AV13" i="1"/>
  <c r="BN22" i="1"/>
  <c r="BV73" i="1"/>
  <c r="BV144" i="1"/>
  <c r="BH159" i="1"/>
  <c r="K164" i="1"/>
  <c r="N124" i="1"/>
  <c r="G144" i="1"/>
  <c r="G179" i="1" s="1"/>
  <c r="F146" i="1"/>
  <c r="T135" i="1"/>
  <c r="T131" i="1" s="1"/>
  <c r="D78" i="1"/>
  <c r="K79" i="1"/>
  <c r="Q150" i="1"/>
  <c r="L122" i="1"/>
  <c r="O78" i="1"/>
  <c r="U159" i="1"/>
  <c r="H160" i="1"/>
  <c r="BM45" i="1"/>
  <c r="BV21" i="1"/>
  <c r="BB24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AP231" i="1" s="1"/>
  <c r="BN47" i="1"/>
  <c r="BC51" i="1"/>
  <c r="BQ46" i="1"/>
  <c r="BP25" i="1"/>
  <c r="BU32" i="1"/>
  <c r="BU194" i="1" s="1"/>
  <c r="BS35" i="1"/>
  <c r="AM73" i="1"/>
  <c r="AN24" i="1"/>
  <c r="AI8" i="1"/>
  <c r="BP14" i="1"/>
  <c r="BK32" i="1"/>
  <c r="BK203" i="1" s="1"/>
  <c r="BK201" i="1" s="1"/>
  <c r="AT32" i="1"/>
  <c r="AT194" i="1" s="1"/>
  <c r="AT39" i="1"/>
  <c r="BA8" i="1"/>
  <c r="BA231" i="1" s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AY46" i="1"/>
  <c r="BE8" i="1"/>
  <c r="BE231" i="1" s="1"/>
  <c r="AX46" i="1"/>
  <c r="AU32" i="1"/>
  <c r="AU194" i="1" s="1"/>
  <c r="AT24" i="1"/>
  <c r="BH154" i="1"/>
  <c r="BI154" i="1" s="1"/>
  <c r="BH117" i="1"/>
  <c r="BI117" i="1" s="1"/>
  <c r="BH125" i="1"/>
  <c r="BI125" i="1" s="1"/>
  <c r="M145" i="1"/>
  <c r="M180" i="1" s="1"/>
  <c r="W170" i="1"/>
  <c r="R153" i="1"/>
  <c r="R183" i="1" s="1"/>
  <c r="B150" i="1"/>
  <c r="Q122" i="1"/>
  <c r="Q119" i="1"/>
  <c r="D150" i="1"/>
  <c r="U147" i="1"/>
  <c r="M133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AP194" i="1" s="1"/>
  <c r="BG25" i="1"/>
  <c r="BK46" i="1"/>
  <c r="BE46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S15" i="1"/>
  <c r="BN21" i="1"/>
  <c r="BA24" i="1"/>
  <c r="AO35" i="1"/>
  <c r="BF8" i="1"/>
  <c r="AZ36" i="1"/>
  <c r="AU35" i="1"/>
  <c r="AN45" i="1"/>
  <c r="BV159" i="1"/>
  <c r="U146" i="1"/>
  <c r="F160" i="1"/>
  <c r="J117" i="1"/>
  <c r="E170" i="1"/>
  <c r="R151" i="1"/>
  <c r="F149" i="1"/>
  <c r="C153" i="1"/>
  <c r="C183" i="1" s="1"/>
  <c r="U143" i="1"/>
  <c r="E155" i="1"/>
  <c r="M149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H252" i="1" s="1"/>
  <c r="BP32" i="1"/>
  <c r="BP194" i="1" s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BD23" i="1"/>
  <c r="BD45" i="1"/>
  <c r="AW20" i="1"/>
  <c r="BP36" i="1"/>
  <c r="AV45" i="1"/>
  <c r="AK73" i="1"/>
  <c r="AZ21" i="1"/>
  <c r="BN35" i="1"/>
  <c r="AI32" i="1"/>
  <c r="BH149" i="1"/>
  <c r="BI149" i="1" s="1"/>
  <c r="BV147" i="1"/>
  <c r="BW147" i="1" s="1"/>
  <c r="BV119" i="1"/>
  <c r="BH155" i="1"/>
  <c r="BI155" i="1" s="1"/>
  <c r="K160" i="1"/>
  <c r="G122" i="1"/>
  <c r="O67" i="1"/>
  <c r="R124" i="1"/>
  <c r="P78" i="1"/>
  <c r="O124" i="1"/>
  <c r="C67" i="1"/>
  <c r="E149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BH144" i="1"/>
  <c r="T74" i="1"/>
  <c r="L124" i="1"/>
  <c r="S67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C160" i="1"/>
  <c r="C147" i="1"/>
  <c r="K135" i="1"/>
  <c r="K131" i="1" s="1"/>
  <c r="N145" i="1"/>
  <c r="N180" i="1" s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D202" i="1" s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H119" i="1"/>
  <c r="BH150" i="1"/>
  <c r="BI150" i="1" s="1"/>
  <c r="W122" i="1"/>
  <c r="S132" i="1"/>
  <c r="H143" i="1"/>
  <c r="I137" i="1"/>
  <c r="N149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I161" i="1" s="1"/>
  <c r="J209" i="1" s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V146" i="1"/>
  <c r="BW146" i="1" s="1"/>
  <c r="U171" i="1"/>
  <c r="U173" i="1" s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V120" i="1" s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AZ154" i="1"/>
  <c r="BA154" i="1" s="1"/>
  <c r="BT131" i="1"/>
  <c r="BP155" i="1"/>
  <c r="BQ155" i="1" s="1"/>
  <c r="BP73" i="1"/>
  <c r="BF125" i="1"/>
  <c r="BG125" i="1" s="1"/>
  <c r="AP146" i="1"/>
  <c r="AQ146" i="1" s="1"/>
  <c r="AX144" i="1"/>
  <c r="BF74" i="1"/>
  <c r="AZ152" i="1"/>
  <c r="BA152" i="1" s="1"/>
  <c r="AZ117" i="1"/>
  <c r="BA117" i="1" s="1"/>
  <c r="BN164" i="1"/>
  <c r="BO164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G73" i="1"/>
  <c r="AZ142" i="1"/>
  <c r="BA142" i="1" s="1"/>
  <c r="BT117" i="1"/>
  <c r="BU117" i="1" s="1"/>
  <c r="BN152" i="1"/>
  <c r="BO152" i="1" s="1"/>
  <c r="BT152" i="1"/>
  <c r="BU152" i="1" s="1"/>
  <c r="BM74" i="1"/>
  <c r="BN127" i="1"/>
  <c r="BO127" i="1" s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B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AX122" i="1"/>
  <c r="AY122" i="1" s="1"/>
  <c r="AX160" i="1"/>
  <c r="BB119" i="1"/>
  <c r="AZ145" i="1"/>
  <c r="AZ180" i="1" s="1"/>
  <c r="BA180" i="1" s="1"/>
  <c r="BT144" i="1"/>
  <c r="AP119" i="1"/>
  <c r="AT133" i="1"/>
  <c r="AX150" i="1"/>
  <c r="AY150" i="1" s="1"/>
  <c r="BN146" i="1"/>
  <c r="BO146" i="1" s="1"/>
  <c r="BN132" i="1"/>
  <c r="AY74" i="1"/>
  <c r="BB160" i="1"/>
  <c r="BT153" i="1"/>
  <c r="BA74" i="1"/>
  <c r="BB127" i="1"/>
  <c r="BC127" i="1" s="1"/>
  <c r="BP145" i="1"/>
  <c r="AT144" i="1"/>
  <c r="AT179" i="1" s="1"/>
  <c r="AU179" i="1" s="1"/>
  <c r="BC73" i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P132" i="1"/>
  <c r="AP150" i="1"/>
  <c r="AQ150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B153" i="1"/>
  <c r="BF160" i="1"/>
  <c r="BP153" i="1"/>
  <c r="AX155" i="1"/>
  <c r="AY155" i="1" s="1"/>
  <c r="BN159" i="1"/>
  <c r="AZ126" i="1"/>
  <c r="BA126" i="1" s="1"/>
  <c r="AX131" i="1"/>
  <c r="BN144" i="1"/>
  <c r="BF145" i="1"/>
  <c r="BS73" i="1"/>
  <c r="BQ74" i="1"/>
  <c r="AT135" i="1"/>
  <c r="AU135" i="1" s="1"/>
  <c r="AT126" i="1"/>
  <c r="AU126" i="1" s="1"/>
  <c r="AZ122" i="1"/>
  <c r="BA122" i="1" s="1"/>
  <c r="BT119" i="1"/>
  <c r="BB154" i="1"/>
  <c r="BC154" i="1" s="1"/>
  <c r="BF131" i="1"/>
  <c r="AX119" i="1"/>
  <c r="AX135" i="1"/>
  <c r="AY135" i="1" s="1"/>
  <c r="AZ133" i="1"/>
  <c r="AZ155" i="1"/>
  <c r="BA155" i="1" s="1"/>
  <c r="BF153" i="1"/>
  <c r="BF135" i="1"/>
  <c r="BG135" i="1" s="1"/>
  <c r="BN150" i="1"/>
  <c r="BO150" i="1" s="1"/>
  <c r="AQ74" i="1"/>
  <c r="AZ127" i="1"/>
  <c r="BA127" i="1" s="1"/>
  <c r="BT135" i="1"/>
  <c r="BU135" i="1" s="1"/>
  <c r="BP74" i="1"/>
  <c r="AV154" i="1"/>
  <c r="AW154" i="1" s="1"/>
  <c r="BN74" i="1"/>
  <c r="AN164" i="1"/>
  <c r="AO164" i="1" s="1"/>
  <c r="AT150" i="1"/>
  <c r="AO73" i="1"/>
  <c r="AX149" i="1"/>
  <c r="AX132" i="1"/>
  <c r="AX137" i="1"/>
  <c r="AY137" i="1" s="1"/>
  <c r="BN133" i="1"/>
  <c r="BN163" i="1"/>
  <c r="BO163" i="1" s="1"/>
  <c r="BN124" i="1"/>
  <c r="BN145" i="1"/>
  <c r="BN154" i="1"/>
  <c r="BO154" i="1" s="1"/>
  <c r="AY73" i="1"/>
  <c r="BB149" i="1"/>
  <c r="BC149" i="1" s="1"/>
  <c r="BB151" i="1"/>
  <c r="BC151" i="1" s="1"/>
  <c r="AZ151" i="1"/>
  <c r="BA151" i="1" s="1"/>
  <c r="BF142" i="1"/>
  <c r="BG142" i="1" s="1"/>
  <c r="BT154" i="1"/>
  <c r="BU154" i="1" s="1"/>
  <c r="BT160" i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B122" i="1"/>
  <c r="BC122" i="1" s="1"/>
  <c r="AZ132" i="1"/>
  <c r="AP149" i="1"/>
  <c r="AQ149" i="1" s="1"/>
  <c r="AW74" i="1"/>
  <c r="AS73" i="1"/>
  <c r="AT127" i="1"/>
  <c r="AU127" i="1" s="1"/>
  <c r="AT145" i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AP74" i="1"/>
  <c r="BG74" i="1"/>
  <c r="BF122" i="1"/>
  <c r="BG122" i="1" s="1"/>
  <c r="AZ164" i="1"/>
  <c r="BA164" i="1" s="1"/>
  <c r="BF140" i="1"/>
  <c r="BG140" i="1" s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AP15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AX159" i="1"/>
  <c r="AX164" i="1"/>
  <c r="AY164" i="1" s="1"/>
  <c r="AX125" i="1"/>
  <c r="AY125" i="1" s="1"/>
  <c r="BB163" i="1"/>
  <c r="BC163" i="1" s="1"/>
  <c r="BU73" i="1"/>
  <c r="AZ74" i="1"/>
  <c r="BF127" i="1"/>
  <c r="BG127" i="1" s="1"/>
  <c r="BN140" i="1"/>
  <c r="BB164" i="1"/>
  <c r="BC164" i="1" s="1"/>
  <c r="AZ119" i="1"/>
  <c r="BF149" i="1"/>
  <c r="BG149" i="1" s="1"/>
  <c r="BT164" i="1"/>
  <c r="BU164" i="1" s="1"/>
  <c r="BP160" i="1"/>
  <c r="AP132" i="1"/>
  <c r="AV132" i="1"/>
  <c r="BN131" i="1"/>
  <c r="AX133" i="1"/>
  <c r="AX146" i="1"/>
  <c r="AY146" i="1" s="1"/>
  <c r="BN160" i="1"/>
  <c r="BN118" i="1"/>
  <c r="BO118" i="1" s="1"/>
  <c r="BN149" i="1"/>
  <c r="BO149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B155" i="1"/>
  <c r="BC155" i="1" s="1"/>
  <c r="AZ159" i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N137" i="1"/>
  <c r="BO137" i="1" s="1"/>
  <c r="BT137" i="1"/>
  <c r="BU137" i="1" s="1"/>
  <c r="BB137" i="1"/>
  <c r="BC137" i="1" s="1"/>
  <c r="BT143" i="1"/>
  <c r="BF143" i="1"/>
  <c r="AX143" i="1"/>
  <c r="AZ143" i="1"/>
  <c r="BN143" i="1"/>
  <c r="AT231" i="1"/>
  <c r="AZ231" i="1"/>
  <c r="BM10" i="1"/>
  <c r="AT252" i="1"/>
  <c r="BW117" i="1"/>
  <c r="BA194" i="1"/>
  <c r="AS194" i="1"/>
  <c r="CQ134" i="1"/>
  <c r="DB77" i="1"/>
  <c r="CY65" i="1"/>
  <c r="CZ63" i="1"/>
  <c r="BM252" i="1" l="1"/>
  <c r="BM26" i="1"/>
  <c r="BF147" i="1"/>
  <c r="BG147" i="1" s="1"/>
  <c r="BP143" i="1"/>
  <c r="BQ143" i="1" s="1"/>
  <c r="BP133" i="1"/>
  <c r="BF146" i="1"/>
  <c r="BG146" i="1" s="1"/>
  <c r="BQ231" i="1"/>
  <c r="BH179" i="1"/>
  <c r="BI179" i="1" s="1"/>
  <c r="W134" i="1"/>
  <c r="K134" i="1"/>
  <c r="BP119" i="1"/>
  <c r="AN252" i="1"/>
  <c r="AZ252" i="1"/>
  <c r="BR10" i="1"/>
  <c r="AR179" i="1"/>
  <c r="AS179" i="1" s="1"/>
  <c r="F134" i="1"/>
  <c r="F138" i="1" s="1"/>
  <c r="L173" i="1"/>
  <c r="G161" i="1"/>
  <c r="G120" i="1"/>
  <c r="AY231" i="1"/>
  <c r="BT194" i="1"/>
  <c r="AZ253" i="1"/>
  <c r="AZ194" i="1"/>
  <c r="AY252" i="1"/>
  <c r="N202" i="1"/>
  <c r="BR253" i="1"/>
  <c r="BR252" i="1"/>
  <c r="BQ10" i="1"/>
  <c r="AR10" i="1"/>
  <c r="AR252" i="1"/>
  <c r="V202" i="1"/>
  <c r="AI37" i="1"/>
  <c r="AQ252" i="1"/>
  <c r="AI10" i="1"/>
  <c r="BI26" i="1"/>
  <c r="BM37" i="1"/>
  <c r="BN26" i="1"/>
  <c r="E173" i="1"/>
  <c r="F156" i="1"/>
  <c r="F185" i="1" s="1"/>
  <c r="BQ252" i="1"/>
  <c r="BO252" i="1"/>
  <c r="AU252" i="1"/>
  <c r="P134" i="1"/>
  <c r="J202" i="1"/>
  <c r="G202" i="1"/>
  <c r="S202" i="1"/>
  <c r="D120" i="1"/>
  <c r="H128" i="1"/>
  <c r="BH183" i="1"/>
  <c r="BI183" i="1" s="1"/>
  <c r="B161" i="1"/>
  <c r="C209" i="1" s="1"/>
  <c r="R161" i="1"/>
  <c r="M120" i="1"/>
  <c r="BR126" i="1"/>
  <c r="BS126" i="1" s="1"/>
  <c r="BR159" i="1"/>
  <c r="BD135" i="1"/>
  <c r="BE135" i="1" s="1"/>
  <c r="BR127" i="1"/>
  <c r="BS127" i="1" s="1"/>
  <c r="BD147" i="1"/>
  <c r="BE147" i="1" s="1"/>
  <c r="BD152" i="1"/>
  <c r="BE152" i="1" s="1"/>
  <c r="BD160" i="1"/>
  <c r="BD149" i="1"/>
  <c r="BE149" i="1" s="1"/>
  <c r="BR132" i="1"/>
  <c r="BR149" i="1"/>
  <c r="BS149" i="1" s="1"/>
  <c r="BR73" i="1"/>
  <c r="BD74" i="1"/>
  <c r="BE74" i="1"/>
  <c r="BR151" i="1"/>
  <c r="BS151" i="1" s="1"/>
  <c r="BR144" i="1"/>
  <c r="BR179" i="1" s="1"/>
  <c r="BS179" i="1" s="1"/>
  <c r="BD131" i="1"/>
  <c r="BR146" i="1"/>
  <c r="BS146" i="1" s="1"/>
  <c r="BD151" i="1"/>
  <c r="BE151" i="1" s="1"/>
  <c r="BR145" i="1"/>
  <c r="BR180" i="1" s="1"/>
  <c r="BS180" i="1" s="1"/>
  <c r="BD126" i="1"/>
  <c r="BE126" i="1" s="1"/>
  <c r="BD164" i="1"/>
  <c r="BE164" i="1" s="1"/>
  <c r="BD117" i="1"/>
  <c r="BR135" i="1"/>
  <c r="BS135" i="1" s="1"/>
  <c r="BR118" i="1"/>
  <c r="BS118" i="1" s="1"/>
  <c r="BD163" i="1"/>
  <c r="BE163" i="1" s="1"/>
  <c r="BD122" i="1"/>
  <c r="BE122" i="1" s="1"/>
  <c r="BD150" i="1"/>
  <c r="BE150" i="1" s="1"/>
  <c r="BR74" i="1"/>
  <c r="BD146" i="1"/>
  <c r="BE146" i="1" s="1"/>
  <c r="BD124" i="1"/>
  <c r="BE124" i="1" s="1"/>
  <c r="BR164" i="1"/>
  <c r="BS164" i="1" s="1"/>
  <c r="BE73" i="1"/>
  <c r="BR142" i="1"/>
  <c r="BS142" i="1" s="1"/>
  <c r="BD145" i="1"/>
  <c r="BR133" i="1"/>
  <c r="BR155" i="1"/>
  <c r="BS155" i="1" s="1"/>
  <c r="BR150" i="1"/>
  <c r="BS150" i="1" s="1"/>
  <c r="BD119" i="1"/>
  <c r="BD140" i="1"/>
  <c r="BE140" i="1" s="1"/>
  <c r="BD142" i="1"/>
  <c r="BE142" i="1" s="1"/>
  <c r="BK73" i="1"/>
  <c r="BD153" i="1"/>
  <c r="BD73" i="1"/>
  <c r="BR124" i="1"/>
  <c r="BS124" i="1" s="1"/>
  <c r="BD159" i="1"/>
  <c r="BR154" i="1"/>
  <c r="BS154" i="1" s="1"/>
  <c r="BR140" i="1"/>
  <c r="BD144" i="1"/>
  <c r="BD127" i="1"/>
  <c r="BE127" i="1" s="1"/>
  <c r="BD133" i="1"/>
  <c r="BR152" i="1"/>
  <c r="BS152" i="1" s="1"/>
  <c r="BR119" i="1"/>
  <c r="BR125" i="1"/>
  <c r="BS125" i="1" s="1"/>
  <c r="BR117" i="1"/>
  <c r="BD118" i="1"/>
  <c r="BE118" i="1" s="1"/>
  <c r="BR147" i="1"/>
  <c r="BS147" i="1" s="1"/>
  <c r="BR160" i="1"/>
  <c r="BR122" i="1"/>
  <c r="BS122" i="1" s="1"/>
  <c r="BR131" i="1"/>
  <c r="BR163" i="1"/>
  <c r="BS163" i="1" s="1"/>
  <c r="BR153" i="1"/>
  <c r="BD155" i="1"/>
  <c r="BE155" i="1" s="1"/>
  <c r="BD125" i="1"/>
  <c r="BE125" i="1" s="1"/>
  <c r="BD154" i="1"/>
  <c r="BE154" i="1" s="1"/>
  <c r="BD132" i="1"/>
  <c r="BD137" i="1"/>
  <c r="BE137" i="1" s="1"/>
  <c r="BR137" i="1"/>
  <c r="BS137" i="1" s="1"/>
  <c r="BD143" i="1"/>
  <c r="BR143" i="1"/>
  <c r="BO231" i="1"/>
  <c r="BM203" i="1"/>
  <c r="BM201" i="1" s="1"/>
  <c r="BM33" i="1"/>
  <c r="BM194" i="1"/>
  <c r="AQ10" i="1"/>
  <c r="BV180" i="1"/>
  <c r="BW180" i="1" s="1"/>
  <c r="BI124" i="1"/>
  <c r="JD21" i="4"/>
  <c r="BX77" i="1" s="1"/>
  <c r="BT10" i="1"/>
  <c r="BE252" i="1"/>
  <c r="E134" i="1"/>
  <c r="I202" i="1"/>
  <c r="N161" i="1"/>
  <c r="O209" i="1" s="1"/>
  <c r="BI73" i="1"/>
  <c r="AX145" i="1"/>
  <c r="AT155" i="1"/>
  <c r="AU155" i="1" s="1"/>
  <c r="BP122" i="1"/>
  <c r="BQ122" i="1" s="1"/>
  <c r="BB143" i="1"/>
  <c r="BJ253" i="1"/>
  <c r="BJ194" i="1"/>
  <c r="BW202" i="1"/>
  <c r="D134" i="1"/>
  <c r="BD26" i="1"/>
  <c r="BQ26" i="1"/>
  <c r="B120" i="1"/>
  <c r="AY10" i="1"/>
  <c r="AZ10" i="1"/>
  <c r="G173" i="1"/>
  <c r="BH26" i="1"/>
  <c r="BH27" i="1" s="1"/>
  <c r="O128" i="1"/>
  <c r="H202" i="1"/>
  <c r="S134" i="1"/>
  <c r="K173" i="1"/>
  <c r="N134" i="1"/>
  <c r="W173" i="1"/>
  <c r="J134" i="1"/>
  <c r="O173" i="1"/>
  <c r="J161" i="1"/>
  <c r="V134" i="1"/>
  <c r="M134" i="1"/>
  <c r="I120" i="1"/>
  <c r="F161" i="1"/>
  <c r="D148" i="1"/>
  <c r="H148" i="1"/>
  <c r="O202" i="1"/>
  <c r="AT180" i="1"/>
  <c r="AU180" i="1" s="1"/>
  <c r="AM48" i="1"/>
  <c r="BV183" i="1"/>
  <c r="BW183" i="1" s="1"/>
  <c r="BH134" i="1"/>
  <c r="BC10" i="1"/>
  <c r="BH180" i="1"/>
  <c r="BI180" i="1" s="1"/>
  <c r="AI26" i="1"/>
  <c r="BD10" i="1"/>
  <c r="BU252" i="1"/>
  <c r="AV252" i="1"/>
  <c r="BA26" i="1"/>
  <c r="AN26" i="1"/>
  <c r="AT26" i="1"/>
  <c r="BQ98" i="1"/>
  <c r="BQ99" i="1" s="1"/>
  <c r="AV26" i="1"/>
  <c r="BG26" i="1"/>
  <c r="AU26" i="1"/>
  <c r="BT252" i="1"/>
  <c r="T173" i="1"/>
  <c r="B134" i="1"/>
  <c r="AO252" i="1"/>
  <c r="AT10" i="1"/>
  <c r="BS26" i="1"/>
  <c r="BS252" i="1"/>
  <c r="AQ26" i="1"/>
  <c r="BW10" i="1"/>
  <c r="BW128" i="1"/>
  <c r="BF10" i="1"/>
  <c r="AX98" i="1"/>
  <c r="AX99" i="1" s="1"/>
  <c r="AX102" i="1" s="1"/>
  <c r="BI252" i="1"/>
  <c r="BJ28" i="1"/>
  <c r="BK252" i="1"/>
  <c r="BF252" i="1"/>
  <c r="BV179" i="1"/>
  <c r="BW179" i="1" s="1"/>
  <c r="BH161" i="1"/>
  <c r="BV26" i="1"/>
  <c r="AS26" i="1"/>
  <c r="D156" i="1"/>
  <c r="D157" i="1" s="1"/>
  <c r="BF26" i="1"/>
  <c r="BF27" i="1" s="1"/>
  <c r="J120" i="1"/>
  <c r="I128" i="1"/>
  <c r="C202" i="1"/>
  <c r="I156" i="1"/>
  <c r="C161" i="1"/>
  <c r="J173" i="1"/>
  <c r="D65" i="1"/>
  <c r="T134" i="1"/>
  <c r="M148" i="1"/>
  <c r="M182" i="1" s="1"/>
  <c r="M181" i="1" s="1"/>
  <c r="C134" i="1"/>
  <c r="M202" i="1"/>
  <c r="H134" i="1"/>
  <c r="O120" i="1"/>
  <c r="O129" i="1" s="1"/>
  <c r="O55" i="1" s="1"/>
  <c r="K120" i="1"/>
  <c r="R202" i="1"/>
  <c r="P156" i="1"/>
  <c r="P185" i="1" s="1"/>
  <c r="P184" i="1" s="1"/>
  <c r="C65" i="1"/>
  <c r="M161" i="1"/>
  <c r="B173" i="1"/>
  <c r="R173" i="1"/>
  <c r="D161" i="1"/>
  <c r="L134" i="1"/>
  <c r="C156" i="1"/>
  <c r="V128" i="1"/>
  <c r="W202" i="1"/>
  <c r="P202" i="1"/>
  <c r="K161" i="1"/>
  <c r="BV161" i="1"/>
  <c r="BW209" i="1" s="1"/>
  <c r="BH148" i="1"/>
  <c r="BH182" i="1" s="1"/>
  <c r="BH181" i="1" s="1"/>
  <c r="S128" i="1"/>
  <c r="R128" i="1"/>
  <c r="W128" i="1"/>
  <c r="G134" i="1"/>
  <c r="U202" i="1"/>
  <c r="U120" i="1"/>
  <c r="BV252" i="1"/>
  <c r="Q128" i="1"/>
  <c r="V173" i="1"/>
  <c r="Q161" i="1"/>
  <c r="S173" i="1"/>
  <c r="M128" i="1"/>
  <c r="D128" i="1"/>
  <c r="S148" i="1"/>
  <c r="S182" i="1" s="1"/>
  <c r="S181" i="1" s="1"/>
  <c r="I134" i="1"/>
  <c r="N173" i="1"/>
  <c r="O161" i="1"/>
  <c r="V156" i="1"/>
  <c r="V185" i="1" s="1"/>
  <c r="M173" i="1"/>
  <c r="F120" i="1"/>
  <c r="G207" i="1" s="1"/>
  <c r="AZ183" i="1"/>
  <c r="BA183" i="1" s="1"/>
  <c r="BT179" i="1"/>
  <c r="BU179" i="1" s="1"/>
  <c r="BT183" i="1"/>
  <c r="BU183" i="1" s="1"/>
  <c r="BF180" i="1"/>
  <c r="BG180" i="1" s="1"/>
  <c r="BF183" i="1"/>
  <c r="BG183" i="1" s="1"/>
  <c r="BI253" i="1"/>
  <c r="BH202" i="1"/>
  <c r="BT180" i="1"/>
  <c r="BU180" i="1" s="1"/>
  <c r="BF179" i="1"/>
  <c r="BG179" i="1" s="1"/>
  <c r="BR183" i="1"/>
  <c r="BS183" i="1" s="1"/>
  <c r="AN179" i="1"/>
  <c r="AO179" i="1" s="1"/>
  <c r="BR26" i="1"/>
  <c r="BR27" i="1" s="1"/>
  <c r="BV10" i="1"/>
  <c r="BI10" i="1"/>
  <c r="BJ98" i="1"/>
  <c r="BJ99" i="1" s="1"/>
  <c r="AN33" i="1"/>
  <c r="AN253" i="1"/>
  <c r="BC231" i="1"/>
  <c r="BC253" i="1"/>
  <c r="BC252" i="1"/>
  <c r="BW118" i="1"/>
  <c r="BV120" i="1"/>
  <c r="BI140" i="1"/>
  <c r="BJ202" i="1" s="1"/>
  <c r="BI202" i="1"/>
  <c r="AQ194" i="1"/>
  <c r="AQ253" i="1"/>
  <c r="AI179" i="1"/>
  <c r="AL98" i="1"/>
  <c r="AL99" i="1" s="1"/>
  <c r="AI180" i="1"/>
  <c r="AI182" i="1"/>
  <c r="AI185" i="1"/>
  <c r="AI183" i="1"/>
  <c r="AI231" i="1"/>
  <c r="BT231" i="1"/>
  <c r="BT253" i="1"/>
  <c r="BF253" i="1"/>
  <c r="BF231" i="1"/>
  <c r="BK10" i="1"/>
  <c r="BK231" i="1"/>
  <c r="BM98" i="1"/>
  <c r="BM99" i="1" s="1"/>
  <c r="AI194" i="1"/>
  <c r="AI33" i="1"/>
  <c r="I54" i="1"/>
  <c r="E156" i="1"/>
  <c r="O148" i="1"/>
  <c r="BW252" i="1"/>
  <c r="L156" i="1"/>
  <c r="R156" i="1"/>
  <c r="R185" i="1" s="1"/>
  <c r="B156" i="1"/>
  <c r="B185" i="1" s="1"/>
  <c r="B184" i="1" s="1"/>
  <c r="I173" i="1"/>
  <c r="BB26" i="1"/>
  <c r="BJ17" i="1"/>
  <c r="AS10" i="1"/>
  <c r="AS12" i="1" s="1"/>
  <c r="J128" i="1"/>
  <c r="I148" i="1"/>
  <c r="I196" i="1" s="1"/>
  <c r="M156" i="1"/>
  <c r="H156" i="1"/>
  <c r="H185" i="1" s="1"/>
  <c r="H184" i="1" s="1"/>
  <c r="C120" i="1"/>
  <c r="N148" i="1"/>
  <c r="G156" i="1"/>
  <c r="R120" i="1"/>
  <c r="R54" i="1" s="1"/>
  <c r="N128" i="1"/>
  <c r="N37" i="1" s="1"/>
  <c r="H173" i="1"/>
  <c r="O156" i="1"/>
  <c r="O157" i="1" s="1"/>
  <c r="K156" i="1"/>
  <c r="L148" i="1"/>
  <c r="L182" i="1" s="1"/>
  <c r="V161" i="1"/>
  <c r="J148" i="1"/>
  <c r="J182" i="1" s="1"/>
  <c r="J181" i="1" s="1"/>
  <c r="H120" i="1"/>
  <c r="F202" i="1"/>
  <c r="S120" i="1"/>
  <c r="BH138" i="1"/>
  <c r="BC26" i="1"/>
  <c r="BC27" i="1" s="1"/>
  <c r="V148" i="1"/>
  <c r="AO26" i="1"/>
  <c r="AW26" i="1"/>
  <c r="BT26" i="1"/>
  <c r="BT27" i="1" s="1"/>
  <c r="Q134" i="1"/>
  <c r="BU26" i="1"/>
  <c r="BE26" i="1"/>
  <c r="BK26" i="1"/>
  <c r="AY26" i="1"/>
  <c r="AY27" i="1" s="1"/>
  <c r="AX26" i="1"/>
  <c r="AX27" i="1" s="1"/>
  <c r="D173" i="1"/>
  <c r="BW26" i="1"/>
  <c r="BW27" i="1" s="1"/>
  <c r="AP26" i="1"/>
  <c r="G128" i="1"/>
  <c r="BN253" i="1"/>
  <c r="AP180" i="1"/>
  <c r="AQ180" i="1" s="1"/>
  <c r="Q173" i="1"/>
  <c r="P173" i="1"/>
  <c r="T161" i="1"/>
  <c r="AR26" i="1"/>
  <c r="AR27" i="1" s="1"/>
  <c r="F148" i="1"/>
  <c r="F182" i="1" s="1"/>
  <c r="BB180" i="1"/>
  <c r="BC180" i="1" s="1"/>
  <c r="U134" i="1"/>
  <c r="U138" i="1" s="1"/>
  <c r="AS252" i="1"/>
  <c r="AP179" i="1"/>
  <c r="AQ179" i="1" s="1"/>
  <c r="BN231" i="1"/>
  <c r="BO26" i="1"/>
  <c r="BP26" i="1"/>
  <c r="BN194" i="1"/>
  <c r="AO253" i="1"/>
  <c r="E128" i="1"/>
  <c r="L202" i="1"/>
  <c r="B128" i="1"/>
  <c r="B65" i="1"/>
  <c r="B66" i="1" s="1"/>
  <c r="S161" i="1"/>
  <c r="P128" i="1"/>
  <c r="J156" i="1"/>
  <c r="Q156" i="1"/>
  <c r="Q185" i="1" s="1"/>
  <c r="BO98" i="1"/>
  <c r="BO99" i="1" s="1"/>
  <c r="BG231" i="1"/>
  <c r="BN33" i="1"/>
  <c r="BV98" i="1"/>
  <c r="BV99" i="1" s="1"/>
  <c r="T120" i="1"/>
  <c r="Q120" i="1"/>
  <c r="Q175" i="1" s="1"/>
  <c r="F173" i="1"/>
  <c r="T156" i="1"/>
  <c r="K148" i="1"/>
  <c r="L161" i="1"/>
  <c r="M209" i="1" s="1"/>
  <c r="K128" i="1"/>
  <c r="T148" i="1"/>
  <c r="D175" i="1"/>
  <c r="R148" i="1"/>
  <c r="BR98" i="1"/>
  <c r="BR99" i="1" s="1"/>
  <c r="AX252" i="1"/>
  <c r="BV134" i="1"/>
  <c r="AN10" i="1"/>
  <c r="B148" i="1"/>
  <c r="B182" i="1" s="1"/>
  <c r="U156" i="1"/>
  <c r="U185" i="1" s="1"/>
  <c r="BK253" i="1"/>
  <c r="BS253" i="1"/>
  <c r="BG252" i="1"/>
  <c r="BW98" i="1"/>
  <c r="BW99" i="1" s="1"/>
  <c r="BW103" i="1" s="1"/>
  <c r="O134" i="1"/>
  <c r="L128" i="1"/>
  <c r="N156" i="1"/>
  <c r="AZ26" i="1"/>
  <c r="AZ27" i="1" s="1"/>
  <c r="H161" i="1"/>
  <c r="P120" i="1"/>
  <c r="BS10" i="1"/>
  <c r="AN194" i="1"/>
  <c r="BH128" i="1"/>
  <c r="BA253" i="1"/>
  <c r="F128" i="1"/>
  <c r="BD252" i="1"/>
  <c r="AS253" i="1"/>
  <c r="BV128" i="1"/>
  <c r="D54" i="1"/>
  <c r="P138" i="1"/>
  <c r="P33" i="1"/>
  <c r="M54" i="1"/>
  <c r="M175" i="1"/>
  <c r="N33" i="1"/>
  <c r="N138" i="1"/>
  <c r="C148" i="1"/>
  <c r="AY98" i="1"/>
  <c r="AY99" i="1" s="1"/>
  <c r="AY102" i="1" s="1"/>
  <c r="P148" i="1"/>
  <c r="P182" i="1" s="1"/>
  <c r="BG253" i="1"/>
  <c r="BN183" i="1"/>
  <c r="BO183" i="1" s="1"/>
  <c r="AV183" i="1"/>
  <c r="AW183" i="1" s="1"/>
  <c r="BA98" i="1"/>
  <c r="BA99" i="1" s="1"/>
  <c r="BA104" i="1" s="1"/>
  <c r="BI98" i="1"/>
  <c r="BI99" i="1" s="1"/>
  <c r="AS98" i="1"/>
  <c r="AS99" i="1" s="1"/>
  <c r="BX98" i="1"/>
  <c r="BX99" i="1" s="1"/>
  <c r="BU98" i="1"/>
  <c r="BU99" i="1" s="1"/>
  <c r="BU102" i="1" s="1"/>
  <c r="BF98" i="1"/>
  <c r="BF99" i="1" s="1"/>
  <c r="BF103" i="1" s="1"/>
  <c r="AT253" i="1"/>
  <c r="AI203" i="1"/>
  <c r="AI201" i="1" s="1"/>
  <c r="BS98" i="1"/>
  <c r="BS99" i="1" s="1"/>
  <c r="BB183" i="1"/>
  <c r="BC183" i="1" s="1"/>
  <c r="Q148" i="1"/>
  <c r="Q182" i="1" s="1"/>
  <c r="Q181" i="1" s="1"/>
  <c r="BV156" i="1"/>
  <c r="BV185" i="1" s="1"/>
  <c r="BB10" i="1"/>
  <c r="BC188" i="1" s="1"/>
  <c r="BO253" i="1"/>
  <c r="BK194" i="1"/>
  <c r="AR98" i="1"/>
  <c r="AR99" i="1" s="1"/>
  <c r="AR104" i="1" s="1"/>
  <c r="AU253" i="1"/>
  <c r="BL98" i="1"/>
  <c r="BL99" i="1" s="1"/>
  <c r="AU10" i="1"/>
  <c r="BK37" i="1"/>
  <c r="BG98" i="1"/>
  <c r="BG99" i="1" s="1"/>
  <c r="BU10" i="1"/>
  <c r="BI142" i="1"/>
  <c r="E202" i="1"/>
  <c r="K202" i="1"/>
  <c r="BV253" i="1"/>
  <c r="BE98" i="1"/>
  <c r="BE99" i="1" s="1"/>
  <c r="BE104" i="1" s="1"/>
  <c r="S156" i="1"/>
  <c r="BN180" i="1"/>
  <c r="BO180" i="1" s="1"/>
  <c r="U161" i="1"/>
  <c r="BB252" i="1"/>
  <c r="BK33" i="1"/>
  <c r="AR253" i="1"/>
  <c r="AP10" i="1"/>
  <c r="E148" i="1"/>
  <c r="BH253" i="1"/>
  <c r="BZ98" i="1"/>
  <c r="BZ99" i="1" s="1"/>
  <c r="BZ103" i="1" s="1"/>
  <c r="AU231" i="1"/>
  <c r="AX253" i="1"/>
  <c r="BO10" i="1"/>
  <c r="BD231" i="1"/>
  <c r="AW10" i="1"/>
  <c r="AP252" i="1"/>
  <c r="AN183" i="1"/>
  <c r="AO183" i="1" s="1"/>
  <c r="AX183" i="1"/>
  <c r="AY183" i="1" s="1"/>
  <c r="AX180" i="1"/>
  <c r="AY180" i="1" s="1"/>
  <c r="G148" i="1"/>
  <c r="Q202" i="1"/>
  <c r="T202" i="1"/>
  <c r="BD98" i="1"/>
  <c r="BD99" i="1" s="1"/>
  <c r="BN98" i="1"/>
  <c r="BN99" i="1" s="1"/>
  <c r="BG10" i="1"/>
  <c r="AV10" i="1"/>
  <c r="BH156" i="1"/>
  <c r="BH185" i="1" s="1"/>
  <c r="BH184" i="1" s="1"/>
  <c r="BP183" i="1"/>
  <c r="BQ183" i="1" s="1"/>
  <c r="BH98" i="1"/>
  <c r="BH99" i="1" s="1"/>
  <c r="BD253" i="1"/>
  <c r="BP252" i="1"/>
  <c r="BB179" i="1"/>
  <c r="BC179" i="1" s="1"/>
  <c r="AW253" i="1"/>
  <c r="BC98" i="1"/>
  <c r="BC99" i="1" s="1"/>
  <c r="BC104" i="1" s="1"/>
  <c r="BP180" i="1"/>
  <c r="BQ180" i="1" s="1"/>
  <c r="C173" i="1"/>
  <c r="L120" i="1"/>
  <c r="R134" i="1"/>
  <c r="AZ98" i="1"/>
  <c r="AZ99" i="1" s="1"/>
  <c r="AZ103" i="1" s="1"/>
  <c r="T128" i="1"/>
  <c r="BB253" i="1"/>
  <c r="AU98" i="1"/>
  <c r="AU99" i="1" s="1"/>
  <c r="AU103" i="1" s="1"/>
  <c r="U128" i="1"/>
  <c r="U37" i="1" s="1"/>
  <c r="BI194" i="1"/>
  <c r="AO98" i="1"/>
  <c r="AO99" i="1" s="1"/>
  <c r="BR194" i="1"/>
  <c r="C128" i="1"/>
  <c r="E120" i="1"/>
  <c r="E175" i="1" s="1"/>
  <c r="AW252" i="1"/>
  <c r="BE253" i="1"/>
  <c r="AN98" i="1"/>
  <c r="AN99" i="1" s="1"/>
  <c r="BQ253" i="1"/>
  <c r="BE10" i="1"/>
  <c r="I175" i="1"/>
  <c r="AO10" i="1"/>
  <c r="AX231" i="1"/>
  <c r="AV98" i="1"/>
  <c r="AV99" i="1" s="1"/>
  <c r="AN231" i="1"/>
  <c r="BU253" i="1"/>
  <c r="BP10" i="1"/>
  <c r="BT98" i="1"/>
  <c r="BT99" i="1" s="1"/>
  <c r="BT104" i="1" s="1"/>
  <c r="AY253" i="1"/>
  <c r="BJ27" i="1"/>
  <c r="BP98" i="1"/>
  <c r="BP99" i="1" s="1"/>
  <c r="BW253" i="1"/>
  <c r="AN180" i="1"/>
  <c r="AO180" i="1" s="1"/>
  <c r="BD179" i="1"/>
  <c r="BE179" i="1" s="1"/>
  <c r="AV180" i="1"/>
  <c r="AW180" i="1" s="1"/>
  <c r="AP183" i="1"/>
  <c r="AQ183" i="1" s="1"/>
  <c r="BN179" i="1"/>
  <c r="BO179" i="1" s="1"/>
  <c r="AW98" i="1"/>
  <c r="AW99" i="1" s="1"/>
  <c r="BN252" i="1"/>
  <c r="BB98" i="1"/>
  <c r="BB99" i="1" s="1"/>
  <c r="AV179" i="1"/>
  <c r="AW179" i="1" s="1"/>
  <c r="U148" i="1"/>
  <c r="U182" i="1" s="1"/>
  <c r="U181" i="1" s="1"/>
  <c r="AQ98" i="1"/>
  <c r="AQ99" i="1" s="1"/>
  <c r="BW231" i="1"/>
  <c r="BK98" i="1"/>
  <c r="BK99" i="1" s="1"/>
  <c r="BY98" i="1"/>
  <c r="BY99" i="1" s="1"/>
  <c r="F33" i="1"/>
  <c r="AP253" i="1"/>
  <c r="BD183" i="1"/>
  <c r="BE183" i="1" s="1"/>
  <c r="BP179" i="1"/>
  <c r="BQ179" i="1" s="1"/>
  <c r="AX179" i="1"/>
  <c r="AY179" i="1" s="1"/>
  <c r="BV148" i="1"/>
  <c r="BV182" i="1" s="1"/>
  <c r="AV253" i="1"/>
  <c r="BN10" i="1"/>
  <c r="AP98" i="1"/>
  <c r="AP99" i="1" s="1"/>
  <c r="BP253" i="1"/>
  <c r="AT98" i="1"/>
  <c r="AT99" i="1" s="1"/>
  <c r="BA252" i="1"/>
  <c r="BA10" i="1"/>
  <c r="BH120" i="1"/>
  <c r="AR183" i="1"/>
  <c r="AS183" i="1" s="1"/>
  <c r="N120" i="1"/>
  <c r="AR134" i="1"/>
  <c r="G175" i="1"/>
  <c r="G54" i="1"/>
  <c r="H37" i="1"/>
  <c r="BD161" i="1"/>
  <c r="BE209" i="1" s="1"/>
  <c r="E33" i="1"/>
  <c r="E138" i="1"/>
  <c r="D33" i="1"/>
  <c r="D138" i="1"/>
  <c r="B175" i="1"/>
  <c r="B54" i="1"/>
  <c r="B248" i="1"/>
  <c r="O37" i="1"/>
  <c r="M138" i="1"/>
  <c r="M33" i="1"/>
  <c r="D182" i="1"/>
  <c r="D181" i="1" s="1"/>
  <c r="K33" i="1"/>
  <c r="K138" i="1"/>
  <c r="W138" i="1"/>
  <c r="X203" i="1" s="1"/>
  <c r="X201" i="1" s="1"/>
  <c r="W33" i="1"/>
  <c r="S209" i="1"/>
  <c r="AN161" i="1"/>
  <c r="AO209" i="1" s="1"/>
  <c r="AV161" i="1"/>
  <c r="AW209" i="1" s="1"/>
  <c r="BN161" i="1"/>
  <c r="BO209" i="1" s="1"/>
  <c r="BR134" i="1"/>
  <c r="AX161" i="1"/>
  <c r="AY209" i="1" s="1"/>
  <c r="BS128" i="1"/>
  <c r="H209" i="1"/>
  <c r="G248" i="1"/>
  <c r="V54" i="1"/>
  <c r="V175" i="1"/>
  <c r="V138" i="1"/>
  <c r="V33" i="1"/>
  <c r="AZ134" i="1"/>
  <c r="BP134" i="1"/>
  <c r="BT161" i="1"/>
  <c r="BU209" i="1" s="1"/>
  <c r="BP161" i="1"/>
  <c r="BQ209" i="1" s="1"/>
  <c r="BB161" i="1"/>
  <c r="AZ161" i="1"/>
  <c r="BA209" i="1" s="1"/>
  <c r="AR161" i="1"/>
  <c r="AS209" i="1" s="1"/>
  <c r="AQ140" i="1"/>
  <c r="AW140" i="1"/>
  <c r="AX202" i="1" s="1"/>
  <c r="AW202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AU150" i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U124" i="1"/>
  <c r="BU128" i="1" s="1"/>
  <c r="BT128" i="1"/>
  <c r="AO140" i="1"/>
  <c r="AN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AR156" i="1"/>
  <c r="BN120" i="1"/>
  <c r="AS202" i="1"/>
  <c r="BP156" i="1"/>
  <c r="BP185" i="1" s="1"/>
  <c r="BT120" i="1"/>
  <c r="BF128" i="1"/>
  <c r="AZ128" i="1"/>
  <c r="BQ202" i="1"/>
  <c r="BB156" i="1"/>
  <c r="BB185" i="1" s="1"/>
  <c r="AP128" i="1"/>
  <c r="AP120" i="1"/>
  <c r="AP92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BF120" i="1"/>
  <c r="BQ128" i="1"/>
  <c r="AZ156" i="1"/>
  <c r="AZ185" i="1" s="1"/>
  <c r="AV120" i="1"/>
  <c r="AU128" i="1"/>
  <c r="AW143" i="1"/>
  <c r="AV148" i="1"/>
  <c r="BG143" i="1"/>
  <c r="BO143" i="1"/>
  <c r="BN148" i="1"/>
  <c r="BU143" i="1"/>
  <c r="BT148" i="1"/>
  <c r="AY143" i="1"/>
  <c r="BA143" i="1"/>
  <c r="AZ148" i="1"/>
  <c r="AU202" i="1"/>
  <c r="AV202" i="1"/>
  <c r="BB202" i="1"/>
  <c r="BA202" i="1"/>
  <c r="AY202" i="1"/>
  <c r="AZ202" i="1"/>
  <c r="BC202" i="1"/>
  <c r="BM16" i="1"/>
  <c r="BM12" i="1"/>
  <c r="BG202" i="1"/>
  <c r="AX16" i="1"/>
  <c r="BH16" i="1"/>
  <c r="BL11" i="1"/>
  <c r="CQ138" i="1"/>
  <c r="CR32" i="1"/>
  <c r="AE77" i="1"/>
  <c r="AB125" i="1"/>
  <c r="AB128" i="1" s="1"/>
  <c r="AB249" i="1" s="1"/>
  <c r="AD142" i="1"/>
  <c r="CZ65" i="1"/>
  <c r="DA63" i="1"/>
  <c r="AZ16" i="1" l="1"/>
  <c r="BE128" i="1"/>
  <c r="BP148" i="1"/>
  <c r="BP182" i="1" s="1"/>
  <c r="BP120" i="1"/>
  <c r="BP92" i="1" s="1"/>
  <c r="BP94" i="1" s="1"/>
  <c r="BF148" i="1"/>
  <c r="BM27" i="1"/>
  <c r="BR16" i="1"/>
  <c r="BR12" i="1"/>
  <c r="BQ27" i="1"/>
  <c r="AI27" i="1"/>
  <c r="B107" i="1"/>
  <c r="BD134" i="1"/>
  <c r="BQ11" i="1"/>
  <c r="BQ16" i="1"/>
  <c r="AR16" i="1"/>
  <c r="N58" i="1"/>
  <c r="AL244" i="1"/>
  <c r="AJ12" i="1"/>
  <c r="AM11" i="1"/>
  <c r="AL225" i="1"/>
  <c r="AI16" i="1"/>
  <c r="F184" i="1"/>
  <c r="BA27" i="1"/>
  <c r="T175" i="1"/>
  <c r="B108" i="1"/>
  <c r="T33" i="1"/>
  <c r="T138" i="1"/>
  <c r="L33" i="1"/>
  <c r="L138" i="1"/>
  <c r="T54" i="1"/>
  <c r="N209" i="1"/>
  <c r="M248" i="1"/>
  <c r="BD180" i="1"/>
  <c r="BE180" i="1" s="1"/>
  <c r="S58" i="1"/>
  <c r="BE117" i="1"/>
  <c r="BD120" i="1"/>
  <c r="AT156" i="1"/>
  <c r="AT185" i="1" s="1"/>
  <c r="AT184" i="1" s="1"/>
  <c r="BS140" i="1"/>
  <c r="BR202" i="1"/>
  <c r="BS117" i="1"/>
  <c r="BR120" i="1"/>
  <c r="BR92" i="1" s="1"/>
  <c r="BF202" i="1"/>
  <c r="BR161" i="1"/>
  <c r="BE202" i="1"/>
  <c r="BR156" i="1"/>
  <c r="BR185" i="1" s="1"/>
  <c r="BD156" i="1"/>
  <c r="BD185" i="1" s="1"/>
  <c r="BR128" i="1"/>
  <c r="BD128" i="1"/>
  <c r="BE143" i="1"/>
  <c r="BD148" i="1"/>
  <c r="BS143" i="1"/>
  <c r="BR148" i="1"/>
  <c r="BD202" i="1"/>
  <c r="BX11" i="1"/>
  <c r="BT16" i="1"/>
  <c r="AQ16" i="1"/>
  <c r="AQ11" i="1"/>
  <c r="AR12" i="1"/>
  <c r="BN27" i="1"/>
  <c r="BD12" i="1"/>
  <c r="T246" i="1"/>
  <c r="BW206" i="1"/>
  <c r="BI128" i="1"/>
  <c r="BV184" i="1"/>
  <c r="BT184" i="1"/>
  <c r="AP102" i="1"/>
  <c r="AP104" i="1"/>
  <c r="AP103" i="1"/>
  <c r="IG16" i="4"/>
  <c r="BX94" i="1"/>
  <c r="BD27" i="1"/>
  <c r="AT27" i="1"/>
  <c r="AU27" i="1"/>
  <c r="BS27" i="1"/>
  <c r="BX188" i="1"/>
  <c r="S129" i="1"/>
  <c r="S55" i="1" s="1"/>
  <c r="R206" i="1"/>
  <c r="BB27" i="1"/>
  <c r="BU27" i="1"/>
  <c r="I248" i="1"/>
  <c r="D207" i="1"/>
  <c r="C207" i="1"/>
  <c r="U207" i="1"/>
  <c r="U209" i="1"/>
  <c r="T248" i="1"/>
  <c r="H54" i="1"/>
  <c r="P209" i="1"/>
  <c r="R175" i="1"/>
  <c r="S157" i="1"/>
  <c r="H175" i="1"/>
  <c r="E196" i="1"/>
  <c r="AV12" i="1"/>
  <c r="T206" i="1"/>
  <c r="H182" i="1"/>
  <c r="D185" i="1"/>
  <c r="E197" i="1"/>
  <c r="O182" i="1"/>
  <c r="O181" i="1" s="1"/>
  <c r="I249" i="1"/>
  <c r="I251" i="1" s="1"/>
  <c r="I129" i="1"/>
  <c r="I55" i="1" s="1"/>
  <c r="H157" i="1"/>
  <c r="I157" i="1"/>
  <c r="I197" i="1"/>
  <c r="I185" i="1"/>
  <c r="N206" i="1"/>
  <c r="N168" i="1"/>
  <c r="N109" i="1" s="1"/>
  <c r="BR184" i="1"/>
  <c r="BH206" i="1"/>
  <c r="BF184" i="1"/>
  <c r="AV184" i="1"/>
  <c r="AZ184" i="1"/>
  <c r="AI184" i="1"/>
  <c r="BC143" i="1"/>
  <c r="BB148" i="1"/>
  <c r="AX148" i="1"/>
  <c r="B68" i="1"/>
  <c r="B69" i="1"/>
  <c r="B87" i="1" s="1"/>
  <c r="BK27" i="1"/>
  <c r="AW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BV92" i="1"/>
  <c r="BV248" i="1"/>
  <c r="BX206" i="1"/>
  <c r="BX249" i="1"/>
  <c r="BV168" i="1"/>
  <c r="BV129" i="1"/>
  <c r="AY12" i="1"/>
  <c r="BW249" i="1"/>
  <c r="BH168" i="1"/>
  <c r="BI206" i="1"/>
  <c r="BI134" i="1"/>
  <c r="AX104" i="1"/>
  <c r="AX11" i="1"/>
  <c r="BB104" i="1"/>
  <c r="BB103" i="1"/>
  <c r="BB102" i="1"/>
  <c r="BI209" i="1"/>
  <c r="CB188" i="1"/>
  <c r="X58" i="1"/>
  <c r="BW16" i="1"/>
  <c r="BZ244" i="1"/>
  <c r="CA11" i="1"/>
  <c r="BZ225" i="1"/>
  <c r="BX12" i="1"/>
  <c r="BI33" i="1"/>
  <c r="BI104" i="1"/>
  <c r="BI102" i="1"/>
  <c r="BA103" i="1"/>
  <c r="BV138" i="1"/>
  <c r="BW33" i="1"/>
  <c r="BW134" i="1"/>
  <c r="BF11" i="1"/>
  <c r="AQ27" i="1"/>
  <c r="BJ29" i="1"/>
  <c r="BJ34" i="1"/>
  <c r="BJ38" i="1" s="1"/>
  <c r="BJ232" i="1"/>
  <c r="BJ233" i="1" s="1"/>
  <c r="AS27" i="1"/>
  <c r="BV181" i="1"/>
  <c r="AP181" i="1"/>
  <c r="BQ28" i="1"/>
  <c r="AR28" i="1"/>
  <c r="AR29" i="1" s="1"/>
  <c r="AZ12" i="1"/>
  <c r="AY16" i="1"/>
  <c r="BD11" i="1"/>
  <c r="BA12" i="1"/>
  <c r="S33" i="1"/>
  <c r="S138" i="1"/>
  <c r="J138" i="1"/>
  <c r="J33" i="1"/>
  <c r="K209" i="1"/>
  <c r="J248" i="1"/>
  <c r="G209" i="1"/>
  <c r="F244" i="1"/>
  <c r="BC11" i="1"/>
  <c r="BC16" i="1"/>
  <c r="BH11" i="1"/>
  <c r="BD16" i="1"/>
  <c r="BD188" i="1"/>
  <c r="BQ102" i="1"/>
  <c r="BQ103" i="1"/>
  <c r="BQ104" i="1"/>
  <c r="B138" i="1"/>
  <c r="B33" i="1"/>
  <c r="AT16" i="1"/>
  <c r="AU12" i="1"/>
  <c r="BJ11" i="1"/>
  <c r="BF16" i="1"/>
  <c r="BF28" i="1" s="1"/>
  <c r="BJ30" i="1" s="1"/>
  <c r="J175" i="1"/>
  <c r="J207" i="1"/>
  <c r="J54" i="1"/>
  <c r="I206" i="1"/>
  <c r="I37" i="1"/>
  <c r="I168" i="1"/>
  <c r="I109" i="1" s="1"/>
  <c r="D209" i="1"/>
  <c r="C248" i="1"/>
  <c r="D107" i="1"/>
  <c r="D66" i="1"/>
  <c r="D108" i="1"/>
  <c r="C33" i="1"/>
  <c r="C138" i="1"/>
  <c r="H138" i="1"/>
  <c r="H244" i="1" s="1"/>
  <c r="H33" i="1"/>
  <c r="K207" i="1"/>
  <c r="K54" i="1"/>
  <c r="K175" i="1"/>
  <c r="C108" i="1"/>
  <c r="C66" i="1"/>
  <c r="C107" i="1"/>
  <c r="D248" i="1"/>
  <c r="E209" i="1"/>
  <c r="C185" i="1"/>
  <c r="D197" i="1"/>
  <c r="V37" i="1"/>
  <c r="V129" i="1"/>
  <c r="V55" i="1" s="1"/>
  <c r="V168" i="1"/>
  <c r="V109" i="1" s="1"/>
  <c r="L209" i="1"/>
  <c r="K248" i="1"/>
  <c r="X206" i="1"/>
  <c r="X249" i="1"/>
  <c r="X251" i="1" s="1"/>
  <c r="W37" i="1"/>
  <c r="W249" i="1"/>
  <c r="W251" i="1" s="1"/>
  <c r="W206" i="1"/>
  <c r="G138" i="1"/>
  <c r="G33" i="1"/>
  <c r="U54" i="1"/>
  <c r="U175" i="1"/>
  <c r="V207" i="1"/>
  <c r="Q168" i="1"/>
  <c r="Q109" i="1" s="1"/>
  <c r="Q206" i="1"/>
  <c r="Q37" i="1"/>
  <c r="Q249" i="1"/>
  <c r="Q251" i="1" s="1"/>
  <c r="R249" i="1"/>
  <c r="R251" i="1" s="1"/>
  <c r="M206" i="1"/>
  <c r="M249" i="1"/>
  <c r="M251" i="1" s="1"/>
  <c r="M168" i="1"/>
  <c r="M109" i="1" s="1"/>
  <c r="M129" i="1"/>
  <c r="M55" i="1" s="1"/>
  <c r="M37" i="1"/>
  <c r="D168" i="1"/>
  <c r="D109" i="1" s="1"/>
  <c r="D37" i="1"/>
  <c r="D129" i="1"/>
  <c r="D55" i="1" s="1"/>
  <c r="I33" i="1"/>
  <c r="I138" i="1"/>
  <c r="O248" i="1"/>
  <c r="O168" i="1"/>
  <c r="O109" i="1" s="1"/>
  <c r="BW188" i="1"/>
  <c r="CA188" i="1"/>
  <c r="BV11" i="1"/>
  <c r="BV188" i="1"/>
  <c r="BZ11" i="1"/>
  <c r="BZ188" i="1"/>
  <c r="BW12" i="1"/>
  <c r="BY225" i="1"/>
  <c r="BL225" i="1"/>
  <c r="BM188" i="1"/>
  <c r="BM11" i="1"/>
  <c r="BK225" i="1"/>
  <c r="BJ12" i="1"/>
  <c r="BI27" i="1"/>
  <c r="BI16" i="1"/>
  <c r="BL244" i="1"/>
  <c r="BI12" i="1"/>
  <c r="BJ102" i="1"/>
  <c r="BJ103" i="1"/>
  <c r="BJ104" i="1"/>
  <c r="AL104" i="1"/>
  <c r="AL103" i="1"/>
  <c r="AI186" i="1"/>
  <c r="AI181" i="1"/>
  <c r="BM225" i="1"/>
  <c r="BN225" i="1"/>
  <c r="BM104" i="1"/>
  <c r="BM102" i="1"/>
  <c r="BM103" i="1"/>
  <c r="E185" i="1"/>
  <c r="F197" i="1"/>
  <c r="C54" i="1"/>
  <c r="C175" i="1"/>
  <c r="N182" i="1"/>
  <c r="O196" i="1"/>
  <c r="N157" i="1"/>
  <c r="N165" i="1" s="1"/>
  <c r="G185" i="1"/>
  <c r="G197" i="1"/>
  <c r="L197" i="1"/>
  <c r="K185" i="1"/>
  <c r="W209" i="1"/>
  <c r="V248" i="1"/>
  <c r="I207" i="1"/>
  <c r="H129" i="1"/>
  <c r="H55" i="1" s="1"/>
  <c r="H207" i="1"/>
  <c r="S54" i="1"/>
  <c r="S175" i="1"/>
  <c r="Q138" i="1"/>
  <c r="Q33" i="1"/>
  <c r="G129" i="1"/>
  <c r="G55" i="1" s="1"/>
  <c r="G168" i="1"/>
  <c r="G109" i="1" s="1"/>
  <c r="H249" i="1"/>
  <c r="H251" i="1" s="1"/>
  <c r="E37" i="1"/>
  <c r="E168" i="1"/>
  <c r="E109" i="1" s="1"/>
  <c r="B37" i="1"/>
  <c r="B129" i="1"/>
  <c r="B55" i="1" s="1"/>
  <c r="B168" i="1"/>
  <c r="B109" i="1" s="1"/>
  <c r="T209" i="1"/>
  <c r="S248" i="1"/>
  <c r="P168" i="1"/>
  <c r="P109" i="1" s="1"/>
  <c r="P249" i="1"/>
  <c r="P251" i="1" s="1"/>
  <c r="P37" i="1"/>
  <c r="J157" i="1"/>
  <c r="J197" i="1"/>
  <c r="BO102" i="1"/>
  <c r="BO104" i="1"/>
  <c r="BO103" i="1"/>
  <c r="BV102" i="1"/>
  <c r="BV104" i="1"/>
  <c r="L196" i="1"/>
  <c r="K157" i="1"/>
  <c r="K182" i="1"/>
  <c r="K181" i="1" s="1"/>
  <c r="T196" i="1"/>
  <c r="T182" i="1"/>
  <c r="R157" i="1"/>
  <c r="S196" i="1"/>
  <c r="R182" i="1"/>
  <c r="R181" i="1" s="1"/>
  <c r="BR103" i="1"/>
  <c r="BR102" i="1"/>
  <c r="BR104" i="1"/>
  <c r="AN27" i="1"/>
  <c r="AN11" i="1"/>
  <c r="AR11" i="1"/>
  <c r="AQ225" i="1"/>
  <c r="AO225" i="1"/>
  <c r="AN16" i="1"/>
  <c r="AN12" i="1"/>
  <c r="AN225" i="1"/>
  <c r="AO12" i="1"/>
  <c r="O33" i="1"/>
  <c r="O138" i="1"/>
  <c r="L37" i="1"/>
  <c r="L249" i="1"/>
  <c r="L251" i="1" s="1"/>
  <c r="N185" i="1"/>
  <c r="N184" i="1" s="1"/>
  <c r="O197" i="1"/>
  <c r="BT12" i="1"/>
  <c r="BW11" i="1"/>
  <c r="BS16" i="1"/>
  <c r="W58" i="1"/>
  <c r="BV225" i="1"/>
  <c r="BS102" i="1"/>
  <c r="BS103" i="1"/>
  <c r="BS104" i="1"/>
  <c r="BL102" i="1"/>
  <c r="BL103" i="1"/>
  <c r="BL104" i="1"/>
  <c r="AY188" i="1"/>
  <c r="AU16" i="1"/>
  <c r="AY11" i="1"/>
  <c r="AU11" i="1"/>
  <c r="AU188" i="1"/>
  <c r="BG103" i="1"/>
  <c r="BG104" i="1"/>
  <c r="BG102" i="1"/>
  <c r="BY11" i="1"/>
  <c r="BV12" i="1"/>
  <c r="BX244" i="1"/>
  <c r="BU11" i="1"/>
  <c r="BU16" i="1"/>
  <c r="BY188" i="1"/>
  <c r="BX225" i="1"/>
  <c r="BU12" i="1"/>
  <c r="BW225" i="1"/>
  <c r="V209" i="1"/>
  <c r="U248" i="1"/>
  <c r="AP16" i="1"/>
  <c r="AP188" i="1"/>
  <c r="BO225" i="1"/>
  <c r="BS11" i="1"/>
  <c r="BO188" i="1"/>
  <c r="AW16" i="1"/>
  <c r="BA11" i="1"/>
  <c r="AX12" i="1"/>
  <c r="AZ225" i="1"/>
  <c r="G182" i="1"/>
  <c r="G181" i="1" s="1"/>
  <c r="H196" i="1"/>
  <c r="BD104" i="1"/>
  <c r="BD103" i="1"/>
  <c r="BD102" i="1"/>
  <c r="BK11" i="1"/>
  <c r="BJ244" i="1"/>
  <c r="BH12" i="1"/>
  <c r="BH103" i="1"/>
  <c r="BH104" i="1"/>
  <c r="BH102" i="1"/>
  <c r="AO103" i="1"/>
  <c r="AO102" i="1"/>
  <c r="AO104" i="1"/>
  <c r="AO11" i="1"/>
  <c r="AO188" i="1"/>
  <c r="O58" i="1"/>
  <c r="AO16" i="1"/>
  <c r="AV102" i="1"/>
  <c r="AV103" i="1"/>
  <c r="AV104" i="1"/>
  <c r="AW104" i="1"/>
  <c r="AW102" i="1"/>
  <c r="AW103" i="1"/>
  <c r="BN103" i="1"/>
  <c r="BN104" i="1"/>
  <c r="BN102" i="1"/>
  <c r="BP104" i="1"/>
  <c r="BP103" i="1"/>
  <c r="O54" i="1"/>
  <c r="O175" i="1"/>
  <c r="N196" i="1"/>
  <c r="P197" i="1"/>
  <c r="M196" i="1"/>
  <c r="V157" i="1"/>
  <c r="V165" i="1" s="1"/>
  <c r="AO27" i="1"/>
  <c r="AP27" i="1"/>
  <c r="E206" i="1"/>
  <c r="P129" i="1"/>
  <c r="P55" i="1" s="1"/>
  <c r="R197" i="1"/>
  <c r="Q207" i="1"/>
  <c r="T157" i="1"/>
  <c r="L168" i="1"/>
  <c r="L109" i="1" s="1"/>
  <c r="K249" i="1"/>
  <c r="K251" i="1" s="1"/>
  <c r="BB188" i="1"/>
  <c r="BP184" i="1"/>
  <c r="BB184" i="1"/>
  <c r="S249" i="1"/>
  <c r="S251" i="1" s="1"/>
  <c r="S206" i="1"/>
  <c r="S37" i="1"/>
  <c r="R37" i="1"/>
  <c r="R168" i="1"/>
  <c r="R109" i="1" s="1"/>
  <c r="R209" i="1"/>
  <c r="Q248" i="1"/>
  <c r="F248" i="1"/>
  <c r="F175" i="1"/>
  <c r="F54" i="1"/>
  <c r="F246" i="1"/>
  <c r="BV16" i="1"/>
  <c r="BV27" i="1"/>
  <c r="L185" i="1"/>
  <c r="L184" i="1" s="1"/>
  <c r="M197" i="1"/>
  <c r="L157" i="1"/>
  <c r="J206" i="1"/>
  <c r="J37" i="1"/>
  <c r="J168" i="1"/>
  <c r="J109" i="1" s="1"/>
  <c r="J129" i="1"/>
  <c r="J55" i="1" s="1"/>
  <c r="J249" i="1"/>
  <c r="J251" i="1" s="1"/>
  <c r="I182" i="1"/>
  <c r="I181" i="1" s="1"/>
  <c r="J196" i="1"/>
  <c r="M157" i="1"/>
  <c r="M165" i="1" s="1"/>
  <c r="M185" i="1"/>
  <c r="BW104" i="1"/>
  <c r="BW102" i="1"/>
  <c r="BT225" i="1"/>
  <c r="BS12" i="1"/>
  <c r="BU225" i="1"/>
  <c r="F37" i="1"/>
  <c r="F168" i="1"/>
  <c r="F109" i="1" s="1"/>
  <c r="G206" i="1"/>
  <c r="G249" i="1"/>
  <c r="G251" i="1" s="1"/>
  <c r="BJ249" i="1"/>
  <c r="BJ206" i="1"/>
  <c r="BI249" i="1"/>
  <c r="N246" i="1"/>
  <c r="N244" i="1"/>
  <c r="C196" i="1"/>
  <c r="C182" i="1"/>
  <c r="BX102" i="1"/>
  <c r="BX104" i="1"/>
  <c r="BX103" i="1"/>
  <c r="AT11" i="1"/>
  <c r="AS225" i="1"/>
  <c r="BO16" i="1"/>
  <c r="BO27" i="1"/>
  <c r="BO11" i="1"/>
  <c r="M207" i="1"/>
  <c r="L207" i="1"/>
  <c r="L129" i="1"/>
  <c r="L55" i="1" s="1"/>
  <c r="AZ104" i="1"/>
  <c r="D249" i="1"/>
  <c r="D251" i="1" s="1"/>
  <c r="C206" i="1"/>
  <c r="C168" i="1"/>
  <c r="C109" i="1" s="1"/>
  <c r="D206" i="1"/>
  <c r="BS225" i="1"/>
  <c r="BP11" i="1"/>
  <c r="AQ104" i="1"/>
  <c r="AQ102" i="1"/>
  <c r="AQ103" i="1"/>
  <c r="BK104" i="1"/>
  <c r="BK103" i="1"/>
  <c r="BK102" i="1"/>
  <c r="BY104" i="1"/>
  <c r="BY102" i="1"/>
  <c r="BY103" i="1"/>
  <c r="BN11" i="1"/>
  <c r="BN188" i="1"/>
  <c r="BN16" i="1"/>
  <c r="BN12" i="1"/>
  <c r="BR11" i="1"/>
  <c r="BR188" i="1"/>
  <c r="U58" i="1"/>
  <c r="BO12" i="1"/>
  <c r="AT103" i="1"/>
  <c r="AT104" i="1"/>
  <c r="AT102" i="1"/>
  <c r="BA16" i="1"/>
  <c r="BA225" i="1"/>
  <c r="BH92" i="1"/>
  <c r="BH129" i="1"/>
  <c r="B157" i="1"/>
  <c r="S197" i="1"/>
  <c r="K197" i="1"/>
  <c r="H197" i="1"/>
  <c r="C197" i="1"/>
  <c r="J185" i="1"/>
  <c r="Q157" i="1"/>
  <c r="AS11" i="1"/>
  <c r="AS188" i="1"/>
  <c r="AP11" i="1"/>
  <c r="L248" i="1"/>
  <c r="Q197" i="1"/>
  <c r="S207" i="1"/>
  <c r="D196" i="1"/>
  <c r="Q196" i="1"/>
  <c r="O206" i="1"/>
  <c r="R129" i="1"/>
  <c r="R55" i="1" s="1"/>
  <c r="BB11" i="1"/>
  <c r="BU103" i="1"/>
  <c r="AQ12" i="1"/>
  <c r="BC103" i="1"/>
  <c r="V197" i="1"/>
  <c r="N249" i="1"/>
  <c r="N251" i="1" s="1"/>
  <c r="U206" i="1"/>
  <c r="H168" i="1"/>
  <c r="H109" i="1" s="1"/>
  <c r="T185" i="1"/>
  <c r="I209" i="1"/>
  <c r="BH225" i="1"/>
  <c r="BQ12" i="1"/>
  <c r="AZ11" i="1"/>
  <c r="BC225" i="1"/>
  <c r="P58" i="1"/>
  <c r="AR102" i="1"/>
  <c r="BD225" i="1"/>
  <c r="AP12" i="1"/>
  <c r="BK188" i="1"/>
  <c r="AZ28" i="1"/>
  <c r="BR225" i="1"/>
  <c r="AS16" i="1"/>
  <c r="AQ188" i="1"/>
  <c r="BC102" i="1"/>
  <c r="N197" i="1"/>
  <c r="O185" i="1"/>
  <c r="P248" i="1"/>
  <c r="O249" i="1"/>
  <c r="O251" i="1" s="1"/>
  <c r="P206" i="1"/>
  <c r="G37" i="1"/>
  <c r="Q54" i="1"/>
  <c r="K168" i="1"/>
  <c r="K109" i="1" s="1"/>
  <c r="T129" i="1"/>
  <c r="T55" i="1" s="1"/>
  <c r="H206" i="1"/>
  <c r="U33" i="1"/>
  <c r="R207" i="1"/>
  <c r="T207" i="1"/>
  <c r="BG27" i="1"/>
  <c r="H248" i="1"/>
  <c r="BP27" i="1"/>
  <c r="AW11" i="1"/>
  <c r="AN188" i="1"/>
  <c r="AX188" i="1"/>
  <c r="BH188" i="1"/>
  <c r="AX184" i="1"/>
  <c r="Q129" i="1"/>
  <c r="Q55" i="1" s="1"/>
  <c r="P54" i="1"/>
  <c r="R248" i="1"/>
  <c r="K37" i="1"/>
  <c r="T197" i="1"/>
  <c r="S168" i="1"/>
  <c r="S109" i="1" s="1"/>
  <c r="BT11" i="1"/>
  <c r="BU188" i="1"/>
  <c r="AP225" i="1"/>
  <c r="T249" i="1"/>
  <c r="T251" i="1" s="1"/>
  <c r="BC12" i="1"/>
  <c r="BG11" i="1"/>
  <c r="AS103" i="1"/>
  <c r="AR188" i="1"/>
  <c r="AY104" i="1"/>
  <c r="BB12" i="1"/>
  <c r="BE103" i="1"/>
  <c r="AZ17" i="1"/>
  <c r="BL188" i="1"/>
  <c r="BP102" i="1"/>
  <c r="AT12" i="1"/>
  <c r="G157" i="1"/>
  <c r="P207" i="1"/>
  <c r="P175" i="1"/>
  <c r="R196" i="1"/>
  <c r="K129" i="1"/>
  <c r="K55" i="1" s="1"/>
  <c r="V182" i="1"/>
  <c r="C157" i="1"/>
  <c r="K196" i="1"/>
  <c r="K198" i="1" s="1"/>
  <c r="K199" i="1" s="1"/>
  <c r="S185" i="1"/>
  <c r="S184" i="1" s="1"/>
  <c r="BS188" i="1"/>
  <c r="C249" i="1"/>
  <c r="C251" i="1" s="1"/>
  <c r="U197" i="1"/>
  <c r="BG188" i="1"/>
  <c r="BE102" i="1"/>
  <c r="V58" i="1"/>
  <c r="BU104" i="1"/>
  <c r="N129" i="1"/>
  <c r="BA188" i="1"/>
  <c r="AT225" i="1"/>
  <c r="R58" i="1"/>
  <c r="BF12" i="1"/>
  <c r="AS104" i="1"/>
  <c r="AY103" i="1"/>
  <c r="T58" i="1"/>
  <c r="BQ188" i="1"/>
  <c r="AT188" i="1"/>
  <c r="BP12" i="1"/>
  <c r="L206" i="1"/>
  <c r="F206" i="1"/>
  <c r="K206" i="1"/>
  <c r="G196" i="1"/>
  <c r="AU225" i="1"/>
  <c r="F249" i="1"/>
  <c r="F251" i="1" s="1"/>
  <c r="AN102" i="1"/>
  <c r="BT188" i="1"/>
  <c r="BP188" i="1"/>
  <c r="E157" i="1"/>
  <c r="E165" i="1" s="1"/>
  <c r="F157" i="1"/>
  <c r="F165" i="1" s="1"/>
  <c r="AR225" i="1"/>
  <c r="BB16" i="1"/>
  <c r="BB225" i="1"/>
  <c r="BP16" i="1"/>
  <c r="F129" i="1"/>
  <c r="F55" i="1" s="1"/>
  <c r="BQ225" i="1"/>
  <c r="AR103" i="1"/>
  <c r="BE11" i="1"/>
  <c r="BU202" i="1"/>
  <c r="U168" i="1"/>
  <c r="U109" i="1" s="1"/>
  <c r="V196" i="1"/>
  <c r="F207" i="1"/>
  <c r="N207" i="1"/>
  <c r="N54" i="1"/>
  <c r="O207" i="1"/>
  <c r="BI11" i="1"/>
  <c r="AV16" i="1"/>
  <c r="BV186" i="1"/>
  <c r="BZ189" i="1" s="1"/>
  <c r="BF188" i="1"/>
  <c r="BE16" i="1"/>
  <c r="BE18" i="1" s="1"/>
  <c r="BJ188" i="1"/>
  <c r="U196" i="1"/>
  <c r="Q58" i="1"/>
  <c r="BG16" i="1"/>
  <c r="AW188" i="1"/>
  <c r="AN104" i="1"/>
  <c r="AV188" i="1"/>
  <c r="BI188" i="1"/>
  <c r="BE27" i="1"/>
  <c r="P246" i="1"/>
  <c r="BH157" i="1"/>
  <c r="BH165" i="1" s="1"/>
  <c r="AV27" i="1"/>
  <c r="AY225" i="1"/>
  <c r="BF225" i="1"/>
  <c r="AW225" i="1"/>
  <c r="BP181" i="1"/>
  <c r="AR181" i="1"/>
  <c r="P244" i="1"/>
  <c r="AX225" i="1"/>
  <c r="BG225" i="1"/>
  <c r="BF102" i="1"/>
  <c r="U157" i="1"/>
  <c r="U165" i="1" s="1"/>
  <c r="P157" i="1"/>
  <c r="P165" i="1" s="1"/>
  <c r="E207" i="1"/>
  <c r="E54" i="1"/>
  <c r="P196" i="1"/>
  <c r="BJ225" i="1"/>
  <c r="BH248" i="1"/>
  <c r="BP225" i="1"/>
  <c r="BZ104" i="1"/>
  <c r="AZ188" i="1"/>
  <c r="BG12" i="1"/>
  <c r="BE12" i="1"/>
  <c r="AU102" i="1"/>
  <c r="BF104" i="1"/>
  <c r="T37" i="1"/>
  <c r="E129" i="1"/>
  <c r="E55" i="1" s="1"/>
  <c r="F196" i="1"/>
  <c r="T168" i="1"/>
  <c r="T109" i="1" s="1"/>
  <c r="C129" i="1"/>
  <c r="C55" i="1" s="1"/>
  <c r="C37" i="1"/>
  <c r="R33" i="1"/>
  <c r="R138" i="1"/>
  <c r="N175" i="1"/>
  <c r="BH186" i="1"/>
  <c r="BL189" i="1" s="1"/>
  <c r="AV11" i="1"/>
  <c r="BE225" i="1"/>
  <c r="BZ102" i="1"/>
  <c r="AV225" i="1"/>
  <c r="BI225" i="1"/>
  <c r="BT102" i="1"/>
  <c r="AU104" i="1"/>
  <c r="V206" i="1"/>
  <c r="E182" i="1"/>
  <c r="E181" i="1" s="1"/>
  <c r="U249" i="1"/>
  <c r="U251" i="1" s="1"/>
  <c r="V249" i="1"/>
  <c r="V251" i="1" s="1"/>
  <c r="L54" i="1"/>
  <c r="L175" i="1"/>
  <c r="AW12" i="1"/>
  <c r="BE188" i="1"/>
  <c r="BT103" i="1"/>
  <c r="U129" i="1"/>
  <c r="U55" i="1" s="1"/>
  <c r="BV157" i="1"/>
  <c r="N248" i="1"/>
  <c r="W203" i="1"/>
  <c r="W201" i="1" s="1"/>
  <c r="AR138" i="1"/>
  <c r="AS134" i="1"/>
  <c r="AS33" i="1"/>
  <c r="U244" i="1"/>
  <c r="U246" i="1"/>
  <c r="F181" i="1"/>
  <c r="F186" i="1"/>
  <c r="D165" i="1"/>
  <c r="E244" i="1"/>
  <c r="E246" i="1"/>
  <c r="F203" i="1"/>
  <c r="F201" i="1" s="1"/>
  <c r="N203" i="1"/>
  <c r="N201" i="1" s="1"/>
  <c r="M244" i="1"/>
  <c r="M246" i="1"/>
  <c r="E203" i="1"/>
  <c r="E201" i="1" s="1"/>
  <c r="L181" i="1"/>
  <c r="B186" i="1"/>
  <c r="B181" i="1"/>
  <c r="AR202" i="1"/>
  <c r="AQ202" i="1"/>
  <c r="BB168" i="1"/>
  <c r="AV168" i="1"/>
  <c r="K244" i="1"/>
  <c r="K246" i="1"/>
  <c r="BS33" i="1"/>
  <c r="BS134" i="1"/>
  <c r="BR138" i="1"/>
  <c r="V203" i="1"/>
  <c r="V201" i="1" s="1"/>
  <c r="V244" i="1"/>
  <c r="V246" i="1"/>
  <c r="AQ249" i="1"/>
  <c r="AN92" i="1"/>
  <c r="AN248" i="1"/>
  <c r="P186" i="1"/>
  <c r="P181" i="1"/>
  <c r="AV249" i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U184" i="1"/>
  <c r="U186" i="1"/>
  <c r="V184" i="1"/>
  <c r="BN168" i="1"/>
  <c r="BN129" i="1"/>
  <c r="BC206" i="1"/>
  <c r="BC249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AQ134" i="1"/>
  <c r="AP138" i="1"/>
  <c r="AQ33" i="1"/>
  <c r="R184" i="1"/>
  <c r="AT182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168" i="1"/>
  <c r="BP249" i="1"/>
  <c r="BP206" i="1"/>
  <c r="BP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O206" i="1"/>
  <c r="BO249" i="1"/>
  <c r="BN249" i="1"/>
  <c r="BN206" i="1"/>
  <c r="AW249" i="1"/>
  <c r="AW206" i="1"/>
  <c r="AN182" i="1"/>
  <c r="AN157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N184" i="1"/>
  <c r="AT129" i="1"/>
  <c r="AT249" i="1"/>
  <c r="AT206" i="1"/>
  <c r="AT168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AY206" i="1"/>
  <c r="AY249" i="1"/>
  <c r="AQ209" i="1"/>
  <c r="AP248" i="1"/>
  <c r="AZ92" i="1"/>
  <c r="AZ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F182" i="1"/>
  <c r="BF157" i="1"/>
  <c r="BT182" i="1"/>
  <c r="BT157" i="1"/>
  <c r="BN182" i="1"/>
  <c r="BN157" i="1"/>
  <c r="AZ182" i="1"/>
  <c r="AZ157" i="1"/>
  <c r="BQ17" i="1"/>
  <c r="AR17" i="1"/>
  <c r="BN184" i="1"/>
  <c r="BM17" i="1"/>
  <c r="BQ18" i="1"/>
  <c r="BM28" i="1"/>
  <c r="BM19" i="1"/>
  <c r="AJ19" i="1"/>
  <c r="AI17" i="1"/>
  <c r="AM18" i="1"/>
  <c r="AI28" i="1"/>
  <c r="N59" i="1"/>
  <c r="BR28" i="1"/>
  <c r="BR19" i="1"/>
  <c r="BR17" i="1"/>
  <c r="AZ29" i="1"/>
  <c r="AZ232" i="1"/>
  <c r="AZ233" i="1" s="1"/>
  <c r="AZ34" i="1"/>
  <c r="AZ38" i="1" s="1"/>
  <c r="BH28" i="1"/>
  <c r="BH17" i="1"/>
  <c r="BL18" i="1"/>
  <c r="AX17" i="1"/>
  <c r="AX28" i="1"/>
  <c r="AT95" i="1"/>
  <c r="AT96" i="1"/>
  <c r="AT94" i="1"/>
  <c r="AN28" i="1"/>
  <c r="AN18" i="1"/>
  <c r="AR18" i="1"/>
  <c r="AN19" i="1"/>
  <c r="AN17" i="1"/>
  <c r="BT28" i="1"/>
  <c r="BX18" i="1"/>
  <c r="BT17" i="1"/>
  <c r="BI19" i="1"/>
  <c r="BR96" i="1"/>
  <c r="BR94" i="1"/>
  <c r="BR95" i="1"/>
  <c r="BH246" i="1"/>
  <c r="BH244" i="1"/>
  <c r="AQ28" i="1"/>
  <c r="AQ18" i="1"/>
  <c r="AQ17" i="1"/>
  <c r="AR19" i="1"/>
  <c r="CR194" i="1"/>
  <c r="CR132" i="1"/>
  <c r="CQ203" i="1"/>
  <c r="CQ201" i="1" s="1"/>
  <c r="AB206" i="1"/>
  <c r="DB63" i="1"/>
  <c r="DB65" i="1" s="1"/>
  <c r="DA65" i="1"/>
  <c r="L205" i="1" l="1"/>
  <c r="BR249" i="1"/>
  <c r="G205" i="1"/>
  <c r="H198" i="1"/>
  <c r="H199" i="1" s="1"/>
  <c r="BE33" i="1"/>
  <c r="BE134" i="1"/>
  <c r="BD138" i="1"/>
  <c r="AT157" i="1"/>
  <c r="BF206" i="1"/>
  <c r="BR129" i="1"/>
  <c r="BS249" i="1"/>
  <c r="BS206" i="1"/>
  <c r="BR168" i="1"/>
  <c r="BD92" i="1"/>
  <c r="BD248" i="1"/>
  <c r="BT202" i="1"/>
  <c r="BS202" i="1"/>
  <c r="M186" i="1"/>
  <c r="M184" i="1"/>
  <c r="BD206" i="1"/>
  <c r="BD129" i="1"/>
  <c r="BE249" i="1"/>
  <c r="BE206" i="1"/>
  <c r="BD168" i="1"/>
  <c r="BD249" i="1"/>
  <c r="BD182" i="1"/>
  <c r="BD157" i="1"/>
  <c r="BR157" i="1"/>
  <c r="BV94" i="1"/>
  <c r="BI17" i="1"/>
  <c r="BI28" i="1"/>
  <c r="BJ19" i="1"/>
  <c r="BW37" i="1"/>
  <c r="BN18" i="1"/>
  <c r="BN17" i="1"/>
  <c r="BN19" i="1"/>
  <c r="BO19" i="1"/>
  <c r="CA18" i="1"/>
  <c r="BW28" i="1"/>
  <c r="BV246" i="1"/>
  <c r="AO18" i="1"/>
  <c r="AO17" i="1"/>
  <c r="BJ33" i="1"/>
  <c r="BI138" i="1"/>
  <c r="BJ203" i="1" s="1"/>
  <c r="BJ201" i="1" s="1"/>
  <c r="BJ41" i="1"/>
  <c r="BR182" i="1"/>
  <c r="BR186" i="1" s="1"/>
  <c r="BV96" i="1"/>
  <c r="BM18" i="1"/>
  <c r="BV109" i="1"/>
  <c r="BH109" i="1"/>
  <c r="BI37" i="1"/>
  <c r="BR18" i="1"/>
  <c r="BN28" i="1"/>
  <c r="U59" i="1"/>
  <c r="BW17" i="1"/>
  <c r="X59" i="1"/>
  <c r="BX19" i="1"/>
  <c r="BW138" i="1"/>
  <c r="BX33" i="1"/>
  <c r="BV244" i="1"/>
  <c r="AO28" i="1"/>
  <c r="AS18" i="1"/>
  <c r="BJ40" i="1"/>
  <c r="L246" i="1"/>
  <c r="L244" i="1"/>
  <c r="R203" i="1"/>
  <c r="R201" i="1" s="1"/>
  <c r="BV165" i="1"/>
  <c r="BV166" i="1" s="1"/>
  <c r="H205" i="1"/>
  <c r="J198" i="1"/>
  <c r="J199" i="1" s="1"/>
  <c r="D110" i="1"/>
  <c r="D113" i="1" s="1"/>
  <c r="Q205" i="1"/>
  <c r="T165" i="1"/>
  <c r="BD184" i="1"/>
  <c r="AT28" i="1"/>
  <c r="AT17" i="1"/>
  <c r="L165" i="1"/>
  <c r="N205" i="1"/>
  <c r="D203" i="1"/>
  <c r="D201" i="1" s="1"/>
  <c r="AU19" i="1"/>
  <c r="BD19" i="1"/>
  <c r="BH18" i="1"/>
  <c r="AR232" i="1"/>
  <c r="AR233" i="1" s="1"/>
  <c r="BU19" i="1"/>
  <c r="AR34" i="1"/>
  <c r="AR38" i="1" s="1"/>
  <c r="T244" i="1"/>
  <c r="E198" i="1"/>
  <c r="E199" i="1" s="1"/>
  <c r="AU17" i="1"/>
  <c r="BS28" i="1"/>
  <c r="BC28" i="1"/>
  <c r="AQ19" i="1"/>
  <c r="P59" i="1"/>
  <c r="S198" i="1"/>
  <c r="S199" i="1" s="1"/>
  <c r="R205" i="1"/>
  <c r="B165" i="1"/>
  <c r="F198" i="1"/>
  <c r="F199" i="1" s="1"/>
  <c r="C68" i="1"/>
  <c r="C69" i="1"/>
  <c r="J244" i="1"/>
  <c r="J246" i="1"/>
  <c r="J165" i="1"/>
  <c r="U203" i="1"/>
  <c r="U201" i="1" s="1"/>
  <c r="L203" i="1"/>
  <c r="L201" i="1" s="1"/>
  <c r="K203" i="1"/>
  <c r="K201" i="1" s="1"/>
  <c r="G165" i="1"/>
  <c r="G166" i="1" s="1"/>
  <c r="G203" i="1"/>
  <c r="G201" i="1" s="1"/>
  <c r="G244" i="1"/>
  <c r="G246" i="1"/>
  <c r="H203" i="1"/>
  <c r="H201" i="1" s="1"/>
  <c r="M203" i="1"/>
  <c r="M201" i="1" s="1"/>
  <c r="AY18" i="1"/>
  <c r="BS17" i="1"/>
  <c r="BC17" i="1"/>
  <c r="AX18" i="1"/>
  <c r="AY19" i="1"/>
  <c r="BR206" i="1"/>
  <c r="BS209" i="1"/>
  <c r="BR248" i="1"/>
  <c r="BB182" i="1"/>
  <c r="BB157" i="1"/>
  <c r="AX182" i="1"/>
  <c r="AX157" i="1"/>
  <c r="B85" i="1"/>
  <c r="B86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BQ34" i="1"/>
  <c r="BQ38" i="1" s="1"/>
  <c r="BQ29" i="1"/>
  <c r="BQ232" i="1"/>
  <c r="BQ233" i="1" s="1"/>
  <c r="BS19" i="1"/>
  <c r="BD17" i="1"/>
  <c r="BD28" i="1"/>
  <c r="BD18" i="1"/>
  <c r="BT19" i="1"/>
  <c r="BW18" i="1"/>
  <c r="BF29" i="1"/>
  <c r="BF34" i="1"/>
  <c r="BF38" i="1" s="1"/>
  <c r="BF232" i="1"/>
  <c r="BF233" i="1" s="1"/>
  <c r="AU28" i="1"/>
  <c r="BC18" i="1"/>
  <c r="O59" i="1"/>
  <c r="HT7" i="4"/>
  <c r="IG21" i="4"/>
  <c r="BA77" i="1" s="1"/>
  <c r="BA102" i="1" s="1"/>
  <c r="M166" i="1"/>
  <c r="M205" i="1"/>
  <c r="C205" i="1"/>
  <c r="D205" i="1"/>
  <c r="Q165" i="1"/>
  <c r="U205" i="1"/>
  <c r="N198" i="1"/>
  <c r="N199" i="1" s="1"/>
  <c r="O186" i="1"/>
  <c r="T205" i="1"/>
  <c r="T198" i="1"/>
  <c r="T199" i="1" s="1"/>
  <c r="H246" i="1"/>
  <c r="R198" i="1"/>
  <c r="R199" i="1" s="1"/>
  <c r="C165" i="1"/>
  <c r="S244" i="1"/>
  <c r="H165" i="1"/>
  <c r="H166" i="1" s="1"/>
  <c r="P166" i="1"/>
  <c r="C203" i="1"/>
  <c r="C201" i="1" s="1"/>
  <c r="D111" i="1"/>
  <c r="D114" i="1" s="1"/>
  <c r="J205" i="1"/>
  <c r="I203" i="1"/>
  <c r="I201" i="1" s="1"/>
  <c r="I244" i="1"/>
  <c r="J203" i="1"/>
  <c r="J201" i="1" s="1"/>
  <c r="I205" i="1"/>
  <c r="K205" i="1"/>
  <c r="G198" i="1"/>
  <c r="G199" i="1" s="1"/>
  <c r="E166" i="1"/>
  <c r="S246" i="1"/>
  <c r="E205" i="1"/>
  <c r="P198" i="1"/>
  <c r="P199" i="1" s="1"/>
  <c r="V205" i="1"/>
  <c r="D198" i="1"/>
  <c r="D199" i="1" s="1"/>
  <c r="I165" i="1"/>
  <c r="I166" i="1" s="1"/>
  <c r="T166" i="1"/>
  <c r="I246" i="1"/>
  <c r="B110" i="1"/>
  <c r="B113" i="1" s="1"/>
  <c r="B111" i="1"/>
  <c r="B114" i="1" s="1"/>
  <c r="K165" i="1"/>
  <c r="L186" i="1"/>
  <c r="H181" i="1"/>
  <c r="H186" i="1"/>
  <c r="D184" i="1"/>
  <c r="D186" i="1"/>
  <c r="I198" i="1"/>
  <c r="I199" i="1" s="1"/>
  <c r="D69" i="1"/>
  <c r="D68" i="1"/>
  <c r="O198" i="1"/>
  <c r="O199" i="1" s="1"/>
  <c r="L198" i="1"/>
  <c r="L199" i="1" s="1"/>
  <c r="C184" i="1"/>
  <c r="O165" i="1"/>
  <c r="O166" i="1" s="1"/>
  <c r="V166" i="1"/>
  <c r="Q246" i="1"/>
  <c r="Q244" i="1"/>
  <c r="Q203" i="1"/>
  <c r="Q201" i="1" s="1"/>
  <c r="O246" i="1"/>
  <c r="P203" i="1"/>
  <c r="P201" i="1" s="1"/>
  <c r="I184" i="1"/>
  <c r="I186" i="1"/>
  <c r="K184" i="1"/>
  <c r="K186" i="1"/>
  <c r="E184" i="1"/>
  <c r="T181" i="1"/>
  <c r="O203" i="1"/>
  <c r="O201" i="1" s="1"/>
  <c r="O244" i="1"/>
  <c r="N186" i="1"/>
  <c r="N181" i="1"/>
  <c r="G186" i="1"/>
  <c r="G184" i="1"/>
  <c r="R186" i="1"/>
  <c r="AP19" i="1"/>
  <c r="AT18" i="1"/>
  <c r="AP18" i="1"/>
  <c r="BU18" i="1"/>
  <c r="BU17" i="1"/>
  <c r="BF17" i="1"/>
  <c r="BJ18" i="1"/>
  <c r="AT34" i="1"/>
  <c r="AT38" i="1" s="1"/>
  <c r="AT29" i="1"/>
  <c r="AT232" i="1"/>
  <c r="AT233" i="1" s="1"/>
  <c r="AO19" i="1"/>
  <c r="AP28" i="1"/>
  <c r="AP17" i="1"/>
  <c r="BU28" i="1"/>
  <c r="BY18" i="1"/>
  <c r="AU18" i="1"/>
  <c r="AX19" i="1"/>
  <c r="AW17" i="1"/>
  <c r="AW28" i="1"/>
  <c r="L166" i="1"/>
  <c r="M198" i="1"/>
  <c r="M199" i="1" s="1"/>
  <c r="M213" i="1" s="1"/>
  <c r="C198" i="1"/>
  <c r="C199" i="1" s="1"/>
  <c r="Q166" i="1"/>
  <c r="S205" i="1"/>
  <c r="T203" i="1"/>
  <c r="T201" i="1" s="1"/>
  <c r="S165" i="1"/>
  <c r="S166" i="1" s="1"/>
  <c r="BV18" i="1"/>
  <c r="BZ18" i="1"/>
  <c r="BV19" i="1"/>
  <c r="BW19" i="1"/>
  <c r="BH96" i="1"/>
  <c r="BH95" i="1"/>
  <c r="BH94" i="1"/>
  <c r="BV28" i="1"/>
  <c r="BV17" i="1"/>
  <c r="BA19" i="1"/>
  <c r="BA18" i="1"/>
  <c r="BA17" i="1"/>
  <c r="BA28" i="1"/>
  <c r="F205" i="1"/>
  <c r="F210" i="1" s="1"/>
  <c r="F211" i="1" s="1"/>
  <c r="F166" i="1"/>
  <c r="P205" i="1"/>
  <c r="P210" i="1" s="1"/>
  <c r="P211" i="1" s="1"/>
  <c r="BH166" i="1"/>
  <c r="K166" i="1"/>
  <c r="BV189" i="1"/>
  <c r="C181" i="1"/>
  <c r="C186" i="1"/>
  <c r="BO18" i="1"/>
  <c r="BS18" i="1"/>
  <c r="BP19" i="1"/>
  <c r="BO28" i="1"/>
  <c r="BO17" i="1"/>
  <c r="C110" i="1"/>
  <c r="C113" i="1" s="1"/>
  <c r="C111" i="1"/>
  <c r="C114" i="1" s="1"/>
  <c r="J184" i="1"/>
  <c r="J186" i="1"/>
  <c r="T184" i="1"/>
  <c r="T186" i="1"/>
  <c r="U189" i="1" s="1"/>
  <c r="U190" i="1" s="1"/>
  <c r="AS28" i="1"/>
  <c r="AS19" i="1"/>
  <c r="AW18" i="1"/>
  <c r="AT19" i="1"/>
  <c r="AS17" i="1"/>
  <c r="V181" i="1"/>
  <c r="V186" i="1"/>
  <c r="V189" i="1" s="1"/>
  <c r="V190" i="1" s="1"/>
  <c r="N55" i="1"/>
  <c r="N166" i="1"/>
  <c r="BB28" i="1"/>
  <c r="BB17" i="1"/>
  <c r="BC19" i="1"/>
  <c r="BF18" i="1"/>
  <c r="BB18" i="1"/>
  <c r="BB19" i="1"/>
  <c r="R59" i="1"/>
  <c r="BP28" i="1"/>
  <c r="BP17" i="1"/>
  <c r="BT18" i="1"/>
  <c r="Q59" i="1"/>
  <c r="AV19" i="1"/>
  <c r="AV28" i="1"/>
  <c r="AW19" i="1"/>
  <c r="AV18" i="1"/>
  <c r="AZ18" i="1"/>
  <c r="AV17" i="1"/>
  <c r="BG19" i="1"/>
  <c r="T59" i="1"/>
  <c r="BG28" i="1"/>
  <c r="U198" i="1"/>
  <c r="U199" i="1" s="1"/>
  <c r="V198" i="1"/>
  <c r="V199" i="1" s="1"/>
  <c r="Q198" i="1"/>
  <c r="Q199" i="1" s="1"/>
  <c r="O184" i="1"/>
  <c r="BF19" i="1"/>
  <c r="V59" i="1"/>
  <c r="BE28" i="1"/>
  <c r="BQ19" i="1"/>
  <c r="S186" i="1"/>
  <c r="O205" i="1"/>
  <c r="BE17" i="1"/>
  <c r="BI18" i="1"/>
  <c r="BP18" i="1"/>
  <c r="S203" i="1"/>
  <c r="S201" i="1" s="1"/>
  <c r="R244" i="1"/>
  <c r="R246" i="1"/>
  <c r="U166" i="1"/>
  <c r="BH19" i="1"/>
  <c r="BG17" i="1"/>
  <c r="BE19" i="1"/>
  <c r="E186" i="1"/>
  <c r="BK18" i="1"/>
  <c r="BG18" i="1"/>
  <c r="S59" i="1"/>
  <c r="R165" i="1"/>
  <c r="R166" i="1" s="1"/>
  <c r="AR165" i="1"/>
  <c r="AR166" i="1" s="1"/>
  <c r="AR244" i="1"/>
  <c r="AR246" i="1"/>
  <c r="AT33" i="1"/>
  <c r="AS138" i="1"/>
  <c r="D244" i="1"/>
  <c r="D166" i="1"/>
  <c r="AW37" i="1"/>
  <c r="AV109" i="1"/>
  <c r="BS138" i="1"/>
  <c r="BT33" i="1"/>
  <c r="BR246" i="1"/>
  <c r="BR244" i="1"/>
  <c r="AP33" i="1"/>
  <c r="AO138" i="1"/>
  <c r="AN94" i="1"/>
  <c r="AN96" i="1"/>
  <c r="Q189" i="1"/>
  <c r="Q190" i="1" s="1"/>
  <c r="BR165" i="1"/>
  <c r="BR166" i="1" s="1"/>
  <c r="BB109" i="1"/>
  <c r="BC37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AS232" i="1"/>
  <c r="AS233" i="1" s="1"/>
  <c r="AS34" i="1"/>
  <c r="AS38" i="1" s="1"/>
  <c r="AT31" i="1"/>
  <c r="AS250" i="1"/>
  <c r="AS251" i="1" s="1"/>
  <c r="AS29" i="1"/>
  <c r="AT250" i="1"/>
  <c r="AT251" i="1" s="1"/>
  <c r="BI232" i="1"/>
  <c r="BI233" i="1" s="1"/>
  <c r="BI34" i="1"/>
  <c r="BI29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H110" i="1"/>
  <c r="BH111" i="1"/>
  <c r="BT250" i="1"/>
  <c r="BT251" i="1" s="1"/>
  <c r="AJ31" i="1"/>
  <c r="AL112" i="1"/>
  <c r="AI29" i="1"/>
  <c r="AM30" i="1"/>
  <c r="AI34" i="1"/>
  <c r="N60" i="1"/>
  <c r="AL226" i="1"/>
  <c r="AI232" i="1"/>
  <c r="AI233" i="1" s="1"/>
  <c r="BV111" i="1"/>
  <c r="AZ41" i="1"/>
  <c r="AZ40" i="1"/>
  <c r="BR250" i="1"/>
  <c r="BR251" i="1" s="1"/>
  <c r="BR29" i="1"/>
  <c r="BR31" i="1"/>
  <c r="BR232" i="1"/>
  <c r="BR233" i="1" s="1"/>
  <c r="BR34" i="1"/>
  <c r="BI203" i="1"/>
  <c r="BI201" i="1" s="1"/>
  <c r="BL30" i="1"/>
  <c r="BH29" i="1"/>
  <c r="BH34" i="1"/>
  <c r="BH38" i="1" s="1"/>
  <c r="BH232" i="1"/>
  <c r="BH233" i="1" s="1"/>
  <c r="BI250" i="1"/>
  <c r="BI251" i="1" s="1"/>
  <c r="BI31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N34" i="1"/>
  <c r="BR30" i="1"/>
  <c r="BN29" i="1"/>
  <c r="BN31" i="1"/>
  <c r="BN232" i="1"/>
  <c r="BN233" i="1" s="1"/>
  <c r="BN250" i="1"/>
  <c r="BN251" i="1" s="1"/>
  <c r="BN30" i="1"/>
  <c r="AX232" i="1"/>
  <c r="AX233" i="1" s="1"/>
  <c r="AX34" i="1"/>
  <c r="AX29" i="1"/>
  <c r="BW232" i="1"/>
  <c r="BW233" i="1" s="1"/>
  <c r="BX31" i="1"/>
  <c r="X60" i="1"/>
  <c r="BW29" i="1"/>
  <c r="BZ112" i="1"/>
  <c r="BZ226" i="1"/>
  <c r="BW34" i="1"/>
  <c r="CA30" i="1"/>
  <c r="BX250" i="1"/>
  <c r="BX251" i="1" s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O250" i="1"/>
  <c r="AO251" i="1" s="1"/>
  <c r="AO30" i="1"/>
  <c r="AO29" i="1"/>
  <c r="BT34" i="1"/>
  <c r="BT29" i="1"/>
  <c r="BX30" i="1"/>
  <c r="BT232" i="1"/>
  <c r="BT233" i="1" s="1"/>
  <c r="BJ234" i="1"/>
  <c r="BJ42" i="1"/>
  <c r="BJ245" i="1" s="1"/>
  <c r="BJ48" i="1"/>
  <c r="CR134" i="1"/>
  <c r="AE142" i="1"/>
  <c r="AC124" i="1"/>
  <c r="P213" i="1" l="1"/>
  <c r="J166" i="1"/>
  <c r="D213" i="1"/>
  <c r="K213" i="1"/>
  <c r="S189" i="1"/>
  <c r="S190" i="1" s="1"/>
  <c r="O210" i="1"/>
  <c r="O211" i="1" s="1"/>
  <c r="BD30" i="1"/>
  <c r="J213" i="1"/>
  <c r="E189" i="1"/>
  <c r="E190" i="1" s="1"/>
  <c r="C244" i="1"/>
  <c r="C166" i="1"/>
  <c r="K210" i="1"/>
  <c r="K211" i="1" s="1"/>
  <c r="B244" i="1"/>
  <c r="B166" i="1"/>
  <c r="C87" i="1"/>
  <c r="C85" i="1"/>
  <c r="C70" i="1"/>
  <c r="C86" i="1"/>
  <c r="B89" i="1"/>
  <c r="H210" i="1"/>
  <c r="H211" i="1" s="1"/>
  <c r="N213" i="1"/>
  <c r="H213" i="1"/>
  <c r="N210" i="1"/>
  <c r="N211" i="1" s="1"/>
  <c r="F213" i="1"/>
  <c r="E213" i="1"/>
  <c r="R210" i="1"/>
  <c r="R211" i="1" s="1"/>
  <c r="R213" i="1"/>
  <c r="R189" i="1"/>
  <c r="R190" i="1" s="1"/>
  <c r="L189" i="1"/>
  <c r="L190" i="1" s="1"/>
  <c r="BB165" i="1"/>
  <c r="BB166" i="1" s="1"/>
  <c r="P189" i="1"/>
  <c r="P190" i="1" s="1"/>
  <c r="M189" i="1"/>
  <c r="M190" i="1" s="1"/>
  <c r="BB186" i="1"/>
  <c r="BB181" i="1"/>
  <c r="BA226" i="1"/>
  <c r="BL112" i="1"/>
  <c r="AQ250" i="1"/>
  <c r="AQ251" i="1" s="1"/>
  <c r="AT30" i="1"/>
  <c r="AQ31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M112" i="1"/>
  <c r="BM226" i="1"/>
  <c r="BU30" i="1"/>
  <c r="BU29" i="1"/>
  <c r="BU232" i="1"/>
  <c r="BU233" i="1" s="1"/>
  <c r="BY30" i="1"/>
  <c r="BU34" i="1"/>
  <c r="BU38" i="1" s="1"/>
  <c r="BK112" i="1"/>
  <c r="U60" i="1"/>
  <c r="AW30" i="1"/>
  <c r="AS226" i="1"/>
  <c r="AS112" i="1"/>
  <c r="BL226" i="1"/>
  <c r="BD250" i="1"/>
  <c r="BD251" i="1" s="1"/>
  <c r="O60" i="1"/>
  <c r="AP31" i="1"/>
  <c r="BD34" i="1"/>
  <c r="BD38" i="1" s="1"/>
  <c r="BD29" i="1"/>
  <c r="BD232" i="1"/>
  <c r="BD233" i="1" s="1"/>
  <c r="BF41" i="1"/>
  <c r="BF40" i="1"/>
  <c r="AU31" i="1"/>
  <c r="AU250" i="1"/>
  <c r="AU251" i="1" s="1"/>
  <c r="AU232" i="1"/>
  <c r="AU233" i="1" s="1"/>
  <c r="AU29" i="1"/>
  <c r="AU34" i="1"/>
  <c r="AU38" i="1" s="1"/>
  <c r="AY30" i="1"/>
  <c r="AU30" i="1"/>
  <c r="BS34" i="1"/>
  <c r="BS38" i="1" s="1"/>
  <c r="BS29" i="1"/>
  <c r="BS232" i="1"/>
  <c r="BS233" i="1" s="1"/>
  <c r="BS250" i="1"/>
  <c r="BS251" i="1" s="1"/>
  <c r="BD31" i="1"/>
  <c r="BC34" i="1"/>
  <c r="BC29" i="1"/>
  <c r="BC232" i="1"/>
  <c r="BC233" i="1" s="1"/>
  <c r="BC30" i="1"/>
  <c r="BT226" i="1"/>
  <c r="BS31" i="1"/>
  <c r="BN112" i="1"/>
  <c r="BN226" i="1"/>
  <c r="AY31" i="1"/>
  <c r="AY250" i="1"/>
  <c r="AY251" i="1" s="1"/>
  <c r="AQ112" i="1"/>
  <c r="BT112" i="1"/>
  <c r="BT31" i="1"/>
  <c r="AR226" i="1"/>
  <c r="AP226" i="1"/>
  <c r="AP250" i="1"/>
  <c r="AP251" i="1" s="1"/>
  <c r="AP112" i="1"/>
  <c r="BK226" i="1"/>
  <c r="BH30" i="1"/>
  <c r="BW30" i="1"/>
  <c r="AX30" i="1"/>
  <c r="AR112" i="1"/>
  <c r="AR41" i="1"/>
  <c r="AR40" i="1"/>
  <c r="BU250" i="1"/>
  <c r="BU251" i="1" s="1"/>
  <c r="BU31" i="1"/>
  <c r="BU112" i="1"/>
  <c r="BQ40" i="1"/>
  <c r="BQ41" i="1"/>
  <c r="AT41" i="1"/>
  <c r="AT40" i="1"/>
  <c r="AQ226" i="1"/>
  <c r="D210" i="1"/>
  <c r="D211" i="1" s="1"/>
  <c r="D70" i="1"/>
  <c r="J210" i="1"/>
  <c r="J211" i="1" s="1"/>
  <c r="I210" i="1"/>
  <c r="I211" i="1" s="1"/>
  <c r="I213" i="1"/>
  <c r="M210" i="1"/>
  <c r="M211" i="1" s="1"/>
  <c r="I189" i="1"/>
  <c r="I190" i="1" s="1"/>
  <c r="G210" i="1"/>
  <c r="G211" i="1" s="1"/>
  <c r="G213" i="1"/>
  <c r="E210" i="1"/>
  <c r="E211" i="1" s="1"/>
  <c r="C210" i="1"/>
  <c r="C211" i="1" s="1"/>
  <c r="C213" i="1"/>
  <c r="O213" i="1"/>
  <c r="L213" i="1"/>
  <c r="L210" i="1"/>
  <c r="L211" i="1" s="1"/>
  <c r="D85" i="1"/>
  <c r="D86" i="1"/>
  <c r="D87" i="1"/>
  <c r="C89" i="1"/>
  <c r="H189" i="1"/>
  <c r="H190" i="1" s="1"/>
  <c r="G189" i="1"/>
  <c r="G190" i="1" s="1"/>
  <c r="O189" i="1"/>
  <c r="O190" i="1" s="1"/>
  <c r="N189" i="1"/>
  <c r="N190" i="1" s="1"/>
  <c r="HT19" i="4"/>
  <c r="AN78" i="1" s="1"/>
  <c r="IF9" i="4"/>
  <c r="IF21" i="4" s="1"/>
  <c r="AZ77" i="1" s="1"/>
  <c r="BS226" i="1"/>
  <c r="T210" i="1"/>
  <c r="T211" i="1" s="1"/>
  <c r="T213" i="1"/>
  <c r="AW34" i="1"/>
  <c r="AW29" i="1"/>
  <c r="AW232" i="1"/>
  <c r="AW233" i="1" s="1"/>
  <c r="BA30" i="1"/>
  <c r="S210" i="1"/>
  <c r="S211" i="1" s="1"/>
  <c r="AZ112" i="1"/>
  <c r="AW250" i="1"/>
  <c r="AW251" i="1" s="1"/>
  <c r="AX250" i="1"/>
  <c r="AX251" i="1" s="1"/>
  <c r="AZ226" i="1"/>
  <c r="AX31" i="1"/>
  <c r="BB31" i="1"/>
  <c r="BD112" i="1"/>
  <c r="BB112" i="1"/>
  <c r="BA34" i="1"/>
  <c r="BD226" i="1"/>
  <c r="BC112" i="1"/>
  <c r="BC226" i="1"/>
  <c r="BB226" i="1"/>
  <c r="BA232" i="1"/>
  <c r="BA233" i="1" s="1"/>
  <c r="BA112" i="1"/>
  <c r="R60" i="1"/>
  <c r="BA29" i="1"/>
  <c r="BA250" i="1"/>
  <c r="BA251" i="1" s="1"/>
  <c r="BA31" i="1"/>
  <c r="C189" i="1"/>
  <c r="C190" i="1" s="1"/>
  <c r="D189" i="1"/>
  <c r="D190" i="1" s="1"/>
  <c r="BO30" i="1"/>
  <c r="BO29" i="1"/>
  <c r="BO34" i="1"/>
  <c r="BO232" i="1"/>
  <c r="BO233" i="1" s="1"/>
  <c r="BP31" i="1"/>
  <c r="BO31" i="1"/>
  <c r="BR226" i="1"/>
  <c r="BR112" i="1"/>
  <c r="BO226" i="1"/>
  <c r="V60" i="1"/>
  <c r="BP226" i="1"/>
  <c r="BS30" i="1"/>
  <c r="BO112" i="1"/>
  <c r="BQ112" i="1"/>
  <c r="BQ226" i="1"/>
  <c r="BP112" i="1"/>
  <c r="BO250" i="1"/>
  <c r="BO251" i="1" s="1"/>
  <c r="J189" i="1"/>
  <c r="J190" i="1" s="1"/>
  <c r="K189" i="1"/>
  <c r="K190" i="1" s="1"/>
  <c r="AS31" i="1"/>
  <c r="AU226" i="1"/>
  <c r="AU112" i="1"/>
  <c r="AV112" i="1"/>
  <c r="AT226" i="1"/>
  <c r="P60" i="1"/>
  <c r="AT112" i="1"/>
  <c r="AS30" i="1"/>
  <c r="BC31" i="1"/>
  <c r="BB232" i="1"/>
  <c r="BB233" i="1" s="1"/>
  <c r="BE226" i="1"/>
  <c r="BB34" i="1"/>
  <c r="BB38" i="1" s="1"/>
  <c r="BE112" i="1"/>
  <c r="BF30" i="1"/>
  <c r="BB29" i="1"/>
  <c r="BB250" i="1"/>
  <c r="BB251" i="1" s="1"/>
  <c r="BB30" i="1"/>
  <c r="BC250" i="1"/>
  <c r="BC251" i="1" s="1"/>
  <c r="BT30" i="1"/>
  <c r="BS112" i="1"/>
  <c r="BP250" i="1"/>
  <c r="BP251" i="1" s="1"/>
  <c r="AW31" i="1"/>
  <c r="AV232" i="1"/>
  <c r="AV233" i="1" s="1"/>
  <c r="AV29" i="1"/>
  <c r="AV34" i="1"/>
  <c r="Q60" i="1"/>
  <c r="AY226" i="1"/>
  <c r="AY112" i="1"/>
  <c r="AX112" i="1"/>
  <c r="AX226" i="1"/>
  <c r="AZ30" i="1"/>
  <c r="AV30" i="1"/>
  <c r="BJ226" i="1"/>
  <c r="BH31" i="1"/>
  <c r="BG31" i="1"/>
  <c r="BG250" i="1"/>
  <c r="BG251" i="1" s="1"/>
  <c r="BJ112" i="1"/>
  <c r="T60" i="1"/>
  <c r="BG29" i="1"/>
  <c r="BI226" i="1"/>
  <c r="BG34" i="1"/>
  <c r="BI112" i="1"/>
  <c r="BG30" i="1"/>
  <c r="BG232" i="1"/>
  <c r="BG233" i="1" s="1"/>
  <c r="BH112" i="1"/>
  <c r="BG226" i="1"/>
  <c r="BG112" i="1"/>
  <c r="BH226" i="1"/>
  <c r="BF226" i="1"/>
  <c r="BX226" i="1"/>
  <c r="BV250" i="1"/>
  <c r="BV251" i="1" s="1"/>
  <c r="BV31" i="1"/>
  <c r="BV30" i="1"/>
  <c r="BV226" i="1"/>
  <c r="BV112" i="1"/>
  <c r="BX112" i="1"/>
  <c r="BW226" i="1"/>
  <c r="BW250" i="1"/>
  <c r="BW251" i="1" s="1"/>
  <c r="BY112" i="1"/>
  <c r="BY226" i="1"/>
  <c r="BW112" i="1"/>
  <c r="BW31" i="1"/>
  <c r="BV232" i="1"/>
  <c r="BV233" i="1" s="1"/>
  <c r="BV29" i="1"/>
  <c r="BZ30" i="1"/>
  <c r="BV34" i="1"/>
  <c r="AW226" i="1"/>
  <c r="AW112" i="1"/>
  <c r="AV226" i="1"/>
  <c r="AV31" i="1"/>
  <c r="AV250" i="1"/>
  <c r="AV251" i="1" s="1"/>
  <c r="BK30" i="1"/>
  <c r="BH250" i="1"/>
  <c r="BH251" i="1" s="1"/>
  <c r="U210" i="1"/>
  <c r="U211" i="1" s="1"/>
  <c r="U213" i="1"/>
  <c r="V210" i="1"/>
  <c r="V211" i="1" s="1"/>
  <c r="V213" i="1"/>
  <c r="Q213" i="1"/>
  <c r="Q210" i="1"/>
  <c r="Q211" i="1" s="1"/>
  <c r="BE250" i="1"/>
  <c r="BE251" i="1" s="1"/>
  <c r="BE30" i="1"/>
  <c r="BI30" i="1"/>
  <c r="BE29" i="1"/>
  <c r="BF31" i="1"/>
  <c r="S60" i="1"/>
  <c r="BF250" i="1"/>
  <c r="BF251" i="1" s="1"/>
  <c r="BE31" i="1"/>
  <c r="BF112" i="1"/>
  <c r="S213" i="1"/>
  <c r="T189" i="1"/>
  <c r="T190" i="1" s="1"/>
  <c r="BE34" i="1"/>
  <c r="BE232" i="1"/>
  <c r="BE233" i="1" s="1"/>
  <c r="F189" i="1"/>
  <c r="F190" i="1" s="1"/>
  <c r="AS203" i="1"/>
  <c r="AS201" i="1" s="1"/>
  <c r="AT203" i="1"/>
  <c r="AT201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4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0" i="1"/>
  <c r="BO203" i="1"/>
  <c r="BO201" i="1" s="1"/>
  <c r="BP203" i="1"/>
  <c r="BP201" i="1" s="1"/>
  <c r="AX111" i="1"/>
  <c r="AP110" i="1"/>
  <c r="AP111" i="1"/>
  <c r="AZ110" i="1"/>
  <c r="AZ111" i="1"/>
  <c r="BH189" i="1"/>
  <c r="BD189" i="1"/>
  <c r="BN189" i="1"/>
  <c r="BR189" i="1"/>
  <c r="BT189" i="1"/>
  <c r="BX189" i="1"/>
  <c r="AS40" i="1"/>
  <c r="AS41" i="1"/>
  <c r="BP40" i="1"/>
  <c r="BP41" i="1"/>
  <c r="BI38" i="1"/>
  <c r="BM40" i="1"/>
  <c r="BM41" i="1"/>
  <c r="BF234" i="1"/>
  <c r="BF42" i="1"/>
  <c r="BF245" i="1" s="1"/>
  <c r="BF48" i="1"/>
  <c r="BJ43" i="1"/>
  <c r="BD40" i="1"/>
  <c r="BD41" i="1"/>
  <c r="AL114" i="1"/>
  <c r="AL113" i="1"/>
  <c r="AI38" i="1"/>
  <c r="AL55" i="1"/>
  <c r="AU41" i="1"/>
  <c r="AU40" i="1"/>
  <c r="BC38" i="1"/>
  <c r="AZ234" i="1"/>
  <c r="AZ48" i="1"/>
  <c r="AZ42" i="1"/>
  <c r="AZ245" i="1" s="1"/>
  <c r="BR38" i="1"/>
  <c r="AO41" i="1"/>
  <c r="AR42" i="1"/>
  <c r="AR245" i="1" s="1"/>
  <c r="AR48" i="1"/>
  <c r="AR234" i="1"/>
  <c r="AX38" i="1"/>
  <c r="BN38" i="1"/>
  <c r="BH41" i="1"/>
  <c r="BH40" i="1"/>
  <c r="AQ38" i="1"/>
  <c r="AT55" i="1"/>
  <c r="BZ55" i="1"/>
  <c r="BW38" i="1"/>
  <c r="AN55" i="1"/>
  <c r="AN38" i="1"/>
  <c r="BT38" i="1"/>
  <c r="BT55" i="1"/>
  <c r="BZ113" i="1"/>
  <c r="BZ114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CR138" i="1"/>
  <c r="CS32" i="1"/>
  <c r="BF55" i="1" l="1"/>
  <c r="BB114" i="1"/>
  <c r="BB113" i="1"/>
  <c r="BN114" i="1"/>
  <c r="BN113" i="1"/>
  <c r="BN55" i="1"/>
  <c r="AP113" i="1"/>
  <c r="AP114" i="1"/>
  <c r="BB189" i="1"/>
  <c r="BF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4" i="1"/>
  <c r="BQ44" i="1"/>
  <c r="BL55" i="1"/>
  <c r="AR55" i="1"/>
  <c r="AP55" i="1"/>
  <c r="AN95" i="1"/>
  <c r="AN103" i="1"/>
  <c r="AN107" i="1"/>
  <c r="AN110" i="1" s="1"/>
  <c r="AN113" i="1" s="1"/>
  <c r="AZ94" i="1"/>
  <c r="AZ102" i="1"/>
  <c r="JB14" i="4"/>
  <c r="AV113" i="1"/>
  <c r="AV114" i="1"/>
  <c r="BP113" i="1"/>
  <c r="BP114" i="1"/>
  <c r="BF114" i="1"/>
  <c r="BF113" i="1"/>
  <c r="BR113" i="1"/>
  <c r="BR114" i="1"/>
  <c r="AT114" i="1"/>
  <c r="AT113" i="1"/>
  <c r="BD114" i="1"/>
  <c r="BD113" i="1"/>
  <c r="AX114" i="1"/>
  <c r="AZ113" i="1"/>
  <c r="AZ114" i="1"/>
  <c r="AW38" i="1"/>
  <c r="AZ55" i="1"/>
  <c r="BA38" i="1"/>
  <c r="BD55" i="1"/>
  <c r="BB55" i="1"/>
  <c r="BO38" i="1"/>
  <c r="BR55" i="1"/>
  <c r="BP55" i="1"/>
  <c r="AV38" i="1"/>
  <c r="AV55" i="1"/>
  <c r="AX55" i="1"/>
  <c r="BJ113" i="1"/>
  <c r="BJ114" i="1"/>
  <c r="BJ55" i="1"/>
  <c r="BG38" i="1"/>
  <c r="BH113" i="1"/>
  <c r="BH114" i="1"/>
  <c r="BV114" i="1"/>
  <c r="BX113" i="1"/>
  <c r="BX114" i="1"/>
  <c r="BV55" i="1"/>
  <c r="BX55" i="1"/>
  <c r="BV38" i="1"/>
  <c r="BY55" i="1"/>
  <c r="BE38" i="1"/>
  <c r="BH55" i="1"/>
  <c r="BK44" i="1"/>
  <c r="BK234" i="1"/>
  <c r="AS48" i="1"/>
  <c r="AS42" i="1"/>
  <c r="AS245" i="1" s="1"/>
  <c r="BU43" i="1"/>
  <c r="AS234" i="1"/>
  <c r="AT44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F52" i="1"/>
  <c r="BF193" i="1"/>
  <c r="BF195" i="1" s="1"/>
  <c r="BF66" i="1"/>
  <c r="BC41" i="1"/>
  <c r="BC40" i="1"/>
  <c r="BD48" i="1"/>
  <c r="BD234" i="1"/>
  <c r="BD42" i="1"/>
  <c r="BD245" i="1" s="1"/>
  <c r="BD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N41" i="1"/>
  <c r="AN40" i="1"/>
  <c r="BH48" i="1"/>
  <c r="BL43" i="1"/>
  <c r="BH234" i="1"/>
  <c r="BH42" i="1"/>
  <c r="BH245" i="1" s="1"/>
  <c r="AX41" i="1"/>
  <c r="AX40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CS194" i="1"/>
  <c r="CS132" i="1"/>
  <c r="CR203" i="1"/>
  <c r="CR201" i="1" s="1"/>
  <c r="AC125" i="1"/>
  <c r="AC128" i="1" s="1"/>
  <c r="AC249" i="1" s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JB19" i="4"/>
  <c r="BV78" i="1" s="1"/>
  <c r="HY16" i="4"/>
  <c r="HY21" i="4" s="1"/>
  <c r="AS77" i="1" s="1"/>
  <c r="AW41" i="1"/>
  <c r="AW40" i="1"/>
  <c r="BA40" i="1"/>
  <c r="BA41" i="1"/>
  <c r="BO40" i="1"/>
  <c r="BO41" i="1"/>
  <c r="AV40" i="1"/>
  <c r="AV41" i="1"/>
  <c r="BG40" i="1"/>
  <c r="BG41" i="1"/>
  <c r="BE40" i="1"/>
  <c r="BE41" i="1"/>
  <c r="BV40" i="1"/>
  <c r="BV41" i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D44" i="1"/>
  <c r="BC43" i="1"/>
  <c r="BC48" i="1"/>
  <c r="BC234" i="1"/>
  <c r="BC42" i="1"/>
  <c r="BC245" i="1" s="1"/>
  <c r="BD52" i="1"/>
  <c r="BD193" i="1"/>
  <c r="BD195" i="1" s="1"/>
  <c r="BD66" i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R44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N227" i="1"/>
  <c r="BN44" i="1"/>
  <c r="BB42" i="1"/>
  <c r="BB245" i="1" s="1"/>
  <c r="BF43" i="1"/>
  <c r="BB234" i="1"/>
  <c r="BB48" i="1"/>
  <c r="BC44" i="1"/>
  <c r="BB43" i="1"/>
  <c r="AX48" i="1"/>
  <c r="AX234" i="1"/>
  <c r="AX42" i="1"/>
  <c r="AX245" i="1" s="1"/>
  <c r="AY44" i="1"/>
  <c r="AX43" i="1"/>
  <c r="BH52" i="1"/>
  <c r="BH66" i="1"/>
  <c r="BH193" i="1"/>
  <c r="BH195" i="1" s="1"/>
  <c r="BT227" i="1"/>
  <c r="BT44" i="1"/>
  <c r="BW234" i="1"/>
  <c r="BX44" i="1"/>
  <c r="BW48" i="1"/>
  <c r="X61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BR227" i="1" l="1"/>
  <c r="BI43" i="1"/>
  <c r="BF227" i="1"/>
  <c r="BV95" i="1"/>
  <c r="BV103" i="1"/>
  <c r="BV107" i="1"/>
  <c r="BV110" i="1" s="1"/>
  <c r="BV113" i="1" s="1"/>
  <c r="AS102" i="1"/>
  <c r="IO14" i="4"/>
  <c r="BV43" i="1"/>
  <c r="AW43" i="1"/>
  <c r="BA43" i="1"/>
  <c r="AW42" i="1"/>
  <c r="AW245" i="1" s="1"/>
  <c r="AW234" i="1"/>
  <c r="AW48" i="1"/>
  <c r="BE43" i="1"/>
  <c r="BA48" i="1"/>
  <c r="BA44" i="1"/>
  <c r="BA42" i="1"/>
  <c r="BA245" i="1" s="1"/>
  <c r="BA234" i="1"/>
  <c r="BO43" i="1"/>
  <c r="BP44" i="1"/>
  <c r="BO48" i="1"/>
  <c r="BO42" i="1"/>
  <c r="BO245" i="1" s="1"/>
  <c r="BO234" i="1"/>
  <c r="BS43" i="1"/>
  <c r="BE44" i="1"/>
  <c r="BF44" i="1"/>
  <c r="BE234" i="1"/>
  <c r="BE48" i="1"/>
  <c r="BE42" i="1"/>
  <c r="BE245" i="1" s="1"/>
  <c r="AX44" i="1"/>
  <c r="AZ227" i="1"/>
  <c r="BC227" i="1"/>
  <c r="BA227" i="1"/>
  <c r="BD227" i="1"/>
  <c r="BB227" i="1"/>
  <c r="BB44" i="1"/>
  <c r="BO44" i="1"/>
  <c r="BQ227" i="1"/>
  <c r="BP227" i="1"/>
  <c r="BO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BK43" i="1"/>
  <c r="BG48" i="1"/>
  <c r="BG43" i="1"/>
  <c r="BG42" i="1"/>
  <c r="BG245" i="1" s="1"/>
  <c r="BH44" i="1"/>
  <c r="BG234" i="1"/>
  <c r="BJ227" i="1"/>
  <c r="BG44" i="1"/>
  <c r="BI227" i="1"/>
  <c r="BE227" i="1"/>
  <c r="BH227" i="1"/>
  <c r="BG227" i="1"/>
  <c r="BW227" i="1"/>
  <c r="BV227" i="1"/>
  <c r="BX227" i="1"/>
  <c r="BW44" i="1"/>
  <c r="BY227" i="1"/>
  <c r="BV44" i="1"/>
  <c r="BV42" i="1"/>
  <c r="BV245" i="1" s="1"/>
  <c r="BZ43" i="1"/>
  <c r="BV234" i="1"/>
  <c r="BV48" i="1"/>
  <c r="BK54" i="1"/>
  <c r="BM69" i="1"/>
  <c r="BK92" i="1"/>
  <c r="BL207" i="1"/>
  <c r="BL205" i="1" s="1"/>
  <c r="BK207" i="1"/>
  <c r="BK205" i="1" s="1"/>
  <c r="BK129" i="1"/>
  <c r="BK5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BC66" i="1"/>
  <c r="BC119" i="1"/>
  <c r="BC120" i="1" s="1"/>
  <c r="BC193" i="1"/>
  <c r="BC195" i="1" s="1"/>
  <c r="BC5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BT54" i="1"/>
  <c r="BR52" i="1"/>
  <c r="BR193" i="1"/>
  <c r="BR195" i="1" s="1"/>
  <c r="BR66" i="1"/>
  <c r="BN207" i="1"/>
  <c r="BN205" i="1" s="1"/>
  <c r="BU54" i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N54" i="1"/>
  <c r="U61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AQ119" i="1"/>
  <c r="AQ120" i="1" s="1"/>
  <c r="AQ193" i="1"/>
  <c r="AQ195" i="1" s="1"/>
  <c r="AQ52" i="1"/>
  <c r="AQ66" i="1"/>
  <c r="AS54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BR54" i="1" l="1"/>
  <c r="AV207" i="1"/>
  <c r="AV205" i="1" s="1"/>
  <c r="AY54" i="1"/>
  <c r="S61" i="1"/>
  <c r="BF54" i="1"/>
  <c r="V61" i="1"/>
  <c r="BP54" i="1"/>
  <c r="AV193" i="1"/>
  <c r="AV195" i="1" s="1"/>
  <c r="AV52" i="1"/>
  <c r="AV66" i="1"/>
  <c r="AV54" i="1"/>
  <c r="Q61" i="1"/>
  <c r="AX54" i="1"/>
  <c r="AZ54" i="1"/>
  <c r="BB54" i="1"/>
  <c r="R61" i="1"/>
  <c r="BD54" i="1"/>
  <c r="BG52" i="1"/>
  <c r="BG66" i="1"/>
  <c r="BG119" i="1"/>
  <c r="BG120" i="1" s="1"/>
  <c r="BJ54" i="1"/>
  <c r="BH54" i="1"/>
  <c r="BG193" i="1"/>
  <c r="BG195" i="1" s="1"/>
  <c r="T61" i="1"/>
  <c r="BV207" i="1"/>
  <c r="BV205" i="1" s="1"/>
  <c r="IO19" i="4"/>
  <c r="BI78" i="1" s="1"/>
  <c r="ID7" i="4"/>
  <c r="AW52" i="1"/>
  <c r="AW119" i="1"/>
  <c r="AW120" i="1" s="1"/>
  <c r="AW66" i="1"/>
  <c r="AW193" i="1"/>
  <c r="AW195" i="1" s="1"/>
  <c r="BA193" i="1"/>
  <c r="BA195" i="1" s="1"/>
  <c r="BA52" i="1"/>
  <c r="BA119" i="1"/>
  <c r="BA120" i="1" s="1"/>
  <c r="BA66" i="1"/>
  <c r="BO52" i="1"/>
  <c r="BQ54" i="1"/>
  <c r="BO119" i="1"/>
  <c r="BO120" i="1" s="1"/>
  <c r="BO193" i="1"/>
  <c r="BO195" i="1" s="1"/>
  <c r="BO66" i="1"/>
  <c r="BE66" i="1"/>
  <c r="BE52" i="1"/>
  <c r="BE193" i="1"/>
  <c r="BE195" i="1" s="1"/>
  <c r="BE119" i="1"/>
  <c r="BE120" i="1" s="1"/>
  <c r="BV54" i="1"/>
  <c r="BX54" i="1"/>
  <c r="BY54" i="1"/>
  <c r="BV52" i="1"/>
  <c r="BV66" i="1"/>
  <c r="BV193" i="1"/>
  <c r="BV195" i="1" s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C207" i="1"/>
  <c r="BC205" i="1" s="1"/>
  <c r="BC129" i="1"/>
  <c r="BC55" i="1" s="1"/>
  <c r="BC92" i="1"/>
  <c r="BC54" i="1"/>
  <c r="BD207" i="1"/>
  <c r="BD205" i="1" s="1"/>
  <c r="AL86" i="1"/>
  <c r="AL87" i="1"/>
  <c r="AU95" i="1"/>
  <c r="AU96" i="1"/>
  <c r="AU94" i="1"/>
  <c r="AO96" i="1"/>
  <c r="AO94" i="1"/>
  <c r="AO95" i="1"/>
  <c r="AT69" i="1"/>
  <c r="AR69" i="1"/>
  <c r="AS69" i="1"/>
  <c r="BN69" i="1"/>
  <c r="AQ69" i="1"/>
  <c r="AN69" i="1"/>
  <c r="AP69" i="1"/>
  <c r="AO69" i="1"/>
  <c r="BZ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A69" i="1" l="1"/>
  <c r="AY69" i="1"/>
  <c r="AY86" i="1" s="1"/>
  <c r="AX69" i="1"/>
  <c r="AV69" i="1"/>
  <c r="BJ69" i="1"/>
  <c r="BF89" i="1" s="1"/>
  <c r="BI69" i="1"/>
  <c r="BG207" i="1"/>
  <c r="BG205" i="1" s="1"/>
  <c r="BG129" i="1"/>
  <c r="BG55" i="1" s="1"/>
  <c r="BG92" i="1"/>
  <c r="BG54" i="1"/>
  <c r="BH207" i="1"/>
  <c r="BH205" i="1" s="1"/>
  <c r="AW69" i="1"/>
  <c r="BI89" i="1"/>
  <c r="BI103" i="1"/>
  <c r="BI107" i="1"/>
  <c r="ID19" i="4"/>
  <c r="AX78" i="1" s="1"/>
  <c r="HR9" i="4"/>
  <c r="HR21" i="4" s="1"/>
  <c r="AL77" i="1" s="1"/>
  <c r="BR69" i="1"/>
  <c r="BR86" i="1" s="1"/>
  <c r="AZ69" i="1"/>
  <c r="AW54" i="1"/>
  <c r="AX207" i="1"/>
  <c r="AX205" i="1" s="1"/>
  <c r="AW92" i="1"/>
  <c r="AW207" i="1"/>
  <c r="AW205" i="1" s="1"/>
  <c r="AW129" i="1"/>
  <c r="AW55" i="1" s="1"/>
  <c r="BA54" i="1"/>
  <c r="BA129" i="1"/>
  <c r="BA55" i="1" s="1"/>
  <c r="BA92" i="1"/>
  <c r="BB207" i="1"/>
  <c r="BB205" i="1" s="1"/>
  <c r="BA207" i="1"/>
  <c r="BA205" i="1" s="1"/>
  <c r="BO54" i="1"/>
  <c r="BO92" i="1"/>
  <c r="BP207" i="1"/>
  <c r="BP205" i="1" s="1"/>
  <c r="BO129" i="1"/>
  <c r="BO55" i="1" s="1"/>
  <c r="BO207" i="1"/>
  <c r="BO205" i="1" s="1"/>
  <c r="BE54" i="1"/>
  <c r="BE207" i="1"/>
  <c r="BE205" i="1" s="1"/>
  <c r="BE129" i="1"/>
  <c r="BE55" i="1" s="1"/>
  <c r="BE92" i="1"/>
  <c r="BF207" i="1"/>
  <c r="BF205" i="1" s="1"/>
  <c r="BD69" i="1"/>
  <c r="BB69" i="1"/>
  <c r="BC69" i="1"/>
  <c r="BQ69" i="1"/>
  <c r="BO69" i="1"/>
  <c r="BS70" i="1" s="1"/>
  <c r="BP69" i="1"/>
  <c r="BF69" i="1"/>
  <c r="BG69" i="1"/>
  <c r="BH69" i="1"/>
  <c r="BE69" i="1"/>
  <c r="BX69" i="1"/>
  <c r="BX70" i="1" s="1"/>
  <c r="BY69" i="1"/>
  <c r="BW69" i="1"/>
  <c r="BW86" i="1" s="1"/>
  <c r="BV69" i="1"/>
  <c r="BL85" i="1"/>
  <c r="BL86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V89" i="1"/>
  <c r="BI95" i="1"/>
  <c r="BI96" i="1"/>
  <c r="BI94" i="1"/>
  <c r="BQ89" i="1"/>
  <c r="BU87" i="1"/>
  <c r="BU86" i="1"/>
  <c r="BC95" i="1"/>
  <c r="BC94" i="1"/>
  <c r="BC96" i="1"/>
  <c r="AQ86" i="1"/>
  <c r="AQ85" i="1"/>
  <c r="CD70" i="1"/>
  <c r="BZ87" i="1"/>
  <c r="AN87" i="1"/>
  <c r="AR70" i="1"/>
  <c r="AN86" i="1"/>
  <c r="AN85" i="1"/>
  <c r="AP89" i="1"/>
  <c r="AU70" i="1"/>
  <c r="AQ70" i="1"/>
  <c r="AQ87" i="1"/>
  <c r="AT86" i="1"/>
  <c r="AM89" i="1"/>
  <c r="AO87" i="1"/>
  <c r="AO85" i="1"/>
  <c r="AS70" i="1"/>
  <c r="AO86" i="1"/>
  <c r="AS86" i="1"/>
  <c r="AO89" i="1"/>
  <c r="AS87" i="1"/>
  <c r="AS85" i="1"/>
  <c r="AT87" i="1"/>
  <c r="AT85" i="1"/>
  <c r="BZ86" i="1"/>
  <c r="CC90" i="1" s="1"/>
  <c r="BZ85" i="1"/>
  <c r="AT70" i="1"/>
  <c r="AP87" i="1"/>
  <c r="AP70" i="1"/>
  <c r="AL89" i="1"/>
  <c r="AP86" i="1"/>
  <c r="AP85" i="1"/>
  <c r="BJ89" i="1"/>
  <c r="BN87" i="1"/>
  <c r="BN85" i="1"/>
  <c r="BN86" i="1"/>
  <c r="AN89" i="1"/>
  <c r="AR87" i="1"/>
  <c r="AR86" i="1"/>
  <c r="AR85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AW70" i="1" l="1"/>
  <c r="AY85" i="1"/>
  <c r="BN70" i="1"/>
  <c r="AW89" i="1"/>
  <c r="BA87" i="1"/>
  <c r="AX70" i="1"/>
  <c r="BJ86" i="1"/>
  <c r="BJ85" i="1"/>
  <c r="AW85" i="1"/>
  <c r="AW86" i="1"/>
  <c r="AS89" i="1"/>
  <c r="BA70" i="1"/>
  <c r="AW87" i="1"/>
  <c r="AV89" i="1"/>
  <c r="AZ87" i="1"/>
  <c r="AZ86" i="1"/>
  <c r="AZ85" i="1"/>
  <c r="AY87" i="1"/>
  <c r="AU89" i="1"/>
  <c r="AY70" i="1"/>
  <c r="BJ87" i="1"/>
  <c r="BM70" i="1"/>
  <c r="BI87" i="1"/>
  <c r="BI85" i="1"/>
  <c r="BI86" i="1"/>
  <c r="BE89" i="1"/>
  <c r="AV86" i="1"/>
  <c r="AV85" i="1"/>
  <c r="AZ70" i="1"/>
  <c r="AV87" i="1"/>
  <c r="AR89" i="1"/>
  <c r="BA85" i="1"/>
  <c r="BA86" i="1"/>
  <c r="AV70" i="1"/>
  <c r="AX85" i="1"/>
  <c r="AT89" i="1"/>
  <c r="AX87" i="1"/>
  <c r="BG94" i="1"/>
  <c r="BG96" i="1"/>
  <c r="BG95" i="1"/>
  <c r="BN89" i="1"/>
  <c r="BR85" i="1"/>
  <c r="BR87" i="1"/>
  <c r="BR70" i="1"/>
  <c r="BV70" i="1"/>
  <c r="AX86" i="1"/>
  <c r="BT70" i="1"/>
  <c r="BZ70" i="1"/>
  <c r="BY70" i="1"/>
  <c r="BE70" i="1"/>
  <c r="BQ86" i="1"/>
  <c r="BM89" i="1"/>
  <c r="BU70" i="1"/>
  <c r="BX86" i="1"/>
  <c r="BT89" i="1"/>
  <c r="BX87" i="1"/>
  <c r="CB70" i="1"/>
  <c r="BX85" i="1"/>
  <c r="BO85" i="1"/>
  <c r="BK89" i="1"/>
  <c r="BO86" i="1"/>
  <c r="BO70" i="1"/>
  <c r="BO87" i="1"/>
  <c r="CA70" i="1"/>
  <c r="BS89" i="1"/>
  <c r="BW87" i="1"/>
  <c r="BE87" i="1"/>
  <c r="BI70" i="1"/>
  <c r="BE85" i="1"/>
  <c r="BJ70" i="1"/>
  <c r="BQ85" i="1"/>
  <c r="BQ70" i="1"/>
  <c r="BQ87" i="1"/>
  <c r="AX95" i="1"/>
  <c r="AX103" i="1"/>
  <c r="AX107" i="1"/>
  <c r="AX110" i="1" s="1"/>
  <c r="AX113" i="1" s="1"/>
  <c r="AL85" i="1"/>
  <c r="AL102" i="1"/>
  <c r="AL94" i="1"/>
  <c r="BB89" i="1"/>
  <c r="BF85" i="1"/>
  <c r="BF87" i="1"/>
  <c r="BF86" i="1"/>
  <c r="AW95" i="1"/>
  <c r="AW96" i="1"/>
  <c r="AW94" i="1"/>
  <c r="BA94" i="1"/>
  <c r="BA96" i="1"/>
  <c r="BA95" i="1"/>
  <c r="BO96" i="1"/>
  <c r="BO95" i="1"/>
  <c r="BO94" i="1"/>
  <c r="BE95" i="1"/>
  <c r="BE96" i="1"/>
  <c r="BE94" i="1"/>
  <c r="BD70" i="1"/>
  <c r="AZ89" i="1"/>
  <c r="BD85" i="1"/>
  <c r="BH70" i="1"/>
  <c r="BD87" i="1"/>
  <c r="BD86" i="1"/>
  <c r="BG90" i="1" s="1"/>
  <c r="BB86" i="1"/>
  <c r="BE90" i="1" s="1"/>
  <c r="BB85" i="1"/>
  <c r="BB70" i="1"/>
  <c r="AX89" i="1"/>
  <c r="BF70" i="1"/>
  <c r="BB87" i="1"/>
  <c r="BC70" i="1"/>
  <c r="BC87" i="1"/>
  <c r="AY89" i="1"/>
  <c r="BG70" i="1"/>
  <c r="BC86" i="1"/>
  <c r="BC85" i="1"/>
  <c r="BP70" i="1"/>
  <c r="BL89" i="1"/>
  <c r="BP86" i="1"/>
  <c r="BP87" i="1"/>
  <c r="BP85" i="1"/>
  <c r="BC89" i="1"/>
  <c r="BG86" i="1"/>
  <c r="BJ90" i="1" s="1"/>
  <c r="BG87" i="1"/>
  <c r="BK70" i="1"/>
  <c r="BG85" i="1"/>
  <c r="BH87" i="1"/>
  <c r="BH85" i="1"/>
  <c r="BD89" i="1"/>
  <c r="BL70" i="1"/>
  <c r="BH86" i="1"/>
  <c r="BE86" i="1"/>
  <c r="BA89" i="1"/>
  <c r="BU89" i="1"/>
  <c r="BY86" i="1"/>
  <c r="CB90" i="1" s="1"/>
  <c r="BY85" i="1"/>
  <c r="BV85" i="1"/>
  <c r="BV86" i="1"/>
  <c r="BV87" i="1"/>
  <c r="BR89" i="1"/>
  <c r="CC70" i="1"/>
  <c r="BY87" i="1"/>
  <c r="BW85" i="1"/>
  <c r="BW70" i="1"/>
  <c r="BN90" i="1"/>
  <c r="BB90" i="1"/>
  <c r="AW90" i="1"/>
  <c r="AR90" i="1"/>
  <c r="AV90" i="1"/>
  <c r="AS90" i="1"/>
  <c r="AU90" i="1"/>
  <c r="AT90" i="1"/>
  <c r="AQ90" i="1"/>
  <c r="AP90" i="1"/>
  <c r="AO90" i="1"/>
  <c r="BP90" i="1"/>
  <c r="BO90" i="1"/>
  <c r="AX90" i="1"/>
  <c r="CA90" i="1"/>
  <c r="BR90" i="1"/>
  <c r="BZ90" i="1"/>
  <c r="BD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M90" i="1" l="1"/>
  <c r="AZ90" i="1"/>
  <c r="BL90" i="1"/>
  <c r="BC90" i="1"/>
  <c r="BA90" i="1"/>
  <c r="AY90" i="1"/>
  <c r="BT90" i="1"/>
  <c r="BH90" i="1"/>
  <c r="BI90" i="1"/>
  <c r="BY90" i="1"/>
  <c r="BF90" i="1"/>
  <c r="BS90" i="1"/>
  <c r="BK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26" i="1"/>
  <c r="CU23" i="1" s="1"/>
  <c r="CU144" i="1"/>
  <c r="CU148" i="1" s="1"/>
  <c r="CU16" i="1"/>
  <c r="CU152" i="1"/>
  <c r="CU156" i="1" s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U15" i="1" l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57" i="1"/>
  <c r="CU19" i="1"/>
  <c r="AD8" i="1"/>
  <c r="AD253" i="1" s="1"/>
  <c r="CU34" i="1" l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66" i="1"/>
  <c r="AA69" i="1"/>
  <c r="AA70" i="1"/>
  <c r="AA86" i="1"/>
  <c r="AA99" i="1"/>
  <c r="AA102" i="1"/>
  <c r="AA10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AC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H65" i="1"/>
  <c r="H66" i="1"/>
  <c r="H69" i="1"/>
  <c r="H87" i="1"/>
  <c r="R65" i="1"/>
  <c r="R107" i="1"/>
  <c r="R110" i="1"/>
  <c r="AD63" i="1"/>
  <c r="AD65" i="1"/>
  <c r="AD66" i="1"/>
  <c r="AD69" i="1"/>
  <c r="AD85" i="1"/>
  <c r="AD92" i="1"/>
  <c r="AD95" i="1"/>
  <c r="AE63" i="1"/>
  <c r="AE65" i="1"/>
  <c r="AE66" i="1"/>
  <c r="AE69" i="1"/>
  <c r="AD89" i="1"/>
  <c r="AE99" i="1"/>
  <c r="AE104" i="1"/>
  <c r="Z65" i="1"/>
  <c r="Z108" i="1"/>
  <c r="U65" i="1"/>
  <c r="U108" i="1"/>
  <c r="M65" i="1"/>
  <c r="M107" i="1"/>
  <c r="M110" i="1"/>
  <c r="W65" i="1"/>
  <c r="W108" i="1"/>
  <c r="W111" i="1"/>
  <c r="AC65" i="1"/>
  <c r="AC99" i="1"/>
  <c r="AC103" i="1"/>
  <c r="AC104" i="1"/>
  <c r="AC92" i="1"/>
  <c r="AC96" i="1"/>
  <c r="H99" i="1"/>
  <c r="V65" i="1"/>
  <c r="V99" i="1"/>
  <c r="I65" i="1"/>
  <c r="I99" i="1"/>
  <c r="G63" i="1"/>
  <c r="F63" i="1"/>
  <c r="F65" i="1"/>
  <c r="F99" i="1"/>
  <c r="N65" i="1"/>
  <c r="N66" i="1"/>
  <c r="N69" i="1"/>
  <c r="E63" i="1"/>
  <c r="E65" i="1"/>
  <c r="E99" i="1"/>
  <c r="G65" i="1"/>
  <c r="G66" i="1"/>
  <c r="G69" i="1"/>
  <c r="R66" i="1"/>
  <c r="T65" i="1"/>
  <c r="T99" i="1"/>
  <c r="G99" i="1"/>
  <c r="R68" i="1"/>
  <c r="I92" i="1"/>
  <c r="K65" i="1"/>
  <c r="H92" i="1"/>
  <c r="G102" i="1"/>
  <c r="R99" i="1"/>
  <c r="Z99" i="1"/>
  <c r="H96" i="1"/>
  <c r="AC66" i="1"/>
  <c r="N68" i="1"/>
  <c r="AD86" i="1"/>
  <c r="K108" i="1"/>
  <c r="AE85" i="1"/>
  <c r="I103" i="1"/>
  <c r="H95" i="1"/>
  <c r="M113" i="1"/>
  <c r="AC69" i="1"/>
  <c r="Q65" i="1"/>
  <c r="Q99" i="1"/>
  <c r="Q103" i="1"/>
  <c r="AB89" i="1"/>
  <c r="G104" i="1"/>
  <c r="F66" i="1"/>
  <c r="F69" i="1"/>
  <c r="K66" i="1"/>
  <c r="W66" i="1"/>
  <c r="M99" i="1"/>
  <c r="AE103" i="1"/>
  <c r="M108" i="1"/>
  <c r="T108" i="1"/>
  <c r="T102" i="1"/>
  <c r="E102" i="1"/>
  <c r="Y65" i="1"/>
  <c r="Y66" i="1"/>
  <c r="Y69" i="1"/>
  <c r="Y87" i="1"/>
  <c r="Y70" i="1"/>
  <c r="U99" i="1"/>
  <c r="E92" i="1"/>
  <c r="M89" i="1"/>
  <c r="H108" i="1"/>
  <c r="G108" i="1"/>
  <c r="G111" i="1"/>
  <c r="G114" i="1"/>
  <c r="AC95" i="1"/>
  <c r="S65" i="1"/>
  <c r="S99" i="1"/>
  <c r="S102" i="1"/>
  <c r="N108" i="1"/>
  <c r="N107" i="1"/>
  <c r="H85" i="1"/>
  <c r="V103" i="1"/>
  <c r="T92" i="1"/>
  <c r="Z89" i="1"/>
  <c r="J65" i="1"/>
  <c r="J107" i="1"/>
  <c r="J110" i="1"/>
  <c r="J113" i="1"/>
  <c r="AC94" i="1"/>
  <c r="F104" i="1"/>
  <c r="AD87" i="1"/>
  <c r="AD108" i="1"/>
  <c r="AD111" i="1"/>
  <c r="AD114" i="1"/>
  <c r="AE86" i="1"/>
  <c r="Z66" i="1"/>
  <c r="L65" i="1"/>
  <c r="L92" i="1"/>
  <c r="L94" i="1"/>
  <c r="L96" i="1"/>
  <c r="AE87" i="1"/>
  <c r="I107" i="1"/>
  <c r="R113" i="1"/>
  <c r="S108" i="1"/>
  <c r="S111" i="1"/>
  <c r="R92" i="1"/>
  <c r="R96" i="1"/>
  <c r="S103" i="1"/>
  <c r="G87" i="1"/>
  <c r="M92" i="1"/>
  <c r="I108" i="1"/>
  <c r="AC102" i="1"/>
  <c r="O65" i="1"/>
  <c r="O107" i="1"/>
  <c r="O110" i="1"/>
  <c r="T107" i="1"/>
  <c r="AB65" i="1"/>
  <c r="AB66" i="1"/>
  <c r="AB69" i="1"/>
  <c r="AB85" i="1"/>
  <c r="Y108" i="1"/>
  <c r="Y111" i="1"/>
  <c r="Y114" i="1"/>
  <c r="O92" i="1"/>
  <c r="O95" i="1"/>
  <c r="M96" i="1"/>
  <c r="AE68" i="1"/>
  <c r="H70" i="1"/>
  <c r="G107" i="1"/>
  <c r="Z111" i="1"/>
  <c r="H103" i="1"/>
  <c r="V108" i="1"/>
  <c r="E104" i="1"/>
  <c r="H104" i="1"/>
  <c r="I102" i="1"/>
  <c r="AA107" i="1"/>
  <c r="G86" i="1"/>
  <c r="F102" i="1"/>
  <c r="R108" i="1"/>
  <c r="J99" i="1"/>
  <c r="N99" i="1"/>
  <c r="U66" i="1"/>
  <c r="U69" i="1"/>
  <c r="V66" i="1"/>
  <c r="E66" i="1"/>
  <c r="T66" i="1"/>
  <c r="T69" i="1"/>
  <c r="M66" i="1"/>
  <c r="M69" i="1"/>
  <c r="O99" i="1"/>
  <c r="W99" i="1"/>
  <c r="P65" i="1"/>
  <c r="P66" i="1"/>
  <c r="P69" i="1"/>
  <c r="J66" i="1"/>
  <c r="I66" i="1"/>
  <c r="R104" i="1"/>
  <c r="K92" i="1"/>
  <c r="J69" i="1"/>
  <c r="J70" i="1"/>
  <c r="L66" i="1"/>
  <c r="L69" i="1"/>
  <c r="AB92" i="1"/>
  <c r="L68" i="1"/>
  <c r="K111" i="1"/>
  <c r="Z92" i="1"/>
  <c r="T110" i="1"/>
  <c r="AC107" i="1"/>
  <c r="M87" i="1"/>
  <c r="T95" i="1"/>
  <c r="AA110" i="1"/>
  <c r="L85" i="1"/>
  <c r="U103" i="1"/>
  <c r="V102" i="1"/>
  <c r="Y107" i="1"/>
  <c r="Y110" i="1"/>
  <c r="I94" i="1"/>
  <c r="W102" i="1"/>
  <c r="Z102" i="1"/>
  <c r="M68" i="1"/>
  <c r="K89" i="1"/>
  <c r="AB108" i="1"/>
  <c r="AB111" i="1"/>
  <c r="AB114" i="1"/>
  <c r="Q104" i="1"/>
  <c r="E96" i="1"/>
  <c r="L99" i="1"/>
  <c r="K99" i="1"/>
  <c r="K102" i="1"/>
  <c r="S104" i="1"/>
  <c r="S66" i="1"/>
  <c r="Z103" i="1"/>
  <c r="AC68" i="1"/>
  <c r="Q107" i="1"/>
  <c r="Q110" i="1"/>
  <c r="Q113" i="1"/>
  <c r="AB95" i="1"/>
  <c r="O66" i="1"/>
  <c r="O94" i="1"/>
  <c r="M85" i="1"/>
  <c r="N87" i="1"/>
  <c r="T87" i="1"/>
  <c r="T89" i="1"/>
  <c r="H68" i="1"/>
  <c r="O69" i="1"/>
  <c r="E107" i="1"/>
  <c r="K107" i="1"/>
  <c r="H111" i="1"/>
  <c r="AE108" i="1"/>
  <c r="H94" i="1"/>
  <c r="J103" i="1"/>
  <c r="N92" i="1"/>
  <c r="U107" i="1"/>
  <c r="S114" i="1"/>
  <c r="V69" i="1"/>
  <c r="Y86" i="1"/>
  <c r="P70" i="1"/>
  <c r="AC64" i="1"/>
  <c r="AA89" i="1"/>
  <c r="U87" i="1"/>
  <c r="K68" i="1"/>
  <c r="T68" i="1"/>
  <c r="V68" i="1"/>
  <c r="F108" i="1"/>
  <c r="H86" i="1"/>
  <c r="G70" i="1"/>
  <c r="F87" i="1"/>
  <c r="J108" i="1"/>
  <c r="J111" i="1"/>
  <c r="J114" i="1"/>
  <c r="V107" i="1"/>
  <c r="M103" i="1"/>
  <c r="Z107" i="1"/>
  <c r="I96" i="1"/>
  <c r="H107" i="1"/>
  <c r="F85" i="1"/>
  <c r="I69" i="1"/>
  <c r="AA92" i="1"/>
  <c r="X65" i="1"/>
  <c r="X108" i="1"/>
  <c r="X111" i="1"/>
  <c r="U111" i="1"/>
  <c r="G92" i="1"/>
  <c r="W68" i="1"/>
  <c r="AB99" i="1"/>
  <c r="AB104" i="1"/>
  <c r="R102" i="1"/>
  <c r="G68" i="1"/>
  <c r="U68" i="1"/>
  <c r="N86" i="1"/>
  <c r="L70" i="1"/>
  <c r="F70" i="1"/>
  <c r="T70" i="1"/>
  <c r="J86" i="1"/>
  <c r="T103" i="1"/>
  <c r="W104" i="1"/>
  <c r="N111" i="1"/>
  <c r="M111" i="1"/>
  <c r="N110" i="1"/>
  <c r="E108" i="1"/>
  <c r="AE102" i="1"/>
  <c r="AB107" i="1"/>
  <c r="AB110" i="1"/>
  <c r="AB113" i="1"/>
  <c r="N64" i="1"/>
  <c r="M64" i="1"/>
  <c r="L64" i="1"/>
  <c r="K64" i="1"/>
  <c r="V111" i="1"/>
  <c r="O104" i="1"/>
  <c r="AD94" i="1"/>
  <c r="Y68" i="1"/>
  <c r="AB86" i="1"/>
  <c r="F89" i="1"/>
  <c r="AB102" i="1"/>
  <c r="E103" i="1"/>
  <c r="AD99" i="1"/>
  <c r="F103" i="1"/>
  <c r="N85" i="1"/>
  <c r="AA108" i="1"/>
  <c r="X66" i="1"/>
  <c r="X68" i="1"/>
  <c r="X107" i="1"/>
  <c r="X110" i="1"/>
  <c r="X113" i="1"/>
  <c r="AC108" i="1"/>
  <c r="AC111" i="1"/>
  <c r="AC114" i="1"/>
  <c r="AD68" i="1"/>
  <c r="AC89" i="1"/>
  <c r="AD107" i="1"/>
  <c r="AE92" i="1"/>
  <c r="Y92" i="1"/>
  <c r="Y94" i="1"/>
  <c r="P107" i="1"/>
  <c r="P110" i="1"/>
  <c r="I104" i="1"/>
  <c r="F92" i="1"/>
  <c r="F107" i="1"/>
  <c r="T111" i="1"/>
  <c r="P92" i="1"/>
  <c r="P96" i="1"/>
  <c r="J92" i="1"/>
  <c r="S107" i="1"/>
  <c r="S110" i="1"/>
  <c r="S113" i="1"/>
  <c r="P95" i="1"/>
  <c r="Q108" i="1"/>
  <c r="Q111" i="1"/>
  <c r="Q114" i="1"/>
  <c r="F95" i="1"/>
  <c r="F94" i="1"/>
  <c r="R95" i="1"/>
  <c r="W107" i="1"/>
  <c r="AD96" i="1"/>
  <c r="E89" i="1"/>
  <c r="K114" i="1"/>
  <c r="I111" i="1"/>
  <c r="U86" i="1"/>
  <c r="Z114" i="1"/>
  <c r="AE94" i="1"/>
  <c r="Z68" i="1"/>
  <c r="N70" i="1"/>
  <c r="I85" i="1"/>
  <c r="V114" i="1"/>
  <c r="V110" i="1"/>
  <c r="J68" i="1"/>
  <c r="O108" i="1"/>
  <c r="S92" i="1"/>
  <c r="G89" i="1"/>
  <c r="F86" i="1"/>
  <c r="T104" i="1"/>
  <c r="L108" i="1"/>
  <c r="K96" i="1"/>
  <c r="E69" i="1"/>
  <c r="M102" i="1"/>
  <c r="T96" i="1"/>
  <c r="Y85" i="1"/>
  <c r="N94" i="1"/>
  <c r="I68" i="1"/>
  <c r="G110" i="1"/>
  <c r="L89" i="1"/>
  <c r="U114" i="1"/>
  <c r="J64" i="1"/>
  <c r="P108" i="1"/>
  <c r="AC87" i="1"/>
  <c r="Y113" i="1"/>
  <c r="Z110" i="1"/>
  <c r="AC86" i="1"/>
  <c r="F111" i="1"/>
  <c r="F114" i="1"/>
  <c r="AD110" i="1"/>
  <c r="AD113" i="1"/>
  <c r="AC85" i="1"/>
  <c r="R69" i="1"/>
  <c r="P99" i="1"/>
  <c r="L103" i="1"/>
  <c r="E85" i="1"/>
  <c r="P103" i="1"/>
  <c r="AA68" i="1"/>
  <c r="K103" i="1"/>
  <c r="AB70" i="1"/>
  <c r="G103" i="1"/>
  <c r="X69" i="1"/>
  <c r="X86" i="1"/>
  <c r="AD70" i="1"/>
  <c r="Y95" i="1"/>
  <c r="AE70" i="1"/>
  <c r="H110" i="1"/>
  <c r="W69" i="1"/>
  <c r="W114" i="1"/>
  <c r="E68" i="1"/>
  <c r="L87" i="1"/>
  <c r="G85" i="1"/>
  <c r="L107" i="1"/>
  <c r="L110" i="1"/>
  <c r="K110" i="1"/>
  <c r="E95" i="1"/>
  <c r="E111" i="1"/>
  <c r="E114" i="1"/>
  <c r="AA94" i="1"/>
  <c r="H114" i="1"/>
  <c r="AA103" i="1"/>
  <c r="N89" i="1"/>
  <c r="AE107" i="1"/>
  <c r="P94" i="1"/>
  <c r="N102" i="1"/>
  <c r="V92" i="1"/>
  <c r="S69" i="1"/>
  <c r="U92" i="1"/>
  <c r="U110" i="1"/>
  <c r="U113" i="1"/>
  <c r="AB68" i="1"/>
  <c r="V95" i="1"/>
  <c r="H102" i="1"/>
  <c r="T86" i="1"/>
  <c r="L86" i="1"/>
  <c r="Q102" i="1"/>
  <c r="T113" i="1"/>
  <c r="AE110" i="1"/>
  <c r="F68" i="1"/>
  <c r="K94" i="1"/>
  <c r="M94" i="1"/>
  <c r="J94" i="1"/>
  <c r="P68" i="1"/>
  <c r="T94" i="1"/>
  <c r="R111" i="1"/>
  <c r="R114" i="1"/>
  <c r="AA111" i="1"/>
  <c r="AA114" i="1"/>
  <c r="AB94" i="1"/>
  <c r="AE96" i="1"/>
  <c r="M95" i="1"/>
  <c r="I87" i="1"/>
  <c r="X85" i="1"/>
  <c r="O89" i="1"/>
  <c r="X87" i="1"/>
  <c r="J104" i="1"/>
  <c r="W103" i="1"/>
  <c r="O87" i="1"/>
  <c r="E110" i="1"/>
  <c r="E113" i="1"/>
  <c r="N104" i="1"/>
  <c r="U70" i="1"/>
  <c r="R94" i="1"/>
  <c r="N113" i="1"/>
  <c r="O103" i="1"/>
  <c r="AA95" i="1"/>
  <c r="S70" i="1"/>
  <c r="X99" i="1"/>
  <c r="X104" i="1"/>
  <c r="T114" i="1"/>
  <c r="X103" i="1"/>
  <c r="AD102" i="1"/>
  <c r="Z96" i="1"/>
  <c r="V113" i="1"/>
  <c r="O111" i="1"/>
  <c r="O114" i="1"/>
  <c r="S96" i="1"/>
  <c r="H113" i="1"/>
  <c r="AB103" i="1"/>
  <c r="I86" i="1"/>
  <c r="F110" i="1"/>
  <c r="F113" i="1"/>
  <c r="N114" i="1"/>
  <c r="U95" i="1"/>
  <c r="E70" i="1"/>
  <c r="J95" i="1"/>
  <c r="AC110" i="1"/>
  <c r="AC113" i="1"/>
  <c r="S68" i="1"/>
  <c r="W89" i="1"/>
  <c r="X70" i="1"/>
  <c r="W70" i="1"/>
  <c r="L113" i="1"/>
  <c r="AE113" i="1"/>
  <c r="K113" i="1"/>
  <c r="W85" i="1"/>
  <c r="V94" i="1"/>
  <c r="W87" i="1"/>
  <c r="V96" i="1"/>
  <c r="V89" i="1"/>
  <c r="S86" i="1"/>
  <c r="K69" i="1"/>
  <c r="P87" i="1"/>
  <c r="K87" i="1"/>
  <c r="K86" i="1"/>
  <c r="K70" i="1"/>
  <c r="K85" i="1"/>
  <c r="J89" i="1"/>
  <c r="Q66" i="1"/>
  <c r="Q68" i="1"/>
  <c r="U96" i="1"/>
  <c r="W86" i="1"/>
  <c r="U94" i="1"/>
  <c r="R89" i="1"/>
  <c r="S85" i="1"/>
  <c r="S87" i="1"/>
  <c r="G96" i="1"/>
  <c r="O113" i="1"/>
  <c r="Y99" i="1"/>
  <c r="X92" i="1"/>
  <c r="AB96" i="1"/>
  <c r="P86" i="1"/>
  <c r="U85" i="1"/>
  <c r="U102" i="1"/>
  <c r="AA85" i="1"/>
  <c r="Z104" i="1"/>
  <c r="AA87" i="1"/>
  <c r="K95" i="1"/>
  <c r="J96" i="1"/>
  <c r="I114" i="1"/>
  <c r="Z69" i="1"/>
  <c r="J85" i="1"/>
  <c r="M104" i="1"/>
  <c r="R103" i="1"/>
  <c r="Q69" i="1"/>
  <c r="G94" i="1"/>
  <c r="X89" i="1"/>
  <c r="AD104" i="1"/>
  <c r="I110" i="1"/>
  <c r="F96" i="1"/>
  <c r="I64" i="1"/>
  <c r="H64" i="1"/>
  <c r="G64" i="1"/>
  <c r="F64" i="1"/>
  <c r="AE111" i="1"/>
  <c r="AD64" i="1"/>
  <c r="W110" i="1"/>
  <c r="W113" i="1"/>
  <c r="Z86" i="1"/>
  <c r="V70" i="1"/>
  <c r="V85" i="1"/>
  <c r="AC70" i="1"/>
  <c r="L111" i="1"/>
  <c r="L114" i="1"/>
  <c r="O85" i="1"/>
  <c r="Z85" i="1"/>
  <c r="L102" i="1"/>
  <c r="R70" i="1"/>
  <c r="P104" i="1"/>
  <c r="L104" i="1"/>
  <c r="E87" i="1"/>
  <c r="V104" i="1"/>
  <c r="W92" i="1"/>
  <c r="K104" i="1"/>
  <c r="Q92" i="1"/>
  <c r="W96" i="1"/>
  <c r="I95" i="1"/>
  <c r="AB87" i="1"/>
  <c r="Z95" i="1"/>
  <c r="X102" i="1"/>
  <c r="L95" i="1"/>
  <c r="J102" i="1"/>
  <c r="S89" i="1"/>
  <c r="AD103" i="1"/>
  <c r="T85" i="1"/>
  <c r="X114" i="1"/>
  <c r="Z94" i="1"/>
  <c r="AA113" i="1"/>
  <c r="S95" i="1"/>
  <c r="M70" i="1"/>
  <c r="O86" i="1"/>
  <c r="J87" i="1"/>
  <c r="E94" i="1"/>
  <c r="O102" i="1"/>
  <c r="G95" i="1"/>
  <c r="H89" i="1"/>
  <c r="P89" i="1"/>
  <c r="P85" i="1"/>
  <c r="G113" i="1"/>
  <c r="N103" i="1"/>
  <c r="I113" i="1"/>
  <c r="I89" i="1"/>
  <c r="AE114" i="1"/>
  <c r="P111" i="1"/>
  <c r="P114" i="1"/>
  <c r="Z113" i="1"/>
  <c r="V87" i="1"/>
  <c r="R86" i="1"/>
  <c r="E86" i="1"/>
  <c r="N96" i="1"/>
  <c r="Q89" i="1"/>
  <c r="N95" i="1"/>
  <c r="Y104" i="1"/>
  <c r="M86" i="1"/>
  <c r="Q94" i="1"/>
  <c r="W95" i="1"/>
  <c r="Q96" i="1"/>
  <c r="O96" i="1"/>
  <c r="I70" i="1"/>
  <c r="AA96" i="1"/>
  <c r="U104" i="1"/>
  <c r="P113" i="1"/>
  <c r="Y103" i="1"/>
  <c r="O70" i="1"/>
  <c r="M114" i="1"/>
  <c r="V86" i="1"/>
  <c r="Y89" i="1"/>
  <c r="U89" i="1"/>
  <c r="R85" i="1"/>
  <c r="P102" i="1"/>
  <c r="R87" i="1"/>
  <c r="D89" i="1"/>
  <c r="Y96" i="1"/>
  <c r="W94" i="1"/>
  <c r="O68" i="1"/>
  <c r="AE95" i="1"/>
  <c r="S94" i="1"/>
  <c r="Y102" i="1"/>
  <c r="Z70" i="1"/>
  <c r="Z87" i="1"/>
  <c r="E64" i="1"/>
  <c r="AE64" i="1"/>
  <c r="Q95" i="1"/>
  <c r="Q87" i="1"/>
  <c r="X95" i="1"/>
  <c r="Q85" i="1"/>
  <c r="X96" i="1"/>
  <c r="X94" i="1"/>
  <c r="Q86" i="1"/>
  <c r="Q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<sst xmlns="http://schemas.openxmlformats.org/spreadsheetml/2006/main" count="662" uniqueCount="523">
  <si>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</si>
  <si>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</si>
  <si>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</si>
  <si>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</si>
  <si>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</si>
  <si>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</si>
  <si>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</si>
  <si>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</si>
  <si>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</si>
  <si>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</si>
  <si>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</si>
  <si>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</si>
  <si>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</si>
  <si>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</si>
  <si>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</si>
  <si>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</si>
  <si>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</si>
  <si>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</si>
  <si>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</si>
  <si>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</si>
  <si>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</si>
  <si>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</si>
  <si>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</si>
  <si>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</si>
  <si>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</si>
  <si>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</si>
  <si>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</si>
  <si>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</si>
  <si>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</si>
  <si>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</si>
  <si>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</si>
  <si>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</si>
  <si>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</si>
  <si>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</si>
  <si>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</si>
  <si>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</si>
  <si>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</si>
  <si>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</si>
  <si>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</si>
  <si>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</si>
  <si>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</si>
  <si>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</si>
  <si>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</si>
  <si>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</si>
  <si>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</si>
  <si>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</si>
  <si>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</si>
  <si>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</si>
  <si>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</si>
  <si>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</si>
  <si>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</si>
  <si>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</si>
  <si>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</si>
  <si>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</si>
  <si>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</si>
  <si>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</si>
  <si>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</si>
  <si>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</si>
  <si>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</si>
  <si>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</si>
  <si>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</si>
  <si>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</si>
  <si>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</si>
  <si>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</si>
  <si>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</si>
  <si>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</si>
  <si>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</si>
  <si>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</si>
  <si>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</si>
  <si>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</si>
  <si>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</si>
  <si>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</si>
  <si>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</si>
  <si>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</si>
  <si>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</si>
  <si>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</si>
  <si>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</si>
  <si>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</si>
  <si>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</si>
  <si>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</si>
  <si>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</si>
  <si>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</si>
  <si>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</si>
  <si>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</si>
  <si>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</si>
  <si>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</si>
  <si>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</si>
  <si>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</si>
  <si>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</si>
  <si>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</si>
  <si>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</si>
  <si>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</si>
  <si>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</si>
  <si>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</si>
  <si>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</si>
  <si>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</si>
  <si>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</si>
  <si>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</si>
  <si>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</si>
  <si>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</si>
  <si>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</si>
  <si>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</si>
  <si>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</si>
  <si>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</si>
  <si>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</si>
  <si>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</si>
  <si>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</si>
  <si>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</si>
  <si>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</si>
  <si>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</si>
  <si>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</si>
  <si>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</si>
  <si>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</si>
  <si>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</si>
  <si>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</si>
  <si>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</si>
  <si>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</si>
  <si>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</si>
  <si>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</si>
  <si>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</si>
  <si>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</si>
  <si>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</si>
  <si>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</si>
  <si>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</si>
  <si>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</si>
  <si>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</si>
  <si>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</si>
  <si>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</si>
  <si>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</si>
  <si>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</si>
  <si>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</si>
  <si>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</si>
  <si>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</si>
  <si>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</si>
  <si>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</si>
  <si>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</si>
  <si>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</si>
  <si>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</si>
  <si>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</si>
  <si>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</si>
  <si>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</si>
  <si>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</si>
  <si>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</si>
  <si>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</si>
  <si>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</si>
  <si>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</si>
  <si>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</si>
  <si>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</si>
  <si>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</si>
  <si>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</si>
  <si>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</si>
  <si>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</si>
  <si>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</si>
  <si>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</si>
  <si>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</si>
  <si>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</si>
  <si>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</si>
  <si>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</si>
  <si>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</si>
  <si>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</si>
  <si>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</si>
  <si>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</si>
  <si>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</si>
  <si>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</si>
  <si>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</si>
  <si>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</si>
  <si>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</si>
  <si>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</si>
  <si>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</si>
  <si>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</si>
  <si>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</si>
  <si>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</si>
  <si>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</si>
  <si>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</si>
  <si>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</si>
  <si>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</si>
  <si>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</si>
  <si>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</si>
  <si>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</si>
  <si>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</si>
  <si>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</si>
  <si>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</si>
  <si>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</si>
  <si>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</si>
  <si>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</si>
  <si>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</si>
  <si>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</si>
  <si>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</si>
  <si>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</si>
  <si>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</si>
  <si>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</si>
  <si>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</si>
  <si>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</si>
  <si>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</si>
  <si>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</si>
  <si>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</si>
  <si>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</si>
  <si>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</si>
  <si>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</si>
  <si>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</si>
  <si>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</si>
  <si>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</si>
  <si>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</si>
  <si>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</si>
  <si>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</si>
  <si>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</si>
  <si>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</si>
  <si>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</si>
  <si>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</si>
  <si>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</si>
  <si>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</si>
  <si>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</si>
  <si>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</si>
  <si>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</si>
  <si>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</si>
  <si>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</si>
  <si>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</si>
  <si>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</si>
  <si>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</si>
  <si>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</si>
  <si>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</si>
  <si>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</si>
  <si>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</si>
  <si>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</si>
  <si>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</si>
  <si>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</si>
  <si>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</si>
  <si>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</si>
  <si>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</si>
  <si>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</si>
  <si>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</si>
  <si>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</si>
  <si>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</si>
  <si>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</si>
  <si>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</si>
  <si>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</si>
  <si>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</si>
  <si>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</si>
  <si>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</si>
  <si>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</si>
  <si>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</si>
  <si>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</si>
  <si>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</si>
  <si>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</si>
  <si>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</si>
  <si>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</si>
  <si>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</si>
  <si>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</si>
  <si>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</si>
  <si>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</si>
  <si>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</si>
  <si>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</si>
  <si>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</si>
  <si>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</si>
  <si>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</si>
  <si>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</si>
  <si>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</si>
  <si>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</si>
  <si>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</si>
  <si>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</si>
  <si>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</si>
  <si>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</si>
  <si>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</si>
  <si>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</si>
  <si>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</si>
  <si>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</si>
  <si>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</si>
  <si>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</si>
  <si>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</si>
  <si>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</si>
  <si>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</si>
  <si>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</si>
  <si>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</si>
  <si>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</si>
  <si>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</si>
  <si>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</si>
  <si>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</si>
  <si>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</si>
  <si>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</si>
  <si>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</si>
  <si>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</si>
  <si>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</si>
  <si>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</si>
  <si>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</si>
  <si>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</si>
  <si>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</si>
  <si>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</si>
  <si>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</si>
  <si>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</si>
  <si>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</si>
  <si>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</si>
  <si>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</si>
  <si>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</si>
  <si>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</si>
  <si>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</si>
  <si>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</si>
  <si>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</si>
  <si>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</si>
  <si>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</si>
  <si>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</si>
  <si>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</si>
  <si>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</si>
  <si>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</si>
  <si>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</si>
  <si>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</si>
  <si>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</si>
  <si>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</si>
  <si>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</si>
  <si>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</si>
  <si>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</si>
  <si>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</si>
  <si>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</si>
  <si>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</si>
  <si>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</si>
  <si>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</si>
  <si>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</si>
  <si>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</si>
  <si>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</si>
  <si>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</si>
  <si>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</si>
  <si>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</si>
  <si>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</si>
  <si>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</si>
  <si>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</si>
  <si>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</si>
  <si>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</si>
  <si>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</si>
  <si>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</si>
  <si>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</si>
  <si>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</si>
  <si>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</si>
  <si>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</si>
  <si>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</si>
  <si>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</si>
  <si>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</si>
  <si>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</si>
  <si>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</si>
  <si>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</si>
  <si>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</si>
  <si>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</si>
  <si>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</si>
  <si>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</si>
  <si>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</si>
  <si>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</si>
  <si>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</si>
  <si>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</si>
  <si>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</si>
  <si>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</si>
  <si>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</si>
  <si>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</si>
  <si>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</si>
  <si>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</si>
  <si>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</si>
  <si>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</si>
  <si>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</si>
  <si>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</si>
  <si>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</si>
  <si>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</si>
  <si>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</si>
  <si>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</si>
  <si>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</si>
  <si>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</si>
  <si>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</si>
  <si>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</si>
  <si>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</si>
  <si>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</si>
  <si>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</si>
  <si>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</si>
  <si>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</si>
  <si>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</si>
  <si>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</si>
  <si>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</si>
  <si>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</si>
  <si>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</si>
  <si>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</si>
  <si>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</si>
  <si>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</si>
  <si>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</si>
  <si>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</si>
  <si>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</si>
  <si>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</si>
  <si>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</si>
  <si>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</si>
  <si>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</si>
  <si>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</si>
  <si>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</si>
  <si>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</si>
  <si>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</si>
  <si>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</si>
  <si>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</si>
  <si>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</si>
  <si>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</si>
  <si>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</si>
  <si>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</si>
  <si>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</si>
  <si>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</si>
  <si>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</si>
  <si>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</si>
  <si>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</si>
  <si>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</si>
  <si>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</si>
  <si>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</si>
  <si>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</si>
  <si>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</si>
  <si>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</si>
  <si>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</si>
  <si>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</si>
  <si>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</si>
  <si>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</si>
  <si>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</si>
  <si>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</si>
  <si>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</si>
  <si>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</si>
  <si>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</si>
  <si>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</si>
  <si>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</si>
  <si>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</si>
  <si>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</si>
  <si>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</si>
  <si>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</si>
  <si>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</si>
  <si>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</si>
  <si>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</si>
  <si>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</si>
  <si>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</si>
  <si>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</si>
  <si>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</si>
  <si>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</si>
  <si>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</si>
  <si>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</si>
  <si>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</si>
  <si>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</si>
  <si>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</si>
  <si>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</si>
  <si>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</si>
  <si>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</si>
  <si>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</si>
  <si>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</si>
  <si>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</si>
  <si>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</si>
  <si>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</si>
  <si>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</si>
  <si>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</si>
  <si>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</si>
  <si>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</si>
  <si>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</si>
  <si>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</si>
  <si>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</si>
  <si>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</si>
  <si>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</si>
  <si>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</si>
  <si>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</si>
  <si>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</si>
  <si>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</si>
  <si>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</si>
  <si>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</si>
  <si>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</si>
  <si>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</si>
  <si>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</si>
  <si>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</si>
  <si>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</si>
  <si>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</si>
  <si>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</si>
  <si>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</si>
  <si>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</si>
  <si>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</si>
  <si>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</si>
  <si>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</si>
  <si>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</si>
  <si>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</si>
  <si>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</si>
  <si>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</si>
  <si>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</si>
  <si>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</si>
  <si>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</si>
  <si>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</si>
  <si>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</si>
  <si>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</si>
  <si>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</si>
  <si>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</si>
  <si>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</si>
  <si>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</si>
  <si>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</si>
  <si>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</si>
  <si>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</si>
  <si>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</si>
  <si>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</si>
  <si>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</si>
  <si>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</si>
  <si>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</si>
  <si>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</si>
  <si>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</si>
  <si>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</si>
  <si>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</si>
  <si>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</si>
  <si>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</si>
  <si>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</si>
  <si>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</si>
  <si>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</si>
  <si>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</si>
  <si>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</si>
  <si>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</si>
  <si>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</si>
  <si>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</si>
  <si>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</si>
  <si>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</si>
  <si>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</si>
  <si>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</si>
  <si>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</si>
  <si>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</si>
  <si>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</si>
  <si>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</si>
  <si>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</si>
  <si>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</si>
  <si>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</si>
  <si>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Urban Company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</si>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</sst>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Urban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437.57499999999999</v>
      </c>
      <c r="X8" s="25">
        <f>'Annual Raw'!Y6</f>
        <v>636.59699999999998</v>
      </c>
      <c r="Y8" s="25">
        <f>'Annual Raw'!Z6</f>
        <v>828.01800000000003</v>
      </c>
      <c r="Z8" s="25">
        <f>'Annual Raw'!AA6</f>
        <v>1144.47</v>
      </c>
      <c r="AA8" s="25">
        <f>'Annual Raw'!AB6</f>
        <v>1555.54</v>
      </c>
      <c r="AB8" s="17" t="e">
        <f>+SUM(CM8:CP8)</f>
        <v>#DIV/0!</v>
      </c>
      <c r="AC8" s="17" t="e">
        <f>+SUM(CQ8:CT8)</f>
        <v>#DIV/0!</v>
      </c>
      <c r="AD8" s="17" t="e">
        <f>+SUM(CU8:CX8)</f>
        <v>#DIV/0!</v>
      </c>
      <c r="AE8" s="17" t="e">
        <f>+SUM(CY8:DB8)</f>
        <v>#DIV/0!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0</v>
      </c>
      <c r="BV8" s="25">
        <f>'QTR Raw'!AP6+'QTR Raw'!AP8</f>
        <v>0</v>
      </c>
      <c r="BW8" s="25">
        <f>'QTR Raw'!AQ6+'QTR Raw'!AQ8</f>
        <v>0</v>
      </c>
      <c r="BX8" s="25">
        <f>'QTR Raw'!AR6+'QTR Raw'!AR8</f>
        <v>0</v>
      </c>
      <c r="BY8" s="25">
        <f>'QTR Raw'!AS6+'QTR Raw'!AS8</f>
        <v>0</v>
      </c>
      <c r="BZ8" s="25">
        <f>'QTR Raw'!AT6+'QTR Raw'!AT8</f>
        <v>0</v>
      </c>
      <c r="CA8" s="25">
        <f>'QTR Raw'!AU6+'QTR Raw'!AU8</f>
        <v>0</v>
      </c>
      <c r="CB8" s="25">
        <f>'QTR Raw'!AV6+'QTR Raw'!AV8</f>
        <v>0</v>
      </c>
      <c r="CC8" s="25">
        <f>'QTR Raw'!AW6+'QTR Raw'!AW8</f>
        <v>0</v>
      </c>
      <c r="CD8" s="25">
        <f>'QTR Raw'!AX6+'QTR Raw'!AX8</f>
        <v>0</v>
      </c>
      <c r="CE8" s="25">
        <f>'QTR Raw'!AY6+'QTR Raw'!AY8</f>
        <v>0</v>
      </c>
      <c r="CF8" s="25">
        <f>'QTR Raw'!AZ6+'QTR Raw'!AZ8</f>
        <v>277.24</v>
      </c>
      <c r="CG8" s="25">
        <f>'QTR Raw'!BA6+'QTR Raw'!BA8</f>
        <v>287.92</v>
      </c>
      <c r="CH8" s="25">
        <f>'QTR Raw'!BB6+'QTR Raw'!BB8</f>
        <v>298.45</v>
      </c>
      <c r="CI8" s="25">
        <f>'QTR Raw'!BC6+'QTR Raw'!BC8</f>
        <v>0</v>
      </c>
      <c r="CJ8" s="25">
        <f>'QTR Raw'!BD6+'QTR Raw'!BD8</f>
        <v>380.03</v>
      </c>
      <c r="CK8" s="25">
        <f>'QTR Raw'!BE6+'QTR Raw'!BE8</f>
        <v>382.68</v>
      </c>
      <c r="CL8" s="25">
        <f>'QTR Raw'!BF6+'QTR Raw'!BF8</f>
        <v>425.56</v>
      </c>
      <c r="CM8" s="17" t="e">
        <f t="shared" ref="CM8:DB8" si="33">+CI10+(CM11*CI10)</f>
        <v>#DIV/0!</v>
      </c>
      <c r="CN8" s="17" t="e">
        <f t="shared" si="33"/>
        <v>#DIV/0!</v>
      </c>
      <c r="CO8" s="17" t="e">
        <f t="shared" si="33"/>
        <v>#DIV/0!</v>
      </c>
      <c r="CP8" s="17" t="e">
        <f t="shared" si="33"/>
        <v>#DIV/0!</v>
      </c>
      <c r="CQ8" s="17" t="e">
        <f t="shared" si="33"/>
        <v>#DIV/0!</v>
      </c>
      <c r="CR8" s="17" t="e">
        <f t="shared" si="33"/>
        <v>#DIV/0!</v>
      </c>
      <c r="CS8" s="17" t="e">
        <f t="shared" si="33"/>
        <v>#DIV/0!</v>
      </c>
      <c r="CT8" s="17" t="e">
        <f t="shared" si="33"/>
        <v>#DIV/0!</v>
      </c>
      <c r="CU8" s="17" t="e">
        <f t="shared" si="33"/>
        <v>#DIV/0!</v>
      </c>
      <c r="CV8" s="17" t="e">
        <f t="shared" si="33"/>
        <v>#DIV/0!</v>
      </c>
      <c r="CW8" s="17" t="e">
        <f t="shared" si="33"/>
        <v>#DIV/0!</v>
      </c>
      <c r="CX8" s="17" t="e">
        <f t="shared" si="33"/>
        <v>#DIV/0!</v>
      </c>
      <c r="CY8" s="17" t="e">
        <f t="shared" si="33"/>
        <v>#DIV/0!</v>
      </c>
      <c r="CZ8" s="17" t="e">
        <f t="shared" si="33"/>
        <v>#DIV/0!</v>
      </c>
      <c r="DA8" s="17" t="e">
        <f t="shared" si="33"/>
        <v>#DIV/0!</v>
      </c>
      <c r="DB8" s="17" t="e">
        <f t="shared" si="33"/>
        <v>#DIV/0!</v>
      </c>
      <c r="DE8" s="119"/>
      <c r="DF8" s="25">
        <v>1188.27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>+V8-V9</f>
        <v>0</v>
      </c>
      <c r="W10" s="26">
        <f>+W8-W9</f>
        <v>437.57499999999999</v>
      </c>
      <c r="X10" s="26">
        <f>+X8-X9</f>
        <v>636.59699999999998</v>
      </c>
      <c r="Y10" s="26">
        <f>+Y8-Y9</f>
        <v>828.01800000000003</v>
      </c>
      <c r="Z10" s="26">
        <f>+Z8-Z9</f>
        <v>1144.47</v>
      </c>
      <c r="AA10" s="26">
        <f>+AA8-AA9</f>
        <v>1555.54</v>
      </c>
      <c r="AB10" s="27" t="e">
        <f t="shared" ref="AB10:AD10" si="35">+AB8-AB9</f>
        <v>#DIV/0!</v>
      </c>
      <c r="AC10" s="27" t="e">
        <f t="shared" si="35"/>
        <v>#DIV/0!</v>
      </c>
      <c r="AD10" s="27" t="e">
        <f t="shared" si="35"/>
        <v>#DIV/0!</v>
      </c>
      <c r="AE10" s="27" t="e">
        <f t="shared" ref="AE10" si="36">+AE8-AE9</f>
        <v>#DIV/0!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0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0</v>
      </c>
      <c r="BH10" s="26">
        <f t="shared" si="42"/>
        <v>0</v>
      </c>
      <c r="BI10" s="26">
        <f t="shared" si="42"/>
        <v>0</v>
      </c>
      <c r="BJ10" s="26">
        <f t="shared" si="42"/>
        <v>0</v>
      </c>
      <c r="BK10" s="26">
        <f t="shared" si="42"/>
        <v>0</v>
      </c>
      <c r="BL10" s="26">
        <f t="shared" si="42"/>
        <v>0</v>
      </c>
      <c r="BM10" s="26">
        <f t="shared" si="42"/>
        <v>0</v>
      </c>
      <c r="BN10" s="26">
        <f t="shared" si="42"/>
        <v>0</v>
      </c>
      <c r="BO10" s="26">
        <f t="shared" si="42"/>
        <v>0</v>
      </c>
      <c r="BP10" s="26">
        <f t="shared" si="42"/>
        <v>0</v>
      </c>
      <c r="BQ10" s="26">
        <f t="shared" si="42"/>
        <v>0</v>
      </c>
      <c r="BR10" s="26">
        <f t="shared" si="42"/>
        <v>0</v>
      </c>
      <c r="BS10" s="26">
        <f t="shared" si="42"/>
        <v>0</v>
      </c>
      <c r="BT10" s="26">
        <f t="shared" si="42"/>
        <v>0</v>
      </c>
      <c r="BU10" s="26">
        <f t="shared" si="42"/>
        <v>0</v>
      </c>
      <c r="BV10" s="26">
        <f t="shared" si="42"/>
        <v>0</v>
      </c>
      <c r="BW10" s="26">
        <f t="shared" si="42"/>
        <v>0</v>
      </c>
      <c r="BX10" s="26">
        <f t="shared" si="42"/>
        <v>0</v>
      </c>
      <c r="BY10" s="26">
        <f t="shared" si="42"/>
        <v>0</v>
      </c>
      <c r="BZ10" s="26">
        <f t="shared" si="42"/>
        <v>0</v>
      </c>
      <c r="CA10" s="26">
        <f t="shared" si="42"/>
        <v>0</v>
      </c>
      <c r="CB10" s="26">
        <f t="shared" si="42"/>
        <v>0</v>
      </c>
      <c r="CC10" s="26">
        <f t="shared" si="42"/>
        <v>0</v>
      </c>
      <c r="CD10" s="26">
        <f t="shared" si="42"/>
        <v>0</v>
      </c>
      <c r="CE10" s="26">
        <f t="shared" si="42"/>
        <v>0</v>
      </c>
      <c r="CF10" s="26">
        <f t="shared" si="42"/>
        <v>277.24</v>
      </c>
      <c r="CG10" s="26">
        <f t="shared" ref="CG10:CH10" si="43">+CG8-CG9</f>
        <v>287.92</v>
      </c>
      <c r="CH10" s="26">
        <f t="shared" si="43"/>
        <v>298.45</v>
      </c>
      <c r="CI10" s="26">
        <f t="shared" ref="CI10:CJ10" si="44">+CI8-CI9</f>
        <v>0</v>
      </c>
      <c r="CJ10" s="26">
        <f t="shared" si="44"/>
        <v>380.03</v>
      </c>
      <c r="CK10" s="26">
        <f t="shared" ref="CK10:CL10" si="45">+CK8-CK9</f>
        <v>382.68</v>
      </c>
      <c r="CL10" s="26">
        <f t="shared" si="45"/>
        <v>425.56</v>
      </c>
      <c r="CM10" s="27" t="e">
        <f t="shared" ref="CM10:DB10" si="46">+CM8-CM9</f>
        <v>#DIV/0!</v>
      </c>
      <c r="CN10" s="27" t="e">
        <f t="shared" si="46"/>
        <v>#DIV/0!</v>
      </c>
      <c r="CO10" s="27" t="e">
        <f t="shared" si="46"/>
        <v>#DIV/0!</v>
      </c>
      <c r="CP10" s="27" t="e">
        <f t="shared" si="46"/>
        <v>#DIV/0!</v>
      </c>
      <c r="CQ10" s="27" t="e">
        <f t="shared" si="46"/>
        <v>#DIV/0!</v>
      </c>
      <c r="CR10" s="27" t="e">
        <f t="shared" si="46"/>
        <v>#DIV/0!</v>
      </c>
      <c r="CS10" s="27" t="e">
        <f t="shared" si="46"/>
        <v>#DIV/0!</v>
      </c>
      <c r="CT10" s="27" t="e">
        <f t="shared" si="46"/>
        <v>#DIV/0!</v>
      </c>
      <c r="CU10" s="27" t="e">
        <f t="shared" si="46"/>
        <v>#DIV/0!</v>
      </c>
      <c r="CV10" s="27" t="e">
        <f t="shared" si="46"/>
        <v>#DIV/0!</v>
      </c>
      <c r="CW10" s="27" t="e">
        <f t="shared" si="46"/>
        <v>#DIV/0!</v>
      </c>
      <c r="CX10" s="27" t="e">
        <f t="shared" si="46"/>
        <v>#DIV/0!</v>
      </c>
      <c r="CY10" s="27" t="e">
        <f t="shared" si="46"/>
        <v>#DIV/0!</v>
      </c>
      <c r="CZ10" s="27" t="e">
        <f t="shared" si="46"/>
        <v>#DIV/0!</v>
      </c>
      <c r="DA10" s="27" t="e">
        <f t="shared" si="46"/>
        <v>#DIV/0!</v>
      </c>
      <c r="DB10" s="27" t="e">
        <f t="shared" si="46"/>
        <v>#DIV/0!</v>
      </c>
      <c r="DE10" s="121"/>
      <c r="DF10" s="26">
        <v>1188.27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 t="e">
        <f t="shared" si="50"/>
        <v>#DIV/0!</v>
      </c>
      <c r="M11" s="39" t="e">
        <f t="shared" si="50"/>
        <v>#DIV/0!</v>
      </c>
      <c r="N11" s="39" t="e">
        <f t="shared" si="50"/>
        <v>#DIV/0!</v>
      </c>
      <c r="O11" s="39" t="e">
        <f t="shared" si="50"/>
        <v>#DIV/0!</v>
      </c>
      <c r="P11" s="39" t="e">
        <f t="shared" si="50"/>
        <v>#DIV/0!</v>
      </c>
      <c r="Q11" s="39" t="e">
        <f t="shared" si="50"/>
        <v>#DIV/0!</v>
      </c>
      <c r="R11" s="39" t="e">
        <f t="shared" si="50"/>
        <v>#DIV/0!</v>
      </c>
      <c r="S11" s="39" t="e">
        <f t="shared" ref="S11:AA11" si="51">S10/R10-1</f>
        <v>#DIV/0!</v>
      </c>
      <c r="T11" s="39" t="e">
        <f t="shared" si="51"/>
        <v>#DIV/0!</v>
      </c>
      <c r="U11" s="39" t="e">
        <f t="shared" si="51"/>
        <v>#DIV/0!</v>
      </c>
      <c r="V11" s="39" t="e">
        <f t="shared" si="51"/>
        <v>#DIV/0!</v>
      </c>
      <c r="W11" s="39" t="e">
        <f t="shared" si="51"/>
        <v>#DIV/0!</v>
      </c>
      <c r="X11" s="39">
        <f t="shared" si="51"/>
        <v>0.45482945780723294</v>
      </c>
      <c r="Y11" s="39">
        <f t="shared" si="51"/>
        <v>0.30069415972742575</v>
      </c>
      <c r="Z11" s="39">
        <f t="shared" si="51"/>
        <v>0.38218009753411164</v>
      </c>
      <c r="AA11" s="39">
        <f t="shared" si="51"/>
        <v>0.35917935813083779</v>
      </c>
      <c r="AB11" s="40" t="e">
        <f t="shared" ref="AB11" si="52">AB10/AA10-1</f>
        <v>#DIV/0!</v>
      </c>
      <c r="AC11" s="40" t="e">
        <f t="shared" ref="AC11" si="53">AC10/AB10-1</f>
        <v>#DIV/0!</v>
      </c>
      <c r="AD11" s="40" t="e">
        <f t="shared" ref="AD11" si="54">AD10/AC10-1</f>
        <v>#DIV/0!</v>
      </c>
      <c r="AE11" s="40" t="e">
        <f t="shared" ref="AE11" si="55">AE10/AD10-1</f>
        <v>#DIV/0!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 t="e">
        <f t="shared" si="56"/>
        <v>#DIV/0!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 t="e">
        <f t="shared" si="56"/>
        <v>#DIV/0!</v>
      </c>
      <c r="BL11" s="39" t="e">
        <f t="shared" si="56"/>
        <v>#DIV/0!</v>
      </c>
      <c r="BM11" s="39" t="e">
        <f t="shared" si="56"/>
        <v>#DIV/0!</v>
      </c>
      <c r="BN11" s="39" t="e">
        <f t="shared" si="56"/>
        <v>#DIV/0!</v>
      </c>
      <c r="BO11" s="39" t="e">
        <f t="shared" si="56"/>
        <v>#DIV/0!</v>
      </c>
      <c r="BP11" s="39" t="e">
        <f t="shared" si="56"/>
        <v>#DIV/0!</v>
      </c>
      <c r="BQ11" s="39" t="e">
        <f t="shared" si="56"/>
        <v>#DIV/0!</v>
      </c>
      <c r="BR11" s="39" t="e">
        <f t="shared" si="56"/>
        <v>#DIV/0!</v>
      </c>
      <c r="BS11" s="39" t="e">
        <f t="shared" si="56"/>
        <v>#DIV/0!</v>
      </c>
      <c r="BT11" s="39" t="e">
        <f t="shared" si="56"/>
        <v>#DIV/0!</v>
      </c>
      <c r="BU11" s="39" t="e">
        <f t="shared" si="56"/>
        <v>#DIV/0!</v>
      </c>
      <c r="BV11" s="39" t="e">
        <f t="shared" si="56"/>
        <v>#DIV/0!</v>
      </c>
      <c r="BW11" s="39" t="e">
        <f t="shared" si="56"/>
        <v>#DIV/0!</v>
      </c>
      <c r="BX11" s="39" t="e">
        <f t="shared" si="56"/>
        <v>#DIV/0!</v>
      </c>
      <c r="BY11" s="39" t="e">
        <f t="shared" si="56"/>
        <v>#DIV/0!</v>
      </c>
      <c r="BZ11" s="39" t="e">
        <f t="shared" si="56"/>
        <v>#DIV/0!</v>
      </c>
      <c r="CA11" s="39" t="e">
        <f t="shared" si="56"/>
        <v>#DIV/0!</v>
      </c>
      <c r="CB11" s="39" t="e">
        <f t="shared" si="56"/>
        <v>#DIV/0!</v>
      </c>
      <c r="CC11" s="39" t="e">
        <f t="shared" si="56"/>
        <v>#DIV/0!</v>
      </c>
      <c r="CD11" s="39" t="e">
        <f t="shared" si="56"/>
        <v>#DIV/0!</v>
      </c>
      <c r="CE11" s="39" t="e">
        <f t="shared" si="56"/>
        <v>#DIV/0!</v>
      </c>
      <c r="CF11" s="39" t="e">
        <f t="shared" si="56"/>
        <v>#DIV/0!</v>
      </c>
      <c r="CG11" s="39" t="e">
        <f t="shared" si="56"/>
        <v>#DIV/0!</v>
      </c>
      <c r="CH11" s="39" t="e">
        <f t="shared" si="56"/>
        <v>#DIV/0!</v>
      </c>
      <c r="CI11" s="39" t="e">
        <f t="shared" si="56"/>
        <v>#DIV/0!</v>
      </c>
      <c r="CJ11" s="39">
        <f>+IF(CF10&lt;0,1-CJ10/CF10,CJ10/CF10-1)</f>
        <v>0.3707617948348001</v>
      </c>
      <c r="CK11" s="39">
        <f>+IF(CG10&lt;0,1-CK10/CG10,CK10/CG10-1)</f>
        <v>0.32911919977771609</v>
      </c>
      <c r="CL11" s="39">
        <f>+IF(CH10&lt;0,1-CL10/CH10,CL10/CH10-1)</f>
        <v>0.42590048584352491</v>
      </c>
      <c r="CM11" s="40" t="e">
        <f t="shared" ref="CM11" si="57">+AVERAGE(CI11:CL11)</f>
        <v>#DIV/0!</v>
      </c>
      <c r="CN11" s="40" t="e">
        <f t="shared" ref="CN11" si="58">+AVERAGE(CJ11:CM11)</f>
        <v>#DIV/0!</v>
      </c>
      <c r="CO11" s="40" t="e">
        <f t="shared" ref="CO11" si="59">+AVERAGE(CK11:CN11)</f>
        <v>#DIV/0!</v>
      </c>
      <c r="CP11" s="40" t="e">
        <f t="shared" ref="CP11" si="60">+AVERAGE(CL11:CO11)</f>
        <v>#DIV/0!</v>
      </c>
      <c r="CQ11" s="40" t="e">
        <f t="shared" ref="CQ11" si="61">+AVERAGE(CM11:CP11)</f>
        <v>#DIV/0!</v>
      </c>
      <c r="CR11" s="40" t="e">
        <f t="shared" ref="CR11" si="62">+AVERAGE(CN11:CQ11)</f>
        <v>#DIV/0!</v>
      </c>
      <c r="CS11" s="40" t="e">
        <f t="shared" ref="CS11" si="63">+AVERAGE(CO11:CR11)</f>
        <v>#DIV/0!</v>
      </c>
      <c r="CT11" s="40" t="e">
        <f t="shared" ref="CT11" si="64">+AVERAGE(CP11:CS11)</f>
        <v>#DIV/0!</v>
      </c>
      <c r="CU11" s="40" t="e">
        <f t="shared" ref="CU11" si="65">+AVERAGE(CQ11:CT11)</f>
        <v>#DIV/0!</v>
      </c>
      <c r="CV11" s="40" t="e">
        <f t="shared" ref="CV11" si="66">+AVERAGE(CR11:CU11)</f>
        <v>#DIV/0!</v>
      </c>
      <c r="CW11" s="40" t="e">
        <f t="shared" ref="CW11" si="67">+AVERAGE(CS11:CV11)</f>
        <v>#DIV/0!</v>
      </c>
      <c r="CX11" s="40" t="e">
        <f t="shared" ref="CX11" si="68">+AVERAGE(CT11:CW11)</f>
        <v>#DIV/0!</v>
      </c>
      <c r="CY11" s="40" t="e">
        <f t="shared" ref="CY11" si="69">+AVERAGE(CU11:CX11)</f>
        <v>#DIV/0!</v>
      </c>
      <c r="CZ11" s="40" t="e">
        <f t="shared" ref="CZ11" si="70">+AVERAGE(CV11:CY11)</f>
        <v>#DIV/0!</v>
      </c>
      <c r="DA11" s="40" t="e">
        <f t="shared" ref="DA11" si="71">+AVERAGE(CW11:CZ11)</f>
        <v>#DIV/0!</v>
      </c>
      <c r="DB11" s="40" t="e">
        <f t="shared" ref="DB11" si="72">+AVERAGE(CX11:DA11)</f>
        <v>#DIV/0!</v>
      </c>
      <c r="DE11" s="122"/>
      <c r="DF11" s="39">
        <v>3.8275526119191161E-2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 t="e">
        <f t="shared" si="74"/>
        <v>#DIV/0!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 t="e">
        <f t="shared" si="74"/>
        <v>#DIV/0!</v>
      </c>
      <c r="BI12" s="39" t="e">
        <f t="shared" si="74"/>
        <v>#DIV/0!</v>
      </c>
      <c r="BJ12" s="39" t="e">
        <f t="shared" si="74"/>
        <v>#DIV/0!</v>
      </c>
      <c r="BK12" s="39" t="e">
        <f t="shared" si="74"/>
        <v>#DIV/0!</v>
      </c>
      <c r="BL12" s="39" t="e">
        <f t="shared" si="74"/>
        <v>#DIV/0!</v>
      </c>
      <c r="BM12" s="39" t="e">
        <f t="shared" si="74"/>
        <v>#DIV/0!</v>
      </c>
      <c r="BN12" s="39" t="e">
        <f t="shared" si="74"/>
        <v>#DIV/0!</v>
      </c>
      <c r="BO12" s="39" t="e">
        <f t="shared" si="74"/>
        <v>#DIV/0!</v>
      </c>
      <c r="BP12" s="39" t="e">
        <f t="shared" si="74"/>
        <v>#DIV/0!</v>
      </c>
      <c r="BQ12" s="39" t="e">
        <f t="shared" si="74"/>
        <v>#DIV/0!</v>
      </c>
      <c r="BR12" s="39" t="e">
        <f t="shared" si="74"/>
        <v>#DIV/0!</v>
      </c>
      <c r="BS12" s="39" t="e">
        <f t="shared" si="74"/>
        <v>#DIV/0!</v>
      </c>
      <c r="BT12" s="39" t="e">
        <f t="shared" si="74"/>
        <v>#DIV/0!</v>
      </c>
      <c r="BU12" s="39" t="e">
        <f t="shared" si="74"/>
        <v>#DIV/0!</v>
      </c>
      <c r="BV12" s="39" t="e">
        <f t="shared" si="74"/>
        <v>#DIV/0!</v>
      </c>
      <c r="BW12" s="39" t="e">
        <f t="shared" si="74"/>
        <v>#DIV/0!</v>
      </c>
      <c r="BX12" s="39" t="e">
        <f t="shared" si="74"/>
        <v>#DIV/0!</v>
      </c>
      <c r="BY12" s="39" t="e">
        <f t="shared" si="74"/>
        <v>#DIV/0!</v>
      </c>
      <c r="BZ12" s="39" t="e">
        <f t="shared" si="74"/>
        <v>#DIV/0!</v>
      </c>
      <c r="CA12" s="39" t="e">
        <f t="shared" si="74"/>
        <v>#DIV/0!</v>
      </c>
      <c r="CB12" s="39" t="e">
        <f t="shared" si="74"/>
        <v>#DIV/0!</v>
      </c>
      <c r="CC12" s="39" t="e">
        <f t="shared" si="74"/>
        <v>#DIV/0!</v>
      </c>
      <c r="CD12" s="39" t="e">
        <f t="shared" si="74"/>
        <v>#DIV/0!</v>
      </c>
      <c r="CE12" s="39" t="e">
        <f t="shared" si="74"/>
        <v>#DIV/0!</v>
      </c>
      <c r="CF12" s="39" t="e">
        <f t="shared" si="74"/>
        <v>#DIV/0!</v>
      </c>
      <c r="CG12" s="39">
        <f t="shared" si="74"/>
        <v>3.8522579714326932E-2</v>
      </c>
      <c r="CH12" s="39">
        <f t="shared" si="74"/>
        <v>3.6572659071964386E-2</v>
      </c>
      <c r="CI12" s="39">
        <f t="shared" si="74"/>
        <v>-1</v>
      </c>
      <c r="CJ12" s="39" t="e">
        <f>+IF(CI10&lt;0,1-CJ10/CI10,CJ10/CI10-1)</f>
        <v>#DIV/0!</v>
      </c>
      <c r="CK12" s="39">
        <f>+IF(CJ10&lt;0,1-CK10/CJ10,CK10/CJ10-1)</f>
        <v>6.9731336999712124E-3</v>
      </c>
      <c r="CL12" s="39">
        <f>+IF(CK10&lt;0,1-CL10/CK10,CL10/CK10-1)</f>
        <v>0.11205184488345354</v>
      </c>
      <c r="CM12" s="40" t="e">
        <f t="shared" ref="CM12" si="75">+CM10/CL10-1</f>
        <v>#DIV/0!</v>
      </c>
      <c r="CN12" s="40" t="e">
        <f t="shared" ref="CN12" si="76">+CN10/CM10-1</f>
        <v>#DIV/0!</v>
      </c>
      <c r="CO12" s="40" t="e">
        <f t="shared" ref="CO12" si="77">+CO10/CN10-1</f>
        <v>#DIV/0!</v>
      </c>
      <c r="CP12" s="40" t="e">
        <f t="shared" ref="CP12" si="78">+CP10/CO10-1</f>
        <v>#DIV/0!</v>
      </c>
      <c r="CQ12" s="40" t="e">
        <f t="shared" ref="CQ12" si="79">+CQ10/CP10-1</f>
        <v>#DIV/0!</v>
      </c>
      <c r="CR12" s="40" t="e">
        <f t="shared" ref="CR12" si="80">+CR10/CQ10-1</f>
        <v>#DIV/0!</v>
      </c>
      <c r="CS12" s="40" t="e">
        <f t="shared" ref="CS12" si="81">+CS10/CR10-1</f>
        <v>#DIV/0!</v>
      </c>
      <c r="CT12" s="40" t="e">
        <f t="shared" ref="CT12" si="82">+CT10/CS10-1</f>
        <v>#DIV/0!</v>
      </c>
      <c r="CU12" s="40" t="e">
        <f t="shared" ref="CU12" si="83">+CU10/CT10-1</f>
        <v>#DIV/0!</v>
      </c>
      <c r="CV12" s="40" t="e">
        <f t="shared" ref="CV12" si="84">+CV10/CU10-1</f>
        <v>#DIV/0!</v>
      </c>
      <c r="CW12" s="40" t="e">
        <f t="shared" ref="CW12" si="85">+CW10/CV10-1</f>
        <v>#DIV/0!</v>
      </c>
      <c r="CX12" s="40" t="e">
        <f t="shared" ref="CX12" si="86">+CX10/CW10-1</f>
        <v>#DIV/0!</v>
      </c>
      <c r="CY12" s="40" t="e">
        <f t="shared" ref="CY12" si="87">+CY10/CX10-1</f>
        <v>#DIV/0!</v>
      </c>
      <c r="CZ12" s="40" t="e">
        <f t="shared" ref="CZ12" si="88">+CZ10/CY10-1</f>
        <v>#DIV/0!</v>
      </c>
      <c r="DA12" s="40" t="e">
        <f t="shared" ref="DA12" si="89">+DA10/CZ10-1</f>
        <v>#DIV/0!</v>
      </c>
      <c r="DB12" s="40" t="e">
        <f t="shared" ref="DB12" si="90">+DB10/DA10-1</f>
        <v>#DIV/0!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-10.622999999999999</v>
      </c>
      <c r="X13" s="23">
        <f>'Annual Raw'!Y11</f>
        <v>7.9409999999999998</v>
      </c>
      <c r="Y13" s="23">
        <f>'Annual Raw'!Z11</f>
        <v>-13.534000000000001</v>
      </c>
      <c r="Z13" s="23">
        <f>'Annual Raw'!AA11</f>
        <v>-12.75</v>
      </c>
      <c r="AA13" s="23">
        <f>'Annual Raw'!AB11</f>
        <v>-25.37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-8.16</v>
      </c>
      <c r="CG13" s="23">
        <f>'QTR Raw'!BA10</f>
        <v>4.51</v>
      </c>
      <c r="CH13" s="23">
        <f>'QTR Raw'!BB10</f>
        <v>-3.25</v>
      </c>
      <c r="CI13" s="23">
        <f>'QTR Raw'!BC10</f>
        <v>0</v>
      </c>
      <c r="CJ13" s="23">
        <f>'QTR Raw'!BD10</f>
        <v>-21.62</v>
      </c>
      <c r="CK13" s="23">
        <f>'QTR Raw'!BE10</f>
        <v>8.94</v>
      </c>
      <c r="CL13" s="23">
        <f>'QTR Raw'!BF10</f>
        <v>-11.04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-23.72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59.94</v>
      </c>
      <c r="CG14" s="23">
        <f>'QTR Raw'!BA12</f>
        <v>50.02</v>
      </c>
      <c r="CH14" s="23">
        <f>'QTR Raw'!BB12</f>
        <v>67.95</v>
      </c>
      <c r="CI14" s="23">
        <f>'QTR Raw'!BC12</f>
        <v>0</v>
      </c>
      <c r="CJ14" s="23">
        <f>'QTR Raw'!BD12</f>
        <v>102.63</v>
      </c>
      <c r="CK14" s="23">
        <f>'QTR Raw'!BE12</f>
        <v>62.59</v>
      </c>
      <c r="CL14" s="23">
        <f>'QTR Raw'!BF12</f>
        <v>99.87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265.09000000000003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83.138999999999996</v>
      </c>
      <c r="X15" s="23">
        <f>'Annual Raw'!Y12</f>
        <v>99.856999999999999</v>
      </c>
      <c r="Y15" s="23">
        <f>'Annual Raw'!Z12</f>
        <v>142.78700000000001</v>
      </c>
      <c r="Z15" s="23">
        <f>'Annual Raw'!AA12</f>
        <v>225.36</v>
      </c>
      <c r="AA15" s="23">
        <f>'Annual Raw'!AB12</f>
        <v>344.44</v>
      </c>
      <c r="AB15" s="24" t="e">
        <f>+SUM(CM15:CP15)</f>
        <v>#DIV/0!</v>
      </c>
      <c r="AC15" s="24" t="e">
        <f>+SUM(CQ15:CT15)</f>
        <v>#DIV/0!</v>
      </c>
      <c r="AD15" s="24" t="e">
        <f>+SUM(CU15:CX15)</f>
        <v>#DIV/0!</v>
      </c>
      <c r="AE15" s="24" t="e">
        <f>+SUM(CY15:DB15)</f>
        <v>#DIV/0!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 t="e">
        <f t="shared" ref="CM15:DB15" si="91">+CM10-CM16</f>
        <v>#DIV/0!</v>
      </c>
      <c r="CN15" s="24" t="e">
        <f t="shared" si="91"/>
        <v>#DIV/0!</v>
      </c>
      <c r="CO15" s="24" t="e">
        <f t="shared" si="91"/>
        <v>#DIV/0!</v>
      </c>
      <c r="CP15" s="24" t="e">
        <f t="shared" si="91"/>
        <v>#DIV/0!</v>
      </c>
      <c r="CQ15" s="24" t="e">
        <f t="shared" si="91"/>
        <v>#DIV/0!</v>
      </c>
      <c r="CR15" s="24" t="e">
        <f t="shared" si="91"/>
        <v>#DIV/0!</v>
      </c>
      <c r="CS15" s="24" t="e">
        <f t="shared" si="91"/>
        <v>#DIV/0!</v>
      </c>
      <c r="CT15" s="24" t="e">
        <f t="shared" si="91"/>
        <v>#DIV/0!</v>
      </c>
      <c r="CU15" s="24" t="e">
        <f t="shared" si="91"/>
        <v>#DIV/0!</v>
      </c>
      <c r="CV15" s="24" t="e">
        <f t="shared" si="91"/>
        <v>#DIV/0!</v>
      </c>
      <c r="CW15" s="24" t="e">
        <f t="shared" si="91"/>
        <v>#DIV/0!</v>
      </c>
      <c r="CX15" s="24" t="e">
        <f t="shared" si="91"/>
        <v>#DIV/0!</v>
      </c>
      <c r="CY15" s="24" t="e">
        <f t="shared" si="91"/>
        <v>#DIV/0!</v>
      </c>
      <c r="CZ15" s="24" t="e">
        <f t="shared" si="91"/>
        <v>#DIV/0!</v>
      </c>
      <c r="DA15" s="24" t="e">
        <f t="shared" si="91"/>
        <v>#DIV/0!</v>
      </c>
      <c r="DB15" s="24" t="e">
        <f t="shared" si="91"/>
        <v>#DIV/0!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0</v>
      </c>
      <c r="L16" s="31">
        <f t="shared" si="92"/>
        <v>0</v>
      </c>
      <c r="M16" s="31">
        <f t="shared" si="92"/>
        <v>0</v>
      </c>
      <c r="N16" s="31">
        <f t="shared" si="92"/>
        <v>0</v>
      </c>
      <c r="O16" s="31">
        <f t="shared" si="92"/>
        <v>0</v>
      </c>
      <c r="P16" s="31">
        <f t="shared" si="92"/>
        <v>0</v>
      </c>
      <c r="Q16" s="31">
        <f t="shared" si="92"/>
        <v>0</v>
      </c>
      <c r="R16" s="31">
        <f t="shared" si="92"/>
        <v>0</v>
      </c>
      <c r="S16" s="31">
        <f t="shared" si="92"/>
        <v>0</v>
      </c>
      <c r="T16" s="31">
        <f t="shared" si="92"/>
        <v>0</v>
      </c>
      <c r="U16" s="31">
        <f t="shared" ref="U16:Z16" si="93">U10-U13-U15-U14</f>
        <v>0</v>
      </c>
      <c r="V16" s="31">
        <f t="shared" si="93"/>
        <v>0</v>
      </c>
      <c r="W16" s="31">
        <f t="shared" si="93"/>
        <v>365.05899999999997</v>
      </c>
      <c r="X16" s="31">
        <f t="shared" si="93"/>
        <v>528.79899999999998</v>
      </c>
      <c r="Y16" s="31">
        <f t="shared" si="93"/>
        <v>698.76499999999999</v>
      </c>
      <c r="Z16" s="31">
        <f t="shared" si="93"/>
        <v>931.86</v>
      </c>
      <c r="AA16" s="31">
        <f t="shared" ref="AA16" si="94">AA10-AA13-AA15-AA14</f>
        <v>1236.4699999999998</v>
      </c>
      <c r="AB16" s="32" t="e">
        <f t="shared" ref="AA16:AD16" si="95">AB10-AB13-AB15-AB14</f>
        <v>#DIV/0!</v>
      </c>
      <c r="AC16" s="32" t="e">
        <f t="shared" si="95"/>
        <v>#DIV/0!</v>
      </c>
      <c r="AD16" s="32" t="e">
        <f t="shared" si="95"/>
        <v>#DIV/0!</v>
      </c>
      <c r="AE16" s="32" t="e">
        <f t="shared" ref="AE16" si="96">AE10-AE13-AE15-AE14</f>
        <v>#DIV/0!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0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0</v>
      </c>
      <c r="BH16" s="31">
        <f t="shared" si="101"/>
        <v>0</v>
      </c>
      <c r="BI16" s="31">
        <f t="shared" si="101"/>
        <v>0</v>
      </c>
      <c r="BJ16" s="31">
        <f t="shared" si="101"/>
        <v>0</v>
      </c>
      <c r="BK16" s="31">
        <f t="shared" si="101"/>
        <v>0</v>
      </c>
      <c r="BL16" s="31">
        <f t="shared" si="101"/>
        <v>0</v>
      </c>
      <c r="BM16" s="31">
        <f t="shared" si="101"/>
        <v>0</v>
      </c>
      <c r="BN16" s="31">
        <f t="shared" si="101"/>
        <v>0</v>
      </c>
      <c r="BO16" s="31">
        <f t="shared" si="101"/>
        <v>0</v>
      </c>
      <c r="BP16" s="31">
        <f t="shared" si="101"/>
        <v>0</v>
      </c>
      <c r="BQ16" s="31">
        <f t="shared" si="101"/>
        <v>0</v>
      </c>
      <c r="BR16" s="31">
        <f t="shared" si="101"/>
        <v>0</v>
      </c>
      <c r="BS16" s="31">
        <f t="shared" si="101"/>
        <v>0</v>
      </c>
      <c r="BT16" s="31">
        <f t="shared" si="101"/>
        <v>0</v>
      </c>
      <c r="BU16" s="31">
        <f t="shared" si="101"/>
        <v>0</v>
      </c>
      <c r="BV16" s="31">
        <f t="shared" si="101"/>
        <v>0</v>
      </c>
      <c r="BW16" s="31">
        <f t="shared" si="101"/>
        <v>0</v>
      </c>
      <c r="BX16" s="31">
        <f t="shared" si="101"/>
        <v>0</v>
      </c>
      <c r="BY16" s="31">
        <f t="shared" si="101"/>
        <v>0</v>
      </c>
      <c r="BZ16" s="31">
        <f t="shared" si="101"/>
        <v>0</v>
      </c>
      <c r="CA16" s="31">
        <f t="shared" si="101"/>
        <v>0</v>
      </c>
      <c r="CB16" s="31">
        <f t="shared" si="101"/>
        <v>0</v>
      </c>
      <c r="CC16" s="31">
        <f t="shared" si="101"/>
        <v>0</v>
      </c>
      <c r="CD16" s="31">
        <f t="shared" si="101"/>
        <v>0</v>
      </c>
      <c r="CE16" s="31">
        <f t="shared" ref="CE16:CF16" si="102">CE10-CE13-CE15-CE14</f>
        <v>0</v>
      </c>
      <c r="CF16" s="31">
        <f t="shared" si="102"/>
        <v>225.46000000000004</v>
      </c>
      <c r="CG16" s="31">
        <f t="shared" ref="CG16:CH16" si="103">CG10-CG13-CG15-CG14</f>
        <v>233.39000000000001</v>
      </c>
      <c r="CH16" s="31">
        <f t="shared" si="103"/>
        <v>233.75</v>
      </c>
      <c r="CI16" s="31">
        <f t="shared" ref="CI16:CJ16" si="104">CI10-CI13-CI15-CI14</f>
        <v>0</v>
      </c>
      <c r="CJ16" s="31">
        <f t="shared" si="104"/>
        <v>299.02</v>
      </c>
      <c r="CK16" s="31">
        <f t="shared" ref="CK16:CL16" si="105">CK10-CK13-CK15-CK14</f>
        <v>311.14999999999998</v>
      </c>
      <c r="CL16" s="31">
        <f t="shared" si="105"/>
        <v>336.73</v>
      </c>
      <c r="CM16" s="32" t="e">
        <f t="shared" ref="CM16:DB16" si="106">+CM17*CM10</f>
        <v>#DIV/0!</v>
      </c>
      <c r="CN16" s="32" t="e">
        <f t="shared" si="106"/>
        <v>#DIV/0!</v>
      </c>
      <c r="CO16" s="32" t="e">
        <f t="shared" si="106"/>
        <v>#DIV/0!</v>
      </c>
      <c r="CP16" s="32" t="e">
        <f t="shared" si="106"/>
        <v>#DIV/0!</v>
      </c>
      <c r="CQ16" s="32" t="e">
        <f t="shared" si="106"/>
        <v>#DIV/0!</v>
      </c>
      <c r="CR16" s="32" t="e">
        <f t="shared" si="106"/>
        <v>#DIV/0!</v>
      </c>
      <c r="CS16" s="32" t="e">
        <f t="shared" si="106"/>
        <v>#DIV/0!</v>
      </c>
      <c r="CT16" s="32" t="e">
        <f t="shared" si="106"/>
        <v>#DIV/0!</v>
      </c>
      <c r="CU16" s="32" t="e">
        <f t="shared" si="106"/>
        <v>#DIV/0!</v>
      </c>
      <c r="CV16" s="32" t="e">
        <f t="shared" si="106"/>
        <v>#DIV/0!</v>
      </c>
      <c r="CW16" s="32" t="e">
        <f t="shared" si="106"/>
        <v>#DIV/0!</v>
      </c>
      <c r="CX16" s="32" t="e">
        <f t="shared" si="106"/>
        <v>#DIV/0!</v>
      </c>
      <c r="CY16" s="32" t="e">
        <f t="shared" si="106"/>
        <v>#DIV/0!</v>
      </c>
      <c r="CZ16" s="32" t="e">
        <f t="shared" si="106"/>
        <v>#DIV/0!</v>
      </c>
      <c r="DA16" s="32" t="e">
        <f t="shared" si="106"/>
        <v>#DIV/0!</v>
      </c>
      <c r="DB16" s="32" t="e">
        <f t="shared" si="106"/>
        <v>#DIV/0!</v>
      </c>
      <c r="DE16" s="124"/>
      <c r="DF16" s="31">
        <v>946.9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 t="e">
        <f t="shared" si="107"/>
        <v>#DIV/0!</v>
      </c>
      <c r="N17" s="41" t="e">
        <f t="shared" si="107"/>
        <v>#DIV/0!</v>
      </c>
      <c r="O17" s="41" t="e">
        <f t="shared" si="107"/>
        <v>#DIV/0!</v>
      </c>
      <c r="P17" s="41" t="e">
        <f t="shared" si="107"/>
        <v>#DIV/0!</v>
      </c>
      <c r="Q17" s="41" t="e">
        <f t="shared" si="107"/>
        <v>#DIV/0!</v>
      </c>
      <c r="R17" s="41" t="e">
        <f t="shared" si="107"/>
        <v>#DIV/0!</v>
      </c>
      <c r="S17" s="41" t="e">
        <f t="shared" si="107"/>
        <v>#DIV/0!</v>
      </c>
      <c r="T17" s="41" t="e">
        <f t="shared" si="107"/>
        <v>#DIV/0!</v>
      </c>
      <c r="U17" s="41" t="e">
        <f t="shared" si="107"/>
        <v>#DIV/0!</v>
      </c>
      <c r="V17" s="41" t="e">
        <f>V16/V10</f>
        <v>#DIV/0!</v>
      </c>
      <c r="W17" s="41">
        <f>W16/W10</f>
        <v>0.83427755241958512</v>
      </c>
      <c r="X17" s="41">
        <f>X16/X10</f>
        <v>0.83066524033258093</v>
      </c>
      <c r="Y17" s="41">
        <f>Y16/Y10</f>
        <v>0.84390073645741992</v>
      </c>
      <c r="Z17" s="41">
        <f>Z16/Z10</f>
        <v>0.81422842014207453</v>
      </c>
      <c r="AA17" s="41">
        <f>AA16/AA10</f>
        <v>0.79488152024377379</v>
      </c>
      <c r="AB17" s="42" t="e">
        <f t="shared" ref="AA17:AD17" si="108">AB16/AB10</f>
        <v>#DIV/0!</v>
      </c>
      <c r="AC17" s="42" t="e">
        <f t="shared" si="108"/>
        <v>#DIV/0!</v>
      </c>
      <c r="AD17" s="42" t="e">
        <f t="shared" si="108"/>
        <v>#DIV/0!</v>
      </c>
      <c r="AE17" s="42" t="e">
        <f t="shared" ref="AE17" si="109">AE16/AE10</f>
        <v>#DIV/0!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 t="e">
        <f t="shared" si="114"/>
        <v>#DIV/0!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 t="e">
        <f t="shared" si="114"/>
        <v>#DIV/0!</v>
      </c>
      <c r="BH17" s="41" t="e">
        <f t="shared" si="114"/>
        <v>#DIV/0!</v>
      </c>
      <c r="BI17" s="41" t="e">
        <f t="shared" si="114"/>
        <v>#DIV/0!</v>
      </c>
      <c r="BJ17" s="41" t="e">
        <f t="shared" si="114"/>
        <v>#DIV/0!</v>
      </c>
      <c r="BK17" s="41" t="e">
        <f t="shared" si="114"/>
        <v>#DIV/0!</v>
      </c>
      <c r="BL17" s="41" t="e">
        <f t="shared" si="114"/>
        <v>#DIV/0!</v>
      </c>
      <c r="BM17" s="41" t="e">
        <f t="shared" si="114"/>
        <v>#DIV/0!</v>
      </c>
      <c r="BN17" s="41" t="e">
        <f t="shared" si="114"/>
        <v>#DIV/0!</v>
      </c>
      <c r="BO17" s="41" t="e">
        <f t="shared" si="114"/>
        <v>#DIV/0!</v>
      </c>
      <c r="BP17" s="41" t="e">
        <f t="shared" si="114"/>
        <v>#DIV/0!</v>
      </c>
      <c r="BQ17" s="41" t="e">
        <f t="shared" si="114"/>
        <v>#DIV/0!</v>
      </c>
      <c r="BR17" s="41" t="e">
        <f t="shared" si="114"/>
        <v>#DIV/0!</v>
      </c>
      <c r="BS17" s="41" t="e">
        <f t="shared" si="114"/>
        <v>#DIV/0!</v>
      </c>
      <c r="BT17" s="41" t="e">
        <f t="shared" si="114"/>
        <v>#DIV/0!</v>
      </c>
      <c r="BU17" s="41" t="e">
        <f t="shared" si="114"/>
        <v>#DIV/0!</v>
      </c>
      <c r="BV17" s="41" t="e">
        <f t="shared" si="114"/>
        <v>#DIV/0!</v>
      </c>
      <c r="BW17" s="41" t="e">
        <f t="shared" si="114"/>
        <v>#DIV/0!</v>
      </c>
      <c r="BX17" s="41" t="e">
        <f t="shared" si="114"/>
        <v>#DIV/0!</v>
      </c>
      <c r="BY17" s="41" t="e">
        <f t="shared" si="114"/>
        <v>#DIV/0!</v>
      </c>
      <c r="BZ17" s="41" t="e">
        <f t="shared" si="114"/>
        <v>#DIV/0!</v>
      </c>
      <c r="CA17" s="41" t="e">
        <f t="shared" si="114"/>
        <v>#DIV/0!</v>
      </c>
      <c r="CB17" s="41" t="e">
        <f t="shared" si="114"/>
        <v>#DIV/0!</v>
      </c>
      <c r="CC17" s="41" t="e">
        <f t="shared" si="114"/>
        <v>#DIV/0!</v>
      </c>
      <c r="CD17" s="41" t="e">
        <f t="shared" si="114"/>
        <v>#DIV/0!</v>
      </c>
      <c r="CE17" s="41" t="e">
        <f t="shared" ref="CE17:CF17" si="115">CE16/CE10</f>
        <v>#DIV/0!</v>
      </c>
      <c r="CF17" s="41">
        <f t="shared" si="115"/>
        <v>0.81323041408166219</v>
      </c>
      <c r="CG17" s="41">
        <f t="shared" ref="CG17:CH17" si="116">CG16/CG10</f>
        <v>0.81060711308696864</v>
      </c>
      <c r="CH17" s="41">
        <f t="shared" si="116"/>
        <v>0.78321326855419671</v>
      </c>
      <c r="CI17" s="41" t="e">
        <f t="shared" ref="CI17:CJ17" si="117">CI16/CI10</f>
        <v>#DIV/0!</v>
      </c>
      <c r="CJ17" s="41">
        <f t="shared" si="117"/>
        <v>0.78683261847748864</v>
      </c>
      <c r="CK17" s="41">
        <f t="shared" ref="CK17:CL17" si="118">CK16/CK10</f>
        <v>0.81308142573429487</v>
      </c>
      <c r="CL17" s="41">
        <f t="shared" si="118"/>
        <v>0.79126327662374285</v>
      </c>
      <c r="CM17" s="42" t="e">
        <f t="shared" ref="CM17:DB17" si="119">AVERAGE(CI17:CL17)</f>
        <v>#DIV/0!</v>
      </c>
      <c r="CN17" s="42" t="e">
        <f t="shared" si="119"/>
        <v>#DIV/0!</v>
      </c>
      <c r="CO17" s="42" t="e">
        <f t="shared" si="119"/>
        <v>#DIV/0!</v>
      </c>
      <c r="CP17" s="42" t="e">
        <f t="shared" si="119"/>
        <v>#DIV/0!</v>
      </c>
      <c r="CQ17" s="42" t="e">
        <f t="shared" si="119"/>
        <v>#DIV/0!</v>
      </c>
      <c r="CR17" s="42" t="e">
        <f t="shared" si="119"/>
        <v>#DIV/0!</v>
      </c>
      <c r="CS17" s="42" t="e">
        <f t="shared" si="119"/>
        <v>#DIV/0!</v>
      </c>
      <c r="CT17" s="42" t="e">
        <f t="shared" si="119"/>
        <v>#DIV/0!</v>
      </c>
      <c r="CU17" s="42" t="e">
        <f t="shared" si="119"/>
        <v>#DIV/0!</v>
      </c>
      <c r="CV17" s="42" t="e">
        <f t="shared" si="119"/>
        <v>#DIV/0!</v>
      </c>
      <c r="CW17" s="42" t="e">
        <f t="shared" si="119"/>
        <v>#DIV/0!</v>
      </c>
      <c r="CX17" s="42" t="e">
        <f t="shared" si="119"/>
        <v>#DIV/0!</v>
      </c>
      <c r="CY17" s="42" t="e">
        <f t="shared" si="119"/>
        <v>#DIV/0!</v>
      </c>
      <c r="CZ17" s="42" t="e">
        <f t="shared" si="119"/>
        <v>#DIV/0!</v>
      </c>
      <c r="DA17" s="42" t="e">
        <f t="shared" si="119"/>
        <v>#DIV/0!</v>
      </c>
      <c r="DB17" s="42" t="e">
        <f t="shared" si="119"/>
        <v>#DIV/0!</v>
      </c>
      <c r="DE17" s="125"/>
      <c r="DF17" s="41">
        <v>0.79687276460737033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 t="e">
        <f t="shared" si="120"/>
        <v>#DIV/0!</v>
      </c>
      <c r="O18" s="39" t="e">
        <f t="shared" si="120"/>
        <v>#DIV/0!</v>
      </c>
      <c r="P18" s="39" t="e">
        <f t="shared" si="120"/>
        <v>#DIV/0!</v>
      </c>
      <c r="Q18" s="39" t="e">
        <f t="shared" si="120"/>
        <v>#DIV/0!</v>
      </c>
      <c r="R18" s="39" t="e">
        <f t="shared" si="120"/>
        <v>#DIV/0!</v>
      </c>
      <c r="S18" s="39" t="e">
        <f t="shared" si="120"/>
        <v>#DIV/0!</v>
      </c>
      <c r="T18" s="39" t="e">
        <f t="shared" si="120"/>
        <v>#DIV/0!</v>
      </c>
      <c r="U18" s="39" t="e">
        <f t="shared" si="120"/>
        <v>#DIV/0!</v>
      </c>
      <c r="V18" s="39" t="e">
        <f t="shared" si="120"/>
        <v>#DIV/0!</v>
      </c>
      <c r="W18" s="39" t="e">
        <f t="shared" si="120"/>
        <v>#DIV/0!</v>
      </c>
      <c r="X18" s="39">
        <f t="shared" si="120"/>
        <v>0.44853023757803534</v>
      </c>
      <c r="Y18" s="39">
        <f t="shared" si="120"/>
        <v>0.32141891342457152</v>
      </c>
      <c r="Z18" s="39">
        <f t="shared" si="120"/>
        <v>0.33358139002382781</v>
      </c>
      <c r="AA18" s="39">
        <f t="shared" si="120"/>
        <v>0.32688386667525138</v>
      </c>
      <c r="AB18" s="40" t="e">
        <f t="shared" si="120"/>
        <v>#DIV/0!</v>
      </c>
      <c r="AC18" s="40" t="e">
        <f t="shared" si="120"/>
        <v>#DIV/0!</v>
      </c>
      <c r="AD18" s="40" t="e">
        <f t="shared" si="120"/>
        <v>#DIV/0!</v>
      </c>
      <c r="AE18" s="40" t="e">
        <f t="shared" si="120"/>
        <v>#DIV/0!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 t="e">
        <f t="shared" ref="BE18" si="138">+IF(BA16&lt;0,1-BE16/BA16,BE16/BA16-1)</f>
        <v>#DIV/0!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 t="e">
        <f t="shared" ref="BM18" si="146">+IF(BI16&lt;0,1-BM16/BI16,BM16/BI16-1)</f>
        <v>#DIV/0!</v>
      </c>
      <c r="BN18" s="39" t="e">
        <f t="shared" ref="BN18" si="147">+IF(BJ16&lt;0,1-BN16/BJ16,BN16/BJ16-1)</f>
        <v>#DIV/0!</v>
      </c>
      <c r="BO18" s="39" t="e">
        <f t="shared" ref="BO18" si="148">+IF(BK16&lt;0,1-BO16/BK16,BO16/BK16-1)</f>
        <v>#DIV/0!</v>
      </c>
      <c r="BP18" s="39" t="e">
        <f t="shared" ref="BP18" si="149">+IF(BL16&lt;0,1-BP16/BL16,BP16/BL16-1)</f>
        <v>#DIV/0!</v>
      </c>
      <c r="BQ18" s="39" t="e">
        <f t="shared" ref="BQ18" si="150">+IF(BM16&lt;0,1-BQ16/BM16,BQ16/BM16-1)</f>
        <v>#DIV/0!</v>
      </c>
      <c r="BR18" s="39" t="e">
        <f t="shared" ref="BR18" si="151">+IF(BN16&lt;0,1-BR16/BN16,BR16/BN16-1)</f>
        <v>#DIV/0!</v>
      </c>
      <c r="BS18" s="39" t="e">
        <f t="shared" ref="BS18" si="152">+IF(BO16&lt;0,1-BS16/BO16,BS16/BO16-1)</f>
        <v>#DIV/0!</v>
      </c>
      <c r="BT18" s="39" t="e">
        <f t="shared" ref="BT18" si="153">+IF(BP16&lt;0,1-BT16/BP16,BT16/BP16-1)</f>
        <v>#DIV/0!</v>
      </c>
      <c r="BU18" s="39" t="e">
        <f t="shared" ref="BU18" si="154">+IF(BQ16&lt;0,1-BU16/BQ16,BU16/BQ16-1)</f>
        <v>#DIV/0!</v>
      </c>
      <c r="BV18" s="39" t="e">
        <f t="shared" ref="BV18" si="155">+IF(BR16&lt;0,1-BV16/BR16,BV16/BR16-1)</f>
        <v>#DIV/0!</v>
      </c>
      <c r="BW18" s="39" t="e">
        <f t="shared" ref="BW18" si="156">+IF(BS16&lt;0,1-BW16/BS16,BW16/BS16-1)</f>
        <v>#DIV/0!</v>
      </c>
      <c r="BX18" s="39" t="e">
        <f t="shared" ref="BX18" si="157">+IF(BT16&lt;0,1-BX16/BT16,BX16/BT16-1)</f>
        <v>#DIV/0!</v>
      </c>
      <c r="BY18" s="39" t="e">
        <f t="shared" ref="BY18" si="158">+IF(BU16&lt;0,1-BY16/BU16,BY16/BU16-1)</f>
        <v>#DIV/0!</v>
      </c>
      <c r="BZ18" s="39" t="e">
        <f t="shared" ref="BZ18" si="159">+IF(BV16&lt;0,1-BZ16/BV16,BZ16/BV16-1)</f>
        <v>#DIV/0!</v>
      </c>
      <c r="CA18" s="39" t="e">
        <f t="shared" ref="CA18" si="160">+IF(BW16&lt;0,1-CA16/BW16,CA16/BW16-1)</f>
        <v>#DIV/0!</v>
      </c>
      <c r="CB18" s="39" t="e">
        <f t="shared" ref="CB18" si="161">+IF(BX16&lt;0,1-CB16/BX16,CB16/BX16-1)</f>
        <v>#DIV/0!</v>
      </c>
      <c r="CC18" s="39" t="e">
        <f t="shared" ref="CC18" si="162">+IF(BY16&lt;0,1-CC16/BY16,CC16/BY16-1)</f>
        <v>#DIV/0!</v>
      </c>
      <c r="CD18" s="39" t="e">
        <f t="shared" ref="CD18" si="163">+IF(BZ16&lt;0,1-CD16/BZ16,CD16/BZ16-1)</f>
        <v>#DIV/0!</v>
      </c>
      <c r="CE18" s="39" t="e">
        <f t="shared" ref="CE18" si="164">+IF(CA16&lt;0,1-CE16/CA16,CE16/CA16-1)</f>
        <v>#DIV/0!</v>
      </c>
      <c r="CF18" s="39" t="e">
        <f t="shared" ref="CF18" si="165">+IF(CB16&lt;0,1-CF16/CB16,CF16/CB16-1)</f>
        <v>#DIV/0!</v>
      </c>
      <c r="CG18" s="39" t="e">
        <f t="shared" ref="CG18" si="166">+IF(CC16&lt;0,1-CG16/CC16,CG16/CC16-1)</f>
        <v>#DIV/0!</v>
      </c>
      <c r="CH18" s="39" t="e">
        <f t="shared" ref="CH18:CL18" si="167">+IF(CD16&lt;0,1-CH16/CD16,CH16/CD16-1)</f>
        <v>#DIV/0!</v>
      </c>
      <c r="CI18" s="39" t="e">
        <f t="shared" si="167"/>
        <v>#DIV/0!</v>
      </c>
      <c r="CJ18" s="39">
        <f t="shared" si="167"/>
        <v>0.32626630000887036</v>
      </c>
      <c r="CK18" s="39">
        <f t="shared" si="167"/>
        <v>0.33317622863018959</v>
      </c>
      <c r="CL18" s="39">
        <f t="shared" si="167"/>
        <v>0.44055614973262047</v>
      </c>
      <c r="CM18" s="40" t="e">
        <f t="shared" ref="CM18" si="168">+CM16/CI16-1</f>
        <v>#DIV/0!</v>
      </c>
      <c r="CN18" s="40" t="e">
        <f t="shared" ref="CN18" si="169">+CN16/CJ16-1</f>
        <v>#DIV/0!</v>
      </c>
      <c r="CO18" s="40" t="e">
        <f t="shared" ref="CO18" si="170">+CO16/CK16-1</f>
        <v>#DIV/0!</v>
      </c>
      <c r="CP18" s="40" t="e">
        <f t="shared" ref="CP18" si="171">+CP16/CL16-1</f>
        <v>#DIV/0!</v>
      </c>
      <c r="CQ18" s="40" t="e">
        <f t="shared" ref="CQ18" si="172">+CQ16/CM16-1</f>
        <v>#DIV/0!</v>
      </c>
      <c r="CR18" s="40" t="e">
        <f t="shared" ref="CR18" si="173">+CR16/CN16-1</f>
        <v>#DIV/0!</v>
      </c>
      <c r="CS18" s="40" t="e">
        <f t="shared" ref="CS18" si="174">+CS16/CO16-1</f>
        <v>#DIV/0!</v>
      </c>
      <c r="CT18" s="40" t="e">
        <f t="shared" ref="CT18" si="175">+CT16/CP16-1</f>
        <v>#DIV/0!</v>
      </c>
      <c r="CU18" s="40" t="e">
        <f t="shared" ref="CU18" si="176">+CU16/CQ16-1</f>
        <v>#DIV/0!</v>
      </c>
      <c r="CV18" s="40" t="e">
        <f t="shared" ref="CV18" si="177">+CV16/CR16-1</f>
        <v>#DIV/0!</v>
      </c>
      <c r="CW18" s="40" t="e">
        <f t="shared" ref="CW18" si="178">+CW16/CS16-1</f>
        <v>#DIV/0!</v>
      </c>
      <c r="CX18" s="40" t="e">
        <f t="shared" ref="CX18" si="179">+CX16/CT16-1</f>
        <v>#DIV/0!</v>
      </c>
      <c r="CY18" s="40" t="e">
        <f t="shared" ref="CY18" si="180">+CY16/CU16-1</f>
        <v>#DIV/0!</v>
      </c>
      <c r="CZ18" s="40" t="e">
        <f t="shared" ref="CZ18" si="181">+CZ16/CV16-1</f>
        <v>#DIV/0!</v>
      </c>
      <c r="DA18" s="40" t="e">
        <f t="shared" ref="DA18" si="182">+DA16/CW16-1</f>
        <v>#DIV/0!</v>
      </c>
      <c r="DB18" s="40" t="e">
        <f t="shared" ref="DB18" si="183">+DB16/CX16-1</f>
        <v>#DIV/0!</v>
      </c>
      <c r="DE18" s="122"/>
      <c r="DF18" s="39">
        <v>1.614303482186652E-2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 t="e">
        <f t="shared" ref="BB19" si="201">+IF(BA16&lt;0,1-BB16/BA16,BB16/BA16-1)</f>
        <v>#DIV/0!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 t="e">
        <f t="shared" ref="BJ19" si="209">+IF(BI16&lt;0,1-BJ16/BI16,BJ16/BI16-1)</f>
        <v>#DIV/0!</v>
      </c>
      <c r="BK19" s="39" t="e">
        <f t="shared" ref="BK19" si="210">+IF(BJ16&lt;0,1-BK16/BJ16,BK16/BJ16-1)</f>
        <v>#DIV/0!</v>
      </c>
      <c r="BL19" s="39" t="e">
        <f t="shared" ref="BL19" si="211">+IF(BK16&lt;0,1-BL16/BK16,BL16/BK16-1)</f>
        <v>#DIV/0!</v>
      </c>
      <c r="BM19" s="39" t="e">
        <f t="shared" ref="BM19" si="212">+IF(BL16&lt;0,1-BM16/BL16,BM16/BL16-1)</f>
        <v>#DIV/0!</v>
      </c>
      <c r="BN19" s="39" t="e">
        <f t="shared" ref="BN19" si="213">+IF(BM16&lt;0,1-BN16/BM16,BN16/BM16-1)</f>
        <v>#DIV/0!</v>
      </c>
      <c r="BO19" s="39" t="e">
        <f t="shared" ref="BO19" si="214">+IF(BN16&lt;0,1-BO16/BN16,BO16/BN16-1)</f>
        <v>#DIV/0!</v>
      </c>
      <c r="BP19" s="39" t="e">
        <f t="shared" ref="BP19" si="215">+IF(BO16&lt;0,1-BP16/BO16,BP16/BO16-1)</f>
        <v>#DIV/0!</v>
      </c>
      <c r="BQ19" s="39" t="e">
        <f t="shared" ref="BQ19" si="216">+IF(BP16&lt;0,1-BQ16/BP16,BQ16/BP16-1)</f>
        <v>#DIV/0!</v>
      </c>
      <c r="BR19" s="39" t="e">
        <f t="shared" ref="BR19" si="217">+IF(BQ16&lt;0,1-BR16/BQ16,BR16/BQ16-1)</f>
        <v>#DIV/0!</v>
      </c>
      <c r="BS19" s="39" t="e">
        <f t="shared" ref="BS19" si="218">+IF(BR16&lt;0,1-BS16/BR16,BS16/BR16-1)</f>
        <v>#DIV/0!</v>
      </c>
      <c r="BT19" s="39" t="e">
        <f t="shared" ref="BT19" si="219">+IF(BS16&lt;0,1-BT16/BS16,BT16/BS16-1)</f>
        <v>#DIV/0!</v>
      </c>
      <c r="BU19" s="39" t="e">
        <f t="shared" ref="BU19" si="220">+IF(BT16&lt;0,1-BU16/BT16,BU16/BT16-1)</f>
        <v>#DIV/0!</v>
      </c>
      <c r="BV19" s="39" t="e">
        <f t="shared" ref="BV19" si="221">+IF(BU16&lt;0,1-BV16/BU16,BV16/BU16-1)</f>
        <v>#DIV/0!</v>
      </c>
      <c r="BW19" s="39" t="e">
        <f t="shared" ref="BW19" si="222">+IF(BV16&lt;0,1-BW16/BV16,BW16/BV16-1)</f>
        <v>#DIV/0!</v>
      </c>
      <c r="BX19" s="39" t="e">
        <f t="shared" ref="BX19" si="223">+IF(BW16&lt;0,1-BX16/BW16,BX16/BW16-1)</f>
        <v>#DIV/0!</v>
      </c>
      <c r="BY19" s="39" t="e">
        <f t="shared" ref="BY19" si="224">+IF(BX16&lt;0,1-BY16/BX16,BY16/BX16-1)</f>
        <v>#DIV/0!</v>
      </c>
      <c r="BZ19" s="39" t="e">
        <f t="shared" ref="BZ19" si="225">+IF(BY16&lt;0,1-BZ16/BY16,BZ16/BY16-1)</f>
        <v>#DIV/0!</v>
      </c>
      <c r="CA19" s="39" t="e">
        <f t="shared" ref="CA19" si="226">+IF(BZ16&lt;0,1-CA16/BZ16,CA16/BZ16-1)</f>
        <v>#DIV/0!</v>
      </c>
      <c r="CB19" s="39" t="e">
        <f t="shared" ref="CB19" si="227">+IF(CA16&lt;0,1-CB16/CA16,CB16/CA16-1)</f>
        <v>#DIV/0!</v>
      </c>
      <c r="CC19" s="39" t="e">
        <f t="shared" ref="CC19" si="228">+IF(CB16&lt;0,1-CC16/CB16,CC16/CB16-1)</f>
        <v>#DIV/0!</v>
      </c>
      <c r="CD19" s="39" t="e">
        <f t="shared" ref="CD19" si="229">+IF(CC16&lt;0,1-CD16/CC16,CD16/CC16-1)</f>
        <v>#DIV/0!</v>
      </c>
      <c r="CE19" s="39" t="e">
        <f t="shared" ref="CE19" si="230">+IF(CD16&lt;0,1-CE16/CD16,CE16/CD16-1)</f>
        <v>#DIV/0!</v>
      </c>
      <c r="CF19" s="39" t="e">
        <f t="shared" ref="CF19" si="231">+IF(CE16&lt;0,1-CF16/CE16,CF16/CE16-1)</f>
        <v>#DIV/0!</v>
      </c>
      <c r="CG19" s="39">
        <f t="shared" ref="CG19" si="232">+IF(CF16&lt;0,1-CG16/CF16,CG16/CF16-1)</f>
        <v>3.5172536148318834E-2</v>
      </c>
      <c r="CH19" s="39">
        <f t="shared" ref="CH19:CL19" si="233">+IF(CG16&lt;0,1-CH16/CG16,CH16/CG16-1)</f>
        <v>1.5424825399545927E-3</v>
      </c>
      <c r="CI19" s="39">
        <f t="shared" si="233"/>
        <v>-1</v>
      </c>
      <c r="CJ19" s="39" t="e">
        <f t="shared" si="233"/>
        <v>#DIV/0!</v>
      </c>
      <c r="CK19" s="39">
        <f t="shared" si="233"/>
        <v>4.0565848438231633E-2</v>
      </c>
      <c r="CL19" s="39">
        <f t="shared" si="233"/>
        <v>8.2211152177406488E-2</v>
      </c>
      <c r="CM19" s="40" t="e">
        <f t="shared" ref="CM19" si="234">+CM16/CL16-1</f>
        <v>#DIV/0!</v>
      </c>
      <c r="CN19" s="40" t="e">
        <f t="shared" ref="CN19" si="235">+CN16/CM16-1</f>
        <v>#DIV/0!</v>
      </c>
      <c r="CO19" s="40" t="e">
        <f t="shared" ref="CO19" si="236">+CO16/CN16-1</f>
        <v>#DIV/0!</v>
      </c>
      <c r="CP19" s="40" t="e">
        <f t="shared" ref="CP19" si="237">+CP16/CO16-1</f>
        <v>#DIV/0!</v>
      </c>
      <c r="CQ19" s="40" t="e">
        <f t="shared" ref="CQ19" si="238">+CQ16/CP16-1</f>
        <v>#DIV/0!</v>
      </c>
      <c r="CR19" s="40" t="e">
        <f t="shared" ref="CR19" si="239">+CR16/CQ16-1</f>
        <v>#DIV/0!</v>
      </c>
      <c r="CS19" s="40" t="e">
        <f t="shared" ref="CS19" si="240">+CS16/CR16-1</f>
        <v>#DIV/0!</v>
      </c>
      <c r="CT19" s="40" t="e">
        <f t="shared" ref="CT19" si="241">+CT16/CS16-1</f>
        <v>#DIV/0!</v>
      </c>
      <c r="CU19" s="40" t="e">
        <f t="shared" ref="CU19" si="242">+CU16/CT16-1</f>
        <v>#DIV/0!</v>
      </c>
      <c r="CV19" s="40" t="e">
        <f t="shared" ref="CV19" si="243">+CV16/CU16-1</f>
        <v>#DIV/0!</v>
      </c>
      <c r="CW19" s="40" t="e">
        <f t="shared" ref="CW19" si="244">+CW16/CV16-1</f>
        <v>#DIV/0!</v>
      </c>
      <c r="CX19" s="40" t="e">
        <f t="shared" ref="CX19" si="245">+CX16/CW16-1</f>
        <v>#DIV/0!</v>
      </c>
      <c r="CY19" s="40" t="e">
        <f t="shared" ref="CY19" si="246">+CY16/CX16-1</f>
        <v>#DIV/0!</v>
      </c>
      <c r="CZ19" s="40" t="e">
        <f t="shared" ref="CZ19" si="247">+CZ16/CY16-1</f>
        <v>#DIV/0!</v>
      </c>
      <c r="DA19" s="40" t="e">
        <f t="shared" ref="DA19" si="248">+DA16/CZ16-1</f>
        <v>#DIV/0!</v>
      </c>
      <c r="DB19" s="40" t="e">
        <f t="shared" ref="DB19" si="249">+DB16/DA16-1</f>
        <v>#DIV/0!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443.86399999999998</v>
      </c>
      <c r="X20" s="23">
        <f>'Annual Raw'!Y14</f>
        <v>377.08600000000001</v>
      </c>
      <c r="Y20" s="23">
        <f>'Annual Raw'!Z14</f>
        <v>344.81799999999998</v>
      </c>
      <c r="Z20" s="23">
        <f>'Annual Raw'!AA14</f>
        <v>350.12</v>
      </c>
      <c r="AA20" s="23">
        <f>'Annual Raw'!AB14</f>
        <v>456.48</v>
      </c>
      <c r="AB20" s="76">
        <f t="shared" ref="AB20:AB25" si="250">+SUM(CM20:CP20)</f>
        <v>382.26820000000004</v>
      </c>
      <c r="AC20" s="76">
        <f t="shared" ref="AC20:AC25" si="251">+SUM(CQ20:CT20)</f>
        <v>409.02697400000005</v>
      </c>
      <c r="AD20" s="76">
        <f t="shared" ref="AD20:AD25" si="252">+SUM(CU20:CX20)</f>
        <v>437.65886218000003</v>
      </c>
      <c r="AE20" s="76">
        <f t="shared" ref="AE20:AE25" si="253">+SUM(CY20:DB20)</f>
        <v>468.29498253260016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0</v>
      </c>
      <c r="BV20" s="23">
        <f>'QTR Raw'!AP16</f>
        <v>0</v>
      </c>
      <c r="BW20" s="23">
        <f>'QTR Raw'!AQ16</f>
        <v>0</v>
      </c>
      <c r="BX20" s="23">
        <f>'QTR Raw'!AR16</f>
        <v>0</v>
      </c>
      <c r="BY20" s="23">
        <f>'QTR Raw'!AS16</f>
        <v>0</v>
      </c>
      <c r="BZ20" s="23">
        <f>'QTR Raw'!AT16</f>
        <v>0</v>
      </c>
      <c r="CA20" s="23">
        <f>'QTR Raw'!AU16</f>
        <v>0</v>
      </c>
      <c r="CB20" s="23">
        <f>'QTR Raw'!AV16</f>
        <v>0</v>
      </c>
      <c r="CC20" s="23">
        <f>'QTR Raw'!AW16</f>
        <v>0</v>
      </c>
      <c r="CD20" s="23">
        <f>'QTR Raw'!AX16</f>
        <v>0</v>
      </c>
      <c r="CE20" s="23">
        <f>'QTR Raw'!AY16</f>
        <v>0</v>
      </c>
      <c r="CF20" s="23">
        <f>'QTR Raw'!AZ16</f>
        <v>89.96</v>
      </c>
      <c r="CG20" s="23">
        <f>'QTR Raw'!BA16</f>
        <v>83.72</v>
      </c>
      <c r="CH20" s="23">
        <f>'QTR Raw'!BB16</f>
        <v>92.27</v>
      </c>
      <c r="CI20" s="23">
        <f>'QTR Raw'!BC16</f>
        <v>0</v>
      </c>
      <c r="CJ20" s="23">
        <f>'QTR Raw'!BD16</f>
        <v>113.75</v>
      </c>
      <c r="CK20" s="23">
        <f>'QTR Raw'!BE16</f>
        <v>114.2</v>
      </c>
      <c r="CL20" s="23">
        <f>'QTR Raw'!BF16</f>
        <v>129.31</v>
      </c>
      <c r="CM20" s="24">
        <f t="shared" ref="CM20:DB20" si="254">CI20*107%</f>
        <v>0</v>
      </c>
      <c r="CN20" s="24">
        <f t="shared" si="254"/>
        <v>121.71250000000001</v>
      </c>
      <c r="CO20" s="24">
        <f t="shared" si="254"/>
        <v>122.19400000000002</v>
      </c>
      <c r="CP20" s="24">
        <f t="shared" si="254"/>
        <v>138.36170000000001</v>
      </c>
      <c r="CQ20" s="24">
        <f t="shared" si="254"/>
        <v>0</v>
      </c>
      <c r="CR20" s="24">
        <f t="shared" si="254"/>
        <v>130.23237500000002</v>
      </c>
      <c r="CS20" s="24">
        <f t="shared" si="254"/>
        <v>130.74758000000003</v>
      </c>
      <c r="CT20" s="24">
        <f t="shared" si="254"/>
        <v>148.04701900000003</v>
      </c>
      <c r="CU20" s="24">
        <f t="shared" si="254"/>
        <v>0</v>
      </c>
      <c r="CV20" s="24">
        <f t="shared" si="254"/>
        <v>139.34864125000001</v>
      </c>
      <c r="CW20" s="24">
        <f t="shared" si="254"/>
        <v>139.89991060000003</v>
      </c>
      <c r="CX20" s="24">
        <f t="shared" si="254"/>
        <v>158.41031033000004</v>
      </c>
      <c r="CY20" s="24">
        <f t="shared" si="254"/>
        <v>0</v>
      </c>
      <c r="CZ20" s="24">
        <f t="shared" si="254"/>
        <v>149.10304613750003</v>
      </c>
      <c r="DA20" s="24">
        <f t="shared" si="254"/>
        <v>149.69290434200005</v>
      </c>
      <c r="DB20" s="24">
        <f t="shared" si="254"/>
        <v>169.49903205310005</v>
      </c>
      <c r="DE20" s="123"/>
      <c r="DF20" s="23">
        <v>0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153.066</v>
      </c>
      <c r="X21" s="23">
        <f>'Annual Raw'!Y17</f>
        <v>152.4</v>
      </c>
      <c r="Y21" s="23">
        <f>'Annual Raw'!Z17</f>
        <v>116.846</v>
      </c>
      <c r="Z21" s="23">
        <f>'Annual Raw'!AA17</f>
        <v>131.76</v>
      </c>
      <c r="AA21" s="23">
        <f>'Annual Raw'!AB17</f>
        <v>219.85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17.100000000000001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17.100000000000001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</v>
      </c>
      <c r="W22" s="23">
        <f>'Annual Raw'!X19-'Annual Raw'!X20</f>
        <v>4.7110000000000003</v>
      </c>
      <c r="X22" s="23">
        <f>'Annual Raw'!Y19-'Annual Raw'!Y20</f>
        <v>6.3010000000000002</v>
      </c>
      <c r="Y22" s="23">
        <f>'Annual Raw'!Z19-'Annual Raw'!Z20</f>
        <v>4.4619999999999997</v>
      </c>
      <c r="Z22" s="23">
        <f>'Annual Raw'!AA19-'Annual Raw'!AA20</f>
        <v>22.09</v>
      </c>
      <c r="AA22" s="23">
        <f>'Annual Raw'!AB19-'Annual Raw'!AB20</f>
        <v>26.13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81.97</v>
      </c>
      <c r="X23" s="23">
        <f>'Annual Raw'!Y15+'Annual Raw'!Y16</f>
        <v>94.204999999999998</v>
      </c>
      <c r="Y23" s="23">
        <f>'Annual Raw'!Z15+'Annual Raw'!Z16</f>
        <v>111.46</v>
      </c>
      <c r="Z23" s="23">
        <f>'Annual Raw'!AA15+'Annual Raw'!AA16</f>
        <v>169.9</v>
      </c>
      <c r="AA23" s="23">
        <f>'Annual Raw'!AB15+'Annual Raw'!AB16</f>
        <v>251.06</v>
      </c>
      <c r="AB23" s="76" t="e">
        <f t="shared" si="250"/>
        <v>#DIV/0!</v>
      </c>
      <c r="AC23" s="76" t="e">
        <f t="shared" si="251"/>
        <v>#DIV/0!</v>
      </c>
      <c r="AD23" s="76" t="e">
        <f t="shared" si="252"/>
        <v>#DIV/0!</v>
      </c>
      <c r="AE23" s="76" t="e">
        <f t="shared" si="253"/>
        <v>#DIV/0!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0</v>
      </c>
      <c r="BV23" s="23">
        <f>'QTR Raw'!AP14</f>
        <v>0</v>
      </c>
      <c r="BW23" s="23">
        <f>'QTR Raw'!AQ14</f>
        <v>0</v>
      </c>
      <c r="BX23" s="23">
        <f>'QTR Raw'!AR14</f>
        <v>0</v>
      </c>
      <c r="BY23" s="23">
        <f>'QTR Raw'!AS14</f>
        <v>0</v>
      </c>
      <c r="BZ23" s="23">
        <f>'QTR Raw'!AT14</f>
        <v>0</v>
      </c>
      <c r="CA23" s="23">
        <f>'QTR Raw'!AU14</f>
        <v>0</v>
      </c>
      <c r="CB23" s="23">
        <f>'QTR Raw'!AV14</f>
        <v>0</v>
      </c>
      <c r="CC23" s="23">
        <f>'QTR Raw'!AW14</f>
        <v>0</v>
      </c>
      <c r="CD23" s="23">
        <f>'QTR Raw'!AX14</f>
        <v>0</v>
      </c>
      <c r="CE23" s="23">
        <f>'QTR Raw'!AY14</f>
        <v>0</v>
      </c>
      <c r="CF23" s="23">
        <f>'QTR Raw'!AZ14</f>
        <v>151.81</v>
      </c>
      <c r="CG23" s="23">
        <f>'QTR Raw'!BA14</f>
        <v>151.57</v>
      </c>
      <c r="CH23" s="23">
        <f>'QTR Raw'!BB14</f>
        <v>151.41</v>
      </c>
      <c r="CI23" s="23">
        <f>'QTR Raw'!BC14</f>
        <v>0</v>
      </c>
      <c r="CJ23" s="23">
        <f>'QTR Raw'!BD14</f>
        <v>236.53</v>
      </c>
      <c r="CK23" s="23">
        <f>'QTR Raw'!BE14</f>
        <v>232.26</v>
      </c>
      <c r="CL23" s="23">
        <f>'QTR Raw'!BF14</f>
        <v>321.86</v>
      </c>
      <c r="CM23" s="24" t="e">
        <f t="shared" ref="CM23:DB23" si="255">CM26-CM20-CM21-CM22-CM24-CM25</f>
        <v>#DIV/0!</v>
      </c>
      <c r="CN23" s="24" t="e">
        <f t="shared" si="255"/>
        <v>#DIV/0!</v>
      </c>
      <c r="CO23" s="24" t="e">
        <f t="shared" si="255"/>
        <v>#DIV/0!</v>
      </c>
      <c r="CP23" s="24" t="e">
        <f t="shared" si="255"/>
        <v>#DIV/0!</v>
      </c>
      <c r="CQ23" s="24" t="e">
        <f t="shared" si="255"/>
        <v>#DIV/0!</v>
      </c>
      <c r="CR23" s="24" t="e">
        <f t="shared" si="255"/>
        <v>#DIV/0!</v>
      </c>
      <c r="CS23" s="24" t="e">
        <f t="shared" si="255"/>
        <v>#DIV/0!</v>
      </c>
      <c r="CT23" s="24" t="e">
        <f t="shared" si="255"/>
        <v>#DIV/0!</v>
      </c>
      <c r="CU23" s="24" t="e">
        <f t="shared" si="255"/>
        <v>#DIV/0!</v>
      </c>
      <c r="CV23" s="24" t="e">
        <f t="shared" si="255"/>
        <v>#DIV/0!</v>
      </c>
      <c r="CW23" s="24" t="e">
        <f t="shared" si="255"/>
        <v>#DIV/0!</v>
      </c>
      <c r="CX23" s="24" t="e">
        <f t="shared" si="255"/>
        <v>#DIV/0!</v>
      </c>
      <c r="CY23" s="24" t="e">
        <f t="shared" si="255"/>
        <v>#DIV/0!</v>
      </c>
      <c r="CZ23" s="24" t="e">
        <f t="shared" si="255"/>
        <v>#DIV/0!</v>
      </c>
      <c r="DA23" s="24" t="e">
        <f t="shared" si="255"/>
        <v>#DIV/0!</v>
      </c>
      <c r="DB23" s="24" t="e">
        <f t="shared" si="255"/>
        <v>#DIV/0!</v>
      </c>
      <c r="DE23" s="123"/>
      <c r="DF23" s="23">
        <v>790.65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2.6360000000000001</v>
      </c>
      <c r="X24" s="23">
        <f>'Annual Raw'!Y13</f>
        <v>3.9940000000000002</v>
      </c>
      <c r="Y24" s="23">
        <f>'Annual Raw'!Z13</f>
        <v>3.4009999999999998</v>
      </c>
      <c r="Z24" s="23">
        <f>'Annual Raw'!AA13</f>
        <v>3.9</v>
      </c>
      <c r="AA24" s="23">
        <f>'Annual Raw'!AB13</f>
        <v>5.13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228.184</v>
      </c>
      <c r="X25" s="23">
        <f>'Annual Raw'!Y18</f>
        <v>258.82600000000002</v>
      </c>
      <c r="Y25" s="23">
        <f>'Annual Raw'!Z18</f>
        <v>264.16800000000001</v>
      </c>
      <c r="Z25" s="23">
        <f>'Annual Raw'!AA18</f>
        <v>286.18</v>
      </c>
      <c r="AA25" s="23">
        <f>'Annual Raw'!AB18</f>
        <v>501.21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0</v>
      </c>
      <c r="K26" s="22">
        <f t="shared" si="257"/>
        <v>0</v>
      </c>
      <c r="L26" s="22">
        <f t="shared" si="257"/>
        <v>0</v>
      </c>
      <c r="M26" s="22">
        <f t="shared" si="257"/>
        <v>0</v>
      </c>
      <c r="N26" s="22">
        <f t="shared" si="257"/>
        <v>0</v>
      </c>
      <c r="O26" s="22">
        <f t="shared" si="257"/>
        <v>0</v>
      </c>
      <c r="P26" s="22">
        <f t="shared" si="257"/>
        <v>0</v>
      </c>
      <c r="Q26" s="22">
        <f t="shared" si="257"/>
        <v>0</v>
      </c>
      <c r="R26" s="22">
        <f t="shared" si="257"/>
        <v>0</v>
      </c>
      <c r="S26" s="22">
        <f t="shared" si="257"/>
        <v>0</v>
      </c>
      <c r="T26" s="22">
        <f t="shared" si="257"/>
        <v>0</v>
      </c>
      <c r="U26" s="22">
        <f t="shared" si="257"/>
        <v>0</v>
      </c>
      <c r="V26" s="22">
        <f t="shared" si="257"/>
        <v>0</v>
      </c>
      <c r="W26" s="22">
        <f t="shared" si="257"/>
        <v>914.43099999999993</v>
      </c>
      <c r="X26" s="22">
        <f t="shared" si="257"/>
        <v>892.81200000000013</v>
      </c>
      <c r="Y26" s="22">
        <f t="shared" si="257"/>
        <v>845.15499999999997</v>
      </c>
      <c r="Z26" s="22">
        <f t="shared" ref="Z26:AA26" si="258">+SUM(Z20:Z25)</f>
        <v>963.95</v>
      </c>
      <c r="AA26" s="22">
        <f t="shared" si="258"/>
        <v>1459.86</v>
      </c>
      <c r="AB26" s="21" t="e">
        <f t="shared" si="257"/>
        <v>#DIV/0!</v>
      </c>
      <c r="AC26" s="21" t="e">
        <f t="shared" si="257"/>
        <v>#DIV/0!</v>
      </c>
      <c r="AD26" s="21" t="e">
        <f t="shared" si="257"/>
        <v>#DIV/0!</v>
      </c>
      <c r="AE26" s="21" t="e">
        <f t="shared" si="257"/>
        <v>#DIV/0!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0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0</v>
      </c>
      <c r="BH26" s="22">
        <f t="shared" si="259"/>
        <v>0</v>
      </c>
      <c r="BI26" s="22">
        <f t="shared" si="259"/>
        <v>0</v>
      </c>
      <c r="BJ26" s="22">
        <f t="shared" si="259"/>
        <v>0</v>
      </c>
      <c r="BK26" s="22">
        <f t="shared" si="259"/>
        <v>0</v>
      </c>
      <c r="BL26" s="22">
        <f t="shared" si="259"/>
        <v>0</v>
      </c>
      <c r="BM26" s="22">
        <f t="shared" si="259"/>
        <v>0</v>
      </c>
      <c r="BN26" s="22">
        <f t="shared" si="259"/>
        <v>0</v>
      </c>
      <c r="BO26" s="22">
        <f t="shared" ref="BO26:CH26" si="260">+SUM(BO20:BO25)</f>
        <v>0</v>
      </c>
      <c r="BP26" s="22">
        <f t="shared" si="260"/>
        <v>0</v>
      </c>
      <c r="BQ26" s="22">
        <f t="shared" si="260"/>
        <v>0</v>
      </c>
      <c r="BR26" s="22">
        <f t="shared" si="260"/>
        <v>0</v>
      </c>
      <c r="BS26" s="22">
        <f t="shared" si="260"/>
        <v>0</v>
      </c>
      <c r="BT26" s="22">
        <f t="shared" si="260"/>
        <v>0</v>
      </c>
      <c r="BU26" s="22">
        <f t="shared" si="260"/>
        <v>0</v>
      </c>
      <c r="BV26" s="22">
        <f t="shared" si="260"/>
        <v>0</v>
      </c>
      <c r="BW26" s="22">
        <f t="shared" si="260"/>
        <v>0</v>
      </c>
      <c r="BX26" s="22">
        <f t="shared" si="260"/>
        <v>0</v>
      </c>
      <c r="BY26" s="22">
        <f t="shared" si="260"/>
        <v>0</v>
      </c>
      <c r="BZ26" s="22">
        <f t="shared" si="260"/>
        <v>0</v>
      </c>
      <c r="CA26" s="22">
        <f t="shared" si="260"/>
        <v>0</v>
      </c>
      <c r="CB26" s="22">
        <f t="shared" si="260"/>
        <v>0</v>
      </c>
      <c r="CC26" s="22">
        <f t="shared" si="260"/>
        <v>0</v>
      </c>
      <c r="CD26" s="22">
        <f t="shared" si="260"/>
        <v>0</v>
      </c>
      <c r="CE26" s="22">
        <f t="shared" si="260"/>
        <v>0</v>
      </c>
      <c r="CF26" s="22">
        <f t="shared" si="260"/>
        <v>241.76999999999998</v>
      </c>
      <c r="CG26" s="22">
        <f t="shared" si="260"/>
        <v>235.29</v>
      </c>
      <c r="CH26" s="22">
        <f t="shared" si="260"/>
        <v>243.68</v>
      </c>
      <c r="CI26" s="22">
        <f t="shared" ref="CI26:CJ26" si="261">+SUM(CI20:CI25)</f>
        <v>0</v>
      </c>
      <c r="CJ26" s="22">
        <f t="shared" si="261"/>
        <v>367.38</v>
      </c>
      <c r="CK26" s="22">
        <f t="shared" ref="CK26:CL26" si="262">+SUM(CK20:CK25)</f>
        <v>346.46</v>
      </c>
      <c r="CL26" s="22">
        <f t="shared" si="262"/>
        <v>451.17</v>
      </c>
      <c r="CM26" s="21" t="e">
        <f t="shared" ref="CM26:DB26" si="263">CM27*CM10</f>
        <v>#DIV/0!</v>
      </c>
      <c r="CN26" s="21" t="e">
        <f t="shared" si="263"/>
        <v>#DIV/0!</v>
      </c>
      <c r="CO26" s="21" t="e">
        <f t="shared" si="263"/>
        <v>#DIV/0!</v>
      </c>
      <c r="CP26" s="21" t="e">
        <f t="shared" si="263"/>
        <v>#DIV/0!</v>
      </c>
      <c r="CQ26" s="21" t="e">
        <f t="shared" si="263"/>
        <v>#DIV/0!</v>
      </c>
      <c r="CR26" s="21" t="e">
        <f t="shared" si="263"/>
        <v>#DIV/0!</v>
      </c>
      <c r="CS26" s="21" t="e">
        <f t="shared" si="263"/>
        <v>#DIV/0!</v>
      </c>
      <c r="CT26" s="21" t="e">
        <f t="shared" si="263"/>
        <v>#DIV/0!</v>
      </c>
      <c r="CU26" s="21" t="e">
        <f t="shared" si="263"/>
        <v>#DIV/0!</v>
      </c>
      <c r="CV26" s="21" t="e">
        <f t="shared" si="263"/>
        <v>#DIV/0!</v>
      </c>
      <c r="CW26" s="21" t="e">
        <f t="shared" si="263"/>
        <v>#DIV/0!</v>
      </c>
      <c r="CX26" s="21" t="e">
        <f t="shared" si="263"/>
        <v>#DIV/0!</v>
      </c>
      <c r="CY26" s="21" t="e">
        <f t="shared" si="263"/>
        <v>#DIV/0!</v>
      </c>
      <c r="CZ26" s="21" t="e">
        <f t="shared" si="263"/>
        <v>#DIV/0!</v>
      </c>
      <c r="DA26" s="21" t="e">
        <f t="shared" si="263"/>
        <v>#DIV/0!</v>
      </c>
      <c r="DB26" s="21" t="e">
        <f t="shared" si="263"/>
        <v>#DIV/0!</v>
      </c>
      <c r="DE26" s="126"/>
      <c r="DF26" s="22">
        <v>1165.01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 t="e">
        <f t="shared" si="265"/>
        <v>#DIV/0!</v>
      </c>
      <c r="N27" s="44" t="e">
        <f t="shared" si="265"/>
        <v>#DIV/0!</v>
      </c>
      <c r="O27" s="44" t="e">
        <f t="shared" si="265"/>
        <v>#DIV/0!</v>
      </c>
      <c r="P27" s="44" t="e">
        <f t="shared" si="265"/>
        <v>#DIV/0!</v>
      </c>
      <c r="Q27" s="44" t="e">
        <f t="shared" si="265"/>
        <v>#DIV/0!</v>
      </c>
      <c r="R27" s="44" t="e">
        <f t="shared" si="265"/>
        <v>#DIV/0!</v>
      </c>
      <c r="S27" s="44" t="e">
        <f t="shared" si="265"/>
        <v>#DIV/0!</v>
      </c>
      <c r="T27" s="44" t="e">
        <f t="shared" si="265"/>
        <v>#DIV/0!</v>
      </c>
      <c r="U27" s="44" t="e">
        <f t="shared" si="265"/>
        <v>#DIV/0!</v>
      </c>
      <c r="V27" s="44" t="e">
        <f t="shared" si="265"/>
        <v>#DIV/0!</v>
      </c>
      <c r="W27" s="44">
        <f t="shared" si="265"/>
        <v>2.089769753756499</v>
      </c>
      <c r="X27" s="44">
        <f t="shared" si="265"/>
        <v>1.4024759777378784</v>
      </c>
      <c r="Y27" s="44">
        <f t="shared" si="265"/>
        <v>1.0206964099814255</v>
      </c>
      <c r="Z27" s="44">
        <f t="shared" ref="Z27:AA27" si="266">Z26/Z10</f>
        <v>0.84226759984971211</v>
      </c>
      <c r="AA27" s="44">
        <f t="shared" si="266"/>
        <v>0.93849081347956331</v>
      </c>
      <c r="AB27" s="52" t="e">
        <f t="shared" si="265"/>
        <v>#DIV/0!</v>
      </c>
      <c r="AC27" s="52" t="e">
        <f t="shared" si="265"/>
        <v>#DIV/0!</v>
      </c>
      <c r="AD27" s="52" t="e">
        <f t="shared" si="265"/>
        <v>#DIV/0!</v>
      </c>
      <c r="AE27" s="52" t="e">
        <f t="shared" si="265"/>
        <v>#DIV/0!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 t="e">
        <f t="shared" si="267"/>
        <v>#DIV/0!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 t="e">
        <f t="shared" si="267"/>
        <v>#DIV/0!</v>
      </c>
      <c r="BH27" s="44" t="e">
        <f t="shared" si="267"/>
        <v>#DIV/0!</v>
      </c>
      <c r="BI27" s="44" t="e">
        <f t="shared" si="267"/>
        <v>#DIV/0!</v>
      </c>
      <c r="BJ27" s="44" t="e">
        <f t="shared" si="267"/>
        <v>#DIV/0!</v>
      </c>
      <c r="BK27" s="44" t="e">
        <f t="shared" si="267"/>
        <v>#DIV/0!</v>
      </c>
      <c r="BL27" s="44" t="e">
        <f t="shared" si="267"/>
        <v>#DIV/0!</v>
      </c>
      <c r="BM27" s="44" t="e">
        <f t="shared" si="267"/>
        <v>#DIV/0!</v>
      </c>
      <c r="BN27" s="44" t="e">
        <f t="shared" si="267"/>
        <v>#DIV/0!</v>
      </c>
      <c r="BO27" s="44" t="e">
        <f t="shared" ref="BO27:CH27" si="268">BO26/BO10</f>
        <v>#DIV/0!</v>
      </c>
      <c r="BP27" s="44" t="e">
        <f t="shared" si="268"/>
        <v>#DIV/0!</v>
      </c>
      <c r="BQ27" s="44" t="e">
        <f t="shared" si="268"/>
        <v>#DIV/0!</v>
      </c>
      <c r="BR27" s="44" t="e">
        <f t="shared" si="268"/>
        <v>#DIV/0!</v>
      </c>
      <c r="BS27" s="44" t="e">
        <f t="shared" si="268"/>
        <v>#DIV/0!</v>
      </c>
      <c r="BT27" s="44" t="e">
        <f t="shared" si="268"/>
        <v>#DIV/0!</v>
      </c>
      <c r="BU27" s="44" t="e">
        <f t="shared" si="268"/>
        <v>#DIV/0!</v>
      </c>
      <c r="BV27" s="44" t="e">
        <f t="shared" si="268"/>
        <v>#DIV/0!</v>
      </c>
      <c r="BW27" s="44" t="e">
        <f t="shared" si="268"/>
        <v>#DIV/0!</v>
      </c>
      <c r="BX27" s="44" t="e">
        <f t="shared" si="268"/>
        <v>#DIV/0!</v>
      </c>
      <c r="BY27" s="44" t="e">
        <f t="shared" si="268"/>
        <v>#DIV/0!</v>
      </c>
      <c r="BZ27" s="44" t="e">
        <f t="shared" si="268"/>
        <v>#DIV/0!</v>
      </c>
      <c r="CA27" s="44" t="e">
        <f t="shared" si="268"/>
        <v>#DIV/0!</v>
      </c>
      <c r="CB27" s="44" t="e">
        <f t="shared" si="268"/>
        <v>#DIV/0!</v>
      </c>
      <c r="CC27" s="44" t="e">
        <f t="shared" si="268"/>
        <v>#DIV/0!</v>
      </c>
      <c r="CD27" s="44" t="e">
        <f t="shared" si="268"/>
        <v>#DIV/0!</v>
      </c>
      <c r="CE27" s="44" t="e">
        <f t="shared" si="268"/>
        <v>#DIV/0!</v>
      </c>
      <c r="CF27" s="44">
        <f t="shared" si="268"/>
        <v>0.87206030875775487</v>
      </c>
      <c r="CG27" s="44">
        <f t="shared" si="268"/>
        <v>0.81720616838010551</v>
      </c>
      <c r="CH27" s="44">
        <f t="shared" si="268"/>
        <v>0.81648517339587878</v>
      </c>
      <c r="CI27" s="44" t="e">
        <f t="shared" ref="CI27:CJ27" si="269">CI26/CI10</f>
        <v>#DIV/0!</v>
      </c>
      <c r="CJ27" s="44">
        <f t="shared" si="269"/>
        <v>0.96671315422466653</v>
      </c>
      <c r="CK27" s="44">
        <f t="shared" ref="CK27:CL27" si="270">CK26/CK10</f>
        <v>0.90535172990488133</v>
      </c>
      <c r="CL27" s="44">
        <f t="shared" si="270"/>
        <v>1.0601795281511421</v>
      </c>
      <c r="CM27" s="52" t="e">
        <f t="shared" ref="CM27:DB27" si="271">AVERAGE(CI27:CL27)</f>
        <v>#DIV/0!</v>
      </c>
      <c r="CN27" s="52" t="e">
        <f t="shared" si="271"/>
        <v>#DIV/0!</v>
      </c>
      <c r="CO27" s="52" t="e">
        <f t="shared" si="271"/>
        <v>#DIV/0!</v>
      </c>
      <c r="CP27" s="52" t="e">
        <f t="shared" si="271"/>
        <v>#DIV/0!</v>
      </c>
      <c r="CQ27" s="52" t="e">
        <f t="shared" si="271"/>
        <v>#DIV/0!</v>
      </c>
      <c r="CR27" s="52" t="e">
        <f t="shared" si="271"/>
        <v>#DIV/0!</v>
      </c>
      <c r="CS27" s="52" t="e">
        <f t="shared" si="271"/>
        <v>#DIV/0!</v>
      </c>
      <c r="CT27" s="52" t="e">
        <f t="shared" si="271"/>
        <v>#DIV/0!</v>
      </c>
      <c r="CU27" s="52" t="e">
        <f t="shared" si="271"/>
        <v>#DIV/0!</v>
      </c>
      <c r="CV27" s="52" t="e">
        <f t="shared" si="271"/>
        <v>#DIV/0!</v>
      </c>
      <c r="CW27" s="52" t="e">
        <f t="shared" si="271"/>
        <v>#DIV/0!</v>
      </c>
      <c r="CX27" s="52" t="e">
        <f t="shared" si="271"/>
        <v>#DIV/0!</v>
      </c>
      <c r="CY27" s="52" t="e">
        <f t="shared" si="271"/>
        <v>#DIV/0!</v>
      </c>
      <c r="CZ27" s="52" t="e">
        <f t="shared" si="271"/>
        <v>#DIV/0!</v>
      </c>
      <c r="DA27" s="52" t="e">
        <f t="shared" si="271"/>
        <v>#DIV/0!</v>
      </c>
      <c r="DB27" s="52" t="e">
        <f t="shared" si="271"/>
        <v>#DIV/0!</v>
      </c>
      <c r="DE27" s="128"/>
      <c r="DF27" s="44">
        <v>0.98042532421082751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0</v>
      </c>
      <c r="K28" s="26">
        <f t="shared" si="273"/>
        <v>0</v>
      </c>
      <c r="L28" s="26">
        <f t="shared" si="273"/>
        <v>0</v>
      </c>
      <c r="M28" s="26">
        <f t="shared" si="273"/>
        <v>0</v>
      </c>
      <c r="N28" s="26">
        <f t="shared" si="273"/>
        <v>0</v>
      </c>
      <c r="O28" s="26">
        <f t="shared" si="273"/>
        <v>0</v>
      </c>
      <c r="P28" s="26">
        <f t="shared" si="273"/>
        <v>0</v>
      </c>
      <c r="Q28" s="26">
        <f t="shared" si="273"/>
        <v>0</v>
      </c>
      <c r="R28" s="26">
        <f t="shared" si="273"/>
        <v>0</v>
      </c>
      <c r="S28" s="26">
        <f t="shared" si="273"/>
        <v>0</v>
      </c>
      <c r="T28" s="26">
        <f t="shared" si="273"/>
        <v>0</v>
      </c>
      <c r="U28" s="26">
        <f t="shared" si="273"/>
        <v>0</v>
      </c>
      <c r="V28" s="26">
        <f t="shared" si="273"/>
        <v>0</v>
      </c>
      <c r="W28" s="26">
        <f t="shared" si="273"/>
        <v>-549.37199999999996</v>
      </c>
      <c r="X28" s="26">
        <f t="shared" si="273"/>
        <v>-364.01300000000015</v>
      </c>
      <c r="Y28" s="26">
        <f t="shared" si="273"/>
        <v>-146.38999999999999</v>
      </c>
      <c r="Z28" s="26">
        <f t="shared" ref="Z28:AA28" si="274">Z16-Z26</f>
        <v>-32.090000000000032</v>
      </c>
      <c r="AA28" s="26">
        <f t="shared" si="274"/>
        <v>-223.3900000000001</v>
      </c>
      <c r="AB28" s="27" t="e">
        <f t="shared" si="273"/>
        <v>#DIV/0!</v>
      </c>
      <c r="AC28" s="27" t="e">
        <f t="shared" si="273"/>
        <v>#DIV/0!</v>
      </c>
      <c r="AD28" s="27" t="e">
        <f t="shared" si="273"/>
        <v>#DIV/0!</v>
      </c>
      <c r="AE28" s="27" t="e">
        <f t="shared" si="273"/>
        <v>#DIV/0!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0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0</v>
      </c>
      <c r="BH28" s="26">
        <f t="shared" si="275"/>
        <v>0</v>
      </c>
      <c r="BI28" s="26">
        <f t="shared" si="275"/>
        <v>0</v>
      </c>
      <c r="BJ28" s="26">
        <f t="shared" si="275"/>
        <v>0</v>
      </c>
      <c r="BK28" s="26">
        <f t="shared" si="275"/>
        <v>0</v>
      </c>
      <c r="BL28" s="26">
        <f t="shared" si="275"/>
        <v>0</v>
      </c>
      <c r="BM28" s="26">
        <f t="shared" si="275"/>
        <v>0</v>
      </c>
      <c r="BN28" s="26">
        <f t="shared" si="275"/>
        <v>0</v>
      </c>
      <c r="BO28" s="26">
        <f t="shared" ref="BO28:CT28" si="276">BO16-BO26</f>
        <v>0</v>
      </c>
      <c r="BP28" s="26">
        <f t="shared" si="276"/>
        <v>0</v>
      </c>
      <c r="BQ28" s="26">
        <f t="shared" si="276"/>
        <v>0</v>
      </c>
      <c r="BR28" s="26">
        <f t="shared" si="276"/>
        <v>0</v>
      </c>
      <c r="BS28" s="26">
        <f t="shared" si="276"/>
        <v>0</v>
      </c>
      <c r="BT28" s="26">
        <f t="shared" si="276"/>
        <v>0</v>
      </c>
      <c r="BU28" s="26">
        <f t="shared" si="276"/>
        <v>0</v>
      </c>
      <c r="BV28" s="26">
        <f t="shared" si="276"/>
        <v>0</v>
      </c>
      <c r="BW28" s="26">
        <f t="shared" si="276"/>
        <v>0</v>
      </c>
      <c r="BX28" s="26">
        <f t="shared" si="276"/>
        <v>0</v>
      </c>
      <c r="BY28" s="26">
        <f t="shared" si="276"/>
        <v>0</v>
      </c>
      <c r="BZ28" s="26">
        <f t="shared" si="276"/>
        <v>0</v>
      </c>
      <c r="CA28" s="26">
        <f t="shared" si="276"/>
        <v>0</v>
      </c>
      <c r="CB28" s="26">
        <f t="shared" si="276"/>
        <v>0</v>
      </c>
      <c r="CC28" s="26">
        <f t="shared" si="276"/>
        <v>0</v>
      </c>
      <c r="CD28" s="26">
        <f t="shared" si="276"/>
        <v>0</v>
      </c>
      <c r="CE28" s="26">
        <f t="shared" si="276"/>
        <v>0</v>
      </c>
      <c r="CF28" s="26">
        <f t="shared" si="276"/>
        <v>-16.309999999999945</v>
      </c>
      <c r="CG28" s="26">
        <f t="shared" si="276"/>
        <v>-1.8999999999999773</v>
      </c>
      <c r="CH28" s="26">
        <f t="shared" si="276"/>
        <v>-9.9300000000000068</v>
      </c>
      <c r="CI28" s="26">
        <f t="shared" ref="CI28:CJ28" si="277">CI16-CI26</f>
        <v>0</v>
      </c>
      <c r="CJ28" s="26">
        <f t="shared" si="277"/>
        <v>-68.360000000000014</v>
      </c>
      <c r="CK28" s="26">
        <f t="shared" ref="CK28:CL28" si="278">CK16-CK26</f>
        <v>-35.31</v>
      </c>
      <c r="CL28" s="26">
        <f t="shared" si="278"/>
        <v>-114.44</v>
      </c>
      <c r="CM28" s="27" t="e">
        <f t="shared" si="276"/>
        <v>#DIV/0!</v>
      </c>
      <c r="CN28" s="27" t="e">
        <f t="shared" si="276"/>
        <v>#DIV/0!</v>
      </c>
      <c r="CO28" s="27" t="e">
        <f t="shared" si="276"/>
        <v>#DIV/0!</v>
      </c>
      <c r="CP28" s="27" t="e">
        <f t="shared" si="276"/>
        <v>#DIV/0!</v>
      </c>
      <c r="CQ28" s="27" t="e">
        <f t="shared" si="276"/>
        <v>#DIV/0!</v>
      </c>
      <c r="CR28" s="27" t="e">
        <f t="shared" si="276"/>
        <v>#DIV/0!</v>
      </c>
      <c r="CS28" s="27" t="e">
        <f t="shared" si="276"/>
        <v>#DIV/0!</v>
      </c>
      <c r="CT28" s="27" t="e">
        <f t="shared" si="276"/>
        <v>#DIV/0!</v>
      </c>
      <c r="CU28" s="27" t="e">
        <f t="shared" ref="CU28:DB28" si="279">CU16-CU26</f>
        <v>#DIV/0!</v>
      </c>
      <c r="CV28" s="27" t="e">
        <f t="shared" si="279"/>
        <v>#DIV/0!</v>
      </c>
      <c r="CW28" s="27" t="e">
        <f t="shared" si="279"/>
        <v>#DIV/0!</v>
      </c>
      <c r="CX28" s="27" t="e">
        <f t="shared" si="279"/>
        <v>#DIV/0!</v>
      </c>
      <c r="CY28" s="27" t="e">
        <f t="shared" si="279"/>
        <v>#DIV/0!</v>
      </c>
      <c r="CZ28" s="27" t="e">
        <f t="shared" si="279"/>
        <v>#DIV/0!</v>
      </c>
      <c r="DA28" s="27" t="e">
        <f t="shared" si="279"/>
        <v>#DIV/0!</v>
      </c>
      <c r="DB28" s="27" t="e">
        <f t="shared" si="279"/>
        <v>#DIV/0!</v>
      </c>
      <c r="DE28" s="121"/>
      <c r="DF28" s="26">
        <v>-218.11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 t="e">
        <f t="shared" si="281"/>
        <v>#DIV/0!</v>
      </c>
      <c r="L29" s="166" t="e">
        <f t="shared" si="281"/>
        <v>#DIV/0!</v>
      </c>
      <c r="M29" s="166" t="e">
        <f t="shared" si="281"/>
        <v>#DIV/0!</v>
      </c>
      <c r="N29" s="166" t="e">
        <f t="shared" si="281"/>
        <v>#DIV/0!</v>
      </c>
      <c r="O29" s="166" t="e">
        <f t="shared" si="281"/>
        <v>#DIV/0!</v>
      </c>
      <c r="P29" s="166" t="e">
        <f t="shared" si="281"/>
        <v>#DIV/0!</v>
      </c>
      <c r="Q29" s="166" t="e">
        <f t="shared" si="281"/>
        <v>#DIV/0!</v>
      </c>
      <c r="R29" s="166" t="e">
        <f t="shared" si="281"/>
        <v>#DIV/0!</v>
      </c>
      <c r="S29" s="166" t="e">
        <f t="shared" si="281"/>
        <v>#DIV/0!</v>
      </c>
      <c r="T29" s="166" t="e">
        <f t="shared" si="281"/>
        <v>#DIV/0!</v>
      </c>
      <c r="U29" s="166" t="e">
        <f t="shared" si="281"/>
        <v>#DIV/0!</v>
      </c>
      <c r="V29" s="166" t="e">
        <f t="shared" si="281"/>
        <v>#DIV/0!</v>
      </c>
      <c r="W29" s="166">
        <f t="shared" si="281"/>
        <v>-1.2554922013369136</v>
      </c>
      <c r="X29" s="166">
        <f t="shared" si="281"/>
        <v>-0.57181073740529753</v>
      </c>
      <c r="Y29" s="166">
        <f t="shared" si="281"/>
        <v>-0.17679567352400549</v>
      </c>
      <c r="Z29" s="166">
        <f t="shared" ref="Z29:AA29" si="282">Z28/Z10</f>
        <v>-2.8039179707637623E-2</v>
      </c>
      <c r="AA29" s="166">
        <f t="shared" si="282"/>
        <v>-0.14360929323578958</v>
      </c>
      <c r="AB29" s="167" t="e">
        <f t="shared" si="281"/>
        <v>#DIV/0!</v>
      </c>
      <c r="AC29" s="167" t="e">
        <f t="shared" si="281"/>
        <v>#DIV/0!</v>
      </c>
      <c r="AD29" s="167" t="e">
        <f t="shared" si="281"/>
        <v>#DIV/0!</v>
      </c>
      <c r="AE29" s="167" t="e">
        <f t="shared" si="281"/>
        <v>#DIV/0!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 t="e">
        <f t="shared" si="283"/>
        <v>#DIV/0!</v>
      </c>
      <c r="BM29" s="166" t="e">
        <f t="shared" si="283"/>
        <v>#DIV/0!</v>
      </c>
      <c r="BN29" s="166" t="e">
        <f t="shared" si="283"/>
        <v>#DIV/0!</v>
      </c>
      <c r="BO29" s="166" t="e">
        <f t="shared" ref="BO29:CT29" si="284">BO28/BO10</f>
        <v>#DIV/0!</v>
      </c>
      <c r="BP29" s="166" t="e">
        <f t="shared" si="284"/>
        <v>#DIV/0!</v>
      </c>
      <c r="BQ29" s="166" t="e">
        <f t="shared" si="284"/>
        <v>#DIV/0!</v>
      </c>
      <c r="BR29" s="166" t="e">
        <f t="shared" si="284"/>
        <v>#DIV/0!</v>
      </c>
      <c r="BS29" s="166" t="e">
        <f t="shared" si="284"/>
        <v>#DIV/0!</v>
      </c>
      <c r="BT29" s="166" t="e">
        <f t="shared" si="284"/>
        <v>#DIV/0!</v>
      </c>
      <c r="BU29" s="166" t="e">
        <f t="shared" si="284"/>
        <v>#DIV/0!</v>
      </c>
      <c r="BV29" s="166" t="e">
        <f t="shared" si="284"/>
        <v>#DIV/0!</v>
      </c>
      <c r="BW29" s="166" t="e">
        <f t="shared" si="284"/>
        <v>#DIV/0!</v>
      </c>
      <c r="BX29" s="166" t="e">
        <f t="shared" si="284"/>
        <v>#DIV/0!</v>
      </c>
      <c r="BY29" s="166" t="e">
        <f t="shared" si="284"/>
        <v>#DIV/0!</v>
      </c>
      <c r="BZ29" s="166" t="e">
        <f t="shared" si="284"/>
        <v>#DIV/0!</v>
      </c>
      <c r="CA29" s="166" t="e">
        <f t="shared" si="284"/>
        <v>#DIV/0!</v>
      </c>
      <c r="CB29" s="166" t="e">
        <f t="shared" si="284"/>
        <v>#DIV/0!</v>
      </c>
      <c r="CC29" s="166" t="e">
        <f t="shared" si="284"/>
        <v>#DIV/0!</v>
      </c>
      <c r="CD29" s="166" t="e">
        <f t="shared" si="284"/>
        <v>#DIV/0!</v>
      </c>
      <c r="CE29" s="166" t="e">
        <f t="shared" si="284"/>
        <v>#DIV/0!</v>
      </c>
      <c r="CF29" s="166">
        <f t="shared" si="284"/>
        <v>-5.8829894676092717E-2</v>
      </c>
      <c r="CG29" s="166">
        <f t="shared" si="284"/>
        <v>-6.5990552931369031E-3</v>
      </c>
      <c r="CH29" s="166">
        <f t="shared" si="284"/>
        <v>-3.3271904841682048E-2</v>
      </c>
      <c r="CI29" s="166" t="e">
        <f t="shared" ref="CI29:CJ29" si="285">CI28/CI10</f>
        <v>#DIV/0!</v>
      </c>
      <c r="CJ29" s="166">
        <f t="shared" si="285"/>
        <v>-0.17988053574717791</v>
      </c>
      <c r="CK29" s="166">
        <f t="shared" ref="CK29:CL29" si="286">CK28/CK10</f>
        <v>-9.227030417058639E-2</v>
      </c>
      <c r="CL29" s="166">
        <f t="shared" si="286"/>
        <v>-0.26891625152739917</v>
      </c>
      <c r="CM29" s="167" t="e">
        <f t="shared" si="284"/>
        <v>#DIV/0!</v>
      </c>
      <c r="CN29" s="167" t="e">
        <f t="shared" si="284"/>
        <v>#DIV/0!</v>
      </c>
      <c r="CO29" s="167" t="e">
        <f t="shared" si="284"/>
        <v>#DIV/0!</v>
      </c>
      <c r="CP29" s="167" t="e">
        <f t="shared" si="284"/>
        <v>#DIV/0!</v>
      </c>
      <c r="CQ29" s="167" t="e">
        <f t="shared" si="284"/>
        <v>#DIV/0!</v>
      </c>
      <c r="CR29" s="167" t="e">
        <f t="shared" si="284"/>
        <v>#DIV/0!</v>
      </c>
      <c r="CS29" s="167" t="e">
        <f t="shared" si="284"/>
        <v>#DIV/0!</v>
      </c>
      <c r="CT29" s="167" t="e">
        <f t="shared" si="284"/>
        <v>#DIV/0!</v>
      </c>
      <c r="CU29" s="167" t="e">
        <f t="shared" ref="CU29:DB29" si="287">CU28/CU10</f>
        <v>#DIV/0!</v>
      </c>
      <c r="CV29" s="167" t="e">
        <f t="shared" si="287"/>
        <v>#DIV/0!</v>
      </c>
      <c r="CW29" s="167" t="e">
        <f t="shared" si="287"/>
        <v>#DIV/0!</v>
      </c>
      <c r="CX29" s="167" t="e">
        <f t="shared" si="287"/>
        <v>#DIV/0!</v>
      </c>
      <c r="CY29" s="167" t="e">
        <f t="shared" si="287"/>
        <v>#DIV/0!</v>
      </c>
      <c r="CZ29" s="167" t="e">
        <f t="shared" si="287"/>
        <v>#DIV/0!</v>
      </c>
      <c r="DA29" s="167" t="e">
        <f t="shared" si="287"/>
        <v>#DIV/0!</v>
      </c>
      <c r="DB29" s="167" t="e">
        <f t="shared" si="287"/>
        <v>#DIV/0!</v>
      </c>
      <c r="DE29" s="169"/>
      <c r="DF29" s="168">
        <v>-0.18355255960345715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 t="e">
        <f t="shared" si="289"/>
        <v>#DIV/0!</v>
      </c>
      <c r="L30" s="39" t="e">
        <f t="shared" si="289"/>
        <v>#DIV/0!</v>
      </c>
      <c r="M30" s="39" t="e">
        <f t="shared" si="289"/>
        <v>#DIV/0!</v>
      </c>
      <c r="N30" s="39" t="e">
        <f t="shared" si="289"/>
        <v>#DIV/0!</v>
      </c>
      <c r="O30" s="39" t="e">
        <f t="shared" si="289"/>
        <v>#DIV/0!</v>
      </c>
      <c r="P30" s="39" t="e">
        <f t="shared" si="289"/>
        <v>#DIV/0!</v>
      </c>
      <c r="Q30" s="39" t="e">
        <f t="shared" si="289"/>
        <v>#DIV/0!</v>
      </c>
      <c r="R30" s="39" t="e">
        <f t="shared" si="289"/>
        <v>#DIV/0!</v>
      </c>
      <c r="S30" s="39" t="e">
        <f t="shared" si="289"/>
        <v>#DIV/0!</v>
      </c>
      <c r="T30" s="39" t="e">
        <f t="shared" si="289"/>
        <v>#DIV/0!</v>
      </c>
      <c r="U30" s="39" t="e">
        <f t="shared" si="289"/>
        <v>#DIV/0!</v>
      </c>
      <c r="V30" s="39" t="e">
        <f t="shared" si="289"/>
        <v>#DIV/0!</v>
      </c>
      <c r="W30" s="39" t="e">
        <f t="shared" si="289"/>
        <v>#DIV/0!</v>
      </c>
      <c r="X30" s="39">
        <f t="shared" si="289"/>
        <v>0.33740161493487075</v>
      </c>
      <c r="Y30" s="39">
        <f t="shared" si="289"/>
        <v>0.59784403304277611</v>
      </c>
      <c r="Z30" s="39">
        <f t="shared" ref="Z30:AE30" si="290">+IF(Y28&lt;0,1-Z28/Y28,Z28/Y28-1)</f>
        <v>0.78079103763918278</v>
      </c>
      <c r="AA30" s="39">
        <f t="shared" si="290"/>
        <v>-5.961358678716107</v>
      </c>
      <c r="AB30" s="40" t="e">
        <f t="shared" si="290"/>
        <v>#DIV/0!</v>
      </c>
      <c r="AC30" s="40" t="e">
        <f t="shared" si="290"/>
        <v>#DIV/0!</v>
      </c>
      <c r="AD30" s="40" t="e">
        <f t="shared" si="290"/>
        <v>#DIV/0!</v>
      </c>
      <c r="AE30" s="40" t="e">
        <f t="shared" si="290"/>
        <v>#DIV/0!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 t="e">
        <f t="shared" ref="BP30" si="319">+IF(BL28&lt;0,1-BP28/BL28,BP28/BL28-1)</f>
        <v>#DIV/0!</v>
      </c>
      <c r="BQ30" s="39" t="e">
        <f t="shared" ref="BQ30" si="320">+IF(BM28&lt;0,1-BQ28/BM28,BQ28/BM28-1)</f>
        <v>#DIV/0!</v>
      </c>
      <c r="BR30" s="39" t="e">
        <f t="shared" ref="BR30" si="321">+IF(BN28&lt;0,1-BR28/BN28,BR28/BN28-1)</f>
        <v>#DIV/0!</v>
      </c>
      <c r="BS30" s="39" t="e">
        <f t="shared" ref="BS30" si="322">+IF(BO28&lt;0,1-BS28/BO28,BS28/BO28-1)</f>
        <v>#DIV/0!</v>
      </c>
      <c r="BT30" s="39" t="e">
        <f t="shared" ref="BT30" si="323">+IF(BP28&lt;0,1-BT28/BP28,BT28/BP28-1)</f>
        <v>#DIV/0!</v>
      </c>
      <c r="BU30" s="39" t="e">
        <f t="shared" ref="BU30" si="324">+IF(BQ28&lt;0,1-BU28/BQ28,BU28/BQ28-1)</f>
        <v>#DIV/0!</v>
      </c>
      <c r="BV30" s="39" t="e">
        <f t="shared" ref="BV30" si="325">+IF(BR28&lt;0,1-BV28/BR28,BV28/BR28-1)</f>
        <v>#DIV/0!</v>
      </c>
      <c r="BW30" s="39" t="e">
        <f t="shared" ref="BW30" si="326">+IF(BS28&lt;0,1-BW28/BS28,BW28/BS28-1)</f>
        <v>#DIV/0!</v>
      </c>
      <c r="BX30" s="39" t="e">
        <f t="shared" ref="BX30" si="327">+IF(BT28&lt;0,1-BX28/BT28,BX28/BT28-1)</f>
        <v>#DIV/0!</v>
      </c>
      <c r="BY30" s="39" t="e">
        <f t="shared" ref="BY30" si="328">+IF(BU28&lt;0,1-BY28/BU28,BY28/BU28-1)</f>
        <v>#DIV/0!</v>
      </c>
      <c r="BZ30" s="39" t="e">
        <f t="shared" ref="BZ30" si="329">+IF(BV28&lt;0,1-BZ28/BV28,BZ28/BV28-1)</f>
        <v>#DIV/0!</v>
      </c>
      <c r="CA30" s="39" t="e">
        <f t="shared" ref="CA30" si="330">+IF(BW28&lt;0,1-CA28/BW28,CA28/BW28-1)</f>
        <v>#DIV/0!</v>
      </c>
      <c r="CB30" s="39" t="e">
        <f t="shared" ref="CB30" si="331">+IF(BX28&lt;0,1-CB28/BX28,CB28/BX28-1)</f>
        <v>#DIV/0!</v>
      </c>
      <c r="CC30" s="39" t="e">
        <f t="shared" ref="CC30" si="332">+IF(BY28&lt;0,1-CC28/BY28,CC28/BY28-1)</f>
        <v>#DIV/0!</v>
      </c>
      <c r="CD30" s="39" t="e">
        <f t="shared" ref="CD30" si="333">+IF(BZ28&lt;0,1-CD28/BZ28,CD28/BZ28-1)</f>
        <v>#DIV/0!</v>
      </c>
      <c r="CE30" s="39" t="e">
        <f t="shared" ref="CE30" si="334">+IF(CA28&lt;0,1-CE28/CA28,CE28/CA28-1)</f>
        <v>#DIV/0!</v>
      </c>
      <c r="CF30" s="39" t="e">
        <f t="shared" ref="CF30" si="335">+IF(CB28&lt;0,1-CF28/CB28,CF28/CB28-1)</f>
        <v>#DIV/0!</v>
      </c>
      <c r="CG30" s="39" t="e">
        <f t="shared" ref="CG30" si="336">+IF(CC28&lt;0,1-CG28/CC28,CG28/CC28-1)</f>
        <v>#DIV/0!</v>
      </c>
      <c r="CH30" s="39" t="e">
        <f t="shared" ref="CH30:CL30" si="337">+IF(CD28&lt;0,1-CH28/CD28,CH28/CD28-1)</f>
        <v>#DIV/0!</v>
      </c>
      <c r="CI30" s="39" t="e">
        <f t="shared" si="337"/>
        <v>#DIV/0!</v>
      </c>
      <c r="CJ30" s="39">
        <f t="shared" si="337"/>
        <v>-3.1912936848559319</v>
      </c>
      <c r="CK30" s="39">
        <f t="shared" si="337"/>
        <v>-17.584210526316014</v>
      </c>
      <c r="CL30" s="39">
        <f t="shared" si="337"/>
        <v>-10.524672708962731</v>
      </c>
      <c r="CM30" s="40" t="e">
        <f t="shared" ref="CM30" si="338">+CM28/CI28-1</f>
        <v>#DIV/0!</v>
      </c>
      <c r="CN30" s="40" t="e">
        <f t="shared" ref="CN30" si="339">+CN28/CJ28-1</f>
        <v>#DIV/0!</v>
      </c>
      <c r="CO30" s="40" t="e">
        <f t="shared" ref="CO30" si="340">+CO28/CK28-1</f>
        <v>#DIV/0!</v>
      </c>
      <c r="CP30" s="40" t="e">
        <f t="shared" ref="CP30" si="341">+CP28/CL28-1</f>
        <v>#DIV/0!</v>
      </c>
      <c r="CQ30" s="40" t="e">
        <f t="shared" ref="CQ30" si="342">+CQ28/CM28-1</f>
        <v>#DIV/0!</v>
      </c>
      <c r="CR30" s="40" t="e">
        <f t="shared" ref="CR30" si="343">+CR28/CN28-1</f>
        <v>#DIV/0!</v>
      </c>
      <c r="CS30" s="40" t="e">
        <f t="shared" ref="CS30" si="344">+CS28/CO28-1</f>
        <v>#DIV/0!</v>
      </c>
      <c r="CT30" s="40" t="e">
        <f t="shared" ref="CT30" si="345">+CT28/CP28-1</f>
        <v>#DIV/0!</v>
      </c>
      <c r="CU30" s="40" t="e">
        <f t="shared" ref="CU30" si="346">+CU28/CQ28-1</f>
        <v>#DIV/0!</v>
      </c>
      <c r="CV30" s="40" t="e">
        <f t="shared" ref="CV30" si="347">+CV28/CR28-1</f>
        <v>#DIV/0!</v>
      </c>
      <c r="CW30" s="40" t="e">
        <f t="shared" ref="CW30" si="348">+CW28/CS28-1</f>
        <v>#DIV/0!</v>
      </c>
      <c r="CX30" s="40" t="e">
        <f t="shared" ref="CX30" si="349">+CX28/CT28-1</f>
        <v>#DIV/0!</v>
      </c>
      <c r="CY30" s="40" t="e">
        <f t="shared" ref="CY30" si="350">+CY28/CU28-1</f>
        <v>#DIV/0!</v>
      </c>
      <c r="CZ30" s="40" t="e">
        <f t="shared" ref="CZ30" si="351">+CZ28/CV28-1</f>
        <v>#DIV/0!</v>
      </c>
      <c r="DA30" s="40" t="e">
        <f t="shared" ref="DA30" si="352">+DA28/CW28-1</f>
        <v>#DIV/0!</v>
      </c>
      <c r="DB30" s="40" t="e">
        <f t="shared" ref="DB30" si="353">+DB28/CX28-1</f>
        <v>#DIV/0!</v>
      </c>
      <c r="DE30" s="122"/>
      <c r="DF30" s="38">
        <v>-5.7972450760408716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 t="e">
        <f t="shared" ref="BM31" si="380">+IF(BL28&lt;0,1-BM28/BL28,BM28/BL28-1)</f>
        <v>#DIV/0!</v>
      </c>
      <c r="BN31" s="39" t="e">
        <f t="shared" ref="BN31" si="381">+IF(BM28&lt;0,1-BN28/BM28,BN28/BM28-1)</f>
        <v>#DIV/0!</v>
      </c>
      <c r="BO31" s="39" t="e">
        <f t="shared" ref="BO31" si="382">+IF(BN28&lt;0,1-BO28/BN28,BO28/BN28-1)</f>
        <v>#DIV/0!</v>
      </c>
      <c r="BP31" s="39" t="e">
        <f t="shared" ref="BP31" si="383">+IF(BO28&lt;0,1-BP28/BO28,BP28/BO28-1)</f>
        <v>#DIV/0!</v>
      </c>
      <c r="BQ31" s="39" t="e">
        <f t="shared" ref="BQ31" si="384">+IF(BP28&lt;0,1-BQ28/BP28,BQ28/BP28-1)</f>
        <v>#DIV/0!</v>
      </c>
      <c r="BR31" s="39" t="e">
        <f t="shared" ref="BR31" si="385">+IF(BQ28&lt;0,1-BR28/BQ28,BR28/BQ28-1)</f>
        <v>#DIV/0!</v>
      </c>
      <c r="BS31" s="39" t="e">
        <f t="shared" ref="BS31" si="386">+IF(BR28&lt;0,1-BS28/BR28,BS28/BR28-1)</f>
        <v>#DIV/0!</v>
      </c>
      <c r="BT31" s="39" t="e">
        <f t="shared" ref="BT31" si="387">+IF(BS28&lt;0,1-BT28/BS28,BT28/BS28-1)</f>
        <v>#DIV/0!</v>
      </c>
      <c r="BU31" s="39" t="e">
        <f t="shared" ref="BU31" si="388">+IF(BT28&lt;0,1-BU28/BT28,BU28/BT28-1)</f>
        <v>#DIV/0!</v>
      </c>
      <c r="BV31" s="39" t="e">
        <f t="shared" ref="BV31" si="389">+IF(BU28&lt;0,1-BV28/BU28,BV28/BU28-1)</f>
        <v>#DIV/0!</v>
      </c>
      <c r="BW31" s="39" t="e">
        <f t="shared" ref="BW31" si="390">+IF(BV28&lt;0,1-BW28/BV28,BW28/BV28-1)</f>
        <v>#DIV/0!</v>
      </c>
      <c r="BX31" s="39" t="e">
        <f t="shared" ref="BX31" si="391">+IF(BW28&lt;0,1-BX28/BW28,BX28/BW28-1)</f>
        <v>#DIV/0!</v>
      </c>
      <c r="BY31" s="39" t="e">
        <f t="shared" ref="BY31" si="392">+IF(BX28&lt;0,1-BY28/BX28,BY28/BX28-1)</f>
        <v>#DIV/0!</v>
      </c>
      <c r="BZ31" s="39" t="e">
        <f t="shared" ref="BZ31" si="393">+IF(BY28&lt;0,1-BZ28/BY28,BZ28/BY28-1)</f>
        <v>#DIV/0!</v>
      </c>
      <c r="CA31" s="39" t="e">
        <f t="shared" ref="CA31" si="394">+IF(BZ28&lt;0,1-CA28/BZ28,CA28/BZ28-1)</f>
        <v>#DIV/0!</v>
      </c>
      <c r="CB31" s="39" t="e">
        <f t="shared" ref="CB31" si="395">+IF(CA28&lt;0,1-CB28/CA28,CB28/CA28-1)</f>
        <v>#DIV/0!</v>
      </c>
      <c r="CC31" s="39" t="e">
        <f t="shared" ref="CC31" si="396">+IF(CB28&lt;0,1-CC28/CB28,CC28/CB28-1)</f>
        <v>#DIV/0!</v>
      </c>
      <c r="CD31" s="39" t="e">
        <f t="shared" ref="CD31" si="397">+IF(CC28&lt;0,1-CD28/CC28,CD28/CC28-1)</f>
        <v>#DIV/0!</v>
      </c>
      <c r="CE31" s="39" t="e">
        <f t="shared" ref="CE31" si="398">+IF(CD28&lt;0,1-CE28/CD28,CE28/CD28-1)</f>
        <v>#DIV/0!</v>
      </c>
      <c r="CF31" s="39" t="e">
        <f t="shared" ref="CF31" si="399">+IF(CE28&lt;0,1-CF28/CE28,CF28/CE28-1)</f>
        <v>#DIV/0!</v>
      </c>
      <c r="CG31" s="39">
        <f t="shared" ref="CG31" si="400">+IF(CF28&lt;0,1-CG28/CF28,CG28/CF28-1)</f>
        <v>0.88350705088902615</v>
      </c>
      <c r="CH31" s="39">
        <f t="shared" ref="CH31:CI31" si="401">+IF(CG28&lt;0,1-CH28/CG28,CH28/CG28-1)</f>
        <v>-4.22631578947375</v>
      </c>
      <c r="CI31" s="39">
        <f t="shared" si="401"/>
        <v>1</v>
      </c>
      <c r="CJ31" s="39" t="e">
        <f>+IF(CI28&gt;1,CJ28/CI28-1,1-CJ28/CI28)</f>
        <v>#DIV/0!</v>
      </c>
      <c r="CK31" s="39">
        <f>+IF(CJ28&gt;1,CK28/CJ28-1,1-CK28/CJ28)</f>
        <v>0.48346986541837333</v>
      </c>
      <c r="CL31" s="39">
        <f>+IF(CK28&gt;1,CL28/CK28-1,1-CL28/CK28)</f>
        <v>-2.2410082129708293</v>
      </c>
      <c r="CM31" s="40" t="e">
        <f t="shared" ref="CM31" si="402">+CM28/CL28-1</f>
        <v>#DIV/0!</v>
      </c>
      <c r="CN31" s="40" t="e">
        <f t="shared" ref="CN31" si="403">+CN28/CM28-1</f>
        <v>#DIV/0!</v>
      </c>
      <c r="CO31" s="40" t="e">
        <f t="shared" ref="CO31" si="404">+CO28/CN28-1</f>
        <v>#DIV/0!</v>
      </c>
      <c r="CP31" s="40" t="e">
        <f t="shared" ref="CP31" si="405">+CP28/CO28-1</f>
        <v>#DIV/0!</v>
      </c>
      <c r="CQ31" s="40" t="e">
        <f t="shared" ref="CQ31" si="406">+CQ28/CP28-1</f>
        <v>#DIV/0!</v>
      </c>
      <c r="CR31" s="40" t="e">
        <f t="shared" ref="CR31" si="407">+CR28/CQ28-1</f>
        <v>#DIV/0!</v>
      </c>
      <c r="CS31" s="40" t="e">
        <f t="shared" ref="CS31" si="408">+CS28/CR28-1</f>
        <v>#DIV/0!</v>
      </c>
      <c r="CT31" s="40" t="e">
        <f t="shared" ref="CT31" si="409">+CT28/CS28-1</f>
        <v>#DIV/0!</v>
      </c>
      <c r="CU31" s="40" t="e">
        <f t="shared" ref="CU31" si="410">+CU28/CT28-1</f>
        <v>#DIV/0!</v>
      </c>
      <c r="CV31" s="40" t="e">
        <f t="shared" ref="CV31" si="411">+CV28/CU28-1</f>
        <v>#DIV/0!</v>
      </c>
      <c r="CW31" s="40" t="e">
        <f t="shared" ref="CW31" si="412">+CW28/CV28-1</f>
        <v>#DIV/0!</v>
      </c>
      <c r="CX31" s="40" t="e">
        <f t="shared" ref="CX31" si="413">+CX28/CW28-1</f>
        <v>#DIV/0!</v>
      </c>
      <c r="CY31" s="40" t="e">
        <f t="shared" ref="CY31" si="414">+CY28/CX28-1</f>
        <v>#DIV/0!</v>
      </c>
      <c r="CZ31" s="40" t="e">
        <f t="shared" ref="CZ31" si="415">+CZ28/CY28-1</f>
        <v>#DIV/0!</v>
      </c>
      <c r="DA31" s="40" t="e">
        <f t="shared" ref="DA31" si="416">+DA28/CZ28-1</f>
        <v>#DIV/0!</v>
      </c>
      <c r="DB31" s="40" t="e">
        <f t="shared" ref="DB31" si="417">+DB28/DA28-1</f>
        <v>#DIV/0!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28.015999999999998</v>
      </c>
      <c r="X32" s="23">
        <f>'Annual Raw'!Y27</f>
        <v>30.651</v>
      </c>
      <c r="Y32" s="23">
        <f>'Annual Raw'!Z27</f>
        <v>36.798999999999999</v>
      </c>
      <c r="Z32" s="23">
        <f>'Annual Raw'!AA27</f>
        <v>37</v>
      </c>
      <c r="AA32" s="23">
        <f>'Annual Raw'!AB27</f>
        <v>45.21</v>
      </c>
      <c r="AB32" s="76">
        <f>+SUM(CM32:CP32)</f>
        <v>36.165889042879961</v>
      </c>
      <c r="AC32" s="76">
        <f>+SUM(CQ32:CT32)</f>
        <v>4.1104898828551112E-3</v>
      </c>
      <c r="AD32" s="76">
        <f>+SUM(CU32:CX32)</f>
        <v>4.6718407131683641E-7</v>
      </c>
      <c r="AE32" s="76">
        <f>+SUM(CY32:DB32)</f>
        <v>5.3086230623674481E-11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0</v>
      </c>
      <c r="CB32" s="23">
        <f>'QTR Raw'!AV28</f>
        <v>0</v>
      </c>
      <c r="CC32" s="23">
        <f>'QTR Raw'!AW28</f>
        <v>0</v>
      </c>
      <c r="CD32" s="23">
        <f>'QTR Raw'!AX28</f>
        <v>0</v>
      </c>
      <c r="CE32" s="23">
        <f>'QTR Raw'!AY28</f>
        <v>0</v>
      </c>
      <c r="CF32" s="23">
        <f>'QTR Raw'!AZ28</f>
        <v>9.57</v>
      </c>
      <c r="CG32" s="23">
        <f>'QTR Raw'!BA28</f>
        <v>9.34</v>
      </c>
      <c r="CH32" s="23">
        <f>'QTR Raw'!BB28</f>
        <v>9.2899999999999991</v>
      </c>
      <c r="CI32" s="23">
        <f>'QTR Raw'!BC28</f>
        <v>0</v>
      </c>
      <c r="CJ32" s="23">
        <f>'QTR Raw'!BD28</f>
        <v>10.41</v>
      </c>
      <c r="CK32" s="23">
        <f>'QTR Raw'!BE28</f>
        <v>11.73</v>
      </c>
      <c r="CL32" s="23">
        <f>'QTR Raw'!BF28</f>
        <v>13.57</v>
      </c>
      <c r="CM32" s="24">
        <f t="shared" ref="CM32:DB32" si="418">CM33*CL134</f>
        <v>39.904626016260174</v>
      </c>
      <c r="CN32" s="24">
        <f t="shared" si="418"/>
        <v>-4.1202337431423448</v>
      </c>
      <c r="CO32" s="24">
        <f t="shared" si="418"/>
        <v>0.42542250843826601</v>
      </c>
      <c r="CP32" s="24">
        <f t="shared" si="418"/>
        <v>-4.3925738676139282E-2</v>
      </c>
      <c r="CQ32" s="24">
        <f t="shared" si="418"/>
        <v>4.5354217982654394E-3</v>
      </c>
      <c r="CR32" s="24">
        <f t="shared" si="418"/>
        <v>-4.6829151900881273E-4</v>
      </c>
      <c r="CS32" s="24">
        <f t="shared" si="418"/>
        <v>4.8352051154381119E-5</v>
      </c>
      <c r="CT32" s="24">
        <f t="shared" si="418"/>
        <v>-4.9924475558967297E-6</v>
      </c>
      <c r="CU32" s="24">
        <f t="shared" si="418"/>
        <v>5.1548034358029712E-7</v>
      </c>
      <c r="CV32" s="24">
        <f t="shared" si="418"/>
        <v>-5.3224386519792559E-8</v>
      </c>
      <c r="CW32" s="24">
        <f t="shared" si="418"/>
        <v>5.4955380185090447E-9</v>
      </c>
      <c r="CX32" s="24">
        <f t="shared" si="418"/>
        <v>-5.6742376217720812E-10</v>
      </c>
      <c r="CY32" s="24">
        <f t="shared" si="418"/>
        <v>5.8573584645613666E-11</v>
      </c>
      <c r="CZ32" s="24">
        <f t="shared" si="418"/>
        <v>-6.051767578481497E-12</v>
      </c>
      <c r="DA32" s="24">
        <f t="shared" si="418"/>
        <v>6.2712617393590645E-13</v>
      </c>
      <c r="DB32" s="24">
        <f t="shared" si="418"/>
        <v>-6.2712617393590645E-14</v>
      </c>
      <c r="DE32" s="123"/>
      <c r="DF32" s="23">
        <v>6.0041198501872639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 t="e">
        <f t="shared" si="420"/>
        <v>#DIV/0!</v>
      </c>
      <c r="K33" s="46" t="e">
        <f t="shared" si="420"/>
        <v>#DIV/0!</v>
      </c>
      <c r="L33" s="46" t="e">
        <f t="shared" si="420"/>
        <v>#DIV/0!</v>
      </c>
      <c r="M33" s="46" t="e">
        <f t="shared" si="420"/>
        <v>#DIV/0!</v>
      </c>
      <c r="N33" s="46" t="e">
        <f t="shared" si="420"/>
        <v>#DIV/0!</v>
      </c>
      <c r="O33" s="46" t="e">
        <f t="shared" si="420"/>
        <v>#DIV/0!</v>
      </c>
      <c r="P33" s="46" t="e">
        <f t="shared" si="420"/>
        <v>#DIV/0!</v>
      </c>
      <c r="Q33" s="46" t="e">
        <f t="shared" si="420"/>
        <v>#DIV/0!</v>
      </c>
      <c r="R33" s="46" t="e">
        <f t="shared" si="420"/>
        <v>#DIV/0!</v>
      </c>
      <c r="S33" s="46" t="e">
        <f t="shared" si="420"/>
        <v>#DIV/0!</v>
      </c>
      <c r="T33" s="46" t="e">
        <f t="shared" si="420"/>
        <v>#DIV/0!</v>
      </c>
      <c r="U33" s="46" t="e">
        <f t="shared" si="420"/>
        <v>#DIV/0!</v>
      </c>
      <c r="V33" s="46" t="e">
        <f t="shared" si="420"/>
        <v>#DIV/0!</v>
      </c>
      <c r="W33" s="46">
        <f t="shared" si="420"/>
        <v>0.32309626229659438</v>
      </c>
      <c r="X33" s="46">
        <f t="shared" si="420"/>
        <v>0.25417952035028363</v>
      </c>
      <c r="Y33" s="46">
        <f t="shared" si="420"/>
        <v>0.31489008497129112</v>
      </c>
      <c r="Z33" s="46">
        <f t="shared" si="420"/>
        <v>0.29140741907537215</v>
      </c>
      <c r="AA33" s="46">
        <f t="shared" ref="AA33" si="421">+AA32/AA134</f>
        <v>0.28538063375836381</v>
      </c>
      <c r="AB33" s="110">
        <f t="shared" si="420"/>
        <v>8797.4376737620241</v>
      </c>
      <c r="AC33" s="110">
        <f t="shared" si="420"/>
        <v>8797.4379127954617</v>
      </c>
      <c r="AD33" s="110">
        <f t="shared" si="420"/>
        <v>8799.5600638046017</v>
      </c>
      <c r="AE33" s="110" t="e">
        <f t="shared" si="420"/>
        <v>#DIV/0!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 t="e">
        <f t="shared" ref="BO33:CL33" si="423">+BO32/BN134</f>
        <v>#DIV/0!</v>
      </c>
      <c r="BP33" s="46" t="e">
        <f t="shared" si="423"/>
        <v>#DIV/0!</v>
      </c>
      <c r="BQ33" s="46" t="e">
        <f t="shared" si="423"/>
        <v>#DIV/0!</v>
      </c>
      <c r="BR33" s="46" t="e">
        <f t="shared" si="423"/>
        <v>#DIV/0!</v>
      </c>
      <c r="BS33" s="46" t="e">
        <f t="shared" si="423"/>
        <v>#DIV/0!</v>
      </c>
      <c r="BT33" s="46" t="e">
        <f t="shared" si="423"/>
        <v>#DIV/0!</v>
      </c>
      <c r="BU33" s="46" t="e">
        <f t="shared" si="423"/>
        <v>#DIV/0!</v>
      </c>
      <c r="BV33" s="46" t="e">
        <f t="shared" si="423"/>
        <v>#DIV/0!</v>
      </c>
      <c r="BW33" s="46" t="e">
        <f t="shared" si="423"/>
        <v>#DIV/0!</v>
      </c>
      <c r="BX33" s="46" t="e">
        <f t="shared" si="423"/>
        <v>#DIV/0!</v>
      </c>
      <c r="BY33" s="46" t="e">
        <f t="shared" si="423"/>
        <v>#DIV/0!</v>
      </c>
      <c r="BZ33" s="46" t="e">
        <f t="shared" si="423"/>
        <v>#DIV/0!</v>
      </c>
      <c r="CA33" s="46" t="e">
        <f t="shared" si="423"/>
        <v>#DIV/0!</v>
      </c>
      <c r="CB33" s="46" t="e">
        <f t="shared" si="423"/>
        <v>#DIV/0!</v>
      </c>
      <c r="CC33" s="46" t="e">
        <f t="shared" si="423"/>
        <v>#DIV/0!</v>
      </c>
      <c r="CD33" s="46" t="e">
        <f t="shared" si="423"/>
        <v>#DIV/0!</v>
      </c>
      <c r="CE33" s="46" t="e">
        <f t="shared" si="423"/>
        <v>#DIV/0!</v>
      </c>
      <c r="CF33" s="46" t="e">
        <f t="shared" si="423"/>
        <v>#DIV/0!</v>
      </c>
      <c r="CG33" s="46" t="e">
        <f t="shared" si="423"/>
        <v>#DIV/0!</v>
      </c>
      <c r="CH33" s="46" t="e">
        <f t="shared" si="423"/>
        <v>#DIV/0!</v>
      </c>
      <c r="CI33" s="46">
        <f t="shared" si="423"/>
        <v>0</v>
      </c>
      <c r="CJ33" s="46">
        <f t="shared" si="423"/>
        <v>8.1987871150665512E-2</v>
      </c>
      <c r="CK33" s="46">
        <f t="shared" si="423"/>
        <v>0.48813982521847687</v>
      </c>
      <c r="CL33" s="46">
        <f t="shared" si="423"/>
        <v>1.1032520325203254</v>
      </c>
      <c r="CM33" s="47">
        <f t="shared" ref="CM33" si="424">CL33</f>
        <v>1.1032520325203254</v>
      </c>
      <c r="CN33" s="47">
        <f t="shared" ref="CN33" si="425">CM33</f>
        <v>1.1032520325203254</v>
      </c>
      <c r="CO33" s="47">
        <f t="shared" ref="CO33" si="426">CN33</f>
        <v>1.1032520325203254</v>
      </c>
      <c r="CP33" s="47">
        <f t="shared" ref="CP33" si="427">CO33</f>
        <v>1.1032520325203254</v>
      </c>
      <c r="CQ33" s="47">
        <f t="shared" ref="CQ33" si="428">CP33</f>
        <v>1.1032520325203254</v>
      </c>
      <c r="CR33" s="47">
        <f t="shared" ref="CR33" si="429">CQ33</f>
        <v>1.1032520325203254</v>
      </c>
      <c r="CS33" s="47">
        <f t="shared" ref="CS33" si="430">CR33</f>
        <v>1.1032520325203254</v>
      </c>
      <c r="CT33" s="47">
        <f t="shared" ref="CT33" si="431">CS33</f>
        <v>1.1032520325203254</v>
      </c>
      <c r="CU33" s="47">
        <f t="shared" ref="CU33" si="432">CT33</f>
        <v>1.1032520325203254</v>
      </c>
      <c r="CV33" s="47">
        <f t="shared" ref="CV33" si="433">CU33</f>
        <v>1.1032520325203254</v>
      </c>
      <c r="CW33" s="47">
        <f t="shared" ref="CW33" si="434">CV33</f>
        <v>1.1032520325203254</v>
      </c>
      <c r="CX33" s="47">
        <f t="shared" ref="CX33" si="435">CW33</f>
        <v>1.1032520325203254</v>
      </c>
      <c r="CY33" s="47">
        <f t="shared" ref="CY33" si="436">CX33</f>
        <v>1.1032520325203254</v>
      </c>
      <c r="CZ33" s="47">
        <f t="shared" ref="CZ33" si="437">CY33</f>
        <v>1.1032520325203254</v>
      </c>
      <c r="DA33" s="47">
        <f t="shared" ref="DA33" si="438">CZ33</f>
        <v>1.1032520325203254</v>
      </c>
      <c r="DB33" s="47">
        <f t="shared" ref="DB33" si="439">DA33</f>
        <v>1.1032520325203254</v>
      </c>
      <c r="DE33" s="130"/>
      <c r="DF33" s="46">
        <v>0.48813982521847687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0</v>
      </c>
      <c r="K34" s="26">
        <f t="shared" si="440"/>
        <v>0</v>
      </c>
      <c r="L34" s="26">
        <f t="shared" si="440"/>
        <v>0</v>
      </c>
      <c r="M34" s="26">
        <f t="shared" si="440"/>
        <v>0</v>
      </c>
      <c r="N34" s="26">
        <f t="shared" si="440"/>
        <v>0</v>
      </c>
      <c r="O34" s="26">
        <f t="shared" si="440"/>
        <v>0</v>
      </c>
      <c r="P34" s="26">
        <f t="shared" si="440"/>
        <v>0</v>
      </c>
      <c r="Q34" s="26">
        <f t="shared" si="440"/>
        <v>0</v>
      </c>
      <c r="R34" s="26">
        <f t="shared" si="440"/>
        <v>0</v>
      </c>
      <c r="S34" s="26">
        <f t="shared" si="440"/>
        <v>0</v>
      </c>
      <c r="T34" s="26">
        <f t="shared" si="440"/>
        <v>0</v>
      </c>
      <c r="U34" s="26">
        <f t="shared" ref="U34:Z34" si="441">U28-U32</f>
        <v>0</v>
      </c>
      <c r="V34" s="26">
        <f t="shared" si="441"/>
        <v>0</v>
      </c>
      <c r="W34" s="26">
        <f t="shared" si="441"/>
        <v>-577.38799999999992</v>
      </c>
      <c r="X34" s="26">
        <f t="shared" si="441"/>
        <v>-394.66400000000016</v>
      </c>
      <c r="Y34" s="26">
        <f t="shared" si="441"/>
        <v>-183.18899999999999</v>
      </c>
      <c r="Z34" s="26">
        <f t="shared" si="441"/>
        <v>-69.090000000000032</v>
      </c>
      <c r="AA34" s="26">
        <f t="shared" ref="AA34" si="442">AA28-AA32</f>
        <v>-268.60000000000008</v>
      </c>
      <c r="AB34" s="27" t="e">
        <f t="shared" ref="AA34:AD34" si="443">AB28-AB32</f>
        <v>#DIV/0!</v>
      </c>
      <c r="AC34" s="27" t="e">
        <f t="shared" si="443"/>
        <v>#DIV/0!</v>
      </c>
      <c r="AD34" s="27" t="e">
        <f t="shared" si="443"/>
        <v>#DIV/0!</v>
      </c>
      <c r="AE34" s="27" t="e">
        <f t="shared" ref="AE34" si="444">AE28-AE32</f>
        <v>#DIV/0!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0</v>
      </c>
      <c r="BM34" s="26">
        <f t="shared" si="449"/>
        <v>0</v>
      </c>
      <c r="BN34" s="26">
        <f t="shared" si="449"/>
        <v>0</v>
      </c>
      <c r="BO34" s="26">
        <f t="shared" si="449"/>
        <v>0</v>
      </c>
      <c r="BP34" s="26">
        <f t="shared" si="449"/>
        <v>0</v>
      </c>
      <c r="BQ34" s="26">
        <f t="shared" si="449"/>
        <v>0</v>
      </c>
      <c r="BR34" s="26">
        <f t="shared" si="449"/>
        <v>0</v>
      </c>
      <c r="BS34" s="26">
        <f t="shared" si="449"/>
        <v>0</v>
      </c>
      <c r="BT34" s="26">
        <f t="shared" si="449"/>
        <v>0</v>
      </c>
      <c r="BU34" s="26">
        <f t="shared" si="449"/>
        <v>0</v>
      </c>
      <c r="BV34" s="26">
        <f t="shared" si="449"/>
        <v>0</v>
      </c>
      <c r="BW34" s="26">
        <f t="shared" si="449"/>
        <v>0</v>
      </c>
      <c r="BX34" s="26">
        <f t="shared" si="449"/>
        <v>0</v>
      </c>
      <c r="BY34" s="26">
        <f t="shared" si="449"/>
        <v>0</v>
      </c>
      <c r="BZ34" s="26">
        <f t="shared" si="449"/>
        <v>0</v>
      </c>
      <c r="CA34" s="26">
        <f t="shared" si="449"/>
        <v>0</v>
      </c>
      <c r="CB34" s="26">
        <f t="shared" si="449"/>
        <v>0</v>
      </c>
      <c r="CC34" s="26">
        <f t="shared" si="449"/>
        <v>0</v>
      </c>
      <c r="CD34" s="26">
        <f t="shared" si="449"/>
        <v>0</v>
      </c>
      <c r="CE34" s="26">
        <f t="shared" ref="CE34:CF34" si="450">CE28-CE32</f>
        <v>0</v>
      </c>
      <c r="CF34" s="26">
        <f t="shared" si="450"/>
        <v>-25.879999999999946</v>
      </c>
      <c r="CG34" s="26">
        <f t="shared" ref="CG34:CH34" si="451">CG28-CG32</f>
        <v>-11.239999999999977</v>
      </c>
      <c r="CH34" s="26">
        <f t="shared" si="451"/>
        <v>-19.220000000000006</v>
      </c>
      <c r="CI34" s="26">
        <f t="shared" ref="CI34:CJ34" si="452">CI28-CI32</f>
        <v>0</v>
      </c>
      <c r="CJ34" s="26">
        <f t="shared" si="452"/>
        <v>-78.77000000000001</v>
      </c>
      <c r="CK34" s="26">
        <f t="shared" ref="CK34:CL34" si="453">CK28-CK32</f>
        <v>-47.040000000000006</v>
      </c>
      <c r="CL34" s="26">
        <f t="shared" si="453"/>
        <v>-128.01</v>
      </c>
      <c r="CM34" s="27" t="e">
        <f t="shared" ref="CM34:DB34" si="454">CM28-CM32</f>
        <v>#DIV/0!</v>
      </c>
      <c r="CN34" s="27" t="e">
        <f t="shared" si="454"/>
        <v>#DIV/0!</v>
      </c>
      <c r="CO34" s="27" t="e">
        <f t="shared" si="454"/>
        <v>#DIV/0!</v>
      </c>
      <c r="CP34" s="27" t="e">
        <f t="shared" si="454"/>
        <v>#DIV/0!</v>
      </c>
      <c r="CQ34" s="27" t="e">
        <f t="shared" si="454"/>
        <v>#DIV/0!</v>
      </c>
      <c r="CR34" s="27" t="e">
        <f t="shared" si="454"/>
        <v>#DIV/0!</v>
      </c>
      <c r="CS34" s="27" t="e">
        <f t="shared" si="454"/>
        <v>#DIV/0!</v>
      </c>
      <c r="CT34" s="27" t="e">
        <f t="shared" si="454"/>
        <v>#DIV/0!</v>
      </c>
      <c r="CU34" s="27" t="e">
        <f t="shared" si="454"/>
        <v>#DIV/0!</v>
      </c>
      <c r="CV34" s="27" t="e">
        <f t="shared" si="454"/>
        <v>#DIV/0!</v>
      </c>
      <c r="CW34" s="27" t="e">
        <f t="shared" si="454"/>
        <v>#DIV/0!</v>
      </c>
      <c r="CX34" s="27" t="e">
        <f t="shared" si="454"/>
        <v>#DIV/0!</v>
      </c>
      <c r="CY34" s="27" t="e">
        <f t="shared" si="454"/>
        <v>#DIV/0!</v>
      </c>
      <c r="CZ34" s="27" t="e">
        <f t="shared" si="454"/>
        <v>#DIV/0!</v>
      </c>
      <c r="DA34" s="27" t="e">
        <f t="shared" si="454"/>
        <v>#DIV/0!</v>
      </c>
      <c r="DB34" s="27" t="e">
        <f t="shared" si="454"/>
        <v>#DIV/0!</v>
      </c>
      <c r="DE34" s="121"/>
      <c r="DF34" s="26">
        <v>-253.82000000000002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0</v>
      </c>
      <c r="W35" s="23">
        <f>'Annual Raw'!X23</f>
        <v>71.599999999999994</v>
      </c>
      <c r="X35" s="23">
        <f>'Annual Raw'!Y23</f>
        <v>89.858999999999995</v>
      </c>
      <c r="Y35" s="23">
        <f>'Annual Raw'!Z23</f>
        <v>100.024</v>
      </c>
      <c r="Z35" s="23">
        <f>'Annual Raw'!AA23</f>
        <v>117.26</v>
      </c>
      <c r="AA35" s="23">
        <f>'Annual Raw'!AB23</f>
        <v>137.57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</v>
      </c>
      <c r="BV35" s="23">
        <f>'QTR Raw'!AP23</f>
        <v>0</v>
      </c>
      <c r="BW35" s="23">
        <f>'QTR Raw'!AQ23</f>
        <v>0</v>
      </c>
      <c r="BX35" s="23">
        <f>'QTR Raw'!AR23</f>
        <v>0</v>
      </c>
      <c r="BY35" s="23">
        <f>'QTR Raw'!AS23</f>
        <v>0</v>
      </c>
      <c r="BZ35" s="23">
        <f>'QTR Raw'!AT23</f>
        <v>0</v>
      </c>
      <c r="CA35" s="23">
        <f>'QTR Raw'!AU23</f>
        <v>0</v>
      </c>
      <c r="CB35" s="23">
        <f>'QTR Raw'!AV23</f>
        <v>0</v>
      </c>
      <c r="CC35" s="23">
        <f>'QTR Raw'!AW23</f>
        <v>0</v>
      </c>
      <c r="CD35" s="23">
        <f>'QTR Raw'!AX23</f>
        <v>0</v>
      </c>
      <c r="CE35" s="23">
        <f>'QTR Raw'!AY23</f>
        <v>0</v>
      </c>
      <c r="CF35" s="23">
        <f>'QTR Raw'!AZ23</f>
        <v>26.81</v>
      </c>
      <c r="CG35" s="23">
        <f>'QTR Raw'!BA23</f>
        <v>30.36</v>
      </c>
      <c r="CH35" s="23">
        <f>'QTR Raw'!BB23</f>
        <v>31.96</v>
      </c>
      <c r="CI35" s="23">
        <f>'QTR Raw'!BC23</f>
        <v>0</v>
      </c>
      <c r="CJ35" s="23">
        <f>'QTR Raw'!BD23</f>
        <v>32.630000000000003</v>
      </c>
      <c r="CK35" s="23">
        <f>'QTR Raw'!BE23</f>
        <v>36.1</v>
      </c>
      <c r="CL35" s="23">
        <f>'QTR Raw'!BF23</f>
        <v>36.74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105.47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8.3569999999999993</v>
      </c>
      <c r="X36" s="23">
        <f>'Annual Raw'!Y25</f>
        <v>7.6369999999999996</v>
      </c>
      <c r="Y36" s="23">
        <f>'Annual Raw'!Z25</f>
        <v>9.5619999999999994</v>
      </c>
      <c r="Z36" s="23">
        <f>'Annual Raw'!AA25</f>
        <v>10.97</v>
      </c>
      <c r="AA36" s="23">
        <f>'Annual Raw'!AB25</f>
        <v>12.4</v>
      </c>
      <c r="AB36" s="76" t="e">
        <f t="shared" si="455"/>
        <v>#DIV/0!</v>
      </c>
      <c r="AC36" s="76" t="e">
        <f t="shared" si="456"/>
        <v>#DIV/0!</v>
      </c>
      <c r="AD36" s="76" t="e">
        <f t="shared" si="457"/>
        <v>#DIV/0!</v>
      </c>
      <c r="AE36" s="76" t="e">
        <f t="shared" si="458"/>
        <v>#DIV/0!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</v>
      </c>
      <c r="CB36" s="23">
        <f>'QTR Raw'!AV25</f>
        <v>0</v>
      </c>
      <c r="CC36" s="23">
        <f>'QTR Raw'!AW25</f>
        <v>0</v>
      </c>
      <c r="CD36" s="23">
        <f>'QTR Raw'!AX25</f>
        <v>0</v>
      </c>
      <c r="CE36" s="23">
        <f>'QTR Raw'!AY25</f>
        <v>0</v>
      </c>
      <c r="CF36" s="23">
        <f>'QTR Raw'!AZ25</f>
        <v>2.75</v>
      </c>
      <c r="CG36" s="23">
        <f>'QTR Raw'!BA25</f>
        <v>2.74</v>
      </c>
      <c r="CH36" s="23">
        <f>'QTR Raw'!BB25</f>
        <v>2.68</v>
      </c>
      <c r="CI36" s="23">
        <f>'QTR Raw'!BC25</f>
        <v>0</v>
      </c>
      <c r="CJ36" s="23">
        <f>'QTR Raw'!BD25</f>
        <v>2.93</v>
      </c>
      <c r="CK36" s="23">
        <f>'QTR Raw'!BE25</f>
        <v>3.11</v>
      </c>
      <c r="CL36" s="23">
        <f>'QTR Raw'!BF25</f>
        <v>3.28</v>
      </c>
      <c r="CM36" s="24">
        <f t="shared" ref="CM36:DB36" si="459">CM37*CL168</f>
        <v>-28.27848456128919</v>
      </c>
      <c r="CN36" s="24" t="e">
        <f t="shared" si="459"/>
        <v>#DIV/0!</v>
      </c>
      <c r="CO36" s="24" t="e">
        <f t="shared" si="459"/>
        <v>#DIV/0!</v>
      </c>
      <c r="CP36" s="24" t="e">
        <f t="shared" si="459"/>
        <v>#DIV/0!</v>
      </c>
      <c r="CQ36" s="24" t="e">
        <f t="shared" si="459"/>
        <v>#DIV/0!</v>
      </c>
      <c r="CR36" s="24" t="e">
        <f t="shared" si="459"/>
        <v>#DIV/0!</v>
      </c>
      <c r="CS36" s="24" t="e">
        <f t="shared" si="459"/>
        <v>#DIV/0!</v>
      </c>
      <c r="CT36" s="24" t="e">
        <f t="shared" si="459"/>
        <v>#DIV/0!</v>
      </c>
      <c r="CU36" s="24" t="e">
        <f t="shared" si="459"/>
        <v>#DIV/0!</v>
      </c>
      <c r="CV36" s="24" t="e">
        <f t="shared" si="459"/>
        <v>#DIV/0!</v>
      </c>
      <c r="CW36" s="24" t="e">
        <f t="shared" si="459"/>
        <v>#DIV/0!</v>
      </c>
      <c r="CX36" s="24" t="e">
        <f t="shared" si="459"/>
        <v>#DIV/0!</v>
      </c>
      <c r="CY36" s="24" t="e">
        <f t="shared" si="459"/>
        <v>#DIV/0!</v>
      </c>
      <c r="CZ36" s="24" t="e">
        <f t="shared" si="459"/>
        <v>#DIV/0!</v>
      </c>
      <c r="DA36" s="24" t="e">
        <f t="shared" si="459"/>
        <v>#DIV/0!</v>
      </c>
      <c r="DB36" s="24" t="e">
        <f t="shared" si="459"/>
        <v>#DIV/0!</v>
      </c>
      <c r="DE36" s="123"/>
      <c r="DF36" s="23">
        <v>-32.797021523872274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 t="e">
        <f t="shared" si="461"/>
        <v>#DIV/0!</v>
      </c>
      <c r="P37" s="46" t="e">
        <f t="shared" si="461"/>
        <v>#DIV/0!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 t="e">
        <f t="shared" si="461"/>
        <v>#DIV/0!</v>
      </c>
      <c r="V37" s="46" t="e">
        <f t="shared" si="461"/>
        <v>#DIV/0!</v>
      </c>
      <c r="W37" s="46" t="e">
        <f t="shared" si="461"/>
        <v>#DIV/0!</v>
      </c>
      <c r="X37" s="46" t="e">
        <f t="shared" si="461"/>
        <v>#DIV/0!</v>
      </c>
      <c r="Y37" s="46" t="e">
        <f t="shared" si="461"/>
        <v>#DIV/0!</v>
      </c>
      <c r="Z37" s="46" t="e">
        <f t="shared" si="461"/>
        <v>#DIV/0!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 t="e">
        <f t="shared" si="463"/>
        <v>#DIV/0!</v>
      </c>
      <c r="BO37" s="46" t="e">
        <f t="shared" ref="BO37:CL37" si="464">(BO36-BO35)/BN168</f>
        <v>#DIV/0!</v>
      </c>
      <c r="BP37" s="46" t="e">
        <f t="shared" si="464"/>
        <v>#DIV/0!</v>
      </c>
      <c r="BQ37" s="46" t="e">
        <f t="shared" si="464"/>
        <v>#DIV/0!</v>
      </c>
      <c r="BR37" s="46" t="e">
        <f t="shared" si="464"/>
        <v>#DIV/0!</v>
      </c>
      <c r="BS37" s="46" t="e">
        <f t="shared" si="464"/>
        <v>#DIV/0!</v>
      </c>
      <c r="BT37" s="46" t="e">
        <f t="shared" si="464"/>
        <v>#DIV/0!</v>
      </c>
      <c r="BU37" s="46" t="e">
        <f t="shared" si="464"/>
        <v>#DIV/0!</v>
      </c>
      <c r="BV37" s="46" t="e">
        <f t="shared" si="464"/>
        <v>#DIV/0!</v>
      </c>
      <c r="BW37" s="46" t="e">
        <f t="shared" si="464"/>
        <v>#DIV/0!</v>
      </c>
      <c r="BX37" s="46" t="e">
        <f t="shared" si="464"/>
        <v>#DIV/0!</v>
      </c>
      <c r="BY37" s="46" t="e">
        <f t="shared" si="464"/>
        <v>#DIV/0!</v>
      </c>
      <c r="BZ37" s="46" t="e">
        <f t="shared" si="464"/>
        <v>#DIV/0!</v>
      </c>
      <c r="CA37" s="46" t="e">
        <f t="shared" si="464"/>
        <v>#DIV/0!</v>
      </c>
      <c r="CB37" s="46" t="e">
        <f t="shared" si="464"/>
        <v>#DIV/0!</v>
      </c>
      <c r="CC37" s="46" t="e">
        <f t="shared" si="464"/>
        <v>#DIV/0!</v>
      </c>
      <c r="CD37" s="46" t="e">
        <f t="shared" si="464"/>
        <v>#DIV/0!</v>
      </c>
      <c r="CE37" s="46" t="e">
        <f t="shared" si="464"/>
        <v>#DIV/0!</v>
      </c>
      <c r="CF37" s="46" t="e">
        <f t="shared" si="464"/>
        <v>#DIV/0!</v>
      </c>
      <c r="CG37" s="46" t="e">
        <f t="shared" si="464"/>
        <v>#DIV/0!</v>
      </c>
      <c r="CH37" s="46">
        <f t="shared" si="464"/>
        <v>0.12629399585921325</v>
      </c>
      <c r="CI37" s="46">
        <f t="shared" si="464"/>
        <v>0</v>
      </c>
      <c r="CJ37" s="46">
        <f t="shared" si="464"/>
        <v>2.3022541936684134E-2</v>
      </c>
      <c r="CK37" s="46">
        <f t="shared" si="464"/>
        <v>1.9241649217560705E-2</v>
      </c>
      <c r="CL37" s="46">
        <f t="shared" si="464"/>
        <v>1.963061134533067E-2</v>
      </c>
      <c r="CM37" s="47">
        <f t="shared" ref="CM37" si="465">+CL37</f>
        <v>1.963061134533067E-2</v>
      </c>
      <c r="CN37" s="47">
        <f t="shared" ref="CN37" si="466">+CM37</f>
        <v>1.963061134533067E-2</v>
      </c>
      <c r="CO37" s="47">
        <f t="shared" ref="CO37" si="467">+CN37</f>
        <v>1.963061134533067E-2</v>
      </c>
      <c r="CP37" s="47">
        <f t="shared" ref="CP37" si="468">+CO37</f>
        <v>1.963061134533067E-2</v>
      </c>
      <c r="CQ37" s="47">
        <f t="shared" ref="CQ37" si="469">+CP37</f>
        <v>1.963061134533067E-2</v>
      </c>
      <c r="CR37" s="47">
        <f t="shared" ref="CR37" si="470">+CQ37</f>
        <v>1.963061134533067E-2</v>
      </c>
      <c r="CS37" s="47">
        <f t="shared" ref="CS37" si="471">+CR37</f>
        <v>1.963061134533067E-2</v>
      </c>
      <c r="CT37" s="47">
        <f t="shared" ref="CT37" si="472">+CS37</f>
        <v>1.963061134533067E-2</v>
      </c>
      <c r="CU37" s="47">
        <f t="shared" ref="CU37" si="473">+CT37</f>
        <v>1.963061134533067E-2</v>
      </c>
      <c r="CV37" s="47">
        <f t="shared" ref="CV37" si="474">+CU37</f>
        <v>1.963061134533067E-2</v>
      </c>
      <c r="CW37" s="47">
        <f t="shared" ref="CW37" si="475">+CV37</f>
        <v>1.963061134533067E-2</v>
      </c>
      <c r="CX37" s="47">
        <f t="shared" ref="CX37" si="476">+CW37</f>
        <v>1.963061134533067E-2</v>
      </c>
      <c r="CY37" s="47">
        <f t="shared" ref="CY37" si="477">+CX37</f>
        <v>1.963061134533067E-2</v>
      </c>
      <c r="CZ37" s="47">
        <f t="shared" ref="CZ37" si="478">+CY37</f>
        <v>1.963061134533067E-2</v>
      </c>
      <c r="DA37" s="47">
        <f t="shared" ref="DA37" si="479">+CZ37</f>
        <v>1.963061134533067E-2</v>
      </c>
      <c r="DB37" s="47">
        <f t="shared" ref="DB37" si="480">+DA37</f>
        <v>1.963061134533067E-2</v>
      </c>
      <c r="DE37" s="130"/>
      <c r="DF37" s="46">
        <v>1.9241649217560705E-2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0</v>
      </c>
      <c r="K38" s="26">
        <f t="shared" si="481"/>
        <v>0</v>
      </c>
      <c r="L38" s="26">
        <f t="shared" si="481"/>
        <v>0</v>
      </c>
      <c r="M38" s="26">
        <f t="shared" si="481"/>
        <v>0</v>
      </c>
      <c r="N38" s="26">
        <f t="shared" si="481"/>
        <v>0</v>
      </c>
      <c r="O38" s="26">
        <f t="shared" si="481"/>
        <v>0</v>
      </c>
      <c r="P38" s="26">
        <f t="shared" si="481"/>
        <v>0</v>
      </c>
      <c r="Q38" s="26">
        <f t="shared" si="481"/>
        <v>0</v>
      </c>
      <c r="R38" s="26">
        <f t="shared" si="481"/>
        <v>0</v>
      </c>
      <c r="S38" s="26">
        <f t="shared" si="481"/>
        <v>0</v>
      </c>
      <c r="T38" s="26">
        <f t="shared" si="481"/>
        <v>0</v>
      </c>
      <c r="U38" s="26">
        <f t="shared" ref="U38:Z38" si="482">U34+U35-U36</f>
        <v>0</v>
      </c>
      <c r="V38" s="26">
        <f t="shared" si="482"/>
        <v>0</v>
      </c>
      <c r="W38" s="26">
        <f t="shared" si="482"/>
        <v>-514.14499999999987</v>
      </c>
      <c r="X38" s="26">
        <f t="shared" si="482"/>
        <v>-312.44200000000018</v>
      </c>
      <c r="Y38" s="26">
        <f t="shared" si="482"/>
        <v>-92.72699999999999</v>
      </c>
      <c r="Z38" s="26">
        <f t="shared" si="482"/>
        <v>37.199999999999974</v>
      </c>
      <c r="AA38" s="26">
        <f t="shared" ref="AA38" si="483">AA34+AA35-AA36</f>
        <v>-143.43000000000009</v>
      </c>
      <c r="AB38" s="27" t="e">
        <f t="shared" ref="AB38:AD38" si="484">AB34+AB35-AB36</f>
        <v>#DIV/0!</v>
      </c>
      <c r="AC38" s="27" t="e">
        <f t="shared" si="484"/>
        <v>#DIV/0!</v>
      </c>
      <c r="AD38" s="27" t="e">
        <f t="shared" si="484"/>
        <v>#DIV/0!</v>
      </c>
      <c r="AE38" s="27" t="e">
        <f t="shared" ref="AE38" si="485">AE34+AE35-AE36</f>
        <v>#DIV/0!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0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0</v>
      </c>
      <c r="BH38" s="26">
        <f t="shared" si="489"/>
        <v>0</v>
      </c>
      <c r="BI38" s="26">
        <f t="shared" si="489"/>
        <v>0</v>
      </c>
      <c r="BJ38" s="26">
        <f t="shared" si="489"/>
        <v>0</v>
      </c>
      <c r="BK38" s="26">
        <f t="shared" si="489"/>
        <v>0</v>
      </c>
      <c r="BL38" s="26">
        <f t="shared" si="489"/>
        <v>0</v>
      </c>
      <c r="BM38" s="26">
        <f t="shared" si="489"/>
        <v>0</v>
      </c>
      <c r="BN38" s="26">
        <f t="shared" si="489"/>
        <v>0</v>
      </c>
      <c r="BO38" s="26">
        <f t="shared" si="489"/>
        <v>0</v>
      </c>
      <c r="BP38" s="26">
        <f t="shared" si="489"/>
        <v>0</v>
      </c>
      <c r="BQ38" s="26">
        <f t="shared" si="489"/>
        <v>0</v>
      </c>
      <c r="BR38" s="26">
        <f t="shared" si="489"/>
        <v>0</v>
      </c>
      <c r="BS38" s="26">
        <f t="shared" si="489"/>
        <v>0</v>
      </c>
      <c r="BT38" s="26">
        <f t="shared" si="489"/>
        <v>0</v>
      </c>
      <c r="BU38" s="26">
        <f t="shared" si="489"/>
        <v>0</v>
      </c>
      <c r="BV38" s="26">
        <f t="shared" si="489"/>
        <v>0</v>
      </c>
      <c r="BW38" s="26">
        <f t="shared" si="489"/>
        <v>0</v>
      </c>
      <c r="BX38" s="26">
        <f t="shared" si="489"/>
        <v>0</v>
      </c>
      <c r="BY38" s="26">
        <f t="shared" si="489"/>
        <v>0</v>
      </c>
      <c r="BZ38" s="26">
        <f t="shared" si="489"/>
        <v>0</v>
      </c>
      <c r="CA38" s="26">
        <f t="shared" si="489"/>
        <v>0</v>
      </c>
      <c r="CB38" s="26">
        <f t="shared" si="489"/>
        <v>0</v>
      </c>
      <c r="CC38" s="26">
        <f t="shared" si="489"/>
        <v>0</v>
      </c>
      <c r="CD38" s="26">
        <f t="shared" si="489"/>
        <v>0</v>
      </c>
      <c r="CE38" s="26">
        <f t="shared" ref="CE38:CF38" si="490">CE34+CE35-CE36</f>
        <v>0</v>
      </c>
      <c r="CF38" s="26">
        <f t="shared" si="490"/>
        <v>-1.819999999999947</v>
      </c>
      <c r="CG38" s="26">
        <f t="shared" ref="CG38:CH38" si="491">CG34+CG35-CG36</f>
        <v>16.380000000000024</v>
      </c>
      <c r="CH38" s="26">
        <f t="shared" si="491"/>
        <v>10.059999999999995</v>
      </c>
      <c r="CI38" s="26">
        <f t="shared" ref="CI38:CJ38" si="492">CI34+CI35-CI36</f>
        <v>0</v>
      </c>
      <c r="CJ38" s="26">
        <f t="shared" si="492"/>
        <v>-49.070000000000007</v>
      </c>
      <c r="CK38" s="26">
        <f t="shared" ref="CK38:CL38" si="493">CK34+CK35-CK36</f>
        <v>-14.050000000000004</v>
      </c>
      <c r="CL38" s="26">
        <f t="shared" si="493"/>
        <v>-94.549999999999983</v>
      </c>
      <c r="CM38" s="27" t="e">
        <f t="shared" ref="CM38:DB38" si="494">CM34+CM35-CM36</f>
        <v>#DIV/0!</v>
      </c>
      <c r="CN38" s="27" t="e">
        <f t="shared" si="494"/>
        <v>#DIV/0!</v>
      </c>
      <c r="CO38" s="27" t="e">
        <f t="shared" si="494"/>
        <v>#DIV/0!</v>
      </c>
      <c r="CP38" s="27" t="e">
        <f t="shared" si="494"/>
        <v>#DIV/0!</v>
      </c>
      <c r="CQ38" s="27" t="e">
        <f t="shared" si="494"/>
        <v>#DIV/0!</v>
      </c>
      <c r="CR38" s="27" t="e">
        <f t="shared" si="494"/>
        <v>#DIV/0!</v>
      </c>
      <c r="CS38" s="27" t="e">
        <f t="shared" si="494"/>
        <v>#DIV/0!</v>
      </c>
      <c r="CT38" s="27" t="e">
        <f t="shared" si="494"/>
        <v>#DIV/0!</v>
      </c>
      <c r="CU38" s="27" t="e">
        <f t="shared" si="494"/>
        <v>#DIV/0!</v>
      </c>
      <c r="CV38" s="27" t="e">
        <f t="shared" si="494"/>
        <v>#DIV/0!</v>
      </c>
      <c r="CW38" s="27" t="e">
        <f t="shared" si="494"/>
        <v>#DIV/0!</v>
      </c>
      <c r="CX38" s="27" t="e">
        <f t="shared" si="494"/>
        <v>#DIV/0!</v>
      </c>
      <c r="CY38" s="27" t="e">
        <f t="shared" si="494"/>
        <v>#DIV/0!</v>
      </c>
      <c r="CZ38" s="27" t="e">
        <f t="shared" si="494"/>
        <v>#DIV/0!</v>
      </c>
      <c r="DA38" s="27" t="e">
        <f t="shared" si="494"/>
        <v>#DIV/0!</v>
      </c>
      <c r="DB38" s="27" t="e">
        <f t="shared" si="494"/>
        <v>#DIV/0!</v>
      </c>
      <c r="DE38" s="121"/>
      <c r="DF38" s="26">
        <v>-157.67000000000002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4.2000000000000003E-2</v>
      </c>
      <c r="Y39" s="23">
        <f>'Annual Raw'!Z30</f>
        <v>4.4999999999999998E-2</v>
      </c>
      <c r="Z39" s="23">
        <f>'Annual Raw'!AA30</f>
        <v>-211.21</v>
      </c>
      <c r="AA39" s="23">
        <f>'Annual Raw'!AB30</f>
        <v>60.21</v>
      </c>
      <c r="AB39" s="24" t="e">
        <f>+SUM(CM39:CP39)</f>
        <v>#DIV/0!</v>
      </c>
      <c r="AC39" s="24" t="e">
        <f>+SUM(CQ39:CT39)</f>
        <v>#DIV/0!</v>
      </c>
      <c r="AD39" s="24" t="e">
        <f>+SUM(CU39:CX39)</f>
        <v>#DIV/0!</v>
      </c>
      <c r="AE39" s="24" t="e">
        <f>+SUM(CY39:DB39)</f>
        <v>#DIV/0!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0</v>
      </c>
      <c r="CA39" s="23">
        <f>'QTR Raw'!AU29</f>
        <v>0</v>
      </c>
      <c r="CB39" s="23">
        <f>'QTR Raw'!AV29</f>
        <v>0</v>
      </c>
      <c r="CC39" s="23">
        <f>'QTR Raw'!AW29</f>
        <v>0</v>
      </c>
      <c r="CD39" s="23">
        <f>'QTR Raw'!AX29</f>
        <v>0</v>
      </c>
      <c r="CE39" s="23">
        <f>'QTR Raw'!AY29</f>
        <v>0</v>
      </c>
      <c r="CF39" s="23">
        <f>'QTR Raw'!AZ29</f>
        <v>0</v>
      </c>
      <c r="CG39" s="23">
        <f>'QTR Raw'!BA29</f>
        <v>-215.46</v>
      </c>
      <c r="CH39" s="23">
        <f>'QTR Raw'!BB29</f>
        <v>4.25</v>
      </c>
      <c r="CI39" s="23">
        <f>'QTR Raw'!BC29</f>
        <v>0</v>
      </c>
      <c r="CJ39" s="23">
        <f>'QTR Raw'!BD29</f>
        <v>0</v>
      </c>
      <c r="CK39" s="23">
        <f>'QTR Raw'!BE29</f>
        <v>0.21</v>
      </c>
      <c r="CL39" s="23">
        <f>'QTR Raw'!BF29</f>
        <v>61.3</v>
      </c>
      <c r="CM39" s="24" t="e">
        <f t="shared" ref="CM39:DB39" si="495">+CM38*CM40</f>
        <v>#DIV/0!</v>
      </c>
      <c r="CN39" s="24" t="e">
        <f t="shared" si="495"/>
        <v>#DIV/0!</v>
      </c>
      <c r="CO39" s="24" t="e">
        <f t="shared" si="495"/>
        <v>#DIV/0!</v>
      </c>
      <c r="CP39" s="24" t="e">
        <f t="shared" si="495"/>
        <v>#DIV/0!</v>
      </c>
      <c r="CQ39" s="24" t="e">
        <f t="shared" si="495"/>
        <v>#DIV/0!</v>
      </c>
      <c r="CR39" s="24" t="e">
        <f t="shared" si="495"/>
        <v>#DIV/0!</v>
      </c>
      <c r="CS39" s="24" t="e">
        <f t="shared" si="495"/>
        <v>#DIV/0!</v>
      </c>
      <c r="CT39" s="24" t="e">
        <f t="shared" si="495"/>
        <v>#DIV/0!</v>
      </c>
      <c r="CU39" s="24" t="e">
        <f t="shared" si="495"/>
        <v>#DIV/0!</v>
      </c>
      <c r="CV39" s="24" t="e">
        <f t="shared" si="495"/>
        <v>#DIV/0!</v>
      </c>
      <c r="CW39" s="24" t="e">
        <f t="shared" si="495"/>
        <v>#DIV/0!</v>
      </c>
      <c r="CX39" s="24" t="e">
        <f t="shared" si="495"/>
        <v>#DIV/0!</v>
      </c>
      <c r="CY39" s="24" t="e">
        <f t="shared" si="495"/>
        <v>#DIV/0!</v>
      </c>
      <c r="CZ39" s="24" t="e">
        <f t="shared" si="495"/>
        <v>#DIV/0!</v>
      </c>
      <c r="DA39" s="24" t="e">
        <f t="shared" si="495"/>
        <v>#DIV/0!</v>
      </c>
      <c r="DB39" s="24" t="e">
        <f t="shared" si="495"/>
        <v>#DIV/0!</v>
      </c>
      <c r="DE39" s="123"/>
      <c r="DF39" s="23">
        <v>61.51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 t="e">
        <f t="shared" si="497"/>
        <v>#DIV/0!</v>
      </c>
      <c r="K40" s="90" t="e">
        <f t="shared" si="497"/>
        <v>#DIV/0!</v>
      </c>
      <c r="L40" s="90" t="e">
        <f t="shared" si="497"/>
        <v>#DIV/0!</v>
      </c>
      <c r="M40" s="90" t="e">
        <f t="shared" si="497"/>
        <v>#DIV/0!</v>
      </c>
      <c r="N40" s="90" t="e">
        <f t="shared" si="497"/>
        <v>#DIV/0!</v>
      </c>
      <c r="O40" s="90" t="e">
        <f t="shared" si="497"/>
        <v>#DIV/0!</v>
      </c>
      <c r="P40" s="90" t="e">
        <f t="shared" si="497"/>
        <v>#DIV/0!</v>
      </c>
      <c r="Q40" s="90" t="e">
        <f t="shared" si="497"/>
        <v>#DIV/0!</v>
      </c>
      <c r="R40" s="90" t="e">
        <f t="shared" si="497"/>
        <v>#DIV/0!</v>
      </c>
      <c r="S40" s="90" t="e">
        <f t="shared" si="497"/>
        <v>#DIV/0!</v>
      </c>
      <c r="T40" s="90" t="e">
        <f t="shared" si="497"/>
        <v>#DIV/0!</v>
      </c>
      <c r="U40" s="90" t="e">
        <f t="shared" ref="U40:Z40" si="498">U39/U38</f>
        <v>#DIV/0!</v>
      </c>
      <c r="V40" s="90" t="e">
        <f t="shared" si="498"/>
        <v>#DIV/0!</v>
      </c>
      <c r="W40" s="90">
        <f t="shared" si="498"/>
        <v>0</v>
      </c>
      <c r="X40" s="90">
        <f t="shared" si="498"/>
        <v>-1.3442494927058454E-4</v>
      </c>
      <c r="Y40" s="90">
        <f t="shared" si="498"/>
        <v>-4.8529554498689704E-4</v>
      </c>
      <c r="Z40" s="90">
        <f t="shared" si="498"/>
        <v>-5.6776881720430152</v>
      </c>
      <c r="AA40" s="90">
        <f t="shared" ref="AA40" si="499">AA39/AA38</f>
        <v>-0.41978665551139904</v>
      </c>
      <c r="AB40" s="91" t="e">
        <f t="shared" ref="AA40:AD40" si="500">AB39/AB38</f>
        <v>#DIV/0!</v>
      </c>
      <c r="AC40" s="91" t="e">
        <f t="shared" si="500"/>
        <v>#DIV/0!</v>
      </c>
      <c r="AD40" s="91" t="e">
        <f t="shared" si="500"/>
        <v>#DIV/0!</v>
      </c>
      <c r="AE40" s="91" t="e">
        <f t="shared" ref="AE40" si="501">AE39/AE38</f>
        <v>#DIV/0!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 t="e">
        <f t="shared" si="506"/>
        <v>#DIV/0!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 t="e">
        <f t="shared" si="506"/>
        <v>#DIV/0!</v>
      </c>
      <c r="BH40" s="90" t="e">
        <f t="shared" si="506"/>
        <v>#DIV/0!</v>
      </c>
      <c r="BI40" s="90" t="e">
        <f t="shared" si="506"/>
        <v>#DIV/0!</v>
      </c>
      <c r="BJ40" s="90" t="e">
        <f t="shared" si="506"/>
        <v>#DIV/0!</v>
      </c>
      <c r="BK40" s="90" t="e">
        <f t="shared" si="506"/>
        <v>#DIV/0!</v>
      </c>
      <c r="BL40" s="90" t="e">
        <f t="shared" si="506"/>
        <v>#DIV/0!</v>
      </c>
      <c r="BM40" s="90" t="e">
        <f t="shared" si="506"/>
        <v>#DIV/0!</v>
      </c>
      <c r="BN40" s="90" t="e">
        <f t="shared" si="506"/>
        <v>#DIV/0!</v>
      </c>
      <c r="BO40" s="90" t="e">
        <f t="shared" si="506"/>
        <v>#DIV/0!</v>
      </c>
      <c r="BP40" s="90" t="e">
        <f t="shared" si="506"/>
        <v>#DIV/0!</v>
      </c>
      <c r="BQ40" s="90" t="e">
        <f t="shared" si="506"/>
        <v>#DIV/0!</v>
      </c>
      <c r="BR40" s="90" t="e">
        <f t="shared" si="506"/>
        <v>#DIV/0!</v>
      </c>
      <c r="BS40" s="90" t="e">
        <f t="shared" si="506"/>
        <v>#DIV/0!</v>
      </c>
      <c r="BT40" s="90" t="e">
        <f t="shared" si="506"/>
        <v>#DIV/0!</v>
      </c>
      <c r="BU40" s="90" t="e">
        <f t="shared" si="506"/>
        <v>#DIV/0!</v>
      </c>
      <c r="BV40" s="90" t="e">
        <f t="shared" si="506"/>
        <v>#DIV/0!</v>
      </c>
      <c r="BW40" s="90" t="e">
        <f t="shared" si="506"/>
        <v>#DIV/0!</v>
      </c>
      <c r="BX40" s="90" t="e">
        <f t="shared" si="506"/>
        <v>#DIV/0!</v>
      </c>
      <c r="BY40" s="90" t="e">
        <f t="shared" si="506"/>
        <v>#DIV/0!</v>
      </c>
      <c r="BZ40" s="90" t="e">
        <f t="shared" si="506"/>
        <v>#DIV/0!</v>
      </c>
      <c r="CA40" s="90" t="e">
        <f t="shared" si="506"/>
        <v>#DIV/0!</v>
      </c>
      <c r="CB40" s="90" t="e">
        <f t="shared" si="506"/>
        <v>#DIV/0!</v>
      </c>
      <c r="CC40" s="90" t="e">
        <f t="shared" si="506"/>
        <v>#DIV/0!</v>
      </c>
      <c r="CD40" s="90" t="e">
        <f t="shared" si="506"/>
        <v>#DIV/0!</v>
      </c>
      <c r="CE40" s="90" t="e">
        <f t="shared" ref="CE40:CF40" si="507">CE39/CE38</f>
        <v>#DIV/0!</v>
      </c>
      <c r="CF40" s="90">
        <f t="shared" si="507"/>
        <v>0</v>
      </c>
      <c r="CG40" s="90">
        <f t="shared" ref="CG40:CH40" si="508">CG39/CG38</f>
        <v>-13.153846153846136</v>
      </c>
      <c r="CH40" s="90">
        <f t="shared" si="508"/>
        <v>0.42246520874751509</v>
      </c>
      <c r="CI40" s="90" t="e">
        <f t="shared" ref="CI40:CJ40" si="509">CI39/CI38</f>
        <v>#DIV/0!</v>
      </c>
      <c r="CJ40" s="90">
        <f t="shared" si="509"/>
        <v>0</v>
      </c>
      <c r="CK40" s="90">
        <f t="shared" ref="CK40:CL40" si="510">CK39/CK38</f>
        <v>-1.4946619217081845E-2</v>
      </c>
      <c r="CL40" s="90">
        <f t="shared" si="510"/>
        <v>-0.64833421470121633</v>
      </c>
      <c r="CM40" s="91" t="e">
        <f t="shared" ref="CM40:DB40" si="511">AVERAGE(CI40:CL40)</f>
        <v>#DIV/0!</v>
      </c>
      <c r="CN40" s="91" t="e">
        <f t="shared" si="511"/>
        <v>#DIV/0!</v>
      </c>
      <c r="CO40" s="91" t="e">
        <f t="shared" si="511"/>
        <v>#DIV/0!</v>
      </c>
      <c r="CP40" s="91" t="e">
        <f t="shared" si="511"/>
        <v>#DIV/0!</v>
      </c>
      <c r="CQ40" s="91" t="e">
        <f t="shared" si="511"/>
        <v>#DIV/0!</v>
      </c>
      <c r="CR40" s="91" t="e">
        <f t="shared" si="511"/>
        <v>#DIV/0!</v>
      </c>
      <c r="CS40" s="91" t="e">
        <f t="shared" si="511"/>
        <v>#DIV/0!</v>
      </c>
      <c r="CT40" s="91" t="e">
        <f t="shared" si="511"/>
        <v>#DIV/0!</v>
      </c>
      <c r="CU40" s="91" t="e">
        <f t="shared" si="511"/>
        <v>#DIV/0!</v>
      </c>
      <c r="CV40" s="91" t="e">
        <f t="shared" si="511"/>
        <v>#DIV/0!</v>
      </c>
      <c r="CW40" s="91" t="e">
        <f t="shared" si="511"/>
        <v>#DIV/0!</v>
      </c>
      <c r="CX40" s="91" t="e">
        <f t="shared" si="511"/>
        <v>#DIV/0!</v>
      </c>
      <c r="CY40" s="91" t="e">
        <f t="shared" si="511"/>
        <v>#DIV/0!</v>
      </c>
      <c r="CZ40" s="91" t="e">
        <f t="shared" si="511"/>
        <v>#DIV/0!</v>
      </c>
      <c r="DA40" s="91" t="e">
        <f t="shared" si="511"/>
        <v>#DIV/0!</v>
      </c>
      <c r="DB40" s="91" t="e">
        <f t="shared" si="511"/>
        <v>#DIV/0!</v>
      </c>
      <c r="DE40" s="127"/>
      <c r="DF40" s="90">
        <v>-0.39011860214371785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0</v>
      </c>
      <c r="K41" s="26">
        <f t="shared" si="513"/>
        <v>0</v>
      </c>
      <c r="L41" s="26">
        <f t="shared" si="513"/>
        <v>0</v>
      </c>
      <c r="M41" s="26">
        <f t="shared" si="513"/>
        <v>0</v>
      </c>
      <c r="N41" s="26">
        <f t="shared" si="513"/>
        <v>0</v>
      </c>
      <c r="O41" s="26">
        <f t="shared" si="513"/>
        <v>0</v>
      </c>
      <c r="P41" s="26">
        <f t="shared" si="513"/>
        <v>0</v>
      </c>
      <c r="Q41" s="26">
        <f t="shared" si="513"/>
        <v>0</v>
      </c>
      <c r="R41" s="26">
        <f t="shared" si="513"/>
        <v>0</v>
      </c>
      <c r="S41" s="26">
        <f t="shared" si="513"/>
        <v>0</v>
      </c>
      <c r="T41" s="26">
        <f t="shared" si="513"/>
        <v>0</v>
      </c>
      <c r="U41" s="26">
        <f t="shared" ref="U41:Z41" si="514">U38-U39</f>
        <v>0</v>
      </c>
      <c r="V41" s="26">
        <f t="shared" si="514"/>
        <v>0</v>
      </c>
      <c r="W41" s="26">
        <f t="shared" si="514"/>
        <v>-514.14499999999987</v>
      </c>
      <c r="X41" s="26">
        <f t="shared" si="514"/>
        <v>-312.48400000000015</v>
      </c>
      <c r="Y41" s="26">
        <f t="shared" si="514"/>
        <v>-92.771999999999991</v>
      </c>
      <c r="Z41" s="26">
        <f t="shared" si="514"/>
        <v>248.40999999999997</v>
      </c>
      <c r="AA41" s="26">
        <f t="shared" ref="AA41" si="515">AA38-AA39</f>
        <v>-203.6400000000001</v>
      </c>
      <c r="AB41" s="27" t="e">
        <f t="shared" ref="AA41:AD41" si="516">AB38-AB39</f>
        <v>#DIV/0!</v>
      </c>
      <c r="AC41" s="27" t="e">
        <f t="shared" si="516"/>
        <v>#DIV/0!</v>
      </c>
      <c r="AD41" s="27" t="e">
        <f t="shared" si="516"/>
        <v>#DIV/0!</v>
      </c>
      <c r="AE41" s="27" t="e">
        <f t="shared" ref="AE41" si="517">AE38-AE39</f>
        <v>#DIV/0!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0</v>
      </c>
      <c r="BM41" s="26">
        <f t="shared" si="521"/>
        <v>0</v>
      </c>
      <c r="BN41" s="26">
        <f t="shared" si="521"/>
        <v>0</v>
      </c>
      <c r="BO41" s="26">
        <f t="shared" si="521"/>
        <v>0</v>
      </c>
      <c r="BP41" s="26">
        <f t="shared" si="521"/>
        <v>0</v>
      </c>
      <c r="BQ41" s="26">
        <f t="shared" si="521"/>
        <v>0</v>
      </c>
      <c r="BR41" s="26">
        <f t="shared" si="521"/>
        <v>0</v>
      </c>
      <c r="BS41" s="26">
        <f t="shared" si="521"/>
        <v>0</v>
      </c>
      <c r="BT41" s="26">
        <f t="shared" si="521"/>
        <v>0</v>
      </c>
      <c r="BU41" s="26">
        <f t="shared" si="521"/>
        <v>0</v>
      </c>
      <c r="BV41" s="26">
        <f t="shared" si="521"/>
        <v>0</v>
      </c>
      <c r="BW41" s="26">
        <f t="shared" si="521"/>
        <v>0</v>
      </c>
      <c r="BX41" s="26">
        <f t="shared" si="521"/>
        <v>0</v>
      </c>
      <c r="BY41" s="26">
        <f t="shared" si="521"/>
        <v>0</v>
      </c>
      <c r="BZ41" s="26">
        <f t="shared" si="521"/>
        <v>0</v>
      </c>
      <c r="CA41" s="26">
        <f t="shared" si="521"/>
        <v>0</v>
      </c>
      <c r="CB41" s="26">
        <f t="shared" si="521"/>
        <v>0</v>
      </c>
      <c r="CC41" s="26">
        <f t="shared" si="521"/>
        <v>0</v>
      </c>
      <c r="CD41" s="26">
        <f t="shared" si="521"/>
        <v>0</v>
      </c>
      <c r="CE41" s="26">
        <f t="shared" ref="CE41:CF41" si="522">CE38-CE39</f>
        <v>0</v>
      </c>
      <c r="CF41" s="26">
        <f t="shared" si="522"/>
        <v>-1.819999999999947</v>
      </c>
      <c r="CG41" s="26">
        <f t="shared" ref="CG41:CH41" si="523">CG38-CG39</f>
        <v>231.84000000000003</v>
      </c>
      <c r="CH41" s="26">
        <f t="shared" si="523"/>
        <v>5.8099999999999952</v>
      </c>
      <c r="CI41" s="26">
        <f t="shared" ref="CI41:CJ41" si="524">CI38-CI39</f>
        <v>0</v>
      </c>
      <c r="CJ41" s="26">
        <f t="shared" si="524"/>
        <v>-49.070000000000007</v>
      </c>
      <c r="CK41" s="26">
        <f t="shared" ref="CK41:CL41" si="525">CK38-CK39</f>
        <v>-14.260000000000005</v>
      </c>
      <c r="CL41" s="26">
        <f t="shared" si="525"/>
        <v>-155.84999999999997</v>
      </c>
      <c r="CM41" s="27" t="e">
        <f t="shared" ref="CM41:DB41" si="526">CM38-CM39</f>
        <v>#DIV/0!</v>
      </c>
      <c r="CN41" s="27" t="e">
        <f t="shared" si="526"/>
        <v>#DIV/0!</v>
      </c>
      <c r="CO41" s="27" t="e">
        <f t="shared" si="526"/>
        <v>#DIV/0!</v>
      </c>
      <c r="CP41" s="27" t="e">
        <f t="shared" si="526"/>
        <v>#DIV/0!</v>
      </c>
      <c r="CQ41" s="27" t="e">
        <f t="shared" si="526"/>
        <v>#DIV/0!</v>
      </c>
      <c r="CR41" s="27" t="e">
        <f t="shared" si="526"/>
        <v>#DIV/0!</v>
      </c>
      <c r="CS41" s="27" t="e">
        <f t="shared" si="526"/>
        <v>#DIV/0!</v>
      </c>
      <c r="CT41" s="27" t="e">
        <f t="shared" si="526"/>
        <v>#DIV/0!</v>
      </c>
      <c r="CU41" s="27" t="e">
        <f t="shared" si="526"/>
        <v>#DIV/0!</v>
      </c>
      <c r="CV41" s="27" t="e">
        <f t="shared" si="526"/>
        <v>#DIV/0!</v>
      </c>
      <c r="CW41" s="27" t="e">
        <f t="shared" si="526"/>
        <v>#DIV/0!</v>
      </c>
      <c r="CX41" s="27" t="e">
        <f t="shared" si="526"/>
        <v>#DIV/0!</v>
      </c>
      <c r="CY41" s="27" t="e">
        <f t="shared" si="526"/>
        <v>#DIV/0!</v>
      </c>
      <c r="CZ41" s="27" t="e">
        <f t="shared" si="526"/>
        <v>#DIV/0!</v>
      </c>
      <c r="DA41" s="27" t="e">
        <f t="shared" si="526"/>
        <v>#DIV/0!</v>
      </c>
      <c r="DB41" s="27" t="e">
        <f t="shared" si="526"/>
        <v>#DIV/0!</v>
      </c>
      <c r="DE41" s="121"/>
      <c r="DF41" s="26">
        <v>-219.18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 t="e">
        <f t="shared" si="528"/>
        <v>#DIV/0!</v>
      </c>
      <c r="N42" s="45" t="e">
        <f t="shared" si="528"/>
        <v>#DIV/0!</v>
      </c>
      <c r="O42" s="45" t="e">
        <f t="shared" si="528"/>
        <v>#DIV/0!</v>
      </c>
      <c r="P42" s="45" t="e">
        <f t="shared" si="528"/>
        <v>#DIV/0!</v>
      </c>
      <c r="Q42" s="45" t="e">
        <f t="shared" si="528"/>
        <v>#DIV/0!</v>
      </c>
      <c r="R42" s="45" t="e">
        <f t="shared" si="528"/>
        <v>#DIV/0!</v>
      </c>
      <c r="S42" s="45" t="e">
        <f t="shared" si="528"/>
        <v>#DIV/0!</v>
      </c>
      <c r="T42" s="45" t="e">
        <f t="shared" si="528"/>
        <v>#DIV/0!</v>
      </c>
      <c r="U42" s="45" t="e">
        <f t="shared" si="528"/>
        <v>#DIV/0!</v>
      </c>
      <c r="V42" s="45" t="e">
        <f t="shared" si="528"/>
        <v>#DIV/0!</v>
      </c>
      <c r="W42" s="45">
        <f t="shared" si="528"/>
        <v>-1.1749871450608464</v>
      </c>
      <c r="X42" s="45">
        <f t="shared" si="528"/>
        <v>-0.49086627803775412</v>
      </c>
      <c r="Y42" s="45">
        <f t="shared" si="528"/>
        <v>-0.11204104258603072</v>
      </c>
      <c r="Z42" s="45">
        <f t="shared" ref="Z42:AA42" si="529">+Z41/Z10</f>
        <v>0.21705243475145697</v>
      </c>
      <c r="AA42" s="45">
        <f t="shared" si="529"/>
        <v>-0.13091273769880563</v>
      </c>
      <c r="AB42" s="48" t="e">
        <f t="shared" si="528"/>
        <v>#DIV/0!</v>
      </c>
      <c r="AC42" s="48" t="e">
        <f t="shared" si="528"/>
        <v>#DIV/0!</v>
      </c>
      <c r="AD42" s="48" t="e">
        <f t="shared" si="528"/>
        <v>#DIV/0!</v>
      </c>
      <c r="AE42" s="48" t="e">
        <f t="shared" si="528"/>
        <v>#DIV/0!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 t="e">
        <f t="shared" si="530"/>
        <v>#DIV/0!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 t="e">
        <f t="shared" si="530"/>
        <v>#DIV/0!</v>
      </c>
      <c r="BH42" s="45" t="e">
        <f t="shared" si="530"/>
        <v>#DIV/0!</v>
      </c>
      <c r="BI42" s="45" t="e">
        <f t="shared" si="530"/>
        <v>#DIV/0!</v>
      </c>
      <c r="BJ42" s="45" t="e">
        <f t="shared" si="530"/>
        <v>#DIV/0!</v>
      </c>
      <c r="BK42" s="45" t="e">
        <f t="shared" si="530"/>
        <v>#DIV/0!</v>
      </c>
      <c r="BL42" s="45" t="e">
        <f t="shared" si="530"/>
        <v>#DIV/0!</v>
      </c>
      <c r="BM42" s="45" t="e">
        <f t="shared" si="530"/>
        <v>#DIV/0!</v>
      </c>
      <c r="BN42" s="45" t="e">
        <f t="shared" si="530"/>
        <v>#DIV/0!</v>
      </c>
      <c r="BO42" s="45" t="e">
        <f t="shared" ref="BO42:CT42" si="531">+BO41/BO10</f>
        <v>#DIV/0!</v>
      </c>
      <c r="BP42" s="45" t="e">
        <f t="shared" si="531"/>
        <v>#DIV/0!</v>
      </c>
      <c r="BQ42" s="45" t="e">
        <f t="shared" si="531"/>
        <v>#DIV/0!</v>
      </c>
      <c r="BR42" s="45" t="e">
        <f t="shared" si="531"/>
        <v>#DIV/0!</v>
      </c>
      <c r="BS42" s="45" t="e">
        <f t="shared" si="531"/>
        <v>#DIV/0!</v>
      </c>
      <c r="BT42" s="45" t="e">
        <f t="shared" si="531"/>
        <v>#DIV/0!</v>
      </c>
      <c r="BU42" s="45" t="e">
        <f t="shared" si="531"/>
        <v>#DIV/0!</v>
      </c>
      <c r="BV42" s="45" t="e">
        <f t="shared" si="531"/>
        <v>#DIV/0!</v>
      </c>
      <c r="BW42" s="45" t="e">
        <f t="shared" si="531"/>
        <v>#DIV/0!</v>
      </c>
      <c r="BX42" s="45" t="e">
        <f t="shared" si="531"/>
        <v>#DIV/0!</v>
      </c>
      <c r="BY42" s="45" t="e">
        <f t="shared" si="531"/>
        <v>#DIV/0!</v>
      </c>
      <c r="BZ42" s="45" t="e">
        <f t="shared" si="531"/>
        <v>#DIV/0!</v>
      </c>
      <c r="CA42" s="45" t="e">
        <f t="shared" si="531"/>
        <v>#DIV/0!</v>
      </c>
      <c r="CB42" s="45" t="e">
        <f t="shared" si="531"/>
        <v>#DIV/0!</v>
      </c>
      <c r="CC42" s="45" t="e">
        <f t="shared" si="531"/>
        <v>#DIV/0!</v>
      </c>
      <c r="CD42" s="45" t="e">
        <f t="shared" si="531"/>
        <v>#DIV/0!</v>
      </c>
      <c r="CE42" s="45" t="e">
        <f t="shared" si="531"/>
        <v>#DIV/0!</v>
      </c>
      <c r="CF42" s="45">
        <f t="shared" si="531"/>
        <v>-6.5647092771603912E-3</v>
      </c>
      <c r="CG42" s="45">
        <f t="shared" si="531"/>
        <v>0.80522367324256749</v>
      </c>
      <c r="CH42" s="45">
        <f t="shared" si="531"/>
        <v>1.9467247445133173E-2</v>
      </c>
      <c r="CI42" s="45" t="e">
        <f t="shared" ref="CI42:CJ42" si="532">+CI41/CI10</f>
        <v>#DIV/0!</v>
      </c>
      <c r="CJ42" s="45">
        <f t="shared" si="532"/>
        <v>-0.12912138515380367</v>
      </c>
      <c r="CK42" s="45">
        <f t="shared" ref="CK42:CL42" si="533">+CK41/CK10</f>
        <v>-3.7263509982230596E-2</v>
      </c>
      <c r="CL42" s="45">
        <f t="shared" si="533"/>
        <v>-0.36622332926026874</v>
      </c>
      <c r="CM42" s="48" t="e">
        <f t="shared" si="531"/>
        <v>#DIV/0!</v>
      </c>
      <c r="CN42" s="48" t="e">
        <f t="shared" si="531"/>
        <v>#DIV/0!</v>
      </c>
      <c r="CO42" s="48" t="e">
        <f t="shared" si="531"/>
        <v>#DIV/0!</v>
      </c>
      <c r="CP42" s="48" t="e">
        <f t="shared" si="531"/>
        <v>#DIV/0!</v>
      </c>
      <c r="CQ42" s="48" t="e">
        <f t="shared" si="531"/>
        <v>#DIV/0!</v>
      </c>
      <c r="CR42" s="48" t="e">
        <f t="shared" si="531"/>
        <v>#DIV/0!</v>
      </c>
      <c r="CS42" s="48" t="e">
        <f t="shared" si="531"/>
        <v>#DIV/0!</v>
      </c>
      <c r="CT42" s="48" t="e">
        <f t="shared" si="531"/>
        <v>#DIV/0!</v>
      </c>
      <c r="CU42" s="48" t="e">
        <f t="shared" ref="CU42:DB42" si="534">+CU41/CU10</f>
        <v>#DIV/0!</v>
      </c>
      <c r="CV42" s="48" t="e">
        <f t="shared" si="534"/>
        <v>#DIV/0!</v>
      </c>
      <c r="CW42" s="48" t="e">
        <f t="shared" si="534"/>
        <v>#DIV/0!</v>
      </c>
      <c r="CX42" s="48" t="e">
        <f t="shared" si="534"/>
        <v>#DIV/0!</v>
      </c>
      <c r="CY42" s="48" t="e">
        <f t="shared" si="534"/>
        <v>#DIV/0!</v>
      </c>
      <c r="CZ42" s="48" t="e">
        <f t="shared" si="534"/>
        <v>#DIV/0!</v>
      </c>
      <c r="DA42" s="48" t="e">
        <f t="shared" si="534"/>
        <v>#DIV/0!</v>
      </c>
      <c r="DB42" s="48" t="e">
        <f t="shared" si="534"/>
        <v>#DIV/0!</v>
      </c>
      <c r="DE42" s="129"/>
      <c r="DF42" s="45">
        <v>-0.1844530283521422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 t="e">
        <f t="shared" si="536"/>
        <v>#DIV/0!</v>
      </c>
      <c r="L43" s="39" t="e">
        <f t="shared" si="536"/>
        <v>#DIV/0!</v>
      </c>
      <c r="M43" s="39" t="e">
        <f t="shared" si="536"/>
        <v>#DIV/0!</v>
      </c>
      <c r="N43" s="39" t="e">
        <f t="shared" si="536"/>
        <v>#DIV/0!</v>
      </c>
      <c r="O43" s="39" t="e">
        <f t="shared" si="536"/>
        <v>#DIV/0!</v>
      </c>
      <c r="P43" s="39" t="e">
        <f t="shared" si="536"/>
        <v>#DIV/0!</v>
      </c>
      <c r="Q43" s="39" t="e">
        <f t="shared" si="536"/>
        <v>#DIV/0!</v>
      </c>
      <c r="R43" s="39" t="e">
        <f t="shared" si="536"/>
        <v>#DIV/0!</v>
      </c>
      <c r="S43" s="39" t="e">
        <f t="shared" si="536"/>
        <v>#DIV/0!</v>
      </c>
      <c r="T43" s="39" t="e">
        <f t="shared" si="536"/>
        <v>#DIV/0!</v>
      </c>
      <c r="U43" s="39" t="e">
        <f t="shared" si="536"/>
        <v>#DIV/0!</v>
      </c>
      <c r="V43" s="39" t="e">
        <f t="shared" si="536"/>
        <v>#DIV/0!</v>
      </c>
      <c r="W43" s="39" t="e">
        <f t="shared" si="536"/>
        <v>#DIV/0!</v>
      </c>
      <c r="X43" s="39">
        <f t="shared" si="536"/>
        <v>0.39222592848320958</v>
      </c>
      <c r="Y43" s="39">
        <f t="shared" si="536"/>
        <v>0.7031143994572524</v>
      </c>
      <c r="Z43" s="39">
        <f t="shared" ref="Z43:AA43" si="537">+IF(Y41&lt;0,1-Z41/Y41,Z41/Y41-1)</f>
        <v>3.6776398051136119</v>
      </c>
      <c r="AA43" s="39">
        <f t="shared" si="537"/>
        <v>-1.8197737611207283</v>
      </c>
      <c r="AB43" s="40" t="e">
        <f t="shared" si="536"/>
        <v>#DIV/0!</v>
      </c>
      <c r="AC43" s="40" t="e">
        <f t="shared" si="536"/>
        <v>#DIV/0!</v>
      </c>
      <c r="AD43" s="40" t="e">
        <f t="shared" si="536"/>
        <v>#DIV/0!</v>
      </c>
      <c r="AE43" s="40" t="e">
        <f t="shared" si="536"/>
        <v>#DIV/0!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 t="e">
        <f t="shared" ref="BE43" si="555">+IF(BA41&lt;0,1-BE41/BA41,BE41/BA41-1)</f>
        <v>#DIV/0!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 t="e">
        <f t="shared" ref="BK43" si="561">+IF(BG41&lt;0,1-BK41/BG41,BK41/BG41-1)</f>
        <v>#DIV/0!</v>
      </c>
      <c r="BL43" s="39" t="e">
        <f t="shared" ref="BL43" si="562">+IF(BH41&lt;0,1-BL41/BH41,BL41/BH41-1)</f>
        <v>#DIV/0!</v>
      </c>
      <c r="BM43" s="39" t="e">
        <f t="shared" ref="BM43" si="563">+IF(BI41&lt;0,1-BM41/BI41,BM41/BI41-1)</f>
        <v>#DIV/0!</v>
      </c>
      <c r="BN43" s="39" t="e">
        <f t="shared" ref="BN43" si="564">+IF(BJ41&lt;0,1-BN41/BJ41,BN41/BJ41-1)</f>
        <v>#DIV/0!</v>
      </c>
      <c r="BO43" s="39" t="e">
        <f t="shared" ref="BO43" si="565">+IF(BK41&lt;0,1-BO41/BK41,BO41/BK41-1)</f>
        <v>#DIV/0!</v>
      </c>
      <c r="BP43" s="39" t="e">
        <f t="shared" ref="BP43" si="566">+IF(BL41&lt;0,1-BP41/BL41,BP41/BL41-1)</f>
        <v>#DIV/0!</v>
      </c>
      <c r="BQ43" s="39" t="e">
        <f t="shared" ref="BQ43" si="567">+IF(BM41&lt;0,1-BQ41/BM41,BQ41/BM41-1)</f>
        <v>#DIV/0!</v>
      </c>
      <c r="BR43" s="39" t="e">
        <f t="shared" ref="BR43" si="568">+IF(BN41&lt;0,1-BR41/BN41,BR41/BN41-1)</f>
        <v>#DIV/0!</v>
      </c>
      <c r="BS43" s="39" t="e">
        <f t="shared" ref="BS43" si="569">+IF(BO41&lt;0,1-BS41/BO41,BS41/BO41-1)</f>
        <v>#DIV/0!</v>
      </c>
      <c r="BT43" s="39" t="e">
        <f t="shared" ref="BT43" si="570">+IF(BP41&lt;0,1-BT41/BP41,BT41/BP41-1)</f>
        <v>#DIV/0!</v>
      </c>
      <c r="BU43" s="39" t="e">
        <f t="shared" ref="BU43" si="571">+IF(BQ41&lt;0,1-BU41/BQ41,BU41/BQ41-1)</f>
        <v>#DIV/0!</v>
      </c>
      <c r="BV43" s="39" t="e">
        <f t="shared" ref="BV43" si="572">+IF(BR41&lt;0,1-BV41/BR41,BV41/BR41-1)</f>
        <v>#DIV/0!</v>
      </c>
      <c r="BW43" s="39" t="e">
        <f t="shared" ref="BW43" si="573">+IF(BS41&lt;0,1-BW41/BS41,BW41/BS41-1)</f>
        <v>#DIV/0!</v>
      </c>
      <c r="BX43" s="39" t="e">
        <f t="shared" ref="BX43" si="574">+IF(BT41&lt;0,1-BX41/BT41,BX41/BT41-1)</f>
        <v>#DIV/0!</v>
      </c>
      <c r="BY43" s="39" t="e">
        <f t="shared" ref="BY43" si="575">+IF(BU41&lt;0,1-BY41/BU41,BY41/BU41-1)</f>
        <v>#DIV/0!</v>
      </c>
      <c r="BZ43" s="39" t="e">
        <f t="shared" ref="BZ43" si="576">+IF(BV41&lt;0,1-BZ41/BV41,BZ41/BV41-1)</f>
        <v>#DIV/0!</v>
      </c>
      <c r="CA43" s="39" t="e">
        <f t="shared" ref="CA43" si="577">+IF(BW41&lt;0,1-CA41/BW41,CA41/BW41-1)</f>
        <v>#DIV/0!</v>
      </c>
      <c r="CB43" s="39" t="e">
        <f t="shared" ref="CB43" si="578">+IF(BX41&lt;0,1-CB41/BX41,CB41/BX41-1)</f>
        <v>#DIV/0!</v>
      </c>
      <c r="CC43" s="39" t="e">
        <f t="shared" ref="CC43" si="579">+IF(BY41&lt;0,1-CC41/BY41,CC41/BY41-1)</f>
        <v>#DIV/0!</v>
      </c>
      <c r="CD43" s="39" t="e">
        <f t="shared" ref="CD43" si="580">+IF(BZ41&lt;0,1-CD41/BZ41,CD41/BZ41-1)</f>
        <v>#DIV/0!</v>
      </c>
      <c r="CE43" s="39" t="e">
        <f t="shared" ref="CE43" si="581">+IF(CA41&lt;0,1-CE41/CA41,CE41/CA41-1)</f>
        <v>#DIV/0!</v>
      </c>
      <c r="CF43" s="39" t="e">
        <f t="shared" ref="CF43" si="582">+IF(CB41&lt;0,1-CF41/CB41,CF41/CB41-1)</f>
        <v>#DIV/0!</v>
      </c>
      <c r="CG43" s="39" t="e">
        <f t="shared" ref="CG43" si="583">+IF(CC41&lt;0,1-CG41/CC41,CG41/CC41-1)</f>
        <v>#DIV/0!</v>
      </c>
      <c r="CH43" s="39" t="e">
        <f t="shared" ref="CH43:CL43" si="584">+IF(CD41&lt;0,1-CH41/CD41,CH41/CD41-1)</f>
        <v>#DIV/0!</v>
      </c>
      <c r="CI43" s="39" t="e">
        <f t="shared" si="584"/>
        <v>#DIV/0!</v>
      </c>
      <c r="CJ43" s="39">
        <f t="shared" si="584"/>
        <v>-25.961538461539252</v>
      </c>
      <c r="CK43" s="39">
        <f t="shared" si="584"/>
        <v>-1.0615079365079365</v>
      </c>
      <c r="CL43" s="39">
        <f t="shared" si="584"/>
        <v>-27.82444061962136</v>
      </c>
      <c r="CM43" s="40" t="e">
        <f t="shared" ref="CM43" si="585">+CM41/CI41-1</f>
        <v>#DIV/0!</v>
      </c>
      <c r="CN43" s="40" t="e">
        <f t="shared" ref="CN43" si="586">+CN41/CJ41-1</f>
        <v>#DIV/0!</v>
      </c>
      <c r="CO43" s="40" t="e">
        <f t="shared" ref="CO43" si="587">+CO41/CK41-1</f>
        <v>#DIV/0!</v>
      </c>
      <c r="CP43" s="40" t="e">
        <f t="shared" ref="CP43" si="588">+CP41/CL41-1</f>
        <v>#DIV/0!</v>
      </c>
      <c r="CQ43" s="40" t="e">
        <f t="shared" ref="CQ43" si="589">+CQ41/CM41-1</f>
        <v>#DIV/0!</v>
      </c>
      <c r="CR43" s="40" t="e">
        <f t="shared" ref="CR43" si="590">+CR41/CN41-1</f>
        <v>#DIV/0!</v>
      </c>
      <c r="CS43" s="40" t="e">
        <f t="shared" ref="CS43" si="591">+CS41/CO41-1</f>
        <v>#DIV/0!</v>
      </c>
      <c r="CT43" s="40" t="e">
        <f t="shared" ref="CT43" si="592">+CT41/CP41-1</f>
        <v>#DIV/0!</v>
      </c>
      <c r="CU43" s="40" t="e">
        <f t="shared" ref="CU43" si="593">+CU41/CQ41-1</f>
        <v>#DIV/0!</v>
      </c>
      <c r="CV43" s="40" t="e">
        <f t="shared" ref="CV43" si="594">+CV41/CR41-1</f>
        <v>#DIV/0!</v>
      </c>
      <c r="CW43" s="40" t="e">
        <f t="shared" ref="CW43" si="595">+CW41/CS41-1</f>
        <v>#DIV/0!</v>
      </c>
      <c r="CX43" s="40" t="e">
        <f t="shared" ref="CX43" si="596">+CX41/CT41-1</f>
        <v>#DIV/0!</v>
      </c>
      <c r="CY43" s="40" t="e">
        <f t="shared" ref="CY43" si="597">+CY41/CU41-1</f>
        <v>#DIV/0!</v>
      </c>
      <c r="CZ43" s="40" t="e">
        <f t="shared" ref="CZ43" si="598">+CZ41/CV41-1</f>
        <v>#DIV/0!</v>
      </c>
      <c r="DA43" s="40" t="e">
        <f t="shared" ref="DA43" si="599">+DA41/CW41-1</f>
        <v>#DIV/0!</v>
      </c>
      <c r="DB43" s="40" t="e">
        <f t="shared" ref="DB43" si="600">+DB41/CX41-1</f>
        <v>#DIV/0!</v>
      </c>
      <c r="DE43" s="122"/>
      <c r="DF43" s="39">
        <v>-1.8823209735400326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 t="e">
        <f t="shared" ref="BB44" si="616">+IF(BA41&lt;0,1-BB41/BA41,BB41/BA41-1)</f>
        <v>#DIV/0!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 t="e">
        <f t="shared" ref="BH44" si="622">+IF(BG41&lt;0,1-BH41/BG41,BH41/BG41-1)</f>
        <v>#DIV/0!</v>
      </c>
      <c r="BI44" s="39" t="e">
        <f t="shared" ref="BI44" si="623">+IF(BH41&lt;0,1-BI41/BH41,BI41/BH41-1)</f>
        <v>#DIV/0!</v>
      </c>
      <c r="BJ44" s="39" t="e">
        <f t="shared" ref="BJ44" si="624">+IF(BI41&lt;0,1-BJ41/BI41,BJ41/BI41-1)</f>
        <v>#DIV/0!</v>
      </c>
      <c r="BK44" s="39" t="e">
        <f t="shared" ref="BK44" si="625">+IF(BJ41&lt;0,1-BK41/BJ41,BK41/BJ41-1)</f>
        <v>#DIV/0!</v>
      </c>
      <c r="BL44" s="39" t="e">
        <f t="shared" ref="BL44" si="626">+IF(BK41&lt;0,1-BL41/BK41,BL41/BK41-1)</f>
        <v>#DIV/0!</v>
      </c>
      <c r="BM44" s="39" t="e">
        <f t="shared" ref="BM44" si="627">+IF(BL41&lt;0,1-BM41/BL41,BM41/BL41-1)</f>
        <v>#DIV/0!</v>
      </c>
      <c r="BN44" s="39" t="e">
        <f t="shared" ref="BN44" si="628">+IF(BM41&lt;0,1-BN41/BM41,BN41/BM41-1)</f>
        <v>#DIV/0!</v>
      </c>
      <c r="BO44" s="39" t="e">
        <f t="shared" ref="BO44" si="629">+IF(BN41&lt;0,1-BO41/BN41,BO41/BN41-1)</f>
        <v>#DIV/0!</v>
      </c>
      <c r="BP44" s="39" t="e">
        <f t="shared" ref="BP44" si="630">+IF(BO41&lt;0,1-BP41/BO41,BP41/BO41-1)</f>
        <v>#DIV/0!</v>
      </c>
      <c r="BQ44" s="39" t="e">
        <f t="shared" ref="BQ44" si="631">+IF(BP41&lt;0,1-BQ41/BP41,BQ41/BP41-1)</f>
        <v>#DIV/0!</v>
      </c>
      <c r="BR44" s="39" t="e">
        <f t="shared" ref="BR44" si="632">+IF(BQ41&lt;0,1-BR41/BQ41,BR41/BQ41-1)</f>
        <v>#DIV/0!</v>
      </c>
      <c r="BS44" s="39" t="e">
        <f t="shared" ref="BS44" si="633">+IF(BR41&lt;0,1-BS41/BR41,BS41/BR41-1)</f>
        <v>#DIV/0!</v>
      </c>
      <c r="BT44" s="39" t="e">
        <f t="shared" ref="BT44" si="634">+IF(BS41&lt;0,1-BT41/BS41,BT41/BS41-1)</f>
        <v>#DIV/0!</v>
      </c>
      <c r="BU44" s="39" t="e">
        <f t="shared" ref="BU44" si="635">+IF(BT41&lt;0,1-BU41/BT41,BU41/BT41-1)</f>
        <v>#DIV/0!</v>
      </c>
      <c r="BV44" s="39" t="e">
        <f t="shared" ref="BV44" si="636">+IF(BU41&lt;0,1-BV41/BU41,BV41/BU41-1)</f>
        <v>#DIV/0!</v>
      </c>
      <c r="BW44" s="39" t="e">
        <f t="shared" ref="BW44" si="637">+IF(BV41&lt;0,1-BW41/BV41,BW41/BV41-1)</f>
        <v>#DIV/0!</v>
      </c>
      <c r="BX44" s="39" t="e">
        <f t="shared" ref="BX44" si="638">+IF(BW41&lt;0,1-BX41/BW41,BX41/BW41-1)</f>
        <v>#DIV/0!</v>
      </c>
      <c r="BY44" s="39" t="e">
        <f t="shared" ref="BY44" si="639">+IF(BX41&lt;0,1-BY41/BX41,BY41/BX41-1)</f>
        <v>#DIV/0!</v>
      </c>
      <c r="BZ44" s="39" t="e">
        <f t="shared" ref="BZ44" si="640">+IF(BY41&lt;0,1-BZ41/BY41,BZ41/BY41-1)</f>
        <v>#DIV/0!</v>
      </c>
      <c r="CA44" s="39" t="e">
        <f t="shared" ref="CA44" si="641">+IF(BZ41&lt;0,1-CA41/BZ41,CA41/BZ41-1)</f>
        <v>#DIV/0!</v>
      </c>
      <c r="CB44" s="39" t="e">
        <f t="shared" ref="CB44" si="642">+IF(CA41&lt;0,1-CB41/CA41,CB41/CA41-1)</f>
        <v>#DIV/0!</v>
      </c>
      <c r="CC44" s="39" t="e">
        <f t="shared" ref="CC44" si="643">+IF(CB41&lt;0,1-CC41/CB41,CC41/CB41-1)</f>
        <v>#DIV/0!</v>
      </c>
      <c r="CD44" s="39" t="e">
        <f t="shared" ref="CD44" si="644">+IF(CC41&lt;0,1-CD41/CC41,CD41/CC41-1)</f>
        <v>#DIV/0!</v>
      </c>
      <c r="CE44" s="39" t="e">
        <f t="shared" ref="CE44" si="645">+IF(CD41&lt;0,1-CE41/CD41,CE41/CD41-1)</f>
        <v>#DIV/0!</v>
      </c>
      <c r="CF44" s="39" t="e">
        <f t="shared" ref="CF44" si="646">+IF(CE41&lt;0,1-CF41/CE41,CF41/CE41-1)</f>
        <v>#DIV/0!</v>
      </c>
      <c r="CG44" s="39">
        <f t="shared" ref="CG44" si="647">+IF(CF41&lt;0,1-CG41/CF41,CG41/CF41-1)</f>
        <v>128.38461538461911</v>
      </c>
      <c r="CH44" s="39">
        <f t="shared" ref="CH44:CL44" si="648">+IF(CG41&lt;0,1-CH41/CG41,CH41/CG41-1)</f>
        <v>-0.9749396135265701</v>
      </c>
      <c r="CI44" s="39">
        <f t="shared" si="648"/>
        <v>-1</v>
      </c>
      <c r="CJ44" s="39" t="e">
        <f t="shared" si="648"/>
        <v>#DIV/0!</v>
      </c>
      <c r="CK44" s="39">
        <f t="shared" si="648"/>
        <v>0.7093947422050132</v>
      </c>
      <c r="CL44" s="39">
        <f t="shared" si="648"/>
        <v>-9.9291725105189279</v>
      </c>
      <c r="CM44" s="40" t="e">
        <f t="shared" ref="CM44" si="649">+CM41/CL41-1</f>
        <v>#DIV/0!</v>
      </c>
      <c r="CN44" s="40" t="e">
        <f t="shared" ref="CN44" si="650">+CN41/CM41-1</f>
        <v>#DIV/0!</v>
      </c>
      <c r="CO44" s="40" t="e">
        <f t="shared" ref="CO44" si="651">+CO41/CN41-1</f>
        <v>#DIV/0!</v>
      </c>
      <c r="CP44" s="40" t="e">
        <f t="shared" ref="CP44" si="652">+CP41/CO41-1</f>
        <v>#DIV/0!</v>
      </c>
      <c r="CQ44" s="40" t="e">
        <f t="shared" ref="CQ44" si="653">+CQ41/CP41-1</f>
        <v>#DIV/0!</v>
      </c>
      <c r="CR44" s="40" t="e">
        <f t="shared" ref="CR44" si="654">+CR41/CQ41-1</f>
        <v>#DIV/0!</v>
      </c>
      <c r="CS44" s="40" t="e">
        <f t="shared" ref="CS44" si="655">+CS41/CR41-1</f>
        <v>#DIV/0!</v>
      </c>
      <c r="CT44" s="40" t="e">
        <f t="shared" ref="CT44" si="656">+CT41/CS41-1</f>
        <v>#DIV/0!</v>
      </c>
      <c r="CU44" s="40" t="e">
        <f t="shared" ref="CU44" si="657">+CU41/CT41-1</f>
        <v>#DIV/0!</v>
      </c>
      <c r="CV44" s="40" t="e">
        <f t="shared" ref="CV44" si="658">+CV41/CU41-1</f>
        <v>#DIV/0!</v>
      </c>
      <c r="CW44" s="40" t="e">
        <f t="shared" ref="CW44" si="659">+CW41/CV41-1</f>
        <v>#DIV/0!</v>
      </c>
      <c r="CX44" s="40" t="e">
        <f t="shared" ref="CX44" si="660">+CX41/CW41-1</f>
        <v>#DIV/0!</v>
      </c>
      <c r="CY44" s="40" t="e">
        <f t="shared" ref="CY44" si="661">+CY41/CX41-1</f>
        <v>#DIV/0!</v>
      </c>
      <c r="CZ44" s="40" t="e">
        <f t="shared" ref="CZ44" si="662">+CZ41/CY41-1</f>
        <v>#DIV/0!</v>
      </c>
      <c r="DA44" s="40" t="e">
        <f t="shared" ref="DA44" si="663">+DA41/CZ41-1</f>
        <v>#DIV/0!</v>
      </c>
      <c r="DB44" s="40" t="e">
        <f t="shared" ref="DB44" si="664">+DB41/DA41-1</f>
        <v>#DIV/0!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-8.65</v>
      </c>
      <c r="AA46" s="75">
        <f>'Annual Raw'!AB33+'Annual Raw'!AB28</f>
        <v>-31.17</v>
      </c>
      <c r="AB46" s="76">
        <f t="shared" si="665"/>
        <v>-21.24</v>
      </c>
      <c r="AC46" s="76">
        <f t="shared" si="666"/>
        <v>-21.24</v>
      </c>
      <c r="AD46" s="76">
        <f t="shared" si="667"/>
        <v>-21.24</v>
      </c>
      <c r="AE46" s="76">
        <f t="shared" si="668"/>
        <v>-21.24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-8.65</v>
      </c>
      <c r="CI46" s="75">
        <f>'QTR Raw'!BC35</f>
        <v>0</v>
      </c>
      <c r="CJ46" s="75">
        <f>'QTR Raw'!BD35</f>
        <v>-10.26</v>
      </c>
      <c r="CK46" s="75">
        <f>'QTR Raw'!BE35</f>
        <v>-7</v>
      </c>
      <c r="CL46" s="75">
        <f>'QTR Raw'!BF35</f>
        <v>-5.31</v>
      </c>
      <c r="CM46" s="76">
        <f t="shared" si="669"/>
        <v>-5.31</v>
      </c>
      <c r="CN46" s="76">
        <f t="shared" si="670"/>
        <v>-5.31</v>
      </c>
      <c r="CO46" s="76">
        <f t="shared" si="671"/>
        <v>-5.31</v>
      </c>
      <c r="CP46" s="76">
        <f t="shared" si="672"/>
        <v>-5.31</v>
      </c>
      <c r="CQ46" s="76">
        <f t="shared" si="673"/>
        <v>-5.31</v>
      </c>
      <c r="CR46" s="76">
        <f t="shared" si="674"/>
        <v>-5.31</v>
      </c>
      <c r="CS46" s="76">
        <f t="shared" si="675"/>
        <v>-5.31</v>
      </c>
      <c r="CT46" s="76">
        <f t="shared" si="676"/>
        <v>-5.31</v>
      </c>
      <c r="CU46" s="76">
        <f t="shared" si="677"/>
        <v>-5.31</v>
      </c>
      <c r="CV46" s="76">
        <f t="shared" si="678"/>
        <v>-5.31</v>
      </c>
      <c r="CW46" s="76">
        <f t="shared" si="679"/>
        <v>-5.31</v>
      </c>
      <c r="CX46" s="76">
        <f t="shared" si="680"/>
        <v>-5.31</v>
      </c>
      <c r="CY46" s="76">
        <f t="shared" si="681"/>
        <v>-5.31</v>
      </c>
      <c r="CZ46" s="76">
        <f t="shared" si="682"/>
        <v>-5.31</v>
      </c>
      <c r="DA46" s="76">
        <f t="shared" si="683"/>
        <v>-5.31</v>
      </c>
      <c r="DB46" s="76">
        <f t="shared" si="684"/>
        <v>-5.31</v>
      </c>
      <c r="DE46" s="131"/>
      <c r="DF46" s="75">
        <v>-7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0</v>
      </c>
      <c r="K48" s="26">
        <f t="shared" si="685"/>
        <v>0</v>
      </c>
      <c r="L48" s="26">
        <f t="shared" si="685"/>
        <v>0</v>
      </c>
      <c r="M48" s="26">
        <f t="shared" si="685"/>
        <v>0</v>
      </c>
      <c r="N48" s="26">
        <f t="shared" si="685"/>
        <v>0</v>
      </c>
      <c r="O48" s="26">
        <f t="shared" si="685"/>
        <v>0</v>
      </c>
      <c r="P48" s="26">
        <f t="shared" si="685"/>
        <v>0</v>
      </c>
      <c r="Q48" s="26">
        <f t="shared" si="685"/>
        <v>0</v>
      </c>
      <c r="R48" s="26">
        <f t="shared" si="685"/>
        <v>0</v>
      </c>
      <c r="S48" s="26">
        <f t="shared" si="685"/>
        <v>0</v>
      </c>
      <c r="T48" s="26">
        <f t="shared" si="685"/>
        <v>0</v>
      </c>
      <c r="U48" s="26">
        <f t="shared" si="685"/>
        <v>0</v>
      </c>
      <c r="V48" s="26">
        <f>V41+V45+V46+V47</f>
        <v>0</v>
      </c>
      <c r="W48" s="26">
        <f>W41+W45+W46+W47</f>
        <v>-514.14499999999987</v>
      </c>
      <c r="X48" s="26">
        <f>X41+X45+X46+X47</f>
        <v>-312.48400000000015</v>
      </c>
      <c r="Y48" s="26">
        <f>Y41+Y45+Y46+Y47</f>
        <v>-92.771999999999991</v>
      </c>
      <c r="Z48" s="26">
        <f>Z41+Z45+Z46+Z47</f>
        <v>239.75999999999996</v>
      </c>
      <c r="AA48" s="26">
        <f>AA41+AA45+AA46+AA47</f>
        <v>-234.81000000000012</v>
      </c>
      <c r="AB48" s="27" t="e">
        <f t="shared" ref="AA48:AD48" si="686">AB41+AB45+AB46+AB47</f>
        <v>#DIV/0!</v>
      </c>
      <c r="AC48" s="27" t="e">
        <f t="shared" si="686"/>
        <v>#DIV/0!</v>
      </c>
      <c r="AD48" s="27" t="e">
        <f t="shared" si="686"/>
        <v>#DIV/0!</v>
      </c>
      <c r="AE48" s="27" t="e">
        <f t="shared" ref="AE48" si="687">AE41+AE45+AE46+AE47</f>
        <v>#DIV/0!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0</v>
      </c>
      <c r="BM48" s="26">
        <f t="shared" si="692"/>
        <v>0</v>
      </c>
      <c r="BN48" s="26">
        <f t="shared" si="692"/>
        <v>0</v>
      </c>
      <c r="BO48" s="26">
        <f t="shared" si="692"/>
        <v>0</v>
      </c>
      <c r="BP48" s="26">
        <f t="shared" si="692"/>
        <v>0</v>
      </c>
      <c r="BQ48" s="26">
        <f t="shared" si="692"/>
        <v>0</v>
      </c>
      <c r="BR48" s="26">
        <f t="shared" si="692"/>
        <v>0</v>
      </c>
      <c r="BS48" s="26">
        <f t="shared" si="692"/>
        <v>0</v>
      </c>
      <c r="BT48" s="26">
        <f t="shared" si="692"/>
        <v>0</v>
      </c>
      <c r="BU48" s="26">
        <f t="shared" si="692"/>
        <v>0</v>
      </c>
      <c r="BV48" s="26">
        <f t="shared" si="692"/>
        <v>0</v>
      </c>
      <c r="BW48" s="26">
        <f t="shared" si="692"/>
        <v>0</v>
      </c>
      <c r="BX48" s="26">
        <f t="shared" si="692"/>
        <v>0</v>
      </c>
      <c r="BY48" s="26">
        <f t="shared" si="692"/>
        <v>0</v>
      </c>
      <c r="BZ48" s="26">
        <f t="shared" si="692"/>
        <v>0</v>
      </c>
      <c r="CA48" s="26">
        <f t="shared" si="692"/>
        <v>0</v>
      </c>
      <c r="CB48" s="26">
        <f t="shared" si="692"/>
        <v>0</v>
      </c>
      <c r="CC48" s="26">
        <f t="shared" si="692"/>
        <v>0</v>
      </c>
      <c r="CD48" s="26">
        <f t="shared" si="692"/>
        <v>0</v>
      </c>
      <c r="CE48" s="26">
        <f t="shared" ref="CE48:CF48" si="693">CE41+CE45+CE46+CE47</f>
        <v>0</v>
      </c>
      <c r="CF48" s="26">
        <f t="shared" si="693"/>
        <v>-1.819999999999947</v>
      </c>
      <c r="CG48" s="26">
        <f t="shared" ref="CG48:CH48" si="694">CG41+CG45+CG46+CG47</f>
        <v>231.84000000000003</v>
      </c>
      <c r="CH48" s="26">
        <f t="shared" si="694"/>
        <v>-2.8400000000000052</v>
      </c>
      <c r="CI48" s="26">
        <f t="shared" ref="CI48:CJ48" si="695">CI41+CI45+CI46+CI47</f>
        <v>0</v>
      </c>
      <c r="CJ48" s="26">
        <f t="shared" si="695"/>
        <v>-59.330000000000005</v>
      </c>
      <c r="CK48" s="26">
        <f t="shared" ref="CK48:CL48" si="696">CK41+CK45+CK46+CK47</f>
        <v>-21.260000000000005</v>
      </c>
      <c r="CL48" s="26">
        <f t="shared" si="696"/>
        <v>-161.15999999999997</v>
      </c>
      <c r="CM48" s="27" t="e">
        <f t="shared" ref="CM48:DB48" si="697">CM41+CM45+CM46+CM47</f>
        <v>#DIV/0!</v>
      </c>
      <c r="CN48" s="27" t="e">
        <f t="shared" si="697"/>
        <v>#DIV/0!</v>
      </c>
      <c r="CO48" s="27" t="e">
        <f t="shared" si="697"/>
        <v>#DIV/0!</v>
      </c>
      <c r="CP48" s="27" t="e">
        <f t="shared" si="697"/>
        <v>#DIV/0!</v>
      </c>
      <c r="CQ48" s="27" t="e">
        <f t="shared" si="697"/>
        <v>#DIV/0!</v>
      </c>
      <c r="CR48" s="27" t="e">
        <f t="shared" si="697"/>
        <v>#DIV/0!</v>
      </c>
      <c r="CS48" s="27" t="e">
        <f t="shared" si="697"/>
        <v>#DIV/0!</v>
      </c>
      <c r="CT48" s="27" t="e">
        <f t="shared" si="697"/>
        <v>#DIV/0!</v>
      </c>
      <c r="CU48" s="27" t="e">
        <f t="shared" si="697"/>
        <v>#DIV/0!</v>
      </c>
      <c r="CV48" s="27" t="e">
        <f t="shared" si="697"/>
        <v>#DIV/0!</v>
      </c>
      <c r="CW48" s="27" t="e">
        <f t="shared" si="697"/>
        <v>#DIV/0!</v>
      </c>
      <c r="CX48" s="27" t="e">
        <f t="shared" si="697"/>
        <v>#DIV/0!</v>
      </c>
      <c r="CY48" s="27" t="e">
        <f t="shared" si="697"/>
        <v>#DIV/0!</v>
      </c>
      <c r="CZ48" s="27" t="e">
        <f t="shared" si="697"/>
        <v>#DIV/0!</v>
      </c>
      <c r="DA48" s="27" t="e">
        <f t="shared" si="697"/>
        <v>#DIV/0!</v>
      </c>
      <c r="DB48" s="27" t="e">
        <f t="shared" si="697"/>
        <v>#DIV/0!</v>
      </c>
      <c r="DE48" s="121"/>
      <c r="DF48" s="26">
        <v>-241.75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0</v>
      </c>
      <c r="W51" s="22">
        <f>'Annual Raw'!X35</f>
        <v>-514.14499999999998</v>
      </c>
      <c r="X51" s="22">
        <f>'Annual Raw'!Y35</f>
        <v>-312.48399999999998</v>
      </c>
      <c r="Y51" s="22">
        <f>'Annual Raw'!Z35</f>
        <v>-92.772000000000006</v>
      </c>
      <c r="Z51" s="22">
        <f>'Annual Raw'!AA35</f>
        <v>239.76</v>
      </c>
      <c r="AA51" s="22">
        <f>'Annual Raw'!AB35</f>
        <v>-234.81</v>
      </c>
      <c r="AB51" s="21" t="e">
        <f t="shared" ref="AA51:AD51" si="698">+AB48</f>
        <v>#DIV/0!</v>
      </c>
      <c r="AC51" s="21" t="e">
        <f t="shared" si="698"/>
        <v>#DIV/0!</v>
      </c>
      <c r="AD51" s="21" t="e">
        <f t="shared" si="698"/>
        <v>#DIV/0!</v>
      </c>
      <c r="AE51" s="21" t="e">
        <f t="shared" ref="AE51" si="699">+AE48</f>
        <v>#DIV/0!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0</v>
      </c>
      <c r="BV51" s="22">
        <f>'QTR Raw'!AP42</f>
        <v>0</v>
      </c>
      <c r="BW51" s="22">
        <f>'QTR Raw'!AQ42</f>
        <v>0</v>
      </c>
      <c r="BX51" s="22">
        <f>'QTR Raw'!AR42</f>
        <v>0</v>
      </c>
      <c r="BY51" s="22">
        <f>'QTR Raw'!AS42</f>
        <v>0</v>
      </c>
      <c r="BZ51" s="22">
        <f>'QTR Raw'!AT42</f>
        <v>0</v>
      </c>
      <c r="CA51" s="22">
        <f>'QTR Raw'!AU42</f>
        <v>0</v>
      </c>
      <c r="CB51" s="22">
        <f>'QTR Raw'!AV42</f>
        <v>0</v>
      </c>
      <c r="CC51" s="22">
        <f>'QTR Raw'!AW42</f>
        <v>0</v>
      </c>
      <c r="CD51" s="22">
        <f>'QTR Raw'!AX42</f>
        <v>0</v>
      </c>
      <c r="CE51" s="22">
        <f>'QTR Raw'!AY42</f>
        <v>0</v>
      </c>
      <c r="CF51" s="22">
        <f>'QTR Raw'!AZ42</f>
        <v>-1.82</v>
      </c>
      <c r="CG51" s="22">
        <f>'QTR Raw'!BA42</f>
        <v>231.84</v>
      </c>
      <c r="CH51" s="22">
        <f>'QTR Raw'!BB42</f>
        <v>-2.84</v>
      </c>
      <c r="CI51" s="22">
        <f>'QTR Raw'!BC42</f>
        <v>0</v>
      </c>
      <c r="CJ51" s="22">
        <f>'QTR Raw'!BD42</f>
        <v>-59.33</v>
      </c>
      <c r="CK51" s="22">
        <f>'QTR Raw'!BE42</f>
        <v>-21.26</v>
      </c>
      <c r="CL51" s="22">
        <f>'QTR Raw'!BF42</f>
        <v>-161.16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-241.75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0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 t="e">
        <f t="shared" ref="AA52:AD52" si="704">AB51-AB48</f>
        <v>#DIV/0!</v>
      </c>
      <c r="AC52" s="17" t="e">
        <f t="shared" si="704"/>
        <v>#DIV/0!</v>
      </c>
      <c r="AD52" s="17" t="e">
        <f t="shared" si="704"/>
        <v>#DIV/0!</v>
      </c>
      <c r="AE52" s="17" t="e">
        <f t="shared" ref="AE52" si="705">AE51-AE48</f>
        <v>#DIV/0!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-5.3068660577082483E-14</v>
      </c>
      <c r="CG52" s="25">
        <f t="shared" ref="CG52:CH52" si="712">CG51-CG48</f>
        <v>0</v>
      </c>
      <c r="CH52" s="25">
        <f t="shared" si="712"/>
        <v>5.3290705182007514E-15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 t="e">
        <f t="shared" si="715"/>
        <v>#DIV/0!</v>
      </c>
      <c r="K54" s="39" t="e">
        <f t="shared" si="715"/>
        <v>#DIV/0!</v>
      </c>
      <c r="L54" s="39" t="e">
        <f t="shared" si="715"/>
        <v>#DIV/0!</v>
      </c>
      <c r="M54" s="39" t="e">
        <f t="shared" si="715"/>
        <v>#DIV/0!</v>
      </c>
      <c r="N54" s="39" t="e">
        <f t="shared" si="715"/>
        <v>#DIV/0!</v>
      </c>
      <c r="O54" s="39" t="e">
        <f t="shared" si="715"/>
        <v>#DIV/0!</v>
      </c>
      <c r="P54" s="39" t="e">
        <f t="shared" si="715"/>
        <v>#DIV/0!</v>
      </c>
      <c r="Q54" s="39" t="e">
        <f t="shared" si="715"/>
        <v>#DIV/0!</v>
      </c>
      <c r="R54" s="39" t="e">
        <f t="shared" si="715"/>
        <v>#DIV/0!</v>
      </c>
      <c r="S54" s="39" t="e">
        <f t="shared" si="715"/>
        <v>#DIV/0!</v>
      </c>
      <c r="T54" s="39" t="e">
        <f t="shared" si="715"/>
        <v>#DIV/0!</v>
      </c>
      <c r="U54" s="39" t="e">
        <f t="shared" si="715"/>
        <v>#DIV/0!</v>
      </c>
      <c r="V54" s="39" t="e">
        <f t="shared" si="715"/>
        <v>#DIV/0!</v>
      </c>
      <c r="W54" s="39">
        <f t="shared" si="715"/>
        <v>-0.33139985329701416</v>
      </c>
      <c r="X54" s="39">
        <f t="shared" si="715"/>
        <v>-0.23329067939217399</v>
      </c>
      <c r="Y54" s="39">
        <f t="shared" si="715"/>
        <v>-7.1769346632204911E-2</v>
      </c>
      <c r="Z54" s="39">
        <f t="shared" si="715"/>
        <v>0.13351003998173536</v>
      </c>
      <c r="AA54" s="39">
        <f t="shared" ref="AA54" si="716">(AA48-AA47)/AA120</f>
        <v>-0.10954053713629944</v>
      </c>
      <c r="AB54" s="40" t="e">
        <f t="shared" si="715"/>
        <v>#DIV/0!</v>
      </c>
      <c r="AC54" s="40" t="e">
        <f t="shared" si="715"/>
        <v>#DIV/0!</v>
      </c>
      <c r="AD54" s="40" t="e">
        <f t="shared" si="715"/>
        <v>#DIV/0!</v>
      </c>
      <c r="AE54" s="40" t="e">
        <f t="shared" si="715"/>
        <v>#DIV/0!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 t="e">
        <f t="shared" si="717"/>
        <v>#DIV/0!</v>
      </c>
      <c r="BN54" s="39" t="e">
        <f t="shared" si="717"/>
        <v>#DIV/0!</v>
      </c>
      <c r="BO54" s="39" t="e">
        <f t="shared" si="717"/>
        <v>#DIV/0!</v>
      </c>
      <c r="BP54" s="39" t="e">
        <f t="shared" si="717"/>
        <v>#DIV/0!</v>
      </c>
      <c r="BQ54" s="39" t="e">
        <f t="shared" si="717"/>
        <v>#DIV/0!</v>
      </c>
      <c r="BR54" s="39" t="e">
        <f t="shared" ref="BR54:CW54" si="718">(SUM(BO48:BR48)-SUM(BO47:BR47))/BR120</f>
        <v>#DIV/0!</v>
      </c>
      <c r="BS54" s="39" t="e">
        <f t="shared" si="718"/>
        <v>#DIV/0!</v>
      </c>
      <c r="BT54" s="39" t="e">
        <f t="shared" si="718"/>
        <v>#DIV/0!</v>
      </c>
      <c r="BU54" s="39" t="e">
        <f t="shared" si="718"/>
        <v>#DIV/0!</v>
      </c>
      <c r="BV54" s="39" t="e">
        <f t="shared" si="718"/>
        <v>#DIV/0!</v>
      </c>
      <c r="BW54" s="39" t="e">
        <f t="shared" si="718"/>
        <v>#DIV/0!</v>
      </c>
      <c r="BX54" s="39" t="e">
        <f t="shared" si="718"/>
        <v>#DIV/0!</v>
      </c>
      <c r="BY54" s="39" t="e">
        <f t="shared" si="718"/>
        <v>#DIV/0!</v>
      </c>
      <c r="BZ54" s="39" t="e">
        <f t="shared" si="718"/>
        <v>#DIV/0!</v>
      </c>
      <c r="CA54" s="39" t="e">
        <f t="shared" si="718"/>
        <v>#DIV/0!</v>
      </c>
      <c r="CB54" s="39" t="e">
        <f t="shared" si="718"/>
        <v>#DIV/0!</v>
      </c>
      <c r="CC54" s="39" t="e">
        <f t="shared" si="718"/>
        <v>#DIV/0!</v>
      </c>
      <c r="CD54" s="39" t="e">
        <f t="shared" si="718"/>
        <v>#DIV/0!</v>
      </c>
      <c r="CE54" s="39" t="e">
        <f t="shared" si="718"/>
        <v>#DIV/0!</v>
      </c>
      <c r="CF54" s="39" t="e">
        <f t="shared" si="718"/>
        <v>#DIV/0!</v>
      </c>
      <c r="CG54" s="39">
        <f t="shared" si="718"/>
        <v>0.99214975845410658</v>
      </c>
      <c r="CH54" s="39">
        <f t="shared" si="718"/>
        <v>0.12650488356294065</v>
      </c>
      <c r="CI54" s="39">
        <f t="shared" si="718"/>
        <v>0.12650488356294065</v>
      </c>
      <c r="CJ54" s="39">
        <f t="shared" si="718"/>
        <v>7.4906515855882108E-2</v>
      </c>
      <c r="CK54" s="39">
        <f t="shared" si="718"/>
        <v>-3.718196120026919E-2</v>
      </c>
      <c r="CL54" s="39">
        <f t="shared" si="718"/>
        <v>-0.11277809655764395</v>
      </c>
      <c r="CM54" s="40" t="e">
        <f t="shared" si="718"/>
        <v>#DIV/0!</v>
      </c>
      <c r="CN54" s="40" t="e">
        <f t="shared" si="718"/>
        <v>#DIV/0!</v>
      </c>
      <c r="CO54" s="40" t="e">
        <f t="shared" si="718"/>
        <v>#DIV/0!</v>
      </c>
      <c r="CP54" s="40" t="e">
        <f t="shared" si="718"/>
        <v>#DIV/0!</v>
      </c>
      <c r="CQ54" s="40" t="e">
        <f t="shared" si="718"/>
        <v>#DIV/0!</v>
      </c>
      <c r="CR54" s="40" t="e">
        <f t="shared" si="718"/>
        <v>#DIV/0!</v>
      </c>
      <c r="CS54" s="40" t="e">
        <f t="shared" si="718"/>
        <v>#DIV/0!</v>
      </c>
      <c r="CT54" s="40" t="e">
        <f t="shared" si="718"/>
        <v>#DIV/0!</v>
      </c>
      <c r="CU54" s="40" t="e">
        <f t="shared" si="718"/>
        <v>#DIV/0!</v>
      </c>
      <c r="CV54" s="40" t="e">
        <f t="shared" si="718"/>
        <v>#DIV/0!</v>
      </c>
      <c r="CW54" s="40" t="e">
        <f t="shared" si="718"/>
        <v>#DIV/0!</v>
      </c>
      <c r="CX54" s="40" t="e">
        <f t="shared" ref="CX54:DB54" si="719">(SUM(CU48:CX48)-SUM(CU47:CX47))/CX120</f>
        <v>#DIV/0!</v>
      </c>
      <c r="CY54" s="40" t="e">
        <f t="shared" si="719"/>
        <v>#DIV/0!</v>
      </c>
      <c r="CZ54" s="40" t="e">
        <f t="shared" si="719"/>
        <v>#DIV/0!</v>
      </c>
      <c r="DA54" s="40" t="e">
        <f t="shared" si="719"/>
        <v>#DIV/0!</v>
      </c>
      <c r="DB54" s="40" t="e">
        <f t="shared" si="719"/>
        <v>#DIV/0!</v>
      </c>
      <c r="DE54" s="122"/>
      <c r="DF54" s="38">
        <v>-0.11277809655764397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 t="e">
        <f t="shared" si="720"/>
        <v>#DIV/0!</v>
      </c>
      <c r="K55" s="39" t="e">
        <f t="shared" si="720"/>
        <v>#DIV/0!</v>
      </c>
      <c r="L55" s="39" t="e">
        <f t="shared" si="720"/>
        <v>#DIV/0!</v>
      </c>
      <c r="M55" s="39" t="e">
        <f t="shared" si="720"/>
        <v>#DIV/0!</v>
      </c>
      <c r="N55" s="39" t="e">
        <f t="shared" si="720"/>
        <v>#DIV/0!</v>
      </c>
      <c r="O55" s="39" t="e">
        <f t="shared" si="720"/>
        <v>#DIV/0!</v>
      </c>
      <c r="P55" s="39" t="e">
        <f t="shared" si="720"/>
        <v>#DIV/0!</v>
      </c>
      <c r="Q55" s="39" t="e">
        <f t="shared" si="720"/>
        <v>#DIV/0!</v>
      </c>
      <c r="R55" s="39" t="e">
        <f t="shared" si="720"/>
        <v>#DIV/0!</v>
      </c>
      <c r="S55" s="39" t="e">
        <f t="shared" si="720"/>
        <v>#DIV/0!</v>
      </c>
      <c r="T55" s="39" t="e">
        <f t="shared" si="720"/>
        <v>#DIV/0!</v>
      </c>
      <c r="U55" s="39" t="e">
        <f t="shared" si="720"/>
        <v>#DIV/0!</v>
      </c>
      <c r="V55" s="39" t="e">
        <f t="shared" si="720"/>
        <v>#DIV/0!</v>
      </c>
      <c r="W55" s="39">
        <f t="shared" si="720"/>
        <v>-0.37216407530065726</v>
      </c>
      <c r="X55" s="39">
        <f t="shared" si="720"/>
        <v>-0.29464367036914835</v>
      </c>
      <c r="Y55" s="39">
        <f t="shared" si="720"/>
        <v>-0.14171684172171545</v>
      </c>
      <c r="Z55" s="39">
        <f t="shared" si="720"/>
        <v>-3.8472675435177267E-2</v>
      </c>
      <c r="AA55" s="39">
        <f t="shared" ref="AA55" si="721">+AA34/AA129</f>
        <v>-0.12530381276270186</v>
      </c>
      <c r="AB55" s="40" t="e">
        <f t="shared" si="720"/>
        <v>#DIV/0!</v>
      </c>
      <c r="AC55" s="40" t="e">
        <f t="shared" si="720"/>
        <v>#DIV/0!</v>
      </c>
      <c r="AD55" s="40" t="e">
        <f t="shared" si="720"/>
        <v>#DIV/0!</v>
      </c>
      <c r="AE55" s="40" t="e">
        <f t="shared" si="720"/>
        <v>#DIV/0!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 t="e">
        <f t="shared" si="722"/>
        <v>#DIV/0!</v>
      </c>
      <c r="BN55" s="39" t="e">
        <f t="shared" si="722"/>
        <v>#DIV/0!</v>
      </c>
      <c r="BO55" s="39" t="e">
        <f t="shared" si="722"/>
        <v>#DIV/0!</v>
      </c>
      <c r="BP55" s="39" t="e">
        <f t="shared" si="722"/>
        <v>#DIV/0!</v>
      </c>
      <c r="BQ55" s="39" t="e">
        <f t="shared" si="722"/>
        <v>#DIV/0!</v>
      </c>
      <c r="BR55" s="39" t="e">
        <f t="shared" ref="BR55:CW55" si="723">+SUM(BO34:BR34)/BR129</f>
        <v>#DIV/0!</v>
      </c>
      <c r="BS55" s="39" t="e">
        <f t="shared" si="723"/>
        <v>#DIV/0!</v>
      </c>
      <c r="BT55" s="39" t="e">
        <f t="shared" si="723"/>
        <v>#DIV/0!</v>
      </c>
      <c r="BU55" s="39" t="e">
        <f t="shared" si="723"/>
        <v>#DIV/0!</v>
      </c>
      <c r="BV55" s="39" t="e">
        <f t="shared" si="723"/>
        <v>#DIV/0!</v>
      </c>
      <c r="BW55" s="39" t="e">
        <f t="shared" si="723"/>
        <v>#DIV/0!</v>
      </c>
      <c r="BX55" s="39" t="e">
        <f t="shared" si="723"/>
        <v>#DIV/0!</v>
      </c>
      <c r="BY55" s="39" t="e">
        <f t="shared" si="723"/>
        <v>#DIV/0!</v>
      </c>
      <c r="BZ55" s="39" t="e">
        <f t="shared" si="723"/>
        <v>#DIV/0!</v>
      </c>
      <c r="CA55" s="39" t="e">
        <f t="shared" si="723"/>
        <v>#DIV/0!</v>
      </c>
      <c r="CB55" s="39" t="e">
        <f t="shared" si="723"/>
        <v>#DIV/0!</v>
      </c>
      <c r="CC55" s="39" t="e">
        <f t="shared" si="723"/>
        <v>#DIV/0!</v>
      </c>
      <c r="CD55" s="39" t="e">
        <f t="shared" si="723"/>
        <v>#DIV/0!</v>
      </c>
      <c r="CE55" s="39" t="e">
        <f t="shared" si="723"/>
        <v>#DIV/0!</v>
      </c>
      <c r="CF55" s="39" t="e">
        <f t="shared" si="723"/>
        <v>#DIV/0!</v>
      </c>
      <c r="CG55" s="39">
        <f t="shared" si="723"/>
        <v>-0.16011042097998582</v>
      </c>
      <c r="CH55" s="39">
        <f t="shared" si="723"/>
        <v>-3.1372854740452788E-2</v>
      </c>
      <c r="CI55" s="39">
        <f t="shared" si="723"/>
        <v>-3.1372854740452788E-2</v>
      </c>
      <c r="CJ55" s="39">
        <f t="shared" si="723"/>
        <v>-4.8223249407308308E-2</v>
      </c>
      <c r="CK55" s="39">
        <f t="shared" si="723"/>
        <v>-6.4635021369711623E-2</v>
      </c>
      <c r="CL55" s="39">
        <f t="shared" si="723"/>
        <v>-0.11840883751090461</v>
      </c>
      <c r="CM55" s="40" t="e">
        <f t="shared" si="723"/>
        <v>#DIV/0!</v>
      </c>
      <c r="CN55" s="40" t="e">
        <f t="shared" si="723"/>
        <v>#DIV/0!</v>
      </c>
      <c r="CO55" s="40" t="e">
        <f t="shared" si="723"/>
        <v>#DIV/0!</v>
      </c>
      <c r="CP55" s="40" t="e">
        <f t="shared" si="723"/>
        <v>#DIV/0!</v>
      </c>
      <c r="CQ55" s="40" t="e">
        <f t="shared" si="723"/>
        <v>#DIV/0!</v>
      </c>
      <c r="CR55" s="40" t="e">
        <f t="shared" si="723"/>
        <v>#DIV/0!</v>
      </c>
      <c r="CS55" s="40" t="e">
        <f t="shared" si="723"/>
        <v>#DIV/0!</v>
      </c>
      <c r="CT55" s="40" t="e">
        <f t="shared" si="723"/>
        <v>#DIV/0!</v>
      </c>
      <c r="CU55" s="40" t="e">
        <f t="shared" si="723"/>
        <v>#DIV/0!</v>
      </c>
      <c r="CV55" s="40" t="e">
        <f t="shared" si="723"/>
        <v>#DIV/0!</v>
      </c>
      <c r="CW55" s="40" t="e">
        <f t="shared" si="723"/>
        <v>#DIV/0!</v>
      </c>
      <c r="CX55" s="40" t="e">
        <f t="shared" ref="CX55:DB55" si="724">+SUM(CU34:CX34)/CX129</f>
        <v>#DIV/0!</v>
      </c>
      <c r="CY55" s="40" t="e">
        <f t="shared" si="724"/>
        <v>#DIV/0!</v>
      </c>
      <c r="CZ55" s="40" t="e">
        <f t="shared" si="724"/>
        <v>#DIV/0!</v>
      </c>
      <c r="DA55" s="40" t="e">
        <f t="shared" si="724"/>
        <v>#DIV/0!</v>
      </c>
      <c r="DB55" s="40" t="e">
        <f t="shared" si="724"/>
        <v>#DIV/0!</v>
      </c>
      <c r="DE55" s="122"/>
      <c r="DF55" s="38">
        <v>-0.11840883751090463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0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437.57499999999999</v>
      </c>
      <c r="X58" s="9">
        <f>X10-SUM(BW10:BZ10)</f>
        <v>636.59699999999998</v>
      </c>
      <c r="Y58" s="9">
        <f>Y10-SUM(CA10:CD10)</f>
        <v>828.01800000000003</v>
      </c>
      <c r="Z58" s="9">
        <f>Z10-SUM(CE10:CH10)</f>
        <v>280.8599999999999</v>
      </c>
      <c r="AA58" s="9">
        <f>AA10-SUM(CF10:CI10)</f>
        <v>691.92999999999984</v>
      </c>
      <c r="AB58" s="15" t="e">
        <f>AB10-SUM(CM10:CP10)</f>
        <v>#DIV/0!</v>
      </c>
      <c r="AC58" s="15" t="e">
        <f>AC10-SUM(CQ10:CT10)</f>
        <v>#DIV/0!</v>
      </c>
      <c r="AD58" s="15" t="e">
        <f>AD10-SUM(CU10:CX10)</f>
        <v>#DIV/0!</v>
      </c>
      <c r="AE58" s="15" t="e">
        <f>AE10-SUM(CY10:DB10)</f>
        <v>#DIV/0!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0</v>
      </c>
      <c r="S59" s="9">
        <f>S16-SUM(BC16:BF16)</f>
        <v>0</v>
      </c>
      <c r="T59" s="9">
        <f>T16-SUM(BG16:BJ16)</f>
        <v>0</v>
      </c>
      <c r="U59" s="9">
        <f>U16-SUM(BK16:BN16)</f>
        <v>0</v>
      </c>
      <c r="V59" s="9">
        <f>V16-SUM(BO16:BR16)</f>
        <v>0</v>
      </c>
      <c r="W59" s="9">
        <f>W16-SUM(BS16:BV16)</f>
        <v>365.05899999999997</v>
      </c>
      <c r="X59" s="9">
        <f>X16-SUM(BW16:BZ16)</f>
        <v>528.79899999999998</v>
      </c>
      <c r="Y59" s="9">
        <f>Y16-SUM(CA16:CD16)</f>
        <v>698.76499999999999</v>
      </c>
      <c r="Z59" s="9">
        <f>Z16-SUM(CE16:CH16)</f>
        <v>239.26</v>
      </c>
      <c r="AA59" s="9">
        <f>AA16-SUM(CF16:CI16)</f>
        <v>543.86999999999978</v>
      </c>
      <c r="AB59" s="15" t="e">
        <f>AB16-SUM(CM16:CP16)</f>
        <v>#DIV/0!</v>
      </c>
      <c r="AC59" s="15" t="e">
        <f>AC16-SUM(CQ16:CT16)</f>
        <v>#DIV/0!</v>
      </c>
      <c r="AD59" s="15" t="e">
        <f>AD16-SUM(CU16:CX16)</f>
        <v>#DIV/0!</v>
      </c>
      <c r="AE59" s="15" t="e">
        <f>AE16-SUM(CY16:DB16)</f>
        <v>#DIV/0!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0</v>
      </c>
      <c r="P60" s="9">
        <f>P28-SUM(AQ28:AT28)</f>
        <v>0</v>
      </c>
      <c r="Q60" s="9">
        <f>Q28-SUM(AU28:AX28)</f>
        <v>0</v>
      </c>
      <c r="R60" s="9">
        <f>R28-SUM(AY28:BB28)</f>
        <v>0</v>
      </c>
      <c r="S60" s="9">
        <f>S28-SUM(BC28:BF28)</f>
        <v>0</v>
      </c>
      <c r="T60" s="9">
        <f>T28-SUM(BG28:BJ28)</f>
        <v>0</v>
      </c>
      <c r="U60" s="9">
        <f>U28-SUM(BK28:BN28)</f>
        <v>0</v>
      </c>
      <c r="V60" s="9">
        <f>V28-SUM(BO28:BR28)</f>
        <v>0</v>
      </c>
      <c r="W60" s="9">
        <f>W28-SUM(BS28:BV28)</f>
        <v>-549.37199999999996</v>
      </c>
      <c r="X60" s="9">
        <f>X28-SUM(BW28:BZ28)</f>
        <v>-364.01300000000015</v>
      </c>
      <c r="Y60" s="9">
        <f>Y28-SUM(CA28:CD28)</f>
        <v>-146.38999999999999</v>
      </c>
      <c r="Z60" s="9">
        <f>Z28-SUM(CE28:CH28)</f>
        <v>-3.9500000000001023</v>
      </c>
      <c r="AA60" s="9">
        <f>AA28-SUM(CF28:CI28)</f>
        <v>-195.25000000000017</v>
      </c>
      <c r="AB60" s="15" t="e">
        <f>AB28-SUM(CM28:CP28)</f>
        <v>#DIV/0!</v>
      </c>
      <c r="AC60" s="15" t="e">
        <f>AC28-SUM(CQ28:CT28)</f>
        <v>#DIV/0!</v>
      </c>
      <c r="AD60" s="15" t="e">
        <f>AD28-SUM(CU28:CX28)</f>
        <v>#DIV/0!</v>
      </c>
      <c r="AE60" s="15" t="e">
        <f>AE28-SUM(CY28:DB28)</f>
        <v>#DIV/0!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0</v>
      </c>
      <c r="Q61" s="9">
        <f>Q48-SUM(AU48:AX48)</f>
        <v>0</v>
      </c>
      <c r="R61" s="9">
        <f>R48-SUM(AY48:BB48)</f>
        <v>0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-514.14499999999987</v>
      </c>
      <c r="X61" s="9">
        <f>X41-SUM(BW41:BZ41)</f>
        <v>-312.48400000000015</v>
      </c>
      <c r="Y61" s="9">
        <f>Y41-SUM(CA41:CD41)</f>
        <v>-92.771999999999991</v>
      </c>
      <c r="Z61" s="9">
        <f>Z41-SUM(CE41:CH41)</f>
        <v>12.57999999999987</v>
      </c>
      <c r="AA61" s="9">
        <f>AA41-SUM(CF41:CI41)</f>
        <v>-439.4700000000002</v>
      </c>
      <c r="AB61" s="15" t="e">
        <f>AB41-SUM(CM41:CP41)</f>
        <v>#DIV/0!</v>
      </c>
      <c r="AC61" s="15" t="e">
        <f>AC41-SUM(CQ41:CT41)</f>
        <v>#DIV/0!</v>
      </c>
      <c r="AD61" s="15" t="e">
        <f>AD41-SUM(CU41:CX41)</f>
        <v>#DIV/0!</v>
      </c>
      <c r="AE61" s="15" t="e">
        <f>AE41-SUM(CY41:DB41)</f>
        <v>#DIV/0!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143.59</v>
      </c>
      <c r="AJ63" s="3">
        <f t="shared" si="730"/>
        <v>143.59</v>
      </c>
      <c r="AK63" s="3">
        <f t="shared" si="730"/>
        <v>143.59</v>
      </c>
      <c r="AL63" s="3">
        <f t="shared" si="730"/>
        <v>143.59</v>
      </c>
      <c r="AM63" s="3">
        <f t="shared" si="730"/>
        <v>143.59</v>
      </c>
      <c r="AN63" s="3">
        <f t="shared" si="730"/>
        <v>143.59</v>
      </c>
      <c r="AO63" s="3">
        <f t="shared" si="730"/>
        <v>143.59</v>
      </c>
      <c r="AP63" s="3">
        <f t="shared" si="730"/>
        <v>143.59</v>
      </c>
      <c r="AQ63" s="3">
        <f t="shared" si="730"/>
        <v>143.59</v>
      </c>
      <c r="AR63" s="3">
        <f t="shared" si="730"/>
        <v>143.59</v>
      </c>
      <c r="AS63" s="3">
        <f t="shared" si="730"/>
        <v>143.59</v>
      </c>
      <c r="AT63" s="3">
        <f t="shared" si="730"/>
        <v>143.59</v>
      </c>
      <c r="AU63" s="3">
        <f t="shared" si="730"/>
        <v>143.59</v>
      </c>
      <c r="AV63" s="3">
        <f t="shared" si="730"/>
        <v>143.59</v>
      </c>
      <c r="AW63" s="3">
        <f t="shared" si="730"/>
        <v>143.59</v>
      </c>
      <c r="AX63" s="3">
        <f t="shared" si="730"/>
        <v>143.59</v>
      </c>
      <c r="AY63" s="3">
        <f t="shared" si="730"/>
        <v>143.59</v>
      </c>
      <c r="AZ63" s="3">
        <f t="shared" si="730"/>
        <v>143.59</v>
      </c>
      <c r="BA63" s="3">
        <f t="shared" si="730"/>
        <v>143.59</v>
      </c>
      <c r="BB63" s="3">
        <f t="shared" si="730"/>
        <v>143.59</v>
      </c>
      <c r="BC63" s="3">
        <f t="shared" si="730"/>
        <v>143.59</v>
      </c>
      <c r="BD63" s="3">
        <f t="shared" si="730"/>
        <v>143.59</v>
      </c>
      <c r="BE63" s="3">
        <f t="shared" si="730"/>
        <v>143.59</v>
      </c>
      <c r="BF63" s="3">
        <f t="shared" si="730"/>
        <v>143.59</v>
      </c>
      <c r="BG63" s="3">
        <f t="shared" si="730"/>
        <v>143.59</v>
      </c>
      <c r="BH63" s="3">
        <f t="shared" si="730"/>
        <v>143.59</v>
      </c>
      <c r="BI63" s="3">
        <f t="shared" si="730"/>
        <v>143.59</v>
      </c>
      <c r="BJ63" s="3">
        <f t="shared" si="730"/>
        <v>143.59</v>
      </c>
      <c r="BK63" s="3">
        <f t="shared" si="730"/>
        <v>143.59</v>
      </c>
      <c r="BL63" s="3">
        <f t="shared" si="730"/>
        <v>143.59</v>
      </c>
      <c r="BM63" s="3">
        <f t="shared" si="730"/>
        <v>143.59</v>
      </c>
      <c r="BN63" s="3">
        <f t="shared" si="730"/>
        <v>143.59</v>
      </c>
      <c r="BO63" s="3">
        <f t="shared" si="730"/>
        <v>143.59</v>
      </c>
      <c r="BP63" s="3">
        <f t="shared" si="730"/>
        <v>143.59</v>
      </c>
      <c r="BQ63" s="3">
        <f t="shared" si="730"/>
        <v>143.59</v>
      </c>
      <c r="BR63" s="3">
        <f t="shared" si="730"/>
        <v>143.59</v>
      </c>
      <c r="BS63" s="3">
        <f t="shared" si="730"/>
        <v>143.59</v>
      </c>
      <c r="BT63" s="3">
        <f t="shared" si="730"/>
        <v>143.59</v>
      </c>
      <c r="BU63" s="3">
        <f t="shared" si="730"/>
        <v>143.59</v>
      </c>
      <c r="BV63" s="3">
        <f t="shared" si="730"/>
        <v>143.59</v>
      </c>
      <c r="BW63" s="3">
        <f t="shared" si="730"/>
        <v>143.59</v>
      </c>
      <c r="BX63" s="3">
        <f t="shared" si="730"/>
        <v>143.59</v>
      </c>
      <c r="BY63" s="3">
        <f t="shared" si="730"/>
        <v>143.59</v>
      </c>
      <c r="BZ63" s="3">
        <f t="shared" si="730"/>
        <v>143.59</v>
      </c>
      <c r="CA63" s="3">
        <f t="shared" si="730"/>
        <v>143.59</v>
      </c>
      <c r="CB63" s="3">
        <f t="shared" si="730"/>
        <v>143.59</v>
      </c>
      <c r="CC63" s="3">
        <f t="shared" si="730"/>
        <v>143.59</v>
      </c>
      <c r="CD63" s="3">
        <f t="shared" si="730"/>
        <v>143.59</v>
      </c>
      <c r="CE63" s="3">
        <f t="shared" si="730"/>
        <v>143.59</v>
      </c>
      <c r="CF63" s="3">
        <f t="shared" si="730"/>
        <v>143.59</v>
      </c>
      <c r="CG63" s="3">
        <f t="shared" si="730"/>
        <v>143.59</v>
      </c>
      <c r="CH63" s="3">
        <f t="shared" si="730"/>
        <v>143.59</v>
      </c>
      <c r="CI63" s="3">
        <f>+CJ63</f>
        <v>143.59</v>
      </c>
      <c r="CJ63" s="3">
        <f>'QTR Raw'!BD45</f>
        <v>143.59</v>
      </c>
      <c r="CK63" s="3">
        <f>'QTR Raw'!BE45</f>
        <v>144.61000000000001</v>
      </c>
      <c r="CL63" s="3">
        <f>'QTR Raw'!BF45</f>
        <v>146.22</v>
      </c>
      <c r="CM63" s="37">
        <f t="shared" ref="CM63:CM64" si="731">+CL63</f>
        <v>146.22</v>
      </c>
      <c r="CN63" s="37">
        <f t="shared" ref="CN63:CN64" si="732">+CM63</f>
        <v>146.22</v>
      </c>
      <c r="CO63" s="37">
        <f t="shared" ref="CO63:CO64" si="733">+CN63</f>
        <v>146.22</v>
      </c>
      <c r="CP63" s="37">
        <f t="shared" ref="CP63:CP64" si="734">+CO63</f>
        <v>146.22</v>
      </c>
      <c r="CQ63" s="37">
        <f t="shared" ref="CQ63:CQ64" si="735">+CP63</f>
        <v>146.22</v>
      </c>
      <c r="CR63" s="37">
        <f t="shared" ref="CR63:CR64" si="736">+CQ63</f>
        <v>146.22</v>
      </c>
      <c r="CS63" s="37">
        <f t="shared" ref="CS63:CS64" si="737">+CR63</f>
        <v>146.22</v>
      </c>
      <c r="CT63" s="37">
        <f t="shared" ref="CT63:CT64" si="738">+CS63</f>
        <v>146.22</v>
      </c>
      <c r="CU63" s="37">
        <f t="shared" ref="CU63:CU64" si="739">+CT63</f>
        <v>146.22</v>
      </c>
      <c r="CV63" s="37">
        <f t="shared" ref="CV63:CV64" si="740">+CU63</f>
        <v>146.22</v>
      </c>
      <c r="CW63" s="37">
        <f t="shared" ref="CW63:CW64" si="741">+CV63</f>
        <v>146.22</v>
      </c>
      <c r="CX63" s="37">
        <f t="shared" ref="CX63:CX64" si="742">+CW63</f>
        <v>146.22</v>
      </c>
      <c r="CY63" s="37">
        <f t="shared" ref="CY63:CY64" si="743">+CX63</f>
        <v>146.22</v>
      </c>
      <c r="CZ63" s="37">
        <f t="shared" ref="CZ63:CZ64" si="744">+CY63</f>
        <v>146.22</v>
      </c>
      <c r="DA63" s="37">
        <f t="shared" ref="DA63:DA64" si="745">+CZ63</f>
        <v>146.22</v>
      </c>
      <c r="DB63" s="37">
        <f t="shared" ref="DB63:DB64" si="746">+DA63</f>
        <v>146.22</v>
      </c>
      <c r="DE63" s="134"/>
      <c r="DF63" s="3">
        <v>144.61000000000001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</v>
      </c>
      <c r="AJ64" s="3">
        <f t="shared" si="748"/>
        <v>1</v>
      </c>
      <c r="AK64" s="3">
        <f t="shared" si="748"/>
        <v>1</v>
      </c>
      <c r="AL64" s="3">
        <f t="shared" si="748"/>
        <v>1</v>
      </c>
      <c r="AM64" s="3">
        <f t="shared" si="748"/>
        <v>1</v>
      </c>
      <c r="AN64" s="3">
        <f t="shared" si="748"/>
        <v>1</v>
      </c>
      <c r="AO64" s="3">
        <f t="shared" si="748"/>
        <v>1</v>
      </c>
      <c r="AP64" s="3">
        <f t="shared" si="748"/>
        <v>1</v>
      </c>
      <c r="AQ64" s="3">
        <f t="shared" si="748"/>
        <v>1</v>
      </c>
      <c r="AR64" s="3">
        <f t="shared" si="748"/>
        <v>1</v>
      </c>
      <c r="AS64" s="3">
        <f t="shared" si="748"/>
        <v>1</v>
      </c>
      <c r="AT64" s="3">
        <f t="shared" si="748"/>
        <v>1</v>
      </c>
      <c r="AU64" s="3">
        <f t="shared" si="748"/>
        <v>1</v>
      </c>
      <c r="AV64" s="3">
        <f t="shared" si="748"/>
        <v>1</v>
      </c>
      <c r="AW64" s="3">
        <f t="shared" si="748"/>
        <v>1</v>
      </c>
      <c r="AX64" s="3">
        <f t="shared" si="748"/>
        <v>1</v>
      </c>
      <c r="AY64" s="3">
        <f t="shared" si="748"/>
        <v>1</v>
      </c>
      <c r="AZ64" s="3">
        <f t="shared" si="748"/>
        <v>1</v>
      </c>
      <c r="BA64" s="3">
        <f t="shared" si="748"/>
        <v>1</v>
      </c>
      <c r="BB64" s="3">
        <f t="shared" si="748"/>
        <v>1</v>
      </c>
      <c r="BC64" s="3">
        <f t="shared" si="748"/>
        <v>1</v>
      </c>
      <c r="BD64" s="3">
        <f t="shared" si="748"/>
        <v>1</v>
      </c>
      <c r="BE64" s="3">
        <f t="shared" si="748"/>
        <v>1</v>
      </c>
      <c r="BF64" s="3">
        <f t="shared" si="748"/>
        <v>1</v>
      </c>
      <c r="BG64" s="3">
        <f t="shared" si="748"/>
        <v>1</v>
      </c>
      <c r="BH64" s="3">
        <f t="shared" si="748"/>
        <v>1</v>
      </c>
      <c r="BI64" s="3">
        <f t="shared" si="748"/>
        <v>1</v>
      </c>
      <c r="BJ64" s="3">
        <f t="shared" si="748"/>
        <v>1</v>
      </c>
      <c r="BK64" s="3">
        <f t="shared" si="748"/>
        <v>1</v>
      </c>
      <c r="BL64" s="3">
        <f t="shared" si="748"/>
        <v>1</v>
      </c>
      <c r="BM64" s="3">
        <f t="shared" si="748"/>
        <v>1</v>
      </c>
      <c r="BN64" s="3">
        <f t="shared" si="748"/>
        <v>1</v>
      </c>
      <c r="BO64" s="3">
        <f t="shared" si="748"/>
        <v>1</v>
      </c>
      <c r="BP64" s="3">
        <f t="shared" si="748"/>
        <v>1</v>
      </c>
      <c r="BQ64" s="3">
        <f t="shared" si="748"/>
        <v>1</v>
      </c>
      <c r="BR64" s="3">
        <f t="shared" si="748"/>
        <v>1</v>
      </c>
      <c r="BS64" s="3">
        <f t="shared" si="748"/>
        <v>1</v>
      </c>
      <c r="BT64" s="3">
        <f t="shared" si="748"/>
        <v>1</v>
      </c>
      <c r="BU64" s="3">
        <f t="shared" si="748"/>
        <v>1</v>
      </c>
      <c r="BV64" s="3">
        <f t="shared" si="748"/>
        <v>1</v>
      </c>
      <c r="BW64" s="3">
        <f t="shared" si="748"/>
        <v>1</v>
      </c>
      <c r="BX64" s="3">
        <f t="shared" si="748"/>
        <v>1</v>
      </c>
      <c r="BY64" s="3">
        <f t="shared" si="748"/>
        <v>1</v>
      </c>
      <c r="BZ64" s="3">
        <f t="shared" si="748"/>
        <v>1</v>
      </c>
      <c r="CA64" s="3">
        <f t="shared" si="748"/>
        <v>1</v>
      </c>
      <c r="CB64" s="3">
        <f t="shared" si="748"/>
        <v>1</v>
      </c>
      <c r="CC64" s="3">
        <f t="shared" si="748"/>
        <v>1</v>
      </c>
      <c r="CD64" s="3">
        <f t="shared" si="748"/>
        <v>1</v>
      </c>
      <c r="CE64" s="3">
        <f t="shared" si="748"/>
        <v>1</v>
      </c>
      <c r="CF64" s="3">
        <f t="shared" si="748"/>
        <v>1</v>
      </c>
      <c r="CG64" s="3">
        <f t="shared" si="748"/>
        <v>1</v>
      </c>
      <c r="CH64" s="3">
        <f t="shared" si="748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31"/>
        <v>1</v>
      </c>
      <c r="CN64" s="37">
        <f t="shared" si="732"/>
        <v>1</v>
      </c>
      <c r="CO64" s="37">
        <f t="shared" si="733"/>
        <v>1</v>
      </c>
      <c r="CP64" s="37">
        <f t="shared" si="734"/>
        <v>1</v>
      </c>
      <c r="CQ64" s="37">
        <f t="shared" si="735"/>
        <v>1</v>
      </c>
      <c r="CR64" s="37">
        <f t="shared" si="736"/>
        <v>1</v>
      </c>
      <c r="CS64" s="37">
        <f t="shared" si="737"/>
        <v>1</v>
      </c>
      <c r="CT64" s="37">
        <f t="shared" si="738"/>
        <v>1</v>
      </c>
      <c r="CU64" s="37">
        <f t="shared" si="739"/>
        <v>1</v>
      </c>
      <c r="CV64" s="37">
        <f t="shared" si="740"/>
        <v>1</v>
      </c>
      <c r="CW64" s="37">
        <f t="shared" si="741"/>
        <v>1</v>
      </c>
      <c r="CX64" s="37">
        <f t="shared" si="742"/>
        <v>1</v>
      </c>
      <c r="CY64" s="37">
        <f t="shared" si="743"/>
        <v>1</v>
      </c>
      <c r="CZ64" s="37">
        <f t="shared" si="744"/>
        <v>1</v>
      </c>
      <c r="DA64" s="37">
        <f t="shared" si="745"/>
        <v>1</v>
      </c>
      <c r="DB64" s="37">
        <f t="shared" si="746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143.59</v>
      </c>
      <c r="AJ65" s="3">
        <f t="shared" ref="AJ65" si="755">AJ63/AJ64</f>
        <v>143.59</v>
      </c>
      <c r="AK65" s="3">
        <f t="shared" ref="AK65:AM65" si="756">AK63/AK64</f>
        <v>143.59</v>
      </c>
      <c r="AL65" s="3">
        <f t="shared" si="756"/>
        <v>143.59</v>
      </c>
      <c r="AM65" s="3">
        <f t="shared" si="756"/>
        <v>143.59</v>
      </c>
      <c r="AN65" s="3">
        <f t="shared" ref="AN65:AO65" si="757">AN63/AN64</f>
        <v>143.59</v>
      </c>
      <c r="AO65" s="3">
        <f t="shared" si="757"/>
        <v>143.59</v>
      </c>
      <c r="AP65" s="3">
        <f t="shared" ref="AP65:CD65" si="758">AP63/AP64</f>
        <v>143.59</v>
      </c>
      <c r="AQ65" s="3">
        <f t="shared" si="758"/>
        <v>143.59</v>
      </c>
      <c r="AR65" s="3">
        <f t="shared" si="758"/>
        <v>143.59</v>
      </c>
      <c r="AS65" s="3">
        <f t="shared" si="758"/>
        <v>143.59</v>
      </c>
      <c r="AT65" s="3">
        <f t="shared" si="758"/>
        <v>143.59</v>
      </c>
      <c r="AU65" s="3">
        <f t="shared" si="758"/>
        <v>143.59</v>
      </c>
      <c r="AV65" s="3">
        <f t="shared" si="758"/>
        <v>143.59</v>
      </c>
      <c r="AW65" s="3">
        <f t="shared" si="758"/>
        <v>143.59</v>
      </c>
      <c r="AX65" s="3">
        <f t="shared" si="758"/>
        <v>143.59</v>
      </c>
      <c r="AY65" s="3">
        <f t="shared" si="758"/>
        <v>143.59</v>
      </c>
      <c r="AZ65" s="3">
        <f t="shared" si="758"/>
        <v>143.59</v>
      </c>
      <c r="BA65" s="3">
        <f t="shared" si="758"/>
        <v>143.59</v>
      </c>
      <c r="BB65" s="3">
        <f t="shared" si="758"/>
        <v>143.59</v>
      </c>
      <c r="BC65" s="3">
        <f t="shared" si="758"/>
        <v>143.59</v>
      </c>
      <c r="BD65" s="3">
        <f t="shared" si="758"/>
        <v>143.59</v>
      </c>
      <c r="BE65" s="3">
        <f t="shared" si="758"/>
        <v>143.59</v>
      </c>
      <c r="BF65" s="3">
        <f t="shared" si="758"/>
        <v>143.59</v>
      </c>
      <c r="BG65" s="3">
        <f t="shared" si="758"/>
        <v>143.59</v>
      </c>
      <c r="BH65" s="3">
        <f t="shared" si="758"/>
        <v>143.59</v>
      </c>
      <c r="BI65" s="3">
        <f t="shared" si="758"/>
        <v>143.59</v>
      </c>
      <c r="BJ65" s="3">
        <f t="shared" si="758"/>
        <v>143.59</v>
      </c>
      <c r="BK65" s="3">
        <f t="shared" si="758"/>
        <v>143.59</v>
      </c>
      <c r="BL65" s="3">
        <f t="shared" si="758"/>
        <v>143.59</v>
      </c>
      <c r="BM65" s="3">
        <f t="shared" si="758"/>
        <v>143.59</v>
      </c>
      <c r="BN65" s="3">
        <f t="shared" si="758"/>
        <v>143.59</v>
      </c>
      <c r="BO65" s="3">
        <f t="shared" si="758"/>
        <v>143.59</v>
      </c>
      <c r="BP65" s="3">
        <f t="shared" si="758"/>
        <v>143.59</v>
      </c>
      <c r="BQ65" s="3">
        <f t="shared" si="758"/>
        <v>143.59</v>
      </c>
      <c r="BR65" s="3">
        <f t="shared" si="758"/>
        <v>143.59</v>
      </c>
      <c r="BS65" s="3">
        <f t="shared" si="758"/>
        <v>143.59</v>
      </c>
      <c r="BT65" s="3">
        <f t="shared" si="758"/>
        <v>143.59</v>
      </c>
      <c r="BU65" s="3">
        <f t="shared" si="758"/>
        <v>143.59</v>
      </c>
      <c r="BV65" s="3">
        <f t="shared" si="758"/>
        <v>143.59</v>
      </c>
      <c r="BW65" s="3">
        <f t="shared" si="758"/>
        <v>143.59</v>
      </c>
      <c r="BX65" s="3">
        <f t="shared" si="758"/>
        <v>143.59</v>
      </c>
      <c r="BY65" s="3">
        <f t="shared" si="758"/>
        <v>143.59</v>
      </c>
      <c r="BZ65" s="3">
        <f t="shared" si="758"/>
        <v>143.59</v>
      </c>
      <c r="CA65" s="3">
        <f t="shared" si="758"/>
        <v>143.59</v>
      </c>
      <c r="CB65" s="3">
        <f t="shared" si="758"/>
        <v>143.59</v>
      </c>
      <c r="CC65" s="3">
        <f t="shared" si="758"/>
        <v>143.59</v>
      </c>
      <c r="CD65" s="3">
        <f t="shared" si="758"/>
        <v>143.59</v>
      </c>
      <c r="CE65" s="3">
        <f t="shared" ref="CE65:CF65" si="759">CE63/CE64</f>
        <v>143.59</v>
      </c>
      <c r="CF65" s="3">
        <f t="shared" si="759"/>
        <v>143.59</v>
      </c>
      <c r="CG65" s="3">
        <f t="shared" ref="CG65:CH65" si="760">CG63/CG64</f>
        <v>143.59</v>
      </c>
      <c r="CH65" s="3">
        <f t="shared" si="760"/>
        <v>143.59</v>
      </c>
      <c r="CI65" s="3">
        <f t="shared" ref="CI65:CJ65" si="761">CI63/CI64</f>
        <v>143.59</v>
      </c>
      <c r="CJ65" s="3">
        <f t="shared" si="761"/>
        <v>143.59</v>
      </c>
      <c r="CK65" s="3">
        <f t="shared" ref="CK65:CL65" si="762">CK63/CK64</f>
        <v>144.61000000000001</v>
      </c>
      <c r="CL65" s="3">
        <f t="shared" si="762"/>
        <v>146.22</v>
      </c>
      <c r="CM65" s="37">
        <f t="shared" ref="CM65:DB65" si="763">CM63/CM64</f>
        <v>146.22</v>
      </c>
      <c r="CN65" s="37">
        <f t="shared" si="763"/>
        <v>146.22</v>
      </c>
      <c r="CO65" s="37">
        <f t="shared" si="763"/>
        <v>146.22</v>
      </c>
      <c r="CP65" s="37">
        <f t="shared" si="763"/>
        <v>146.22</v>
      </c>
      <c r="CQ65" s="37">
        <f t="shared" si="763"/>
        <v>146.22</v>
      </c>
      <c r="CR65" s="37">
        <f t="shared" si="763"/>
        <v>146.22</v>
      </c>
      <c r="CS65" s="37">
        <f t="shared" si="763"/>
        <v>146.22</v>
      </c>
      <c r="CT65" s="37">
        <f t="shared" si="763"/>
        <v>146.22</v>
      </c>
      <c r="CU65" s="37">
        <f t="shared" si="763"/>
        <v>146.22</v>
      </c>
      <c r="CV65" s="37">
        <f t="shared" si="763"/>
        <v>146.22</v>
      </c>
      <c r="CW65" s="37">
        <f t="shared" si="763"/>
        <v>146.22</v>
      </c>
      <c r="CX65" s="37">
        <f t="shared" si="763"/>
        <v>146.22</v>
      </c>
      <c r="CY65" s="37">
        <f t="shared" si="763"/>
        <v>146.22</v>
      </c>
      <c r="CZ65" s="37">
        <f t="shared" si="763"/>
        <v>146.22</v>
      </c>
      <c r="DA65" s="37">
        <f t="shared" si="763"/>
        <v>146.22</v>
      </c>
      <c r="DB65" s="37">
        <f t="shared" si="763"/>
        <v>146.22</v>
      </c>
      <c r="DE65" s="134"/>
      <c r="DF65" s="3">
        <v>144.61000000000001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0</v>
      </c>
      <c r="BM66" s="53">
        <f t="shared" si="766"/>
        <v>0</v>
      </c>
      <c r="BN66" s="53">
        <f t="shared" si="766"/>
        <v>0</v>
      </c>
      <c r="BO66" s="53">
        <f t="shared" ref="BO66:CT66" si="767">(BO48-BO47)/BO65</f>
        <v>0</v>
      </c>
      <c r="BP66" s="53">
        <f t="shared" si="767"/>
        <v>0</v>
      </c>
      <c r="BQ66" s="53">
        <f t="shared" si="767"/>
        <v>0</v>
      </c>
      <c r="BR66" s="53">
        <f t="shared" si="767"/>
        <v>0</v>
      </c>
      <c r="BS66" s="53">
        <f t="shared" si="767"/>
        <v>0</v>
      </c>
      <c r="BT66" s="53">
        <f t="shared" si="767"/>
        <v>0</v>
      </c>
      <c r="BU66" s="53">
        <f t="shared" si="767"/>
        <v>0</v>
      </c>
      <c r="BV66" s="53">
        <f t="shared" si="767"/>
        <v>0</v>
      </c>
      <c r="BW66" s="53">
        <f t="shared" si="767"/>
        <v>0</v>
      </c>
      <c r="BX66" s="53">
        <f t="shared" si="767"/>
        <v>0</v>
      </c>
      <c r="BY66" s="53">
        <f t="shared" si="767"/>
        <v>0</v>
      </c>
      <c r="BZ66" s="53">
        <f t="shared" si="767"/>
        <v>0</v>
      </c>
      <c r="CA66" s="53">
        <f t="shared" si="767"/>
        <v>0</v>
      </c>
      <c r="CB66" s="53">
        <f t="shared" si="767"/>
        <v>0</v>
      </c>
      <c r="CC66" s="53">
        <f t="shared" si="767"/>
        <v>0</v>
      </c>
      <c r="CD66" s="53">
        <f t="shared" si="767"/>
        <v>0</v>
      </c>
      <c r="CE66" s="53">
        <f t="shared" si="767"/>
        <v>0</v>
      </c>
      <c r="CF66" s="53">
        <f t="shared" si="767"/>
        <v>-1.2674977366111477E-2</v>
      </c>
      <c r="CG66" s="53">
        <f t="shared" si="767"/>
        <v>1.614597116790863</v>
      </c>
      <c r="CH66" s="53">
        <f t="shared" si="767"/>
        <v>-1.9778536109756984E-2</v>
      </c>
      <c r="CI66" s="53">
        <f t="shared" si="767"/>
        <v>0</v>
      </c>
      <c r="CJ66" s="53">
        <f t="shared" si="767"/>
        <v>-0.41319033358869006</v>
      </c>
      <c r="CK66" s="53">
        <f t="shared" ref="CK66:CL66" si="768">(CK48-CK47)/CK65</f>
        <v>-0.14701611230205383</v>
      </c>
      <c r="CL66" s="53">
        <f t="shared" si="768"/>
        <v>-1.102174805088223</v>
      </c>
      <c r="CM66" s="54" t="e">
        <f t="shared" si="767"/>
        <v>#DIV/0!</v>
      </c>
      <c r="CN66" s="54" t="e">
        <f t="shared" si="767"/>
        <v>#DIV/0!</v>
      </c>
      <c r="CO66" s="54" t="e">
        <f t="shared" si="767"/>
        <v>#DIV/0!</v>
      </c>
      <c r="CP66" s="54" t="e">
        <f t="shared" si="767"/>
        <v>#DIV/0!</v>
      </c>
      <c r="CQ66" s="54" t="e">
        <f t="shared" si="767"/>
        <v>#DIV/0!</v>
      </c>
      <c r="CR66" s="54" t="e">
        <f t="shared" si="767"/>
        <v>#DIV/0!</v>
      </c>
      <c r="CS66" s="54" t="e">
        <f t="shared" si="767"/>
        <v>#DIV/0!</v>
      </c>
      <c r="CT66" s="54" t="e">
        <f t="shared" si="767"/>
        <v>#DIV/0!</v>
      </c>
      <c r="CU66" s="54" t="e">
        <f t="shared" ref="CU66:DB66" si="769">(CU48-CU47)/CU65</f>
        <v>#DIV/0!</v>
      </c>
      <c r="CV66" s="54" t="e">
        <f t="shared" si="769"/>
        <v>#DIV/0!</v>
      </c>
      <c r="CW66" s="54" t="e">
        <f t="shared" si="769"/>
        <v>#DIV/0!</v>
      </c>
      <c r="CX66" s="54" t="e">
        <f t="shared" si="769"/>
        <v>#DIV/0!</v>
      </c>
      <c r="CY66" s="54" t="e">
        <f t="shared" si="769"/>
        <v>#DIV/0!</v>
      </c>
      <c r="CZ66" s="54" t="e">
        <f t="shared" si="769"/>
        <v>#DIV/0!</v>
      </c>
      <c r="DA66" s="54" t="e">
        <f t="shared" si="769"/>
        <v>#DIV/0!</v>
      </c>
      <c r="DB66" s="54" t="e">
        <f t="shared" si="769"/>
        <v>#DIV/0!</v>
      </c>
      <c r="DE66" s="132"/>
      <c r="DF66" s="53">
        <v>-1.6533305977294488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0</v>
      </c>
      <c r="BM69" s="3">
        <f t="shared" ref="BM69" si="808">SUM(BJ66:BM66)</f>
        <v>0</v>
      </c>
      <c r="BN69" s="3">
        <f t="shared" ref="BN69" si="809">SUM(BK66:BN66)</f>
        <v>0</v>
      </c>
      <c r="BO69" s="3">
        <f t="shared" ref="BO69" si="810">SUM(BL66:BO66)</f>
        <v>0</v>
      </c>
      <c r="BP69" s="3">
        <f t="shared" ref="BP69" si="811">SUM(BM66:BP66)</f>
        <v>0</v>
      </c>
      <c r="BQ69" s="3">
        <f t="shared" ref="BQ69" si="812">SUM(BN66:BQ66)</f>
        <v>0</v>
      </c>
      <c r="BR69" s="3">
        <f t="shared" ref="BR69" si="813">SUM(BO66:BR66)</f>
        <v>0</v>
      </c>
      <c r="BS69" s="3">
        <f t="shared" ref="BS69" si="814">SUM(BP66:BS66)</f>
        <v>0</v>
      </c>
      <c r="BT69" s="3">
        <f t="shared" ref="BT69" si="815">SUM(BQ66:BT66)</f>
        <v>0</v>
      </c>
      <c r="BU69" s="3">
        <f t="shared" ref="BU69" si="816">SUM(BR66:BU66)</f>
        <v>0</v>
      </c>
      <c r="BV69" s="3">
        <f t="shared" ref="BV69" si="817">SUM(BS66:BV66)</f>
        <v>0</v>
      </c>
      <c r="BW69" s="3">
        <f t="shared" ref="BW69" si="818">SUM(BT66:BW66)</f>
        <v>0</v>
      </c>
      <c r="BX69" s="3">
        <f t="shared" ref="BX69" si="819">SUM(BU66:BX66)</f>
        <v>0</v>
      </c>
      <c r="BY69" s="3">
        <f t="shared" ref="BY69" si="820">SUM(BV66:BY66)</f>
        <v>0</v>
      </c>
      <c r="BZ69" s="3">
        <f t="shared" ref="BZ69" si="821">SUM(BW66:BZ66)</f>
        <v>0</v>
      </c>
      <c r="CA69" s="3">
        <f t="shared" ref="CA69" si="822">SUM(BX66:CA66)</f>
        <v>0</v>
      </c>
      <c r="CB69" s="3">
        <f t="shared" ref="CB69" si="823">SUM(BY66:CB66)</f>
        <v>0</v>
      </c>
      <c r="CC69" s="3">
        <f t="shared" ref="CC69" si="824">SUM(BZ66:CC66)</f>
        <v>0</v>
      </c>
      <c r="CD69" s="3">
        <f t="shared" ref="CD69" si="825">SUM(CA66:CD66)</f>
        <v>0</v>
      </c>
      <c r="CE69" s="3">
        <f t="shared" ref="CE69" si="826">SUM(CB66:CE66)</f>
        <v>0</v>
      </c>
      <c r="CF69" s="3">
        <f t="shared" ref="CF69" si="827">SUM(CC66:CF66)</f>
        <v>-1.2674977366111477E-2</v>
      </c>
      <c r="CG69" s="3">
        <f t="shared" ref="CG69" si="828">SUM(CD66:CG66)</f>
        <v>1.6019221394247516</v>
      </c>
      <c r="CH69" s="3">
        <f t="shared" ref="CH69:CL69" si="829">SUM(CE66:CH66)</f>
        <v>1.5821436033149947</v>
      </c>
      <c r="CI69" s="3">
        <f t="shared" si="829"/>
        <v>1.5821436033149947</v>
      </c>
      <c r="CJ69" s="3">
        <f t="shared" si="829"/>
        <v>1.1816282470924162</v>
      </c>
      <c r="CK69" s="3">
        <f t="shared" si="829"/>
        <v>-0.57998498200050086</v>
      </c>
      <c r="CL69" s="3">
        <f t="shared" si="829"/>
        <v>-1.6623812509789668</v>
      </c>
      <c r="CM69" s="37" t="e">
        <f t="shared" ref="CM69" si="830">SUM(CJ66:CM66)</f>
        <v>#DIV/0!</v>
      </c>
      <c r="CN69" s="37" t="e">
        <f t="shared" ref="CN69" si="831">SUM(CK66:CN66)</f>
        <v>#DIV/0!</v>
      </c>
      <c r="CO69" s="37" t="e">
        <f t="shared" ref="CO69" si="832">SUM(CL66:CO66)</f>
        <v>#DIV/0!</v>
      </c>
      <c r="CP69" s="37" t="e">
        <f t="shared" ref="CP69" si="833">SUM(CM66:CP66)</f>
        <v>#DIV/0!</v>
      </c>
      <c r="CQ69" s="37" t="e">
        <f t="shared" ref="CQ69" si="834">SUM(CN66:CQ66)</f>
        <v>#DIV/0!</v>
      </c>
      <c r="CR69" s="37" t="e">
        <f t="shared" ref="CR69" si="835">SUM(CO66:CR66)</f>
        <v>#DIV/0!</v>
      </c>
      <c r="CS69" s="37" t="e">
        <f t="shared" ref="CS69" si="836">SUM(CP66:CS66)</f>
        <v>#DIV/0!</v>
      </c>
      <c r="CT69" s="37" t="e">
        <f t="shared" ref="CT69" si="837">SUM(CQ66:CT66)</f>
        <v>#DIV/0!</v>
      </c>
      <c r="CU69" s="37" t="e">
        <f t="shared" ref="CU69" si="838">SUM(CR66:CU66)</f>
        <v>#DIV/0!</v>
      </c>
      <c r="CV69" s="37" t="e">
        <f t="shared" ref="CV69" si="839">SUM(CS66:CV66)</f>
        <v>#DIV/0!</v>
      </c>
      <c r="CW69" s="37" t="e">
        <f t="shared" ref="CW69" si="840">SUM(CT66:CW66)</f>
        <v>#DIV/0!</v>
      </c>
      <c r="CX69" s="37" t="e">
        <f t="shared" ref="CX69" si="841">SUM(CU66:CX66)</f>
        <v>#DIV/0!</v>
      </c>
      <c r="CY69" s="37" t="e">
        <f t="shared" ref="CY69" si="842">SUM(CV66:CY66)</f>
        <v>#DIV/0!</v>
      </c>
      <c r="CZ69" s="37" t="e">
        <f t="shared" ref="CZ69" si="843">SUM(CW66:CZ66)</f>
        <v>#DIV/0!</v>
      </c>
      <c r="DA69" s="37" t="e">
        <f t="shared" ref="DA69" si="844">SUM(CX66:DA66)</f>
        <v>#DIV/0!</v>
      </c>
      <c r="DB69" s="37" t="e">
        <f t="shared" ref="DB69" si="845">SUM(CY66:DB66)</f>
        <v>#DIV/0!</v>
      </c>
      <c r="DE69" s="134"/>
      <c r="DF69" s="3">
        <v>-1.6533305977294488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 t="e">
        <f t="shared" si="851"/>
        <v>#DIV/0!</v>
      </c>
      <c r="BQ70" s="176" t="e">
        <f t="shared" si="851"/>
        <v>#DIV/0!</v>
      </c>
      <c r="BR70" s="176" t="e">
        <f t="shared" si="851"/>
        <v>#DIV/0!</v>
      </c>
      <c r="BS70" s="176" t="e">
        <f t="shared" si="851"/>
        <v>#DIV/0!</v>
      </c>
      <c r="BT70" s="176" t="e">
        <f t="shared" si="851"/>
        <v>#DIV/0!</v>
      </c>
      <c r="BU70" s="176" t="e">
        <f t="shared" si="851"/>
        <v>#DIV/0!</v>
      </c>
      <c r="BV70" s="176" t="e">
        <f t="shared" si="851"/>
        <v>#DIV/0!</v>
      </c>
      <c r="BW70" s="176" t="e">
        <f t="shared" si="851"/>
        <v>#DIV/0!</v>
      </c>
      <c r="BX70" s="176" t="e">
        <f t="shared" si="851"/>
        <v>#DIV/0!</v>
      </c>
      <c r="BY70" s="176" t="e">
        <f t="shared" si="851"/>
        <v>#DIV/0!</v>
      </c>
      <c r="BZ70" s="176" t="e">
        <f t="shared" si="851"/>
        <v>#DIV/0!</v>
      </c>
      <c r="CA70" s="176" t="e">
        <f t="shared" si="851"/>
        <v>#DIV/0!</v>
      </c>
      <c r="CB70" s="176" t="e">
        <f t="shared" si="851"/>
        <v>#DIV/0!</v>
      </c>
      <c r="CC70" s="176" t="e">
        <f t="shared" si="851"/>
        <v>#DIV/0!</v>
      </c>
      <c r="CD70" s="176" t="e">
        <f t="shared" si="851"/>
        <v>#DIV/0!</v>
      </c>
      <c r="CE70" s="176" t="e">
        <f t="shared" si="851"/>
        <v>#DIV/0!</v>
      </c>
      <c r="CF70" s="176" t="e">
        <f t="shared" si="851"/>
        <v>#DIV/0!</v>
      </c>
      <c r="CG70" s="176" t="e">
        <f t="shared" si="851"/>
        <v>#DIV/0!</v>
      </c>
      <c r="CH70" s="176" t="e">
        <f t="shared" si="851"/>
        <v>#DIV/0!</v>
      </c>
      <c r="CI70" s="176" t="e">
        <f t="shared" si="851"/>
        <v>#DIV/0!</v>
      </c>
      <c r="CJ70" s="176">
        <f t="shared" si="851"/>
        <v>94.225274725277472</v>
      </c>
      <c r="CK70" s="176">
        <f t="shared" si="851"/>
        <v>-1.3620556628356311</v>
      </c>
      <c r="CL70" s="176">
        <f t="shared" si="851"/>
        <v>-2.0507145163661846</v>
      </c>
      <c r="CM70" s="102" t="e">
        <f t="shared" ref="CM70:DB70" si="852">+IF(CI69&lt;0,1-CM69/CI69,CM69/CI69-1)</f>
        <v>#DIV/0!</v>
      </c>
      <c r="CN70" s="102" t="e">
        <f t="shared" si="852"/>
        <v>#DIV/0!</v>
      </c>
      <c r="CO70" s="102" t="e">
        <f t="shared" si="852"/>
        <v>#DIV/0!</v>
      </c>
      <c r="CP70" s="102" t="e">
        <f t="shared" si="852"/>
        <v>#DIV/0!</v>
      </c>
      <c r="CQ70" s="102" t="e">
        <f t="shared" si="852"/>
        <v>#DIV/0!</v>
      </c>
      <c r="CR70" s="102" t="e">
        <f t="shared" si="852"/>
        <v>#DIV/0!</v>
      </c>
      <c r="CS70" s="102" t="e">
        <f t="shared" si="852"/>
        <v>#DIV/0!</v>
      </c>
      <c r="CT70" s="102" t="e">
        <f t="shared" si="852"/>
        <v>#DIV/0!</v>
      </c>
      <c r="CU70" s="102" t="e">
        <f t="shared" si="852"/>
        <v>#DIV/0!</v>
      </c>
      <c r="CV70" s="102" t="e">
        <f t="shared" si="852"/>
        <v>#DIV/0!</v>
      </c>
      <c r="CW70" s="102" t="e">
        <f t="shared" si="852"/>
        <v>#DIV/0!</v>
      </c>
      <c r="CX70" s="102" t="e">
        <f t="shared" si="852"/>
        <v>#DIV/0!</v>
      </c>
      <c r="CY70" s="102" t="e">
        <f t="shared" si="852"/>
        <v>#DIV/0!</v>
      </c>
      <c r="CZ70" s="102" t="e">
        <f t="shared" si="852"/>
        <v>#DIV/0!</v>
      </c>
      <c r="DA70" s="102" t="e">
        <f t="shared" si="852"/>
        <v>#DIV/0!</v>
      </c>
      <c r="DB70" s="102" t="e">
        <f t="shared" si="852"/>
        <v>#DIV/0!</v>
      </c>
      <c r="DE70" s="135"/>
      <c r="DF70" s="97">
        <v>-2.0082789397952165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0</v>
      </c>
      <c r="AA73" s="3">
        <f>'Annual Raw'!AB112</f>
        <v>19.02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0</v>
      </c>
      <c r="CB73" s="3">
        <f>'QTR Raw'!AV49</f>
        <v>0</v>
      </c>
      <c r="CC73" s="3">
        <f>'QTR Raw'!AW49</f>
        <v>0</v>
      </c>
      <c r="CD73" s="3">
        <f>'QTR Raw'!AX49</f>
        <v>0</v>
      </c>
      <c r="CE73" s="3">
        <f>'QTR Raw'!AY49</f>
        <v>0</v>
      </c>
      <c r="CF73" s="3">
        <f>'QTR Raw'!AZ49</f>
        <v>0</v>
      </c>
      <c r="CG73" s="3">
        <f>'QTR Raw'!BA49</f>
        <v>0</v>
      </c>
      <c r="CH73" s="3">
        <f>'QTR Raw'!BB49</f>
        <v>0</v>
      </c>
      <c r="CI73" s="3">
        <f>'QTR Raw'!BC49</f>
        <v>0</v>
      </c>
      <c r="CJ73" s="3">
        <f>'QTR Raw'!BD49</f>
        <v>20.43</v>
      </c>
      <c r="CK73" s="3">
        <f>'QTR Raw'!BE49</f>
        <v>20.29</v>
      </c>
      <c r="CL73" s="3">
        <f>'QTR Raw'!BF49</f>
        <v>19.02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0</v>
      </c>
      <c r="AA77" s="13">
        <f>'Annual Raw'!AB106</f>
        <v>118.5</v>
      </c>
      <c r="AB77" s="37">
        <f>+CP77</f>
        <v>118.5</v>
      </c>
      <c r="AC77" s="37">
        <f>+CT77</f>
        <v>118.5</v>
      </c>
      <c r="AD77" s="37">
        <f>+CX77</f>
        <v>118.5</v>
      </c>
      <c r="AE77" s="37">
        <f>+DB77</f>
        <v>118.5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0</v>
      </c>
      <c r="CC77" s="13">
        <f>'QTR Share Price'!JI21</f>
        <v>0</v>
      </c>
      <c r="CD77" s="13">
        <f>'QTR Share Price'!JJ21</f>
        <v>0</v>
      </c>
      <c r="CE77" s="13">
        <f>'QTR Share Price'!JK21</f>
        <v>0</v>
      </c>
      <c r="CF77" s="13">
        <f>'QTR Share Price'!JL21</f>
        <v>0</v>
      </c>
      <c r="CG77" s="13">
        <f>'QTR Share Price'!JM21</f>
        <v>0</v>
      </c>
      <c r="CH77" s="13">
        <f>'QTR Share Price'!JN21</f>
        <v>0</v>
      </c>
      <c r="CI77" s="13">
        <f>'QTR Share Price'!JO21</f>
        <v>0</v>
      </c>
      <c r="CJ77" s="13">
        <f>'QTR Share Price'!JP21</f>
        <v>167.5</v>
      </c>
      <c r="CK77" s="13">
        <f>'QTR Share Price'!JQ21</f>
        <v>133.44999999999999</v>
      </c>
      <c r="CL77" s="13">
        <f>'QTR Share Price'!JR21</f>
        <v>118.5</v>
      </c>
      <c r="CM77" s="37">
        <f t="shared" ref="CM77" si="853">+CL77</f>
        <v>118.5</v>
      </c>
      <c r="CN77" s="37">
        <f t="shared" ref="CN77" si="854">+CM77</f>
        <v>118.5</v>
      </c>
      <c r="CO77" s="37">
        <f t="shared" ref="CO77" si="855">+CN77</f>
        <v>118.5</v>
      </c>
      <c r="CP77" s="37">
        <f t="shared" ref="CP77" si="856">+CO77</f>
        <v>118.5</v>
      </c>
      <c r="CQ77" s="37">
        <f t="shared" ref="CQ77" si="857">+CP77</f>
        <v>118.5</v>
      </c>
      <c r="CR77" s="37">
        <f t="shared" ref="CR77" si="858">+CQ77</f>
        <v>118.5</v>
      </c>
      <c r="CS77" s="37">
        <f t="shared" ref="CS77" si="859">+CR77</f>
        <v>118.5</v>
      </c>
      <c r="CT77" s="37">
        <f t="shared" ref="CT77" si="860">+CS77</f>
        <v>118.5</v>
      </c>
      <c r="CU77" s="37">
        <f t="shared" ref="CU77" si="861">+CT77</f>
        <v>118.5</v>
      </c>
      <c r="CV77" s="37">
        <f t="shared" ref="CV77" si="862">+CU77</f>
        <v>118.5</v>
      </c>
      <c r="CW77" s="37">
        <f t="shared" ref="CW77" si="863">+CV77</f>
        <v>118.5</v>
      </c>
      <c r="CX77" s="37">
        <f t="shared" ref="CX77" si="864">+CW77</f>
        <v>118.5</v>
      </c>
      <c r="CY77" s="37">
        <f t="shared" ref="CY77" si="865">+CX77</f>
        <v>118.5</v>
      </c>
      <c r="CZ77" s="37">
        <f t="shared" ref="CZ77" si="866">+CY77</f>
        <v>118.5</v>
      </c>
      <c r="DA77" s="37">
        <f t="shared" ref="DA77" si="867">+CZ77</f>
        <v>118.5</v>
      </c>
      <c r="DB77" s="37">
        <f t="shared" ref="DB77" si="868">+DA77</f>
        <v>118.5</v>
      </c>
      <c r="DE77" s="134"/>
      <c r="DF77" s="13">
        <v>118.5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0</v>
      </c>
      <c r="AA78" s="13">
        <f>'Annual Raw'!AB107</f>
        <v>201</v>
      </c>
      <c r="AB78" s="37" t="e">
        <f>+MAX(CM78:CP78)</f>
        <v>#DIV/0!</v>
      </c>
      <c r="AC78" s="37" t="e">
        <f>+MAX(CQ78:CT78)</f>
        <v>#DIV/0!</v>
      </c>
      <c r="AD78" s="37" t="e">
        <f>+MAX(CU78:CX78)</f>
        <v>#DIV/0!</v>
      </c>
      <c r="AE78" s="37" t="e">
        <f>+MAX(CY78:DB78)</f>
        <v>#DIV/0!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0</v>
      </c>
      <c r="CC78" s="13">
        <f>'QTR Share Price'!JI19</f>
        <v>0</v>
      </c>
      <c r="CD78" s="13">
        <f>'QTR Share Price'!JJ19</f>
        <v>0</v>
      </c>
      <c r="CE78" s="13">
        <f>'QTR Share Price'!JK19</f>
        <v>0</v>
      </c>
      <c r="CF78" s="13">
        <f>'QTR Share Price'!JL19</f>
        <v>0</v>
      </c>
      <c r="CG78" s="13">
        <f>'QTR Share Price'!JM19</f>
        <v>0</v>
      </c>
      <c r="CH78" s="13">
        <f>'QTR Share Price'!JN19</f>
        <v>0</v>
      </c>
      <c r="CI78" s="13">
        <f>'QTR Share Price'!JO19</f>
        <v>0</v>
      </c>
      <c r="CJ78" s="13">
        <f>'QTR Share Price'!JP19</f>
        <v>201</v>
      </c>
      <c r="CK78" s="13">
        <f>'QTR Share Price'!JQ19</f>
        <v>175.5</v>
      </c>
      <c r="CL78" s="13">
        <f>'QTR Share Price'!JR19</f>
        <v>139.44999999999999</v>
      </c>
      <c r="CM78" s="37" t="e">
        <f t="shared" ref="CM78:DB78" si="869">+CM69*CM86</f>
        <v>#DIV/0!</v>
      </c>
      <c r="CN78" s="37" t="e">
        <f t="shared" si="869"/>
        <v>#DIV/0!</v>
      </c>
      <c r="CO78" s="37" t="e">
        <f t="shared" si="869"/>
        <v>#DIV/0!</v>
      </c>
      <c r="CP78" s="37" t="e">
        <f t="shared" si="869"/>
        <v>#DIV/0!</v>
      </c>
      <c r="CQ78" s="37" t="e">
        <f t="shared" si="869"/>
        <v>#DIV/0!</v>
      </c>
      <c r="CR78" s="37" t="e">
        <f t="shared" si="869"/>
        <v>#DIV/0!</v>
      </c>
      <c r="CS78" s="37" t="e">
        <f t="shared" si="869"/>
        <v>#DIV/0!</v>
      </c>
      <c r="CT78" s="37" t="e">
        <f t="shared" si="869"/>
        <v>#DIV/0!</v>
      </c>
      <c r="CU78" s="37" t="e">
        <f t="shared" si="869"/>
        <v>#DIV/0!</v>
      </c>
      <c r="CV78" s="37" t="e">
        <f t="shared" si="869"/>
        <v>#DIV/0!</v>
      </c>
      <c r="CW78" s="37" t="e">
        <f t="shared" si="869"/>
        <v>#DIV/0!</v>
      </c>
      <c r="CX78" s="37" t="e">
        <f t="shared" si="869"/>
        <v>#DIV/0!</v>
      </c>
      <c r="CY78" s="37" t="e">
        <f t="shared" si="869"/>
        <v>#DIV/0!</v>
      </c>
      <c r="CZ78" s="37" t="e">
        <f t="shared" si="869"/>
        <v>#DIV/0!</v>
      </c>
      <c r="DA78" s="37" t="e">
        <f t="shared" si="869"/>
        <v>#DIV/0!</v>
      </c>
      <c r="DB78" s="37" t="e">
        <f t="shared" si="869"/>
        <v>#DIV/0!</v>
      </c>
      <c r="DE78" s="134"/>
      <c r="DF78" s="13">
        <v>139.44999999999999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0</v>
      </c>
      <c r="AA79" s="13">
        <f>'Annual Raw'!AB108</f>
        <v>96.35</v>
      </c>
      <c r="AB79" s="37" t="e">
        <f>+MIN(CM79:CP79)</f>
        <v>#DIV/0!</v>
      </c>
      <c r="AC79" s="37" t="e">
        <f>+MIN(CQ79:CT79)</f>
        <v>#DIV/0!</v>
      </c>
      <c r="AD79" s="37" t="e">
        <f>+MIN(CU79:CX79)</f>
        <v>#DIV/0!</v>
      </c>
      <c r="AE79" s="37" t="e">
        <f>+MIN(CY79:DB79)</f>
        <v>#DIV/0!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0</v>
      </c>
      <c r="CC79" s="13">
        <f>+'QTR Share Price'!JI20</f>
        <v>0</v>
      </c>
      <c r="CD79" s="13">
        <f>+'QTR Share Price'!JJ20</f>
        <v>0</v>
      </c>
      <c r="CE79" s="13">
        <f>+'QTR Share Price'!JK20</f>
        <v>0</v>
      </c>
      <c r="CF79" s="13">
        <f>+'QTR Share Price'!JL20</f>
        <v>0</v>
      </c>
      <c r="CG79" s="13">
        <f>+'QTR Share Price'!JM20</f>
        <v>0</v>
      </c>
      <c r="CH79" s="13">
        <f>+'QTR Share Price'!JN20</f>
        <v>0</v>
      </c>
      <c r="CI79" s="13">
        <f>+'QTR Share Price'!JO20</f>
        <v>0</v>
      </c>
      <c r="CJ79" s="13">
        <f>+'QTR Share Price'!JP20</f>
        <v>0</v>
      </c>
      <c r="CK79" s="13">
        <f>+'QTR Share Price'!JQ20</f>
        <v>121</v>
      </c>
      <c r="CL79" s="13">
        <f>+'QTR Share Price'!JR20</f>
        <v>96.35</v>
      </c>
      <c r="CM79" s="37" t="e">
        <f t="shared" ref="CM79:DB79" si="870">+CM87*CM69</f>
        <v>#DIV/0!</v>
      </c>
      <c r="CN79" s="37" t="e">
        <f t="shared" si="870"/>
        <v>#DIV/0!</v>
      </c>
      <c r="CO79" s="37" t="e">
        <f t="shared" si="870"/>
        <v>#DIV/0!</v>
      </c>
      <c r="CP79" s="37" t="e">
        <f t="shared" si="870"/>
        <v>#DIV/0!</v>
      </c>
      <c r="CQ79" s="37" t="e">
        <f t="shared" si="870"/>
        <v>#DIV/0!</v>
      </c>
      <c r="CR79" s="37" t="e">
        <f t="shared" si="870"/>
        <v>#DIV/0!</v>
      </c>
      <c r="CS79" s="37" t="e">
        <f t="shared" si="870"/>
        <v>#DIV/0!</v>
      </c>
      <c r="CT79" s="37" t="e">
        <f t="shared" si="870"/>
        <v>#DIV/0!</v>
      </c>
      <c r="CU79" s="37" t="e">
        <f t="shared" si="870"/>
        <v>#DIV/0!</v>
      </c>
      <c r="CV79" s="37" t="e">
        <f t="shared" si="870"/>
        <v>#DIV/0!</v>
      </c>
      <c r="CW79" s="37" t="e">
        <f t="shared" si="870"/>
        <v>#DIV/0!</v>
      </c>
      <c r="CX79" s="37" t="e">
        <f t="shared" si="870"/>
        <v>#DIV/0!</v>
      </c>
      <c r="CY79" s="37" t="e">
        <f t="shared" si="870"/>
        <v>#DIV/0!</v>
      </c>
      <c r="CZ79" s="37" t="e">
        <f t="shared" si="870"/>
        <v>#DIV/0!</v>
      </c>
      <c r="DA79" s="37" t="e">
        <f t="shared" si="870"/>
        <v>#DIV/0!</v>
      </c>
      <c r="DB79" s="37" t="e">
        <f t="shared" si="870"/>
        <v>#DIV/0!</v>
      </c>
      <c r="DE79" s="134"/>
      <c r="DF79" s="13">
        <v>96.35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 t="e">
        <f t="shared" ref="AB81:AD81" si="871">+AB78/AB77-1</f>
        <v>#DIV/0!</v>
      </c>
      <c r="AC81" s="48" t="e">
        <f t="shared" si="871"/>
        <v>#DIV/0!</v>
      </c>
      <c r="AD81" s="48" t="e">
        <f t="shared" si="871"/>
        <v>#DIV/0!</v>
      </c>
      <c r="AE81" s="48" t="e">
        <f t="shared" ref="AE81" si="872">+AE78/AE77-1</f>
        <v>#DIV/0!</v>
      </c>
      <c r="CM81" s="48" t="e">
        <f t="shared" ref="CM81:DB81" si="873">+CM78/CM77-1</f>
        <v>#DIV/0!</v>
      </c>
      <c r="CN81" s="48" t="e">
        <f t="shared" si="873"/>
        <v>#DIV/0!</v>
      </c>
      <c r="CO81" s="48" t="e">
        <f t="shared" si="873"/>
        <v>#DIV/0!</v>
      </c>
      <c r="CP81" s="48" t="e">
        <f t="shared" si="873"/>
        <v>#DIV/0!</v>
      </c>
      <c r="CQ81" s="48" t="e">
        <f t="shared" si="873"/>
        <v>#DIV/0!</v>
      </c>
      <c r="CR81" s="48" t="e">
        <f t="shared" si="873"/>
        <v>#DIV/0!</v>
      </c>
      <c r="CS81" s="48" t="e">
        <f t="shared" si="873"/>
        <v>#DIV/0!</v>
      </c>
      <c r="CT81" s="48" t="e">
        <f t="shared" si="873"/>
        <v>#DIV/0!</v>
      </c>
      <c r="CU81" s="48" t="e">
        <f t="shared" si="873"/>
        <v>#DIV/0!</v>
      </c>
      <c r="CV81" s="48" t="e">
        <f t="shared" si="873"/>
        <v>#DIV/0!</v>
      </c>
      <c r="CW81" s="48" t="e">
        <f t="shared" si="873"/>
        <v>#DIV/0!</v>
      </c>
      <c r="CX81" s="48" t="e">
        <f t="shared" si="873"/>
        <v>#DIV/0!</v>
      </c>
      <c r="CY81" s="48" t="e">
        <f t="shared" si="873"/>
        <v>#DIV/0!</v>
      </c>
      <c r="CZ81" s="48" t="e">
        <f t="shared" si="873"/>
        <v>#DIV/0!</v>
      </c>
      <c r="DA81" s="48" t="e">
        <f t="shared" si="873"/>
        <v>#DIV/0!</v>
      </c>
      <c r="DB81" s="48" t="e">
        <f t="shared" si="873"/>
        <v>#DIV/0!</v>
      </c>
      <c r="DE81" s="129"/>
      <c r="DF81" s="51">
        <v>0.69620253164556956</v>
      </c>
    </row>
    <row r="82" spans="1:110" s="51" customFormat="1" x14ac:dyDescent="0.2">
      <c r="A82" s="51" t="s">
        <v>347</v>
      </c>
      <c r="AB82" s="48" t="e">
        <f t="shared" ref="AB82:AD82" si="874">+AB79/AB77-1</f>
        <v>#DIV/0!</v>
      </c>
      <c r="AC82" s="48" t="e">
        <f t="shared" si="874"/>
        <v>#DIV/0!</v>
      </c>
      <c r="AD82" s="48" t="e">
        <f t="shared" si="874"/>
        <v>#DIV/0!</v>
      </c>
      <c r="AE82" s="48" t="e">
        <f t="shared" ref="AE82" si="875">+AE79/AE77-1</f>
        <v>#DIV/0!</v>
      </c>
      <c r="CM82" s="48" t="e">
        <f t="shared" ref="CM82:DB82" si="876">+CM79/CM77-1</f>
        <v>#DIV/0!</v>
      </c>
      <c r="CN82" s="48" t="e">
        <f t="shared" si="876"/>
        <v>#DIV/0!</v>
      </c>
      <c r="CO82" s="48" t="e">
        <f t="shared" si="876"/>
        <v>#DIV/0!</v>
      </c>
      <c r="CP82" s="48" t="e">
        <f t="shared" si="876"/>
        <v>#DIV/0!</v>
      </c>
      <c r="CQ82" s="48" t="e">
        <f t="shared" si="876"/>
        <v>#DIV/0!</v>
      </c>
      <c r="CR82" s="48" t="e">
        <f t="shared" si="876"/>
        <v>#DIV/0!</v>
      </c>
      <c r="CS82" s="48" t="e">
        <f t="shared" si="876"/>
        <v>#DIV/0!</v>
      </c>
      <c r="CT82" s="48" t="e">
        <f t="shared" si="876"/>
        <v>#DIV/0!</v>
      </c>
      <c r="CU82" s="48" t="e">
        <f t="shared" si="876"/>
        <v>#DIV/0!</v>
      </c>
      <c r="CV82" s="48" t="e">
        <f t="shared" si="876"/>
        <v>#DIV/0!</v>
      </c>
      <c r="CW82" s="48" t="e">
        <f t="shared" si="876"/>
        <v>#DIV/0!</v>
      </c>
      <c r="CX82" s="48" t="e">
        <f t="shared" si="876"/>
        <v>#DIV/0!</v>
      </c>
      <c r="CY82" s="48" t="e">
        <f t="shared" si="876"/>
        <v>#DIV/0!</v>
      </c>
      <c r="CZ82" s="48" t="e">
        <f t="shared" si="876"/>
        <v>#DIV/0!</v>
      </c>
      <c r="DA82" s="48" t="e">
        <f t="shared" si="876"/>
        <v>#DIV/0!</v>
      </c>
      <c r="DB82" s="48" t="e">
        <f t="shared" si="876"/>
        <v>#DIV/0!</v>
      </c>
      <c r="DE82" s="129"/>
      <c r="DF82" s="51">
        <v>-1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 t="e">
        <f t="shared" si="880"/>
        <v>#DIV/0!</v>
      </c>
      <c r="BA85" s="13" t="e">
        <f t="shared" si="880"/>
        <v>#DIV/0!</v>
      </c>
      <c r="BB85" s="13" t="e">
        <f t="shared" si="880"/>
        <v>#DIV/0!</v>
      </c>
      <c r="BC85" s="13" t="e">
        <f t="shared" si="880"/>
        <v>#DIV/0!</v>
      </c>
      <c r="BD85" s="13" t="e">
        <f t="shared" si="880"/>
        <v>#DIV/0!</v>
      </c>
      <c r="BE85" s="13" t="e">
        <f t="shared" si="880"/>
        <v>#DIV/0!</v>
      </c>
      <c r="BF85" s="13" t="e">
        <f t="shared" si="880"/>
        <v>#DIV/0!</v>
      </c>
      <c r="BG85" s="13" t="e">
        <f t="shared" si="880"/>
        <v>#DIV/0!</v>
      </c>
      <c r="BH85" s="13" t="e">
        <f t="shared" si="880"/>
        <v>#DIV/0!</v>
      </c>
      <c r="BI85" s="13" t="e">
        <f t="shared" si="880"/>
        <v>#DIV/0!</v>
      </c>
      <c r="BJ85" s="13" t="e">
        <f t="shared" si="880"/>
        <v>#DIV/0!</v>
      </c>
      <c r="BK85" s="13" t="e">
        <f t="shared" si="880"/>
        <v>#DIV/0!</v>
      </c>
      <c r="BL85" s="13" t="e">
        <f t="shared" si="880"/>
        <v>#DIV/0!</v>
      </c>
      <c r="BM85" s="13" t="e">
        <f t="shared" si="880"/>
        <v>#DIV/0!</v>
      </c>
      <c r="BN85" s="13" t="e">
        <f t="shared" si="880"/>
        <v>#DIV/0!</v>
      </c>
      <c r="BO85" s="13" t="e">
        <f t="shared" si="880"/>
        <v>#DIV/0!</v>
      </c>
      <c r="BP85" s="13" t="e">
        <f t="shared" si="880"/>
        <v>#DIV/0!</v>
      </c>
      <c r="BQ85" s="13" t="e">
        <f t="shared" si="880"/>
        <v>#DIV/0!</v>
      </c>
      <c r="BR85" s="13" t="e">
        <f t="shared" ref="BR85:DB85" si="881">+BR77/BR69</f>
        <v>#DIV/0!</v>
      </c>
      <c r="BS85" s="13" t="e">
        <f t="shared" si="881"/>
        <v>#DIV/0!</v>
      </c>
      <c r="BT85" s="13" t="e">
        <f t="shared" si="881"/>
        <v>#DIV/0!</v>
      </c>
      <c r="BU85" s="13" t="e">
        <f t="shared" si="881"/>
        <v>#DIV/0!</v>
      </c>
      <c r="BV85" s="13" t="e">
        <f t="shared" si="881"/>
        <v>#DIV/0!</v>
      </c>
      <c r="BW85" s="13" t="e">
        <f t="shared" si="881"/>
        <v>#DIV/0!</v>
      </c>
      <c r="BX85" s="13" t="e">
        <f t="shared" si="881"/>
        <v>#DIV/0!</v>
      </c>
      <c r="BY85" s="13" t="e">
        <f t="shared" si="881"/>
        <v>#DIV/0!</v>
      </c>
      <c r="BZ85" s="13" t="e">
        <f t="shared" si="881"/>
        <v>#DIV/0!</v>
      </c>
      <c r="CA85" s="13" t="e">
        <f t="shared" si="881"/>
        <v>#DIV/0!</v>
      </c>
      <c r="CB85" s="13" t="e">
        <f t="shared" si="881"/>
        <v>#DIV/0!</v>
      </c>
      <c r="CC85" s="13" t="e">
        <f t="shared" si="881"/>
        <v>#DIV/0!</v>
      </c>
      <c r="CD85" s="13" t="e">
        <f t="shared" si="881"/>
        <v>#DIV/0!</v>
      </c>
      <c r="CE85" s="13" t="e">
        <f t="shared" si="881"/>
        <v>#DIV/0!</v>
      </c>
      <c r="CF85" s="13">
        <f t="shared" si="881"/>
        <v>0</v>
      </c>
      <c r="CG85" s="13">
        <f t="shared" si="881"/>
        <v>0</v>
      </c>
      <c r="CH85" s="13">
        <f t="shared" si="881"/>
        <v>0</v>
      </c>
      <c r="CI85" s="13">
        <f t="shared" ref="CI85:CJ85" si="882">+CI77/CI69</f>
        <v>0</v>
      </c>
      <c r="CJ85" s="13">
        <f t="shared" si="882"/>
        <v>141.7535510107856</v>
      </c>
      <c r="CK85" s="13">
        <f t="shared" ref="CK85:CL85" si="883">+CK77/CK69</f>
        <v>-230.09216469657613</v>
      </c>
      <c r="CL85" s="13">
        <f t="shared" si="883"/>
        <v>-71.283287110111488</v>
      </c>
      <c r="CM85" s="37" t="e">
        <f t="shared" si="881"/>
        <v>#DIV/0!</v>
      </c>
      <c r="CN85" s="37" t="e">
        <f t="shared" si="881"/>
        <v>#DIV/0!</v>
      </c>
      <c r="CO85" s="37" t="e">
        <f t="shared" si="881"/>
        <v>#DIV/0!</v>
      </c>
      <c r="CP85" s="37" t="e">
        <f t="shared" si="881"/>
        <v>#DIV/0!</v>
      </c>
      <c r="CQ85" s="37" t="e">
        <f t="shared" si="881"/>
        <v>#DIV/0!</v>
      </c>
      <c r="CR85" s="37" t="e">
        <f t="shared" si="881"/>
        <v>#DIV/0!</v>
      </c>
      <c r="CS85" s="37" t="e">
        <f t="shared" si="881"/>
        <v>#DIV/0!</v>
      </c>
      <c r="CT85" s="37" t="e">
        <f t="shared" si="881"/>
        <v>#DIV/0!</v>
      </c>
      <c r="CU85" s="37" t="e">
        <f t="shared" si="881"/>
        <v>#DIV/0!</v>
      </c>
      <c r="CV85" s="37" t="e">
        <f t="shared" si="881"/>
        <v>#DIV/0!</v>
      </c>
      <c r="CW85" s="37" t="e">
        <f t="shared" si="881"/>
        <v>#DIV/0!</v>
      </c>
      <c r="CX85" s="37" t="e">
        <f t="shared" si="881"/>
        <v>#DIV/0!</v>
      </c>
      <c r="CY85" s="37" t="e">
        <f t="shared" si="881"/>
        <v>#DIV/0!</v>
      </c>
      <c r="CZ85" s="37" t="e">
        <f t="shared" si="881"/>
        <v>#DIV/0!</v>
      </c>
      <c r="DA85" s="37" t="e">
        <f t="shared" si="881"/>
        <v>#DIV/0!</v>
      </c>
      <c r="DB85" s="37" t="e">
        <f t="shared" si="881"/>
        <v>#DIV/0!</v>
      </c>
      <c r="DE85" s="134"/>
      <c r="DF85" s="13">
        <v>-71.673505687693904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 t="e">
        <f t="shared" si="887"/>
        <v>#DIV/0!</v>
      </c>
      <c r="BA86" s="13" t="e">
        <f t="shared" si="887"/>
        <v>#DIV/0!</v>
      </c>
      <c r="BB86" s="13" t="e">
        <f t="shared" si="887"/>
        <v>#DIV/0!</v>
      </c>
      <c r="BC86" s="13" t="e">
        <f t="shared" si="887"/>
        <v>#DIV/0!</v>
      </c>
      <c r="BD86" s="13" t="e">
        <f t="shared" si="887"/>
        <v>#DIV/0!</v>
      </c>
      <c r="BE86" s="13" t="e">
        <f t="shared" si="887"/>
        <v>#DIV/0!</v>
      </c>
      <c r="BF86" s="13" t="e">
        <f t="shared" si="887"/>
        <v>#DIV/0!</v>
      </c>
      <c r="BG86" s="13" t="e">
        <f t="shared" si="887"/>
        <v>#DIV/0!</v>
      </c>
      <c r="BH86" s="13" t="e">
        <f t="shared" si="887"/>
        <v>#DIV/0!</v>
      </c>
      <c r="BI86" s="13" t="e">
        <f t="shared" si="887"/>
        <v>#DIV/0!</v>
      </c>
      <c r="BJ86" s="13" t="e">
        <f t="shared" si="887"/>
        <v>#DIV/0!</v>
      </c>
      <c r="BK86" s="13" t="e">
        <f t="shared" si="887"/>
        <v>#DIV/0!</v>
      </c>
      <c r="BL86" s="13" t="e">
        <f t="shared" si="887"/>
        <v>#DIV/0!</v>
      </c>
      <c r="BM86" s="13" t="e">
        <f t="shared" si="887"/>
        <v>#DIV/0!</v>
      </c>
      <c r="BN86" s="13" t="e">
        <f t="shared" si="887"/>
        <v>#DIV/0!</v>
      </c>
      <c r="BO86" s="13" t="e">
        <f t="shared" si="887"/>
        <v>#DIV/0!</v>
      </c>
      <c r="BP86" s="13" t="e">
        <f t="shared" si="887"/>
        <v>#DIV/0!</v>
      </c>
      <c r="BQ86" s="13" t="e">
        <f t="shared" si="887"/>
        <v>#DIV/0!</v>
      </c>
      <c r="BR86" s="13" t="e">
        <f t="shared" ref="BR86:CH86" si="888">+BR78/BR69</f>
        <v>#DIV/0!</v>
      </c>
      <c r="BS86" s="13" t="e">
        <f t="shared" si="888"/>
        <v>#DIV/0!</v>
      </c>
      <c r="BT86" s="13" t="e">
        <f t="shared" si="888"/>
        <v>#DIV/0!</v>
      </c>
      <c r="BU86" s="13" t="e">
        <f t="shared" si="888"/>
        <v>#DIV/0!</v>
      </c>
      <c r="BV86" s="13" t="e">
        <f t="shared" si="888"/>
        <v>#DIV/0!</v>
      </c>
      <c r="BW86" s="13" t="e">
        <f t="shared" si="888"/>
        <v>#DIV/0!</v>
      </c>
      <c r="BX86" s="13" t="e">
        <f t="shared" si="888"/>
        <v>#DIV/0!</v>
      </c>
      <c r="BY86" s="13" t="e">
        <f t="shared" si="888"/>
        <v>#DIV/0!</v>
      </c>
      <c r="BZ86" s="13" t="e">
        <f t="shared" si="888"/>
        <v>#DIV/0!</v>
      </c>
      <c r="CA86" s="13" t="e">
        <f t="shared" si="888"/>
        <v>#DIV/0!</v>
      </c>
      <c r="CB86" s="13" t="e">
        <f t="shared" si="888"/>
        <v>#DIV/0!</v>
      </c>
      <c r="CC86" s="13" t="e">
        <f t="shared" si="888"/>
        <v>#DIV/0!</v>
      </c>
      <c r="CD86" s="13" t="e">
        <f t="shared" si="888"/>
        <v>#DIV/0!</v>
      </c>
      <c r="CE86" s="13" t="e">
        <f t="shared" si="888"/>
        <v>#DIV/0!</v>
      </c>
      <c r="CF86" s="13">
        <f t="shared" si="888"/>
        <v>0</v>
      </c>
      <c r="CG86" s="13">
        <f t="shared" si="888"/>
        <v>0</v>
      </c>
      <c r="CH86" s="13">
        <f t="shared" si="888"/>
        <v>0</v>
      </c>
      <c r="CI86" s="13">
        <f t="shared" ref="CI86:CJ86" si="889">+CI78/CI69</f>
        <v>0</v>
      </c>
      <c r="CJ86" s="13">
        <f t="shared" si="889"/>
        <v>170.10426121294273</v>
      </c>
      <c r="CK86" s="13">
        <f t="shared" ref="CK86:CL86" si="890">+CK78/CK69</f>
        <v>-302.59404199512261</v>
      </c>
      <c r="CL86" s="13">
        <f t="shared" si="890"/>
        <v>-83.885691033797855</v>
      </c>
      <c r="CM86" s="60">
        <f t="shared" ref="CM86:CM87" si="891">+CL86</f>
        <v>-83.885691033797855</v>
      </c>
      <c r="CN86" s="60">
        <f t="shared" ref="CN86:CN87" si="892">+CM86</f>
        <v>-83.885691033797855</v>
      </c>
      <c r="CO86" s="60">
        <f t="shared" ref="CO86:CO87" si="893">+CN86</f>
        <v>-83.885691033797855</v>
      </c>
      <c r="CP86" s="60">
        <f t="shared" ref="CP86:CP87" si="894">+CO86</f>
        <v>-83.885691033797855</v>
      </c>
      <c r="CQ86" s="60">
        <f t="shared" ref="CQ86:CQ87" si="895">+CP86</f>
        <v>-83.885691033797855</v>
      </c>
      <c r="CR86" s="60">
        <f t="shared" ref="CR86:CR87" si="896">+CQ86</f>
        <v>-83.885691033797855</v>
      </c>
      <c r="CS86" s="60">
        <f t="shared" ref="CS86:CS87" si="897">+CR86</f>
        <v>-83.885691033797855</v>
      </c>
      <c r="CT86" s="60">
        <f t="shared" ref="CT86:CT87" si="898">+CS86</f>
        <v>-83.885691033797855</v>
      </c>
      <c r="CU86" s="60">
        <f t="shared" ref="CU86:CU87" si="899">+CT86</f>
        <v>-83.885691033797855</v>
      </c>
      <c r="CV86" s="60">
        <f t="shared" ref="CV86:CV87" si="900">+CU86</f>
        <v>-83.885691033797855</v>
      </c>
      <c r="CW86" s="60">
        <f t="shared" ref="CW86:CW87" si="901">+CV86</f>
        <v>-83.885691033797855</v>
      </c>
      <c r="CX86" s="60">
        <f t="shared" ref="CX86:CX87" si="902">+CW86</f>
        <v>-83.885691033797855</v>
      </c>
      <c r="CY86" s="60">
        <f t="shared" ref="CY86:CY87" si="903">+CX86</f>
        <v>-83.885691033797855</v>
      </c>
      <c r="CZ86" s="60">
        <f t="shared" ref="CZ86:CZ87" si="904">+CY86</f>
        <v>-83.885691033797855</v>
      </c>
      <c r="DA86" s="60">
        <f t="shared" ref="DA86:DA87" si="905">+CZ86</f>
        <v>-83.885691033797855</v>
      </c>
      <c r="DB86" s="60">
        <f t="shared" ref="DB86:DB87" si="906">+DA86</f>
        <v>-83.885691033797855</v>
      </c>
      <c r="DE86" s="136"/>
      <c r="DF86" s="13">
        <v>-121.57278179937953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 t="e">
        <f t="shared" si="910"/>
        <v>#DIV/0!</v>
      </c>
      <c r="BA87" s="13" t="e">
        <f t="shared" si="910"/>
        <v>#DIV/0!</v>
      </c>
      <c r="BB87" s="13" t="e">
        <f t="shared" si="910"/>
        <v>#DIV/0!</v>
      </c>
      <c r="BC87" s="13" t="e">
        <f t="shared" si="910"/>
        <v>#DIV/0!</v>
      </c>
      <c r="BD87" s="13" t="e">
        <f t="shared" si="910"/>
        <v>#DIV/0!</v>
      </c>
      <c r="BE87" s="13" t="e">
        <f t="shared" si="910"/>
        <v>#DIV/0!</v>
      </c>
      <c r="BF87" s="13" t="e">
        <f t="shared" si="910"/>
        <v>#DIV/0!</v>
      </c>
      <c r="BG87" s="13" t="e">
        <f t="shared" si="910"/>
        <v>#DIV/0!</v>
      </c>
      <c r="BH87" s="13" t="e">
        <f t="shared" si="910"/>
        <v>#DIV/0!</v>
      </c>
      <c r="BI87" s="13" t="e">
        <f t="shared" si="910"/>
        <v>#DIV/0!</v>
      </c>
      <c r="BJ87" s="13" t="e">
        <f t="shared" si="910"/>
        <v>#DIV/0!</v>
      </c>
      <c r="BK87" s="13" t="e">
        <f t="shared" si="910"/>
        <v>#DIV/0!</v>
      </c>
      <c r="BL87" s="13" t="e">
        <f t="shared" si="910"/>
        <v>#DIV/0!</v>
      </c>
      <c r="BM87" s="13" t="e">
        <f t="shared" si="910"/>
        <v>#DIV/0!</v>
      </c>
      <c r="BN87" s="13" t="e">
        <f t="shared" si="910"/>
        <v>#DIV/0!</v>
      </c>
      <c r="BO87" s="13" t="e">
        <f t="shared" si="910"/>
        <v>#DIV/0!</v>
      </c>
      <c r="BP87" s="13" t="e">
        <f t="shared" si="910"/>
        <v>#DIV/0!</v>
      </c>
      <c r="BQ87" s="13" t="e">
        <f t="shared" si="910"/>
        <v>#DIV/0!</v>
      </c>
      <c r="BR87" s="13" t="e">
        <f t="shared" ref="BR87:CH87" si="911">+BR79/BR69</f>
        <v>#DIV/0!</v>
      </c>
      <c r="BS87" s="13" t="e">
        <f t="shared" si="911"/>
        <v>#DIV/0!</v>
      </c>
      <c r="BT87" s="13" t="e">
        <f t="shared" si="911"/>
        <v>#DIV/0!</v>
      </c>
      <c r="BU87" s="13" t="e">
        <f t="shared" si="911"/>
        <v>#DIV/0!</v>
      </c>
      <c r="BV87" s="13" t="e">
        <f t="shared" si="911"/>
        <v>#DIV/0!</v>
      </c>
      <c r="BW87" s="13" t="e">
        <f t="shared" si="911"/>
        <v>#DIV/0!</v>
      </c>
      <c r="BX87" s="13" t="e">
        <f t="shared" si="911"/>
        <v>#DIV/0!</v>
      </c>
      <c r="BY87" s="13" t="e">
        <f t="shared" si="911"/>
        <v>#DIV/0!</v>
      </c>
      <c r="BZ87" s="13" t="e">
        <f t="shared" si="911"/>
        <v>#DIV/0!</v>
      </c>
      <c r="CA87" s="13" t="e">
        <f t="shared" si="911"/>
        <v>#DIV/0!</v>
      </c>
      <c r="CB87" s="13" t="e">
        <f t="shared" si="911"/>
        <v>#DIV/0!</v>
      </c>
      <c r="CC87" s="13" t="e">
        <f t="shared" si="911"/>
        <v>#DIV/0!</v>
      </c>
      <c r="CD87" s="13" t="e">
        <f t="shared" si="911"/>
        <v>#DIV/0!</v>
      </c>
      <c r="CE87" s="13" t="e">
        <f t="shared" si="911"/>
        <v>#DIV/0!</v>
      </c>
      <c r="CF87" s="13">
        <f t="shared" si="911"/>
        <v>0</v>
      </c>
      <c r="CG87" s="13">
        <f t="shared" si="911"/>
        <v>0</v>
      </c>
      <c r="CH87" s="13">
        <f t="shared" si="911"/>
        <v>0</v>
      </c>
      <c r="CI87" s="13">
        <f t="shared" ref="CI87:CJ87" si="912">+CI79/CI69</f>
        <v>0</v>
      </c>
      <c r="CJ87" s="13">
        <f t="shared" si="912"/>
        <v>0</v>
      </c>
      <c r="CK87" s="13">
        <f t="shared" ref="CK87:CL87" si="913">+CK79/CK69</f>
        <v>-208.6260916319649</v>
      </c>
      <c r="CL87" s="13">
        <f t="shared" si="913"/>
        <v>-57.959027114423982</v>
      </c>
      <c r="CM87" s="60">
        <f t="shared" si="891"/>
        <v>-57.959027114423982</v>
      </c>
      <c r="CN87" s="60">
        <f t="shared" si="892"/>
        <v>-57.959027114423982</v>
      </c>
      <c r="CO87" s="60">
        <f t="shared" si="893"/>
        <v>-57.959027114423982</v>
      </c>
      <c r="CP87" s="60">
        <f t="shared" si="894"/>
        <v>-57.959027114423982</v>
      </c>
      <c r="CQ87" s="60">
        <f t="shared" si="895"/>
        <v>-57.959027114423982</v>
      </c>
      <c r="CR87" s="60">
        <f t="shared" si="896"/>
        <v>-57.959027114423982</v>
      </c>
      <c r="CS87" s="60">
        <f t="shared" si="897"/>
        <v>-57.959027114423982</v>
      </c>
      <c r="CT87" s="60">
        <f t="shared" si="898"/>
        <v>-57.959027114423982</v>
      </c>
      <c r="CU87" s="60">
        <f t="shared" si="899"/>
        <v>-57.959027114423982</v>
      </c>
      <c r="CV87" s="60">
        <f t="shared" si="900"/>
        <v>-57.959027114423982</v>
      </c>
      <c r="CW87" s="60">
        <f t="shared" si="901"/>
        <v>-57.959027114423982</v>
      </c>
      <c r="CX87" s="60">
        <f t="shared" si="902"/>
        <v>-57.959027114423982</v>
      </c>
      <c r="CY87" s="60">
        <f t="shared" si="903"/>
        <v>-57.959027114423982</v>
      </c>
      <c r="CZ87" s="60">
        <f t="shared" si="904"/>
        <v>-57.959027114423982</v>
      </c>
      <c r="DA87" s="60">
        <f t="shared" si="905"/>
        <v>-57.959027114423982</v>
      </c>
      <c r="DB87" s="60">
        <f t="shared" si="906"/>
        <v>-57.959027114423982</v>
      </c>
      <c r="DE87" s="136"/>
      <c r="DF87" s="13">
        <v>0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 t="e">
        <f t="shared" si="916"/>
        <v>#DIV/0!</v>
      </c>
      <c r="AW89" s="13" t="e">
        <f t="shared" si="916"/>
        <v>#DIV/0!</v>
      </c>
      <c r="AX89" s="13" t="e">
        <f t="shared" si="916"/>
        <v>#DIV/0!</v>
      </c>
      <c r="AY89" s="13" t="e">
        <f t="shared" si="916"/>
        <v>#DIV/0!</v>
      </c>
      <c r="AZ89" s="13" t="e">
        <f t="shared" si="916"/>
        <v>#DIV/0!</v>
      </c>
      <c r="BA89" s="13" t="e">
        <f t="shared" si="916"/>
        <v>#DIV/0!</v>
      </c>
      <c r="BB89" s="13" t="e">
        <f t="shared" si="916"/>
        <v>#DIV/0!</v>
      </c>
      <c r="BC89" s="13" t="e">
        <f t="shared" si="916"/>
        <v>#DIV/0!</v>
      </c>
      <c r="BD89" s="13" t="e">
        <f t="shared" si="916"/>
        <v>#DIV/0!</v>
      </c>
      <c r="BE89" s="13" t="e">
        <f t="shared" si="916"/>
        <v>#DIV/0!</v>
      </c>
      <c r="BF89" s="13" t="e">
        <f t="shared" si="916"/>
        <v>#DIV/0!</v>
      </c>
      <c r="BG89" s="13" t="e">
        <f t="shared" si="916"/>
        <v>#DIV/0!</v>
      </c>
      <c r="BH89" s="13" t="e">
        <f t="shared" si="916"/>
        <v>#DIV/0!</v>
      </c>
      <c r="BI89" s="13" t="e">
        <f t="shared" si="916"/>
        <v>#DIV/0!</v>
      </c>
      <c r="BJ89" s="13" t="e">
        <f t="shared" si="916"/>
        <v>#DIV/0!</v>
      </c>
      <c r="BK89" s="13" t="e">
        <f t="shared" si="916"/>
        <v>#DIV/0!</v>
      </c>
      <c r="BL89" s="13" t="e">
        <f t="shared" si="916"/>
        <v>#DIV/0!</v>
      </c>
      <c r="BM89" s="13" t="e">
        <f t="shared" si="916"/>
        <v>#DIV/0!</v>
      </c>
      <c r="BN89" s="13" t="e">
        <f t="shared" si="916"/>
        <v>#DIV/0!</v>
      </c>
      <c r="BO89" s="13" t="e">
        <f t="shared" si="916"/>
        <v>#DIV/0!</v>
      </c>
      <c r="BP89" s="13" t="e">
        <f t="shared" si="916"/>
        <v>#DIV/0!</v>
      </c>
      <c r="BQ89" s="13" t="e">
        <f t="shared" si="916"/>
        <v>#DIV/0!</v>
      </c>
      <c r="BR89" s="13" t="e">
        <f t="shared" ref="BR89:CL89" si="917">+BR78/BV69</f>
        <v>#DIV/0!</v>
      </c>
      <c r="BS89" s="13" t="e">
        <f t="shared" si="917"/>
        <v>#DIV/0!</v>
      </c>
      <c r="BT89" s="13" t="e">
        <f t="shared" si="917"/>
        <v>#DIV/0!</v>
      </c>
      <c r="BU89" s="13" t="e">
        <f t="shared" si="917"/>
        <v>#DIV/0!</v>
      </c>
      <c r="BV89" s="13" t="e">
        <f t="shared" si="917"/>
        <v>#DIV/0!</v>
      </c>
      <c r="BW89" s="13" t="e">
        <f t="shared" si="917"/>
        <v>#DIV/0!</v>
      </c>
      <c r="BX89" s="13" t="e">
        <f t="shared" si="917"/>
        <v>#DIV/0!</v>
      </c>
      <c r="BY89" s="13" t="e">
        <f t="shared" si="917"/>
        <v>#DIV/0!</v>
      </c>
      <c r="BZ89" s="13" t="e">
        <f t="shared" si="917"/>
        <v>#DIV/0!</v>
      </c>
      <c r="CA89" s="13" t="e">
        <f t="shared" si="917"/>
        <v>#DIV/0!</v>
      </c>
      <c r="CB89" s="13">
        <f t="shared" si="917"/>
        <v>0</v>
      </c>
      <c r="CC89" s="13">
        <f t="shared" si="917"/>
        <v>0</v>
      </c>
      <c r="CD89" s="13">
        <f t="shared" si="917"/>
        <v>0</v>
      </c>
      <c r="CE89" s="13">
        <f t="shared" si="917"/>
        <v>0</v>
      </c>
      <c r="CF89" s="13">
        <f t="shared" si="917"/>
        <v>0</v>
      </c>
      <c r="CG89" s="13">
        <f t="shared" si="917"/>
        <v>0</v>
      </c>
      <c r="CH89" s="13">
        <f t="shared" si="917"/>
        <v>0</v>
      </c>
      <c r="CI89" s="13" t="e">
        <f t="shared" si="917"/>
        <v>#DIV/0!</v>
      </c>
      <c r="CJ89" s="13" t="e">
        <f t="shared" si="917"/>
        <v>#DIV/0!</v>
      </c>
      <c r="CK89" s="13" t="e">
        <f t="shared" si="917"/>
        <v>#DIV/0!</v>
      </c>
      <c r="CL89" s="13" t="e">
        <f t="shared" si="917"/>
        <v>#DIV/0!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 t="e">
        <f t="shared" si="918"/>
        <v>#DIV/0!</v>
      </c>
      <c r="BM90" s="175" t="e">
        <f t="shared" si="918"/>
        <v>#DIV/0!</v>
      </c>
      <c r="BN90" s="175" t="e">
        <f t="shared" si="918"/>
        <v>#DIV/0!</v>
      </c>
      <c r="BO90" s="175" t="e">
        <f t="shared" si="918"/>
        <v>#DIV/0!</v>
      </c>
      <c r="BP90" s="175" t="e">
        <f t="shared" si="918"/>
        <v>#DIV/0!</v>
      </c>
      <c r="BQ90" s="175" t="e">
        <f t="shared" si="918"/>
        <v>#DIV/0!</v>
      </c>
      <c r="BR90" s="175" t="e">
        <f t="shared" si="918"/>
        <v>#DIV/0!</v>
      </c>
      <c r="BS90" s="175" t="e">
        <f t="shared" si="918"/>
        <v>#DIV/0!</v>
      </c>
      <c r="BT90" s="175" t="e">
        <f t="shared" si="918"/>
        <v>#DIV/0!</v>
      </c>
      <c r="BU90" s="175" t="e">
        <f t="shared" si="918"/>
        <v>#DIV/0!</v>
      </c>
      <c r="BV90" s="175" t="e">
        <f t="shared" si="918"/>
        <v>#DIV/0!</v>
      </c>
      <c r="BW90" s="175" t="e">
        <f t="shared" si="918"/>
        <v>#DIV/0!</v>
      </c>
      <c r="BX90" s="175" t="e">
        <f t="shared" si="918"/>
        <v>#DIV/0!</v>
      </c>
      <c r="BY90" s="175" t="e">
        <f t="shared" si="918"/>
        <v>#DIV/0!</v>
      </c>
      <c r="BZ90" s="175" t="e">
        <f t="shared" si="918"/>
        <v>#DIV/0!</v>
      </c>
      <c r="CA90" s="175" t="e">
        <f t="shared" si="918"/>
        <v>#DIV/0!</v>
      </c>
      <c r="CB90" s="175" t="e">
        <f t="shared" si="918"/>
        <v>#DIV/0!</v>
      </c>
      <c r="CC90" s="175" t="e">
        <f t="shared" si="918"/>
        <v>#DIV/0!</v>
      </c>
      <c r="CD90" s="175" t="e">
        <f t="shared" si="918"/>
        <v>#DIV/0!</v>
      </c>
      <c r="CE90" s="175" t="e">
        <f t="shared" si="918"/>
        <v>#DIV/0!</v>
      </c>
      <c r="CF90" s="175" t="e">
        <f t="shared" si="918"/>
        <v>#DIV/0!</v>
      </c>
      <c r="CG90" s="175" t="e">
        <f t="shared" si="918"/>
        <v>#DIV/0!</v>
      </c>
      <c r="CH90" s="175" t="e">
        <f t="shared" si="918"/>
        <v>#DIV/0!</v>
      </c>
      <c r="CI90" s="175" t="e">
        <f t="shared" si="918"/>
        <v>#DIV/0!</v>
      </c>
      <c r="CJ90" s="175">
        <f>+CORREL(CG69:CJ69,CG86:CJ86)</f>
        <v>-0.99895262224758685</v>
      </c>
      <c r="CK90" s="175">
        <f>+CORREL(CH69:CK69,CH86:CK86)</f>
        <v>0.82315053256055093</v>
      </c>
      <c r="CL90" s="175">
        <f>+CORREL(CI69:CL69,CI86:CL86)</f>
        <v>0.6072974189013699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0</v>
      </c>
      <c r="BH92" s="162">
        <f t="shared" si="920"/>
        <v>0</v>
      </c>
      <c r="BI92" s="162">
        <f t="shared" si="920"/>
        <v>0</v>
      </c>
      <c r="BJ92" s="162">
        <f t="shared" si="920"/>
        <v>0</v>
      </c>
      <c r="BK92" s="162">
        <f t="shared" si="920"/>
        <v>0</v>
      </c>
      <c r="BL92" s="162">
        <f t="shared" si="920"/>
        <v>0</v>
      </c>
      <c r="BM92" s="162">
        <f t="shared" si="920"/>
        <v>0</v>
      </c>
      <c r="BN92" s="162">
        <f t="shared" si="920"/>
        <v>0</v>
      </c>
      <c r="BO92" s="162">
        <f t="shared" si="920"/>
        <v>0</v>
      </c>
      <c r="BP92" s="162">
        <f t="shared" si="920"/>
        <v>0</v>
      </c>
      <c r="BQ92" s="162">
        <f t="shared" si="920"/>
        <v>0</v>
      </c>
      <c r="BR92" s="162">
        <f t="shared" ref="BR92:DB92" si="921">+BR$120/BR$65</f>
        <v>0</v>
      </c>
      <c r="BS92" s="162">
        <f t="shared" si="921"/>
        <v>0</v>
      </c>
      <c r="BT92" s="162">
        <f t="shared" si="921"/>
        <v>0</v>
      </c>
      <c r="BU92" s="162">
        <f t="shared" si="921"/>
        <v>0</v>
      </c>
      <c r="BV92" s="162">
        <f t="shared" si="921"/>
        <v>0</v>
      </c>
      <c r="BW92" s="162">
        <f t="shared" si="921"/>
        <v>0</v>
      </c>
      <c r="BX92" s="162">
        <f t="shared" si="921"/>
        <v>0</v>
      </c>
      <c r="BY92" s="162">
        <f t="shared" si="921"/>
        <v>0</v>
      </c>
      <c r="BZ92" s="162">
        <f t="shared" si="921"/>
        <v>0</v>
      </c>
      <c r="CA92" s="162">
        <f t="shared" si="921"/>
        <v>0</v>
      </c>
      <c r="CB92" s="162">
        <f t="shared" si="921"/>
        <v>0</v>
      </c>
      <c r="CC92" s="162">
        <f t="shared" si="921"/>
        <v>0</v>
      </c>
      <c r="CD92" s="162">
        <f t="shared" si="921"/>
        <v>0</v>
      </c>
      <c r="CE92" s="162">
        <f t="shared" si="921"/>
        <v>0</v>
      </c>
      <c r="CF92" s="162">
        <f t="shared" si="921"/>
        <v>0</v>
      </c>
      <c r="CG92" s="162">
        <f t="shared" si="921"/>
        <v>1.614597116790863</v>
      </c>
      <c r="CH92" s="162">
        <f t="shared" si="921"/>
        <v>12.506581238247788</v>
      </c>
      <c r="CI92" s="162">
        <f t="shared" si="921"/>
        <v>12.506581238247788</v>
      </c>
      <c r="CJ92" s="162">
        <f t="shared" si="921"/>
        <v>15.774705759454001</v>
      </c>
      <c r="CK92" s="162">
        <f t="shared" si="921"/>
        <v>15.516423483853121</v>
      </c>
      <c r="CL92" s="162">
        <f t="shared" si="921"/>
        <v>14.660032827246612</v>
      </c>
      <c r="CM92" s="21" t="e">
        <f t="shared" si="921"/>
        <v>#DIV/0!</v>
      </c>
      <c r="CN92" s="21" t="e">
        <f t="shared" si="921"/>
        <v>#DIV/0!</v>
      </c>
      <c r="CO92" s="21" t="e">
        <f t="shared" si="921"/>
        <v>#DIV/0!</v>
      </c>
      <c r="CP92" s="21" t="e">
        <f t="shared" si="921"/>
        <v>#DIV/0!</v>
      </c>
      <c r="CQ92" s="21" t="e">
        <f t="shared" si="921"/>
        <v>#DIV/0!</v>
      </c>
      <c r="CR92" s="21" t="e">
        <f t="shared" si="921"/>
        <v>#DIV/0!</v>
      </c>
      <c r="CS92" s="21" t="e">
        <f t="shared" si="921"/>
        <v>#DIV/0!</v>
      </c>
      <c r="CT92" s="21" t="e">
        <f t="shared" si="921"/>
        <v>#DIV/0!</v>
      </c>
      <c r="CU92" s="21" t="e">
        <f t="shared" si="921"/>
        <v>#DIV/0!</v>
      </c>
      <c r="CV92" s="21" t="e">
        <f t="shared" si="921"/>
        <v>#DIV/0!</v>
      </c>
      <c r="CW92" s="21" t="e">
        <f t="shared" si="921"/>
        <v>#DIV/0!</v>
      </c>
      <c r="CX92" s="21" t="e">
        <f t="shared" si="921"/>
        <v>#DIV/0!</v>
      </c>
      <c r="CY92" s="21" t="e">
        <f t="shared" si="921"/>
        <v>#DIV/0!</v>
      </c>
      <c r="CZ92" s="21" t="e">
        <f t="shared" si="921"/>
        <v>#DIV/0!</v>
      </c>
      <c r="DA92" s="21" t="e">
        <f t="shared" si="921"/>
        <v>#DIV/0!</v>
      </c>
      <c r="DB92" s="21" t="e">
        <f t="shared" si="921"/>
        <v>#DIV/0!</v>
      </c>
      <c r="DE92" s="22"/>
      <c r="DF92" s="162">
        <v>14.660032827246612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 t="e">
        <f t="shared" si="924"/>
        <v>#DIV/0!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 t="e">
        <f t="shared" si="924"/>
        <v>#DIV/0!</v>
      </c>
      <c r="BH94" s="162" t="e">
        <f t="shared" si="924"/>
        <v>#DIV/0!</v>
      </c>
      <c r="BI94" s="162" t="e">
        <f t="shared" si="924"/>
        <v>#DIV/0!</v>
      </c>
      <c r="BJ94" s="162" t="e">
        <f t="shared" si="924"/>
        <v>#DIV/0!</v>
      </c>
      <c r="BK94" s="162" t="e">
        <f t="shared" si="924"/>
        <v>#DIV/0!</v>
      </c>
      <c r="BL94" s="162" t="e">
        <f t="shared" si="924"/>
        <v>#DIV/0!</v>
      </c>
      <c r="BM94" s="162" t="e">
        <f t="shared" si="924"/>
        <v>#DIV/0!</v>
      </c>
      <c r="BN94" s="162" t="e">
        <f t="shared" si="924"/>
        <v>#DIV/0!</v>
      </c>
      <c r="BO94" s="162" t="e">
        <f t="shared" si="924"/>
        <v>#DIV/0!</v>
      </c>
      <c r="BP94" s="162" t="e">
        <f t="shared" si="924"/>
        <v>#DIV/0!</v>
      </c>
      <c r="BQ94" s="162" t="e">
        <f t="shared" si="924"/>
        <v>#DIV/0!</v>
      </c>
      <c r="BR94" s="162" t="e">
        <f t="shared" si="924"/>
        <v>#DIV/0!</v>
      </c>
      <c r="BS94" s="162" t="e">
        <f t="shared" si="924"/>
        <v>#DIV/0!</v>
      </c>
      <c r="BT94" s="162" t="e">
        <f t="shared" si="924"/>
        <v>#DIV/0!</v>
      </c>
      <c r="BU94" s="162" t="e">
        <f t="shared" si="924"/>
        <v>#DIV/0!</v>
      </c>
      <c r="BV94" s="162" t="e">
        <f t="shared" si="924"/>
        <v>#DIV/0!</v>
      </c>
      <c r="BW94" s="162" t="e">
        <f t="shared" si="924"/>
        <v>#DIV/0!</v>
      </c>
      <c r="BX94" s="162" t="e">
        <f t="shared" si="924"/>
        <v>#DIV/0!</v>
      </c>
      <c r="BY94" s="162" t="e">
        <f t="shared" si="924"/>
        <v>#DIV/0!</v>
      </c>
      <c r="BZ94" s="162" t="e">
        <f t="shared" si="924"/>
        <v>#DIV/0!</v>
      </c>
      <c r="CA94" s="162" t="e">
        <f t="shared" si="924"/>
        <v>#DIV/0!</v>
      </c>
      <c r="CB94" s="162" t="e">
        <f t="shared" si="924"/>
        <v>#DIV/0!</v>
      </c>
      <c r="CC94" s="162" t="e">
        <f t="shared" si="924"/>
        <v>#DIV/0!</v>
      </c>
      <c r="CD94" s="162" t="e">
        <f t="shared" si="924"/>
        <v>#DIV/0!</v>
      </c>
      <c r="CE94" s="162" t="e">
        <f t="shared" si="924"/>
        <v>#DIV/0!</v>
      </c>
      <c r="CF94" s="162" t="e">
        <f t="shared" si="924"/>
        <v>#DIV/0!</v>
      </c>
      <c r="CG94" s="162">
        <f t="shared" si="924"/>
        <v>0</v>
      </c>
      <c r="CH94" s="162">
        <f t="shared" si="924"/>
        <v>0</v>
      </c>
      <c r="CI94" s="162">
        <f t="shared" si="924"/>
        <v>0</v>
      </c>
      <c r="CJ94" s="162">
        <f>+CJ77/CJ$92</f>
        <v>10.618264616417008</v>
      </c>
      <c r="CK94" s="162">
        <f>+CK77/CK$92</f>
        <v>8.6005644366997505</v>
      </c>
      <c r="CL94" s="162">
        <f>+CL77/CL$92</f>
        <v>8.0832015450715868</v>
      </c>
      <c r="CM94" s="21" t="e">
        <f t="shared" ref="CM94:DB94" si="925">+CM77/CM$92</f>
        <v>#DIV/0!</v>
      </c>
      <c r="CN94" s="21" t="e">
        <f t="shared" si="925"/>
        <v>#DIV/0!</v>
      </c>
      <c r="CO94" s="21" t="e">
        <f t="shared" si="925"/>
        <v>#DIV/0!</v>
      </c>
      <c r="CP94" s="21" t="e">
        <f t="shared" si="925"/>
        <v>#DIV/0!</v>
      </c>
      <c r="CQ94" s="21" t="e">
        <f t="shared" si="925"/>
        <v>#DIV/0!</v>
      </c>
      <c r="CR94" s="21" t="e">
        <f t="shared" si="925"/>
        <v>#DIV/0!</v>
      </c>
      <c r="CS94" s="21" t="e">
        <f t="shared" si="925"/>
        <v>#DIV/0!</v>
      </c>
      <c r="CT94" s="21" t="e">
        <f t="shared" si="925"/>
        <v>#DIV/0!</v>
      </c>
      <c r="CU94" s="21" t="e">
        <f t="shared" si="925"/>
        <v>#DIV/0!</v>
      </c>
      <c r="CV94" s="21" t="e">
        <f t="shared" si="925"/>
        <v>#DIV/0!</v>
      </c>
      <c r="CW94" s="21" t="e">
        <f t="shared" si="925"/>
        <v>#DIV/0!</v>
      </c>
      <c r="CX94" s="21" t="e">
        <f t="shared" si="925"/>
        <v>#DIV/0!</v>
      </c>
      <c r="CY94" s="21" t="e">
        <f t="shared" si="925"/>
        <v>#DIV/0!</v>
      </c>
      <c r="CZ94" s="21" t="e">
        <f t="shared" si="925"/>
        <v>#DIV/0!</v>
      </c>
      <c r="DA94" s="21" t="e">
        <f t="shared" si="925"/>
        <v>#DIV/0!</v>
      </c>
      <c r="DB94" s="21" t="e">
        <f t="shared" si="925"/>
        <v>#DIV/0!</v>
      </c>
      <c r="DE94" s="22"/>
      <c r="DF94" s="162">
        <v>8.0832015450715868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 t="e">
        <f t="shared" si="924"/>
        <v>#DIV/0!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 t="e">
        <f t="shared" si="924"/>
        <v>#DIV/0!</v>
      </c>
      <c r="BH95" s="162" t="e">
        <f t="shared" si="924"/>
        <v>#DIV/0!</v>
      </c>
      <c r="BI95" s="162" t="e">
        <f t="shared" si="924"/>
        <v>#DIV/0!</v>
      </c>
      <c r="BJ95" s="162" t="e">
        <f t="shared" si="924"/>
        <v>#DIV/0!</v>
      </c>
      <c r="BK95" s="162" t="e">
        <f t="shared" si="924"/>
        <v>#DIV/0!</v>
      </c>
      <c r="BL95" s="162" t="e">
        <f t="shared" si="924"/>
        <v>#DIV/0!</v>
      </c>
      <c r="BM95" s="162" t="e">
        <f t="shared" si="924"/>
        <v>#DIV/0!</v>
      </c>
      <c r="BN95" s="162" t="e">
        <f t="shared" si="924"/>
        <v>#DIV/0!</v>
      </c>
      <c r="BO95" s="162" t="e">
        <f t="shared" si="924"/>
        <v>#DIV/0!</v>
      </c>
      <c r="BP95" s="162" t="e">
        <f t="shared" si="924"/>
        <v>#DIV/0!</v>
      </c>
      <c r="BQ95" s="162" t="e">
        <f t="shared" si="924"/>
        <v>#DIV/0!</v>
      </c>
      <c r="BR95" s="162" t="e">
        <f t="shared" si="924"/>
        <v>#DIV/0!</v>
      </c>
      <c r="BS95" s="162" t="e">
        <f t="shared" si="924"/>
        <v>#DIV/0!</v>
      </c>
      <c r="BT95" s="162" t="e">
        <f t="shared" si="924"/>
        <v>#DIV/0!</v>
      </c>
      <c r="BU95" s="162" t="e">
        <f t="shared" si="924"/>
        <v>#DIV/0!</v>
      </c>
      <c r="BV95" s="162" t="e">
        <f t="shared" si="924"/>
        <v>#DIV/0!</v>
      </c>
      <c r="BW95" s="162" t="e">
        <f t="shared" si="924"/>
        <v>#DIV/0!</v>
      </c>
      <c r="BX95" s="162" t="e">
        <f t="shared" si="924"/>
        <v>#DIV/0!</v>
      </c>
      <c r="BY95" s="162" t="e">
        <f t="shared" si="924"/>
        <v>#DIV/0!</v>
      </c>
      <c r="BZ95" s="162" t="e">
        <f t="shared" si="924"/>
        <v>#DIV/0!</v>
      </c>
      <c r="CA95" s="162" t="e">
        <f t="shared" si="924"/>
        <v>#DIV/0!</v>
      </c>
      <c r="CB95" s="162" t="e">
        <f t="shared" si="924"/>
        <v>#DIV/0!</v>
      </c>
      <c r="CC95" s="162" t="e">
        <f t="shared" si="924"/>
        <v>#DIV/0!</v>
      </c>
      <c r="CD95" s="162" t="e">
        <f t="shared" si="924"/>
        <v>#DIV/0!</v>
      </c>
      <c r="CE95" s="162" t="e">
        <f t="shared" si="924"/>
        <v>#DIV/0!</v>
      </c>
      <c r="CF95" s="162" t="e">
        <f t="shared" si="924"/>
        <v>#DIV/0!</v>
      </c>
      <c r="CG95" s="162">
        <f t="shared" si="924"/>
        <v>0</v>
      </c>
      <c r="CH95" s="162">
        <f t="shared" si="924"/>
        <v>0</v>
      </c>
      <c r="CI95" s="162">
        <f t="shared" si="924"/>
        <v>0</v>
      </c>
      <c r="CJ95" s="162">
        <f t="shared" ref="CJ95:CK96" si="927">+CJ78/CJ$92</f>
        <v>12.74191753970041</v>
      </c>
      <c r="CK95" s="162">
        <f t="shared" si="927"/>
        <v>11.310596168158908</v>
      </c>
      <c r="CL95" s="162">
        <f t="shared" ref="CL95" si="928">+CL78/CL$92</f>
        <v>9.51225700810323</v>
      </c>
      <c r="CM95" s="94">
        <f t="shared" ref="CM95:DB95" si="929">+CL95</f>
        <v>9.51225700810323</v>
      </c>
      <c r="CN95" s="94">
        <f t="shared" si="929"/>
        <v>9.51225700810323</v>
      </c>
      <c r="CO95" s="94">
        <f t="shared" si="929"/>
        <v>9.51225700810323</v>
      </c>
      <c r="CP95" s="94">
        <f t="shared" si="929"/>
        <v>9.51225700810323</v>
      </c>
      <c r="CQ95" s="94">
        <f t="shared" si="929"/>
        <v>9.51225700810323</v>
      </c>
      <c r="CR95" s="94">
        <f t="shared" si="929"/>
        <v>9.51225700810323</v>
      </c>
      <c r="CS95" s="94">
        <f t="shared" si="929"/>
        <v>9.51225700810323</v>
      </c>
      <c r="CT95" s="94">
        <f t="shared" si="929"/>
        <v>9.51225700810323</v>
      </c>
      <c r="CU95" s="94">
        <f t="shared" si="929"/>
        <v>9.51225700810323</v>
      </c>
      <c r="CV95" s="94">
        <f t="shared" si="929"/>
        <v>9.51225700810323</v>
      </c>
      <c r="CW95" s="94">
        <f t="shared" si="929"/>
        <v>9.51225700810323</v>
      </c>
      <c r="CX95" s="94">
        <f t="shared" si="929"/>
        <v>9.51225700810323</v>
      </c>
      <c r="CY95" s="94">
        <f t="shared" si="929"/>
        <v>9.51225700810323</v>
      </c>
      <c r="CZ95" s="94">
        <f t="shared" si="929"/>
        <v>9.51225700810323</v>
      </c>
      <c r="DA95" s="94">
        <f t="shared" si="929"/>
        <v>9.51225700810323</v>
      </c>
      <c r="DB95" s="94">
        <f t="shared" si="929"/>
        <v>9.51225700810323</v>
      </c>
      <c r="DC95" s="94"/>
      <c r="DE95" s="22"/>
      <c r="DF95" s="162">
        <v>13.710746924551806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 t="e">
        <f t="shared" si="924"/>
        <v>#DIV/0!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 t="e">
        <f t="shared" si="924"/>
        <v>#DIV/0!</v>
      </c>
      <c r="BH96" s="162" t="e">
        <f t="shared" si="924"/>
        <v>#DIV/0!</v>
      </c>
      <c r="BI96" s="162" t="e">
        <f t="shared" si="924"/>
        <v>#DIV/0!</v>
      </c>
      <c r="BJ96" s="162" t="e">
        <f t="shared" si="924"/>
        <v>#DIV/0!</v>
      </c>
      <c r="BK96" s="162" t="e">
        <f t="shared" si="924"/>
        <v>#DIV/0!</v>
      </c>
      <c r="BL96" s="162" t="e">
        <f t="shared" si="924"/>
        <v>#DIV/0!</v>
      </c>
      <c r="BM96" s="162" t="e">
        <f t="shared" si="924"/>
        <v>#DIV/0!</v>
      </c>
      <c r="BN96" s="162" t="e">
        <f t="shared" si="924"/>
        <v>#DIV/0!</v>
      </c>
      <c r="BO96" s="162" t="e">
        <f t="shared" si="924"/>
        <v>#DIV/0!</v>
      </c>
      <c r="BP96" s="162" t="e">
        <f t="shared" si="924"/>
        <v>#DIV/0!</v>
      </c>
      <c r="BQ96" s="162" t="e">
        <f t="shared" si="924"/>
        <v>#DIV/0!</v>
      </c>
      <c r="BR96" s="162" t="e">
        <f t="shared" si="924"/>
        <v>#DIV/0!</v>
      </c>
      <c r="BS96" s="162" t="e">
        <f t="shared" si="924"/>
        <v>#DIV/0!</v>
      </c>
      <c r="BT96" s="162" t="e">
        <f t="shared" si="924"/>
        <v>#DIV/0!</v>
      </c>
      <c r="BU96" s="162" t="e">
        <f t="shared" si="924"/>
        <v>#DIV/0!</v>
      </c>
      <c r="BV96" s="162" t="e">
        <f t="shared" si="924"/>
        <v>#DIV/0!</v>
      </c>
      <c r="BW96" s="162" t="e">
        <f t="shared" si="924"/>
        <v>#DIV/0!</v>
      </c>
      <c r="BX96" s="162" t="e">
        <f t="shared" si="924"/>
        <v>#DIV/0!</v>
      </c>
      <c r="BY96" s="162" t="e">
        <f t="shared" si="924"/>
        <v>#DIV/0!</v>
      </c>
      <c r="BZ96" s="162" t="e">
        <f t="shared" si="924"/>
        <v>#DIV/0!</v>
      </c>
      <c r="CA96" s="162" t="e">
        <f t="shared" si="924"/>
        <v>#DIV/0!</v>
      </c>
      <c r="CB96" s="162" t="e">
        <f t="shared" si="924"/>
        <v>#DIV/0!</v>
      </c>
      <c r="CC96" s="162" t="e">
        <f t="shared" si="924"/>
        <v>#DIV/0!</v>
      </c>
      <c r="CD96" s="162" t="e">
        <f t="shared" si="924"/>
        <v>#DIV/0!</v>
      </c>
      <c r="CE96" s="162" t="e">
        <f t="shared" si="924"/>
        <v>#DIV/0!</v>
      </c>
      <c r="CF96" s="162" t="e">
        <f t="shared" si="924"/>
        <v>#DIV/0!</v>
      </c>
      <c r="CG96" s="162">
        <f t="shared" si="924"/>
        <v>0</v>
      </c>
      <c r="CH96" s="162">
        <f t="shared" si="924"/>
        <v>0</v>
      </c>
      <c r="CI96" s="162">
        <f t="shared" si="924"/>
        <v>0</v>
      </c>
      <c r="CJ96" s="162">
        <f t="shared" si="927"/>
        <v>0</v>
      </c>
      <c r="CK96" s="162">
        <f t="shared" si="927"/>
        <v>7.798188811095315</v>
      </c>
      <c r="CL96" s="162">
        <f t="shared" ref="CL96" si="931">+CL79/CL$92</f>
        <v>6.5722908765202313</v>
      </c>
      <c r="CM96" s="94">
        <f t="shared" ref="CM96:DB96" si="932">+CL96</f>
        <v>6.5722908765202313</v>
      </c>
      <c r="CN96" s="94">
        <f t="shared" si="932"/>
        <v>6.5722908765202313</v>
      </c>
      <c r="CO96" s="94">
        <f t="shared" si="932"/>
        <v>6.5722908765202313</v>
      </c>
      <c r="CP96" s="94">
        <f t="shared" si="932"/>
        <v>6.5722908765202313</v>
      </c>
      <c r="CQ96" s="94">
        <f t="shared" si="932"/>
        <v>6.5722908765202313</v>
      </c>
      <c r="CR96" s="94">
        <f t="shared" si="932"/>
        <v>6.5722908765202313</v>
      </c>
      <c r="CS96" s="94">
        <f t="shared" si="932"/>
        <v>6.5722908765202313</v>
      </c>
      <c r="CT96" s="94">
        <f t="shared" si="932"/>
        <v>6.5722908765202313</v>
      </c>
      <c r="CU96" s="94">
        <f t="shared" si="932"/>
        <v>6.5722908765202313</v>
      </c>
      <c r="CV96" s="94">
        <f t="shared" si="932"/>
        <v>6.5722908765202313</v>
      </c>
      <c r="CW96" s="94">
        <f t="shared" si="932"/>
        <v>6.5722908765202313</v>
      </c>
      <c r="CX96" s="94">
        <f t="shared" si="932"/>
        <v>6.5722908765202313</v>
      </c>
      <c r="CY96" s="94">
        <f t="shared" si="932"/>
        <v>6.5722908765202313</v>
      </c>
      <c r="CZ96" s="94">
        <f t="shared" si="932"/>
        <v>6.5722908765202313</v>
      </c>
      <c r="DA96" s="94">
        <f t="shared" si="932"/>
        <v>6.5722908765202313</v>
      </c>
      <c r="DB96" s="94">
        <f t="shared" si="932"/>
        <v>6.5722908765202313</v>
      </c>
      <c r="DC96" s="94"/>
      <c r="DE96" s="22"/>
      <c r="DF96" s="162">
        <v>0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0</v>
      </c>
      <c r="L98" s="177">
        <f t="shared" si="933"/>
        <v>0</v>
      </c>
      <c r="M98" s="177">
        <f t="shared" si="933"/>
        <v>0</v>
      </c>
      <c r="N98" s="177">
        <f t="shared" si="933"/>
        <v>0</v>
      </c>
      <c r="O98" s="177">
        <f t="shared" si="933"/>
        <v>0</v>
      </c>
      <c r="P98" s="177">
        <f t="shared" si="933"/>
        <v>0</v>
      </c>
      <c r="Q98" s="177">
        <f t="shared" si="933"/>
        <v>0</v>
      </c>
      <c r="R98" s="177">
        <f t="shared" si="933"/>
        <v>0</v>
      </c>
      <c r="S98" s="177">
        <f t="shared" si="933"/>
        <v>0</v>
      </c>
      <c r="T98" s="177">
        <f t="shared" si="933"/>
        <v>0</v>
      </c>
      <c r="U98" s="177">
        <f t="shared" si="933"/>
        <v>0</v>
      </c>
      <c r="V98" s="177">
        <f t="shared" si="933"/>
        <v>0</v>
      </c>
      <c r="W98" s="177">
        <f t="shared" si="933"/>
        <v>437.57499999999999</v>
      </c>
      <c r="X98" s="177">
        <f t="shared" si="933"/>
        <v>636.59699999999998</v>
      </c>
      <c r="Y98" s="177">
        <f t="shared" si="933"/>
        <v>828.01800000000003</v>
      </c>
      <c r="Z98" s="177">
        <f>+Z10</f>
        <v>1144.47</v>
      </c>
      <c r="AA98" s="177">
        <f>+AA10</f>
        <v>1555.54</v>
      </c>
      <c r="AB98" s="178" t="e">
        <f t="shared" ref="AA98:AE98" si="934">+AB10</f>
        <v>#DIV/0!</v>
      </c>
      <c r="AC98" s="178" t="e">
        <f t="shared" si="934"/>
        <v>#DIV/0!</v>
      </c>
      <c r="AD98" s="178" t="e">
        <f t="shared" si="934"/>
        <v>#DIV/0!</v>
      </c>
      <c r="AE98" s="178" t="e">
        <f t="shared" si="934"/>
        <v>#DIV/0!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0</v>
      </c>
      <c r="BA98" s="177">
        <f t="shared" si="935"/>
        <v>0</v>
      </c>
      <c r="BB98" s="177">
        <f t="shared" si="935"/>
        <v>0</v>
      </c>
      <c r="BC98" s="177">
        <f t="shared" si="935"/>
        <v>0</v>
      </c>
      <c r="BD98" s="177">
        <f t="shared" si="935"/>
        <v>0</v>
      </c>
      <c r="BE98" s="177">
        <f t="shared" si="935"/>
        <v>0</v>
      </c>
      <c r="BF98" s="177">
        <f t="shared" si="935"/>
        <v>0</v>
      </c>
      <c r="BG98" s="177">
        <f t="shared" si="935"/>
        <v>0</v>
      </c>
      <c r="BH98" s="177">
        <f t="shared" si="935"/>
        <v>0</v>
      </c>
      <c r="BI98" s="177">
        <f t="shared" si="935"/>
        <v>0</v>
      </c>
      <c r="BJ98" s="177">
        <f t="shared" si="935"/>
        <v>0</v>
      </c>
      <c r="BK98" s="177">
        <f t="shared" si="935"/>
        <v>0</v>
      </c>
      <c r="BL98" s="177">
        <f t="shared" si="935"/>
        <v>0</v>
      </c>
      <c r="BM98" s="177">
        <f t="shared" si="935"/>
        <v>0</v>
      </c>
      <c r="BN98" s="177">
        <f t="shared" si="935"/>
        <v>0</v>
      </c>
      <c r="BO98" s="177">
        <f t="shared" si="935"/>
        <v>0</v>
      </c>
      <c r="BP98" s="177">
        <f t="shared" si="935"/>
        <v>0</v>
      </c>
      <c r="BQ98" s="177">
        <f t="shared" si="935"/>
        <v>0</v>
      </c>
      <c r="BR98" s="177">
        <f t="shared" ref="BR98:CW98" si="936">+SUM(BO8:BR8)</f>
        <v>0</v>
      </c>
      <c r="BS98" s="177">
        <f t="shared" si="936"/>
        <v>0</v>
      </c>
      <c r="BT98" s="177">
        <f t="shared" si="936"/>
        <v>0</v>
      </c>
      <c r="BU98" s="177">
        <f t="shared" si="936"/>
        <v>0</v>
      </c>
      <c r="BV98" s="177">
        <f t="shared" si="936"/>
        <v>0</v>
      </c>
      <c r="BW98" s="177">
        <f t="shared" si="936"/>
        <v>0</v>
      </c>
      <c r="BX98" s="177">
        <f t="shared" si="936"/>
        <v>0</v>
      </c>
      <c r="BY98" s="177">
        <f t="shared" si="936"/>
        <v>0</v>
      </c>
      <c r="BZ98" s="177">
        <f t="shared" si="936"/>
        <v>0</v>
      </c>
      <c r="CA98" s="177">
        <f t="shared" si="936"/>
        <v>0</v>
      </c>
      <c r="CB98" s="177">
        <f t="shared" si="936"/>
        <v>0</v>
      </c>
      <c r="CC98" s="177">
        <f t="shared" si="936"/>
        <v>0</v>
      </c>
      <c r="CD98" s="177">
        <f t="shared" si="936"/>
        <v>0</v>
      </c>
      <c r="CE98" s="177">
        <f t="shared" si="936"/>
        <v>0</v>
      </c>
      <c r="CF98" s="177">
        <f t="shared" si="936"/>
        <v>277.24</v>
      </c>
      <c r="CG98" s="177">
        <f t="shared" si="936"/>
        <v>565.16000000000008</v>
      </c>
      <c r="CH98" s="177">
        <f t="shared" si="936"/>
        <v>863.61000000000013</v>
      </c>
      <c r="CI98" s="177">
        <f t="shared" si="936"/>
        <v>863.61000000000013</v>
      </c>
      <c r="CJ98" s="177">
        <f t="shared" si="936"/>
        <v>966.4</v>
      </c>
      <c r="CK98" s="177">
        <f t="shared" si="936"/>
        <v>1061.1600000000001</v>
      </c>
      <c r="CL98" s="177">
        <f t="shared" si="936"/>
        <v>1188.27</v>
      </c>
      <c r="CM98" s="178" t="e">
        <f t="shared" si="936"/>
        <v>#DIV/0!</v>
      </c>
      <c r="CN98" s="178" t="e">
        <f t="shared" si="936"/>
        <v>#DIV/0!</v>
      </c>
      <c r="CO98" s="178" t="e">
        <f t="shared" si="936"/>
        <v>#DIV/0!</v>
      </c>
      <c r="CP98" s="178" t="e">
        <f t="shared" si="936"/>
        <v>#DIV/0!</v>
      </c>
      <c r="CQ98" s="178" t="e">
        <f t="shared" si="936"/>
        <v>#DIV/0!</v>
      </c>
      <c r="CR98" s="178" t="e">
        <f t="shared" si="936"/>
        <v>#DIV/0!</v>
      </c>
      <c r="CS98" s="178" t="e">
        <f t="shared" si="936"/>
        <v>#DIV/0!</v>
      </c>
      <c r="CT98" s="178" t="e">
        <f t="shared" si="936"/>
        <v>#DIV/0!</v>
      </c>
      <c r="CU98" s="178" t="e">
        <f t="shared" si="936"/>
        <v>#DIV/0!</v>
      </c>
      <c r="CV98" s="178" t="e">
        <f t="shared" si="936"/>
        <v>#DIV/0!</v>
      </c>
      <c r="CW98" s="178" t="e">
        <f t="shared" si="936"/>
        <v>#DIV/0!</v>
      </c>
      <c r="CX98" s="178" t="e">
        <f t="shared" ref="CX98:DB98" si="937">+SUM(CU8:CX8)</f>
        <v>#DIV/0!</v>
      </c>
      <c r="CY98" s="178" t="e">
        <f t="shared" si="937"/>
        <v>#DIV/0!</v>
      </c>
      <c r="CZ98" s="178" t="e">
        <f t="shared" si="937"/>
        <v>#DIV/0!</v>
      </c>
      <c r="DA98" s="178" t="e">
        <f t="shared" si="937"/>
        <v>#DIV/0!</v>
      </c>
      <c r="DB98" s="178" t="e">
        <f t="shared" si="937"/>
        <v>#DIV/0!</v>
      </c>
      <c r="DE98" s="179"/>
      <c r="DF98" s="177">
        <v>1188.27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0</v>
      </c>
      <c r="BA99" s="163">
        <f t="shared" si="940"/>
        <v>0</v>
      </c>
      <c r="BB99" s="163">
        <f t="shared" si="940"/>
        <v>0</v>
      </c>
      <c r="BC99" s="163">
        <f t="shared" si="940"/>
        <v>0</v>
      </c>
      <c r="BD99" s="163">
        <f t="shared" si="940"/>
        <v>0</v>
      </c>
      <c r="BE99" s="163">
        <f t="shared" si="940"/>
        <v>0</v>
      </c>
      <c r="BF99" s="163">
        <f t="shared" si="940"/>
        <v>0</v>
      </c>
      <c r="BG99" s="163">
        <f t="shared" si="940"/>
        <v>0</v>
      </c>
      <c r="BH99" s="163">
        <f t="shared" si="940"/>
        <v>0</v>
      </c>
      <c r="BI99" s="163">
        <f t="shared" si="940"/>
        <v>0</v>
      </c>
      <c r="BJ99" s="163">
        <f t="shared" si="940"/>
        <v>0</v>
      </c>
      <c r="BK99" s="163">
        <f t="shared" si="940"/>
        <v>0</v>
      </c>
      <c r="BL99" s="163">
        <f t="shared" si="940"/>
        <v>0</v>
      </c>
      <c r="BM99" s="163">
        <f t="shared" si="940"/>
        <v>0</v>
      </c>
      <c r="BN99" s="163">
        <f t="shared" si="940"/>
        <v>0</v>
      </c>
      <c r="BO99" s="163">
        <f t="shared" si="940"/>
        <v>0</v>
      </c>
      <c r="BP99" s="163">
        <f t="shared" si="940"/>
        <v>0</v>
      </c>
      <c r="BQ99" s="163">
        <f t="shared" si="940"/>
        <v>0</v>
      </c>
      <c r="BR99" s="163">
        <f t="shared" ref="BR99:CW99" si="941">+BR98/BR65</f>
        <v>0</v>
      </c>
      <c r="BS99" s="163">
        <f t="shared" si="941"/>
        <v>0</v>
      </c>
      <c r="BT99" s="163">
        <f t="shared" si="941"/>
        <v>0</v>
      </c>
      <c r="BU99" s="163">
        <f t="shared" si="941"/>
        <v>0</v>
      </c>
      <c r="BV99" s="163">
        <f t="shared" si="941"/>
        <v>0</v>
      </c>
      <c r="BW99" s="163">
        <f t="shared" si="941"/>
        <v>0</v>
      </c>
      <c r="BX99" s="163">
        <f t="shared" si="941"/>
        <v>0</v>
      </c>
      <c r="BY99" s="163">
        <f t="shared" si="941"/>
        <v>0</v>
      </c>
      <c r="BZ99" s="163">
        <f t="shared" si="941"/>
        <v>0</v>
      </c>
      <c r="CA99" s="163">
        <f t="shared" si="941"/>
        <v>0</v>
      </c>
      <c r="CB99" s="163">
        <f t="shared" si="941"/>
        <v>0</v>
      </c>
      <c r="CC99" s="163">
        <f t="shared" si="941"/>
        <v>0</v>
      </c>
      <c r="CD99" s="163">
        <f t="shared" si="941"/>
        <v>0</v>
      </c>
      <c r="CE99" s="163">
        <f t="shared" si="941"/>
        <v>0</v>
      </c>
      <c r="CF99" s="163">
        <f t="shared" si="941"/>
        <v>1.9307751236158508</v>
      </c>
      <c r="CG99" s="163">
        <f t="shared" si="941"/>
        <v>3.9359286858416329</v>
      </c>
      <c r="CH99" s="163">
        <f t="shared" si="941"/>
        <v>6.0144160456856337</v>
      </c>
      <c r="CI99" s="163">
        <f t="shared" si="941"/>
        <v>6.0144160456856337</v>
      </c>
      <c r="CJ99" s="163">
        <f t="shared" si="941"/>
        <v>6.7302736959398279</v>
      </c>
      <c r="CK99" s="163">
        <f t="shared" ref="CK99:CL99" si="942">+CK98/CK65</f>
        <v>7.3380817370859548</v>
      </c>
      <c r="CL99" s="163">
        <f t="shared" si="942"/>
        <v>8.1265900697578992</v>
      </c>
      <c r="CM99" s="50" t="e">
        <f t="shared" si="941"/>
        <v>#DIV/0!</v>
      </c>
      <c r="CN99" s="50" t="e">
        <f t="shared" si="941"/>
        <v>#DIV/0!</v>
      </c>
      <c r="CO99" s="50" t="e">
        <f t="shared" si="941"/>
        <v>#DIV/0!</v>
      </c>
      <c r="CP99" s="50" t="e">
        <f t="shared" si="941"/>
        <v>#DIV/0!</v>
      </c>
      <c r="CQ99" s="50" t="e">
        <f t="shared" si="941"/>
        <v>#DIV/0!</v>
      </c>
      <c r="CR99" s="50" t="e">
        <f t="shared" si="941"/>
        <v>#DIV/0!</v>
      </c>
      <c r="CS99" s="50" t="e">
        <f t="shared" si="941"/>
        <v>#DIV/0!</v>
      </c>
      <c r="CT99" s="50" t="e">
        <f t="shared" si="941"/>
        <v>#DIV/0!</v>
      </c>
      <c r="CU99" s="50" t="e">
        <f t="shared" si="941"/>
        <v>#DIV/0!</v>
      </c>
      <c r="CV99" s="50" t="e">
        <f t="shared" si="941"/>
        <v>#DIV/0!</v>
      </c>
      <c r="CW99" s="50" t="e">
        <f t="shared" si="941"/>
        <v>#DIV/0!</v>
      </c>
      <c r="CX99" s="50" t="e">
        <f t="shared" ref="CX99:DB99" si="943">+CX98/CX65</f>
        <v>#DIV/0!</v>
      </c>
      <c r="CY99" s="50" t="e">
        <f t="shared" si="943"/>
        <v>#DIV/0!</v>
      </c>
      <c r="CZ99" s="50" t="e">
        <f t="shared" si="943"/>
        <v>#DIV/0!</v>
      </c>
      <c r="DA99" s="50" t="e">
        <f t="shared" si="943"/>
        <v>#DIV/0!</v>
      </c>
      <c r="DB99" s="50" t="e">
        <f t="shared" si="943"/>
        <v>#DIV/0!</v>
      </c>
      <c r="DE99" s="164"/>
      <c r="DF99" s="163">
        <v>8.1265900697578992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 t="e">
        <f t="shared" si="946"/>
        <v>#DIV/0!</v>
      </c>
      <c r="BA102" s="163" t="e">
        <f t="shared" si="946"/>
        <v>#DIV/0!</v>
      </c>
      <c r="BB102" s="163" t="e">
        <f t="shared" si="946"/>
        <v>#DIV/0!</v>
      </c>
      <c r="BC102" s="163" t="e">
        <f t="shared" si="946"/>
        <v>#DIV/0!</v>
      </c>
      <c r="BD102" s="163" t="e">
        <f t="shared" si="946"/>
        <v>#DIV/0!</v>
      </c>
      <c r="BE102" s="163" t="e">
        <f t="shared" si="946"/>
        <v>#DIV/0!</v>
      </c>
      <c r="BF102" s="163" t="e">
        <f t="shared" si="946"/>
        <v>#DIV/0!</v>
      </c>
      <c r="BG102" s="163" t="e">
        <f t="shared" si="946"/>
        <v>#DIV/0!</v>
      </c>
      <c r="BH102" s="163" t="e">
        <f t="shared" si="946"/>
        <v>#DIV/0!</v>
      </c>
      <c r="BI102" s="163" t="e">
        <f t="shared" si="946"/>
        <v>#DIV/0!</v>
      </c>
      <c r="BJ102" s="163" t="e">
        <f t="shared" si="946"/>
        <v>#DIV/0!</v>
      </c>
      <c r="BK102" s="163" t="e">
        <f t="shared" si="946"/>
        <v>#DIV/0!</v>
      </c>
      <c r="BL102" s="163" t="e">
        <f t="shared" si="946"/>
        <v>#DIV/0!</v>
      </c>
      <c r="BM102" s="163" t="e">
        <f t="shared" si="946"/>
        <v>#DIV/0!</v>
      </c>
      <c r="BN102" s="163" t="e">
        <f t="shared" si="946"/>
        <v>#DIV/0!</v>
      </c>
      <c r="BO102" s="163" t="e">
        <f t="shared" si="946"/>
        <v>#DIV/0!</v>
      </c>
      <c r="BP102" s="163" t="e">
        <f t="shared" si="946"/>
        <v>#DIV/0!</v>
      </c>
      <c r="BQ102" s="163" t="e">
        <f t="shared" si="946"/>
        <v>#DIV/0!</v>
      </c>
      <c r="BR102" s="163" t="e">
        <f t="shared" ref="BR102:DB102" si="947">+BR77/BR99</f>
        <v>#DIV/0!</v>
      </c>
      <c r="BS102" s="163" t="e">
        <f t="shared" si="947"/>
        <v>#DIV/0!</v>
      </c>
      <c r="BT102" s="163" t="e">
        <f t="shared" si="947"/>
        <v>#DIV/0!</v>
      </c>
      <c r="BU102" s="163" t="e">
        <f t="shared" si="947"/>
        <v>#DIV/0!</v>
      </c>
      <c r="BV102" s="163" t="e">
        <f t="shared" si="947"/>
        <v>#DIV/0!</v>
      </c>
      <c r="BW102" s="163" t="e">
        <f t="shared" si="947"/>
        <v>#DIV/0!</v>
      </c>
      <c r="BX102" s="163" t="e">
        <f t="shared" si="947"/>
        <v>#DIV/0!</v>
      </c>
      <c r="BY102" s="163" t="e">
        <f t="shared" si="947"/>
        <v>#DIV/0!</v>
      </c>
      <c r="BZ102" s="163" t="e">
        <f t="shared" si="947"/>
        <v>#DIV/0!</v>
      </c>
      <c r="CA102" s="163" t="e">
        <f t="shared" si="947"/>
        <v>#DIV/0!</v>
      </c>
      <c r="CB102" s="163" t="e">
        <f t="shared" si="947"/>
        <v>#DIV/0!</v>
      </c>
      <c r="CC102" s="163" t="e">
        <f t="shared" si="947"/>
        <v>#DIV/0!</v>
      </c>
      <c r="CD102" s="163" t="e">
        <f t="shared" si="947"/>
        <v>#DIV/0!</v>
      </c>
      <c r="CE102" s="163" t="e">
        <f t="shared" si="947"/>
        <v>#DIV/0!</v>
      </c>
      <c r="CF102" s="163">
        <f t="shared" si="947"/>
        <v>0</v>
      </c>
      <c r="CG102" s="163">
        <f t="shared" si="947"/>
        <v>0</v>
      </c>
      <c r="CH102" s="163">
        <f t="shared" si="947"/>
        <v>0</v>
      </c>
      <c r="CI102" s="163">
        <f t="shared" si="947"/>
        <v>0</v>
      </c>
      <c r="CJ102" s="163">
        <f t="shared" si="947"/>
        <v>24.88754656456954</v>
      </c>
      <c r="CK102" s="163">
        <f t="shared" ref="CK102:CL102" si="948">+CK77/CK99</f>
        <v>18.185951694372196</v>
      </c>
      <c r="CL102" s="163">
        <f t="shared" si="948"/>
        <v>14.581761720821024</v>
      </c>
      <c r="CM102" s="50" t="e">
        <f t="shared" si="947"/>
        <v>#DIV/0!</v>
      </c>
      <c r="CN102" s="50" t="e">
        <f t="shared" si="947"/>
        <v>#DIV/0!</v>
      </c>
      <c r="CO102" s="50" t="e">
        <f t="shared" si="947"/>
        <v>#DIV/0!</v>
      </c>
      <c r="CP102" s="50" t="e">
        <f t="shared" si="947"/>
        <v>#DIV/0!</v>
      </c>
      <c r="CQ102" s="50" t="e">
        <f t="shared" si="947"/>
        <v>#DIV/0!</v>
      </c>
      <c r="CR102" s="50" t="e">
        <f t="shared" si="947"/>
        <v>#DIV/0!</v>
      </c>
      <c r="CS102" s="50" t="e">
        <f t="shared" si="947"/>
        <v>#DIV/0!</v>
      </c>
      <c r="CT102" s="50" t="e">
        <f t="shared" si="947"/>
        <v>#DIV/0!</v>
      </c>
      <c r="CU102" s="50" t="e">
        <f t="shared" si="947"/>
        <v>#DIV/0!</v>
      </c>
      <c r="CV102" s="50" t="e">
        <f t="shared" si="947"/>
        <v>#DIV/0!</v>
      </c>
      <c r="CW102" s="50" t="e">
        <f t="shared" si="947"/>
        <v>#DIV/0!</v>
      </c>
      <c r="CX102" s="50" t="e">
        <f t="shared" si="947"/>
        <v>#DIV/0!</v>
      </c>
      <c r="CY102" s="50" t="e">
        <f t="shared" si="947"/>
        <v>#DIV/0!</v>
      </c>
      <c r="CZ102" s="50" t="e">
        <f t="shared" si="947"/>
        <v>#DIV/0!</v>
      </c>
      <c r="DA102" s="50" t="e">
        <f t="shared" si="947"/>
        <v>#DIV/0!</v>
      </c>
      <c r="DB102" s="50" t="e">
        <f t="shared" si="947"/>
        <v>#DIV/0!</v>
      </c>
      <c r="DE102" s="106"/>
      <c r="DF102" s="163">
        <v>14.581761720821024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 t="e">
        <f t="shared" si="950"/>
        <v>#DIV/0!</v>
      </c>
      <c r="BA103" s="163" t="e">
        <f t="shared" si="950"/>
        <v>#DIV/0!</v>
      </c>
      <c r="BB103" s="163" t="e">
        <f t="shared" si="950"/>
        <v>#DIV/0!</v>
      </c>
      <c r="BC103" s="163" t="e">
        <f t="shared" si="950"/>
        <v>#DIV/0!</v>
      </c>
      <c r="BD103" s="163" t="e">
        <f t="shared" si="950"/>
        <v>#DIV/0!</v>
      </c>
      <c r="BE103" s="163" t="e">
        <f t="shared" si="950"/>
        <v>#DIV/0!</v>
      </c>
      <c r="BF103" s="163" t="e">
        <f t="shared" si="950"/>
        <v>#DIV/0!</v>
      </c>
      <c r="BG103" s="163" t="e">
        <f t="shared" si="950"/>
        <v>#DIV/0!</v>
      </c>
      <c r="BH103" s="163" t="e">
        <f t="shared" si="950"/>
        <v>#DIV/0!</v>
      </c>
      <c r="BI103" s="163" t="e">
        <f t="shared" si="950"/>
        <v>#DIV/0!</v>
      </c>
      <c r="BJ103" s="163" t="e">
        <f t="shared" si="950"/>
        <v>#DIV/0!</v>
      </c>
      <c r="BK103" s="163" t="e">
        <f t="shared" si="950"/>
        <v>#DIV/0!</v>
      </c>
      <c r="BL103" s="163" t="e">
        <f t="shared" si="950"/>
        <v>#DIV/0!</v>
      </c>
      <c r="BM103" s="163" t="e">
        <f t="shared" si="950"/>
        <v>#DIV/0!</v>
      </c>
      <c r="BN103" s="163" t="e">
        <f t="shared" si="950"/>
        <v>#DIV/0!</v>
      </c>
      <c r="BO103" s="163" t="e">
        <f t="shared" si="950"/>
        <v>#DIV/0!</v>
      </c>
      <c r="BP103" s="163" t="e">
        <f t="shared" si="950"/>
        <v>#DIV/0!</v>
      </c>
      <c r="BQ103" s="163" t="e">
        <f t="shared" si="950"/>
        <v>#DIV/0!</v>
      </c>
      <c r="BR103" s="163" t="e">
        <f t="shared" ref="BR103:CJ103" si="951">+BR78/BR99</f>
        <v>#DIV/0!</v>
      </c>
      <c r="BS103" s="163" t="e">
        <f t="shared" si="951"/>
        <v>#DIV/0!</v>
      </c>
      <c r="BT103" s="163" t="e">
        <f t="shared" si="951"/>
        <v>#DIV/0!</v>
      </c>
      <c r="BU103" s="163" t="e">
        <f t="shared" si="951"/>
        <v>#DIV/0!</v>
      </c>
      <c r="BV103" s="163" t="e">
        <f t="shared" si="951"/>
        <v>#DIV/0!</v>
      </c>
      <c r="BW103" s="163" t="e">
        <f t="shared" si="951"/>
        <v>#DIV/0!</v>
      </c>
      <c r="BX103" s="163" t="e">
        <f t="shared" si="951"/>
        <v>#DIV/0!</v>
      </c>
      <c r="BY103" s="163" t="e">
        <f t="shared" si="951"/>
        <v>#DIV/0!</v>
      </c>
      <c r="BZ103" s="163" t="e">
        <f t="shared" si="951"/>
        <v>#DIV/0!</v>
      </c>
      <c r="CA103" s="163" t="e">
        <f t="shared" si="951"/>
        <v>#DIV/0!</v>
      </c>
      <c r="CB103" s="163" t="e">
        <f t="shared" si="951"/>
        <v>#DIV/0!</v>
      </c>
      <c r="CC103" s="163" t="e">
        <f t="shared" si="951"/>
        <v>#DIV/0!</v>
      </c>
      <c r="CD103" s="163" t="e">
        <f t="shared" si="951"/>
        <v>#DIV/0!</v>
      </c>
      <c r="CE103" s="163" t="e">
        <f t="shared" si="951"/>
        <v>#DIV/0!</v>
      </c>
      <c r="CF103" s="163">
        <f t="shared" si="951"/>
        <v>0</v>
      </c>
      <c r="CG103" s="163">
        <f t="shared" si="951"/>
        <v>0</v>
      </c>
      <c r="CH103" s="163">
        <f t="shared" si="951"/>
        <v>0</v>
      </c>
      <c r="CI103" s="163">
        <f t="shared" si="951"/>
        <v>0</v>
      </c>
      <c r="CJ103" s="163">
        <f t="shared" si="951"/>
        <v>29.865055877483446</v>
      </c>
      <c r="CK103" s="163">
        <f t="shared" ref="CK103:CL103" si="952">+CK78/CK99</f>
        <v>23.916332127106187</v>
      </c>
      <c r="CL103" s="163">
        <f t="shared" si="952"/>
        <v>17.159718750788961</v>
      </c>
      <c r="CM103" s="94">
        <f t="shared" ref="CM103:DB103" si="953">+CL103</f>
        <v>17.159718750788961</v>
      </c>
      <c r="CN103" s="94">
        <f t="shared" si="953"/>
        <v>17.159718750788961</v>
      </c>
      <c r="CO103" s="94">
        <f t="shared" si="953"/>
        <v>17.159718750788961</v>
      </c>
      <c r="CP103" s="94">
        <f t="shared" si="953"/>
        <v>17.159718750788961</v>
      </c>
      <c r="CQ103" s="94">
        <f t="shared" si="953"/>
        <v>17.159718750788961</v>
      </c>
      <c r="CR103" s="94">
        <f t="shared" si="953"/>
        <v>17.159718750788961</v>
      </c>
      <c r="CS103" s="94">
        <f t="shared" si="953"/>
        <v>17.159718750788961</v>
      </c>
      <c r="CT103" s="94">
        <f t="shared" si="953"/>
        <v>17.159718750788961</v>
      </c>
      <c r="CU103" s="94">
        <f t="shared" si="953"/>
        <v>17.159718750788961</v>
      </c>
      <c r="CV103" s="94">
        <f t="shared" si="953"/>
        <v>17.159718750788961</v>
      </c>
      <c r="CW103" s="94">
        <f t="shared" si="953"/>
        <v>17.159718750788961</v>
      </c>
      <c r="CX103" s="94">
        <f t="shared" si="953"/>
        <v>17.159718750788961</v>
      </c>
      <c r="CY103" s="94">
        <f t="shared" si="953"/>
        <v>17.159718750788961</v>
      </c>
      <c r="CZ103" s="94">
        <f t="shared" si="953"/>
        <v>17.159718750788961</v>
      </c>
      <c r="DA103" s="94">
        <f t="shared" si="953"/>
        <v>17.159718750788961</v>
      </c>
      <c r="DB103" s="94">
        <f t="shared" si="953"/>
        <v>17.159718750788961</v>
      </c>
      <c r="DE103" s="164"/>
      <c r="DF103" s="163">
        <v>24.73362114670908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 t="e">
        <f t="shared" si="954"/>
        <v>#DIV/0!</v>
      </c>
      <c r="BA104" s="163" t="e">
        <f t="shared" si="954"/>
        <v>#DIV/0!</v>
      </c>
      <c r="BB104" s="163" t="e">
        <f t="shared" si="954"/>
        <v>#DIV/0!</v>
      </c>
      <c r="BC104" s="163" t="e">
        <f t="shared" si="954"/>
        <v>#DIV/0!</v>
      </c>
      <c r="BD104" s="163" t="e">
        <f t="shared" si="954"/>
        <v>#DIV/0!</v>
      </c>
      <c r="BE104" s="163" t="e">
        <f t="shared" si="954"/>
        <v>#DIV/0!</v>
      </c>
      <c r="BF104" s="163" t="e">
        <f t="shared" si="954"/>
        <v>#DIV/0!</v>
      </c>
      <c r="BG104" s="163" t="e">
        <f t="shared" si="954"/>
        <v>#DIV/0!</v>
      </c>
      <c r="BH104" s="163" t="e">
        <f t="shared" si="954"/>
        <v>#DIV/0!</v>
      </c>
      <c r="BI104" s="163" t="e">
        <f t="shared" si="954"/>
        <v>#DIV/0!</v>
      </c>
      <c r="BJ104" s="163" t="e">
        <f t="shared" si="954"/>
        <v>#DIV/0!</v>
      </c>
      <c r="BK104" s="163" t="e">
        <f t="shared" si="954"/>
        <v>#DIV/0!</v>
      </c>
      <c r="BL104" s="163" t="e">
        <f t="shared" si="954"/>
        <v>#DIV/0!</v>
      </c>
      <c r="BM104" s="163" t="e">
        <f t="shared" si="954"/>
        <v>#DIV/0!</v>
      </c>
      <c r="BN104" s="163" t="e">
        <f t="shared" si="954"/>
        <v>#DIV/0!</v>
      </c>
      <c r="BO104" s="163" t="e">
        <f t="shared" si="954"/>
        <v>#DIV/0!</v>
      </c>
      <c r="BP104" s="163" t="e">
        <f t="shared" si="954"/>
        <v>#DIV/0!</v>
      </c>
      <c r="BQ104" s="163" t="e">
        <f t="shared" si="954"/>
        <v>#DIV/0!</v>
      </c>
      <c r="BR104" s="163" t="e">
        <f t="shared" ref="BR104:CJ104" si="955">+BR79/BR99</f>
        <v>#DIV/0!</v>
      </c>
      <c r="BS104" s="163" t="e">
        <f t="shared" si="955"/>
        <v>#DIV/0!</v>
      </c>
      <c r="BT104" s="163" t="e">
        <f t="shared" si="955"/>
        <v>#DIV/0!</v>
      </c>
      <c r="BU104" s="163" t="e">
        <f t="shared" si="955"/>
        <v>#DIV/0!</v>
      </c>
      <c r="BV104" s="163" t="e">
        <f t="shared" si="955"/>
        <v>#DIV/0!</v>
      </c>
      <c r="BW104" s="163" t="e">
        <f t="shared" si="955"/>
        <v>#DIV/0!</v>
      </c>
      <c r="BX104" s="163" t="e">
        <f t="shared" si="955"/>
        <v>#DIV/0!</v>
      </c>
      <c r="BY104" s="163" t="e">
        <f t="shared" si="955"/>
        <v>#DIV/0!</v>
      </c>
      <c r="BZ104" s="163" t="e">
        <f t="shared" si="955"/>
        <v>#DIV/0!</v>
      </c>
      <c r="CA104" s="163" t="e">
        <f t="shared" si="955"/>
        <v>#DIV/0!</v>
      </c>
      <c r="CB104" s="163" t="e">
        <f t="shared" si="955"/>
        <v>#DIV/0!</v>
      </c>
      <c r="CC104" s="163" t="e">
        <f t="shared" si="955"/>
        <v>#DIV/0!</v>
      </c>
      <c r="CD104" s="163" t="e">
        <f t="shared" si="955"/>
        <v>#DIV/0!</v>
      </c>
      <c r="CE104" s="163" t="e">
        <f t="shared" si="955"/>
        <v>#DIV/0!</v>
      </c>
      <c r="CF104" s="163">
        <f t="shared" si="955"/>
        <v>0</v>
      </c>
      <c r="CG104" s="163">
        <f t="shared" si="955"/>
        <v>0</v>
      </c>
      <c r="CH104" s="163">
        <f t="shared" si="955"/>
        <v>0</v>
      </c>
      <c r="CI104" s="163">
        <f t="shared" si="955"/>
        <v>0</v>
      </c>
      <c r="CJ104" s="163">
        <f t="shared" si="955"/>
        <v>0</v>
      </c>
      <c r="CK104" s="163">
        <f t="shared" ref="CK104:CL104" si="956">+CK79/CK99</f>
        <v>16.489323005013382</v>
      </c>
      <c r="CL104" s="163">
        <f t="shared" si="956"/>
        <v>11.856141281021989</v>
      </c>
      <c r="CM104" s="94">
        <f t="shared" ref="CM104:DB104" si="957">+CL104</f>
        <v>11.856141281021989</v>
      </c>
      <c r="CN104" s="94">
        <f t="shared" si="957"/>
        <v>11.856141281021989</v>
      </c>
      <c r="CO104" s="94">
        <f t="shared" si="957"/>
        <v>11.856141281021989</v>
      </c>
      <c r="CP104" s="94">
        <f t="shared" si="957"/>
        <v>11.856141281021989</v>
      </c>
      <c r="CQ104" s="94">
        <f t="shared" si="957"/>
        <v>11.856141281021989</v>
      </c>
      <c r="CR104" s="94">
        <f t="shared" si="957"/>
        <v>11.856141281021989</v>
      </c>
      <c r="CS104" s="94">
        <f t="shared" si="957"/>
        <v>11.856141281021989</v>
      </c>
      <c r="CT104" s="94">
        <f t="shared" si="957"/>
        <v>11.856141281021989</v>
      </c>
      <c r="CU104" s="94">
        <f t="shared" si="957"/>
        <v>11.856141281021989</v>
      </c>
      <c r="CV104" s="94">
        <f t="shared" si="957"/>
        <v>11.856141281021989</v>
      </c>
      <c r="CW104" s="94">
        <f t="shared" si="957"/>
        <v>11.856141281021989</v>
      </c>
      <c r="CX104" s="94">
        <f t="shared" si="957"/>
        <v>11.856141281021989</v>
      </c>
      <c r="CY104" s="94">
        <f t="shared" si="957"/>
        <v>11.856141281021989</v>
      </c>
      <c r="CZ104" s="94">
        <f t="shared" si="957"/>
        <v>11.856141281021989</v>
      </c>
      <c r="DA104" s="94">
        <f t="shared" si="957"/>
        <v>11.856141281021989</v>
      </c>
      <c r="DB104" s="94">
        <f t="shared" si="957"/>
        <v>11.856141281021989</v>
      </c>
      <c r="DE104" s="164"/>
      <c r="DF104" s="163">
        <v>0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0</v>
      </c>
      <c r="BM107" s="162">
        <f t="shared" si="960"/>
        <v>0</v>
      </c>
      <c r="BN107" s="162">
        <f t="shared" si="960"/>
        <v>0</v>
      </c>
      <c r="BO107" s="162">
        <f t="shared" si="960"/>
        <v>0</v>
      </c>
      <c r="BP107" s="162">
        <f t="shared" si="960"/>
        <v>0</v>
      </c>
      <c r="BQ107" s="162">
        <f t="shared" si="960"/>
        <v>0</v>
      </c>
      <c r="BR107" s="162">
        <f t="shared" ref="BR107:CJ107" si="961">+BR78*BR65</f>
        <v>0</v>
      </c>
      <c r="BS107" s="162">
        <f t="shared" si="961"/>
        <v>0</v>
      </c>
      <c r="BT107" s="162">
        <f t="shared" si="961"/>
        <v>0</v>
      </c>
      <c r="BU107" s="162">
        <f t="shared" si="961"/>
        <v>0</v>
      </c>
      <c r="BV107" s="162">
        <f t="shared" si="961"/>
        <v>0</v>
      </c>
      <c r="BW107" s="162">
        <f t="shared" si="961"/>
        <v>0</v>
      </c>
      <c r="BX107" s="162">
        <f t="shared" si="961"/>
        <v>0</v>
      </c>
      <c r="BY107" s="162">
        <f t="shared" si="961"/>
        <v>0</v>
      </c>
      <c r="BZ107" s="162">
        <f t="shared" si="961"/>
        <v>0</v>
      </c>
      <c r="CA107" s="162">
        <f t="shared" si="961"/>
        <v>0</v>
      </c>
      <c r="CB107" s="162">
        <f t="shared" si="961"/>
        <v>0</v>
      </c>
      <c r="CC107" s="162">
        <f t="shared" si="961"/>
        <v>0</v>
      </c>
      <c r="CD107" s="162">
        <f t="shared" si="961"/>
        <v>0</v>
      </c>
      <c r="CE107" s="162">
        <f t="shared" si="961"/>
        <v>0</v>
      </c>
      <c r="CF107" s="162">
        <f t="shared" si="961"/>
        <v>0</v>
      </c>
      <c r="CG107" s="162">
        <f t="shared" si="961"/>
        <v>0</v>
      </c>
      <c r="CH107" s="162">
        <f t="shared" si="961"/>
        <v>0</v>
      </c>
      <c r="CI107" s="162">
        <f t="shared" si="961"/>
        <v>0</v>
      </c>
      <c r="CJ107" s="162">
        <f t="shared" si="961"/>
        <v>28861.59</v>
      </c>
      <c r="CK107" s="162">
        <f t="shared" ref="CK107:CL107" si="962">+CK78*CK65</f>
        <v>25379.055000000004</v>
      </c>
      <c r="CL107" s="162">
        <f t="shared" si="962"/>
        <v>20390.378999999997</v>
      </c>
      <c r="CM107" s="21" t="e">
        <f t="shared" ref="CM107:DB107" si="963">+CM78*CM65</f>
        <v>#DIV/0!</v>
      </c>
      <c r="CN107" s="21" t="e">
        <f t="shared" si="963"/>
        <v>#DIV/0!</v>
      </c>
      <c r="CO107" s="21" t="e">
        <f t="shared" si="963"/>
        <v>#DIV/0!</v>
      </c>
      <c r="CP107" s="21" t="e">
        <f t="shared" si="963"/>
        <v>#DIV/0!</v>
      </c>
      <c r="CQ107" s="21" t="e">
        <f t="shared" si="963"/>
        <v>#DIV/0!</v>
      </c>
      <c r="CR107" s="21" t="e">
        <f t="shared" si="963"/>
        <v>#DIV/0!</v>
      </c>
      <c r="CS107" s="21" t="e">
        <f t="shared" si="963"/>
        <v>#DIV/0!</v>
      </c>
      <c r="CT107" s="21" t="e">
        <f t="shared" si="963"/>
        <v>#DIV/0!</v>
      </c>
      <c r="CU107" s="21" t="e">
        <f t="shared" si="963"/>
        <v>#DIV/0!</v>
      </c>
      <c r="CV107" s="21" t="e">
        <f t="shared" si="963"/>
        <v>#DIV/0!</v>
      </c>
      <c r="CW107" s="21" t="e">
        <f t="shared" si="963"/>
        <v>#DIV/0!</v>
      </c>
      <c r="CX107" s="21" t="e">
        <f t="shared" si="963"/>
        <v>#DIV/0!</v>
      </c>
      <c r="CY107" s="21" t="e">
        <f t="shared" si="963"/>
        <v>#DIV/0!</v>
      </c>
      <c r="CZ107" s="21" t="e">
        <f t="shared" si="963"/>
        <v>#DIV/0!</v>
      </c>
      <c r="DA107" s="21" t="e">
        <f t="shared" si="963"/>
        <v>#DIV/0!</v>
      </c>
      <c r="DB107" s="21" t="e">
        <f t="shared" si="963"/>
        <v>#DIV/0!</v>
      </c>
      <c r="DE107" s="22"/>
      <c r="DF107" s="162">
        <v>20165.8645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0</v>
      </c>
      <c r="BM108" s="162">
        <f t="shared" si="966"/>
        <v>0</v>
      </c>
      <c r="BN108" s="162">
        <f t="shared" si="966"/>
        <v>0</v>
      </c>
      <c r="BO108" s="162">
        <f t="shared" si="966"/>
        <v>0</v>
      </c>
      <c r="BP108" s="162">
        <f t="shared" si="966"/>
        <v>0</v>
      </c>
      <c r="BQ108" s="162">
        <f t="shared" si="966"/>
        <v>0</v>
      </c>
      <c r="BR108" s="162">
        <f t="shared" ref="BR108:CJ108" si="967">+BR79*BR65</f>
        <v>0</v>
      </c>
      <c r="BS108" s="162">
        <f t="shared" si="967"/>
        <v>0</v>
      </c>
      <c r="BT108" s="162">
        <f t="shared" si="967"/>
        <v>0</v>
      </c>
      <c r="BU108" s="162">
        <f t="shared" si="967"/>
        <v>0</v>
      </c>
      <c r="BV108" s="162">
        <f t="shared" si="967"/>
        <v>0</v>
      </c>
      <c r="BW108" s="162">
        <f t="shared" si="967"/>
        <v>0</v>
      </c>
      <c r="BX108" s="162">
        <f t="shared" si="967"/>
        <v>0</v>
      </c>
      <c r="BY108" s="162">
        <f t="shared" si="967"/>
        <v>0</v>
      </c>
      <c r="BZ108" s="162">
        <f t="shared" si="967"/>
        <v>0</v>
      </c>
      <c r="CA108" s="162">
        <f t="shared" si="967"/>
        <v>0</v>
      </c>
      <c r="CB108" s="162">
        <f t="shared" si="967"/>
        <v>0</v>
      </c>
      <c r="CC108" s="162">
        <f t="shared" si="967"/>
        <v>0</v>
      </c>
      <c r="CD108" s="162">
        <f t="shared" si="967"/>
        <v>0</v>
      </c>
      <c r="CE108" s="162">
        <f t="shared" si="967"/>
        <v>0</v>
      </c>
      <c r="CF108" s="162">
        <f t="shared" si="967"/>
        <v>0</v>
      </c>
      <c r="CG108" s="162">
        <f t="shared" si="967"/>
        <v>0</v>
      </c>
      <c r="CH108" s="162">
        <f t="shared" si="967"/>
        <v>0</v>
      </c>
      <c r="CI108" s="162">
        <f t="shared" si="967"/>
        <v>0</v>
      </c>
      <c r="CJ108" s="162">
        <f t="shared" si="967"/>
        <v>0</v>
      </c>
      <c r="CK108" s="162">
        <f t="shared" ref="CK108:CL108" si="968">+CK79*CK65</f>
        <v>17497.810000000001</v>
      </c>
      <c r="CL108" s="162">
        <f t="shared" si="968"/>
        <v>14088.296999999999</v>
      </c>
      <c r="CM108" s="21" t="e">
        <f t="shared" ref="CM108:DB108" si="969">+CM79*CM65</f>
        <v>#DIV/0!</v>
      </c>
      <c r="CN108" s="21" t="e">
        <f t="shared" si="969"/>
        <v>#DIV/0!</v>
      </c>
      <c r="CO108" s="21" t="e">
        <f t="shared" si="969"/>
        <v>#DIV/0!</v>
      </c>
      <c r="CP108" s="21" t="e">
        <f t="shared" si="969"/>
        <v>#DIV/0!</v>
      </c>
      <c r="CQ108" s="21" t="e">
        <f t="shared" si="969"/>
        <v>#DIV/0!</v>
      </c>
      <c r="CR108" s="21" t="e">
        <f t="shared" si="969"/>
        <v>#DIV/0!</v>
      </c>
      <c r="CS108" s="21" t="e">
        <f t="shared" si="969"/>
        <v>#DIV/0!</v>
      </c>
      <c r="CT108" s="21" t="e">
        <f t="shared" si="969"/>
        <v>#DIV/0!</v>
      </c>
      <c r="CU108" s="21" t="e">
        <f t="shared" si="969"/>
        <v>#DIV/0!</v>
      </c>
      <c r="CV108" s="21" t="e">
        <f t="shared" si="969"/>
        <v>#DIV/0!</v>
      </c>
      <c r="CW108" s="21" t="e">
        <f t="shared" si="969"/>
        <v>#DIV/0!</v>
      </c>
      <c r="CX108" s="21" t="e">
        <f t="shared" si="969"/>
        <v>#DIV/0!</v>
      </c>
      <c r="CY108" s="21" t="e">
        <f t="shared" si="969"/>
        <v>#DIV/0!</v>
      </c>
      <c r="CZ108" s="21" t="e">
        <f t="shared" si="969"/>
        <v>#DIV/0!</v>
      </c>
      <c r="DA108" s="21" t="e">
        <f t="shared" si="969"/>
        <v>#DIV/0!</v>
      </c>
      <c r="DB108" s="21" t="e">
        <f t="shared" si="969"/>
        <v>#DIV/0!</v>
      </c>
      <c r="DE108" s="22"/>
      <c r="DF108" s="162">
        <v>13933.173500000001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0</v>
      </c>
      <c r="K109" s="162">
        <f t="shared" si="970"/>
        <v>0</v>
      </c>
      <c r="L109" s="162">
        <f t="shared" si="970"/>
        <v>0</v>
      </c>
      <c r="M109" s="162">
        <f t="shared" si="970"/>
        <v>0</v>
      </c>
      <c r="N109" s="162">
        <f t="shared" si="970"/>
        <v>0</v>
      </c>
      <c r="O109" s="162">
        <f t="shared" si="970"/>
        <v>0</v>
      </c>
      <c r="P109" s="162">
        <f t="shared" si="970"/>
        <v>0</v>
      </c>
      <c r="Q109" s="162">
        <f t="shared" si="970"/>
        <v>0</v>
      </c>
      <c r="R109" s="162">
        <f t="shared" si="970"/>
        <v>0</v>
      </c>
      <c r="S109" s="162">
        <f t="shared" si="970"/>
        <v>0</v>
      </c>
      <c r="T109" s="162">
        <f t="shared" si="970"/>
        <v>0</v>
      </c>
      <c r="U109" s="162">
        <f t="shared" si="970"/>
        <v>0</v>
      </c>
      <c r="V109" s="162">
        <f t="shared" si="970"/>
        <v>0</v>
      </c>
      <c r="W109" s="162">
        <f t="shared" si="970"/>
        <v>-1595.9070000000002</v>
      </c>
      <c r="X109" s="162">
        <f t="shared" ref="X109:Y109" si="971">+X168</f>
        <v>-1282.673</v>
      </c>
      <c r="Y109" s="162">
        <f t="shared" si="971"/>
        <v>-1089.8119999999999</v>
      </c>
      <c r="Z109" s="162">
        <f t="shared" ref="Z109:AA109" si="972">+Z168</f>
        <v>-1514.68</v>
      </c>
      <c r="AA109" s="162">
        <f t="shared" si="972"/>
        <v>-1440.53</v>
      </c>
      <c r="AB109" s="21" t="e">
        <f t="shared" ref="AA109:AD109" si="973">+AB168</f>
        <v>#DIV/0!</v>
      </c>
      <c r="AC109" s="21" t="e">
        <f t="shared" si="973"/>
        <v>#DIV/0!</v>
      </c>
      <c r="AD109" s="21" t="e">
        <f t="shared" si="973"/>
        <v>#DIV/0!</v>
      </c>
      <c r="AE109" s="21" t="e">
        <f t="shared" ref="AE109" si="974">+AE168</f>
        <v>#DIV/0!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 t="e">
        <f t="shared" si="977"/>
        <v>#DIV/0!</v>
      </c>
      <c r="BJ109" s="162">
        <f t="shared" si="977"/>
        <v>0</v>
      </c>
      <c r="BK109" s="162" t="e">
        <f t="shared" si="977"/>
        <v>#DIV/0!</v>
      </c>
      <c r="BL109" s="162">
        <f t="shared" si="977"/>
        <v>0</v>
      </c>
      <c r="BM109" s="162" t="e">
        <f t="shared" si="977"/>
        <v>#DIV/0!</v>
      </c>
      <c r="BN109" s="162">
        <f t="shared" si="977"/>
        <v>0</v>
      </c>
      <c r="BO109" s="162" t="e">
        <f t="shared" si="977"/>
        <v>#DIV/0!</v>
      </c>
      <c r="BP109" s="162">
        <f t="shared" si="977"/>
        <v>0</v>
      </c>
      <c r="BQ109" s="162" t="e">
        <f t="shared" si="977"/>
        <v>#DIV/0!</v>
      </c>
      <c r="BR109" s="162">
        <f t="shared" si="977"/>
        <v>0</v>
      </c>
      <c r="BS109" s="162" t="e">
        <f t="shared" si="977"/>
        <v>#DIV/0!</v>
      </c>
      <c r="BT109" s="162">
        <f t="shared" si="977"/>
        <v>0</v>
      </c>
      <c r="BU109" s="162" t="e">
        <f t="shared" si="977"/>
        <v>#DIV/0!</v>
      </c>
      <c r="BV109" s="162">
        <f t="shared" si="977"/>
        <v>0</v>
      </c>
      <c r="BW109" s="162" t="e">
        <f t="shared" si="977"/>
        <v>#DIV/0!</v>
      </c>
      <c r="BX109" s="162">
        <f t="shared" si="977"/>
        <v>0</v>
      </c>
      <c r="BY109" s="162" t="e">
        <f t="shared" si="977"/>
        <v>#DIV/0!</v>
      </c>
      <c r="BZ109" s="162">
        <f t="shared" si="977"/>
        <v>0</v>
      </c>
      <c r="CA109" s="162" t="e">
        <f t="shared" si="977"/>
        <v>#DIV/0!</v>
      </c>
      <c r="CB109" s="162">
        <f t="shared" si="977"/>
        <v>0</v>
      </c>
      <c r="CC109" s="162" t="e">
        <f t="shared" si="977"/>
        <v>#DIV/0!</v>
      </c>
      <c r="CD109" s="162">
        <f t="shared" si="977"/>
        <v>0</v>
      </c>
      <c r="CE109" s="162" t="e">
        <f t="shared" ref="CE109:CF109" si="978">+CE168</f>
        <v>#DIV/0!</v>
      </c>
      <c r="CF109" s="162">
        <f t="shared" si="978"/>
        <v>0</v>
      </c>
      <c r="CG109" s="162">
        <f t="shared" ref="CG109:CH109" si="979">+CG168</f>
        <v>-231.84000000000003</v>
      </c>
      <c r="CH109" s="162">
        <f t="shared" si="979"/>
        <v>-1514.68</v>
      </c>
      <c r="CI109" s="162">
        <f t="shared" ref="CI109:CJ109" si="980">+CI168</f>
        <v>-1290.0400000000002</v>
      </c>
      <c r="CJ109" s="162">
        <f t="shared" si="980"/>
        <v>-1714.51</v>
      </c>
      <c r="CK109" s="162">
        <f t="shared" ref="CK109:CL109" si="981">+CK168</f>
        <v>-1704.4807933584191</v>
      </c>
      <c r="CL109" s="162">
        <f t="shared" si="981"/>
        <v>-1440.53</v>
      </c>
      <c r="CM109" s="21" t="e">
        <f t="shared" ref="CM109:DB109" si="982">+CM168</f>
        <v>#DIV/0!</v>
      </c>
      <c r="CN109" s="21" t="e">
        <f t="shared" si="982"/>
        <v>#DIV/0!</v>
      </c>
      <c r="CO109" s="21" t="e">
        <f t="shared" si="982"/>
        <v>#DIV/0!</v>
      </c>
      <c r="CP109" s="21" t="e">
        <f t="shared" si="982"/>
        <v>#DIV/0!</v>
      </c>
      <c r="CQ109" s="21" t="e">
        <f t="shared" si="982"/>
        <v>#DIV/0!</v>
      </c>
      <c r="CR109" s="21" t="e">
        <f t="shared" si="982"/>
        <v>#DIV/0!</v>
      </c>
      <c r="CS109" s="21" t="e">
        <f t="shared" si="982"/>
        <v>#DIV/0!</v>
      </c>
      <c r="CT109" s="21" t="e">
        <f t="shared" si="982"/>
        <v>#DIV/0!</v>
      </c>
      <c r="CU109" s="21" t="e">
        <f t="shared" si="982"/>
        <v>#DIV/0!</v>
      </c>
      <c r="CV109" s="21" t="e">
        <f t="shared" si="982"/>
        <v>#DIV/0!</v>
      </c>
      <c r="CW109" s="21" t="e">
        <f t="shared" si="982"/>
        <v>#DIV/0!</v>
      </c>
      <c r="CX109" s="21" t="e">
        <f t="shared" si="982"/>
        <v>#DIV/0!</v>
      </c>
      <c r="CY109" s="21" t="e">
        <f t="shared" si="982"/>
        <v>#DIV/0!</v>
      </c>
      <c r="CZ109" s="21" t="e">
        <f t="shared" si="982"/>
        <v>#DIV/0!</v>
      </c>
      <c r="DA109" s="21" t="e">
        <f t="shared" si="982"/>
        <v>#DIV/0!</v>
      </c>
      <c r="DB109" s="21" t="e">
        <f t="shared" si="982"/>
        <v>#DIV/0!</v>
      </c>
      <c r="DE109" s="22"/>
      <c r="DF109" s="162">
        <v>-1440.53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 t="e">
        <f t="shared" si="990"/>
        <v>#DIV/0!</v>
      </c>
      <c r="BJ110" s="162">
        <f t="shared" si="990"/>
        <v>0</v>
      </c>
      <c r="BK110" s="162" t="e">
        <f t="shared" si="990"/>
        <v>#DIV/0!</v>
      </c>
      <c r="BL110" s="162">
        <f t="shared" si="990"/>
        <v>0</v>
      </c>
      <c r="BM110" s="162" t="e">
        <f t="shared" si="990"/>
        <v>#DIV/0!</v>
      </c>
      <c r="BN110" s="162">
        <f t="shared" si="990"/>
        <v>0</v>
      </c>
      <c r="BO110" s="162" t="e">
        <f t="shared" si="990"/>
        <v>#DIV/0!</v>
      </c>
      <c r="BP110" s="162">
        <f t="shared" si="990"/>
        <v>0</v>
      </c>
      <c r="BQ110" s="162" t="e">
        <f t="shared" si="990"/>
        <v>#DIV/0!</v>
      </c>
      <c r="BR110" s="162">
        <f t="shared" si="990"/>
        <v>0</v>
      </c>
      <c r="BS110" s="162" t="e">
        <f t="shared" si="990"/>
        <v>#DIV/0!</v>
      </c>
      <c r="BT110" s="162">
        <f t="shared" si="990"/>
        <v>0</v>
      </c>
      <c r="BU110" s="162" t="e">
        <f t="shared" si="990"/>
        <v>#DIV/0!</v>
      </c>
      <c r="BV110" s="162">
        <f t="shared" si="990"/>
        <v>0</v>
      </c>
      <c r="BW110" s="162" t="e">
        <f t="shared" si="990"/>
        <v>#DIV/0!</v>
      </c>
      <c r="BX110" s="162">
        <f t="shared" si="990"/>
        <v>0</v>
      </c>
      <c r="BY110" s="162" t="e">
        <f t="shared" si="990"/>
        <v>#DIV/0!</v>
      </c>
      <c r="BZ110" s="162">
        <f t="shared" si="990"/>
        <v>0</v>
      </c>
      <c r="CA110" s="162" t="e">
        <f t="shared" si="990"/>
        <v>#DIV/0!</v>
      </c>
      <c r="CB110" s="162">
        <f t="shared" si="990"/>
        <v>0</v>
      </c>
      <c r="CC110" s="162" t="e">
        <f t="shared" si="990"/>
        <v>#DIV/0!</v>
      </c>
      <c r="CD110" s="162">
        <f t="shared" si="990"/>
        <v>0</v>
      </c>
      <c r="CE110" s="162" t="e">
        <f t="shared" ref="CE110:CF110" si="991">+CE107+CE109</f>
        <v>#DIV/0!</v>
      </c>
      <c r="CF110" s="162">
        <f t="shared" si="991"/>
        <v>0</v>
      </c>
      <c r="CG110" s="162">
        <f t="shared" ref="CG110:CH110" si="992">+CG107+CG109</f>
        <v>-231.84000000000003</v>
      </c>
      <c r="CH110" s="162">
        <f t="shared" si="992"/>
        <v>-1514.68</v>
      </c>
      <c r="CI110" s="162">
        <f t="shared" ref="CI110:CJ110" si="993">+CI107+CI109</f>
        <v>-1290.0400000000002</v>
      </c>
      <c r="CJ110" s="162">
        <f t="shared" si="993"/>
        <v>27147.08</v>
      </c>
      <c r="CK110" s="162">
        <f t="shared" ref="CK110:CL110" si="994">+CK107+CK109</f>
        <v>23674.574206641584</v>
      </c>
      <c r="CL110" s="162">
        <f t="shared" si="994"/>
        <v>18949.848999999998</v>
      </c>
      <c r="CM110" s="21" t="e">
        <f t="shared" ref="CM110:DB110" si="995">+CM107+CM109</f>
        <v>#DIV/0!</v>
      </c>
      <c r="CN110" s="21" t="e">
        <f t="shared" si="995"/>
        <v>#DIV/0!</v>
      </c>
      <c r="CO110" s="21" t="e">
        <f t="shared" si="995"/>
        <v>#DIV/0!</v>
      </c>
      <c r="CP110" s="21" t="e">
        <f t="shared" si="995"/>
        <v>#DIV/0!</v>
      </c>
      <c r="CQ110" s="21" t="e">
        <f t="shared" si="995"/>
        <v>#DIV/0!</v>
      </c>
      <c r="CR110" s="21" t="e">
        <f t="shared" si="995"/>
        <v>#DIV/0!</v>
      </c>
      <c r="CS110" s="21" t="e">
        <f t="shared" si="995"/>
        <v>#DIV/0!</v>
      </c>
      <c r="CT110" s="21" t="e">
        <f t="shared" si="995"/>
        <v>#DIV/0!</v>
      </c>
      <c r="CU110" s="21" t="e">
        <f t="shared" si="995"/>
        <v>#DIV/0!</v>
      </c>
      <c r="CV110" s="21" t="e">
        <f t="shared" si="995"/>
        <v>#DIV/0!</v>
      </c>
      <c r="CW110" s="21" t="e">
        <f t="shared" si="995"/>
        <v>#DIV/0!</v>
      </c>
      <c r="CX110" s="21" t="e">
        <f t="shared" si="995"/>
        <v>#DIV/0!</v>
      </c>
      <c r="CY110" s="21" t="e">
        <f t="shared" si="995"/>
        <v>#DIV/0!</v>
      </c>
      <c r="CZ110" s="21" t="e">
        <f t="shared" si="995"/>
        <v>#DIV/0!</v>
      </c>
      <c r="DA110" s="21" t="e">
        <f t="shared" si="995"/>
        <v>#DIV/0!</v>
      </c>
      <c r="DB110" s="21" t="e">
        <f t="shared" si="995"/>
        <v>#DIV/0!</v>
      </c>
      <c r="DE110" s="22"/>
      <c r="DF110" s="162">
        <v>27949.690000000002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 t="e">
        <f t="shared" si="1003"/>
        <v>#DIV/0!</v>
      </c>
      <c r="BJ111" s="162">
        <f t="shared" si="1003"/>
        <v>0</v>
      </c>
      <c r="BK111" s="162" t="e">
        <f t="shared" si="1003"/>
        <v>#DIV/0!</v>
      </c>
      <c r="BL111" s="162">
        <f t="shared" si="1003"/>
        <v>0</v>
      </c>
      <c r="BM111" s="162" t="e">
        <f t="shared" si="1003"/>
        <v>#DIV/0!</v>
      </c>
      <c r="BN111" s="162">
        <f t="shared" si="1003"/>
        <v>0</v>
      </c>
      <c r="BO111" s="162" t="e">
        <f t="shared" si="1003"/>
        <v>#DIV/0!</v>
      </c>
      <c r="BP111" s="162">
        <f t="shared" si="1003"/>
        <v>0</v>
      </c>
      <c r="BQ111" s="162" t="e">
        <f t="shared" si="1003"/>
        <v>#DIV/0!</v>
      </c>
      <c r="BR111" s="162">
        <f t="shared" si="1003"/>
        <v>0</v>
      </c>
      <c r="BS111" s="162" t="e">
        <f t="shared" si="1003"/>
        <v>#DIV/0!</v>
      </c>
      <c r="BT111" s="162">
        <f t="shared" si="1003"/>
        <v>0</v>
      </c>
      <c r="BU111" s="162" t="e">
        <f t="shared" si="1003"/>
        <v>#DIV/0!</v>
      </c>
      <c r="BV111" s="162">
        <f t="shared" si="1003"/>
        <v>0</v>
      </c>
      <c r="BW111" s="162" t="e">
        <f t="shared" si="1003"/>
        <v>#DIV/0!</v>
      </c>
      <c r="BX111" s="162">
        <f t="shared" si="1003"/>
        <v>0</v>
      </c>
      <c r="BY111" s="162" t="e">
        <f t="shared" si="1003"/>
        <v>#DIV/0!</v>
      </c>
      <c r="BZ111" s="162">
        <f t="shared" si="1003"/>
        <v>0</v>
      </c>
      <c r="CA111" s="162" t="e">
        <f t="shared" si="1003"/>
        <v>#DIV/0!</v>
      </c>
      <c r="CB111" s="162">
        <f t="shared" si="1003"/>
        <v>0</v>
      </c>
      <c r="CC111" s="162" t="e">
        <f t="shared" si="1003"/>
        <v>#DIV/0!</v>
      </c>
      <c r="CD111" s="162">
        <f t="shared" si="1003"/>
        <v>0</v>
      </c>
      <c r="CE111" s="162" t="e">
        <f t="shared" ref="CE111:CF111" si="1004">+CE108+CE109</f>
        <v>#DIV/0!</v>
      </c>
      <c r="CF111" s="162">
        <f t="shared" si="1004"/>
        <v>0</v>
      </c>
      <c r="CG111" s="162">
        <f t="shared" ref="CG111:CH111" si="1005">+CG108+CG109</f>
        <v>-231.84000000000003</v>
      </c>
      <c r="CH111" s="162">
        <f t="shared" si="1005"/>
        <v>-1514.68</v>
      </c>
      <c r="CI111" s="162">
        <f t="shared" ref="CI111:CJ111" si="1006">+CI108+CI109</f>
        <v>-1290.0400000000002</v>
      </c>
      <c r="CJ111" s="162">
        <f t="shared" si="1006"/>
        <v>-1714.51</v>
      </c>
      <c r="CK111" s="162">
        <f t="shared" ref="CK111:CL111" si="1007">+CK108+CK109</f>
        <v>15793.329206641582</v>
      </c>
      <c r="CL111" s="162">
        <f t="shared" si="1007"/>
        <v>12647.766999999998</v>
      </c>
      <c r="CM111" s="21" t="e">
        <f t="shared" ref="CM111:DB111" si="1008">+CM108+CM109</f>
        <v>#DIV/0!</v>
      </c>
      <c r="CN111" s="21" t="e">
        <f t="shared" si="1008"/>
        <v>#DIV/0!</v>
      </c>
      <c r="CO111" s="21" t="e">
        <f t="shared" si="1008"/>
        <v>#DIV/0!</v>
      </c>
      <c r="CP111" s="21" t="e">
        <f t="shared" si="1008"/>
        <v>#DIV/0!</v>
      </c>
      <c r="CQ111" s="21" t="e">
        <f t="shared" si="1008"/>
        <v>#DIV/0!</v>
      </c>
      <c r="CR111" s="21" t="e">
        <f t="shared" si="1008"/>
        <v>#DIV/0!</v>
      </c>
      <c r="CS111" s="21" t="e">
        <f t="shared" si="1008"/>
        <v>#DIV/0!</v>
      </c>
      <c r="CT111" s="21" t="e">
        <f t="shared" si="1008"/>
        <v>#DIV/0!</v>
      </c>
      <c r="CU111" s="21" t="e">
        <f t="shared" si="1008"/>
        <v>#DIV/0!</v>
      </c>
      <c r="CV111" s="21" t="e">
        <f t="shared" si="1008"/>
        <v>#DIV/0!</v>
      </c>
      <c r="CW111" s="21" t="e">
        <f t="shared" si="1008"/>
        <v>#DIV/0!</v>
      </c>
      <c r="CX111" s="21" t="e">
        <f t="shared" si="1008"/>
        <v>#DIV/0!</v>
      </c>
      <c r="CY111" s="21" t="e">
        <f t="shared" si="1008"/>
        <v>#DIV/0!</v>
      </c>
      <c r="CZ111" s="21" t="e">
        <f t="shared" si="1008"/>
        <v>#DIV/0!</v>
      </c>
      <c r="DA111" s="21" t="e">
        <f t="shared" si="1008"/>
        <v>#DIV/0!</v>
      </c>
      <c r="DB111" s="21" t="e">
        <f t="shared" si="1008"/>
        <v>#DIV/0!</v>
      </c>
      <c r="DE111" s="22"/>
      <c r="DF111" s="162">
        <v>-1440.53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0</v>
      </c>
      <c r="K112" s="162">
        <f t="shared" si="1009"/>
        <v>0</v>
      </c>
      <c r="L112" s="162">
        <f t="shared" si="1009"/>
        <v>0</v>
      </c>
      <c r="M112" s="162">
        <f t="shared" si="1009"/>
        <v>0</v>
      </c>
      <c r="N112" s="162">
        <f t="shared" si="1009"/>
        <v>0</v>
      </c>
      <c r="O112" s="162">
        <f t="shared" si="1009"/>
        <v>0</v>
      </c>
      <c r="P112" s="162">
        <f t="shared" si="1009"/>
        <v>0</v>
      </c>
      <c r="Q112" s="162">
        <f t="shared" si="1009"/>
        <v>0</v>
      </c>
      <c r="R112" s="162">
        <f t="shared" si="1009"/>
        <v>0</v>
      </c>
      <c r="S112" s="162">
        <f t="shared" si="1009"/>
        <v>0</v>
      </c>
      <c r="T112" s="162">
        <f t="shared" si="1009"/>
        <v>0</v>
      </c>
      <c r="U112" s="162">
        <f t="shared" si="1009"/>
        <v>0</v>
      </c>
      <c r="V112" s="162">
        <f t="shared" si="1009"/>
        <v>0</v>
      </c>
      <c r="W112" s="162">
        <f t="shared" si="1009"/>
        <v>-549.37199999999996</v>
      </c>
      <c r="X112" s="162">
        <f t="shared" si="1009"/>
        <v>-364.01300000000015</v>
      </c>
      <c r="Y112" s="162">
        <f t="shared" si="1009"/>
        <v>-146.38999999999999</v>
      </c>
      <c r="Z112" s="162">
        <f t="shared" si="1009"/>
        <v>-32.090000000000032</v>
      </c>
      <c r="AA112" s="162">
        <f t="shared" ref="AA112" si="1010">+AA28</f>
        <v>-223.3900000000001</v>
      </c>
      <c r="AB112" s="21" t="e">
        <f t="shared" si="1009"/>
        <v>#DIV/0!</v>
      </c>
      <c r="AC112" s="21" t="e">
        <f t="shared" si="1009"/>
        <v>#DIV/0!</v>
      </c>
      <c r="AD112" s="21" t="e">
        <f t="shared" si="1009"/>
        <v>#DIV/0!</v>
      </c>
      <c r="AE112" s="21" t="e">
        <f t="shared" si="1009"/>
        <v>#DIV/0!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0</v>
      </c>
      <c r="BA112" s="162">
        <f t="shared" si="1011"/>
        <v>0</v>
      </c>
      <c r="BB112" s="162">
        <f t="shared" si="1011"/>
        <v>0</v>
      </c>
      <c r="BC112" s="162">
        <f t="shared" si="1011"/>
        <v>0</v>
      </c>
      <c r="BD112" s="162">
        <f t="shared" si="1011"/>
        <v>0</v>
      </c>
      <c r="BE112" s="162">
        <f t="shared" si="1011"/>
        <v>0</v>
      </c>
      <c r="BF112" s="162">
        <f t="shared" si="1011"/>
        <v>0</v>
      </c>
      <c r="BG112" s="162">
        <f t="shared" si="1011"/>
        <v>0</v>
      </c>
      <c r="BH112" s="162">
        <f t="shared" si="1011"/>
        <v>0</v>
      </c>
      <c r="BI112" s="162">
        <f t="shared" si="1011"/>
        <v>0</v>
      </c>
      <c r="BJ112" s="162">
        <f t="shared" si="1011"/>
        <v>0</v>
      </c>
      <c r="BK112" s="162">
        <f t="shared" si="1011"/>
        <v>0</v>
      </c>
      <c r="BL112" s="162">
        <f t="shared" si="1011"/>
        <v>0</v>
      </c>
      <c r="BM112" s="162">
        <f t="shared" si="1011"/>
        <v>0</v>
      </c>
      <c r="BN112" s="162">
        <f t="shared" si="1011"/>
        <v>0</v>
      </c>
      <c r="BO112" s="162">
        <f t="shared" si="1011"/>
        <v>0</v>
      </c>
      <c r="BP112" s="162">
        <f t="shared" si="1011"/>
        <v>0</v>
      </c>
      <c r="BQ112" s="162">
        <f t="shared" si="1011"/>
        <v>0</v>
      </c>
      <c r="BR112" s="162">
        <f t="shared" ref="BR112:CW112" si="1012">+SUM(BO28:BR28)</f>
        <v>0</v>
      </c>
      <c r="BS112" s="162">
        <f t="shared" si="1012"/>
        <v>0</v>
      </c>
      <c r="BT112" s="162">
        <f t="shared" si="1012"/>
        <v>0</v>
      </c>
      <c r="BU112" s="162">
        <f t="shared" si="1012"/>
        <v>0</v>
      </c>
      <c r="BV112" s="162">
        <f t="shared" si="1012"/>
        <v>0</v>
      </c>
      <c r="BW112" s="162">
        <f t="shared" si="1012"/>
        <v>0</v>
      </c>
      <c r="BX112" s="162">
        <f t="shared" si="1012"/>
        <v>0</v>
      </c>
      <c r="BY112" s="162">
        <f t="shared" si="1012"/>
        <v>0</v>
      </c>
      <c r="BZ112" s="162">
        <f t="shared" si="1012"/>
        <v>0</v>
      </c>
      <c r="CA112" s="162">
        <f t="shared" si="1012"/>
        <v>0</v>
      </c>
      <c r="CB112" s="162">
        <f t="shared" si="1012"/>
        <v>0</v>
      </c>
      <c r="CC112" s="162">
        <f t="shared" si="1012"/>
        <v>0</v>
      </c>
      <c r="CD112" s="162">
        <f t="shared" si="1012"/>
        <v>0</v>
      </c>
      <c r="CE112" s="162">
        <f t="shared" si="1012"/>
        <v>0</v>
      </c>
      <c r="CF112" s="162">
        <f t="shared" si="1012"/>
        <v>-16.309999999999945</v>
      </c>
      <c r="CG112" s="162">
        <f t="shared" si="1012"/>
        <v>-18.209999999999923</v>
      </c>
      <c r="CH112" s="162">
        <f t="shared" si="1012"/>
        <v>-28.13999999999993</v>
      </c>
      <c r="CI112" s="162">
        <f t="shared" si="1012"/>
        <v>-28.13999999999993</v>
      </c>
      <c r="CJ112" s="162">
        <f t="shared" si="1012"/>
        <v>-80.19</v>
      </c>
      <c r="CK112" s="162">
        <f t="shared" si="1012"/>
        <v>-113.60000000000002</v>
      </c>
      <c r="CL112" s="162">
        <f t="shared" si="1012"/>
        <v>-218.11</v>
      </c>
      <c r="CM112" s="21" t="e">
        <f t="shared" si="1012"/>
        <v>#DIV/0!</v>
      </c>
      <c r="CN112" s="21" t="e">
        <f t="shared" si="1012"/>
        <v>#DIV/0!</v>
      </c>
      <c r="CO112" s="21" t="e">
        <f t="shared" si="1012"/>
        <v>#DIV/0!</v>
      </c>
      <c r="CP112" s="21" t="e">
        <f t="shared" si="1012"/>
        <v>#DIV/0!</v>
      </c>
      <c r="CQ112" s="21" t="e">
        <f t="shared" si="1012"/>
        <v>#DIV/0!</v>
      </c>
      <c r="CR112" s="21" t="e">
        <f t="shared" si="1012"/>
        <v>#DIV/0!</v>
      </c>
      <c r="CS112" s="21" t="e">
        <f t="shared" si="1012"/>
        <v>#DIV/0!</v>
      </c>
      <c r="CT112" s="21" t="e">
        <f t="shared" si="1012"/>
        <v>#DIV/0!</v>
      </c>
      <c r="CU112" s="21" t="e">
        <f t="shared" si="1012"/>
        <v>#DIV/0!</v>
      </c>
      <c r="CV112" s="21" t="e">
        <f t="shared" si="1012"/>
        <v>#DIV/0!</v>
      </c>
      <c r="CW112" s="21" t="e">
        <f t="shared" si="1012"/>
        <v>#DIV/0!</v>
      </c>
      <c r="CX112" s="21" t="e">
        <f t="shared" ref="CX112:DB112" si="1013">+SUM(CU28:CX28)</f>
        <v>#DIV/0!</v>
      </c>
      <c r="CY112" s="21" t="e">
        <f t="shared" si="1013"/>
        <v>#DIV/0!</v>
      </c>
      <c r="CZ112" s="21" t="e">
        <f t="shared" si="1013"/>
        <v>#DIV/0!</v>
      </c>
      <c r="DA112" s="21" t="e">
        <f t="shared" si="1013"/>
        <v>#DIV/0!</v>
      </c>
      <c r="DB112" s="21" t="e">
        <f t="shared" si="1013"/>
        <v>#DIV/0!</v>
      </c>
      <c r="DE112" s="22"/>
      <c r="DF112" s="162">
        <v>-218.11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 t="e">
        <f t="shared" si="1021"/>
        <v>#DIV/0!</v>
      </c>
      <c r="BA113" s="162" t="e">
        <f t="shared" si="1021"/>
        <v>#DIV/0!</v>
      </c>
      <c r="BB113" s="162" t="e">
        <f t="shared" si="1021"/>
        <v>#DIV/0!</v>
      </c>
      <c r="BC113" s="162" t="e">
        <f t="shared" si="1021"/>
        <v>#DIV/0!</v>
      </c>
      <c r="BD113" s="162" t="e">
        <f t="shared" si="1021"/>
        <v>#DIV/0!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 t="e">
        <f t="shared" si="1021"/>
        <v>#DIV/0!</v>
      </c>
      <c r="BI113" s="162" t="e">
        <f t="shared" si="1021"/>
        <v>#DIV/0!</v>
      </c>
      <c r="BJ113" s="162" t="e">
        <f t="shared" si="1021"/>
        <v>#DIV/0!</v>
      </c>
      <c r="BK113" s="162" t="e">
        <f t="shared" si="1021"/>
        <v>#DIV/0!</v>
      </c>
      <c r="BL113" s="162" t="e">
        <f t="shared" si="1021"/>
        <v>#DIV/0!</v>
      </c>
      <c r="BM113" s="162" t="e">
        <f t="shared" si="1021"/>
        <v>#DIV/0!</v>
      </c>
      <c r="BN113" s="162" t="e">
        <f t="shared" si="1021"/>
        <v>#DIV/0!</v>
      </c>
      <c r="BO113" s="162" t="e">
        <f t="shared" si="1021"/>
        <v>#DIV/0!</v>
      </c>
      <c r="BP113" s="162" t="e">
        <f t="shared" si="1021"/>
        <v>#DIV/0!</v>
      </c>
      <c r="BQ113" s="162" t="e">
        <f t="shared" si="1021"/>
        <v>#DIV/0!</v>
      </c>
      <c r="BR113" s="162" t="e">
        <f t="shared" si="1021"/>
        <v>#DIV/0!</v>
      </c>
      <c r="BS113" s="162" t="e">
        <f t="shared" si="1021"/>
        <v>#DIV/0!</v>
      </c>
      <c r="BT113" s="162" t="e">
        <f t="shared" si="1021"/>
        <v>#DIV/0!</v>
      </c>
      <c r="BU113" s="162" t="e">
        <f t="shared" si="1021"/>
        <v>#DIV/0!</v>
      </c>
      <c r="BV113" s="162" t="e">
        <f t="shared" si="1021"/>
        <v>#DIV/0!</v>
      </c>
      <c r="BW113" s="162" t="e">
        <f t="shared" si="1021"/>
        <v>#DIV/0!</v>
      </c>
      <c r="BX113" s="162" t="e">
        <f t="shared" si="1021"/>
        <v>#DIV/0!</v>
      </c>
      <c r="BY113" s="162" t="e">
        <f t="shared" si="1021"/>
        <v>#DIV/0!</v>
      </c>
      <c r="BZ113" s="162" t="e">
        <f t="shared" si="1021"/>
        <v>#DIV/0!</v>
      </c>
      <c r="CA113" s="162" t="e">
        <f t="shared" si="1021"/>
        <v>#DIV/0!</v>
      </c>
      <c r="CB113" s="162" t="e">
        <f t="shared" si="1021"/>
        <v>#DIV/0!</v>
      </c>
      <c r="CC113" s="162" t="e">
        <f t="shared" si="1021"/>
        <v>#DIV/0!</v>
      </c>
      <c r="CD113" s="162" t="e">
        <f t="shared" si="1021"/>
        <v>#DIV/0!</v>
      </c>
      <c r="CE113" s="162" t="e">
        <f t="shared" ref="CE113:CF113" si="1022">+CE110/CE112</f>
        <v>#DIV/0!</v>
      </c>
      <c r="CF113" s="162">
        <f t="shared" si="1022"/>
        <v>0</v>
      </c>
      <c r="CG113" s="162">
        <f t="shared" ref="CG113:CH113" si="1023">+CG110/CG112</f>
        <v>12.731466227347667</v>
      </c>
      <c r="CH113" s="162">
        <f t="shared" si="1023"/>
        <v>53.826581378820322</v>
      </c>
      <c r="CI113" s="162">
        <f t="shared" ref="CI113:CJ113" si="1024">+CI110/CI112</f>
        <v>45.843638948116684</v>
      </c>
      <c r="CJ113" s="162">
        <f t="shared" si="1024"/>
        <v>-338.5344806085547</v>
      </c>
      <c r="CK113" s="162">
        <f t="shared" ref="CK113:CL113" si="1025">+CK110/CK112</f>
        <v>-208.40294195987306</v>
      </c>
      <c r="CL113" s="162">
        <f t="shared" si="1025"/>
        <v>-86.882073265783305</v>
      </c>
      <c r="CM113" s="21" t="e">
        <f t="shared" ref="CM113:DB113" si="1026">+CM110/CM112</f>
        <v>#DIV/0!</v>
      </c>
      <c r="CN113" s="21" t="e">
        <f t="shared" si="1026"/>
        <v>#DIV/0!</v>
      </c>
      <c r="CO113" s="21" t="e">
        <f t="shared" si="1026"/>
        <v>#DIV/0!</v>
      </c>
      <c r="CP113" s="21" t="e">
        <f t="shared" si="1026"/>
        <v>#DIV/0!</v>
      </c>
      <c r="CQ113" s="21" t="e">
        <f t="shared" si="1026"/>
        <v>#DIV/0!</v>
      </c>
      <c r="CR113" s="21" t="e">
        <f t="shared" si="1026"/>
        <v>#DIV/0!</v>
      </c>
      <c r="CS113" s="21" t="e">
        <f t="shared" si="1026"/>
        <v>#DIV/0!</v>
      </c>
      <c r="CT113" s="21" t="e">
        <f t="shared" si="1026"/>
        <v>#DIV/0!</v>
      </c>
      <c r="CU113" s="21" t="e">
        <f t="shared" si="1026"/>
        <v>#DIV/0!</v>
      </c>
      <c r="CV113" s="21" t="e">
        <f t="shared" si="1026"/>
        <v>#DIV/0!</v>
      </c>
      <c r="CW113" s="21" t="e">
        <f t="shared" si="1026"/>
        <v>#DIV/0!</v>
      </c>
      <c r="CX113" s="21" t="e">
        <f t="shared" si="1026"/>
        <v>#DIV/0!</v>
      </c>
      <c r="CY113" s="21" t="e">
        <f t="shared" si="1026"/>
        <v>#DIV/0!</v>
      </c>
      <c r="CZ113" s="21" t="e">
        <f t="shared" si="1026"/>
        <v>#DIV/0!</v>
      </c>
      <c r="DA113" s="21" t="e">
        <f t="shared" si="1026"/>
        <v>#DIV/0!</v>
      </c>
      <c r="DB113" s="21" t="e">
        <f t="shared" si="1026"/>
        <v>#DIV/0!</v>
      </c>
      <c r="DE113" s="22"/>
      <c r="DF113" s="162">
        <v>-128.14492687176195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 t="e">
        <f t="shared" si="1034"/>
        <v>#DIV/0!</v>
      </c>
      <c r="BA114" s="162" t="e">
        <f t="shared" si="1034"/>
        <v>#DIV/0!</v>
      </c>
      <c r="BB114" s="162" t="e">
        <f t="shared" si="1034"/>
        <v>#DIV/0!</v>
      </c>
      <c r="BC114" s="162" t="e">
        <f t="shared" si="1034"/>
        <v>#DIV/0!</v>
      </c>
      <c r="BD114" s="162" t="e">
        <f t="shared" si="1034"/>
        <v>#DIV/0!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 t="e">
        <f t="shared" si="1034"/>
        <v>#DIV/0!</v>
      </c>
      <c r="BI114" s="162" t="e">
        <f t="shared" si="1034"/>
        <v>#DIV/0!</v>
      </c>
      <c r="BJ114" s="162" t="e">
        <f t="shared" si="1034"/>
        <v>#DIV/0!</v>
      </c>
      <c r="BK114" s="162" t="e">
        <f t="shared" si="1034"/>
        <v>#DIV/0!</v>
      </c>
      <c r="BL114" s="162" t="e">
        <f t="shared" si="1034"/>
        <v>#DIV/0!</v>
      </c>
      <c r="BM114" s="162" t="e">
        <f t="shared" si="1034"/>
        <v>#DIV/0!</v>
      </c>
      <c r="BN114" s="162" t="e">
        <f t="shared" si="1034"/>
        <v>#DIV/0!</v>
      </c>
      <c r="BO114" s="162" t="e">
        <f t="shared" si="1034"/>
        <v>#DIV/0!</v>
      </c>
      <c r="BP114" s="162" t="e">
        <f t="shared" si="1034"/>
        <v>#DIV/0!</v>
      </c>
      <c r="BQ114" s="162" t="e">
        <f t="shared" si="1034"/>
        <v>#DIV/0!</v>
      </c>
      <c r="BR114" s="162" t="e">
        <f t="shared" si="1034"/>
        <v>#DIV/0!</v>
      </c>
      <c r="BS114" s="162" t="e">
        <f t="shared" si="1034"/>
        <v>#DIV/0!</v>
      </c>
      <c r="BT114" s="162" t="e">
        <f t="shared" si="1034"/>
        <v>#DIV/0!</v>
      </c>
      <c r="BU114" s="162" t="e">
        <f t="shared" si="1034"/>
        <v>#DIV/0!</v>
      </c>
      <c r="BV114" s="162" t="e">
        <f t="shared" si="1034"/>
        <v>#DIV/0!</v>
      </c>
      <c r="BW114" s="162" t="e">
        <f t="shared" si="1034"/>
        <v>#DIV/0!</v>
      </c>
      <c r="BX114" s="162" t="e">
        <f t="shared" si="1034"/>
        <v>#DIV/0!</v>
      </c>
      <c r="BY114" s="162" t="e">
        <f t="shared" si="1034"/>
        <v>#DIV/0!</v>
      </c>
      <c r="BZ114" s="162" t="e">
        <f t="shared" si="1034"/>
        <v>#DIV/0!</v>
      </c>
      <c r="CA114" s="162" t="e">
        <f t="shared" si="1034"/>
        <v>#DIV/0!</v>
      </c>
      <c r="CB114" s="162" t="e">
        <f t="shared" si="1034"/>
        <v>#DIV/0!</v>
      </c>
      <c r="CC114" s="162" t="e">
        <f t="shared" si="1034"/>
        <v>#DIV/0!</v>
      </c>
      <c r="CD114" s="162" t="e">
        <f t="shared" si="1034"/>
        <v>#DIV/0!</v>
      </c>
      <c r="CE114" s="162" t="e">
        <f t="shared" ref="CE114:CF114" si="1035">+CE111/CE112</f>
        <v>#DIV/0!</v>
      </c>
      <c r="CF114" s="162">
        <f t="shared" si="1035"/>
        <v>0</v>
      </c>
      <c r="CG114" s="162">
        <f t="shared" ref="CG114:CH114" si="1036">+CG111/CG112</f>
        <v>12.731466227347667</v>
      </c>
      <c r="CH114" s="162">
        <f t="shared" si="1036"/>
        <v>53.826581378820322</v>
      </c>
      <c r="CI114" s="162">
        <f t="shared" ref="CI114:CJ114" si="1037">+CI111/CI112</f>
        <v>45.843638948116684</v>
      </c>
      <c r="CJ114" s="162">
        <f t="shared" si="1037"/>
        <v>21.380596084299789</v>
      </c>
      <c r="CK114" s="162">
        <f t="shared" ref="CK114:CL114" si="1038">+CK111/CK112</f>
        <v>-139.02578526973221</v>
      </c>
      <c r="CL114" s="162">
        <f t="shared" si="1038"/>
        <v>-57.988019806519631</v>
      </c>
      <c r="CM114" s="21" t="e">
        <f t="shared" ref="CM114:DB114" si="1039">+CM111/CM112</f>
        <v>#DIV/0!</v>
      </c>
      <c r="CN114" s="21" t="e">
        <f t="shared" si="1039"/>
        <v>#DIV/0!</v>
      </c>
      <c r="CO114" s="21" t="e">
        <f t="shared" si="1039"/>
        <v>#DIV/0!</v>
      </c>
      <c r="CP114" s="21" t="e">
        <f t="shared" si="1039"/>
        <v>#DIV/0!</v>
      </c>
      <c r="CQ114" s="21" t="e">
        <f t="shared" si="1039"/>
        <v>#DIV/0!</v>
      </c>
      <c r="CR114" s="21" t="e">
        <f t="shared" si="1039"/>
        <v>#DIV/0!</v>
      </c>
      <c r="CS114" s="21" t="e">
        <f t="shared" si="1039"/>
        <v>#DIV/0!</v>
      </c>
      <c r="CT114" s="21" t="e">
        <f t="shared" si="1039"/>
        <v>#DIV/0!</v>
      </c>
      <c r="CU114" s="21" t="e">
        <f t="shared" si="1039"/>
        <v>#DIV/0!</v>
      </c>
      <c r="CV114" s="21" t="e">
        <f t="shared" si="1039"/>
        <v>#DIV/0!</v>
      </c>
      <c r="CW114" s="21" t="e">
        <f t="shared" si="1039"/>
        <v>#DIV/0!</v>
      </c>
      <c r="CX114" s="21" t="e">
        <f t="shared" si="1039"/>
        <v>#DIV/0!</v>
      </c>
      <c r="CY114" s="21" t="e">
        <f t="shared" si="1039"/>
        <v>#DIV/0!</v>
      </c>
      <c r="CZ114" s="21" t="e">
        <f t="shared" si="1039"/>
        <v>#DIV/0!</v>
      </c>
      <c r="DA114" s="21" t="e">
        <f t="shared" si="1039"/>
        <v>#DIV/0!</v>
      </c>
      <c r="DB114" s="21" t="e">
        <f t="shared" si="1039"/>
        <v>#DIV/0!</v>
      </c>
      <c r="DE114" s="22"/>
      <c r="DF114" s="162">
        <v>6.6046031818807016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0</v>
      </c>
      <c r="W117" s="23">
        <f>'Annual Raw'!X41</f>
        <v>0.4</v>
      </c>
      <c r="X117" s="23">
        <f>'Annual Raw'!Y41</f>
        <v>0.4</v>
      </c>
      <c r="Y117" s="23">
        <f>'Annual Raw'!Z41</f>
        <v>0.4</v>
      </c>
      <c r="Z117" s="23">
        <f>'Annual Raw'!AA41</f>
        <v>49.36</v>
      </c>
      <c r="AA117" s="23">
        <f>'Annual Raw'!AB41</f>
        <v>146.22</v>
      </c>
      <c r="AB117" s="24">
        <f>+CP117</f>
        <v>146.22</v>
      </c>
      <c r="AC117" s="24">
        <f>+CT117</f>
        <v>146.22</v>
      </c>
      <c r="AD117" s="24">
        <f>+CX117</f>
        <v>146.22</v>
      </c>
      <c r="AE117" s="24">
        <f>+DB117</f>
        <v>146.22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0</v>
      </c>
      <c r="BK117" s="23">
        <f t="shared" si="1040"/>
        <v>0</v>
      </c>
      <c r="BL117" s="23">
        <f>+'QTR Raw'!AF56</f>
        <v>0</v>
      </c>
      <c r="BM117" s="23">
        <f t="shared" si="1040"/>
        <v>0</v>
      </c>
      <c r="BN117" s="23">
        <f>+'QTR Raw'!AH56</f>
        <v>0</v>
      </c>
      <c r="BO117" s="23">
        <f t="shared" si="1040"/>
        <v>0</v>
      </c>
      <c r="BP117" s="23">
        <f>+'QTR Raw'!AJ56</f>
        <v>0</v>
      </c>
      <c r="BQ117" s="23">
        <f t="shared" si="1040"/>
        <v>0</v>
      </c>
      <c r="BR117" s="23">
        <f>+'QTR Raw'!AL56</f>
        <v>0</v>
      </c>
      <c r="BS117" s="23">
        <f t="shared" si="1040"/>
        <v>0</v>
      </c>
      <c r="BT117" s="23">
        <f>+'QTR Raw'!AN56</f>
        <v>0</v>
      </c>
      <c r="BU117" s="23">
        <f t="shared" si="1040"/>
        <v>0</v>
      </c>
      <c r="BV117" s="23">
        <f>+'QTR Raw'!AP56</f>
        <v>0</v>
      </c>
      <c r="BW117" s="23">
        <f t="shared" si="1040"/>
        <v>0</v>
      </c>
      <c r="BX117" s="23">
        <f>+'QTR Raw'!AR56</f>
        <v>0</v>
      </c>
      <c r="BY117" s="23">
        <f t="shared" si="1040"/>
        <v>0</v>
      </c>
      <c r="BZ117" s="23">
        <f>+'QTR Raw'!AT56</f>
        <v>0</v>
      </c>
      <c r="CA117" s="23">
        <f t="shared" si="1040"/>
        <v>0</v>
      </c>
      <c r="CB117" s="23">
        <f>+'QTR Raw'!AV56</f>
        <v>0</v>
      </c>
      <c r="CC117" s="23">
        <f t="shared" si="1040"/>
        <v>0</v>
      </c>
      <c r="CD117" s="23">
        <f>+'QTR Raw'!AX56</f>
        <v>0</v>
      </c>
      <c r="CE117" s="23">
        <f t="shared" si="1040"/>
        <v>0</v>
      </c>
      <c r="CF117" s="23">
        <f>+'QTR Raw'!AZ56</f>
        <v>0</v>
      </c>
      <c r="CG117" s="23">
        <f t="shared" ref="CG117:CG118" si="1041">+CF117</f>
        <v>0</v>
      </c>
      <c r="CH117" s="23">
        <f>Z117</f>
        <v>49.36</v>
      </c>
      <c r="CI117" s="23">
        <f>CH117</f>
        <v>49.36</v>
      </c>
      <c r="CJ117" s="23">
        <f>+'QTR Raw'!BD56</f>
        <v>143.59</v>
      </c>
      <c r="CK117" s="24">
        <f t="shared" ref="CK117:DB117" si="1042">CJ117</f>
        <v>143.59</v>
      </c>
      <c r="CL117" s="23">
        <f>+'QTR Raw'!BF56</f>
        <v>146.22</v>
      </c>
      <c r="CM117" s="24">
        <f t="shared" si="1042"/>
        <v>146.22</v>
      </c>
      <c r="CN117" s="24">
        <f t="shared" si="1042"/>
        <v>146.22</v>
      </c>
      <c r="CO117" s="24">
        <f t="shared" si="1042"/>
        <v>146.22</v>
      </c>
      <c r="CP117" s="24">
        <f t="shared" si="1042"/>
        <v>146.22</v>
      </c>
      <c r="CQ117" s="24">
        <f t="shared" si="1042"/>
        <v>146.22</v>
      </c>
      <c r="CR117" s="24">
        <f t="shared" si="1042"/>
        <v>146.22</v>
      </c>
      <c r="CS117" s="24">
        <f t="shared" si="1042"/>
        <v>146.22</v>
      </c>
      <c r="CT117" s="24">
        <f t="shared" si="1042"/>
        <v>146.22</v>
      </c>
      <c r="CU117" s="24">
        <f t="shared" si="1042"/>
        <v>146.22</v>
      </c>
      <c r="CV117" s="24">
        <f t="shared" si="1042"/>
        <v>146.22</v>
      </c>
      <c r="CW117" s="24">
        <f t="shared" si="1042"/>
        <v>146.22</v>
      </c>
      <c r="CX117" s="24">
        <f t="shared" si="1042"/>
        <v>146.22</v>
      </c>
      <c r="CY117" s="24">
        <f t="shared" si="1042"/>
        <v>146.22</v>
      </c>
      <c r="CZ117" s="24">
        <f t="shared" si="1042"/>
        <v>146.22</v>
      </c>
      <c r="DA117" s="24">
        <f t="shared" si="1042"/>
        <v>146.22</v>
      </c>
      <c r="DB117" s="24">
        <f t="shared" si="1042"/>
        <v>146.22</v>
      </c>
      <c r="DE117" s="123"/>
      <c r="DF117" s="23">
        <v>143.59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319.01299999999998</v>
      </c>
      <c r="X118" s="23">
        <f>'Annual Raw'!Y42</f>
        <v>412.416</v>
      </c>
      <c r="Y118" s="23">
        <f>'Annual Raw'!Z42</f>
        <v>458.82600000000002</v>
      </c>
      <c r="Z118" s="23">
        <f>'Annual Raw'!AA42</f>
        <v>434.37</v>
      </c>
      <c r="AA118" s="23">
        <f>'Annual Raw'!AB42</f>
        <v>428.51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434.37</v>
      </c>
      <c r="CI118" s="23">
        <f>CH118</f>
        <v>434.37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0</v>
      </c>
      <c r="W119" s="23">
        <f>'Annual Raw'!X43</f>
        <v>1232.021</v>
      </c>
      <c r="X119" s="23">
        <f>'Annual Raw'!Y43</f>
        <v>926.64599999999996</v>
      </c>
      <c r="Y119" s="23">
        <f>'Annual Raw'!Z43</f>
        <v>833.41499999999996</v>
      </c>
      <c r="Z119" s="23">
        <f>'Annual Raw'!AA43</f>
        <v>1312.09</v>
      </c>
      <c r="AA119" s="23">
        <f>'Annual Raw'!AB43</f>
        <v>1568.86</v>
      </c>
      <c r="AB119" s="24" t="e">
        <f t="shared" si="1043"/>
        <v>#DIV/0!</v>
      </c>
      <c r="AC119" s="24" t="e">
        <f t="shared" si="1044"/>
        <v>#DIV/0!</v>
      </c>
      <c r="AD119" s="24" t="e">
        <f t="shared" si="1045"/>
        <v>#DIV/0!</v>
      </c>
      <c r="AE119" s="24" t="e">
        <f t="shared" si="1046"/>
        <v>#DIV/0!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0</v>
      </c>
      <c r="BV119" s="23">
        <f>+'QTR Raw'!AP58</f>
        <v>0</v>
      </c>
      <c r="BW119" s="23">
        <f>+BV119+BW48</f>
        <v>0</v>
      </c>
      <c r="BX119" s="23">
        <f>+'QTR Raw'!AR58</f>
        <v>0</v>
      </c>
      <c r="BY119" s="23">
        <f>+BX119+BY48</f>
        <v>0</v>
      </c>
      <c r="BZ119" s="23">
        <f>+'QTR Raw'!AT58</f>
        <v>0</v>
      </c>
      <c r="CA119" s="23">
        <f>+BZ119+CA48</f>
        <v>0</v>
      </c>
      <c r="CB119" s="23">
        <f>+'QTR Raw'!AV58</f>
        <v>0</v>
      </c>
      <c r="CC119" s="23">
        <f>+CB119+CC48</f>
        <v>0</v>
      </c>
      <c r="CD119" s="23">
        <f>+'QTR Raw'!AX58</f>
        <v>0</v>
      </c>
      <c r="CE119" s="23">
        <f>+CD119+CE48</f>
        <v>0</v>
      </c>
      <c r="CF119" s="23">
        <f>+'QTR Raw'!AZ58</f>
        <v>0</v>
      </c>
      <c r="CG119" s="23">
        <f>+CF119+CG48</f>
        <v>231.84000000000003</v>
      </c>
      <c r="CH119" s="23">
        <f t="shared" si="1048"/>
        <v>1312.09</v>
      </c>
      <c r="CI119" s="23">
        <f>CH119+CI48</f>
        <v>1312.09</v>
      </c>
      <c r="CJ119" s="23">
        <f>+'QTR Raw'!BD58</f>
        <v>2121.5</v>
      </c>
      <c r="CK119" s="24">
        <f t="shared" ref="CK119:DB119" si="1050">CJ119+CK48</f>
        <v>2100.2399999999998</v>
      </c>
      <c r="CL119" s="23">
        <f>+'QTR Raw'!BF58</f>
        <v>1997.37</v>
      </c>
      <c r="CM119" s="24" t="e">
        <f t="shared" si="1050"/>
        <v>#DIV/0!</v>
      </c>
      <c r="CN119" s="24" t="e">
        <f t="shared" si="1050"/>
        <v>#DIV/0!</v>
      </c>
      <c r="CO119" s="24" t="e">
        <f t="shared" si="1050"/>
        <v>#DIV/0!</v>
      </c>
      <c r="CP119" s="24" t="e">
        <f t="shared" si="1050"/>
        <v>#DIV/0!</v>
      </c>
      <c r="CQ119" s="24" t="e">
        <f t="shared" si="1050"/>
        <v>#DIV/0!</v>
      </c>
      <c r="CR119" s="24" t="e">
        <f t="shared" si="1050"/>
        <v>#DIV/0!</v>
      </c>
      <c r="CS119" s="24" t="e">
        <f t="shared" si="1050"/>
        <v>#DIV/0!</v>
      </c>
      <c r="CT119" s="24" t="e">
        <f t="shared" si="1050"/>
        <v>#DIV/0!</v>
      </c>
      <c r="CU119" s="24" t="e">
        <f t="shared" si="1050"/>
        <v>#DIV/0!</v>
      </c>
      <c r="CV119" s="24" t="e">
        <f t="shared" si="1050"/>
        <v>#DIV/0!</v>
      </c>
      <c r="CW119" s="24" t="e">
        <f t="shared" si="1050"/>
        <v>#DIV/0!</v>
      </c>
      <c r="CX119" s="24" t="e">
        <f t="shared" si="1050"/>
        <v>#DIV/0!</v>
      </c>
      <c r="CY119" s="24" t="e">
        <f t="shared" si="1050"/>
        <v>#DIV/0!</v>
      </c>
      <c r="CZ119" s="24" t="e">
        <f t="shared" si="1050"/>
        <v>#DIV/0!</v>
      </c>
      <c r="DA119" s="24" t="e">
        <f t="shared" si="1050"/>
        <v>#DIV/0!</v>
      </c>
      <c r="DB119" s="24" t="e">
        <f t="shared" si="1050"/>
        <v>#DIV/0!</v>
      </c>
      <c r="DE119" s="123"/>
      <c r="DF119" s="23">
        <v>1997.37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0</v>
      </c>
      <c r="K120" s="22">
        <f t="shared" si="1051"/>
        <v>0</v>
      </c>
      <c r="L120" s="22">
        <f t="shared" si="1051"/>
        <v>0</v>
      </c>
      <c r="M120" s="22">
        <f>M117+M118+M119</f>
        <v>0</v>
      </c>
      <c r="N120" s="22">
        <f t="shared" si="1051"/>
        <v>0</v>
      </c>
      <c r="O120" s="22">
        <f t="shared" si="1051"/>
        <v>0</v>
      </c>
      <c r="P120" s="22">
        <f t="shared" si="1051"/>
        <v>0</v>
      </c>
      <c r="Q120" s="22">
        <f t="shared" si="1051"/>
        <v>0</v>
      </c>
      <c r="R120" s="22">
        <f t="shared" si="1051"/>
        <v>0</v>
      </c>
      <c r="S120" s="22">
        <f t="shared" si="1051"/>
        <v>0</v>
      </c>
      <c r="T120" s="22">
        <f t="shared" si="1051"/>
        <v>0</v>
      </c>
      <c r="U120" s="22">
        <f t="shared" si="1051"/>
        <v>0</v>
      </c>
      <c r="V120" s="22">
        <f t="shared" si="1051"/>
        <v>0</v>
      </c>
      <c r="W120" s="22">
        <f t="shared" ref="W120" si="1052">W117+W118+W119</f>
        <v>1551.434</v>
      </c>
      <c r="X120" s="22">
        <f t="shared" ref="X120:Y120" si="1053">X117+X118+X119</f>
        <v>1339.462</v>
      </c>
      <c r="Y120" s="22">
        <f t="shared" si="1053"/>
        <v>1292.6410000000001</v>
      </c>
      <c r="Z120" s="22">
        <f t="shared" ref="Z120:AA120" si="1054">Z117+Z118+Z119</f>
        <v>1795.82</v>
      </c>
      <c r="AA120" s="22">
        <f t="shared" si="1054"/>
        <v>2143.59</v>
      </c>
      <c r="AB120" s="21" t="e">
        <f t="shared" ref="AA120:AD120" si="1055">AB117+AB118+AB119</f>
        <v>#DIV/0!</v>
      </c>
      <c r="AC120" s="21" t="e">
        <f t="shared" si="1055"/>
        <v>#DIV/0!</v>
      </c>
      <c r="AD120" s="21" t="e">
        <f t="shared" si="1055"/>
        <v>#DIV/0!</v>
      </c>
      <c r="AE120" s="21" t="e">
        <f t="shared" ref="AE120" si="1056">AE117+AE118+AE119</f>
        <v>#DIV/0!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0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0</v>
      </c>
      <c r="BH120" s="22">
        <f t="shared" si="1061"/>
        <v>0</v>
      </c>
      <c r="BI120" s="22">
        <f t="shared" si="1061"/>
        <v>0</v>
      </c>
      <c r="BJ120" s="22">
        <f t="shared" si="1061"/>
        <v>0</v>
      </c>
      <c r="BK120" s="22">
        <f t="shared" si="1061"/>
        <v>0</v>
      </c>
      <c r="BL120" s="22">
        <f t="shared" si="1061"/>
        <v>0</v>
      </c>
      <c r="BM120" s="22">
        <f t="shared" si="1061"/>
        <v>0</v>
      </c>
      <c r="BN120" s="22">
        <f t="shared" si="1061"/>
        <v>0</v>
      </c>
      <c r="BO120" s="22">
        <f t="shared" si="1061"/>
        <v>0</v>
      </c>
      <c r="BP120" s="22">
        <f t="shared" si="1061"/>
        <v>0</v>
      </c>
      <c r="BQ120" s="22">
        <f t="shared" si="1061"/>
        <v>0</v>
      </c>
      <c r="BR120" s="22">
        <f t="shared" si="1061"/>
        <v>0</v>
      </c>
      <c r="BS120" s="22">
        <f t="shared" si="1061"/>
        <v>0</v>
      </c>
      <c r="BT120" s="22">
        <f t="shared" si="1061"/>
        <v>0</v>
      </c>
      <c r="BU120" s="22">
        <f t="shared" si="1061"/>
        <v>0</v>
      </c>
      <c r="BV120" s="22">
        <f t="shared" si="1061"/>
        <v>0</v>
      </c>
      <c r="BW120" s="22">
        <f t="shared" si="1061"/>
        <v>0</v>
      </c>
      <c r="BX120" s="22">
        <f t="shared" si="1061"/>
        <v>0</v>
      </c>
      <c r="BY120" s="22">
        <f t="shared" si="1061"/>
        <v>0</v>
      </c>
      <c r="BZ120" s="22">
        <f t="shared" si="1061"/>
        <v>0</v>
      </c>
      <c r="CA120" s="22">
        <f t="shared" si="1061"/>
        <v>0</v>
      </c>
      <c r="CB120" s="22">
        <f t="shared" si="1061"/>
        <v>0</v>
      </c>
      <c r="CC120" s="22">
        <f t="shared" si="1061"/>
        <v>0</v>
      </c>
      <c r="CD120" s="22">
        <f t="shared" si="1061"/>
        <v>0</v>
      </c>
      <c r="CE120" s="22">
        <f t="shared" si="1061"/>
        <v>0</v>
      </c>
      <c r="CF120" s="22">
        <f t="shared" ref="CF120:CG120" si="1062">CF117+CF118+CF119</f>
        <v>0</v>
      </c>
      <c r="CG120" s="22">
        <f t="shared" si="1062"/>
        <v>231.84000000000003</v>
      </c>
      <c r="CH120" s="22">
        <f t="shared" ref="CH120:CI120" si="1063">CH117+CH118+CH119</f>
        <v>1795.82</v>
      </c>
      <c r="CI120" s="22">
        <f t="shared" si="1063"/>
        <v>1795.82</v>
      </c>
      <c r="CJ120" s="22">
        <f t="shared" ref="CJ120:DB120" si="1064">CJ117+CJ118+CJ119</f>
        <v>2265.09</v>
      </c>
      <c r="CK120" s="21">
        <f t="shared" si="1064"/>
        <v>2243.83</v>
      </c>
      <c r="CL120" s="22">
        <f t="shared" ref="CL120" si="1065">CL117+CL118+CL119</f>
        <v>2143.5899999999997</v>
      </c>
      <c r="CM120" s="21" t="e">
        <f t="shared" si="1064"/>
        <v>#DIV/0!</v>
      </c>
      <c r="CN120" s="21" t="e">
        <f t="shared" si="1064"/>
        <v>#DIV/0!</v>
      </c>
      <c r="CO120" s="21" t="e">
        <f t="shared" si="1064"/>
        <v>#DIV/0!</v>
      </c>
      <c r="CP120" s="21" t="e">
        <f t="shared" si="1064"/>
        <v>#DIV/0!</v>
      </c>
      <c r="CQ120" s="21" t="e">
        <f t="shared" si="1064"/>
        <v>#DIV/0!</v>
      </c>
      <c r="CR120" s="21" t="e">
        <f t="shared" si="1064"/>
        <v>#DIV/0!</v>
      </c>
      <c r="CS120" s="21" t="e">
        <f t="shared" si="1064"/>
        <v>#DIV/0!</v>
      </c>
      <c r="CT120" s="21" t="e">
        <f t="shared" si="1064"/>
        <v>#DIV/0!</v>
      </c>
      <c r="CU120" s="21" t="e">
        <f t="shared" si="1064"/>
        <v>#DIV/0!</v>
      </c>
      <c r="CV120" s="21" t="e">
        <f t="shared" si="1064"/>
        <v>#DIV/0!</v>
      </c>
      <c r="CW120" s="21" t="e">
        <f t="shared" si="1064"/>
        <v>#DIV/0!</v>
      </c>
      <c r="CX120" s="21" t="e">
        <f t="shared" si="1064"/>
        <v>#DIV/0!</v>
      </c>
      <c r="CY120" s="21" t="e">
        <f t="shared" si="1064"/>
        <v>#DIV/0!</v>
      </c>
      <c r="CZ120" s="21" t="e">
        <f t="shared" si="1064"/>
        <v>#DIV/0!</v>
      </c>
      <c r="DA120" s="21" t="e">
        <f t="shared" si="1064"/>
        <v>#DIV/0!</v>
      </c>
      <c r="DB120" s="21" t="e">
        <f t="shared" si="1064"/>
        <v>#DIV/0!</v>
      </c>
      <c r="DE120" s="126"/>
      <c r="DF120" s="22">
        <v>2143.5899999999997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0</v>
      </c>
      <c r="CE127" s="23">
        <f t="shared" si="1091"/>
        <v>0</v>
      </c>
      <c r="CF127" s="23">
        <f>+'QTR Raw'!AZ88</f>
        <v>0</v>
      </c>
      <c r="CG127" s="23">
        <f t="shared" si="1092"/>
        <v>0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</v>
      </c>
      <c r="P128" s="22">
        <f t="shared" si="1110"/>
        <v>0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0</v>
      </c>
      <c r="V128" s="22">
        <f t="shared" si="1110"/>
        <v>0</v>
      </c>
      <c r="W128" s="22">
        <f t="shared" ref="W128" si="1111">SUM(W124:W127)</f>
        <v>0</v>
      </c>
      <c r="X128" s="22">
        <f t="shared" ref="X128:Y128" si="1112">SUM(X124:X127)</f>
        <v>0</v>
      </c>
      <c r="Y128" s="22">
        <f t="shared" si="1112"/>
        <v>0</v>
      </c>
      <c r="Z128" s="22">
        <f t="shared" ref="Z128:AA128" si="1113">SUM(Z124:Z127)</f>
        <v>0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0</v>
      </c>
      <c r="BW128" s="22">
        <f t="shared" si="1120"/>
        <v>0</v>
      </c>
      <c r="BX128" s="22">
        <f t="shared" si="1120"/>
        <v>0</v>
      </c>
      <c r="BY128" s="22">
        <f t="shared" si="1120"/>
        <v>0</v>
      </c>
      <c r="BZ128" s="22">
        <f t="shared" si="1120"/>
        <v>0</v>
      </c>
      <c r="CA128" s="22">
        <f t="shared" si="1120"/>
        <v>0</v>
      </c>
      <c r="CB128" s="22">
        <f t="shared" si="1120"/>
        <v>0</v>
      </c>
      <c r="CC128" s="22">
        <f t="shared" si="1120"/>
        <v>0</v>
      </c>
      <c r="CD128" s="22">
        <f t="shared" si="1120"/>
        <v>0</v>
      </c>
      <c r="CE128" s="22">
        <f t="shared" si="1120"/>
        <v>0</v>
      </c>
      <c r="CF128" s="22">
        <f t="shared" ref="CF128:CG128" si="1122">SUM(CF124:CF127)</f>
        <v>0</v>
      </c>
      <c r="CG128" s="22">
        <f t="shared" si="1122"/>
        <v>0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0</v>
      </c>
      <c r="CK128" s="21">
        <f t="shared" si="1124"/>
        <v>0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0</v>
      </c>
      <c r="K129" s="26">
        <f t="shared" si="1126"/>
        <v>0</v>
      </c>
      <c r="L129" s="26">
        <f t="shared" si="1126"/>
        <v>0</v>
      </c>
      <c r="M129" s="26">
        <f t="shared" si="1126"/>
        <v>0</v>
      </c>
      <c r="N129" s="26">
        <f t="shared" si="1126"/>
        <v>0</v>
      </c>
      <c r="O129" s="26">
        <f t="shared" si="1126"/>
        <v>0</v>
      </c>
      <c r="P129" s="26">
        <f t="shared" si="1126"/>
        <v>0</v>
      </c>
      <c r="Q129" s="26">
        <f t="shared" si="1126"/>
        <v>0</v>
      </c>
      <c r="R129" s="26">
        <f t="shared" si="1126"/>
        <v>0</v>
      </c>
      <c r="S129" s="26">
        <f t="shared" si="1126"/>
        <v>0</v>
      </c>
      <c r="T129" s="26">
        <f t="shared" si="1126"/>
        <v>0</v>
      </c>
      <c r="U129" s="26">
        <f t="shared" si="1126"/>
        <v>0</v>
      </c>
      <c r="V129" s="26">
        <f t="shared" si="1126"/>
        <v>0</v>
      </c>
      <c r="W129" s="26">
        <f t="shared" ref="W129" si="1127">W128+W120+W122</f>
        <v>1551.434</v>
      </c>
      <c r="X129" s="26">
        <f t="shared" ref="X129:Y129" si="1128">X128+X120+X122</f>
        <v>1339.462</v>
      </c>
      <c r="Y129" s="26">
        <f t="shared" si="1128"/>
        <v>1292.6410000000001</v>
      </c>
      <c r="Z129" s="26">
        <f t="shared" ref="Z129:AA129" si="1129">Z128+Z120+Z122</f>
        <v>1795.82</v>
      </c>
      <c r="AA129" s="26">
        <f t="shared" si="1129"/>
        <v>2143.59</v>
      </c>
      <c r="AB129" s="27" t="e">
        <f t="shared" ref="AA129:AD129" si="1130">AB128+AB120+AB122</f>
        <v>#DIV/0!</v>
      </c>
      <c r="AC129" s="27" t="e">
        <f t="shared" si="1130"/>
        <v>#DIV/0!</v>
      </c>
      <c r="AD129" s="27" t="e">
        <f t="shared" si="1130"/>
        <v>#DIV/0!</v>
      </c>
      <c r="AE129" s="27" t="e">
        <f t="shared" ref="AE129" si="1131">AE128+AE120+AE122</f>
        <v>#DIV/0!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0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0</v>
      </c>
      <c r="BH129" s="26">
        <f t="shared" ref="BH129" si="1137">BH128+BH120+BH122</f>
        <v>0</v>
      </c>
      <c r="BI129" s="26">
        <f t="shared" si="1136"/>
        <v>0</v>
      </c>
      <c r="BJ129" s="26">
        <f t="shared" si="1136"/>
        <v>0</v>
      </c>
      <c r="BK129" s="26">
        <f t="shared" si="1136"/>
        <v>0</v>
      </c>
      <c r="BL129" s="26">
        <f t="shared" si="1136"/>
        <v>0</v>
      </c>
      <c r="BM129" s="26">
        <f t="shared" si="1136"/>
        <v>0</v>
      </c>
      <c r="BN129" s="26">
        <f t="shared" si="1136"/>
        <v>0</v>
      </c>
      <c r="BO129" s="26">
        <f t="shared" si="1136"/>
        <v>0</v>
      </c>
      <c r="BP129" s="26">
        <f t="shared" si="1136"/>
        <v>0</v>
      </c>
      <c r="BQ129" s="26">
        <f t="shared" si="1136"/>
        <v>0</v>
      </c>
      <c r="BR129" s="26">
        <f t="shared" si="1136"/>
        <v>0</v>
      </c>
      <c r="BS129" s="26">
        <f t="shared" si="1136"/>
        <v>0</v>
      </c>
      <c r="BT129" s="26">
        <f t="shared" si="1136"/>
        <v>0</v>
      </c>
      <c r="BU129" s="26">
        <f t="shared" si="1136"/>
        <v>0</v>
      </c>
      <c r="BV129" s="26">
        <f t="shared" si="1136"/>
        <v>0</v>
      </c>
      <c r="BW129" s="26">
        <f t="shared" si="1136"/>
        <v>0</v>
      </c>
      <c r="BX129" s="26">
        <f t="shared" si="1136"/>
        <v>0</v>
      </c>
      <c r="BY129" s="26">
        <f t="shared" si="1136"/>
        <v>0</v>
      </c>
      <c r="BZ129" s="26">
        <f t="shared" si="1136"/>
        <v>0</v>
      </c>
      <c r="CA129" s="26">
        <f t="shared" si="1136"/>
        <v>0</v>
      </c>
      <c r="CB129" s="26">
        <f t="shared" si="1136"/>
        <v>0</v>
      </c>
      <c r="CC129" s="26">
        <f t="shared" si="1136"/>
        <v>0</v>
      </c>
      <c r="CD129" s="26">
        <f t="shared" si="1136"/>
        <v>0</v>
      </c>
      <c r="CE129" s="26">
        <f t="shared" si="1136"/>
        <v>0</v>
      </c>
      <c r="CF129" s="26">
        <f t="shared" ref="CF129:CG129" si="1138">CF128+CF120+CF122</f>
        <v>0</v>
      </c>
      <c r="CG129" s="26">
        <f t="shared" si="1138"/>
        <v>231.84000000000003</v>
      </c>
      <c r="CH129" s="26">
        <f t="shared" ref="CH129:CI129" si="1139">CH128+CH120+CH122</f>
        <v>1795.82</v>
      </c>
      <c r="CI129" s="26">
        <f t="shared" si="1139"/>
        <v>1795.82</v>
      </c>
      <c r="CJ129" s="26">
        <f t="shared" ref="CJ129:DB129" si="1140">CJ128+CJ120+CJ122</f>
        <v>2265.09</v>
      </c>
      <c r="CK129" s="27">
        <f t="shared" si="1140"/>
        <v>2243.83</v>
      </c>
      <c r="CL129" s="26">
        <f t="shared" ref="CL129" si="1141">CL128+CL120+CL122</f>
        <v>2143.5899999999997</v>
      </c>
      <c r="CM129" s="27" t="e">
        <f t="shared" si="1140"/>
        <v>#DIV/0!</v>
      </c>
      <c r="CN129" s="27" t="e">
        <f t="shared" si="1140"/>
        <v>#DIV/0!</v>
      </c>
      <c r="CO129" s="27" t="e">
        <f t="shared" si="1140"/>
        <v>#DIV/0!</v>
      </c>
      <c r="CP129" s="27" t="e">
        <f t="shared" si="1140"/>
        <v>#DIV/0!</v>
      </c>
      <c r="CQ129" s="27" t="e">
        <f t="shared" si="1140"/>
        <v>#DIV/0!</v>
      </c>
      <c r="CR129" s="27" t="e">
        <f t="shared" si="1140"/>
        <v>#DIV/0!</v>
      </c>
      <c r="CS129" s="27" t="e">
        <f t="shared" si="1140"/>
        <v>#DIV/0!</v>
      </c>
      <c r="CT129" s="27" t="e">
        <f t="shared" si="1140"/>
        <v>#DIV/0!</v>
      </c>
      <c r="CU129" s="27" t="e">
        <f t="shared" si="1140"/>
        <v>#DIV/0!</v>
      </c>
      <c r="CV129" s="27" t="e">
        <f t="shared" si="1140"/>
        <v>#DIV/0!</v>
      </c>
      <c r="CW129" s="27" t="e">
        <f t="shared" si="1140"/>
        <v>#DIV/0!</v>
      </c>
      <c r="CX129" s="27" t="e">
        <f t="shared" si="1140"/>
        <v>#DIV/0!</v>
      </c>
      <c r="CY129" s="27" t="e">
        <f t="shared" si="1140"/>
        <v>#DIV/0!</v>
      </c>
      <c r="CZ129" s="27" t="e">
        <f t="shared" si="1140"/>
        <v>#DIV/0!</v>
      </c>
      <c r="DA129" s="27" t="e">
        <f t="shared" si="1140"/>
        <v>#DIV/0!</v>
      </c>
      <c r="DB129" s="27" t="e">
        <f t="shared" si="1140"/>
        <v>#DIV/0!</v>
      </c>
      <c r="DE129" s="121"/>
      <c r="DF129" s="26">
        <v>2143.5899999999997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0</v>
      </c>
      <c r="W131" s="23">
        <f>'Annual Raw'!X62-W135</f>
        <v>146.18100000000001</v>
      </c>
      <c r="X131" s="23">
        <f>'Annual Raw'!Y62-X135</f>
        <v>175.30099999999999</v>
      </c>
      <c r="Y131" s="23">
        <f>'Annual Raw'!Z62-Y135</f>
        <v>182.98500000000001</v>
      </c>
      <c r="Z131" s="23">
        <f>'Annual Raw'!AA62-Z135</f>
        <v>204.9</v>
      </c>
      <c r="AA131" s="23">
        <f>'Annual Raw'!AB62-AA135</f>
        <v>267.3</v>
      </c>
      <c r="AB131" s="24">
        <f t="shared" ref="AB131:AB137" si="1142">+CP131</f>
        <v>149.81</v>
      </c>
      <c r="AC131" s="24">
        <f t="shared" ref="AC131:AC137" si="1143">+CT131</f>
        <v>149.81</v>
      </c>
      <c r="AD131" s="24">
        <f t="shared" ref="AD131:AD137" si="1144">+CX131</f>
        <v>149.81</v>
      </c>
      <c r="AE131" s="24">
        <f t="shared" ref="AE131:AE137" si="1145">+DB131</f>
        <v>149.81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0</v>
      </c>
      <c r="CB131" s="23">
        <f>+'QTR Raw'!AV68</f>
        <v>0</v>
      </c>
      <c r="CD131" s="23">
        <f>+'QTR Raw'!AX68</f>
        <v>0</v>
      </c>
      <c r="CF131" s="23">
        <f>+'QTR Raw'!AZ68</f>
        <v>0</v>
      </c>
      <c r="CH131" s="23">
        <f t="shared" ref="CH131:CH137" si="1146">Z131</f>
        <v>204.9</v>
      </c>
      <c r="CI131" s="23">
        <f>CH131</f>
        <v>204.9</v>
      </c>
      <c r="CJ131" s="23">
        <f>+CJ132+CJ134</f>
        <v>112.37</v>
      </c>
      <c r="CK131" s="24">
        <f>+CJ131</f>
        <v>112.37</v>
      </c>
      <c r="CL131" s="23">
        <f>+CL132+CL134</f>
        <v>149.81</v>
      </c>
      <c r="CM131" s="24">
        <f t="shared" ref="CM131:DB131" si="1147">+CL131</f>
        <v>149.81</v>
      </c>
      <c r="CN131" s="24">
        <f t="shared" si="1147"/>
        <v>149.81</v>
      </c>
      <c r="CO131" s="24">
        <f t="shared" si="1147"/>
        <v>149.81</v>
      </c>
      <c r="CP131" s="24">
        <f t="shared" si="1147"/>
        <v>149.81</v>
      </c>
      <c r="CQ131" s="24">
        <f t="shared" si="1147"/>
        <v>149.81</v>
      </c>
      <c r="CR131" s="24">
        <f t="shared" si="1147"/>
        <v>149.81</v>
      </c>
      <c r="CS131" s="24">
        <f t="shared" si="1147"/>
        <v>149.81</v>
      </c>
      <c r="CT131" s="24">
        <f t="shared" si="1147"/>
        <v>149.81</v>
      </c>
      <c r="CU131" s="24">
        <f t="shared" si="1147"/>
        <v>149.81</v>
      </c>
      <c r="CV131" s="24">
        <f t="shared" si="1147"/>
        <v>149.81</v>
      </c>
      <c r="CW131" s="24">
        <f t="shared" si="1147"/>
        <v>149.81</v>
      </c>
      <c r="CX131" s="24">
        <f t="shared" si="1147"/>
        <v>149.81</v>
      </c>
      <c r="CY131" s="24">
        <f t="shared" si="1147"/>
        <v>149.81</v>
      </c>
      <c r="CZ131" s="24">
        <f t="shared" si="1147"/>
        <v>149.81</v>
      </c>
      <c r="DA131" s="24">
        <f t="shared" si="1147"/>
        <v>149.81</v>
      </c>
      <c r="DB131" s="24">
        <f t="shared" si="1147"/>
        <v>149.81</v>
      </c>
      <c r="DE131" s="123"/>
      <c r="DF131" s="23">
        <v>110.13499999999999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0</v>
      </c>
      <c r="W132" s="23">
        <f>'Annual Raw'!X63</f>
        <v>59.47</v>
      </c>
      <c r="X132" s="23">
        <f>'Annual Raw'!Y63</f>
        <v>54.713000000000001</v>
      </c>
      <c r="Y132" s="23">
        <f>'Annual Raw'!Z63</f>
        <v>66.122</v>
      </c>
      <c r="Z132" s="23">
        <f>'Annual Raw'!AA63</f>
        <v>77.930000000000007</v>
      </c>
      <c r="AA132" s="23">
        <f>'Annual Raw'!AB63</f>
        <v>108.88</v>
      </c>
      <c r="AB132" s="24">
        <f t="shared" si="1142"/>
        <v>149.80588904287998</v>
      </c>
      <c r="AC132" s="24">
        <f t="shared" si="1143"/>
        <v>149.80999953276284</v>
      </c>
      <c r="AD132" s="24">
        <f t="shared" si="1144"/>
        <v>149.80999999994691</v>
      </c>
      <c r="AE132" s="24">
        <f t="shared" si="1145"/>
        <v>149.81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77.930000000000007</v>
      </c>
      <c r="CI132" s="23">
        <f t="shared" ref="CI132:DB132" si="1148">CH132+CI32</f>
        <v>77.930000000000007</v>
      </c>
      <c r="CJ132" s="23">
        <f t="shared" si="1148"/>
        <v>88.34</v>
      </c>
      <c r="CK132" s="24">
        <f t="shared" si="1148"/>
        <v>100.07000000000001</v>
      </c>
      <c r="CL132" s="23">
        <f t="shared" si="1148"/>
        <v>113.64000000000001</v>
      </c>
      <c r="CM132" s="24">
        <f t="shared" si="1148"/>
        <v>153.5446260162602</v>
      </c>
      <c r="CN132" s="24">
        <f t="shared" si="1148"/>
        <v>149.42439227311786</v>
      </c>
      <c r="CO132" s="24">
        <f t="shared" si="1148"/>
        <v>149.84981478155612</v>
      </c>
      <c r="CP132" s="24">
        <f t="shared" si="1148"/>
        <v>149.80588904287998</v>
      </c>
      <c r="CQ132" s="24">
        <f t="shared" si="1148"/>
        <v>149.81042446467825</v>
      </c>
      <c r="CR132" s="24">
        <f t="shared" si="1148"/>
        <v>149.80995617315924</v>
      </c>
      <c r="CS132" s="24">
        <f t="shared" si="1148"/>
        <v>149.81000452521039</v>
      </c>
      <c r="CT132" s="24">
        <f t="shared" si="1148"/>
        <v>149.80999953276284</v>
      </c>
      <c r="CU132" s="24">
        <f t="shared" si="1148"/>
        <v>149.81000004824318</v>
      </c>
      <c r="CV132" s="24">
        <f t="shared" si="1148"/>
        <v>149.80999999501879</v>
      </c>
      <c r="CW132" s="24">
        <f t="shared" si="1148"/>
        <v>149.81000000051432</v>
      </c>
      <c r="CX132" s="24">
        <f t="shared" si="1148"/>
        <v>149.80999999994691</v>
      </c>
      <c r="CY132" s="24">
        <f t="shared" si="1148"/>
        <v>149.81000000000549</v>
      </c>
      <c r="CZ132" s="24">
        <f t="shared" si="1148"/>
        <v>149.80999999999943</v>
      </c>
      <c r="DA132" s="24">
        <f t="shared" si="1148"/>
        <v>149.81000000000006</v>
      </c>
      <c r="DB132" s="24">
        <f t="shared" si="1148"/>
        <v>149.81</v>
      </c>
      <c r="DE132" s="123"/>
      <c r="DF132" s="23">
        <v>103.83911985018726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0</v>
      </c>
      <c r="K134" s="22">
        <f t="shared" si="1150"/>
        <v>0</v>
      </c>
      <c r="L134" s="22">
        <f t="shared" si="1150"/>
        <v>0</v>
      </c>
      <c r="M134" s="22">
        <f t="shared" si="1150"/>
        <v>0</v>
      </c>
      <c r="N134" s="22">
        <f t="shared" si="1150"/>
        <v>0</v>
      </c>
      <c r="O134" s="22">
        <f t="shared" si="1150"/>
        <v>0</v>
      </c>
      <c r="P134" s="22">
        <f t="shared" si="1150"/>
        <v>0</v>
      </c>
      <c r="Q134" s="22">
        <f t="shared" si="1150"/>
        <v>0</v>
      </c>
      <c r="R134" s="22">
        <f t="shared" si="1150"/>
        <v>0</v>
      </c>
      <c r="S134" s="22">
        <f t="shared" si="1150"/>
        <v>0</v>
      </c>
      <c r="T134" s="22">
        <f t="shared" si="1150"/>
        <v>0</v>
      </c>
      <c r="U134" s="22">
        <f t="shared" si="1150"/>
        <v>0</v>
      </c>
      <c r="V134" s="22">
        <f t="shared" si="1150"/>
        <v>0</v>
      </c>
      <c r="W134" s="22">
        <f t="shared" si="1150"/>
        <v>86.711000000000013</v>
      </c>
      <c r="X134" s="22">
        <f t="shared" ref="X134:Y134" si="1151">+X131-X132-X133</f>
        <v>120.58799999999999</v>
      </c>
      <c r="Y134" s="22">
        <f t="shared" si="1151"/>
        <v>116.86300000000001</v>
      </c>
      <c r="Z134" s="22">
        <f t="shared" ref="Z134:AE134" si="1152">+Z131-Z132-Z133</f>
        <v>126.97</v>
      </c>
      <c r="AA134" s="22">
        <f t="shared" ref="AA134" si="1153">+AA131-AA132-AA133</f>
        <v>158.42000000000002</v>
      </c>
      <c r="AB134" s="21">
        <f t="shared" si="1152"/>
        <v>4.1109571200195205E-3</v>
      </c>
      <c r="AC134" s="21">
        <f t="shared" si="1152"/>
        <v>4.6723715740881744E-7</v>
      </c>
      <c r="AD134" s="21">
        <f t="shared" si="1152"/>
        <v>5.3091753215994686E-11</v>
      </c>
      <c r="AE134" s="21">
        <f t="shared" si="1152"/>
        <v>0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0</v>
      </c>
      <c r="BK134" s="22">
        <f t="shared" si="1155"/>
        <v>0</v>
      </c>
      <c r="BL134" s="22">
        <f t="shared" si="1157"/>
        <v>0</v>
      </c>
      <c r="BM134" s="22">
        <f t="shared" si="1155"/>
        <v>0</v>
      </c>
      <c r="BN134" s="22">
        <f t="shared" si="1157"/>
        <v>0</v>
      </c>
      <c r="BO134" s="22">
        <f t="shared" si="1155"/>
        <v>0</v>
      </c>
      <c r="BP134" s="22">
        <f t="shared" si="1157"/>
        <v>0</v>
      </c>
      <c r="BQ134" s="22">
        <f t="shared" si="1155"/>
        <v>0</v>
      </c>
      <c r="BR134" s="22">
        <f t="shared" si="1157"/>
        <v>0</v>
      </c>
      <c r="BS134" s="22">
        <f t="shared" si="1155"/>
        <v>0</v>
      </c>
      <c r="BT134" s="22">
        <f t="shared" si="1157"/>
        <v>0</v>
      </c>
      <c r="BU134" s="22">
        <f t="shared" si="1155"/>
        <v>0</v>
      </c>
      <c r="BV134" s="22">
        <f t="shared" si="1157"/>
        <v>0</v>
      </c>
      <c r="BW134" s="22">
        <f t="shared" si="1155"/>
        <v>0</v>
      </c>
      <c r="BX134" s="22">
        <f t="shared" si="1157"/>
        <v>0</v>
      </c>
      <c r="BY134" s="22">
        <f t="shared" si="1155"/>
        <v>0</v>
      </c>
      <c r="BZ134" s="22">
        <f t="shared" si="1157"/>
        <v>0</v>
      </c>
      <c r="CA134" s="22">
        <f t="shared" si="1155"/>
        <v>0</v>
      </c>
      <c r="CB134" s="22">
        <f t="shared" si="1157"/>
        <v>0</v>
      </c>
      <c r="CC134" s="22">
        <f t="shared" si="1155"/>
        <v>0</v>
      </c>
      <c r="CD134" s="22">
        <f t="shared" si="1157"/>
        <v>0</v>
      </c>
      <c r="CE134" s="22">
        <f t="shared" si="1155"/>
        <v>0</v>
      </c>
      <c r="CF134" s="22">
        <f t="shared" ref="CF134:CI134" si="1158">+CF131-CF132-CF133</f>
        <v>0</v>
      </c>
      <c r="CG134" s="22">
        <f t="shared" ref="CG134:CI137" si="1159">+CF134</f>
        <v>0</v>
      </c>
      <c r="CH134" s="22">
        <f t="shared" si="1158"/>
        <v>126.97</v>
      </c>
      <c r="CI134" s="22">
        <f t="shared" si="1158"/>
        <v>126.97</v>
      </c>
      <c r="CJ134" s="23">
        <f>+'QTR Raw'!BD68</f>
        <v>24.03</v>
      </c>
      <c r="CK134" s="21">
        <f t="shared" ref="CK134:DB134" si="1160">+CK131-CK132-CK133</f>
        <v>12.299999999999997</v>
      </c>
      <c r="CL134" s="23">
        <f>+'QTR Raw'!BF68</f>
        <v>36.17</v>
      </c>
      <c r="CM134" s="21">
        <f t="shared" si="1160"/>
        <v>-3.7346260162601936</v>
      </c>
      <c r="CN134" s="21">
        <f t="shared" si="1160"/>
        <v>0.38560772688214229</v>
      </c>
      <c r="CO134" s="21">
        <f t="shared" si="1160"/>
        <v>-3.9814781556117396E-2</v>
      </c>
      <c r="CP134" s="21">
        <f t="shared" si="1160"/>
        <v>4.1109571200195205E-3</v>
      </c>
      <c r="CQ134" s="21">
        <f t="shared" si="1160"/>
        <v>-4.2446467824674983E-4</v>
      </c>
      <c r="CR134" s="21">
        <f t="shared" si="1160"/>
        <v>4.382684076631449E-5</v>
      </c>
      <c r="CS134" s="21">
        <f t="shared" si="1160"/>
        <v>-4.5252103859638737E-6</v>
      </c>
      <c r="CT134" s="21">
        <f t="shared" si="1160"/>
        <v>4.6723715740881744E-7</v>
      </c>
      <c r="CU134" s="21">
        <f t="shared" si="1160"/>
        <v>-4.8243180117424345E-8</v>
      </c>
      <c r="CV134" s="21">
        <f t="shared" si="1160"/>
        <v>4.9812172164820367E-9</v>
      </c>
      <c r="CW134" s="21">
        <f t="shared" si="1160"/>
        <v>-5.1431925385259092E-10</v>
      </c>
      <c r="CX134" s="21">
        <f t="shared" si="1160"/>
        <v>5.3091753215994686E-11</v>
      </c>
      <c r="CY134" s="21">
        <f t="shared" si="1160"/>
        <v>-5.4853899200679734E-12</v>
      </c>
      <c r="CZ134" s="21">
        <f t="shared" si="1160"/>
        <v>5.6843418860808015E-13</v>
      </c>
      <c r="DA134" s="21">
        <f t="shared" si="1160"/>
        <v>-5.6843418860808015E-14</v>
      </c>
      <c r="DB134" s="21">
        <f t="shared" si="1160"/>
        <v>0</v>
      </c>
      <c r="DE134" s="126"/>
      <c r="DF134" s="22">
        <v>6.2958801498127315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3">
        <f>'Annual Raw'!AB67+'Annual Raw'!AB66+'Annual Raw'!AB69+'Annual Raw'!AB70</f>
        <v>0</v>
      </c>
      <c r="AB137" s="24">
        <f t="shared" si="1142"/>
        <v>0</v>
      </c>
      <c r="AC137" s="24">
        <f t="shared" si="1143"/>
        <v>0</v>
      </c>
      <c r="AD137" s="24">
        <f t="shared" si="1144"/>
        <v>0</v>
      </c>
      <c r="AE137" s="24">
        <f t="shared" si="1145"/>
        <v>0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0</v>
      </c>
      <c r="CA137" s="23">
        <f t="shared" si="1161"/>
        <v>0</v>
      </c>
      <c r="CB137" s="23">
        <f>+'QTR Raw'!AV74+'QTR Raw'!AV75</f>
        <v>0</v>
      </c>
      <c r="CC137" s="23">
        <f t="shared" si="1161"/>
        <v>0</v>
      </c>
      <c r="CD137" s="23">
        <f>+'QTR Raw'!AX74+'QTR Raw'!AX75</f>
        <v>0</v>
      </c>
      <c r="CE137" s="23">
        <f t="shared" si="1161"/>
        <v>0</v>
      </c>
      <c r="CF137" s="23">
        <f>+'QTR Raw'!AZ74+'QTR Raw'!AZ75</f>
        <v>0</v>
      </c>
      <c r="CG137" s="23">
        <f t="shared" si="1159"/>
        <v>0</v>
      </c>
      <c r="CH137" s="23">
        <f t="shared" si="1146"/>
        <v>0</v>
      </c>
      <c r="CI137" s="23">
        <f t="shared" si="1159"/>
        <v>0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0</v>
      </c>
      <c r="CM137" s="24">
        <f t="shared" si="1163"/>
        <v>0</v>
      </c>
      <c r="CN137" s="24">
        <f t="shared" si="1164"/>
        <v>0</v>
      </c>
      <c r="CO137" s="24">
        <f t="shared" si="1165"/>
        <v>0</v>
      </c>
      <c r="CP137" s="24">
        <f t="shared" si="1166"/>
        <v>0</v>
      </c>
      <c r="CQ137" s="24">
        <f t="shared" si="1167"/>
        <v>0</v>
      </c>
      <c r="CR137" s="24">
        <f t="shared" si="1168"/>
        <v>0</v>
      </c>
      <c r="CS137" s="24">
        <f t="shared" si="1169"/>
        <v>0</v>
      </c>
      <c r="CT137" s="24">
        <f t="shared" si="1170"/>
        <v>0</v>
      </c>
      <c r="CU137" s="24">
        <f t="shared" si="1171"/>
        <v>0</v>
      </c>
      <c r="CV137" s="24">
        <f t="shared" si="1172"/>
        <v>0</v>
      </c>
      <c r="CW137" s="24">
        <f t="shared" si="1173"/>
        <v>0</v>
      </c>
      <c r="CX137" s="24">
        <f t="shared" si="1174"/>
        <v>0</v>
      </c>
      <c r="CY137" s="24">
        <f t="shared" si="1175"/>
        <v>0</v>
      </c>
      <c r="CZ137" s="24">
        <f t="shared" si="1176"/>
        <v>0</v>
      </c>
      <c r="DA137" s="24">
        <f t="shared" si="1177"/>
        <v>0</v>
      </c>
      <c r="DB137" s="24">
        <f t="shared" si="117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0</v>
      </c>
      <c r="K138" s="22">
        <f t="shared" si="1180"/>
        <v>0</v>
      </c>
      <c r="L138" s="22">
        <f t="shared" si="1180"/>
        <v>0</v>
      </c>
      <c r="M138" s="22">
        <f t="shared" si="1180"/>
        <v>0</v>
      </c>
      <c r="N138" s="22">
        <f t="shared" si="1180"/>
        <v>0</v>
      </c>
      <c r="O138" s="22">
        <f t="shared" si="1180"/>
        <v>0</v>
      </c>
      <c r="P138" s="22">
        <f t="shared" si="1180"/>
        <v>0</v>
      </c>
      <c r="Q138" s="22">
        <f t="shared" si="1180"/>
        <v>0</v>
      </c>
      <c r="R138" s="22">
        <f t="shared" si="1180"/>
        <v>0</v>
      </c>
      <c r="S138" s="22">
        <f t="shared" si="1180"/>
        <v>0</v>
      </c>
      <c r="T138" s="22">
        <f t="shared" si="1180"/>
        <v>0</v>
      </c>
      <c r="U138" s="22">
        <f t="shared" si="1180"/>
        <v>0</v>
      </c>
      <c r="V138" s="22">
        <f t="shared" si="1180"/>
        <v>0</v>
      </c>
      <c r="W138" s="22">
        <f t="shared" si="1180"/>
        <v>86.711000000000013</v>
      </c>
      <c r="X138" s="22">
        <f t="shared" si="1180"/>
        <v>120.58799999999999</v>
      </c>
      <c r="Y138" s="22">
        <f t="shared" si="1180"/>
        <v>116.86300000000001</v>
      </c>
      <c r="Z138" s="22">
        <f>Z134+Z137+Z136+Z135</f>
        <v>126.97</v>
      </c>
      <c r="AA138" s="22">
        <f>AA134+AA137+AA136+AA135</f>
        <v>158.42000000000002</v>
      </c>
      <c r="AB138" s="161">
        <f t="shared" ref="AB138:AE138" si="1181">AB134+AB137+AB136+AB135</f>
        <v>4.1109571200195205E-3</v>
      </c>
      <c r="AC138" s="161">
        <f t="shared" si="1181"/>
        <v>4.6723715740881744E-7</v>
      </c>
      <c r="AD138" s="161">
        <f t="shared" si="1181"/>
        <v>5.3091753215994686E-11</v>
      </c>
      <c r="AE138" s="161">
        <f t="shared" si="1181"/>
        <v>0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0</v>
      </c>
      <c r="BK138" s="22">
        <f t="shared" si="1186"/>
        <v>0</v>
      </c>
      <c r="BL138" s="22">
        <f t="shared" si="1186"/>
        <v>0</v>
      </c>
      <c r="BM138" s="22">
        <f t="shared" si="1186"/>
        <v>0</v>
      </c>
      <c r="BN138" s="22">
        <f t="shared" si="1186"/>
        <v>0</v>
      </c>
      <c r="BO138" s="22">
        <f t="shared" si="1186"/>
        <v>0</v>
      </c>
      <c r="BP138" s="22">
        <f t="shared" si="1186"/>
        <v>0</v>
      </c>
      <c r="BQ138" s="22">
        <f t="shared" si="1186"/>
        <v>0</v>
      </c>
      <c r="BR138" s="22">
        <f t="shared" si="1186"/>
        <v>0</v>
      </c>
      <c r="BS138" s="22">
        <f t="shared" si="1186"/>
        <v>0</v>
      </c>
      <c r="BT138" s="22">
        <f t="shared" si="1186"/>
        <v>0</v>
      </c>
      <c r="BU138" s="22">
        <f t="shared" si="1186"/>
        <v>0</v>
      </c>
      <c r="BV138" s="22">
        <f t="shared" si="1186"/>
        <v>0</v>
      </c>
      <c r="BW138" s="22">
        <f t="shared" si="1186"/>
        <v>0</v>
      </c>
      <c r="BX138" s="22">
        <f t="shared" si="1186"/>
        <v>0</v>
      </c>
      <c r="BY138" s="22">
        <f t="shared" si="1186"/>
        <v>0</v>
      </c>
      <c r="BZ138" s="22">
        <f t="shared" si="1186"/>
        <v>0</v>
      </c>
      <c r="CA138" s="22">
        <f t="shared" si="1186"/>
        <v>0</v>
      </c>
      <c r="CB138" s="22">
        <f t="shared" si="1186"/>
        <v>0</v>
      </c>
      <c r="CC138" s="22">
        <f t="shared" si="1186"/>
        <v>0</v>
      </c>
      <c r="CD138" s="22">
        <f t="shared" si="1186"/>
        <v>0</v>
      </c>
      <c r="CE138" s="22">
        <f t="shared" si="1186"/>
        <v>0</v>
      </c>
      <c r="CF138" s="22">
        <f t="shared" ref="CF138:CG138" si="1187">CF134+CF137+CF135+CF136</f>
        <v>0</v>
      </c>
      <c r="CG138" s="22">
        <f t="shared" si="1187"/>
        <v>0</v>
      </c>
      <c r="CH138" s="22">
        <f t="shared" ref="CH138:CJ138" si="1188">CH134+CH137+CH135+CH136</f>
        <v>126.97</v>
      </c>
      <c r="CI138" s="22">
        <f t="shared" si="1188"/>
        <v>126.97</v>
      </c>
      <c r="CJ138" s="22">
        <f t="shared" si="1188"/>
        <v>24.03</v>
      </c>
      <c r="CK138" s="21">
        <f t="shared" ref="CK138:DB138" si="1189">CK134+CK137+CK135+CK136</f>
        <v>12.299999999999997</v>
      </c>
      <c r="CL138" s="22">
        <f t="shared" si="1189"/>
        <v>36.17</v>
      </c>
      <c r="CM138" s="21">
        <f t="shared" si="1189"/>
        <v>-3.7346260162601936</v>
      </c>
      <c r="CN138" s="21">
        <f t="shared" si="1189"/>
        <v>0.38560772688214229</v>
      </c>
      <c r="CO138" s="21">
        <f t="shared" si="1189"/>
        <v>-3.9814781556117396E-2</v>
      </c>
      <c r="CP138" s="21">
        <f t="shared" si="1189"/>
        <v>4.1109571200195205E-3</v>
      </c>
      <c r="CQ138" s="21">
        <f t="shared" si="1189"/>
        <v>-4.2446467824674983E-4</v>
      </c>
      <c r="CR138" s="21">
        <f t="shared" si="1189"/>
        <v>4.382684076631449E-5</v>
      </c>
      <c r="CS138" s="21">
        <f t="shared" si="1189"/>
        <v>-4.5252103859638737E-6</v>
      </c>
      <c r="CT138" s="21">
        <f t="shared" si="1189"/>
        <v>4.6723715740881744E-7</v>
      </c>
      <c r="CU138" s="21">
        <f t="shared" si="1189"/>
        <v>-4.8243180117424345E-8</v>
      </c>
      <c r="CV138" s="21">
        <f t="shared" si="1189"/>
        <v>4.9812172164820367E-9</v>
      </c>
      <c r="CW138" s="21">
        <f t="shared" si="1189"/>
        <v>-5.1431925385259092E-10</v>
      </c>
      <c r="CX138" s="21">
        <f t="shared" si="1189"/>
        <v>5.3091753215994686E-11</v>
      </c>
      <c r="CY138" s="21">
        <f t="shared" si="1189"/>
        <v>-5.4853899200679734E-12</v>
      </c>
      <c r="CZ138" s="21">
        <f t="shared" si="1189"/>
        <v>5.6843418860808015E-13</v>
      </c>
      <c r="DA138" s="21">
        <f t="shared" si="1189"/>
        <v>-5.6843418860808015E-14</v>
      </c>
      <c r="DB138" s="21">
        <f t="shared" si="1189"/>
        <v>0</v>
      </c>
      <c r="DE138" s="126"/>
      <c r="DF138" s="22">
        <v>6.2958801498127315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50</v>
      </c>
      <c r="Y140" s="23">
        <f>'Annual Raw'!Z71</f>
        <v>193.56</v>
      </c>
      <c r="Z140" s="23">
        <f>'Annual Raw'!AA71</f>
        <v>167.07</v>
      </c>
      <c r="AA140" s="23">
        <f>'Annual Raw'!AB71</f>
        <v>353.25</v>
      </c>
      <c r="AB140" s="24">
        <f>+CP140</f>
        <v>353.25</v>
      </c>
      <c r="AC140" s="24">
        <f>+CT140</f>
        <v>353.25</v>
      </c>
      <c r="AD140" s="24">
        <f>+CX140</f>
        <v>353.25</v>
      </c>
      <c r="AE140" s="24">
        <f>+DB140</f>
        <v>353.25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</v>
      </c>
      <c r="CC140" s="23">
        <f t="shared" si="1190"/>
        <v>0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167.07</v>
      </c>
      <c r="CI140" s="23">
        <f t="shared" si="1191"/>
        <v>167.07</v>
      </c>
      <c r="CJ140" s="23">
        <f>+'QTR Raw'!BD77</f>
        <v>243.11</v>
      </c>
      <c r="CK140" s="24">
        <f t="shared" ref="CK140" si="1193">+CJ140</f>
        <v>243.11</v>
      </c>
      <c r="CL140" s="23">
        <f>+'QTR Raw'!BF77</f>
        <v>353.25</v>
      </c>
      <c r="CM140" s="24">
        <f t="shared" ref="CM140" si="1194">+CL140</f>
        <v>353.25</v>
      </c>
      <c r="CN140" s="24">
        <f t="shared" ref="CN140" si="1195">+CM140</f>
        <v>353.25</v>
      </c>
      <c r="CO140" s="24">
        <f t="shared" ref="CO140" si="1196">+CN140</f>
        <v>353.25</v>
      </c>
      <c r="CP140" s="24">
        <f t="shared" ref="CP140" si="1197">+CO140</f>
        <v>353.25</v>
      </c>
      <c r="CQ140" s="24">
        <f t="shared" ref="CQ140" si="1198">+CP140</f>
        <v>353.25</v>
      </c>
      <c r="CR140" s="24">
        <f t="shared" ref="CR140" si="1199">+CQ140</f>
        <v>353.25</v>
      </c>
      <c r="CS140" s="24">
        <f t="shared" ref="CS140" si="1200">+CR140</f>
        <v>353.25</v>
      </c>
      <c r="CT140" s="24">
        <f t="shared" ref="CT140" si="1201">+CS140</f>
        <v>353.25</v>
      </c>
      <c r="CU140" s="24">
        <f t="shared" ref="CU140" si="1202">+CT140</f>
        <v>353.25</v>
      </c>
      <c r="CV140" s="24">
        <f t="shared" ref="CV140" si="1203">+CU140</f>
        <v>353.25</v>
      </c>
      <c r="CW140" s="24">
        <f t="shared" ref="CW140" si="1204">+CV140</f>
        <v>353.25</v>
      </c>
      <c r="CX140" s="24">
        <f t="shared" ref="CX140" si="1205">+CW140</f>
        <v>353.25</v>
      </c>
      <c r="CY140" s="24">
        <f t="shared" ref="CY140" si="1206">+CX140</f>
        <v>353.25</v>
      </c>
      <c r="CZ140" s="24">
        <f t="shared" ref="CZ140" si="1207">+CY140</f>
        <v>353.25</v>
      </c>
      <c r="DA140" s="24">
        <f t="shared" ref="DA140" si="1208">+CZ140</f>
        <v>353.25</v>
      </c>
      <c r="DB140" s="24">
        <f t="shared" ref="DB140" si="1209">+DA140</f>
        <v>353.25</v>
      </c>
      <c r="DE140" s="123"/>
      <c r="DF140" s="23">
        <v>243.11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13.259</v>
      </c>
      <c r="X142" s="23">
        <f>'Annual Raw'!Y72+'Annual Raw'!Y61</f>
        <v>16.378</v>
      </c>
      <c r="Y142" s="23">
        <f>'Annual Raw'!Z72+'Annual Raw'!Z61</f>
        <v>17.582999999999998</v>
      </c>
      <c r="Z142" s="23">
        <f>'Annual Raw'!AA72+'Annual Raw'!AA61</f>
        <v>23.85</v>
      </c>
      <c r="AA142" s="23">
        <f>'Annual Raw'!AB72+'Annual Raw'!AB61</f>
        <v>89.56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23.85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0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0</v>
      </c>
      <c r="BO143" s="23">
        <f t="shared" si="1214"/>
        <v>0</v>
      </c>
      <c r="BP143" s="23">
        <f>+'QTR Raw'!AJ79+'QTR Raw'!AJ76</f>
        <v>0</v>
      </c>
      <c r="BQ143" s="23">
        <f t="shared" si="1214"/>
        <v>0</v>
      </c>
      <c r="BR143" s="23">
        <f>+'QTR Raw'!AL79+'QTR Raw'!AL76</f>
        <v>0</v>
      </c>
      <c r="BS143" s="23">
        <f t="shared" si="1214"/>
        <v>0</v>
      </c>
      <c r="BT143" s="23">
        <f>+'QTR Raw'!AN79+'QTR Raw'!AN76</f>
        <v>0</v>
      </c>
      <c r="BU143" s="23">
        <f t="shared" si="1214"/>
        <v>0</v>
      </c>
      <c r="BV143" s="23">
        <f>+'QTR Raw'!AP79+'QTR Raw'!AP76</f>
        <v>0</v>
      </c>
      <c r="BW143" s="23">
        <f t="shared" si="1214"/>
        <v>0</v>
      </c>
      <c r="BX143" s="23">
        <f>+'QTR Raw'!AR79+'QTR Raw'!AR76</f>
        <v>0</v>
      </c>
      <c r="BY143" s="23">
        <f t="shared" si="1214"/>
        <v>0</v>
      </c>
      <c r="BZ143" s="23">
        <f>+'QTR Raw'!AT79+'QTR Raw'!AT76</f>
        <v>0</v>
      </c>
      <c r="CA143" s="23">
        <f t="shared" si="1214"/>
        <v>0</v>
      </c>
      <c r="CB143" s="23">
        <f>+'QTR Raw'!AV79+'QTR Raw'!AV76</f>
        <v>0</v>
      </c>
      <c r="CC143" s="23">
        <f t="shared" si="1214"/>
        <v>0</v>
      </c>
      <c r="CD143" s="23">
        <f>+'QTR Raw'!AX79+'QTR Raw'!AX76</f>
        <v>0</v>
      </c>
      <c r="CE143" s="23">
        <f t="shared" si="1214"/>
        <v>0</v>
      </c>
      <c r="CF143" s="23">
        <f>+'QTR Raw'!AZ79+'QTR Raw'!AZ76</f>
        <v>0</v>
      </c>
      <c r="CG143" s="23">
        <f t="shared" si="1191"/>
        <v>0</v>
      </c>
      <c r="CH143" s="23">
        <f t="shared" si="1192"/>
        <v>0</v>
      </c>
      <c r="CJ143" s="23">
        <f>+'QTR Raw'!BD79+'QTR Raw'!BD76</f>
        <v>390.46</v>
      </c>
      <c r="CK143" s="24"/>
      <c r="CL143" s="23">
        <f>+'QTR Raw'!BF79+'QTR Raw'!BF76</f>
        <v>211.81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211.81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23.091999999999999</v>
      </c>
      <c r="X144" s="23">
        <f>'Annual Raw'!Y76</f>
        <v>15.151</v>
      </c>
      <c r="Y144" s="23">
        <f>'Annual Raw'!Z76</f>
        <v>28.919</v>
      </c>
      <c r="Z144" s="23">
        <f>'Annual Raw'!AA76</f>
        <v>41.48</v>
      </c>
      <c r="AA144" s="23">
        <f>'Annual Raw'!AB76</f>
        <v>73.739999999999995</v>
      </c>
      <c r="AB144" s="24" t="e">
        <f t="shared" si="1210"/>
        <v>#DIV/0!</v>
      </c>
      <c r="AC144" s="24" t="e">
        <f t="shared" si="1211"/>
        <v>#DIV/0!</v>
      </c>
      <c r="AD144" s="24" t="e">
        <f t="shared" si="1212"/>
        <v>#DIV/0!</v>
      </c>
      <c r="AE144" s="24" t="e">
        <f t="shared" si="1213"/>
        <v>#DIV/0!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0</v>
      </c>
      <c r="BW144" s="23" t="e">
        <f>+BW179*BW10/90</f>
        <v>#DIV/0!</v>
      </c>
      <c r="BX144" s="23">
        <f>+'QTR Raw'!AR81</f>
        <v>0</v>
      </c>
      <c r="BY144" s="23" t="e">
        <f>+BY179*BY10/90</f>
        <v>#DIV/0!</v>
      </c>
      <c r="BZ144" s="23">
        <f>+'QTR Raw'!AT81</f>
        <v>0</v>
      </c>
      <c r="CA144" s="23" t="e">
        <f>+CA179*CA10/90</f>
        <v>#DIV/0!</v>
      </c>
      <c r="CB144" s="23">
        <f>+'QTR Raw'!AV81</f>
        <v>0</v>
      </c>
      <c r="CC144" s="23" t="e">
        <f>+CC179*CC10/90</f>
        <v>#DIV/0!</v>
      </c>
      <c r="CD144" s="23">
        <f>+'QTR Raw'!AX81</f>
        <v>0</v>
      </c>
      <c r="CE144" s="23" t="e">
        <f>+CE179*CE10/90</f>
        <v>#DIV/0!</v>
      </c>
      <c r="CF144" s="23">
        <f>+'QTR Raw'!AZ81</f>
        <v>0</v>
      </c>
      <c r="CG144" s="23">
        <f>+CG179*CG10/90</f>
        <v>0</v>
      </c>
      <c r="CH144" s="23">
        <f t="shared" si="1192"/>
        <v>41.48</v>
      </c>
      <c r="CI144" s="23">
        <f>+CI179*CI10/90</f>
        <v>0</v>
      </c>
      <c r="CJ144" s="23">
        <f>+'QTR Raw'!BD81</f>
        <v>70.55</v>
      </c>
      <c r="CK144" s="24">
        <f t="shared" ref="CK144:DB144" si="1215">+CK179*CK10/90</f>
        <v>71.041954582532966</v>
      </c>
      <c r="CL144" s="23">
        <f>+'QTR Raw'!BF81</f>
        <v>73.739999999999995</v>
      </c>
      <c r="CM144" s="24" t="e">
        <f t="shared" si="1215"/>
        <v>#DIV/0!</v>
      </c>
      <c r="CN144" s="24" t="e">
        <f t="shared" si="1215"/>
        <v>#DIV/0!</v>
      </c>
      <c r="CO144" s="24" t="e">
        <f t="shared" si="1215"/>
        <v>#DIV/0!</v>
      </c>
      <c r="CP144" s="24" t="e">
        <f t="shared" si="1215"/>
        <v>#DIV/0!</v>
      </c>
      <c r="CQ144" s="24" t="e">
        <f t="shared" si="1215"/>
        <v>#DIV/0!</v>
      </c>
      <c r="CR144" s="24" t="e">
        <f t="shared" si="1215"/>
        <v>#DIV/0!</v>
      </c>
      <c r="CS144" s="24" t="e">
        <f t="shared" si="1215"/>
        <v>#DIV/0!</v>
      </c>
      <c r="CT144" s="24" t="e">
        <f t="shared" si="1215"/>
        <v>#DIV/0!</v>
      </c>
      <c r="CU144" s="24" t="e">
        <f t="shared" si="1215"/>
        <v>#DIV/0!</v>
      </c>
      <c r="CV144" s="24" t="e">
        <f t="shared" si="1215"/>
        <v>#DIV/0!</v>
      </c>
      <c r="CW144" s="24" t="e">
        <f t="shared" si="1215"/>
        <v>#DIV/0!</v>
      </c>
      <c r="CX144" s="24" t="e">
        <f t="shared" si="1215"/>
        <v>#DIV/0!</v>
      </c>
      <c r="CY144" s="24" t="e">
        <f t="shared" si="1215"/>
        <v>#DIV/0!</v>
      </c>
      <c r="CZ144" s="24" t="e">
        <f t="shared" si="1215"/>
        <v>#DIV/0!</v>
      </c>
      <c r="DA144" s="24" t="e">
        <f t="shared" si="1215"/>
        <v>#DIV/0!</v>
      </c>
      <c r="DB144" s="24" t="e">
        <f t="shared" si="1215"/>
        <v>#DIV/0!</v>
      </c>
      <c r="DE144" s="123"/>
      <c r="DF144" s="23">
        <v>73.739999999999995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6.7839999999999998</v>
      </c>
      <c r="X145" s="23">
        <f>'Annual Raw'!Y77</f>
        <v>10.678000000000001</v>
      </c>
      <c r="Y145" s="23">
        <f>'Annual Raw'!Z77</f>
        <v>20.064</v>
      </c>
      <c r="Z145" s="23">
        <f>'Annual Raw'!AA77</f>
        <v>26.6</v>
      </c>
      <c r="AA145" s="23">
        <f>'Annual Raw'!AB77</f>
        <v>37.78</v>
      </c>
      <c r="AB145" s="24" t="e">
        <f t="shared" si="1210"/>
        <v>#DIV/0!</v>
      </c>
      <c r="AC145" s="24" t="e">
        <f t="shared" si="1211"/>
        <v>#DIV/0!</v>
      </c>
      <c r="AD145" s="24" t="e">
        <f t="shared" si="1212"/>
        <v>#DIV/0!</v>
      </c>
      <c r="AE145" s="24" t="e">
        <f t="shared" si="1213"/>
        <v>#DIV/0!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0</v>
      </c>
      <c r="BW145" s="23" t="e">
        <f>+BW180*BW10/90</f>
        <v>#DIV/0!</v>
      </c>
      <c r="BX145" s="23">
        <f>+'QTR Raw'!AR82</f>
        <v>0</v>
      </c>
      <c r="BY145" s="23" t="e">
        <f>+BY180*BY10/90</f>
        <v>#DIV/0!</v>
      </c>
      <c r="BZ145" s="23">
        <f>+'QTR Raw'!AT82</f>
        <v>0</v>
      </c>
      <c r="CA145" s="23" t="e">
        <f>+CA180*CA10/90</f>
        <v>#DIV/0!</v>
      </c>
      <c r="CB145" s="23">
        <f>+'QTR Raw'!AV82</f>
        <v>0</v>
      </c>
      <c r="CC145" s="23" t="e">
        <f>+CC180*CC10/90</f>
        <v>#DIV/0!</v>
      </c>
      <c r="CD145" s="23">
        <f>+'QTR Raw'!AX82</f>
        <v>0</v>
      </c>
      <c r="CE145" s="23" t="e">
        <f>+CE180*CE10/90</f>
        <v>#DIV/0!</v>
      </c>
      <c r="CF145" s="23">
        <f>+'QTR Raw'!AZ82</f>
        <v>0</v>
      </c>
      <c r="CG145" s="23">
        <f>+CG180*CG10/90</f>
        <v>0</v>
      </c>
      <c r="CH145" s="23">
        <f t="shared" si="1192"/>
        <v>26.6</v>
      </c>
      <c r="CI145" s="23">
        <f>+CI180*CI10/90</f>
        <v>0</v>
      </c>
      <c r="CJ145" s="23">
        <f>+'QTR Raw'!BD82</f>
        <v>32.46</v>
      </c>
      <c r="CK145" s="24">
        <f t="shared" ref="CK145:DB145" si="1216">+CK180*CK10/90</f>
        <v>32.68634791990106</v>
      </c>
      <c r="CL145" s="23">
        <f>+'QTR Raw'!BF82</f>
        <v>37.78</v>
      </c>
      <c r="CM145" s="24" t="e">
        <f t="shared" si="1216"/>
        <v>#DIV/0!</v>
      </c>
      <c r="CN145" s="24" t="e">
        <f t="shared" si="1216"/>
        <v>#DIV/0!</v>
      </c>
      <c r="CO145" s="24" t="e">
        <f t="shared" si="1216"/>
        <v>#DIV/0!</v>
      </c>
      <c r="CP145" s="24" t="e">
        <f t="shared" si="1216"/>
        <v>#DIV/0!</v>
      </c>
      <c r="CQ145" s="24" t="e">
        <f t="shared" si="1216"/>
        <v>#DIV/0!</v>
      </c>
      <c r="CR145" s="24" t="e">
        <f t="shared" si="1216"/>
        <v>#DIV/0!</v>
      </c>
      <c r="CS145" s="24" t="e">
        <f t="shared" si="1216"/>
        <v>#DIV/0!</v>
      </c>
      <c r="CT145" s="24" t="e">
        <f t="shared" si="1216"/>
        <v>#DIV/0!</v>
      </c>
      <c r="CU145" s="24" t="e">
        <f t="shared" si="1216"/>
        <v>#DIV/0!</v>
      </c>
      <c r="CV145" s="24" t="e">
        <f t="shared" si="1216"/>
        <v>#DIV/0!</v>
      </c>
      <c r="CW145" s="24" t="e">
        <f t="shared" si="1216"/>
        <v>#DIV/0!</v>
      </c>
      <c r="CX145" s="24" t="e">
        <f t="shared" si="1216"/>
        <v>#DIV/0!</v>
      </c>
      <c r="CY145" s="24" t="e">
        <f t="shared" si="1216"/>
        <v>#DIV/0!</v>
      </c>
      <c r="CZ145" s="24" t="e">
        <f t="shared" si="1216"/>
        <v>#DIV/0!</v>
      </c>
      <c r="DA145" s="24" t="e">
        <f t="shared" si="1216"/>
        <v>#DIV/0!</v>
      </c>
      <c r="DB145" s="24" t="e">
        <f t="shared" si="1216"/>
        <v>#DIV/0!</v>
      </c>
      <c r="DE145" s="123"/>
      <c r="DF145" s="23">
        <v>37.78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55.505000000000003</v>
      </c>
      <c r="X146" s="23">
        <f>'Annual Raw'!Y79</f>
        <v>46.378999999999998</v>
      </c>
      <c r="Y146" s="23">
        <f>'Annual Raw'!Z79</f>
        <v>73.417000000000002</v>
      </c>
      <c r="Z146" s="23">
        <f>'Annual Raw'!AA79</f>
        <v>69.39</v>
      </c>
      <c r="AA146" s="23">
        <f>'Annual Raw'!AB79</f>
        <v>91.91</v>
      </c>
      <c r="AB146" s="24" t="e">
        <f t="shared" si="1210"/>
        <v>#DIV/0!</v>
      </c>
      <c r="AC146" s="24" t="e">
        <f t="shared" si="1211"/>
        <v>#DIV/0!</v>
      </c>
      <c r="AD146" s="24" t="e">
        <f t="shared" si="1212"/>
        <v>#DIV/0!</v>
      </c>
      <c r="AE146" s="24" t="e">
        <f t="shared" si="1213"/>
        <v>#DIV/0!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0</v>
      </c>
      <c r="BO146" s="23">
        <f t="shared" si="1214"/>
        <v>0</v>
      </c>
      <c r="BP146" s="23">
        <f>+'QTR Raw'!AJ84</f>
        <v>0</v>
      </c>
      <c r="BQ146" s="23">
        <f t="shared" si="1214"/>
        <v>0</v>
      </c>
      <c r="BR146" s="23">
        <f>+'QTR Raw'!AL84</f>
        <v>0</v>
      </c>
      <c r="BS146" s="23">
        <f t="shared" si="1214"/>
        <v>0</v>
      </c>
      <c r="BT146" s="23">
        <f>+'QTR Raw'!AN84</f>
        <v>0</v>
      </c>
      <c r="BU146" s="23">
        <f t="shared" si="1214"/>
        <v>0</v>
      </c>
      <c r="BV146" s="23">
        <f>+'QTR Raw'!AP84</f>
        <v>0</v>
      </c>
      <c r="BW146" s="23">
        <f t="shared" si="1214"/>
        <v>0</v>
      </c>
      <c r="BX146" s="23">
        <f>+'QTR Raw'!AR84</f>
        <v>0</v>
      </c>
      <c r="BY146" s="23">
        <f t="shared" si="1214"/>
        <v>0</v>
      </c>
      <c r="BZ146" s="23">
        <f>+'QTR Raw'!AT84</f>
        <v>0</v>
      </c>
      <c r="CA146" s="23">
        <f t="shared" si="1214"/>
        <v>0</v>
      </c>
      <c r="CB146" s="23">
        <f>+'QTR Raw'!AV84</f>
        <v>0</v>
      </c>
      <c r="CC146" s="23">
        <f t="shared" si="1214"/>
        <v>0</v>
      </c>
      <c r="CD146" s="23">
        <f>+'QTR Raw'!AX84</f>
        <v>0</v>
      </c>
      <c r="CE146" s="23">
        <f t="shared" si="1214"/>
        <v>0</v>
      </c>
      <c r="CF146" s="23">
        <f>+'QTR Raw'!AZ84</f>
        <v>0</v>
      </c>
      <c r="CG146" s="23">
        <f t="shared" ref="CG146:CG147" si="1217">+CF146</f>
        <v>0</v>
      </c>
      <c r="CH146" s="23">
        <f t="shared" si="1192"/>
        <v>69.39</v>
      </c>
      <c r="CI146" s="23">
        <f>CI10/90*CI181</f>
        <v>0</v>
      </c>
      <c r="CJ146" s="23">
        <f>+'QTR Raw'!BD84</f>
        <v>121.71</v>
      </c>
      <c r="CK146" s="24">
        <f t="shared" ref="CK146:DB146" si="1218">CK10/90*CK181</f>
        <v>515.74142988711401</v>
      </c>
      <c r="CL146" s="23">
        <f>+'QTR Raw'!BF84</f>
        <v>397.5</v>
      </c>
      <c r="CM146" s="24" t="e">
        <f t="shared" si="1218"/>
        <v>#DIV/0!</v>
      </c>
      <c r="CN146" s="24" t="e">
        <f t="shared" si="1218"/>
        <v>#DIV/0!</v>
      </c>
      <c r="CO146" s="24" t="e">
        <f t="shared" si="1218"/>
        <v>#DIV/0!</v>
      </c>
      <c r="CP146" s="24" t="e">
        <f t="shared" si="1218"/>
        <v>#DIV/0!</v>
      </c>
      <c r="CQ146" s="24" t="e">
        <f t="shared" si="1218"/>
        <v>#DIV/0!</v>
      </c>
      <c r="CR146" s="24" t="e">
        <f t="shared" si="1218"/>
        <v>#DIV/0!</v>
      </c>
      <c r="CS146" s="24" t="e">
        <f t="shared" si="1218"/>
        <v>#DIV/0!</v>
      </c>
      <c r="CT146" s="24" t="e">
        <f t="shared" si="1218"/>
        <v>#DIV/0!</v>
      </c>
      <c r="CU146" s="24" t="e">
        <f t="shared" si="1218"/>
        <v>#DIV/0!</v>
      </c>
      <c r="CV146" s="24" t="e">
        <f t="shared" si="1218"/>
        <v>#DIV/0!</v>
      </c>
      <c r="CW146" s="24" t="e">
        <f t="shared" si="1218"/>
        <v>#DIV/0!</v>
      </c>
      <c r="CX146" s="24" t="e">
        <f t="shared" si="1218"/>
        <v>#DIV/0!</v>
      </c>
      <c r="CY146" s="24" t="e">
        <f t="shared" si="1218"/>
        <v>#DIV/0!</v>
      </c>
      <c r="CZ146" s="24" t="e">
        <f t="shared" si="1218"/>
        <v>#DIV/0!</v>
      </c>
      <c r="DA146" s="24" t="e">
        <f t="shared" si="1218"/>
        <v>#DIV/0!</v>
      </c>
      <c r="DB146" s="24" t="e">
        <f t="shared" si="1218"/>
        <v>#DIV/0!</v>
      </c>
      <c r="DE146" s="123"/>
      <c r="DF146" s="23">
        <v>397.5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12.782999999999999</v>
      </c>
      <c r="X147" s="23">
        <f>'Annual Raw'!Y80</f>
        <v>89.373000000000005</v>
      </c>
      <c r="Y147" s="23">
        <f>'Annual Raw'!Z80</f>
        <v>98.427999999999997</v>
      </c>
      <c r="Z147" s="23">
        <f>'Annual Raw'!AA80</f>
        <v>18.86</v>
      </c>
      <c r="AA147" s="23">
        <f>'Annual Raw'!AB80</f>
        <v>305.58999999999997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0</v>
      </c>
      <c r="CA147" s="23">
        <f t="shared" si="1214"/>
        <v>0</v>
      </c>
      <c r="CB147" s="23">
        <f>+'QTR Raw'!AV85</f>
        <v>0</v>
      </c>
      <c r="CC147" s="23">
        <f t="shared" si="1214"/>
        <v>0</v>
      </c>
      <c r="CD147" s="23">
        <f>+'QTR Raw'!AX85</f>
        <v>0</v>
      </c>
      <c r="CE147" s="23">
        <f t="shared" si="1214"/>
        <v>0</v>
      </c>
      <c r="CF147" s="23">
        <f>+'QTR Raw'!AZ85</f>
        <v>0</v>
      </c>
      <c r="CG147" s="23">
        <f t="shared" si="1217"/>
        <v>0</v>
      </c>
      <c r="CH147" s="23">
        <f t="shared" si="1192"/>
        <v>18.86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0</v>
      </c>
      <c r="K148" s="22">
        <f t="shared" si="1219"/>
        <v>0</v>
      </c>
      <c r="L148" s="22">
        <f>SUM(L142:L147)</f>
        <v>0</v>
      </c>
      <c r="M148" s="22">
        <f>SUM(M142:M147)</f>
        <v>0</v>
      </c>
      <c r="N148" s="22">
        <f t="shared" si="1219"/>
        <v>0</v>
      </c>
      <c r="O148" s="22">
        <f t="shared" si="1219"/>
        <v>0</v>
      </c>
      <c r="P148" s="22">
        <f t="shared" si="1219"/>
        <v>0</v>
      </c>
      <c r="Q148" s="22">
        <f t="shared" si="1219"/>
        <v>0</v>
      </c>
      <c r="R148" s="22">
        <f t="shared" si="1219"/>
        <v>0</v>
      </c>
      <c r="S148" s="22">
        <f t="shared" si="1219"/>
        <v>0</v>
      </c>
      <c r="T148" s="22">
        <f t="shared" si="1219"/>
        <v>0</v>
      </c>
      <c r="U148" s="22">
        <f t="shared" si="1219"/>
        <v>0</v>
      </c>
      <c r="V148" s="22">
        <f t="shared" si="1219"/>
        <v>0</v>
      </c>
      <c r="W148" s="22">
        <f t="shared" ref="W148" si="1220">SUM(W142:W147)</f>
        <v>111.423</v>
      </c>
      <c r="X148" s="22">
        <f t="shared" ref="X148:Y148" si="1221">SUM(X142:X147)</f>
        <v>177.959</v>
      </c>
      <c r="Y148" s="22">
        <f t="shared" si="1221"/>
        <v>238.411</v>
      </c>
      <c r="Z148" s="22">
        <f t="shared" ref="Z148:AA148" si="1222">SUM(Z142:Z147)</f>
        <v>180.18</v>
      </c>
      <c r="AA148" s="22">
        <f t="shared" si="1222"/>
        <v>598.57999999999993</v>
      </c>
      <c r="AB148" s="21" t="e">
        <f t="shared" ref="AA148:AD148" si="1223">SUM(AB142:AB147)</f>
        <v>#DIV/0!</v>
      </c>
      <c r="AC148" s="21" t="e">
        <f t="shared" si="1223"/>
        <v>#DIV/0!</v>
      </c>
      <c r="AD148" s="21" t="e">
        <f t="shared" si="1223"/>
        <v>#DIV/0!</v>
      </c>
      <c r="AE148" s="21" t="e">
        <f t="shared" ref="AE148" si="1224">SUM(AE142:AE147)</f>
        <v>#DIV/0!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 t="e">
        <f t="shared" si="1229"/>
        <v>#DIV/0!</v>
      </c>
      <c r="BJ148" s="22">
        <f t="shared" si="1229"/>
        <v>0</v>
      </c>
      <c r="BK148" s="22" t="e">
        <f t="shared" si="1229"/>
        <v>#DIV/0!</v>
      </c>
      <c r="BL148" s="22">
        <f t="shared" si="1229"/>
        <v>0</v>
      </c>
      <c r="BM148" s="22" t="e">
        <f t="shared" si="1229"/>
        <v>#DIV/0!</v>
      </c>
      <c r="BN148" s="22">
        <f t="shared" si="1229"/>
        <v>0</v>
      </c>
      <c r="BO148" s="22" t="e">
        <f t="shared" si="1229"/>
        <v>#DIV/0!</v>
      </c>
      <c r="BP148" s="22">
        <f t="shared" si="1229"/>
        <v>0</v>
      </c>
      <c r="BQ148" s="22" t="e">
        <f t="shared" si="1229"/>
        <v>#DIV/0!</v>
      </c>
      <c r="BR148" s="22">
        <f t="shared" si="1229"/>
        <v>0</v>
      </c>
      <c r="BS148" s="22" t="e">
        <f t="shared" si="1229"/>
        <v>#DIV/0!</v>
      </c>
      <c r="BT148" s="22">
        <f t="shared" si="1229"/>
        <v>0</v>
      </c>
      <c r="BU148" s="22" t="e">
        <f t="shared" si="1229"/>
        <v>#DIV/0!</v>
      </c>
      <c r="BV148" s="22">
        <f t="shared" si="1229"/>
        <v>0</v>
      </c>
      <c r="BW148" s="22" t="e">
        <f t="shared" si="1229"/>
        <v>#DIV/0!</v>
      </c>
      <c r="BX148" s="22">
        <f t="shared" si="1229"/>
        <v>0</v>
      </c>
      <c r="BY148" s="22" t="e">
        <f t="shared" si="1229"/>
        <v>#DIV/0!</v>
      </c>
      <c r="BZ148" s="22">
        <f t="shared" si="1229"/>
        <v>0</v>
      </c>
      <c r="CA148" s="22" t="e">
        <f t="shared" si="1229"/>
        <v>#DIV/0!</v>
      </c>
      <c r="CB148" s="22">
        <f t="shared" si="1229"/>
        <v>0</v>
      </c>
      <c r="CC148" s="22" t="e">
        <f t="shared" si="1229"/>
        <v>#DIV/0!</v>
      </c>
      <c r="CD148" s="22">
        <f t="shared" si="1229"/>
        <v>0</v>
      </c>
      <c r="CE148" s="22" t="e">
        <f t="shared" si="1229"/>
        <v>#DIV/0!</v>
      </c>
      <c r="CF148" s="22">
        <f t="shared" ref="CF148:CG148" si="1230">SUM(CF142:CF147)</f>
        <v>0</v>
      </c>
      <c r="CG148" s="22">
        <f t="shared" si="1230"/>
        <v>0</v>
      </c>
      <c r="CH148" s="22">
        <f t="shared" ref="CH148:CI148" si="1231">SUM(CH142:CH147)</f>
        <v>180.18</v>
      </c>
      <c r="CI148" s="22">
        <f t="shared" si="1231"/>
        <v>0</v>
      </c>
      <c r="CJ148" s="22">
        <f t="shared" ref="CJ148:DB148" si="1232">SUM(CJ142:CJ147)</f>
        <v>615.17999999999995</v>
      </c>
      <c r="CK148" s="21">
        <f t="shared" si="1232"/>
        <v>619.46973238954797</v>
      </c>
      <c r="CL148" s="22">
        <f t="shared" ref="CL148" si="1233">SUM(CL142:CL147)</f>
        <v>720.83</v>
      </c>
      <c r="CM148" s="21" t="e">
        <f t="shared" si="1232"/>
        <v>#DIV/0!</v>
      </c>
      <c r="CN148" s="21" t="e">
        <f t="shared" si="1232"/>
        <v>#DIV/0!</v>
      </c>
      <c r="CO148" s="21" t="e">
        <f t="shared" si="1232"/>
        <v>#DIV/0!</v>
      </c>
      <c r="CP148" s="21" t="e">
        <f t="shared" si="1232"/>
        <v>#DIV/0!</v>
      </c>
      <c r="CQ148" s="21" t="e">
        <f t="shared" si="1232"/>
        <v>#DIV/0!</v>
      </c>
      <c r="CR148" s="21" t="e">
        <f t="shared" si="1232"/>
        <v>#DIV/0!</v>
      </c>
      <c r="CS148" s="21" t="e">
        <f t="shared" si="1232"/>
        <v>#DIV/0!</v>
      </c>
      <c r="CT148" s="21" t="e">
        <f t="shared" si="1232"/>
        <v>#DIV/0!</v>
      </c>
      <c r="CU148" s="21" t="e">
        <f t="shared" si="1232"/>
        <v>#DIV/0!</v>
      </c>
      <c r="CV148" s="21" t="e">
        <f t="shared" si="1232"/>
        <v>#DIV/0!</v>
      </c>
      <c r="CW148" s="21" t="e">
        <f t="shared" si="1232"/>
        <v>#DIV/0!</v>
      </c>
      <c r="CX148" s="21" t="e">
        <f t="shared" si="1232"/>
        <v>#DIV/0!</v>
      </c>
      <c r="CY148" s="21" t="e">
        <f t="shared" si="1232"/>
        <v>#DIV/0!</v>
      </c>
      <c r="CZ148" s="21" t="e">
        <f t="shared" si="1232"/>
        <v>#DIV/0!</v>
      </c>
      <c r="DA148" s="21" t="e">
        <f t="shared" si="1232"/>
        <v>#DIV/0!</v>
      </c>
      <c r="DB148" s="21" t="e">
        <f t="shared" si="1232"/>
        <v>#DIV/0!</v>
      </c>
      <c r="DE148" s="126"/>
      <c r="DF148" s="22">
        <v>720.83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61.290999999999997</v>
      </c>
      <c r="X149" s="23">
        <f>'Annual Raw'!Y50+'Annual Raw'!Y58</f>
        <v>83.944000000000003</v>
      </c>
      <c r="Y149" s="23">
        <f>'Annual Raw'!Z50+'Annual Raw'!Z58</f>
        <v>86.260999999999996</v>
      </c>
      <c r="Z149" s="23">
        <f>'Annual Raw'!AA50+'Annual Raw'!AA58</f>
        <v>99.47</v>
      </c>
      <c r="AA149" s="23">
        <f>'Annual Raw'!AB50+'Annual Raw'!AB58</f>
        <v>104.39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0</v>
      </c>
      <c r="BW149" s="23">
        <f t="shared" si="1238"/>
        <v>0</v>
      </c>
      <c r="BX149" s="23">
        <f>+'QTR Raw'!AR64</f>
        <v>0</v>
      </c>
      <c r="BY149" s="23">
        <f t="shared" si="1238"/>
        <v>0</v>
      </c>
      <c r="BZ149" s="23">
        <f>+'QTR Raw'!AT64</f>
        <v>0</v>
      </c>
      <c r="CA149" s="23">
        <f t="shared" si="1238"/>
        <v>0</v>
      </c>
      <c r="CB149" s="23">
        <f>+'QTR Raw'!AV64</f>
        <v>0</v>
      </c>
      <c r="CC149" s="23">
        <f t="shared" si="1238"/>
        <v>0</v>
      </c>
      <c r="CD149" s="23">
        <f>+'QTR Raw'!AX64</f>
        <v>0</v>
      </c>
      <c r="CE149" s="23">
        <f t="shared" si="1238"/>
        <v>0</v>
      </c>
      <c r="CF149" s="23">
        <f>+'QTR Raw'!AZ64</f>
        <v>0</v>
      </c>
      <c r="CG149" s="23">
        <f t="shared" ref="CG149:CG152" si="1239">+CF149</f>
        <v>0</v>
      </c>
      <c r="CH149" s="23">
        <f t="shared" si="1192"/>
        <v>99.47</v>
      </c>
      <c r="CJ149" s="23">
        <f>+'QTR Raw'!BD64</f>
        <v>109.45</v>
      </c>
      <c r="CK149" s="24"/>
      <c r="CL149" s="23">
        <f>+'QTR Raw'!BF64</f>
        <v>104.39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104.39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8.8889999999999993</v>
      </c>
      <c r="X151" s="23">
        <f>'Annual Raw'!Y52</f>
        <v>11.128</v>
      </c>
      <c r="Y151" s="23">
        <f>'Annual Raw'!Z52</f>
        <v>15.678000000000001</v>
      </c>
      <c r="Z151" s="23">
        <f>'Annual Raw'!AA52</f>
        <v>21.95</v>
      </c>
      <c r="AA151" s="23">
        <f>'Annual Raw'!AB52</f>
        <v>22.12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0</v>
      </c>
      <c r="BS151" s="23">
        <f t="shared" si="1238"/>
        <v>0</v>
      </c>
      <c r="BT151" s="23">
        <f>+'QTR Raw'!AN66</f>
        <v>0</v>
      </c>
      <c r="BU151" s="23">
        <f t="shared" si="1238"/>
        <v>0</v>
      </c>
      <c r="BV151" s="23">
        <f>+'QTR Raw'!AP66</f>
        <v>0</v>
      </c>
      <c r="BW151" s="23">
        <f t="shared" si="1238"/>
        <v>0</v>
      </c>
      <c r="BX151" s="23">
        <f>+'QTR Raw'!AR66</f>
        <v>0</v>
      </c>
      <c r="BY151" s="23">
        <f t="shared" si="1238"/>
        <v>0</v>
      </c>
      <c r="BZ151" s="23">
        <f>+'QTR Raw'!AT66</f>
        <v>0</v>
      </c>
      <c r="CA151" s="23">
        <f t="shared" si="1238"/>
        <v>0</v>
      </c>
      <c r="CB151" s="23">
        <f>+'QTR Raw'!AV66</f>
        <v>0</v>
      </c>
      <c r="CC151" s="23">
        <f t="shared" si="1238"/>
        <v>0</v>
      </c>
      <c r="CD151" s="23">
        <f>+'QTR Raw'!AX66</f>
        <v>0</v>
      </c>
      <c r="CE151" s="23">
        <f t="shared" si="1238"/>
        <v>0</v>
      </c>
      <c r="CF151" s="23">
        <f>+'QTR Raw'!AZ66</f>
        <v>0</v>
      </c>
      <c r="CG151" s="23">
        <f t="shared" si="1239"/>
        <v>0</v>
      </c>
      <c r="CH151" s="23">
        <f t="shared" si="1192"/>
        <v>21.95</v>
      </c>
      <c r="CJ151" s="23">
        <f>+'QTR Raw'!BD66</f>
        <v>19.36</v>
      </c>
      <c r="CK151" s="24"/>
      <c r="CL151" s="23">
        <f>+'QTR Raw'!BF66</f>
        <v>22.12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22.12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 t="e">
        <f t="shared" si="1234"/>
        <v>#DIV/0!</v>
      </c>
      <c r="AC152" s="24" t="e">
        <f t="shared" si="1235"/>
        <v>#DIV/0!</v>
      </c>
      <c r="AD152" s="24" t="e">
        <f t="shared" si="1236"/>
        <v>#DIV/0!</v>
      </c>
      <c r="AE152" s="24" t="e">
        <f t="shared" si="1237"/>
        <v>#DIV/0!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0</v>
      </c>
      <c r="CJ152" s="23">
        <f>+'QTR Raw'!BD87</f>
        <v>0</v>
      </c>
      <c r="CK152" s="24">
        <f t="shared" ref="CK152:DB152" si="1240">CK10/90*CK184</f>
        <v>338.47387943057123</v>
      </c>
      <c r="CL152" s="23">
        <f>+'QTR Raw'!BF87</f>
        <v>0</v>
      </c>
      <c r="CM152" s="24" t="e">
        <f t="shared" si="1240"/>
        <v>#DIV/0!</v>
      </c>
      <c r="CN152" s="24" t="e">
        <f t="shared" si="1240"/>
        <v>#DIV/0!</v>
      </c>
      <c r="CO152" s="24" t="e">
        <f t="shared" si="1240"/>
        <v>#DIV/0!</v>
      </c>
      <c r="CP152" s="24" t="e">
        <f t="shared" si="1240"/>
        <v>#DIV/0!</v>
      </c>
      <c r="CQ152" s="24" t="e">
        <f t="shared" si="1240"/>
        <v>#DIV/0!</v>
      </c>
      <c r="CR152" s="24" t="e">
        <f t="shared" si="1240"/>
        <v>#DIV/0!</v>
      </c>
      <c r="CS152" s="24" t="e">
        <f t="shared" si="1240"/>
        <v>#DIV/0!</v>
      </c>
      <c r="CT152" s="24" t="e">
        <f t="shared" si="1240"/>
        <v>#DIV/0!</v>
      </c>
      <c r="CU152" s="24" t="e">
        <f t="shared" si="1240"/>
        <v>#DIV/0!</v>
      </c>
      <c r="CV152" s="24" t="e">
        <f t="shared" si="1240"/>
        <v>#DIV/0!</v>
      </c>
      <c r="CW152" s="24" t="e">
        <f t="shared" si="1240"/>
        <v>#DIV/0!</v>
      </c>
      <c r="CX152" s="24" t="e">
        <f t="shared" si="1240"/>
        <v>#DIV/0!</v>
      </c>
      <c r="CY152" s="24" t="e">
        <f t="shared" si="1240"/>
        <v>#DIV/0!</v>
      </c>
      <c r="CZ152" s="24" t="e">
        <f t="shared" si="1240"/>
        <v>#DIV/0!</v>
      </c>
      <c r="DA152" s="24" t="e">
        <f t="shared" si="1240"/>
        <v>#DIV/0!</v>
      </c>
      <c r="DB152" s="24" t="e">
        <f t="shared" si="1240"/>
        <v>#DIV/0!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76.721999999999994</v>
      </c>
      <c r="X153" s="23">
        <f>'Annual Raw'!Y54</f>
        <v>90.858999999999995</v>
      </c>
      <c r="Y153" s="23">
        <f>'Annual Raw'!Z54</f>
        <v>92.700999999999993</v>
      </c>
      <c r="Z153" s="23">
        <f>'Annual Raw'!AA54</f>
        <v>110.49</v>
      </c>
      <c r="AA153" s="23">
        <f>'Annual Raw'!AB54</f>
        <v>178.66</v>
      </c>
      <c r="AB153" s="24" t="e">
        <f t="shared" si="1234"/>
        <v>#DIV/0!</v>
      </c>
      <c r="AC153" s="24" t="e">
        <f t="shared" si="1235"/>
        <v>#DIV/0!</v>
      </c>
      <c r="AD153" s="24" t="e">
        <f t="shared" si="1236"/>
        <v>#DIV/0!</v>
      </c>
      <c r="AE153" s="24" t="e">
        <f t="shared" si="1237"/>
        <v>#DIV/0!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0</v>
      </c>
      <c r="BW153" s="23" t="e">
        <f>+BW183*BW10/90</f>
        <v>#DIV/0!</v>
      </c>
      <c r="BX153" s="23">
        <f>+'QTR Raw'!AR89</f>
        <v>0</v>
      </c>
      <c r="BY153" s="23" t="e">
        <f>+BY183*BY10/90</f>
        <v>#DIV/0!</v>
      </c>
      <c r="BZ153" s="23">
        <f>+'QTR Raw'!AT89</f>
        <v>0</v>
      </c>
      <c r="CA153" s="23" t="e">
        <f>+CA183*CA10/90</f>
        <v>#DIV/0!</v>
      </c>
      <c r="CB153" s="23">
        <f>+'QTR Raw'!AV89</f>
        <v>0</v>
      </c>
      <c r="CC153" s="23" t="e">
        <f>+CC183*CC10/90</f>
        <v>#DIV/0!</v>
      </c>
      <c r="CD153" s="23">
        <f>+'QTR Raw'!AX89</f>
        <v>0</v>
      </c>
      <c r="CE153" s="23" t="e">
        <f>+CE183*CE10/90</f>
        <v>#DIV/0!</v>
      </c>
      <c r="CF153" s="23">
        <f>+'QTR Raw'!AZ89</f>
        <v>0</v>
      </c>
      <c r="CG153" s="23">
        <f>+CG183*CG10/90</f>
        <v>0</v>
      </c>
      <c r="CH153" s="23">
        <f t="shared" si="1192"/>
        <v>110.49</v>
      </c>
      <c r="CI153" s="23">
        <f>+CI183*CI10/90</f>
        <v>0</v>
      </c>
      <c r="CJ153" s="23">
        <f>+'QTR Raw'!BD89</f>
        <v>207.46</v>
      </c>
      <c r="CK153" s="24">
        <f t="shared" ref="CK153:DB153" si="1241">+CK183*CK10/90</f>
        <v>208.906646317396</v>
      </c>
      <c r="CL153" s="23">
        <f>+'QTR Raw'!BF89</f>
        <v>178.66</v>
      </c>
      <c r="CM153" s="24" t="e">
        <f t="shared" si="1241"/>
        <v>#DIV/0!</v>
      </c>
      <c r="CN153" s="24" t="e">
        <f t="shared" si="1241"/>
        <v>#DIV/0!</v>
      </c>
      <c r="CO153" s="24" t="e">
        <f t="shared" si="1241"/>
        <v>#DIV/0!</v>
      </c>
      <c r="CP153" s="24" t="e">
        <f t="shared" si="1241"/>
        <v>#DIV/0!</v>
      </c>
      <c r="CQ153" s="24" t="e">
        <f t="shared" si="1241"/>
        <v>#DIV/0!</v>
      </c>
      <c r="CR153" s="24" t="e">
        <f t="shared" si="1241"/>
        <v>#DIV/0!</v>
      </c>
      <c r="CS153" s="24" t="e">
        <f t="shared" si="1241"/>
        <v>#DIV/0!</v>
      </c>
      <c r="CT153" s="24" t="e">
        <f t="shared" si="1241"/>
        <v>#DIV/0!</v>
      </c>
      <c r="CU153" s="24" t="e">
        <f t="shared" si="1241"/>
        <v>#DIV/0!</v>
      </c>
      <c r="CV153" s="24" t="e">
        <f t="shared" si="1241"/>
        <v>#DIV/0!</v>
      </c>
      <c r="CW153" s="24" t="e">
        <f t="shared" si="1241"/>
        <v>#DIV/0!</v>
      </c>
      <c r="CX153" s="24" t="e">
        <f t="shared" si="1241"/>
        <v>#DIV/0!</v>
      </c>
      <c r="CY153" s="24" t="e">
        <f t="shared" si="1241"/>
        <v>#DIV/0!</v>
      </c>
      <c r="CZ153" s="24" t="e">
        <f t="shared" si="1241"/>
        <v>#DIV/0!</v>
      </c>
      <c r="DA153" s="24" t="e">
        <f t="shared" si="1241"/>
        <v>#DIV/0!</v>
      </c>
      <c r="DB153" s="24" t="e">
        <f t="shared" si="1241"/>
        <v>#DIV/0!</v>
      </c>
      <c r="DE153" s="123"/>
      <c r="DF153" s="23">
        <v>178.66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91.590999999999994</v>
      </c>
      <c r="X154" s="23">
        <f>'Annual Raw'!Y55-Template!X126</f>
        <v>101.339</v>
      </c>
      <c r="Y154" s="23">
        <f>'Annual Raw'!Z55-Template!Y126</f>
        <v>145.21100000000001</v>
      </c>
      <c r="Z154" s="23">
        <f>'Annual Raw'!AA55-Template!Z126</f>
        <v>159.01</v>
      </c>
      <c r="AA154" s="23">
        <f>'Annual Raw'!AB55-Template!AA126</f>
        <v>234.97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0</v>
      </c>
      <c r="BK154" s="23">
        <f t="shared" si="1238"/>
        <v>0</v>
      </c>
      <c r="BL154" s="23">
        <f>+'QTR Raw'!AF91</f>
        <v>0</v>
      </c>
      <c r="BM154" s="23">
        <f t="shared" si="1238"/>
        <v>0</v>
      </c>
      <c r="BN154" s="23">
        <f>+'QTR Raw'!AH91</f>
        <v>0</v>
      </c>
      <c r="BO154" s="23">
        <f t="shared" si="1238"/>
        <v>0</v>
      </c>
      <c r="BP154" s="23">
        <f>+'QTR Raw'!AJ91</f>
        <v>0</v>
      </c>
      <c r="BQ154" s="23">
        <f t="shared" si="1238"/>
        <v>0</v>
      </c>
      <c r="BR154" s="23">
        <f>+'QTR Raw'!AL91</f>
        <v>0</v>
      </c>
      <c r="BS154" s="23">
        <f t="shared" si="1238"/>
        <v>0</v>
      </c>
      <c r="BT154" s="23">
        <f>+'QTR Raw'!AN91</f>
        <v>0</v>
      </c>
      <c r="BU154" s="23">
        <f t="shared" si="1238"/>
        <v>0</v>
      </c>
      <c r="BV154" s="23">
        <f>+'QTR Raw'!AP91</f>
        <v>0</v>
      </c>
      <c r="BW154" s="23">
        <f t="shared" si="1238"/>
        <v>0</v>
      </c>
      <c r="BX154" s="23">
        <f>+'QTR Raw'!AR91</f>
        <v>0</v>
      </c>
      <c r="BY154" s="23">
        <f t="shared" si="1238"/>
        <v>0</v>
      </c>
      <c r="BZ154" s="23">
        <f>+'QTR Raw'!AT91</f>
        <v>0</v>
      </c>
      <c r="CA154" s="23">
        <f t="shared" si="1238"/>
        <v>0</v>
      </c>
      <c r="CB154" s="23">
        <f>+'QTR Raw'!AV91</f>
        <v>0</v>
      </c>
      <c r="CC154" s="23">
        <f t="shared" si="1238"/>
        <v>0</v>
      </c>
      <c r="CD154" s="23">
        <f>+'QTR Raw'!AX91</f>
        <v>0</v>
      </c>
      <c r="CE154" s="23">
        <f t="shared" si="1238"/>
        <v>0</v>
      </c>
      <c r="CF154" s="23">
        <f>+'QTR Raw'!AZ91</f>
        <v>0</v>
      </c>
      <c r="CG154" s="23">
        <f t="shared" ref="CG154:CG155" si="1242">+CF154</f>
        <v>0</v>
      </c>
      <c r="CH154" s="23">
        <f t="shared" si="1192"/>
        <v>159.01</v>
      </c>
      <c r="CJ154" s="23">
        <f>+'QTR Raw'!BD91</f>
        <v>188.44</v>
      </c>
      <c r="CK154" s="24"/>
      <c r="CL154" s="23">
        <f>+'QTR Raw'!BF91</f>
        <v>234.97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234.97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</v>
      </c>
      <c r="W155" s="23">
        <f>'Annual Raw'!X57</f>
        <v>4.1139999999999999</v>
      </c>
      <c r="X155" s="23">
        <f>'Annual Raw'!Y57</f>
        <v>4.4880000000000004</v>
      </c>
      <c r="Y155" s="23">
        <f>'Annual Raw'!Z57</f>
        <v>6.1539999999999999</v>
      </c>
      <c r="Z155" s="23">
        <f>'Annual Raw'!AA57</f>
        <v>13.9</v>
      </c>
      <c r="AA155" s="23">
        <f>'Annual Raw'!AB57</f>
        <v>18.579999999999998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0</v>
      </c>
      <c r="BK155" s="23">
        <f t="shared" si="1238"/>
        <v>0</v>
      </c>
      <c r="BL155" s="23">
        <f>+'QTR Raw'!AF92</f>
        <v>0</v>
      </c>
      <c r="BM155" s="23">
        <f t="shared" si="1238"/>
        <v>0</v>
      </c>
      <c r="BN155" s="23">
        <f>+'QTR Raw'!AH92</f>
        <v>0</v>
      </c>
      <c r="BO155" s="23">
        <f t="shared" si="1238"/>
        <v>0</v>
      </c>
      <c r="BP155" s="23">
        <f>+'QTR Raw'!AJ92</f>
        <v>0</v>
      </c>
      <c r="BQ155" s="23">
        <f t="shared" si="1238"/>
        <v>0</v>
      </c>
      <c r="BR155" s="23">
        <f>+'QTR Raw'!AL92</f>
        <v>0</v>
      </c>
      <c r="BS155" s="23">
        <f t="shared" si="1238"/>
        <v>0</v>
      </c>
      <c r="BT155" s="23">
        <f>+'QTR Raw'!AN92</f>
        <v>0</v>
      </c>
      <c r="BU155" s="23">
        <f t="shared" si="1238"/>
        <v>0</v>
      </c>
      <c r="BV155" s="23">
        <f>+'QTR Raw'!AP92</f>
        <v>0</v>
      </c>
      <c r="BW155" s="23">
        <f t="shared" si="1238"/>
        <v>0</v>
      </c>
      <c r="BX155" s="23">
        <f>+'QTR Raw'!AR92</f>
        <v>0</v>
      </c>
      <c r="BY155" s="23">
        <f t="shared" si="1238"/>
        <v>0</v>
      </c>
      <c r="BZ155" s="23">
        <f>+'QTR Raw'!AT92</f>
        <v>0</v>
      </c>
      <c r="CA155" s="23">
        <f t="shared" si="1238"/>
        <v>0</v>
      </c>
      <c r="CB155" s="23">
        <f>+'QTR Raw'!AV92</f>
        <v>0</v>
      </c>
      <c r="CC155" s="23">
        <f t="shared" si="1238"/>
        <v>0</v>
      </c>
      <c r="CD155" s="23">
        <f>+'QTR Raw'!AX92</f>
        <v>0</v>
      </c>
      <c r="CE155" s="23">
        <f t="shared" si="1238"/>
        <v>0</v>
      </c>
      <c r="CF155" s="23">
        <f>+'QTR Raw'!AZ92</f>
        <v>0</v>
      </c>
      <c r="CG155" s="23">
        <f t="shared" si="1242"/>
        <v>0</v>
      </c>
      <c r="CH155" s="23">
        <f t="shared" si="1192"/>
        <v>13.9</v>
      </c>
      <c r="CJ155" s="23">
        <f>+'QTR Raw'!BD92</f>
        <v>18.88</v>
      </c>
      <c r="CK155" s="24"/>
      <c r="CL155" s="23">
        <f>+'QTR Raw'!BF92</f>
        <v>18.579999999999998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18.579999999999998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0</v>
      </c>
      <c r="K156" s="22">
        <f t="shared" si="1243"/>
        <v>0</v>
      </c>
      <c r="L156" s="22">
        <f t="shared" si="1243"/>
        <v>0</v>
      </c>
      <c r="M156" s="22">
        <f t="shared" si="1243"/>
        <v>0</v>
      </c>
      <c r="N156" s="22">
        <f t="shared" si="1243"/>
        <v>0</v>
      </c>
      <c r="O156" s="22">
        <f t="shared" si="1243"/>
        <v>0</v>
      </c>
      <c r="P156" s="22">
        <f t="shared" si="1243"/>
        <v>0</v>
      </c>
      <c r="Q156" s="22">
        <f t="shared" si="1243"/>
        <v>0</v>
      </c>
      <c r="R156" s="22">
        <f t="shared" si="1243"/>
        <v>0</v>
      </c>
      <c r="S156" s="22">
        <f t="shared" si="1243"/>
        <v>0</v>
      </c>
      <c r="T156" s="22">
        <f t="shared" si="1243"/>
        <v>0</v>
      </c>
      <c r="U156" s="22">
        <f t="shared" si="1243"/>
        <v>0</v>
      </c>
      <c r="V156" s="22">
        <f t="shared" si="1243"/>
        <v>0</v>
      </c>
      <c r="W156" s="22">
        <f t="shared" ref="W156" si="1244">SUM(W149:W155)</f>
        <v>242.607</v>
      </c>
      <c r="X156" s="22">
        <f t="shared" ref="X156:Y156" si="1245">SUM(X149:X155)</f>
        <v>291.75799999999998</v>
      </c>
      <c r="Y156" s="22">
        <f t="shared" si="1245"/>
        <v>346.005</v>
      </c>
      <c r="Z156" s="22">
        <f t="shared" ref="Z156:AA156" si="1246">SUM(Z149:Z155)</f>
        <v>404.81999999999994</v>
      </c>
      <c r="AA156" s="22">
        <f t="shared" si="1246"/>
        <v>558.72</v>
      </c>
      <c r="AB156" s="21" t="e">
        <f t="shared" ref="AA156:AD156" si="1247">SUM(AB149:AB155)</f>
        <v>#DIV/0!</v>
      </c>
      <c r="AC156" s="21" t="e">
        <f t="shared" si="1247"/>
        <v>#DIV/0!</v>
      </c>
      <c r="AD156" s="21" t="e">
        <f t="shared" si="1247"/>
        <v>#DIV/0!</v>
      </c>
      <c r="AE156" s="21" t="e">
        <f t="shared" ref="AE156" si="1248">SUM(AE149:AE155)</f>
        <v>#DIV/0!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 t="e">
        <f t="shared" si="1253"/>
        <v>#DIV/0!</v>
      </c>
      <c r="BJ156" s="22">
        <f t="shared" si="1253"/>
        <v>0</v>
      </c>
      <c r="BK156" s="22" t="e">
        <f t="shared" si="1253"/>
        <v>#DIV/0!</v>
      </c>
      <c r="BL156" s="22">
        <f t="shared" si="1253"/>
        <v>0</v>
      </c>
      <c r="BM156" s="22" t="e">
        <f t="shared" si="1253"/>
        <v>#DIV/0!</v>
      </c>
      <c r="BN156" s="22">
        <f t="shared" si="1253"/>
        <v>0</v>
      </c>
      <c r="BO156" s="22" t="e">
        <f t="shared" si="1253"/>
        <v>#DIV/0!</v>
      </c>
      <c r="BP156" s="22">
        <f t="shared" si="1253"/>
        <v>0</v>
      </c>
      <c r="BQ156" s="22" t="e">
        <f t="shared" si="1253"/>
        <v>#DIV/0!</v>
      </c>
      <c r="BR156" s="22">
        <f t="shared" si="1253"/>
        <v>0</v>
      </c>
      <c r="BS156" s="22" t="e">
        <f t="shared" si="1253"/>
        <v>#DIV/0!</v>
      </c>
      <c r="BT156" s="22">
        <f t="shared" si="1253"/>
        <v>0</v>
      </c>
      <c r="BU156" s="22" t="e">
        <f t="shared" si="1253"/>
        <v>#DIV/0!</v>
      </c>
      <c r="BV156" s="22">
        <f t="shared" si="1253"/>
        <v>0</v>
      </c>
      <c r="BW156" s="22" t="e">
        <f t="shared" si="1253"/>
        <v>#DIV/0!</v>
      </c>
      <c r="BX156" s="22">
        <f t="shared" si="1253"/>
        <v>0</v>
      </c>
      <c r="BY156" s="22" t="e">
        <f t="shared" si="1253"/>
        <v>#DIV/0!</v>
      </c>
      <c r="BZ156" s="22">
        <f t="shared" si="1253"/>
        <v>0</v>
      </c>
      <c r="CA156" s="22" t="e">
        <f t="shared" si="1253"/>
        <v>#DIV/0!</v>
      </c>
      <c r="CB156" s="22">
        <f t="shared" si="1253"/>
        <v>0</v>
      </c>
      <c r="CC156" s="22" t="e">
        <f t="shared" si="1253"/>
        <v>#DIV/0!</v>
      </c>
      <c r="CD156" s="22">
        <f t="shared" si="1253"/>
        <v>0</v>
      </c>
      <c r="CE156" s="22" t="e">
        <f t="shared" si="1253"/>
        <v>#DIV/0!</v>
      </c>
      <c r="CF156" s="22">
        <f t="shared" ref="CF156:CG156" si="1255">SUM(CF149:CF155)</f>
        <v>0</v>
      </c>
      <c r="CG156" s="22">
        <f t="shared" si="1255"/>
        <v>0</v>
      </c>
      <c r="CH156" s="22">
        <f t="shared" ref="CH156:CI156" si="1256">SUM(CH149:CH155)</f>
        <v>404.81999999999994</v>
      </c>
      <c r="CI156" s="22">
        <f t="shared" si="1256"/>
        <v>0</v>
      </c>
      <c r="CJ156" s="22">
        <f t="shared" ref="CJ156:DB156" si="1257">SUM(CJ149:CJ155)</f>
        <v>543.59</v>
      </c>
      <c r="CK156" s="21">
        <f t="shared" si="1257"/>
        <v>547.38052574796723</v>
      </c>
      <c r="CL156" s="22">
        <f t="shared" ref="CL156" si="1258">SUM(CL149:CL155)</f>
        <v>558.72</v>
      </c>
      <c r="CM156" s="21" t="e">
        <f t="shared" si="1257"/>
        <v>#DIV/0!</v>
      </c>
      <c r="CN156" s="21" t="e">
        <f t="shared" si="1257"/>
        <v>#DIV/0!</v>
      </c>
      <c r="CO156" s="21" t="e">
        <f t="shared" si="1257"/>
        <v>#DIV/0!</v>
      </c>
      <c r="CP156" s="21" t="e">
        <f t="shared" si="1257"/>
        <v>#DIV/0!</v>
      </c>
      <c r="CQ156" s="21" t="e">
        <f t="shared" si="1257"/>
        <v>#DIV/0!</v>
      </c>
      <c r="CR156" s="21" t="e">
        <f t="shared" si="1257"/>
        <v>#DIV/0!</v>
      </c>
      <c r="CS156" s="21" t="e">
        <f t="shared" si="1257"/>
        <v>#DIV/0!</v>
      </c>
      <c r="CT156" s="21" t="e">
        <f t="shared" si="1257"/>
        <v>#DIV/0!</v>
      </c>
      <c r="CU156" s="21" t="e">
        <f t="shared" si="1257"/>
        <v>#DIV/0!</v>
      </c>
      <c r="CV156" s="21" t="e">
        <f t="shared" si="1257"/>
        <v>#DIV/0!</v>
      </c>
      <c r="CW156" s="21" t="e">
        <f t="shared" si="1257"/>
        <v>#DIV/0!</v>
      </c>
      <c r="CX156" s="21" t="e">
        <f t="shared" si="1257"/>
        <v>#DIV/0!</v>
      </c>
      <c r="CY156" s="21" t="e">
        <f t="shared" si="1257"/>
        <v>#DIV/0!</v>
      </c>
      <c r="CZ156" s="21" t="e">
        <f t="shared" si="1257"/>
        <v>#DIV/0!</v>
      </c>
      <c r="DA156" s="21" t="e">
        <f t="shared" si="1257"/>
        <v>#DIV/0!</v>
      </c>
      <c r="DB156" s="21" t="e">
        <f t="shared" si="1257"/>
        <v>#DIV/0!</v>
      </c>
      <c r="DE156" s="126"/>
      <c r="DF156" s="22">
        <v>558.72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0</v>
      </c>
      <c r="K157" s="22">
        <f t="shared" si="1259"/>
        <v>0</v>
      </c>
      <c r="L157" s="22">
        <f t="shared" si="1259"/>
        <v>0</v>
      </c>
      <c r="M157" s="22">
        <f t="shared" si="1259"/>
        <v>0</v>
      </c>
      <c r="N157" s="22">
        <f t="shared" si="1259"/>
        <v>0</v>
      </c>
      <c r="O157" s="22">
        <f t="shared" si="1259"/>
        <v>0</v>
      </c>
      <c r="P157" s="22">
        <f t="shared" si="1259"/>
        <v>0</v>
      </c>
      <c r="Q157" s="22">
        <f t="shared" si="1259"/>
        <v>0</v>
      </c>
      <c r="R157" s="22">
        <f t="shared" si="1259"/>
        <v>0</v>
      </c>
      <c r="S157" s="22">
        <f t="shared" si="1259"/>
        <v>0</v>
      </c>
      <c r="T157" s="22">
        <f t="shared" si="1259"/>
        <v>0</v>
      </c>
      <c r="U157" s="22">
        <f t="shared" si="1259"/>
        <v>0</v>
      </c>
      <c r="V157" s="22">
        <f t="shared" si="1259"/>
        <v>0</v>
      </c>
      <c r="W157" s="22">
        <f t="shared" ref="W157" si="1260">W148-W156</f>
        <v>-131.184</v>
      </c>
      <c r="X157" s="22">
        <f t="shared" ref="X157:Y157" si="1261">X148-X156</f>
        <v>-113.79899999999998</v>
      </c>
      <c r="Y157" s="22">
        <f t="shared" si="1261"/>
        <v>-107.59399999999999</v>
      </c>
      <c r="Z157" s="22">
        <f t="shared" ref="Z157:AA157" si="1262">Z148-Z156</f>
        <v>-224.63999999999993</v>
      </c>
      <c r="AA157" s="22">
        <f t="shared" si="1262"/>
        <v>39.8599999999999</v>
      </c>
      <c r="AB157" s="21" t="e">
        <f t="shared" ref="AA157:AD157" si="1263">AB148-AB156</f>
        <v>#DIV/0!</v>
      </c>
      <c r="AC157" s="21" t="e">
        <f t="shared" si="1263"/>
        <v>#DIV/0!</v>
      </c>
      <c r="AD157" s="21" t="e">
        <f t="shared" si="1263"/>
        <v>#DIV/0!</v>
      </c>
      <c r="AE157" s="21" t="e">
        <f t="shared" ref="AE157" si="1264">AE148-AE156</f>
        <v>#DIV/0!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 t="e">
        <f t="shared" si="1269"/>
        <v>#DIV/0!</v>
      </c>
      <c r="BJ157" s="22">
        <f t="shared" si="1269"/>
        <v>0</v>
      </c>
      <c r="BK157" s="22" t="e">
        <f t="shared" si="1269"/>
        <v>#DIV/0!</v>
      </c>
      <c r="BL157" s="22">
        <f t="shared" si="1269"/>
        <v>0</v>
      </c>
      <c r="BM157" s="22" t="e">
        <f t="shared" si="1269"/>
        <v>#DIV/0!</v>
      </c>
      <c r="BN157" s="22">
        <f t="shared" si="1269"/>
        <v>0</v>
      </c>
      <c r="BO157" s="22" t="e">
        <f t="shared" si="1269"/>
        <v>#DIV/0!</v>
      </c>
      <c r="BP157" s="22">
        <f t="shared" si="1269"/>
        <v>0</v>
      </c>
      <c r="BQ157" s="22" t="e">
        <f t="shared" si="1269"/>
        <v>#DIV/0!</v>
      </c>
      <c r="BR157" s="22">
        <f t="shared" si="1269"/>
        <v>0</v>
      </c>
      <c r="BS157" s="22" t="e">
        <f t="shared" si="1269"/>
        <v>#DIV/0!</v>
      </c>
      <c r="BT157" s="22">
        <f t="shared" si="1269"/>
        <v>0</v>
      </c>
      <c r="BU157" s="22" t="e">
        <f t="shared" si="1269"/>
        <v>#DIV/0!</v>
      </c>
      <c r="BV157" s="22">
        <f t="shared" si="1269"/>
        <v>0</v>
      </c>
      <c r="BW157" s="22" t="e">
        <f t="shared" si="1269"/>
        <v>#DIV/0!</v>
      </c>
      <c r="BX157" s="22">
        <f t="shared" si="1269"/>
        <v>0</v>
      </c>
      <c r="BY157" s="22" t="e">
        <f t="shared" si="1269"/>
        <v>#DIV/0!</v>
      </c>
      <c r="BZ157" s="22">
        <f t="shared" si="1269"/>
        <v>0</v>
      </c>
      <c r="CA157" s="22" t="e">
        <f t="shared" si="1269"/>
        <v>#DIV/0!</v>
      </c>
      <c r="CB157" s="22">
        <f t="shared" si="1269"/>
        <v>0</v>
      </c>
      <c r="CC157" s="22" t="e">
        <f t="shared" si="1269"/>
        <v>#DIV/0!</v>
      </c>
      <c r="CD157" s="22">
        <f t="shared" si="1269"/>
        <v>0</v>
      </c>
      <c r="CE157" s="22" t="e">
        <f t="shared" si="1269"/>
        <v>#DIV/0!</v>
      </c>
      <c r="CF157" s="22">
        <f t="shared" ref="CF157:CG157" si="1271">CF148-CF156</f>
        <v>0</v>
      </c>
      <c r="CG157" s="22">
        <f t="shared" si="1271"/>
        <v>0</v>
      </c>
      <c r="CH157" s="22">
        <f t="shared" ref="CH157:CI157" si="1272">CH148-CH156</f>
        <v>-224.63999999999993</v>
      </c>
      <c r="CI157" s="22">
        <f t="shared" si="1272"/>
        <v>0</v>
      </c>
      <c r="CJ157" s="22">
        <f t="shared" ref="CJ157:DB157" si="1273">CJ148-CJ156</f>
        <v>71.589999999999918</v>
      </c>
      <c r="CK157" s="21">
        <f t="shared" si="1273"/>
        <v>72.089206641580745</v>
      </c>
      <c r="CL157" s="22">
        <f t="shared" ref="CL157" si="1274">CL148-CL156</f>
        <v>162.11000000000001</v>
      </c>
      <c r="CM157" s="21" t="e">
        <f t="shared" si="1273"/>
        <v>#DIV/0!</v>
      </c>
      <c r="CN157" s="21" t="e">
        <f t="shared" si="1273"/>
        <v>#DIV/0!</v>
      </c>
      <c r="CO157" s="21" t="e">
        <f t="shared" si="1273"/>
        <v>#DIV/0!</v>
      </c>
      <c r="CP157" s="21" t="e">
        <f t="shared" si="1273"/>
        <v>#DIV/0!</v>
      </c>
      <c r="CQ157" s="21" t="e">
        <f t="shared" si="1273"/>
        <v>#DIV/0!</v>
      </c>
      <c r="CR157" s="21" t="e">
        <f t="shared" si="1273"/>
        <v>#DIV/0!</v>
      </c>
      <c r="CS157" s="21" t="e">
        <f t="shared" si="1273"/>
        <v>#DIV/0!</v>
      </c>
      <c r="CT157" s="21" t="e">
        <f t="shared" si="1273"/>
        <v>#DIV/0!</v>
      </c>
      <c r="CU157" s="21" t="e">
        <f t="shared" si="1273"/>
        <v>#DIV/0!</v>
      </c>
      <c r="CV157" s="21" t="e">
        <f t="shared" si="1273"/>
        <v>#DIV/0!</v>
      </c>
      <c r="CW157" s="21" t="e">
        <f t="shared" si="1273"/>
        <v>#DIV/0!</v>
      </c>
      <c r="CX157" s="21" t="e">
        <f t="shared" si="1273"/>
        <v>#DIV/0!</v>
      </c>
      <c r="CY157" s="21" t="e">
        <f t="shared" si="1273"/>
        <v>#DIV/0!</v>
      </c>
      <c r="CZ157" s="21" t="e">
        <f t="shared" si="1273"/>
        <v>#DIV/0!</v>
      </c>
      <c r="DA157" s="21" t="e">
        <f t="shared" si="1273"/>
        <v>#DIV/0!</v>
      </c>
      <c r="DB157" s="21" t="e">
        <f t="shared" si="1273"/>
        <v>#DIV/0!</v>
      </c>
      <c r="DE157" s="126"/>
      <c r="DF157" s="22">
        <v>162.11000000000001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922.12800000000004</v>
      </c>
      <c r="X159" s="23">
        <f>'Annual Raw'!Y75</f>
        <v>959.17499999999995</v>
      </c>
      <c r="Y159" s="23">
        <f>'Annual Raw'!Z75</f>
        <v>568.64099999999996</v>
      </c>
      <c r="Z159" s="23">
        <f>'Annual Raw'!AA75</f>
        <v>923.99</v>
      </c>
      <c r="AA159" s="23">
        <f>'Annual Raw'!AB75</f>
        <v>908.6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923.99</v>
      </c>
      <c r="CJ159" s="23">
        <f>+'QTR Raw'!BD80</f>
        <v>863.51</v>
      </c>
      <c r="CK159" s="24"/>
      <c r="CL159" s="23">
        <f>+'QTR Raw'!BF80</f>
        <v>908.6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908.6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0</v>
      </c>
      <c r="W160" s="23">
        <f>'Annual Raw'!X78</f>
        <v>673.779</v>
      </c>
      <c r="X160" s="23">
        <f>'Annual Raw'!Y78</f>
        <v>323.49799999999999</v>
      </c>
      <c r="Y160" s="23">
        <f>'Annual Raw'!Z78</f>
        <v>521.17100000000005</v>
      </c>
      <c r="Z160" s="23">
        <f>'Annual Raw'!AA78</f>
        <v>590.69000000000005</v>
      </c>
      <c r="AA160" s="23">
        <f>'Annual Raw'!AB78</f>
        <v>531.92999999999995</v>
      </c>
      <c r="AB160" s="24" t="e">
        <f t="shared" si="1275"/>
        <v>#DIV/0!</v>
      </c>
      <c r="AC160" s="24" t="e">
        <f t="shared" si="1276"/>
        <v>#DIV/0!</v>
      </c>
      <c r="AD160" s="24" t="e">
        <f t="shared" si="1277"/>
        <v>#DIV/0!</v>
      </c>
      <c r="AE160" s="24" t="e">
        <f t="shared" si="1278"/>
        <v>#DIV/0!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 t="e">
        <f t="shared" ref="BI160" si="1291">+BI210</f>
        <v>#DIV/0!</v>
      </c>
      <c r="BJ160" s="23">
        <f>+'QTR Raw'!AD83</f>
        <v>0</v>
      </c>
      <c r="BK160" s="23" t="e">
        <f t="shared" ref="BK160" si="1292">+BK210</f>
        <v>#DIV/0!</v>
      </c>
      <c r="BL160" s="23">
        <f>+'QTR Raw'!AF83</f>
        <v>0</v>
      </c>
      <c r="BM160" s="23" t="e">
        <f t="shared" ref="BM160" si="1293">+BM210</f>
        <v>#DIV/0!</v>
      </c>
      <c r="BN160" s="23">
        <f>+'QTR Raw'!AH83</f>
        <v>0</v>
      </c>
      <c r="BO160" s="23" t="e">
        <f t="shared" ref="BO160" si="1294">+BO210</f>
        <v>#DIV/0!</v>
      </c>
      <c r="BP160" s="23">
        <f>+'QTR Raw'!AJ83</f>
        <v>0</v>
      </c>
      <c r="BQ160" s="23" t="e">
        <f t="shared" ref="BQ160" si="1295">+BQ210</f>
        <v>#DIV/0!</v>
      </c>
      <c r="BR160" s="23">
        <f>+'QTR Raw'!AL83</f>
        <v>0</v>
      </c>
      <c r="BS160" s="23" t="e">
        <f t="shared" ref="BS160" si="1296">+BS210</f>
        <v>#DIV/0!</v>
      </c>
      <c r="BT160" s="23">
        <f>+'QTR Raw'!AN83</f>
        <v>0</v>
      </c>
      <c r="BU160" s="23" t="e">
        <f t="shared" ref="BU160" si="1297">+BU210</f>
        <v>#DIV/0!</v>
      </c>
      <c r="BV160" s="23">
        <f>+'QTR Raw'!AP83</f>
        <v>0</v>
      </c>
      <c r="BW160" s="23" t="e">
        <f t="shared" ref="BW160" si="1298">+BW210</f>
        <v>#DIV/0!</v>
      </c>
      <c r="BX160" s="23">
        <f>+'QTR Raw'!AR83</f>
        <v>0</v>
      </c>
      <c r="BY160" s="23" t="e">
        <f t="shared" ref="BY160" si="1299">+BY210</f>
        <v>#DIV/0!</v>
      </c>
      <c r="BZ160" s="23">
        <f>+'QTR Raw'!AT83</f>
        <v>0</v>
      </c>
      <c r="CA160" s="23" t="e">
        <f t="shared" ref="CA160" si="1300">+CA210</f>
        <v>#DIV/0!</v>
      </c>
      <c r="CB160" s="23">
        <f>+'QTR Raw'!AV83</f>
        <v>0</v>
      </c>
      <c r="CC160" s="23" t="e">
        <f t="shared" ref="CC160" si="1301">+CC210</f>
        <v>#DIV/0!</v>
      </c>
      <c r="CD160" s="23">
        <f>+'QTR Raw'!AX83</f>
        <v>0</v>
      </c>
      <c r="CE160" s="23" t="e">
        <f t="shared" ref="CE160" si="1302">+CE210</f>
        <v>#DIV/0!</v>
      </c>
      <c r="CF160" s="23">
        <f>+'QTR Raw'!AZ83</f>
        <v>0</v>
      </c>
      <c r="CG160" s="23">
        <f t="shared" ref="CG160:CI160" si="1303">+CG210</f>
        <v>231.84000000000003</v>
      </c>
      <c r="CH160" s="23">
        <f t="shared" si="1279"/>
        <v>590.69000000000005</v>
      </c>
      <c r="CI160" s="23">
        <f t="shared" si="1303"/>
        <v>1290.0400000000002</v>
      </c>
      <c r="CJ160" s="23">
        <f>+'QTR Raw'!BD83</f>
        <v>851</v>
      </c>
      <c r="CK160" s="24">
        <f t="shared" ref="CK160:DB160" si="1304">+CK210</f>
        <v>1704.4807933584191</v>
      </c>
      <c r="CL160" s="23">
        <f>+'QTR Raw'!BF83</f>
        <v>531.92999999999995</v>
      </c>
      <c r="CM160" s="24" t="e">
        <f t="shared" si="1304"/>
        <v>#DIV/0!</v>
      </c>
      <c r="CN160" s="24" t="e">
        <f t="shared" si="1304"/>
        <v>#DIV/0!</v>
      </c>
      <c r="CO160" s="24" t="e">
        <f t="shared" si="1304"/>
        <v>#DIV/0!</v>
      </c>
      <c r="CP160" s="24" t="e">
        <f t="shared" si="1304"/>
        <v>#DIV/0!</v>
      </c>
      <c r="CQ160" s="24" t="e">
        <f t="shared" si="1304"/>
        <v>#DIV/0!</v>
      </c>
      <c r="CR160" s="24" t="e">
        <f t="shared" si="1304"/>
        <v>#DIV/0!</v>
      </c>
      <c r="CS160" s="24" t="e">
        <f t="shared" si="1304"/>
        <v>#DIV/0!</v>
      </c>
      <c r="CT160" s="24" t="e">
        <f t="shared" si="1304"/>
        <v>#DIV/0!</v>
      </c>
      <c r="CU160" s="24" t="e">
        <f t="shared" si="1304"/>
        <v>#DIV/0!</v>
      </c>
      <c r="CV160" s="24" t="e">
        <f t="shared" si="1304"/>
        <v>#DIV/0!</v>
      </c>
      <c r="CW160" s="24" t="e">
        <f t="shared" si="1304"/>
        <v>#DIV/0!</v>
      </c>
      <c r="CX160" s="24" t="e">
        <f t="shared" si="1304"/>
        <v>#DIV/0!</v>
      </c>
      <c r="CY160" s="24" t="e">
        <f t="shared" si="1304"/>
        <v>#DIV/0!</v>
      </c>
      <c r="CZ160" s="24" t="e">
        <f t="shared" si="1304"/>
        <v>#DIV/0!</v>
      </c>
      <c r="DA160" s="24" t="e">
        <f t="shared" si="1304"/>
        <v>#DIV/0!</v>
      </c>
      <c r="DB160" s="24" t="e">
        <f t="shared" si="1304"/>
        <v>#DIV/0!</v>
      </c>
      <c r="DE160" s="123"/>
      <c r="DF160" s="23">
        <v>531.92999999999995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0</v>
      </c>
      <c r="K161" s="22">
        <f t="shared" si="1305"/>
        <v>0</v>
      </c>
      <c r="L161" s="22">
        <f t="shared" si="1305"/>
        <v>0</v>
      </c>
      <c r="M161" s="22">
        <f t="shared" si="1305"/>
        <v>0</v>
      </c>
      <c r="N161" s="22">
        <f t="shared" si="1305"/>
        <v>0</v>
      </c>
      <c r="O161" s="22">
        <f t="shared" si="1305"/>
        <v>0</v>
      </c>
      <c r="P161" s="22">
        <f t="shared" si="1305"/>
        <v>0</v>
      </c>
      <c r="Q161" s="22">
        <f t="shared" si="1305"/>
        <v>0</v>
      </c>
      <c r="R161" s="22">
        <f t="shared" si="1305"/>
        <v>0</v>
      </c>
      <c r="S161" s="22">
        <f t="shared" si="1305"/>
        <v>0</v>
      </c>
      <c r="T161" s="22">
        <f t="shared" si="1305"/>
        <v>0</v>
      </c>
      <c r="U161" s="22">
        <f t="shared" si="1305"/>
        <v>0</v>
      </c>
      <c r="V161" s="22">
        <f t="shared" si="1305"/>
        <v>0</v>
      </c>
      <c r="W161" s="22">
        <f t="shared" ref="W161" si="1306">W159+W160</f>
        <v>1595.9070000000002</v>
      </c>
      <c r="X161" s="22">
        <f t="shared" ref="X161:Y161" si="1307">X159+X160</f>
        <v>1282.673</v>
      </c>
      <c r="Y161" s="22">
        <f t="shared" si="1307"/>
        <v>1089.8119999999999</v>
      </c>
      <c r="Z161" s="22">
        <f t="shared" ref="Z161:AA161" si="1308">Z159+Z160</f>
        <v>1514.68</v>
      </c>
      <c r="AA161" s="22">
        <f t="shared" si="1308"/>
        <v>1440.53</v>
      </c>
      <c r="AB161" s="21" t="e">
        <f t="shared" ref="AA161:AD161" si="1309">AB159+AB160</f>
        <v>#DIV/0!</v>
      </c>
      <c r="AC161" s="21" t="e">
        <f t="shared" si="1309"/>
        <v>#DIV/0!</v>
      </c>
      <c r="AD161" s="21" t="e">
        <f t="shared" si="1309"/>
        <v>#DIV/0!</v>
      </c>
      <c r="AE161" s="21" t="e">
        <f t="shared" ref="AE161" si="1310">AE159+AE160</f>
        <v>#DIV/0!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 t="e">
        <f t="shared" si="1315"/>
        <v>#DIV/0!</v>
      </c>
      <c r="BJ161" s="22">
        <f t="shared" si="1315"/>
        <v>0</v>
      </c>
      <c r="BK161" s="22" t="e">
        <f t="shared" si="1315"/>
        <v>#DIV/0!</v>
      </c>
      <c r="BL161" s="22">
        <f t="shared" si="1315"/>
        <v>0</v>
      </c>
      <c r="BM161" s="22" t="e">
        <f t="shared" si="1315"/>
        <v>#DIV/0!</v>
      </c>
      <c r="BN161" s="22">
        <f t="shared" si="1315"/>
        <v>0</v>
      </c>
      <c r="BO161" s="22" t="e">
        <f t="shared" si="1315"/>
        <v>#DIV/0!</v>
      </c>
      <c r="BP161" s="22">
        <f t="shared" si="1315"/>
        <v>0</v>
      </c>
      <c r="BQ161" s="22" t="e">
        <f t="shared" si="1315"/>
        <v>#DIV/0!</v>
      </c>
      <c r="BR161" s="22">
        <f t="shared" si="1315"/>
        <v>0</v>
      </c>
      <c r="BS161" s="22" t="e">
        <f t="shared" si="1315"/>
        <v>#DIV/0!</v>
      </c>
      <c r="BT161" s="22">
        <f t="shared" si="1315"/>
        <v>0</v>
      </c>
      <c r="BU161" s="22" t="e">
        <f t="shared" si="1315"/>
        <v>#DIV/0!</v>
      </c>
      <c r="BV161" s="22">
        <f t="shared" si="1315"/>
        <v>0</v>
      </c>
      <c r="BW161" s="22" t="e">
        <f t="shared" si="1315"/>
        <v>#DIV/0!</v>
      </c>
      <c r="BX161" s="22">
        <f t="shared" si="1315"/>
        <v>0</v>
      </c>
      <c r="BY161" s="22" t="e">
        <f t="shared" si="1315"/>
        <v>#DIV/0!</v>
      </c>
      <c r="BZ161" s="22">
        <f t="shared" si="1315"/>
        <v>0</v>
      </c>
      <c r="CA161" s="22" t="e">
        <f t="shared" si="1315"/>
        <v>#DIV/0!</v>
      </c>
      <c r="CB161" s="22">
        <f t="shared" si="1315"/>
        <v>0</v>
      </c>
      <c r="CC161" s="22" t="e">
        <f t="shared" si="1315"/>
        <v>#DIV/0!</v>
      </c>
      <c r="CD161" s="22">
        <f t="shared" si="1315"/>
        <v>0</v>
      </c>
      <c r="CE161" s="22" t="e">
        <f t="shared" si="1315"/>
        <v>#DIV/0!</v>
      </c>
      <c r="CF161" s="22">
        <f t="shared" ref="CF161:CG161" si="1316">CF159+CF160</f>
        <v>0</v>
      </c>
      <c r="CG161" s="22">
        <f t="shared" si="1316"/>
        <v>231.84000000000003</v>
      </c>
      <c r="CH161" s="22">
        <f t="shared" ref="CH161:CI161" si="1317">CH159+CH160</f>
        <v>1514.68</v>
      </c>
      <c r="CI161" s="22">
        <f t="shared" si="1317"/>
        <v>1290.0400000000002</v>
      </c>
      <c r="CJ161" s="22">
        <f t="shared" ref="CJ161:DB161" si="1318">CJ159+CJ160</f>
        <v>1714.51</v>
      </c>
      <c r="CK161" s="21">
        <f t="shared" si="1318"/>
        <v>1704.4807933584191</v>
      </c>
      <c r="CL161" s="22">
        <f t="shared" ref="CL161" si="1319">CL159+CL160</f>
        <v>1440.53</v>
      </c>
      <c r="CM161" s="21" t="e">
        <f t="shared" si="1318"/>
        <v>#DIV/0!</v>
      </c>
      <c r="CN161" s="21" t="e">
        <f t="shared" si="1318"/>
        <v>#DIV/0!</v>
      </c>
      <c r="CO161" s="21" t="e">
        <f t="shared" si="1318"/>
        <v>#DIV/0!</v>
      </c>
      <c r="CP161" s="21" t="e">
        <f t="shared" si="1318"/>
        <v>#DIV/0!</v>
      </c>
      <c r="CQ161" s="21" t="e">
        <f t="shared" si="1318"/>
        <v>#DIV/0!</v>
      </c>
      <c r="CR161" s="21" t="e">
        <f t="shared" si="1318"/>
        <v>#DIV/0!</v>
      </c>
      <c r="CS161" s="21" t="e">
        <f t="shared" si="1318"/>
        <v>#DIV/0!</v>
      </c>
      <c r="CT161" s="21" t="e">
        <f t="shared" si="1318"/>
        <v>#DIV/0!</v>
      </c>
      <c r="CU161" s="21" t="e">
        <f t="shared" si="1318"/>
        <v>#DIV/0!</v>
      </c>
      <c r="CV161" s="21" t="e">
        <f t="shared" si="1318"/>
        <v>#DIV/0!</v>
      </c>
      <c r="CW161" s="21" t="e">
        <f t="shared" si="1318"/>
        <v>#DIV/0!</v>
      </c>
      <c r="CX161" s="21" t="e">
        <f t="shared" si="1318"/>
        <v>#DIV/0!</v>
      </c>
      <c r="CY161" s="21" t="e">
        <f t="shared" si="1318"/>
        <v>#DIV/0!</v>
      </c>
      <c r="CZ161" s="21" t="e">
        <f t="shared" si="1318"/>
        <v>#DIV/0!</v>
      </c>
      <c r="DA161" s="21" t="e">
        <f t="shared" si="1318"/>
        <v>#DIV/0!</v>
      </c>
      <c r="DB161" s="21" t="e">
        <f t="shared" si="1318"/>
        <v>#DIV/0!</v>
      </c>
      <c r="DE161" s="126"/>
      <c r="DF161" s="22">
        <v>1440.53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0</v>
      </c>
      <c r="Z163" s="23">
        <f>-'Annual Raw'!AA49</f>
        <v>211.74</v>
      </c>
      <c r="AA163" s="23">
        <f>-'Annual Raw'!AB49</f>
        <v>151.53</v>
      </c>
      <c r="AB163" s="24">
        <f t="shared" ref="AB163:AB164" si="1320">+CP163</f>
        <v>151.53</v>
      </c>
      <c r="AC163" s="24">
        <f t="shared" ref="AC163:AC164" si="1321">+CT163</f>
        <v>151.53</v>
      </c>
      <c r="AD163" s="24">
        <f t="shared" ref="AD163:AD164" si="1322">+CX163</f>
        <v>151.53</v>
      </c>
      <c r="AE163" s="24">
        <f t="shared" ref="AE163:AE164" si="1323">+DB163</f>
        <v>151.53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0</v>
      </c>
      <c r="BS163" s="23">
        <f t="shared" si="1324"/>
        <v>0</v>
      </c>
      <c r="BT163" s="23">
        <f>+'QTR Raw'!AN96</f>
        <v>0</v>
      </c>
      <c r="BU163" s="23">
        <f t="shared" si="1324"/>
        <v>0</v>
      </c>
      <c r="BV163" s="23">
        <f>+'QTR Raw'!AP96</f>
        <v>0</v>
      </c>
      <c r="BW163" s="23">
        <f t="shared" si="1324"/>
        <v>0</v>
      </c>
      <c r="BX163" s="23">
        <f>+'QTR Raw'!AR96</f>
        <v>0</v>
      </c>
      <c r="BY163" s="23">
        <f t="shared" si="1324"/>
        <v>0</v>
      </c>
      <c r="BZ163" s="23">
        <f>+'QTR Raw'!AT96</f>
        <v>0</v>
      </c>
      <c r="CA163" s="23">
        <f t="shared" si="1324"/>
        <v>0</v>
      </c>
      <c r="CB163" s="23">
        <f>+'QTR Raw'!AV96</f>
        <v>0</v>
      </c>
      <c r="CC163" s="23">
        <f t="shared" si="1324"/>
        <v>0</v>
      </c>
      <c r="CD163" s="23">
        <f>+'QTR Raw'!AX96</f>
        <v>0</v>
      </c>
      <c r="CE163" s="23">
        <f t="shared" si="1324"/>
        <v>0</v>
      </c>
      <c r="CF163" s="23">
        <f>+'QTR Raw'!AZ96</f>
        <v>0</v>
      </c>
      <c r="CG163" s="23">
        <f t="shared" ref="CG163:CI164" si="1325">+CF163</f>
        <v>0</v>
      </c>
      <c r="CH163" s="23">
        <f t="shared" ref="CH163:CH164" si="1326">Z163</f>
        <v>211.74</v>
      </c>
      <c r="CI163" s="23">
        <f t="shared" si="1325"/>
        <v>211.74</v>
      </c>
      <c r="CJ163" s="23">
        <f>+'QTR Raw'!BD96</f>
        <v>211.85</v>
      </c>
      <c r="CK163" s="24">
        <f t="shared" ref="CK163:CK164" si="1327">+CJ163</f>
        <v>211.85</v>
      </c>
      <c r="CL163" s="23">
        <f>+'QTR Raw'!BF96</f>
        <v>151.53</v>
      </c>
      <c r="CM163" s="24">
        <f t="shared" ref="CM163:CM164" si="1328">+CL163</f>
        <v>151.53</v>
      </c>
      <c r="CN163" s="24">
        <f t="shared" ref="CN163:CN164" si="1329">+CM163</f>
        <v>151.53</v>
      </c>
      <c r="CO163" s="24">
        <f t="shared" ref="CO163:CO164" si="1330">+CN163</f>
        <v>151.53</v>
      </c>
      <c r="CP163" s="24">
        <f t="shared" ref="CP163:CP164" si="1331">+CO163</f>
        <v>151.53</v>
      </c>
      <c r="CQ163" s="24">
        <f t="shared" ref="CQ163:CQ164" si="1332">+CP163</f>
        <v>151.53</v>
      </c>
      <c r="CR163" s="24">
        <f t="shared" ref="CR163:CR164" si="1333">+CQ163</f>
        <v>151.53</v>
      </c>
      <c r="CS163" s="24">
        <f t="shared" ref="CS163:CS164" si="1334">+CR163</f>
        <v>151.53</v>
      </c>
      <c r="CT163" s="24">
        <f t="shared" ref="CT163:CT164" si="1335">+CS163</f>
        <v>151.53</v>
      </c>
      <c r="CU163" s="24">
        <f t="shared" ref="CU163:CU164" si="1336">+CT163</f>
        <v>151.53</v>
      </c>
      <c r="CV163" s="24">
        <f t="shared" ref="CV163:CV164" si="1337">+CU163</f>
        <v>151.53</v>
      </c>
      <c r="CW163" s="24">
        <f t="shared" ref="CW163:CW164" si="1338">+CV163</f>
        <v>151.53</v>
      </c>
      <c r="CX163" s="24">
        <f t="shared" ref="CX163:CX164" si="1339">+CW163</f>
        <v>151.53</v>
      </c>
      <c r="CY163" s="24">
        <f t="shared" ref="CY163:CY164" si="1340">+CX163</f>
        <v>151.53</v>
      </c>
      <c r="CZ163" s="24">
        <f t="shared" ref="CZ163:CZ164" si="1341">+CY163</f>
        <v>151.53</v>
      </c>
      <c r="DA163" s="24">
        <f t="shared" ref="DA163:DA164" si="1342">+CZ163</f>
        <v>151.53</v>
      </c>
      <c r="DB163" s="24">
        <f t="shared" ref="DB163:DB164" si="1343">+DA163</f>
        <v>151.53</v>
      </c>
      <c r="DE163" s="123"/>
      <c r="DF163" s="23">
        <v>211.85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0</v>
      </c>
      <c r="K165" s="26">
        <f t="shared" si="1345"/>
        <v>0</v>
      </c>
      <c r="L165" s="26">
        <f t="shared" si="1345"/>
        <v>0</v>
      </c>
      <c r="M165" s="26">
        <f t="shared" si="1345"/>
        <v>0</v>
      </c>
      <c r="N165" s="26">
        <f t="shared" si="1345"/>
        <v>0</v>
      </c>
      <c r="O165" s="26">
        <f t="shared" si="1345"/>
        <v>0</v>
      </c>
      <c r="P165" s="26">
        <f t="shared" si="1345"/>
        <v>0</v>
      </c>
      <c r="Q165" s="26">
        <f t="shared" si="1345"/>
        <v>0</v>
      </c>
      <c r="R165" s="26">
        <f t="shared" si="1345"/>
        <v>0</v>
      </c>
      <c r="S165" s="26">
        <f t="shared" si="1345"/>
        <v>0</v>
      </c>
      <c r="T165" s="26">
        <f t="shared" si="1345"/>
        <v>0</v>
      </c>
      <c r="U165" s="26">
        <f t="shared" si="1345"/>
        <v>0</v>
      </c>
      <c r="V165" s="26">
        <f t="shared" si="1345"/>
        <v>0</v>
      </c>
      <c r="W165" s="26">
        <f t="shared" si="1345"/>
        <v>1551.4340000000002</v>
      </c>
      <c r="X165" s="26">
        <f t="shared" ref="X165:Y165" si="1346">X163+X161+X157+X140+X138+X164</f>
        <v>1339.462</v>
      </c>
      <c r="Y165" s="26">
        <f t="shared" si="1346"/>
        <v>1292.6409999999998</v>
      </c>
      <c r="Z165" s="26">
        <f t="shared" ref="Z165:AA165" si="1347">Z163+Z161+Z157+Z140+Z138+Z164</f>
        <v>1795.8200000000002</v>
      </c>
      <c r="AA165" s="26">
        <f t="shared" si="1347"/>
        <v>2143.5899999999997</v>
      </c>
      <c r="AB165" s="27" t="e">
        <f t="shared" ref="AA165:AD165" si="1348">AB163+AB161+AB157+AB140+AB138+AB164</f>
        <v>#DIV/0!</v>
      </c>
      <c r="AC165" s="27" t="e">
        <f t="shared" si="1348"/>
        <v>#DIV/0!</v>
      </c>
      <c r="AD165" s="27" t="e">
        <f t="shared" si="1348"/>
        <v>#DIV/0!</v>
      </c>
      <c r="AE165" s="27" t="e">
        <f t="shared" ref="AE165" si="1349">AE163+AE161+AE157+AE140+AE138+AE164</f>
        <v>#DIV/0!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 t="e">
        <f t="shared" si="1353"/>
        <v>#DIV/0!</v>
      </c>
      <c r="BJ165" s="26">
        <f t="shared" si="1353"/>
        <v>0</v>
      </c>
      <c r="BK165" s="26" t="e">
        <f t="shared" si="1353"/>
        <v>#DIV/0!</v>
      </c>
      <c r="BL165" s="26">
        <f t="shared" si="1353"/>
        <v>0</v>
      </c>
      <c r="BM165" s="26" t="e">
        <f t="shared" si="1353"/>
        <v>#DIV/0!</v>
      </c>
      <c r="BN165" s="26">
        <f t="shared" si="1353"/>
        <v>0</v>
      </c>
      <c r="BO165" s="26" t="e">
        <f t="shared" si="1353"/>
        <v>#DIV/0!</v>
      </c>
      <c r="BP165" s="26">
        <f t="shared" si="1353"/>
        <v>0</v>
      </c>
      <c r="BQ165" s="26" t="e">
        <f t="shared" si="1353"/>
        <v>#DIV/0!</v>
      </c>
      <c r="BR165" s="26">
        <f t="shared" si="1353"/>
        <v>0</v>
      </c>
      <c r="BS165" s="26" t="e">
        <f t="shared" si="1353"/>
        <v>#DIV/0!</v>
      </c>
      <c r="BT165" s="26">
        <f t="shared" si="1353"/>
        <v>0</v>
      </c>
      <c r="BU165" s="26" t="e">
        <f t="shared" si="1353"/>
        <v>#DIV/0!</v>
      </c>
      <c r="BV165" s="26">
        <f t="shared" si="1353"/>
        <v>0</v>
      </c>
      <c r="BW165" s="26" t="e">
        <f t="shared" si="1353"/>
        <v>#DIV/0!</v>
      </c>
      <c r="BX165" s="26">
        <f t="shared" si="1353"/>
        <v>0</v>
      </c>
      <c r="BY165" s="26" t="e">
        <f t="shared" si="1353"/>
        <v>#DIV/0!</v>
      </c>
      <c r="BZ165" s="26">
        <f t="shared" si="1353"/>
        <v>0</v>
      </c>
      <c r="CA165" s="26" t="e">
        <f t="shared" si="1353"/>
        <v>#DIV/0!</v>
      </c>
      <c r="CB165" s="26">
        <f t="shared" si="1353"/>
        <v>0</v>
      </c>
      <c r="CC165" s="26" t="e">
        <f t="shared" si="1353"/>
        <v>#DIV/0!</v>
      </c>
      <c r="CD165" s="26">
        <f t="shared" si="1353"/>
        <v>0</v>
      </c>
      <c r="CE165" s="26" t="e">
        <f t="shared" si="1353"/>
        <v>#DIV/0!</v>
      </c>
      <c r="CF165" s="26">
        <f t="shared" ref="CF165:CG165" si="1355">CF163+CF161+CF157+CF140+CF138+CF164</f>
        <v>0</v>
      </c>
      <c r="CG165" s="26">
        <f t="shared" si="1355"/>
        <v>231.84000000000003</v>
      </c>
      <c r="CH165" s="26">
        <f t="shared" ref="CH165:CI165" si="1356">CH163+CH161+CH157+CH140+CH138+CH164</f>
        <v>1795.8200000000002</v>
      </c>
      <c r="CI165" s="26">
        <f t="shared" si="1356"/>
        <v>1795.8200000000002</v>
      </c>
      <c r="CJ165" s="26">
        <f t="shared" ref="CJ165:DB165" si="1357">CJ163+CJ161+CJ157+CJ140+CJ138+CJ164</f>
        <v>2265.09</v>
      </c>
      <c r="CK165" s="27">
        <f t="shared" si="1357"/>
        <v>2243.83</v>
      </c>
      <c r="CL165" s="26">
        <f t="shared" ref="CL165" si="1358">CL163+CL161+CL157+CL140+CL138+CL164</f>
        <v>2143.59</v>
      </c>
      <c r="CM165" s="27" t="e">
        <f t="shared" si="1357"/>
        <v>#DIV/0!</v>
      </c>
      <c r="CN165" s="27" t="e">
        <f t="shared" si="1357"/>
        <v>#DIV/0!</v>
      </c>
      <c r="CO165" s="27" t="e">
        <f t="shared" si="1357"/>
        <v>#DIV/0!</v>
      </c>
      <c r="CP165" s="27" t="e">
        <f t="shared" si="1357"/>
        <v>#DIV/0!</v>
      </c>
      <c r="CQ165" s="27" t="e">
        <f t="shared" si="1357"/>
        <v>#DIV/0!</v>
      </c>
      <c r="CR165" s="27" t="e">
        <f t="shared" si="1357"/>
        <v>#DIV/0!</v>
      </c>
      <c r="CS165" s="27" t="e">
        <f t="shared" si="1357"/>
        <v>#DIV/0!</v>
      </c>
      <c r="CT165" s="27" t="e">
        <f t="shared" si="1357"/>
        <v>#DIV/0!</v>
      </c>
      <c r="CU165" s="27" t="e">
        <f t="shared" si="1357"/>
        <v>#DIV/0!</v>
      </c>
      <c r="CV165" s="27" t="e">
        <f t="shared" si="1357"/>
        <v>#DIV/0!</v>
      </c>
      <c r="CW165" s="27" t="e">
        <f t="shared" si="1357"/>
        <v>#DIV/0!</v>
      </c>
      <c r="CX165" s="27" t="e">
        <f t="shared" si="1357"/>
        <v>#DIV/0!</v>
      </c>
      <c r="CY165" s="27" t="e">
        <f t="shared" si="1357"/>
        <v>#DIV/0!</v>
      </c>
      <c r="CZ165" s="27" t="e">
        <f t="shared" si="1357"/>
        <v>#DIV/0!</v>
      </c>
      <c r="DA165" s="27" t="e">
        <f t="shared" si="1357"/>
        <v>#DIV/0!</v>
      </c>
      <c r="DB165" s="27" t="e">
        <f t="shared" si="1357"/>
        <v>#DIV/0!</v>
      </c>
      <c r="DE165" s="121"/>
      <c r="DF165" s="26">
        <v>2143.59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 t="e">
        <f t="shared" ref="AA166:AD166" si="1362">AB165-AB129</f>
        <v>#DIV/0!</v>
      </c>
      <c r="AC166" s="24" t="e">
        <f t="shared" si="1362"/>
        <v>#DIV/0!</v>
      </c>
      <c r="AD166" s="24" t="e">
        <f t="shared" si="1362"/>
        <v>#DIV/0!</v>
      </c>
      <c r="AE166" s="24" t="e">
        <f t="shared" ref="AE166" si="1363">AE165-AE129</f>
        <v>#DIV/0!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 t="e">
        <f t="shared" si="1368"/>
        <v>#DIV/0!</v>
      </c>
      <c r="BJ166" s="23">
        <f t="shared" si="1368"/>
        <v>0</v>
      </c>
      <c r="BK166" s="23" t="e">
        <f t="shared" si="1368"/>
        <v>#DIV/0!</v>
      </c>
      <c r="BL166" s="23">
        <f t="shared" si="1368"/>
        <v>0</v>
      </c>
      <c r="BM166" s="23" t="e">
        <f t="shared" si="1368"/>
        <v>#DIV/0!</v>
      </c>
      <c r="BN166" s="23">
        <f t="shared" si="1368"/>
        <v>0</v>
      </c>
      <c r="BO166" s="23" t="e">
        <f t="shared" si="1368"/>
        <v>#DIV/0!</v>
      </c>
      <c r="BP166" s="23">
        <f t="shared" si="1368"/>
        <v>0</v>
      </c>
      <c r="BQ166" s="23" t="e">
        <f t="shared" si="1368"/>
        <v>#DIV/0!</v>
      </c>
      <c r="BR166" s="23">
        <f t="shared" si="1368"/>
        <v>0</v>
      </c>
      <c r="BS166" s="23" t="e">
        <f t="shared" si="1368"/>
        <v>#DIV/0!</v>
      </c>
      <c r="BT166" s="23">
        <f t="shared" si="1368"/>
        <v>0</v>
      </c>
      <c r="BU166" s="23" t="e">
        <f t="shared" si="1368"/>
        <v>#DIV/0!</v>
      </c>
      <c r="BV166" s="23">
        <f t="shared" si="1368"/>
        <v>0</v>
      </c>
      <c r="BW166" s="23" t="e">
        <f t="shared" si="1368"/>
        <v>#DIV/0!</v>
      </c>
      <c r="BX166" s="23">
        <f t="shared" si="1368"/>
        <v>0</v>
      </c>
      <c r="BY166" s="23" t="e">
        <f t="shared" si="1368"/>
        <v>#DIV/0!</v>
      </c>
      <c r="BZ166" s="23">
        <f t="shared" si="1368"/>
        <v>0</v>
      </c>
      <c r="CA166" s="23" t="e">
        <f t="shared" si="1368"/>
        <v>#DIV/0!</v>
      </c>
      <c r="CB166" s="23">
        <f t="shared" si="1368"/>
        <v>0</v>
      </c>
      <c r="CC166" s="23" t="e">
        <f t="shared" si="1368"/>
        <v>#DIV/0!</v>
      </c>
      <c r="CD166" s="23">
        <f t="shared" si="1368"/>
        <v>0</v>
      </c>
      <c r="CE166" s="23" t="e">
        <f t="shared" si="1368"/>
        <v>#DIV/0!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 t="e">
        <f t="shared" si="1372"/>
        <v>#DIV/0!</v>
      </c>
      <c r="CN166" s="24" t="e">
        <f t="shared" si="1372"/>
        <v>#DIV/0!</v>
      </c>
      <c r="CO166" s="24" t="e">
        <f t="shared" si="1372"/>
        <v>#DIV/0!</v>
      </c>
      <c r="CP166" s="24" t="e">
        <f t="shared" si="1372"/>
        <v>#DIV/0!</v>
      </c>
      <c r="CQ166" s="24" t="e">
        <f t="shared" si="1372"/>
        <v>#DIV/0!</v>
      </c>
      <c r="CR166" s="24" t="e">
        <f t="shared" si="1372"/>
        <v>#DIV/0!</v>
      </c>
      <c r="CS166" s="24" t="e">
        <f t="shared" si="1372"/>
        <v>#DIV/0!</v>
      </c>
      <c r="CT166" s="24" t="e">
        <f t="shared" si="1372"/>
        <v>#DIV/0!</v>
      </c>
      <c r="CU166" s="24" t="e">
        <f t="shared" si="1372"/>
        <v>#DIV/0!</v>
      </c>
      <c r="CV166" s="24" t="e">
        <f t="shared" si="1372"/>
        <v>#DIV/0!</v>
      </c>
      <c r="CW166" s="24" t="e">
        <f t="shared" si="1372"/>
        <v>#DIV/0!</v>
      </c>
      <c r="CX166" s="24" t="e">
        <f t="shared" si="1372"/>
        <v>#DIV/0!</v>
      </c>
      <c r="CY166" s="24" t="e">
        <f t="shared" si="1372"/>
        <v>#DIV/0!</v>
      </c>
      <c r="CZ166" s="24" t="e">
        <f t="shared" si="1372"/>
        <v>#DIV/0!</v>
      </c>
      <c r="DA166" s="24" t="e">
        <f t="shared" si="1372"/>
        <v>#DIV/0!</v>
      </c>
      <c r="DB166" s="24" t="e">
        <f t="shared" si="1372"/>
        <v>#DIV/0!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0</v>
      </c>
      <c r="K168" s="22">
        <f t="shared" si="1374"/>
        <v>0</v>
      </c>
      <c r="L168" s="22">
        <f t="shared" si="1374"/>
        <v>0</v>
      </c>
      <c r="M168" s="22">
        <f t="shared" si="1374"/>
        <v>0</v>
      </c>
      <c r="N168" s="22">
        <f t="shared" si="1374"/>
        <v>0</v>
      </c>
      <c r="O168" s="22">
        <f t="shared" si="1374"/>
        <v>0</v>
      </c>
      <c r="P168" s="22">
        <f t="shared" si="1374"/>
        <v>0</v>
      </c>
      <c r="Q168" s="22">
        <f t="shared" si="1374"/>
        <v>0</v>
      </c>
      <c r="R168" s="22">
        <f t="shared" si="1374"/>
        <v>0</v>
      </c>
      <c r="S168" s="22">
        <f t="shared" si="1374"/>
        <v>0</v>
      </c>
      <c r="T168" s="22">
        <f t="shared" si="1374"/>
        <v>0</v>
      </c>
      <c r="U168" s="22">
        <f t="shared" si="1374"/>
        <v>0</v>
      </c>
      <c r="V168" s="22">
        <f t="shared" si="1374"/>
        <v>0</v>
      </c>
      <c r="W168" s="22">
        <f t="shared" si="1374"/>
        <v>-1595.9070000000002</v>
      </c>
      <c r="X168" s="22">
        <f t="shared" ref="X168:Y168" si="1375">X128-X161</f>
        <v>-1282.673</v>
      </c>
      <c r="Y168" s="22">
        <f t="shared" si="1375"/>
        <v>-1089.8119999999999</v>
      </c>
      <c r="Z168" s="22">
        <f t="shared" ref="Z168:AA168" si="1376">Z128-Z161</f>
        <v>-1514.68</v>
      </c>
      <c r="AA168" s="22">
        <f t="shared" si="1376"/>
        <v>-1440.53</v>
      </c>
      <c r="AB168" s="21" t="e">
        <f t="shared" ref="AA168:AD168" si="1377">AB128-AB161</f>
        <v>#DIV/0!</v>
      </c>
      <c r="AC168" s="21" t="e">
        <f t="shared" si="1377"/>
        <v>#DIV/0!</v>
      </c>
      <c r="AD168" s="21" t="e">
        <f t="shared" si="1377"/>
        <v>#DIV/0!</v>
      </c>
      <c r="AE168" s="21" t="e">
        <f t="shared" ref="AE168" si="1378">AE128-AE161</f>
        <v>#DIV/0!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 t="e">
        <f t="shared" si="1381"/>
        <v>#DIV/0!</v>
      </c>
      <c r="BJ168" s="22">
        <f t="shared" si="1381"/>
        <v>0</v>
      </c>
      <c r="BK168" s="22" t="e">
        <f t="shared" si="1381"/>
        <v>#DIV/0!</v>
      </c>
      <c r="BL168" s="22">
        <f t="shared" si="1381"/>
        <v>0</v>
      </c>
      <c r="BM168" s="22" t="e">
        <f t="shared" si="1381"/>
        <v>#DIV/0!</v>
      </c>
      <c r="BN168" s="22">
        <f t="shared" si="1381"/>
        <v>0</v>
      </c>
      <c r="BO168" s="22" t="e">
        <f t="shared" si="1381"/>
        <v>#DIV/0!</v>
      </c>
      <c r="BP168" s="22">
        <f t="shared" si="1381"/>
        <v>0</v>
      </c>
      <c r="BQ168" s="22" t="e">
        <f t="shared" si="1381"/>
        <v>#DIV/0!</v>
      </c>
      <c r="BR168" s="22">
        <f t="shared" si="1381"/>
        <v>0</v>
      </c>
      <c r="BS168" s="22" t="e">
        <f t="shared" si="1381"/>
        <v>#DIV/0!</v>
      </c>
      <c r="BT168" s="22">
        <f t="shared" si="1381"/>
        <v>0</v>
      </c>
      <c r="BU168" s="22" t="e">
        <f t="shared" si="1381"/>
        <v>#DIV/0!</v>
      </c>
      <c r="BV168" s="22">
        <f t="shared" si="1381"/>
        <v>0</v>
      </c>
      <c r="BW168" s="22" t="e">
        <f t="shared" si="1381"/>
        <v>#DIV/0!</v>
      </c>
      <c r="BX168" s="22">
        <f t="shared" si="1381"/>
        <v>0</v>
      </c>
      <c r="BY168" s="22" t="e">
        <f t="shared" si="1381"/>
        <v>#DIV/0!</v>
      </c>
      <c r="BZ168" s="22">
        <f t="shared" si="1381"/>
        <v>0</v>
      </c>
      <c r="CA168" s="22" t="e">
        <f t="shared" si="1381"/>
        <v>#DIV/0!</v>
      </c>
      <c r="CB168" s="22">
        <f t="shared" si="1381"/>
        <v>0</v>
      </c>
      <c r="CC168" s="22" t="e">
        <f t="shared" si="1381"/>
        <v>#DIV/0!</v>
      </c>
      <c r="CD168" s="22">
        <f t="shared" si="1381"/>
        <v>0</v>
      </c>
      <c r="CE168" s="22" t="e">
        <f t="shared" si="1381"/>
        <v>#DIV/0!</v>
      </c>
      <c r="CF168" s="22">
        <f t="shared" ref="CF168:CG168" si="1382">CF128-CF161</f>
        <v>0</v>
      </c>
      <c r="CG168" s="22">
        <f t="shared" si="1382"/>
        <v>-231.84000000000003</v>
      </c>
      <c r="CH168" s="22">
        <f t="shared" ref="CH168:CI168" si="1383">CH128-CH161</f>
        <v>-1514.68</v>
      </c>
      <c r="CI168" s="22">
        <f t="shared" si="1383"/>
        <v>-1290.0400000000002</v>
      </c>
      <c r="CJ168" s="22">
        <f t="shared" ref="CJ168:DB168" si="1384">CJ128-CJ161</f>
        <v>-1714.51</v>
      </c>
      <c r="CK168" s="21">
        <f t="shared" si="1384"/>
        <v>-1704.4807933584191</v>
      </c>
      <c r="CL168" s="22">
        <f t="shared" ref="CL168" si="1385">CL128-CL161</f>
        <v>-1440.53</v>
      </c>
      <c r="CM168" s="21" t="e">
        <f t="shared" si="1384"/>
        <v>#DIV/0!</v>
      </c>
      <c r="CN168" s="21" t="e">
        <f t="shared" si="1384"/>
        <v>#DIV/0!</v>
      </c>
      <c r="CO168" s="21" t="e">
        <f t="shared" si="1384"/>
        <v>#DIV/0!</v>
      </c>
      <c r="CP168" s="21" t="e">
        <f t="shared" si="1384"/>
        <v>#DIV/0!</v>
      </c>
      <c r="CQ168" s="21" t="e">
        <f t="shared" si="1384"/>
        <v>#DIV/0!</v>
      </c>
      <c r="CR168" s="21" t="e">
        <f t="shared" si="1384"/>
        <v>#DIV/0!</v>
      </c>
      <c r="CS168" s="21" t="e">
        <f t="shared" si="1384"/>
        <v>#DIV/0!</v>
      </c>
      <c r="CT168" s="21" t="e">
        <f t="shared" si="1384"/>
        <v>#DIV/0!</v>
      </c>
      <c r="CU168" s="21" t="e">
        <f t="shared" si="1384"/>
        <v>#DIV/0!</v>
      </c>
      <c r="CV168" s="21" t="e">
        <f t="shared" si="1384"/>
        <v>#DIV/0!</v>
      </c>
      <c r="CW168" s="21" t="e">
        <f t="shared" si="1384"/>
        <v>#DIV/0!</v>
      </c>
      <c r="CX168" s="21" t="e">
        <f t="shared" si="1384"/>
        <v>#DIV/0!</v>
      </c>
      <c r="CY168" s="21" t="e">
        <f t="shared" si="1384"/>
        <v>#DIV/0!</v>
      </c>
      <c r="CZ168" s="21" t="e">
        <f t="shared" si="1384"/>
        <v>#DIV/0!</v>
      </c>
      <c r="DA168" s="21" t="e">
        <f t="shared" si="1384"/>
        <v>#DIV/0!</v>
      </c>
      <c r="DB168" s="21" t="e">
        <f t="shared" si="1384"/>
        <v>#DIV/0!</v>
      </c>
      <c r="DE168" s="126"/>
      <c r="DF168" s="22">
        <v>-1440.53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17.670999999999999</v>
      </c>
      <c r="Y170" s="49">
        <f>'Annual Raw'!Z85</f>
        <v>21.826000000000001</v>
      </c>
      <c r="Z170" s="49">
        <f>'Annual Raw'!AA85</f>
        <v>56.17</v>
      </c>
      <c r="AA170" s="49">
        <f>'Annual Raw'!AB85</f>
        <v>64.540000000000006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17.670999999999999</v>
      </c>
      <c r="Y172" s="29">
        <f>'Annual Raw'!Z93</f>
        <v>21.826000000000001</v>
      </c>
      <c r="Z172" s="29">
        <f>'Annual Raw'!AA93</f>
        <v>56.17</v>
      </c>
      <c r="AA172" s="29">
        <f>'Annual Raw'!AB93</f>
        <v>64.540000000000006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 t="e">
        <f t="shared" si="1392"/>
        <v>#DIV/0!</v>
      </c>
      <c r="K175" s="95" t="e">
        <f t="shared" si="1392"/>
        <v>#DIV/0!</v>
      </c>
      <c r="L175" s="95" t="e">
        <f t="shared" si="1392"/>
        <v>#DIV/0!</v>
      </c>
      <c r="M175" s="95" t="e">
        <f t="shared" si="1392"/>
        <v>#DIV/0!</v>
      </c>
      <c r="N175" s="95" t="e">
        <f t="shared" si="1392"/>
        <v>#DIV/0!</v>
      </c>
      <c r="O175" s="95" t="e">
        <f t="shared" si="1392"/>
        <v>#DIV/0!</v>
      </c>
      <c r="P175" s="95" t="e">
        <f t="shared" si="1392"/>
        <v>#DIV/0!</v>
      </c>
      <c r="Q175" s="95" t="e">
        <f t="shared" si="1392"/>
        <v>#DIV/0!</v>
      </c>
      <c r="R175" s="95" t="e">
        <f t="shared" si="1392"/>
        <v>#DIV/0!</v>
      </c>
      <c r="S175" s="95" t="e">
        <f t="shared" si="1392"/>
        <v>#DIV/0!</v>
      </c>
      <c r="T175" s="95" t="e">
        <f t="shared" si="1392"/>
        <v>#DIV/0!</v>
      </c>
      <c r="U175" s="95" t="e">
        <f t="shared" si="1392"/>
        <v>#DIV/0!</v>
      </c>
      <c r="V175" s="95" t="e">
        <f t="shared" si="1392"/>
        <v>#DIV/0!</v>
      </c>
      <c r="W175" s="95">
        <f t="shared" si="1392"/>
        <v>0</v>
      </c>
      <c r="X175" s="95">
        <f t="shared" ref="X175:Y175" si="1393">X170/X120</f>
        <v>1.3192610167365703E-2</v>
      </c>
      <c r="Y175" s="95">
        <f t="shared" si="1393"/>
        <v>1.6884811792291905E-2</v>
      </c>
      <c r="Z175" s="95">
        <f t="shared" ref="Z175:AA175" si="1394">Z170/Z120</f>
        <v>3.1278190464523174E-2</v>
      </c>
      <c r="AA175" s="95">
        <f t="shared" si="1394"/>
        <v>3.0108369604262011E-2</v>
      </c>
      <c r="AB175" s="87" t="e">
        <f t="shared" ref="AA175:AD175" si="1395">AB170/AB120</f>
        <v>#DIV/0!</v>
      </c>
      <c r="AC175" s="87" t="e">
        <f t="shared" si="1395"/>
        <v>#DIV/0!</v>
      </c>
      <c r="AD175" s="87" t="e">
        <f t="shared" si="1395"/>
        <v>#DIV/0!</v>
      </c>
      <c r="AE175" s="87" t="e">
        <f t="shared" ref="AE175" si="1396">AE170/AE120</f>
        <v>#DIV/0!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 t="e">
        <f t="shared" si="1397"/>
        <v>#DIV/0!</v>
      </c>
      <c r="L179" s="67" t="e">
        <f t="shared" si="1397"/>
        <v>#DIV/0!</v>
      </c>
      <c r="M179" s="67" t="e">
        <f t="shared" si="1397"/>
        <v>#DIV/0!</v>
      </c>
      <c r="N179" s="67" t="e">
        <f t="shared" si="1397"/>
        <v>#DIV/0!</v>
      </c>
      <c r="O179" s="67" t="e">
        <f t="shared" si="1397"/>
        <v>#DIV/0!</v>
      </c>
      <c r="P179" s="67" t="e">
        <f t="shared" si="1397"/>
        <v>#DIV/0!</v>
      </c>
      <c r="Q179" s="67" t="e">
        <f t="shared" si="1397"/>
        <v>#DIV/0!</v>
      </c>
      <c r="R179" s="67" t="e">
        <f t="shared" si="1397"/>
        <v>#DIV/0!</v>
      </c>
      <c r="S179" s="67" t="e">
        <f t="shared" si="1397"/>
        <v>#DIV/0!</v>
      </c>
      <c r="T179" s="67" t="e">
        <f t="shared" si="1397"/>
        <v>#DIV/0!</v>
      </c>
      <c r="U179" s="67" t="e">
        <f t="shared" si="1397"/>
        <v>#DIV/0!</v>
      </c>
      <c r="V179" s="67" t="e">
        <f t="shared" si="1397"/>
        <v>#DIV/0!</v>
      </c>
      <c r="W179" s="67">
        <f t="shared" si="1397"/>
        <v>19.262023653088043</v>
      </c>
      <c r="X179" s="67">
        <f t="shared" si="1397"/>
        <v>8.6869950690939479</v>
      </c>
      <c r="Y179" s="67">
        <f t="shared" si="1397"/>
        <v>12.747832776582152</v>
      </c>
      <c r="Z179" s="67">
        <f t="shared" si="1397"/>
        <v>13.229005565895131</v>
      </c>
      <c r="AA179" s="67">
        <f t="shared" ref="AA179" si="1398">AA144/AA8*365</f>
        <v>17.302737313087416</v>
      </c>
      <c r="AB179" s="18" t="e">
        <f t="shared" si="1397"/>
        <v>#DIV/0!</v>
      </c>
      <c r="AC179" s="18" t="e">
        <f t="shared" si="1397"/>
        <v>#DIV/0!</v>
      </c>
      <c r="AD179" s="18" t="e">
        <f t="shared" si="1397"/>
        <v>#DIV/0!</v>
      </c>
      <c r="AE179" s="18" t="e">
        <f t="shared" si="1397"/>
        <v>#DIV/0!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 t="e">
        <f>BH144/BH8*90</f>
        <v>#DIV/0!</v>
      </c>
      <c r="BI179" s="67" t="e">
        <f t="shared" ref="BI179:BI180" si="1411">+BH179</f>
        <v>#DIV/0!</v>
      </c>
      <c r="BJ179" s="67" t="e">
        <f>BJ144/BJ8*90</f>
        <v>#DIV/0!</v>
      </c>
      <c r="BK179" s="67" t="e">
        <f t="shared" ref="BK179:BK180" si="1412">+BJ179</f>
        <v>#DIV/0!</v>
      </c>
      <c r="BL179" s="67" t="e">
        <f>BL144/BL8*90</f>
        <v>#DIV/0!</v>
      </c>
      <c r="BM179" s="67" t="e">
        <f t="shared" ref="BM179:BM180" si="1413">+BL179</f>
        <v>#DIV/0!</v>
      </c>
      <c r="BN179" s="67" t="e">
        <f>BN144/BN8*90</f>
        <v>#DIV/0!</v>
      </c>
      <c r="BO179" s="67" t="e">
        <f t="shared" ref="BO179:BO180" si="1414">+BN179</f>
        <v>#DIV/0!</v>
      </c>
      <c r="BP179" s="67" t="e">
        <f>BP144/BP8*90</f>
        <v>#DIV/0!</v>
      </c>
      <c r="BQ179" s="67" t="e">
        <f t="shared" ref="BQ179:BQ180" si="1415">+BP179</f>
        <v>#DIV/0!</v>
      </c>
      <c r="BR179" s="67" t="e">
        <f>BR144/BR8*90</f>
        <v>#DIV/0!</v>
      </c>
      <c r="BS179" s="67" t="e">
        <f t="shared" ref="BS179:BS180" si="1416">+BR179</f>
        <v>#DIV/0!</v>
      </c>
      <c r="BT179" s="67" t="e">
        <f>BT144/BT8*90</f>
        <v>#DIV/0!</v>
      </c>
      <c r="BU179" s="67" t="e">
        <f t="shared" ref="BU179:BU180" si="1417">+BT179</f>
        <v>#DIV/0!</v>
      </c>
      <c r="BV179" s="67" t="e">
        <f>BV144/BV8*90</f>
        <v>#DIV/0!</v>
      </c>
      <c r="BW179" s="67" t="e">
        <f t="shared" ref="BW179:BW180" si="1418">+BV179</f>
        <v>#DIV/0!</v>
      </c>
      <c r="BX179" s="67" t="e">
        <f>BX144/BX8*90</f>
        <v>#DIV/0!</v>
      </c>
      <c r="BY179" s="67" t="e">
        <f t="shared" ref="BY179:BY180" si="1419">+BX179</f>
        <v>#DIV/0!</v>
      </c>
      <c r="BZ179" s="67" t="e">
        <f>BZ144/BZ8*90</f>
        <v>#DIV/0!</v>
      </c>
      <c r="CA179" s="67" t="e">
        <f t="shared" ref="CA179:CA180" si="1420">+BZ179</f>
        <v>#DIV/0!</v>
      </c>
      <c r="CB179" s="67" t="e">
        <f>CB144/CB8*90</f>
        <v>#DIV/0!</v>
      </c>
      <c r="CC179" s="67" t="e">
        <f t="shared" ref="CC179:CC180" si="1421">+CB179</f>
        <v>#DIV/0!</v>
      </c>
      <c r="CD179" s="67" t="e">
        <f>CD144/CD8*90</f>
        <v>#DIV/0!</v>
      </c>
      <c r="CE179" s="67" t="e">
        <f t="shared" si="1399"/>
        <v>#DIV/0!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12.508627910872843</v>
      </c>
      <c r="CI179" s="67">
        <f t="shared" si="1422"/>
        <v>12.508627910872843</v>
      </c>
      <c r="CJ179" s="67">
        <f>CJ144/CJ8*90</f>
        <v>16.707891482251402</v>
      </c>
      <c r="CK179" s="30">
        <f t="shared" ref="CK179:CK180" si="1423">+CJ179</f>
        <v>16.707891482251402</v>
      </c>
      <c r="CL179" s="67">
        <f>CL144/CL8*90</f>
        <v>15.594980731271734</v>
      </c>
      <c r="CM179" s="30">
        <f t="shared" ref="CM179:CM180" si="1424">+CL179</f>
        <v>15.594980731271734</v>
      </c>
      <c r="CN179" s="30">
        <f t="shared" ref="CN179:CN180" si="1425">+CM179</f>
        <v>15.594980731271734</v>
      </c>
      <c r="CO179" s="30">
        <f t="shared" ref="CO179:CO180" si="1426">+CN179</f>
        <v>15.594980731271734</v>
      </c>
      <c r="CP179" s="30">
        <f t="shared" ref="CP179:CP180" si="1427">+CO179</f>
        <v>15.594980731271734</v>
      </c>
      <c r="CQ179" s="30">
        <f t="shared" ref="CQ179:CQ180" si="1428">+CP179</f>
        <v>15.594980731271734</v>
      </c>
      <c r="CR179" s="30">
        <f t="shared" ref="CR179:CR180" si="1429">+CQ179</f>
        <v>15.594980731271734</v>
      </c>
      <c r="CS179" s="30">
        <f t="shared" ref="CS179:CS180" si="1430">+CR179</f>
        <v>15.594980731271734</v>
      </c>
      <c r="CT179" s="30">
        <f t="shared" ref="CT179:CT180" si="1431">+CS179</f>
        <v>15.594980731271734</v>
      </c>
      <c r="CU179" s="30">
        <f t="shared" ref="CU179:CU180" si="1432">+CT179</f>
        <v>15.594980731271734</v>
      </c>
      <c r="CV179" s="30">
        <f t="shared" ref="CV179:CV180" si="1433">+CU179</f>
        <v>15.594980731271734</v>
      </c>
      <c r="CW179" s="30">
        <f t="shared" ref="CW179:CW180" si="1434">+CV179</f>
        <v>15.594980731271734</v>
      </c>
      <c r="CX179" s="30">
        <f t="shared" ref="CX179:CX180" si="1435">+CW179</f>
        <v>15.594980731271734</v>
      </c>
      <c r="CY179" s="30">
        <f t="shared" ref="CY179:CY180" si="1436">+CX179</f>
        <v>15.594980731271734</v>
      </c>
      <c r="CZ179" s="30">
        <f t="shared" ref="CZ179:CZ180" si="1437">+CY179</f>
        <v>15.594980731271734</v>
      </c>
      <c r="DA179" s="30">
        <f t="shared" ref="DA179:DA180" si="1438">+CZ179</f>
        <v>15.594980731271734</v>
      </c>
      <c r="DB179" s="30">
        <f t="shared" ref="DB179:DB180" si="1439">+DA179</f>
        <v>15.594980731271734</v>
      </c>
      <c r="DE179" s="139"/>
      <c r="DF179" s="62">
        <v>16.707891482251402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 t="e">
        <f t="shared" si="1440"/>
        <v>#DIV/0!</v>
      </c>
      <c r="L180" s="67" t="e">
        <f t="shared" si="1440"/>
        <v>#DIV/0!</v>
      </c>
      <c r="M180" s="67" t="e">
        <f t="shared" si="1440"/>
        <v>#DIV/0!</v>
      </c>
      <c r="N180" s="67" t="e">
        <f t="shared" si="1440"/>
        <v>#DIV/0!</v>
      </c>
      <c r="O180" s="67" t="e">
        <f t="shared" si="1440"/>
        <v>#DIV/0!</v>
      </c>
      <c r="P180" s="67" t="e">
        <f t="shared" si="1440"/>
        <v>#DIV/0!</v>
      </c>
      <c r="Q180" s="67" t="e">
        <f t="shared" si="1440"/>
        <v>#DIV/0!</v>
      </c>
      <c r="R180" s="67" t="e">
        <f t="shared" si="1440"/>
        <v>#DIV/0!</v>
      </c>
      <c r="S180" s="67" t="e">
        <f t="shared" si="1440"/>
        <v>#DIV/0!</v>
      </c>
      <c r="T180" s="67" t="e">
        <f t="shared" si="1440"/>
        <v>#DIV/0!</v>
      </c>
      <c r="U180" s="67" t="e">
        <f t="shared" si="1440"/>
        <v>#DIV/0!</v>
      </c>
      <c r="V180" s="67" t="e">
        <f t="shared" si="1440"/>
        <v>#DIV/0!</v>
      </c>
      <c r="W180" s="67">
        <f t="shared" si="1440"/>
        <v>5.6588242015654462</v>
      </c>
      <c r="X180" s="67">
        <f t="shared" si="1440"/>
        <v>6.1223505608728921</v>
      </c>
      <c r="Y180" s="67">
        <f t="shared" si="1440"/>
        <v>8.8444454106070154</v>
      </c>
      <c r="Z180" s="67">
        <f t="shared" si="1440"/>
        <v>8.4834027978016024</v>
      </c>
      <c r="AA180" s="67">
        <f t="shared" ref="AA180" si="1441">AA145/AA8*365</f>
        <v>8.8648957918150622</v>
      </c>
      <c r="AB180" s="18" t="e">
        <f t="shared" si="1440"/>
        <v>#DIV/0!</v>
      </c>
      <c r="AC180" s="18" t="e">
        <f t="shared" si="1440"/>
        <v>#DIV/0!</v>
      </c>
      <c r="AD180" s="18" t="e">
        <f t="shared" si="1440"/>
        <v>#DIV/0!</v>
      </c>
      <c r="AE180" s="18" t="e">
        <f t="shared" si="1440"/>
        <v>#DIV/0!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 t="e">
        <f>BH145/BH8*90</f>
        <v>#DIV/0!</v>
      </c>
      <c r="BI180" s="67" t="e">
        <f t="shared" si="1411"/>
        <v>#DIV/0!</v>
      </c>
      <c r="BJ180" s="67" t="e">
        <f>BJ145/BJ8*90</f>
        <v>#DIV/0!</v>
      </c>
      <c r="BK180" s="67" t="e">
        <f t="shared" si="1412"/>
        <v>#DIV/0!</v>
      </c>
      <c r="BL180" s="67" t="e">
        <f>BL145/BL8*90</f>
        <v>#DIV/0!</v>
      </c>
      <c r="BM180" s="67" t="e">
        <f t="shared" si="1413"/>
        <v>#DIV/0!</v>
      </c>
      <c r="BN180" s="67" t="e">
        <f>BN145/BN8*90</f>
        <v>#DIV/0!</v>
      </c>
      <c r="BO180" s="67" t="e">
        <f t="shared" si="1414"/>
        <v>#DIV/0!</v>
      </c>
      <c r="BP180" s="67" t="e">
        <f>BP145/BP8*90</f>
        <v>#DIV/0!</v>
      </c>
      <c r="BQ180" s="67" t="e">
        <f t="shared" si="1415"/>
        <v>#DIV/0!</v>
      </c>
      <c r="BR180" s="67" t="e">
        <f>BR145/BR8*90</f>
        <v>#DIV/0!</v>
      </c>
      <c r="BS180" s="67" t="e">
        <f t="shared" si="1416"/>
        <v>#DIV/0!</v>
      </c>
      <c r="BT180" s="67" t="e">
        <f>BT145/BT8*90</f>
        <v>#DIV/0!</v>
      </c>
      <c r="BU180" s="67" t="e">
        <f t="shared" si="1417"/>
        <v>#DIV/0!</v>
      </c>
      <c r="BV180" s="67" t="e">
        <f>BV145/BV8*90</f>
        <v>#DIV/0!</v>
      </c>
      <c r="BW180" s="67" t="e">
        <f t="shared" si="1418"/>
        <v>#DIV/0!</v>
      </c>
      <c r="BX180" s="67" t="e">
        <f>BX145/BX8*90</f>
        <v>#DIV/0!</v>
      </c>
      <c r="BY180" s="67" t="e">
        <f t="shared" si="1419"/>
        <v>#DIV/0!</v>
      </c>
      <c r="BZ180" s="67" t="e">
        <f>BZ145/BZ8*90</f>
        <v>#DIV/0!</v>
      </c>
      <c r="CA180" s="67" t="e">
        <f t="shared" si="1420"/>
        <v>#DIV/0!</v>
      </c>
      <c r="CB180" s="67" t="e">
        <f>CB145/CB8*90</f>
        <v>#DIV/0!</v>
      </c>
      <c r="CC180" s="67" t="e">
        <f t="shared" si="1421"/>
        <v>#DIV/0!</v>
      </c>
      <c r="CD180" s="67" t="e">
        <f>CD145/CD8*90</f>
        <v>#DIV/0!</v>
      </c>
      <c r="CE180" s="114" t="e">
        <f t="shared" ref="CE180" si="1442">+CD180</f>
        <v>#DIV/0!</v>
      </c>
      <c r="CF180" s="67">
        <f>CF145/CF8*90</f>
        <v>0</v>
      </c>
      <c r="CG180" s="67">
        <f t="shared" si="1422"/>
        <v>0</v>
      </c>
      <c r="CH180" s="67">
        <f>CH145/CH8*90</f>
        <v>8.0214441279946396</v>
      </c>
      <c r="CI180" s="67">
        <f t="shared" si="1422"/>
        <v>8.0214441279946396</v>
      </c>
      <c r="CJ180" s="67">
        <f>CJ145/CJ8*90</f>
        <v>7.6872878456963925</v>
      </c>
      <c r="CK180" s="30">
        <f t="shared" si="1423"/>
        <v>7.6872878456963925</v>
      </c>
      <c r="CL180" s="67">
        <f>CL145/CL8*90</f>
        <v>7.9899426637841913</v>
      </c>
      <c r="CM180" s="30">
        <f t="shared" si="1424"/>
        <v>7.9899426637841913</v>
      </c>
      <c r="CN180" s="30">
        <f t="shared" si="1425"/>
        <v>7.9899426637841913</v>
      </c>
      <c r="CO180" s="30">
        <f t="shared" si="1426"/>
        <v>7.9899426637841913</v>
      </c>
      <c r="CP180" s="30">
        <f t="shared" si="1427"/>
        <v>7.9899426637841913</v>
      </c>
      <c r="CQ180" s="30">
        <f t="shared" si="1428"/>
        <v>7.9899426637841913</v>
      </c>
      <c r="CR180" s="30">
        <f t="shared" si="1429"/>
        <v>7.9899426637841913</v>
      </c>
      <c r="CS180" s="30">
        <f t="shared" si="1430"/>
        <v>7.9899426637841913</v>
      </c>
      <c r="CT180" s="30">
        <f t="shared" si="1431"/>
        <v>7.9899426637841913</v>
      </c>
      <c r="CU180" s="30">
        <f t="shared" si="1432"/>
        <v>7.9899426637841913</v>
      </c>
      <c r="CV180" s="30">
        <f t="shared" si="1433"/>
        <v>7.9899426637841913</v>
      </c>
      <c r="CW180" s="30">
        <f t="shared" si="1434"/>
        <v>7.9899426637841913</v>
      </c>
      <c r="CX180" s="30">
        <f t="shared" si="1435"/>
        <v>7.9899426637841913</v>
      </c>
      <c r="CY180" s="30">
        <f t="shared" si="1436"/>
        <v>7.9899426637841913</v>
      </c>
      <c r="CZ180" s="30">
        <f t="shared" si="1437"/>
        <v>7.9899426637841913</v>
      </c>
      <c r="DA180" s="30">
        <f t="shared" si="1438"/>
        <v>7.9899426637841913</v>
      </c>
      <c r="DB180" s="30">
        <f t="shared" si="1439"/>
        <v>7.9899426637841913</v>
      </c>
      <c r="DE180" s="139"/>
      <c r="DF180" s="62">
        <v>7.6872878456963925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 t="e">
        <f t="shared" si="1443"/>
        <v>#DIV/0!</v>
      </c>
      <c r="L181" s="67" t="e">
        <f t="shared" si="1443"/>
        <v>#DIV/0!</v>
      </c>
      <c r="M181" s="67" t="e">
        <f t="shared" si="1443"/>
        <v>#DIV/0!</v>
      </c>
      <c r="N181" s="67" t="e">
        <f t="shared" si="1443"/>
        <v>#DIV/0!</v>
      </c>
      <c r="O181" s="67" t="e">
        <f t="shared" si="1443"/>
        <v>#DIV/0!</v>
      </c>
      <c r="P181" s="67" t="e">
        <f t="shared" si="1443"/>
        <v>#DIV/0!</v>
      </c>
      <c r="Q181" s="67" t="e">
        <f t="shared" si="1443"/>
        <v>#DIV/0!</v>
      </c>
      <c r="R181" s="67" t="e">
        <f t="shared" si="1443"/>
        <v>#DIV/0!</v>
      </c>
      <c r="S181" s="67" t="e">
        <f t="shared" si="1443"/>
        <v>#DIV/0!</v>
      </c>
      <c r="T181" s="67" t="e">
        <f t="shared" si="1443"/>
        <v>#DIV/0!</v>
      </c>
      <c r="U181" s="67" t="e">
        <f t="shared" si="1443"/>
        <v>#DIV/0!</v>
      </c>
      <c r="V181" s="67" t="e">
        <f>V182-V180-V179</f>
        <v>#DIV/0!</v>
      </c>
      <c r="W181" s="67">
        <f t="shared" ref="W181" si="1444">W182-W180-W179</f>
        <v>68.021836256641706</v>
      </c>
      <c r="X181" s="67">
        <f t="shared" ref="X181:Y181" si="1445">X182-X180-X179</f>
        <v>87.225434615620244</v>
      </c>
      <c r="Y181" s="67">
        <f t="shared" si="1445"/>
        <v>83.502073626418735</v>
      </c>
      <c r="Z181" s="67">
        <f t="shared" ref="Z181:AA181" si="1446">Z182-Z180-Z179</f>
        <v>35.751483219306749</v>
      </c>
      <c r="AA181" s="67">
        <f t="shared" si="1446"/>
        <v>114.2862928629286</v>
      </c>
      <c r="AB181" s="18" t="e">
        <f t="shared" ref="AA181:AD181" si="1447">AB182-AB180-AB179</f>
        <v>#DIV/0!</v>
      </c>
      <c r="AC181" s="18" t="e">
        <f t="shared" si="1447"/>
        <v>#DIV/0!</v>
      </c>
      <c r="AD181" s="18" t="e">
        <f t="shared" si="1447"/>
        <v>#DIV/0!</v>
      </c>
      <c r="AE181" s="18" t="e">
        <f t="shared" ref="AE181" si="1448">AE182-AE180-AE179</f>
        <v>#DIV/0!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 t="e">
        <f t="shared" si="1453"/>
        <v>#DIV/0!</v>
      </c>
      <c r="BK181" s="67" t="e">
        <f t="shared" si="1453"/>
        <v>#DIV/0!</v>
      </c>
      <c r="BL181" s="67" t="e">
        <f t="shared" si="1453"/>
        <v>#DIV/0!</v>
      </c>
      <c r="BM181" s="67" t="e">
        <f t="shared" si="1453"/>
        <v>#DIV/0!</v>
      </c>
      <c r="BN181" s="67" t="e">
        <f t="shared" si="1453"/>
        <v>#DIV/0!</v>
      </c>
      <c r="BO181" s="67" t="e">
        <f t="shared" si="1453"/>
        <v>#DIV/0!</v>
      </c>
      <c r="BP181" s="67" t="e">
        <f t="shared" si="1453"/>
        <v>#DIV/0!</v>
      </c>
      <c r="BQ181" s="67" t="e">
        <f t="shared" si="1453"/>
        <v>#DIV/0!</v>
      </c>
      <c r="BR181" s="67" t="e">
        <f t="shared" si="1453"/>
        <v>#DIV/0!</v>
      </c>
      <c r="BS181" s="67" t="e">
        <f t="shared" si="1453"/>
        <v>#DIV/0!</v>
      </c>
      <c r="BT181" s="67" t="e">
        <f t="shared" si="1453"/>
        <v>#DIV/0!</v>
      </c>
      <c r="BU181" s="67" t="e">
        <f t="shared" si="1453"/>
        <v>#DIV/0!</v>
      </c>
      <c r="BV181" s="67" t="e">
        <f t="shared" si="1453"/>
        <v>#DIV/0!</v>
      </c>
      <c r="BW181" s="67" t="e">
        <f t="shared" si="1453"/>
        <v>#DIV/0!</v>
      </c>
      <c r="BX181" s="67" t="e">
        <f t="shared" si="1453"/>
        <v>#DIV/0!</v>
      </c>
      <c r="BY181" s="67" t="e">
        <f t="shared" si="1453"/>
        <v>#DIV/0!</v>
      </c>
      <c r="BZ181" s="67" t="e">
        <f t="shared" si="1453"/>
        <v>#DIV/0!</v>
      </c>
      <c r="CA181" s="67" t="e">
        <f t="shared" si="1453"/>
        <v>#DIV/0!</v>
      </c>
      <c r="CB181" s="67" t="e">
        <f t="shared" si="1453"/>
        <v>#DIV/0!</v>
      </c>
      <c r="CC181" s="67" t="e">
        <f t="shared" si="1453"/>
        <v>#DIV/0!</v>
      </c>
      <c r="CD181" s="67" t="e">
        <f t="shared" si="1453"/>
        <v>#DIV/0!</v>
      </c>
      <c r="CE181" s="114" t="e">
        <f t="shared" si="1453"/>
        <v>#DIV/0!</v>
      </c>
      <c r="CF181" s="67">
        <f t="shared" ref="CF181:CG181" si="1454">CF182-CF180-CF179</f>
        <v>0</v>
      </c>
      <c r="CG181" s="67">
        <f t="shared" si="1454"/>
        <v>0</v>
      </c>
      <c r="CH181" s="67">
        <f t="shared" ref="CH181" si="1455">CH182-CH180-CH179</f>
        <v>33.804657396548834</v>
      </c>
      <c r="CI181" s="67">
        <f>CH181</f>
        <v>33.804657396548834</v>
      </c>
      <c r="CJ181" s="67">
        <f t="shared" ref="CJ181:CL181" si="1456">CJ182-CJ180-CJ179</f>
        <v>121.29384522274555</v>
      </c>
      <c r="CK181" s="30">
        <f t="shared" ref="CK181:DB181" si="1457">CJ181</f>
        <v>121.29384522274555</v>
      </c>
      <c r="CL181" s="67">
        <f t="shared" si="1456"/>
        <v>128.86056020302664</v>
      </c>
      <c r="CM181" s="30">
        <f t="shared" si="1457"/>
        <v>128.86056020302664</v>
      </c>
      <c r="CN181" s="30">
        <f t="shared" si="1457"/>
        <v>128.86056020302664</v>
      </c>
      <c r="CO181" s="30">
        <f t="shared" si="1457"/>
        <v>128.86056020302664</v>
      </c>
      <c r="CP181" s="30">
        <f t="shared" si="1457"/>
        <v>128.86056020302664</v>
      </c>
      <c r="CQ181" s="30">
        <f t="shared" si="1457"/>
        <v>128.86056020302664</v>
      </c>
      <c r="CR181" s="30">
        <f t="shared" si="1457"/>
        <v>128.86056020302664</v>
      </c>
      <c r="CS181" s="30">
        <f t="shared" si="1457"/>
        <v>128.86056020302664</v>
      </c>
      <c r="CT181" s="30">
        <f t="shared" si="1457"/>
        <v>128.86056020302664</v>
      </c>
      <c r="CU181" s="30">
        <f t="shared" si="1457"/>
        <v>128.86056020302664</v>
      </c>
      <c r="CV181" s="30">
        <f t="shared" si="1457"/>
        <v>128.86056020302664</v>
      </c>
      <c r="CW181" s="30">
        <f t="shared" si="1457"/>
        <v>128.86056020302664</v>
      </c>
      <c r="CX181" s="30">
        <f t="shared" si="1457"/>
        <v>128.86056020302664</v>
      </c>
      <c r="CY181" s="30">
        <f t="shared" si="1457"/>
        <v>128.86056020302664</v>
      </c>
      <c r="CZ181" s="30">
        <f t="shared" si="1457"/>
        <v>128.86056020302664</v>
      </c>
      <c r="DA181" s="30">
        <f t="shared" si="1457"/>
        <v>128.86056020302664</v>
      </c>
      <c r="DB181" s="30">
        <f t="shared" si="1457"/>
        <v>128.86056020302664</v>
      </c>
      <c r="DE181" s="139"/>
      <c r="DF181" s="62">
        <v>121.29384522274555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 t="e">
        <f t="shared" si="1458"/>
        <v>#DIV/0!</v>
      </c>
      <c r="L182" s="70" t="e">
        <f t="shared" si="1458"/>
        <v>#DIV/0!</v>
      </c>
      <c r="M182" s="70" t="e">
        <f t="shared" si="1458"/>
        <v>#DIV/0!</v>
      </c>
      <c r="N182" s="70" t="e">
        <f t="shared" si="1458"/>
        <v>#DIV/0!</v>
      </c>
      <c r="O182" s="70" t="e">
        <f t="shared" si="1458"/>
        <v>#DIV/0!</v>
      </c>
      <c r="P182" s="70" t="e">
        <f t="shared" si="1458"/>
        <v>#DIV/0!</v>
      </c>
      <c r="Q182" s="70" t="e">
        <f t="shared" si="1458"/>
        <v>#DIV/0!</v>
      </c>
      <c r="R182" s="70" t="e">
        <f t="shared" si="1458"/>
        <v>#DIV/0!</v>
      </c>
      <c r="S182" s="70" t="e">
        <f t="shared" si="1458"/>
        <v>#DIV/0!</v>
      </c>
      <c r="T182" s="70" t="e">
        <f t="shared" si="1458"/>
        <v>#DIV/0!</v>
      </c>
      <c r="U182" s="70" t="e">
        <f t="shared" si="1458"/>
        <v>#DIV/0!</v>
      </c>
      <c r="V182" s="70" t="e">
        <f t="shared" si="1458"/>
        <v>#DIV/0!</v>
      </c>
      <c r="W182" s="70">
        <f t="shared" si="1458"/>
        <v>92.942684111295208</v>
      </c>
      <c r="X182" s="70">
        <f t="shared" si="1458"/>
        <v>102.03478024558709</v>
      </c>
      <c r="Y182" s="70">
        <f t="shared" si="1458"/>
        <v>105.09435181360791</v>
      </c>
      <c r="Z182" s="70">
        <f t="shared" si="1458"/>
        <v>57.46389158300348</v>
      </c>
      <c r="AA182" s="70">
        <f t="shared" ref="AA182" si="1459">AA148/AA8*365</f>
        <v>140.45392596783108</v>
      </c>
      <c r="AB182" s="71" t="e">
        <f t="shared" si="1458"/>
        <v>#DIV/0!</v>
      </c>
      <c r="AC182" s="71" t="e">
        <f t="shared" si="1458"/>
        <v>#DIV/0!</v>
      </c>
      <c r="AD182" s="71" t="e">
        <f t="shared" si="1458"/>
        <v>#DIV/0!</v>
      </c>
      <c r="AE182" s="71" t="e">
        <f t="shared" si="1458"/>
        <v>#DIV/0!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 t="e">
        <f t="shared" si="1460"/>
        <v>#DIV/0!</v>
      </c>
      <c r="BK182" s="70" t="e">
        <f t="shared" si="1460"/>
        <v>#DIV/0!</v>
      </c>
      <c r="BL182" s="70" t="e">
        <f t="shared" si="1460"/>
        <v>#DIV/0!</v>
      </c>
      <c r="BM182" s="70" t="e">
        <f t="shared" si="1460"/>
        <v>#DIV/0!</v>
      </c>
      <c r="BN182" s="70" t="e">
        <f t="shared" si="1460"/>
        <v>#DIV/0!</v>
      </c>
      <c r="BO182" s="70" t="e">
        <f t="shared" si="1460"/>
        <v>#DIV/0!</v>
      </c>
      <c r="BP182" s="70" t="e">
        <f t="shared" si="1460"/>
        <v>#DIV/0!</v>
      </c>
      <c r="BQ182" s="70" t="e">
        <f t="shared" si="1460"/>
        <v>#DIV/0!</v>
      </c>
      <c r="BR182" s="70" t="e">
        <f t="shared" si="1460"/>
        <v>#DIV/0!</v>
      </c>
      <c r="BS182" s="70" t="e">
        <f t="shared" si="1460"/>
        <v>#DIV/0!</v>
      </c>
      <c r="BT182" s="70" t="e">
        <f t="shared" si="1460"/>
        <v>#DIV/0!</v>
      </c>
      <c r="BU182" s="70" t="e">
        <f t="shared" si="1460"/>
        <v>#DIV/0!</v>
      </c>
      <c r="BV182" s="70" t="e">
        <f t="shared" si="1460"/>
        <v>#DIV/0!</v>
      </c>
      <c r="BW182" s="70" t="e">
        <f t="shared" si="1460"/>
        <v>#DIV/0!</v>
      </c>
      <c r="BX182" s="70" t="e">
        <f t="shared" si="1460"/>
        <v>#DIV/0!</v>
      </c>
      <c r="BY182" s="70" t="e">
        <f t="shared" si="1460"/>
        <v>#DIV/0!</v>
      </c>
      <c r="BZ182" s="70" t="e">
        <f t="shared" si="1460"/>
        <v>#DIV/0!</v>
      </c>
      <c r="CA182" s="70" t="e">
        <f t="shared" si="1460"/>
        <v>#DIV/0!</v>
      </c>
      <c r="CB182" s="70" t="e">
        <f t="shared" si="1460"/>
        <v>#DIV/0!</v>
      </c>
      <c r="CC182" s="70" t="e">
        <f t="shared" si="1460"/>
        <v>#DIV/0!</v>
      </c>
      <c r="CD182" s="70" t="e">
        <f t="shared" si="1460"/>
        <v>#DIV/0!</v>
      </c>
      <c r="CE182" s="115" t="e">
        <f>CE148/CE10*90</f>
        <v>#DIV/0!</v>
      </c>
      <c r="CF182" s="70">
        <f>CF148/CF8*90</f>
        <v>0</v>
      </c>
      <c r="CG182" s="70">
        <f>CG148/CG10*90</f>
        <v>0</v>
      </c>
      <c r="CH182" s="70">
        <f>CH148/CH8*90</f>
        <v>54.334729435416314</v>
      </c>
      <c r="CI182" s="70">
        <f>CI179+CI180+CI181</f>
        <v>54.334729435416314</v>
      </c>
      <c r="CJ182" s="70">
        <f>CJ148/CJ8*90</f>
        <v>145.68902455069335</v>
      </c>
      <c r="CK182" s="50">
        <f t="shared" ref="CK182:DB182" si="1461">CK179+CK180+CK181</f>
        <v>145.68902455069335</v>
      </c>
      <c r="CL182" s="70">
        <f>CL148/CL8*90</f>
        <v>152.44548359808255</v>
      </c>
      <c r="CM182" s="50">
        <f t="shared" si="1461"/>
        <v>152.44548359808255</v>
      </c>
      <c r="CN182" s="50">
        <f t="shared" si="1461"/>
        <v>152.44548359808255</v>
      </c>
      <c r="CO182" s="50">
        <f t="shared" si="1461"/>
        <v>152.44548359808255</v>
      </c>
      <c r="CP182" s="50">
        <f t="shared" si="1461"/>
        <v>152.44548359808255</v>
      </c>
      <c r="CQ182" s="50">
        <f t="shared" si="1461"/>
        <v>152.44548359808255</v>
      </c>
      <c r="CR182" s="50">
        <f t="shared" si="1461"/>
        <v>152.44548359808255</v>
      </c>
      <c r="CS182" s="50">
        <f t="shared" si="1461"/>
        <v>152.44548359808255</v>
      </c>
      <c r="CT182" s="50">
        <f t="shared" si="1461"/>
        <v>152.44548359808255</v>
      </c>
      <c r="CU182" s="50">
        <f t="shared" si="1461"/>
        <v>152.44548359808255</v>
      </c>
      <c r="CV182" s="50">
        <f t="shared" si="1461"/>
        <v>152.44548359808255</v>
      </c>
      <c r="CW182" s="50">
        <f t="shared" si="1461"/>
        <v>152.44548359808255</v>
      </c>
      <c r="CX182" s="50">
        <f t="shared" si="1461"/>
        <v>152.44548359808255</v>
      </c>
      <c r="CY182" s="50">
        <f t="shared" si="1461"/>
        <v>152.44548359808255</v>
      </c>
      <c r="CZ182" s="50">
        <f t="shared" si="1461"/>
        <v>152.44548359808255</v>
      </c>
      <c r="DA182" s="50">
        <f t="shared" si="1461"/>
        <v>152.44548359808255</v>
      </c>
      <c r="DB182" s="50">
        <f t="shared" si="1461"/>
        <v>152.44548359808255</v>
      </c>
      <c r="DE182" s="138"/>
      <c r="DF182" s="7">
        <v>145.68902455069335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 t="e">
        <f t="shared" si="1462"/>
        <v>#DIV/0!</v>
      </c>
      <c r="L183" s="67" t="e">
        <f t="shared" si="1462"/>
        <v>#DIV/0!</v>
      </c>
      <c r="M183" s="67" t="e">
        <f t="shared" si="1462"/>
        <v>#DIV/0!</v>
      </c>
      <c r="N183" s="67" t="e">
        <f t="shared" si="1462"/>
        <v>#DIV/0!</v>
      </c>
      <c r="O183" s="67" t="e">
        <f t="shared" si="1462"/>
        <v>#DIV/0!</v>
      </c>
      <c r="P183" s="67" t="e">
        <f t="shared" si="1462"/>
        <v>#DIV/0!</v>
      </c>
      <c r="Q183" s="67" t="e">
        <f t="shared" si="1462"/>
        <v>#DIV/0!</v>
      </c>
      <c r="R183" s="67" t="e">
        <f t="shared" si="1462"/>
        <v>#DIV/0!</v>
      </c>
      <c r="S183" s="67" t="e">
        <f t="shared" si="1462"/>
        <v>#DIV/0!</v>
      </c>
      <c r="T183" s="67" t="e">
        <f t="shared" si="1462"/>
        <v>#DIV/0!</v>
      </c>
      <c r="U183" s="67" t="e">
        <f t="shared" si="1462"/>
        <v>#DIV/0!</v>
      </c>
      <c r="V183" s="67" t="e">
        <f t="shared" si="1462"/>
        <v>#DIV/0!</v>
      </c>
      <c r="W183" s="67">
        <f t="shared" si="1462"/>
        <v>63.997097640404498</v>
      </c>
      <c r="X183" s="67">
        <f t="shared" si="1462"/>
        <v>52.095022439628202</v>
      </c>
      <c r="Y183" s="67">
        <f t="shared" si="1462"/>
        <v>40.863682915105706</v>
      </c>
      <c r="Z183" s="67">
        <f t="shared" si="1462"/>
        <v>35.238014102597703</v>
      </c>
      <c r="AA183" s="67">
        <f t="shared" ref="AA183" si="1463">AA153/AA8*365</f>
        <v>41.921712074263603</v>
      </c>
      <c r="AB183" s="18" t="e">
        <f t="shared" si="1462"/>
        <v>#DIV/0!</v>
      </c>
      <c r="AC183" s="18" t="e">
        <f t="shared" si="1462"/>
        <v>#DIV/0!</v>
      </c>
      <c r="AD183" s="18" t="e">
        <f t="shared" si="1462"/>
        <v>#DIV/0!</v>
      </c>
      <c r="AE183" s="18" t="e">
        <f t="shared" si="1462"/>
        <v>#DIV/0!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 t="e">
        <f>BH153/BH8*90</f>
        <v>#DIV/0!</v>
      </c>
      <c r="BI183" s="67" t="e">
        <f t="shared" ref="BI183" si="1476">+BH183</f>
        <v>#DIV/0!</v>
      </c>
      <c r="BJ183" s="67" t="e">
        <f>BJ153/BJ8*90</f>
        <v>#DIV/0!</v>
      </c>
      <c r="BK183" s="67" t="e">
        <f t="shared" ref="BK183" si="1477">+BJ183</f>
        <v>#DIV/0!</v>
      </c>
      <c r="BL183" s="67" t="e">
        <f>BL153/BL8*90</f>
        <v>#DIV/0!</v>
      </c>
      <c r="BM183" s="67" t="e">
        <f t="shared" ref="BM183" si="1478">+BL183</f>
        <v>#DIV/0!</v>
      </c>
      <c r="BN183" s="67" t="e">
        <f>BN153/BN8*90</f>
        <v>#DIV/0!</v>
      </c>
      <c r="BO183" s="67" t="e">
        <f t="shared" ref="BO183" si="1479">+BN183</f>
        <v>#DIV/0!</v>
      </c>
      <c r="BP183" s="67" t="e">
        <f>BP153/BP8*90</f>
        <v>#DIV/0!</v>
      </c>
      <c r="BQ183" s="67" t="e">
        <f t="shared" ref="BQ183" si="1480">+BP183</f>
        <v>#DIV/0!</v>
      </c>
      <c r="BR183" s="67" t="e">
        <f>BR153/BR8*90</f>
        <v>#DIV/0!</v>
      </c>
      <c r="BS183" s="67" t="e">
        <f t="shared" ref="BS183" si="1481">+BR183</f>
        <v>#DIV/0!</v>
      </c>
      <c r="BT183" s="67" t="e">
        <f>BT153/BT8*90</f>
        <v>#DIV/0!</v>
      </c>
      <c r="BU183" s="67" t="e">
        <f t="shared" ref="BU183" si="1482">+BT183</f>
        <v>#DIV/0!</v>
      </c>
      <c r="BV183" s="67" t="e">
        <f>BV153/BV8*90</f>
        <v>#DIV/0!</v>
      </c>
      <c r="BW183" s="67" t="e">
        <f t="shared" ref="BW183" si="1483">+BV183</f>
        <v>#DIV/0!</v>
      </c>
      <c r="BX183" s="67" t="e">
        <f>BX153/BX8*90</f>
        <v>#DIV/0!</v>
      </c>
      <c r="BY183" s="67" t="e">
        <f t="shared" ref="BY183" si="1484">+BX183</f>
        <v>#DIV/0!</v>
      </c>
      <c r="BZ183" s="67" t="e">
        <f>BZ153/BZ8*90</f>
        <v>#DIV/0!</v>
      </c>
      <c r="CA183" s="67" t="e">
        <f t="shared" ref="CA183" si="1485">+BZ183</f>
        <v>#DIV/0!</v>
      </c>
      <c r="CB183" s="67" t="e">
        <f>CB153/CB8*90</f>
        <v>#DIV/0!</v>
      </c>
      <c r="CC183" s="67" t="e">
        <f t="shared" ref="CC183" si="1486">+CB183</f>
        <v>#DIV/0!</v>
      </c>
      <c r="CD183" s="67" t="e">
        <f>CD153/CD8*90</f>
        <v>#DIV/0!</v>
      </c>
      <c r="CE183" s="114" t="e">
        <f t="shared" si="1464"/>
        <v>#DIV/0!</v>
      </c>
      <c r="CF183" s="67">
        <f>CF153/CF8*90</f>
        <v>0</v>
      </c>
      <c r="CG183" s="67">
        <f t="shared" ref="CG183:CI183" si="1487">+CF183</f>
        <v>0</v>
      </c>
      <c r="CH183" s="67">
        <f>CH153/CH8*90</f>
        <v>33.319148936170208</v>
      </c>
      <c r="CI183" s="67">
        <f t="shared" si="1487"/>
        <v>33.319148936170208</v>
      </c>
      <c r="CJ183" s="67">
        <f>CJ153/CJ8*90</f>
        <v>49.131384364392289</v>
      </c>
      <c r="CK183" s="30">
        <f t="shared" ref="CK183" si="1488">+CJ183</f>
        <v>49.131384364392289</v>
      </c>
      <c r="CL183" s="67">
        <f>CL153/CL8*90</f>
        <v>37.784096249647519</v>
      </c>
      <c r="CM183" s="30">
        <f t="shared" ref="CM183" si="1489">+CL183</f>
        <v>37.784096249647519</v>
      </c>
      <c r="CN183" s="30">
        <f t="shared" ref="CN183" si="1490">+CM183</f>
        <v>37.784096249647519</v>
      </c>
      <c r="CO183" s="30">
        <f t="shared" ref="CO183" si="1491">+CN183</f>
        <v>37.784096249647519</v>
      </c>
      <c r="CP183" s="30">
        <f t="shared" ref="CP183" si="1492">+CO183</f>
        <v>37.784096249647519</v>
      </c>
      <c r="CQ183" s="30">
        <f t="shared" ref="CQ183" si="1493">+CP183</f>
        <v>37.784096249647519</v>
      </c>
      <c r="CR183" s="30">
        <f t="shared" ref="CR183" si="1494">+CQ183</f>
        <v>37.784096249647519</v>
      </c>
      <c r="CS183" s="30">
        <f t="shared" ref="CS183" si="1495">+CR183</f>
        <v>37.784096249647519</v>
      </c>
      <c r="CT183" s="30">
        <f t="shared" ref="CT183" si="1496">+CS183</f>
        <v>37.784096249647519</v>
      </c>
      <c r="CU183" s="30">
        <f t="shared" ref="CU183" si="1497">+CT183</f>
        <v>37.784096249647519</v>
      </c>
      <c r="CV183" s="30">
        <f t="shared" ref="CV183" si="1498">+CU183</f>
        <v>37.784096249647519</v>
      </c>
      <c r="CW183" s="30">
        <f t="shared" ref="CW183" si="1499">+CV183</f>
        <v>37.784096249647519</v>
      </c>
      <c r="CX183" s="30">
        <f t="shared" ref="CX183" si="1500">+CW183</f>
        <v>37.784096249647519</v>
      </c>
      <c r="CY183" s="30">
        <f t="shared" ref="CY183" si="1501">+CX183</f>
        <v>37.784096249647519</v>
      </c>
      <c r="CZ183" s="30">
        <f t="shared" ref="CZ183" si="1502">+CY183</f>
        <v>37.784096249647519</v>
      </c>
      <c r="DA183" s="30">
        <f t="shared" ref="DA183" si="1503">+CZ183</f>
        <v>37.784096249647519</v>
      </c>
      <c r="DB183" s="30">
        <f t="shared" ref="DB183" si="1504">+DA183</f>
        <v>37.784096249647519</v>
      </c>
      <c r="DE183" s="139"/>
      <c r="DF183" s="62">
        <v>49.131384364392289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 t="e">
        <f t="shared" si="1505"/>
        <v>#DIV/0!</v>
      </c>
      <c r="L184" s="67" t="e">
        <f t="shared" si="1505"/>
        <v>#DIV/0!</v>
      </c>
      <c r="M184" s="67" t="e">
        <f t="shared" si="1505"/>
        <v>#DIV/0!</v>
      </c>
      <c r="N184" s="67" t="e">
        <f t="shared" si="1505"/>
        <v>#DIV/0!</v>
      </c>
      <c r="O184" s="67" t="e">
        <f t="shared" si="1505"/>
        <v>#DIV/0!</v>
      </c>
      <c r="P184" s="67" t="e">
        <f t="shared" si="1505"/>
        <v>#DIV/0!</v>
      </c>
      <c r="Q184" s="67" t="e">
        <f t="shared" si="1505"/>
        <v>#DIV/0!</v>
      </c>
      <c r="R184" s="67" t="e">
        <f t="shared" si="1505"/>
        <v>#DIV/0!</v>
      </c>
      <c r="S184" s="67" t="e">
        <f t="shared" si="1505"/>
        <v>#DIV/0!</v>
      </c>
      <c r="T184" s="67" t="e">
        <f t="shared" si="1505"/>
        <v>#DIV/0!</v>
      </c>
      <c r="U184" s="67" t="e">
        <f t="shared" si="1505"/>
        <v>#DIV/0!</v>
      </c>
      <c r="V184" s="67" t="e">
        <f t="shared" si="1505"/>
        <v>#DIV/0!</v>
      </c>
      <c r="W184" s="67">
        <f t="shared" ref="W184" si="1506">W185-W183</f>
        <v>138.37176484031309</v>
      </c>
      <c r="X184" s="67">
        <f t="shared" ref="X184:Y184" si="1507">X185-X183</f>
        <v>115.18768545877535</v>
      </c>
      <c r="Y184" s="67">
        <f t="shared" si="1507"/>
        <v>111.65936006222088</v>
      </c>
      <c r="Z184" s="67">
        <f t="shared" ref="Z184:AA184" si="1508">Z185-Z183</f>
        <v>93.869170882591931</v>
      </c>
      <c r="AA184" s="67">
        <f t="shared" si="1508"/>
        <v>89.179256078275074</v>
      </c>
      <c r="AB184" s="18" t="e">
        <f t="shared" ref="AA184:AD184" si="1509">AB185-AB183</f>
        <v>#DIV/0!</v>
      </c>
      <c r="AC184" s="18" t="e">
        <f t="shared" si="1509"/>
        <v>#DIV/0!</v>
      </c>
      <c r="AD184" s="18" t="e">
        <f t="shared" si="1509"/>
        <v>#DIV/0!</v>
      </c>
      <c r="AE184" s="18" t="e">
        <f t="shared" ref="AE184" si="1510">AE185-AE183</f>
        <v>#DIV/0!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 t="e">
        <f t="shared" si="1515"/>
        <v>#DIV/0!</v>
      </c>
      <c r="BK184" s="67" t="e">
        <f t="shared" si="1515"/>
        <v>#DIV/0!</v>
      </c>
      <c r="BL184" s="67" t="e">
        <f t="shared" si="1515"/>
        <v>#DIV/0!</v>
      </c>
      <c r="BM184" s="67" t="e">
        <f t="shared" si="1515"/>
        <v>#DIV/0!</v>
      </c>
      <c r="BN184" s="67" t="e">
        <f t="shared" si="1515"/>
        <v>#DIV/0!</v>
      </c>
      <c r="BO184" s="67" t="e">
        <f t="shared" si="1515"/>
        <v>#DIV/0!</v>
      </c>
      <c r="BP184" s="67" t="e">
        <f t="shared" si="1515"/>
        <v>#DIV/0!</v>
      </c>
      <c r="BQ184" s="67" t="e">
        <f t="shared" si="1515"/>
        <v>#DIV/0!</v>
      </c>
      <c r="BR184" s="67" t="e">
        <f t="shared" si="1515"/>
        <v>#DIV/0!</v>
      </c>
      <c r="BS184" s="67" t="e">
        <f t="shared" si="1515"/>
        <v>#DIV/0!</v>
      </c>
      <c r="BT184" s="67" t="e">
        <f t="shared" si="1515"/>
        <v>#DIV/0!</v>
      </c>
      <c r="BU184" s="67" t="e">
        <f t="shared" si="1515"/>
        <v>#DIV/0!</v>
      </c>
      <c r="BV184" s="67" t="e">
        <f t="shared" si="1515"/>
        <v>#DIV/0!</v>
      </c>
      <c r="BW184" s="67" t="e">
        <f t="shared" si="1515"/>
        <v>#DIV/0!</v>
      </c>
      <c r="BX184" s="67" t="e">
        <f t="shared" si="1515"/>
        <v>#DIV/0!</v>
      </c>
      <c r="BY184" s="67" t="e">
        <f t="shared" si="1515"/>
        <v>#DIV/0!</v>
      </c>
      <c r="BZ184" s="67" t="e">
        <f t="shared" si="1515"/>
        <v>#DIV/0!</v>
      </c>
      <c r="CA184" s="67" t="e">
        <f t="shared" si="1515"/>
        <v>#DIV/0!</v>
      </c>
      <c r="CB184" s="67" t="e">
        <f t="shared" si="1515"/>
        <v>#DIV/0!</v>
      </c>
      <c r="CC184" s="67" t="e">
        <f t="shared" si="1515"/>
        <v>#DIV/0!</v>
      </c>
      <c r="CD184" s="67" t="e">
        <f t="shared" si="1515"/>
        <v>#DIV/0!</v>
      </c>
      <c r="CE184" s="114" t="e">
        <f t="shared" si="1515"/>
        <v>#DIV/0!</v>
      </c>
      <c r="CF184" s="67">
        <f t="shared" ref="CF184:CG184" si="1516">CF185-CF183</f>
        <v>0</v>
      </c>
      <c r="CG184" s="67">
        <f t="shared" si="1516"/>
        <v>0</v>
      </c>
      <c r="CH184" s="67">
        <f t="shared" ref="CH184" si="1517">CH185-CH183</f>
        <v>88.757580834310602</v>
      </c>
      <c r="CI184" s="67">
        <f>CH184</f>
        <v>88.757580834310602</v>
      </c>
      <c r="CJ184" s="67">
        <f t="shared" ref="CJ184:CL184" si="1518">CJ185-CJ183</f>
        <v>79.603452359024288</v>
      </c>
      <c r="CK184" s="30">
        <f t="shared" ref="CK184:DB184" si="1519">CJ184</f>
        <v>79.603452359024288</v>
      </c>
      <c r="CL184" s="67">
        <f t="shared" si="1518"/>
        <v>80.377385092583893</v>
      </c>
      <c r="CM184" s="30">
        <f t="shared" si="1519"/>
        <v>80.377385092583893</v>
      </c>
      <c r="CN184" s="30">
        <f t="shared" si="1519"/>
        <v>80.377385092583893</v>
      </c>
      <c r="CO184" s="30">
        <f t="shared" si="1519"/>
        <v>80.377385092583893</v>
      </c>
      <c r="CP184" s="30">
        <f t="shared" si="1519"/>
        <v>80.377385092583893</v>
      </c>
      <c r="CQ184" s="30">
        <f t="shared" si="1519"/>
        <v>80.377385092583893</v>
      </c>
      <c r="CR184" s="30">
        <f t="shared" si="1519"/>
        <v>80.377385092583893</v>
      </c>
      <c r="CS184" s="30">
        <f t="shared" si="1519"/>
        <v>80.377385092583893</v>
      </c>
      <c r="CT184" s="30">
        <f t="shared" si="1519"/>
        <v>80.377385092583893</v>
      </c>
      <c r="CU184" s="30">
        <f t="shared" si="1519"/>
        <v>80.377385092583893</v>
      </c>
      <c r="CV184" s="30">
        <f t="shared" si="1519"/>
        <v>80.377385092583893</v>
      </c>
      <c r="CW184" s="30">
        <f t="shared" si="1519"/>
        <v>80.377385092583893</v>
      </c>
      <c r="CX184" s="30">
        <f t="shared" si="1519"/>
        <v>80.377385092583893</v>
      </c>
      <c r="CY184" s="30">
        <f t="shared" si="1519"/>
        <v>80.377385092583893</v>
      </c>
      <c r="CZ184" s="30">
        <f t="shared" si="1519"/>
        <v>80.377385092583893</v>
      </c>
      <c r="DA184" s="30">
        <f t="shared" si="1519"/>
        <v>80.377385092583893</v>
      </c>
      <c r="DB184" s="30">
        <f t="shared" si="1519"/>
        <v>80.377385092583893</v>
      </c>
      <c r="DE184" s="139"/>
      <c r="DF184" s="62">
        <v>79.603452359024288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 t="e">
        <f t="shared" si="1520"/>
        <v>#DIV/0!</v>
      </c>
      <c r="L185" s="70" t="e">
        <f t="shared" si="1520"/>
        <v>#DIV/0!</v>
      </c>
      <c r="M185" s="70" t="e">
        <f t="shared" si="1520"/>
        <v>#DIV/0!</v>
      </c>
      <c r="N185" s="70" t="e">
        <f t="shared" si="1520"/>
        <v>#DIV/0!</v>
      </c>
      <c r="O185" s="70" t="e">
        <f t="shared" si="1520"/>
        <v>#DIV/0!</v>
      </c>
      <c r="P185" s="70" t="e">
        <f t="shared" si="1520"/>
        <v>#DIV/0!</v>
      </c>
      <c r="Q185" s="70" t="e">
        <f t="shared" si="1520"/>
        <v>#DIV/0!</v>
      </c>
      <c r="R185" s="70" t="e">
        <f t="shared" si="1520"/>
        <v>#DIV/0!</v>
      </c>
      <c r="S185" s="70" t="e">
        <f t="shared" si="1520"/>
        <v>#DIV/0!</v>
      </c>
      <c r="T185" s="70" t="e">
        <f t="shared" si="1520"/>
        <v>#DIV/0!</v>
      </c>
      <c r="U185" s="70" t="e">
        <f t="shared" si="1520"/>
        <v>#DIV/0!</v>
      </c>
      <c r="V185" s="70" t="e">
        <f t="shared" si="1520"/>
        <v>#DIV/0!</v>
      </c>
      <c r="W185" s="70">
        <f t="shared" si="1520"/>
        <v>202.36886248071758</v>
      </c>
      <c r="X185" s="70">
        <f t="shared" si="1520"/>
        <v>167.28270789840354</v>
      </c>
      <c r="Y185" s="70">
        <f t="shared" si="1520"/>
        <v>152.52304297732658</v>
      </c>
      <c r="Z185" s="70">
        <f t="shared" si="1520"/>
        <v>129.10718498518963</v>
      </c>
      <c r="AA185" s="70">
        <f t="shared" ref="AA185" si="1521">AA156/AA8*365</f>
        <v>131.10096815253868</v>
      </c>
      <c r="AB185" s="71" t="e">
        <f t="shared" si="1520"/>
        <v>#DIV/0!</v>
      </c>
      <c r="AC185" s="71" t="e">
        <f t="shared" si="1520"/>
        <v>#DIV/0!</v>
      </c>
      <c r="AD185" s="71" t="e">
        <f t="shared" si="1520"/>
        <v>#DIV/0!</v>
      </c>
      <c r="AE185" s="71" t="e">
        <f t="shared" si="1520"/>
        <v>#DIV/0!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 t="e">
        <f t="shared" si="1522"/>
        <v>#DIV/0!</v>
      </c>
      <c r="BK185" s="70" t="e">
        <f t="shared" si="1522"/>
        <v>#DIV/0!</v>
      </c>
      <c r="BL185" s="70" t="e">
        <f t="shared" si="1522"/>
        <v>#DIV/0!</v>
      </c>
      <c r="BM185" s="70" t="e">
        <f t="shared" si="1522"/>
        <v>#DIV/0!</v>
      </c>
      <c r="BN185" s="70" t="e">
        <f t="shared" si="1522"/>
        <v>#DIV/0!</v>
      </c>
      <c r="BO185" s="70" t="e">
        <f t="shared" si="1522"/>
        <v>#DIV/0!</v>
      </c>
      <c r="BP185" s="70" t="e">
        <f t="shared" si="1522"/>
        <v>#DIV/0!</v>
      </c>
      <c r="BQ185" s="70" t="e">
        <f t="shared" si="1522"/>
        <v>#DIV/0!</v>
      </c>
      <c r="BR185" s="70" t="e">
        <f t="shared" si="1522"/>
        <v>#DIV/0!</v>
      </c>
      <c r="BS185" s="70" t="e">
        <f t="shared" si="1522"/>
        <v>#DIV/0!</v>
      </c>
      <c r="BT185" s="70" t="e">
        <f t="shared" si="1522"/>
        <v>#DIV/0!</v>
      </c>
      <c r="BU185" s="70" t="e">
        <f t="shared" si="1522"/>
        <v>#DIV/0!</v>
      </c>
      <c r="BV185" s="70" t="e">
        <f t="shared" si="1522"/>
        <v>#DIV/0!</v>
      </c>
      <c r="BW185" s="70" t="e">
        <f t="shared" si="1522"/>
        <v>#DIV/0!</v>
      </c>
      <c r="BX185" s="70" t="e">
        <f t="shared" si="1522"/>
        <v>#DIV/0!</v>
      </c>
      <c r="BY185" s="70" t="e">
        <f t="shared" si="1522"/>
        <v>#DIV/0!</v>
      </c>
      <c r="BZ185" s="70" t="e">
        <f t="shared" si="1522"/>
        <v>#DIV/0!</v>
      </c>
      <c r="CA185" s="70" t="e">
        <f t="shared" si="1522"/>
        <v>#DIV/0!</v>
      </c>
      <c r="CB185" s="70" t="e">
        <f t="shared" si="1522"/>
        <v>#DIV/0!</v>
      </c>
      <c r="CC185" s="70" t="e">
        <f t="shared" si="1522"/>
        <v>#DIV/0!</v>
      </c>
      <c r="CD185" s="70" t="e">
        <f t="shared" si="1522"/>
        <v>#DIV/0!</v>
      </c>
      <c r="CE185" s="115" t="e">
        <f>CE156/CE10*90</f>
        <v>#DIV/0!</v>
      </c>
      <c r="CF185" s="70">
        <f>CF156/CF8*90</f>
        <v>0</v>
      </c>
      <c r="CG185" s="70">
        <f>CG156/CG10*90</f>
        <v>0</v>
      </c>
      <c r="CH185" s="70">
        <f>CH156/CH8*90</f>
        <v>122.07672977048081</v>
      </c>
      <c r="CI185" s="70">
        <f>CI183+CI184</f>
        <v>122.07672977048081</v>
      </c>
      <c r="CJ185" s="70">
        <f>CJ156/CJ8*90</f>
        <v>128.73483672341658</v>
      </c>
      <c r="CK185" s="50">
        <f t="shared" ref="CK185:DB185" si="1523">CK183+CK184</f>
        <v>128.73483672341658</v>
      </c>
      <c r="CL185" s="70">
        <f>CL156/CL8*90</f>
        <v>118.16148134223141</v>
      </c>
      <c r="CM185" s="50">
        <f t="shared" si="1523"/>
        <v>118.16148134223141</v>
      </c>
      <c r="CN185" s="50">
        <f t="shared" si="1523"/>
        <v>118.16148134223141</v>
      </c>
      <c r="CO185" s="50">
        <f t="shared" si="1523"/>
        <v>118.16148134223141</v>
      </c>
      <c r="CP185" s="50">
        <f t="shared" si="1523"/>
        <v>118.16148134223141</v>
      </c>
      <c r="CQ185" s="50">
        <f t="shared" si="1523"/>
        <v>118.16148134223141</v>
      </c>
      <c r="CR185" s="50">
        <f t="shared" si="1523"/>
        <v>118.16148134223141</v>
      </c>
      <c r="CS185" s="50">
        <f t="shared" si="1523"/>
        <v>118.16148134223141</v>
      </c>
      <c r="CT185" s="50">
        <f t="shared" si="1523"/>
        <v>118.16148134223141</v>
      </c>
      <c r="CU185" s="50">
        <f t="shared" si="1523"/>
        <v>118.16148134223141</v>
      </c>
      <c r="CV185" s="50">
        <f t="shared" si="1523"/>
        <v>118.16148134223141</v>
      </c>
      <c r="CW185" s="50">
        <f t="shared" si="1523"/>
        <v>118.16148134223141</v>
      </c>
      <c r="CX185" s="50">
        <f t="shared" si="1523"/>
        <v>118.16148134223141</v>
      </c>
      <c r="CY185" s="50">
        <f t="shared" si="1523"/>
        <v>118.16148134223141</v>
      </c>
      <c r="CZ185" s="50">
        <f t="shared" si="1523"/>
        <v>118.16148134223141</v>
      </c>
      <c r="DA185" s="50">
        <f t="shared" si="1523"/>
        <v>118.16148134223141</v>
      </c>
      <c r="DB185" s="50">
        <f t="shared" si="1523"/>
        <v>118.16148134223141</v>
      </c>
      <c r="DE185" s="138"/>
      <c r="DF185" s="7">
        <v>128.73483672341658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 t="e">
        <f t="shared" si="1524"/>
        <v>#DIV/0!</v>
      </c>
      <c r="L186" s="70" t="e">
        <f t="shared" si="1524"/>
        <v>#DIV/0!</v>
      </c>
      <c r="M186" s="70" t="e">
        <f t="shared" si="1524"/>
        <v>#DIV/0!</v>
      </c>
      <c r="N186" s="70" t="e">
        <f t="shared" si="1524"/>
        <v>#DIV/0!</v>
      </c>
      <c r="O186" s="70" t="e">
        <f t="shared" si="1524"/>
        <v>#DIV/0!</v>
      </c>
      <c r="P186" s="70" t="e">
        <f t="shared" si="1524"/>
        <v>#DIV/0!</v>
      </c>
      <c r="Q186" s="70" t="e">
        <f t="shared" si="1524"/>
        <v>#DIV/0!</v>
      </c>
      <c r="R186" s="70" t="e">
        <f t="shared" si="1524"/>
        <v>#DIV/0!</v>
      </c>
      <c r="S186" s="70" t="e">
        <f t="shared" si="1524"/>
        <v>#DIV/0!</v>
      </c>
      <c r="T186" s="70" t="e">
        <f t="shared" si="1524"/>
        <v>#DIV/0!</v>
      </c>
      <c r="U186" s="70" t="e">
        <f t="shared" si="1524"/>
        <v>#DIV/0!</v>
      </c>
      <c r="V186" s="70" t="e">
        <f t="shared" si="1524"/>
        <v>#DIV/0!</v>
      </c>
      <c r="W186" s="70">
        <f t="shared" ref="W186" si="1525">W182-W185</f>
        <v>-109.42617836942237</v>
      </c>
      <c r="X186" s="70">
        <f t="shared" ref="X186:Y186" si="1526">X182-X185</f>
        <v>-65.247927652816458</v>
      </c>
      <c r="Y186" s="70">
        <f t="shared" si="1526"/>
        <v>-47.428691163718668</v>
      </c>
      <c r="Z186" s="70">
        <f t="shared" ref="Z186:AA186" si="1527">Z182-Z185</f>
        <v>-71.643293402186146</v>
      </c>
      <c r="AA186" s="70">
        <f t="shared" si="1527"/>
        <v>9.3529578152923989</v>
      </c>
      <c r="AB186" s="71" t="e">
        <f t="shared" ref="AA186:AD186" si="1528">AB182-AB185</f>
        <v>#DIV/0!</v>
      </c>
      <c r="AC186" s="71" t="e">
        <f t="shared" si="1528"/>
        <v>#DIV/0!</v>
      </c>
      <c r="AD186" s="71" t="e">
        <f t="shared" si="1528"/>
        <v>#DIV/0!</v>
      </c>
      <c r="AE186" s="71" t="e">
        <f t="shared" ref="AE186" si="1529">AE182-AE185</f>
        <v>#DIV/0!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 t="e">
        <f t="shared" si="1534"/>
        <v>#DIV/0!</v>
      </c>
      <c r="BK186" s="70" t="e">
        <f t="shared" si="1534"/>
        <v>#DIV/0!</v>
      </c>
      <c r="BL186" s="70" t="e">
        <f t="shared" si="1534"/>
        <v>#DIV/0!</v>
      </c>
      <c r="BM186" s="70" t="e">
        <f t="shared" si="1534"/>
        <v>#DIV/0!</v>
      </c>
      <c r="BN186" s="70" t="e">
        <f t="shared" si="1534"/>
        <v>#DIV/0!</v>
      </c>
      <c r="BO186" s="70" t="e">
        <f t="shared" si="1534"/>
        <v>#DIV/0!</v>
      </c>
      <c r="BP186" s="70" t="e">
        <f t="shared" si="1534"/>
        <v>#DIV/0!</v>
      </c>
      <c r="BQ186" s="70" t="e">
        <f t="shared" si="1534"/>
        <v>#DIV/0!</v>
      </c>
      <c r="BR186" s="70" t="e">
        <f t="shared" si="1534"/>
        <v>#DIV/0!</v>
      </c>
      <c r="BS186" s="70" t="e">
        <f t="shared" si="1534"/>
        <v>#DIV/0!</v>
      </c>
      <c r="BT186" s="70" t="e">
        <f t="shared" si="1534"/>
        <v>#DIV/0!</v>
      </c>
      <c r="BU186" s="70" t="e">
        <f t="shared" si="1534"/>
        <v>#DIV/0!</v>
      </c>
      <c r="BV186" s="70" t="e">
        <f t="shared" si="1534"/>
        <v>#DIV/0!</v>
      </c>
      <c r="BW186" s="70" t="e">
        <f t="shared" si="1534"/>
        <v>#DIV/0!</v>
      </c>
      <c r="BX186" s="70" t="e">
        <f t="shared" si="1534"/>
        <v>#DIV/0!</v>
      </c>
      <c r="BY186" s="70" t="e">
        <f t="shared" si="1534"/>
        <v>#DIV/0!</v>
      </c>
      <c r="BZ186" s="70" t="e">
        <f t="shared" si="1534"/>
        <v>#DIV/0!</v>
      </c>
      <c r="CA186" s="70" t="e">
        <f t="shared" si="1534"/>
        <v>#DIV/0!</v>
      </c>
      <c r="CB186" s="70" t="e">
        <f t="shared" si="1534"/>
        <v>#DIV/0!</v>
      </c>
      <c r="CC186" s="70" t="e">
        <f t="shared" si="1534"/>
        <v>#DIV/0!</v>
      </c>
      <c r="CD186" s="70" t="e">
        <f t="shared" si="1534"/>
        <v>#DIV/0!</v>
      </c>
      <c r="CE186" s="115" t="e">
        <f t="shared" si="1534"/>
        <v>#DIV/0!</v>
      </c>
      <c r="CF186" s="70">
        <f t="shared" ref="CF186:CG186" si="1535">CF182-CF185</f>
        <v>0</v>
      </c>
      <c r="CG186" s="70">
        <f t="shared" si="1535"/>
        <v>0</v>
      </c>
      <c r="CH186" s="70">
        <f t="shared" ref="CH186:CI186" si="1536">CH182-CH185</f>
        <v>-67.742000335064489</v>
      </c>
      <c r="CI186" s="70">
        <f t="shared" si="1536"/>
        <v>-67.742000335064489</v>
      </c>
      <c r="CJ186" s="70">
        <f t="shared" ref="CJ186:DB186" si="1537">CJ182-CJ185</f>
        <v>16.954187827276769</v>
      </c>
      <c r="CK186" s="50">
        <f t="shared" si="1537"/>
        <v>16.954187827276769</v>
      </c>
      <c r="CL186" s="70">
        <f t="shared" ref="CL186" si="1538">CL182-CL185</f>
        <v>34.284002255851135</v>
      </c>
      <c r="CM186" s="50">
        <f t="shared" si="1537"/>
        <v>34.284002255851135</v>
      </c>
      <c r="CN186" s="50">
        <f t="shared" si="1537"/>
        <v>34.284002255851135</v>
      </c>
      <c r="CO186" s="50">
        <f t="shared" si="1537"/>
        <v>34.284002255851135</v>
      </c>
      <c r="CP186" s="50">
        <f t="shared" si="1537"/>
        <v>34.284002255851135</v>
      </c>
      <c r="CQ186" s="50">
        <f t="shared" si="1537"/>
        <v>34.284002255851135</v>
      </c>
      <c r="CR186" s="50">
        <f t="shared" si="1537"/>
        <v>34.284002255851135</v>
      </c>
      <c r="CS186" s="50">
        <f t="shared" si="1537"/>
        <v>34.284002255851135</v>
      </c>
      <c r="CT186" s="50">
        <f t="shared" si="1537"/>
        <v>34.284002255851135</v>
      </c>
      <c r="CU186" s="50">
        <f t="shared" si="1537"/>
        <v>34.284002255851135</v>
      </c>
      <c r="CV186" s="50">
        <f t="shared" si="1537"/>
        <v>34.284002255851135</v>
      </c>
      <c r="CW186" s="50">
        <f t="shared" si="1537"/>
        <v>34.284002255851135</v>
      </c>
      <c r="CX186" s="50">
        <f t="shared" si="1537"/>
        <v>34.284002255851135</v>
      </c>
      <c r="CY186" s="50">
        <f t="shared" si="1537"/>
        <v>34.284002255851135</v>
      </c>
      <c r="CZ186" s="50">
        <f t="shared" si="1537"/>
        <v>34.284002255851135</v>
      </c>
      <c r="DA186" s="50">
        <f t="shared" si="1537"/>
        <v>34.284002255851135</v>
      </c>
      <c r="DB186" s="50">
        <f t="shared" si="1537"/>
        <v>34.284002255851135</v>
      </c>
      <c r="DE186" s="138"/>
      <c r="DF186" s="7">
        <v>16.954187827276769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 t="e">
        <f t="shared" si="1539"/>
        <v>#DIV/0!</v>
      </c>
      <c r="M188" s="86" t="e">
        <f t="shared" si="1539"/>
        <v>#DIV/0!</v>
      </c>
      <c r="N188" s="86" t="e">
        <f t="shared" si="1539"/>
        <v>#DIV/0!</v>
      </c>
      <c r="O188" s="86" t="e">
        <f t="shared" si="1539"/>
        <v>#DIV/0!</v>
      </c>
      <c r="P188" s="86" t="e">
        <f t="shared" si="1539"/>
        <v>#DIV/0!</v>
      </c>
      <c r="Q188" s="86" t="e">
        <f t="shared" si="1539"/>
        <v>#DIV/0!</v>
      </c>
      <c r="R188" s="86" t="e">
        <f t="shared" si="1539"/>
        <v>#DIV/0!</v>
      </c>
      <c r="S188" s="86" t="e">
        <f t="shared" si="1539"/>
        <v>#DIV/0!</v>
      </c>
      <c r="T188" s="86" t="e">
        <f t="shared" si="1539"/>
        <v>#DIV/0!</v>
      </c>
      <c r="U188" s="86" t="e">
        <f t="shared" si="1539"/>
        <v>#DIV/0!</v>
      </c>
      <c r="V188" s="86" t="e">
        <f t="shared" si="1539"/>
        <v>#DIV/0!</v>
      </c>
      <c r="W188" s="86" t="e">
        <f t="shared" si="1539"/>
        <v>#DIV/0!</v>
      </c>
      <c r="X188" s="86">
        <f t="shared" si="1539"/>
        <v>0.45482945780723294</v>
      </c>
      <c r="Y188" s="86">
        <f t="shared" si="1539"/>
        <v>0.30069415972742575</v>
      </c>
      <c r="Z188" s="86">
        <f>Z10/Y10-1</f>
        <v>0.38218009753411164</v>
      </c>
      <c r="AA188" s="86">
        <f>AA10/Z10-1</f>
        <v>0.35917935813083779</v>
      </c>
      <c r="AB188" s="87" t="e">
        <f t="shared" ref="AA188:AE188" si="1540">AB10/AA10-1</f>
        <v>#DIV/0!</v>
      </c>
      <c r="AC188" s="87" t="e">
        <f t="shared" si="1540"/>
        <v>#DIV/0!</v>
      </c>
      <c r="AD188" s="87" t="e">
        <f t="shared" si="1540"/>
        <v>#DIV/0!</v>
      </c>
      <c r="AE188" s="87" t="e">
        <f t="shared" si="1540"/>
        <v>#DIV/0!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 t="e">
        <f t="shared" si="1541"/>
        <v>#DIV/0!</v>
      </c>
      <c r="BE188" s="86" t="e">
        <f t="shared" si="1541"/>
        <v>#DIV/0!</v>
      </c>
      <c r="BF188" s="86" t="e">
        <f t="shared" si="1541"/>
        <v>#DIV/0!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 t="e">
        <f t="shared" si="1541"/>
        <v>#DIV/0!</v>
      </c>
      <c r="BL188" s="86" t="e">
        <f t="shared" si="1541"/>
        <v>#DIV/0!</v>
      </c>
      <c r="BM188" s="86" t="e">
        <f t="shared" si="1541"/>
        <v>#DIV/0!</v>
      </c>
      <c r="BN188" s="86" t="e">
        <f t="shared" si="1541"/>
        <v>#DIV/0!</v>
      </c>
      <c r="BO188" s="86" t="e">
        <f t="shared" si="1541"/>
        <v>#DIV/0!</v>
      </c>
      <c r="BP188" s="86" t="e">
        <f t="shared" si="1541"/>
        <v>#DIV/0!</v>
      </c>
      <c r="BQ188" s="86" t="e">
        <f t="shared" si="1541"/>
        <v>#DIV/0!</v>
      </c>
      <c r="BR188" s="86" t="e">
        <f t="shared" si="1541"/>
        <v>#DIV/0!</v>
      </c>
      <c r="BS188" s="86" t="e">
        <f t="shared" si="1541"/>
        <v>#DIV/0!</v>
      </c>
      <c r="BT188" s="86" t="e">
        <f t="shared" si="1541"/>
        <v>#DIV/0!</v>
      </c>
      <c r="BU188" s="86" t="e">
        <f t="shared" si="1541"/>
        <v>#DIV/0!</v>
      </c>
      <c r="BV188" s="86" t="e">
        <f t="shared" si="1541"/>
        <v>#DIV/0!</v>
      </c>
      <c r="BW188" s="86" t="e">
        <f t="shared" si="1541"/>
        <v>#DIV/0!</v>
      </c>
      <c r="BX188" s="86" t="e">
        <f t="shared" si="1541"/>
        <v>#DIV/0!</v>
      </c>
      <c r="BY188" s="86" t="e">
        <f t="shared" si="1541"/>
        <v>#DIV/0!</v>
      </c>
      <c r="BZ188" s="86" t="e">
        <f t="shared" si="1541"/>
        <v>#DIV/0!</v>
      </c>
      <c r="CA188" s="86" t="e">
        <f t="shared" si="1541"/>
        <v>#DIV/0!</v>
      </c>
      <c r="CB188" s="86" t="e">
        <f t="shared" si="1541"/>
        <v>#DIV/0!</v>
      </c>
      <c r="CC188" s="86" t="e">
        <f t="shared" si="1541"/>
        <v>#DIV/0!</v>
      </c>
      <c r="CD188" s="86" t="e">
        <f t="shared" si="1541"/>
        <v>#DIV/0!</v>
      </c>
      <c r="CE188" s="86" t="e">
        <f t="shared" si="1541"/>
        <v>#DIV/0!</v>
      </c>
      <c r="CF188" s="86" t="e">
        <f t="shared" si="1541"/>
        <v>#DIV/0!</v>
      </c>
      <c r="CG188" s="86" t="e">
        <f t="shared" si="1541"/>
        <v>#DIV/0!</v>
      </c>
      <c r="CH188" s="86" t="e">
        <f t="shared" si="1541"/>
        <v>#DIV/0!</v>
      </c>
      <c r="CI188" s="86" t="e">
        <f t="shared" si="1541"/>
        <v>#DIV/0!</v>
      </c>
      <c r="CJ188" s="86">
        <f>+(CJ10+CI10)/(CF10+CE10)-1</f>
        <v>0.3707617948348001</v>
      </c>
      <c r="CK188" s="87"/>
      <c r="CL188" s="86">
        <f>+(CL10+CK10)/(CH10+CG10)-1</f>
        <v>0.37837883929941851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3.8275526119191161E-2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 t="e">
        <f t="shared" ref="L189" si="1549">L186/K186-1</f>
        <v>#DIV/0!</v>
      </c>
      <c r="M189" s="86" t="e">
        <f t="shared" ref="M189" si="1550">M186/L186-1</f>
        <v>#DIV/0!</v>
      </c>
      <c r="N189" s="86" t="e">
        <f t="shared" ref="N189" si="1551">N186/M186-1</f>
        <v>#DIV/0!</v>
      </c>
      <c r="O189" s="86" t="e">
        <f t="shared" ref="O189" si="1552">O186/N186-1</f>
        <v>#DIV/0!</v>
      </c>
      <c r="P189" s="86" t="e">
        <f t="shared" ref="P189" si="1553">P186/O186-1</f>
        <v>#DIV/0!</v>
      </c>
      <c r="Q189" s="86" t="e">
        <f t="shared" ref="Q189" si="1554">Q186/P186-1</f>
        <v>#DIV/0!</v>
      </c>
      <c r="R189" s="86" t="e">
        <f t="shared" ref="R189" si="1555">R186/Q186-1</f>
        <v>#DIV/0!</v>
      </c>
      <c r="S189" s="86" t="e">
        <f t="shared" ref="S189" si="1556">S186/R186-1</f>
        <v>#DIV/0!</v>
      </c>
      <c r="T189" s="86" t="e">
        <f t="shared" ref="T189" si="1557">T186/S186-1</f>
        <v>#DIV/0!</v>
      </c>
      <c r="U189" s="86" t="e">
        <f t="shared" ref="U189" si="1558">U186/T186-1</f>
        <v>#DIV/0!</v>
      </c>
      <c r="V189" s="86" t="e">
        <f t="shared" ref="V189" si="1559">V186/U186-1</f>
        <v>#DIV/0!</v>
      </c>
      <c r="W189" s="86" t="e">
        <f t="shared" ref="W189:AA189" si="1560">W186/V186-1</f>
        <v>#DIV/0!</v>
      </c>
      <c r="X189" s="86">
        <f t="shared" si="1560"/>
        <v>-0.40372652481255722</v>
      </c>
      <c r="Y189" s="86">
        <f t="shared" si="1560"/>
        <v>-0.2731004206587796</v>
      </c>
      <c r="Z189" s="86">
        <f t="shared" si="1560"/>
        <v>0.51054755348152692</v>
      </c>
      <c r="AA189" s="86">
        <f t="shared" si="1560"/>
        <v>-1.1305489651737171</v>
      </c>
      <c r="AB189" s="87" t="e">
        <f t="shared" ref="AB189" si="1561">AB186/AA186-1</f>
        <v>#DIV/0!</v>
      </c>
      <c r="AC189" s="87" t="e">
        <f t="shared" ref="AC189" si="1562">AC186/AB186-1</f>
        <v>#DIV/0!</v>
      </c>
      <c r="AD189" s="87" t="e">
        <f t="shared" ref="AD189" si="1563">AD186/AC186-1</f>
        <v>#DIV/0!</v>
      </c>
      <c r="AE189" s="87" t="e">
        <f t="shared" ref="AE189" si="1564">AE186/AD186-1</f>
        <v>#DIV/0!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 t="e">
        <f t="shared" si="1565"/>
        <v>#DIV/0!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 t="e">
        <f t="shared" si="1565"/>
        <v>#DIV/0!</v>
      </c>
      <c r="BS189" s="86" t="e">
        <f t="shared" si="1565"/>
        <v>#DIV/0!</v>
      </c>
      <c r="BT189" s="86" t="e">
        <f t="shared" si="1565"/>
        <v>#DIV/0!</v>
      </c>
      <c r="BU189" s="86" t="e">
        <f t="shared" si="1565"/>
        <v>#DIV/0!</v>
      </c>
      <c r="BV189" s="86" t="e">
        <f t="shared" si="1565"/>
        <v>#DIV/0!</v>
      </c>
      <c r="BW189" s="86" t="e">
        <f t="shared" si="1565"/>
        <v>#DIV/0!</v>
      </c>
      <c r="BX189" s="86" t="e">
        <f t="shared" si="1565"/>
        <v>#DIV/0!</v>
      </c>
      <c r="BY189" s="86" t="e">
        <f t="shared" si="1565"/>
        <v>#DIV/0!</v>
      </c>
      <c r="BZ189" s="86" t="e">
        <f t="shared" si="1565"/>
        <v>#DIV/0!</v>
      </c>
      <c r="CA189" s="86" t="e">
        <f t="shared" si="1565"/>
        <v>#DIV/0!</v>
      </c>
      <c r="CB189" s="86" t="e">
        <f t="shared" si="1565"/>
        <v>#DIV/0!</v>
      </c>
      <c r="CC189" s="86" t="e">
        <f t="shared" si="1565"/>
        <v>#DIV/0!</v>
      </c>
      <c r="CD189" s="86" t="e">
        <f t="shared" si="1565"/>
        <v>#DIV/0!</v>
      </c>
      <c r="CE189" s="86" t="e">
        <f t="shared" si="1565"/>
        <v>#DIV/0!</v>
      </c>
      <c r="CF189" s="86" t="e">
        <f t="shared" si="1565"/>
        <v>#DIV/0!</v>
      </c>
      <c r="CG189" s="86" t="e">
        <f t="shared" si="1565"/>
        <v>#DIV/0!</v>
      </c>
      <c r="CH189" s="86" t="e">
        <f t="shared" si="1565"/>
        <v>#DIV/0!</v>
      </c>
      <c r="CI189" s="86" t="e">
        <f t="shared" si="1565"/>
        <v>#DIV/0!</v>
      </c>
      <c r="CJ189" s="86" t="e">
        <f>+CJ186/CF186-1</f>
        <v>#DIV/0!</v>
      </c>
      <c r="CK189" s="87"/>
      <c r="CL189" s="86">
        <f>+CL186/CH186-1</f>
        <v>-1.506096691657703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-1.6950466666222401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 t="e">
        <f t="shared" si="1566"/>
        <v>#DIV/0!</v>
      </c>
      <c r="M190" s="103" t="e">
        <f t="shared" si="1566"/>
        <v>#DIV/0!</v>
      </c>
      <c r="N190" s="103" t="e">
        <f t="shared" si="1566"/>
        <v>#DIV/0!</v>
      </c>
      <c r="O190" s="103" t="e">
        <f t="shared" si="1566"/>
        <v>#DIV/0!</v>
      </c>
      <c r="P190" s="103" t="e">
        <f t="shared" si="1566"/>
        <v>#DIV/0!</v>
      </c>
      <c r="Q190" s="103" t="e">
        <f t="shared" si="1566"/>
        <v>#DIV/0!</v>
      </c>
      <c r="R190" s="103" t="e">
        <f t="shared" si="1566"/>
        <v>#DIV/0!</v>
      </c>
      <c r="S190" s="103" t="e">
        <f t="shared" si="1566"/>
        <v>#DIV/0!</v>
      </c>
      <c r="T190" s="103" t="e">
        <f t="shared" si="1566"/>
        <v>#DIV/0!</v>
      </c>
      <c r="U190" s="103" t="e">
        <f t="shared" si="1566"/>
        <v>#DIV/0!</v>
      </c>
      <c r="V190" s="103" t="e">
        <f>IF(V189&gt;V188,"RF",0)</f>
        <v>#DIV/0!</v>
      </c>
      <c r="W190" s="103" t="e">
        <f t="shared" ref="W190" si="1567">IF(W189&gt;W188,"RF",0)</f>
        <v>#DIV/0!</v>
      </c>
      <c r="X190" s="103">
        <f t="shared" ref="X190:Y190" si="1568">IF(X189&gt;X188,"RF",0)</f>
        <v>0</v>
      </c>
      <c r="Y190" s="103">
        <f t="shared" si="1568"/>
        <v>0</v>
      </c>
      <c r="Z190" s="103" t="str">
        <f t="shared" ref="Z190:AA190" si="1569">IF(Z189&gt;Z188,"RF",0)</f>
        <v>RF</v>
      </c>
      <c r="AA190" s="103">
        <f t="shared" si="1569"/>
        <v>0</v>
      </c>
      <c r="AB190" s="73" t="e">
        <f t="shared" ref="AA190:AD190" si="1570">IF(AB189&gt;AB188,"RF",0)</f>
        <v>#DIV/0!</v>
      </c>
      <c r="AC190" s="73" t="e">
        <f t="shared" si="1570"/>
        <v>#DIV/0!</v>
      </c>
      <c r="AD190" s="73" t="e">
        <f t="shared" si="1570"/>
        <v>#DIV/0!</v>
      </c>
      <c r="AE190" s="73" t="e">
        <f t="shared" ref="AE190" si="1571">IF(AE189&gt;AE188,"RF",0)</f>
        <v>#DIV/0!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0</v>
      </c>
      <c r="K193" s="23">
        <f t="shared" si="1572"/>
        <v>0</v>
      </c>
      <c r="L193" s="23">
        <f t="shared" si="1572"/>
        <v>0</v>
      </c>
      <c r="M193" s="23">
        <f t="shared" si="1572"/>
        <v>0</v>
      </c>
      <c r="N193" s="23">
        <f t="shared" si="1572"/>
        <v>0</v>
      </c>
      <c r="O193" s="23">
        <f t="shared" si="1572"/>
        <v>0</v>
      </c>
      <c r="P193" s="23">
        <f t="shared" si="1572"/>
        <v>0</v>
      </c>
      <c r="Q193" s="23">
        <f t="shared" si="1572"/>
        <v>0</v>
      </c>
      <c r="R193" s="23">
        <f t="shared" si="1572"/>
        <v>0</v>
      </c>
      <c r="S193" s="23">
        <f t="shared" si="1572"/>
        <v>0</v>
      </c>
      <c r="T193" s="23">
        <f t="shared" si="1572"/>
        <v>0</v>
      </c>
      <c r="U193" s="23">
        <f t="shared" si="1572"/>
        <v>0</v>
      </c>
      <c r="V193" s="23">
        <f t="shared" si="1572"/>
        <v>0</v>
      </c>
      <c r="W193" s="23">
        <f t="shared" si="1572"/>
        <v>-514.14499999999987</v>
      </c>
      <c r="X193" s="23">
        <f t="shared" si="1572"/>
        <v>-312.48400000000015</v>
      </c>
      <c r="Y193" s="23">
        <f t="shared" si="1572"/>
        <v>-92.771999999999991</v>
      </c>
      <c r="Z193" s="23">
        <f t="shared" si="1572"/>
        <v>239.75999999999996</v>
      </c>
      <c r="AA193" s="23">
        <f t="shared" ref="AA193" si="1573">AA48</f>
        <v>-234.81000000000012</v>
      </c>
      <c r="AB193" s="24" t="e">
        <f t="shared" si="1572"/>
        <v>#DIV/0!</v>
      </c>
      <c r="AC193" s="24" t="e">
        <f t="shared" si="1572"/>
        <v>#DIV/0!</v>
      </c>
      <c r="AD193" s="24" t="e">
        <f t="shared" si="1572"/>
        <v>#DIV/0!</v>
      </c>
      <c r="AE193" s="24" t="e">
        <f t="shared" si="1572"/>
        <v>#DIV/0!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0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0</v>
      </c>
      <c r="BH193" s="23">
        <f t="shared" si="1574"/>
        <v>0</v>
      </c>
      <c r="BI193" s="23">
        <f t="shared" si="1574"/>
        <v>0</v>
      </c>
      <c r="BJ193" s="23">
        <f t="shared" si="1574"/>
        <v>0</v>
      </c>
      <c r="BK193" s="23">
        <f t="shared" si="1574"/>
        <v>0</v>
      </c>
      <c r="BL193" s="23">
        <f t="shared" si="1574"/>
        <v>0</v>
      </c>
      <c r="BM193" s="23">
        <f t="shared" si="1574"/>
        <v>0</v>
      </c>
      <c r="BN193" s="23">
        <f t="shared" si="1574"/>
        <v>0</v>
      </c>
      <c r="BO193" s="23">
        <f t="shared" ref="BO193:CT193" si="1575">BO48</f>
        <v>0</v>
      </c>
      <c r="BP193" s="23">
        <f t="shared" si="1575"/>
        <v>0</v>
      </c>
      <c r="BQ193" s="23">
        <f t="shared" si="1575"/>
        <v>0</v>
      </c>
      <c r="BR193" s="23">
        <f t="shared" si="1575"/>
        <v>0</v>
      </c>
      <c r="BS193" s="23">
        <f t="shared" si="1575"/>
        <v>0</v>
      </c>
      <c r="BT193" s="23">
        <f t="shared" si="1575"/>
        <v>0</v>
      </c>
      <c r="BU193" s="23">
        <f t="shared" si="1575"/>
        <v>0</v>
      </c>
      <c r="BV193" s="23">
        <f t="shared" si="1575"/>
        <v>0</v>
      </c>
      <c r="BW193" s="23">
        <f t="shared" si="1575"/>
        <v>0</v>
      </c>
      <c r="BX193" s="23">
        <f t="shared" si="1575"/>
        <v>0</v>
      </c>
      <c r="BY193" s="23">
        <f t="shared" si="1575"/>
        <v>0</v>
      </c>
      <c r="BZ193" s="23">
        <f t="shared" si="1575"/>
        <v>0</v>
      </c>
      <c r="CA193" s="23">
        <f t="shared" si="1575"/>
        <v>0</v>
      </c>
      <c r="CB193" s="23">
        <f t="shared" si="1575"/>
        <v>0</v>
      </c>
      <c r="CC193" s="23">
        <f t="shared" si="1575"/>
        <v>0</v>
      </c>
      <c r="CD193" s="23">
        <f t="shared" si="1575"/>
        <v>0</v>
      </c>
      <c r="CE193" s="23">
        <f t="shared" si="1575"/>
        <v>0</v>
      </c>
      <c r="CF193" s="23">
        <f t="shared" si="1575"/>
        <v>-1.819999999999947</v>
      </c>
      <c r="CG193" s="23">
        <f t="shared" si="1575"/>
        <v>231.84000000000003</v>
      </c>
      <c r="CH193" s="23">
        <f t="shared" si="1575"/>
        <v>-2.8400000000000052</v>
      </c>
      <c r="CI193" s="23">
        <f t="shared" si="1575"/>
        <v>0</v>
      </c>
      <c r="CJ193" s="23">
        <f t="shared" si="1575"/>
        <v>-59.330000000000005</v>
      </c>
      <c r="CK193" s="24">
        <f t="shared" si="1575"/>
        <v>-21.260000000000005</v>
      </c>
      <c r="CL193" s="23">
        <f t="shared" ref="CL193" si="1576">CL48</f>
        <v>-161.15999999999997</v>
      </c>
      <c r="CM193" s="24" t="e">
        <f t="shared" si="1575"/>
        <v>#DIV/0!</v>
      </c>
      <c r="CN193" s="24" t="e">
        <f t="shared" si="1575"/>
        <v>#DIV/0!</v>
      </c>
      <c r="CO193" s="24" t="e">
        <f t="shared" si="1575"/>
        <v>#DIV/0!</v>
      </c>
      <c r="CP193" s="24" t="e">
        <f t="shared" si="1575"/>
        <v>#DIV/0!</v>
      </c>
      <c r="CQ193" s="24" t="e">
        <f t="shared" si="1575"/>
        <v>#DIV/0!</v>
      </c>
      <c r="CR193" s="24" t="e">
        <f t="shared" si="1575"/>
        <v>#DIV/0!</v>
      </c>
      <c r="CS193" s="24" t="e">
        <f t="shared" si="1575"/>
        <v>#DIV/0!</v>
      </c>
      <c r="CT193" s="24" t="e">
        <f t="shared" si="1575"/>
        <v>#DIV/0!</v>
      </c>
      <c r="CU193" s="24" t="e">
        <f t="shared" ref="CU193:DB193" si="1577">CU48</f>
        <v>#DIV/0!</v>
      </c>
      <c r="CV193" s="24" t="e">
        <f t="shared" si="1577"/>
        <v>#DIV/0!</v>
      </c>
      <c r="CW193" s="24" t="e">
        <f t="shared" si="1577"/>
        <v>#DIV/0!</v>
      </c>
      <c r="CX193" s="24" t="e">
        <f t="shared" si="1577"/>
        <v>#DIV/0!</v>
      </c>
      <c r="CY193" s="24" t="e">
        <f t="shared" si="1577"/>
        <v>#DIV/0!</v>
      </c>
      <c r="CZ193" s="24" t="e">
        <f t="shared" si="1577"/>
        <v>#DIV/0!</v>
      </c>
      <c r="DA193" s="24" t="e">
        <f t="shared" si="1577"/>
        <v>#DIV/0!</v>
      </c>
      <c r="DB193" s="24" t="e">
        <f t="shared" si="1577"/>
        <v>#DIV/0!</v>
      </c>
      <c r="DE193" s="123"/>
      <c r="DF193" s="23">
        <v>-241.75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0</v>
      </c>
      <c r="N194" s="23">
        <f t="shared" si="1578"/>
        <v>0</v>
      </c>
      <c r="O194" s="23">
        <f t="shared" si="1578"/>
        <v>0</v>
      </c>
      <c r="P194" s="23">
        <f t="shared" si="1578"/>
        <v>0</v>
      </c>
      <c r="Q194" s="23">
        <f t="shared" si="1578"/>
        <v>0</v>
      </c>
      <c r="R194" s="23">
        <f t="shared" si="1578"/>
        <v>0</v>
      </c>
      <c r="S194" s="23">
        <f t="shared" si="1578"/>
        <v>0</v>
      </c>
      <c r="T194" s="23">
        <f t="shared" si="1578"/>
        <v>0</v>
      </c>
      <c r="U194" s="23">
        <f t="shared" si="1578"/>
        <v>0</v>
      </c>
      <c r="V194" s="23">
        <f t="shared" si="1578"/>
        <v>0</v>
      </c>
      <c r="W194" s="23">
        <f t="shared" si="1578"/>
        <v>28.015999999999998</v>
      </c>
      <c r="X194" s="23">
        <f t="shared" si="1578"/>
        <v>30.651</v>
      </c>
      <c r="Y194" s="23">
        <f t="shared" si="1578"/>
        <v>36.798999999999999</v>
      </c>
      <c r="Z194" s="23">
        <f t="shared" si="1578"/>
        <v>37</v>
      </c>
      <c r="AA194" s="23">
        <f t="shared" ref="AA194" si="1579">AA32</f>
        <v>45.21</v>
      </c>
      <c r="AB194" s="24">
        <f t="shared" si="1578"/>
        <v>36.165889042879961</v>
      </c>
      <c r="AC194" s="24">
        <f t="shared" si="1578"/>
        <v>4.1104898828551112E-3</v>
      </c>
      <c r="AD194" s="24">
        <f t="shared" si="1578"/>
        <v>4.6718407131683641E-7</v>
      </c>
      <c r="AE194" s="24">
        <f t="shared" si="1578"/>
        <v>5.3086230623674481E-11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0</v>
      </c>
      <c r="BS194" s="23">
        <f t="shared" si="1581"/>
        <v>0</v>
      </c>
      <c r="BT194" s="23">
        <f t="shared" si="1581"/>
        <v>0</v>
      </c>
      <c r="BU194" s="23">
        <f t="shared" si="1581"/>
        <v>0</v>
      </c>
      <c r="BV194" s="23">
        <f t="shared" si="1581"/>
        <v>0</v>
      </c>
      <c r="BW194" s="23">
        <f t="shared" si="1581"/>
        <v>0</v>
      </c>
      <c r="BX194" s="23">
        <f t="shared" si="1581"/>
        <v>0</v>
      </c>
      <c r="BY194" s="23">
        <f t="shared" si="1581"/>
        <v>0</v>
      </c>
      <c r="BZ194" s="23">
        <f t="shared" si="1581"/>
        <v>0</v>
      </c>
      <c r="CA194" s="23">
        <f t="shared" si="1581"/>
        <v>0</v>
      </c>
      <c r="CB194" s="23">
        <f t="shared" si="1581"/>
        <v>0</v>
      </c>
      <c r="CC194" s="23">
        <f t="shared" si="1581"/>
        <v>0</v>
      </c>
      <c r="CD194" s="23">
        <f t="shared" si="1581"/>
        <v>0</v>
      </c>
      <c r="CE194" s="23">
        <f t="shared" si="1581"/>
        <v>0</v>
      </c>
      <c r="CF194" s="23">
        <f t="shared" si="1581"/>
        <v>9.57</v>
      </c>
      <c r="CG194" s="23">
        <f t="shared" si="1581"/>
        <v>9.34</v>
      </c>
      <c r="CH194" s="23">
        <f t="shared" si="1581"/>
        <v>9.2899999999999991</v>
      </c>
      <c r="CI194" s="23">
        <f t="shared" si="1581"/>
        <v>0</v>
      </c>
      <c r="CJ194" s="23">
        <f t="shared" si="1581"/>
        <v>10.41</v>
      </c>
      <c r="CK194" s="24">
        <f t="shared" si="1581"/>
        <v>11.73</v>
      </c>
      <c r="CL194" s="23">
        <f t="shared" ref="CL194" si="1582">CL32</f>
        <v>13.57</v>
      </c>
      <c r="CM194" s="24">
        <f t="shared" si="1581"/>
        <v>39.904626016260174</v>
      </c>
      <c r="CN194" s="24">
        <f t="shared" si="1581"/>
        <v>-4.1202337431423448</v>
      </c>
      <c r="CO194" s="24">
        <f t="shared" si="1581"/>
        <v>0.42542250843826601</v>
      </c>
      <c r="CP194" s="24">
        <f t="shared" si="1581"/>
        <v>-4.3925738676139282E-2</v>
      </c>
      <c r="CQ194" s="24">
        <f t="shared" si="1581"/>
        <v>4.5354217982654394E-3</v>
      </c>
      <c r="CR194" s="24">
        <f t="shared" si="1581"/>
        <v>-4.6829151900881273E-4</v>
      </c>
      <c r="CS194" s="24">
        <f t="shared" si="1581"/>
        <v>4.8352051154381119E-5</v>
      </c>
      <c r="CT194" s="24">
        <f t="shared" si="1581"/>
        <v>-4.9924475558967297E-6</v>
      </c>
      <c r="CU194" s="24">
        <f t="shared" ref="CU194:DB194" si="1583">CU32</f>
        <v>5.1548034358029712E-7</v>
      </c>
      <c r="CV194" s="24">
        <f t="shared" si="1583"/>
        <v>-5.3224386519792559E-8</v>
      </c>
      <c r="CW194" s="24">
        <f t="shared" si="1583"/>
        <v>5.4955380185090447E-9</v>
      </c>
      <c r="CX194" s="24">
        <f t="shared" si="1583"/>
        <v>-5.6742376217720812E-10</v>
      </c>
      <c r="CY194" s="24">
        <f t="shared" si="1583"/>
        <v>5.8573584645613666E-11</v>
      </c>
      <c r="CZ194" s="24">
        <f t="shared" si="1583"/>
        <v>-6.051767578481497E-12</v>
      </c>
      <c r="DA194" s="24">
        <f t="shared" si="1583"/>
        <v>6.2712617393590645E-13</v>
      </c>
      <c r="DB194" s="24">
        <f t="shared" si="1583"/>
        <v>-6.2712617393590645E-14</v>
      </c>
      <c r="DE194" s="123"/>
      <c r="DF194" s="23">
        <v>6.0041198501872639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0</v>
      </c>
      <c r="K195" s="22">
        <f t="shared" si="1584"/>
        <v>0</v>
      </c>
      <c r="L195" s="22">
        <f t="shared" si="1584"/>
        <v>0</v>
      </c>
      <c r="M195" s="22">
        <f t="shared" si="1584"/>
        <v>0</v>
      </c>
      <c r="N195" s="22">
        <f t="shared" si="1584"/>
        <v>0</v>
      </c>
      <c r="O195" s="22">
        <f t="shared" si="1584"/>
        <v>0</v>
      </c>
      <c r="P195" s="22">
        <f t="shared" si="1584"/>
        <v>0</v>
      </c>
      <c r="Q195" s="22">
        <f t="shared" si="1584"/>
        <v>0</v>
      </c>
      <c r="R195" s="22">
        <f t="shared" si="1584"/>
        <v>0</v>
      </c>
      <c r="S195" s="22">
        <f t="shared" si="1584"/>
        <v>0</v>
      </c>
      <c r="T195" s="22">
        <f t="shared" si="1584"/>
        <v>0</v>
      </c>
      <c r="U195" s="22">
        <f t="shared" si="1584"/>
        <v>0</v>
      </c>
      <c r="V195" s="22">
        <f t="shared" si="1584"/>
        <v>0</v>
      </c>
      <c r="W195" s="22">
        <f t="shared" si="1584"/>
        <v>-486.12899999999985</v>
      </c>
      <c r="X195" s="22">
        <f t="shared" ref="X195:Y195" si="1585">X193+X194</f>
        <v>-281.83300000000014</v>
      </c>
      <c r="Y195" s="22">
        <f t="shared" si="1585"/>
        <v>-55.972999999999992</v>
      </c>
      <c r="Z195" s="22">
        <f t="shared" ref="Z195:AA195" si="1586">Z193+Z194</f>
        <v>276.76</v>
      </c>
      <c r="AA195" s="22">
        <f t="shared" si="1586"/>
        <v>-189.60000000000011</v>
      </c>
      <c r="AB195" s="21" t="e">
        <f t="shared" ref="AA195:AD195" si="1587">AB193+AB194</f>
        <v>#DIV/0!</v>
      </c>
      <c r="AC195" s="21" t="e">
        <f t="shared" si="1587"/>
        <v>#DIV/0!</v>
      </c>
      <c r="AD195" s="21" t="e">
        <f t="shared" si="1587"/>
        <v>#DIV/0!</v>
      </c>
      <c r="AE195" s="21" t="e">
        <f t="shared" ref="AE195" si="1588">AE193+AE194</f>
        <v>#DIV/0!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0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0</v>
      </c>
      <c r="BH195" s="22">
        <f t="shared" si="1592"/>
        <v>0</v>
      </c>
      <c r="BI195" s="22">
        <f t="shared" si="1592"/>
        <v>0</v>
      </c>
      <c r="BJ195" s="22">
        <f t="shared" si="1592"/>
        <v>0</v>
      </c>
      <c r="BK195" s="22">
        <f t="shared" si="1592"/>
        <v>0</v>
      </c>
      <c r="BL195" s="22">
        <f t="shared" si="1592"/>
        <v>0</v>
      </c>
      <c r="BM195" s="22">
        <f t="shared" si="1592"/>
        <v>0</v>
      </c>
      <c r="BN195" s="22">
        <f t="shared" si="1592"/>
        <v>0</v>
      </c>
      <c r="BO195" s="22">
        <f t="shared" si="1592"/>
        <v>0</v>
      </c>
      <c r="BP195" s="22">
        <f t="shared" si="1592"/>
        <v>0</v>
      </c>
      <c r="BQ195" s="22">
        <f t="shared" si="1592"/>
        <v>0</v>
      </c>
      <c r="BR195" s="22">
        <f t="shared" si="1592"/>
        <v>0</v>
      </c>
      <c r="BS195" s="22">
        <f t="shared" si="1592"/>
        <v>0</v>
      </c>
      <c r="BT195" s="22">
        <f t="shared" si="1592"/>
        <v>0</v>
      </c>
      <c r="BU195" s="22">
        <f t="shared" si="1592"/>
        <v>0</v>
      </c>
      <c r="BV195" s="22">
        <f t="shared" si="1592"/>
        <v>0</v>
      </c>
      <c r="BW195" s="22">
        <f t="shared" si="1592"/>
        <v>0</v>
      </c>
      <c r="BX195" s="22">
        <f t="shared" si="1592"/>
        <v>0</v>
      </c>
      <c r="BY195" s="22">
        <f t="shared" si="1592"/>
        <v>0</v>
      </c>
      <c r="BZ195" s="22">
        <f t="shared" si="1592"/>
        <v>0</v>
      </c>
      <c r="CA195" s="22">
        <f t="shared" si="1592"/>
        <v>0</v>
      </c>
      <c r="CB195" s="22">
        <f t="shared" si="1592"/>
        <v>0</v>
      </c>
      <c r="CC195" s="22">
        <f t="shared" si="1592"/>
        <v>0</v>
      </c>
      <c r="CD195" s="22">
        <f t="shared" si="1592"/>
        <v>0</v>
      </c>
      <c r="CE195" s="22">
        <f t="shared" ref="CE195:CF195" si="1593">CE193+CE194</f>
        <v>0</v>
      </c>
      <c r="CF195" s="22">
        <f t="shared" si="1593"/>
        <v>7.7500000000000533</v>
      </c>
      <c r="CG195" s="22">
        <f t="shared" ref="CG195:CH195" si="1594">CG193+CG194</f>
        <v>241.18000000000004</v>
      </c>
      <c r="CH195" s="22">
        <f t="shared" si="1594"/>
        <v>6.449999999999994</v>
      </c>
      <c r="CI195" s="22">
        <f t="shared" ref="CI195:CJ195" si="1595">CI193+CI194</f>
        <v>0</v>
      </c>
      <c r="CJ195" s="22">
        <f t="shared" si="1595"/>
        <v>-48.92</v>
      </c>
      <c r="CK195" s="21">
        <f t="shared" ref="CK195:DB195" si="1596">CK193+CK194</f>
        <v>-9.5300000000000047</v>
      </c>
      <c r="CL195" s="22">
        <f t="shared" si="1596"/>
        <v>-147.58999999999997</v>
      </c>
      <c r="CM195" s="21" t="e">
        <f t="shared" si="1596"/>
        <v>#DIV/0!</v>
      </c>
      <c r="CN195" s="21" t="e">
        <f t="shared" si="1596"/>
        <v>#DIV/0!</v>
      </c>
      <c r="CO195" s="21" t="e">
        <f t="shared" si="1596"/>
        <v>#DIV/0!</v>
      </c>
      <c r="CP195" s="21" t="e">
        <f t="shared" si="1596"/>
        <v>#DIV/0!</v>
      </c>
      <c r="CQ195" s="21" t="e">
        <f t="shared" si="1596"/>
        <v>#DIV/0!</v>
      </c>
      <c r="CR195" s="21" t="e">
        <f t="shared" si="1596"/>
        <v>#DIV/0!</v>
      </c>
      <c r="CS195" s="21" t="e">
        <f t="shared" si="1596"/>
        <v>#DIV/0!</v>
      </c>
      <c r="CT195" s="21" t="e">
        <f t="shared" si="1596"/>
        <v>#DIV/0!</v>
      </c>
      <c r="CU195" s="21" t="e">
        <f t="shared" si="1596"/>
        <v>#DIV/0!</v>
      </c>
      <c r="CV195" s="21" t="e">
        <f t="shared" si="1596"/>
        <v>#DIV/0!</v>
      </c>
      <c r="CW195" s="21" t="e">
        <f t="shared" si="1596"/>
        <v>#DIV/0!</v>
      </c>
      <c r="CX195" s="21" t="e">
        <f t="shared" si="1596"/>
        <v>#DIV/0!</v>
      </c>
      <c r="CY195" s="21" t="e">
        <f t="shared" si="1596"/>
        <v>#DIV/0!</v>
      </c>
      <c r="CZ195" s="21" t="e">
        <f t="shared" si="1596"/>
        <v>#DIV/0!</v>
      </c>
      <c r="DA195" s="21" t="e">
        <f t="shared" si="1596"/>
        <v>#DIV/0!</v>
      </c>
      <c r="DB195" s="21" t="e">
        <f t="shared" si="1596"/>
        <v>#DIV/0!</v>
      </c>
      <c r="DE195" s="126"/>
      <c r="DF195" s="22">
        <v>-206.04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597"/>
        <v>0</v>
      </c>
      <c r="M196" s="23">
        <f t="shared" si="1597"/>
        <v>0</v>
      </c>
      <c r="N196" s="23">
        <f t="shared" si="1597"/>
        <v>0</v>
      </c>
      <c r="O196" s="23">
        <f t="shared" si="1597"/>
        <v>0</v>
      </c>
      <c r="P196" s="23">
        <f t="shared" si="1597"/>
        <v>0</v>
      </c>
      <c r="Q196" s="23">
        <f t="shared" si="1597"/>
        <v>0</v>
      </c>
      <c r="R196" s="23">
        <f t="shared" si="1597"/>
        <v>0</v>
      </c>
      <c r="S196" s="23">
        <f t="shared" si="1597"/>
        <v>0</v>
      </c>
      <c r="T196" s="23">
        <f t="shared" si="1597"/>
        <v>0</v>
      </c>
      <c r="U196" s="23">
        <f t="shared" si="1597"/>
        <v>0</v>
      </c>
      <c r="V196" s="23">
        <f t="shared" si="1597"/>
        <v>0</v>
      </c>
      <c r="W196" s="23">
        <f t="shared" si="1597"/>
        <v>-111.423</v>
      </c>
      <c r="X196" s="23">
        <f t="shared" si="1597"/>
        <v>-66.536000000000001</v>
      </c>
      <c r="Y196" s="23">
        <f t="shared" si="1597"/>
        <v>-60.451999999999998</v>
      </c>
      <c r="Z196" s="23">
        <f t="shared" si="1597"/>
        <v>-153.50900000000001</v>
      </c>
      <c r="AA196" s="23">
        <f t="shared" si="1597"/>
        <v>-358.18999999999994</v>
      </c>
      <c r="AB196" s="24" t="e">
        <f t="shared" ref="AB196" si="1598">AA148-AB148+AA163+AA164-AB163-AB164</f>
        <v>#DIV/0!</v>
      </c>
      <c r="AC196" s="24" t="e">
        <f t="shared" ref="AC196" si="1599">AB148-AC148+AB163+AB164-AC163-AC164</f>
        <v>#DIV/0!</v>
      </c>
      <c r="AD196" s="24" t="e">
        <f t="shared" ref="AD196" si="1600">AC148-AD148+AC163+AC164-AD163-AD164</f>
        <v>#DIV/0!</v>
      </c>
      <c r="AE196" s="24" t="e">
        <f t="shared" ref="AE196" si="1601">AD148-AE148+AD163+AD164-AE163-AE164</f>
        <v>#DIV/0!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 t="e">
        <f t="shared" ref="BK196" si="1627">BJ148-BK148+BJ163+BJ164-BK163-BK164</f>
        <v>#DIV/0!</v>
      </c>
      <c r="BL196" s="23" t="e">
        <f t="shared" ref="BL196" si="1628">BK148-BL148+BK163+BK164-BL163-BL164</f>
        <v>#DIV/0!</v>
      </c>
      <c r="BM196" s="23" t="e">
        <f t="shared" ref="BM196" si="1629">BL148-BM148+BL163+BL164-BM163-BM164</f>
        <v>#DIV/0!</v>
      </c>
      <c r="BN196" s="23" t="e">
        <f t="shared" ref="BN196" si="1630">BM148-BN148+BM163+BM164-BN163-BN164</f>
        <v>#DIV/0!</v>
      </c>
      <c r="BO196" s="23" t="e">
        <f t="shared" ref="BO196" si="1631">BN148-BO148+BN163+BN164-BO163-BO164</f>
        <v>#DIV/0!</v>
      </c>
      <c r="BP196" s="23" t="e">
        <f t="shared" ref="BP196" si="1632">BO148-BP148+BO163+BO164-BP163-BP164</f>
        <v>#DIV/0!</v>
      </c>
      <c r="BQ196" s="23" t="e">
        <f t="shared" ref="BQ196" si="1633">BP148-BQ148+BP163+BP164-BQ163-BQ164</f>
        <v>#DIV/0!</v>
      </c>
      <c r="BR196" s="23" t="e">
        <f t="shared" ref="BR196" si="1634">BQ148-BR148+BQ163+BQ164-BR163-BR164</f>
        <v>#DIV/0!</v>
      </c>
      <c r="BS196" s="23" t="e">
        <f t="shared" ref="BS196" si="1635">BR148-BS148+BR163+BR164-BS163-BS164</f>
        <v>#DIV/0!</v>
      </c>
      <c r="BT196" s="23" t="e">
        <f t="shared" ref="BT196" si="1636">BS148-BT148+BS163+BS164-BT163-BT164</f>
        <v>#DIV/0!</v>
      </c>
      <c r="BU196" s="23" t="e">
        <f t="shared" ref="BU196" si="1637">BT148-BU148+BT163+BT164-BU163-BU164</f>
        <v>#DIV/0!</v>
      </c>
      <c r="BV196" s="23" t="e">
        <f t="shared" ref="BV196" si="1638">BU148-BV148+BU163+BU164-BV163-BV164</f>
        <v>#DIV/0!</v>
      </c>
      <c r="BW196" s="23" t="e">
        <f t="shared" ref="BW196" si="1639">BV148-BW148+BV163+BV164-BW163-BW164</f>
        <v>#DIV/0!</v>
      </c>
      <c r="BX196" s="23" t="e">
        <f t="shared" ref="BX196" si="1640">BW148-BX148+BW163+BW164-BX163-BX164</f>
        <v>#DIV/0!</v>
      </c>
      <c r="BY196" s="23" t="e">
        <f t="shared" ref="BY196" si="1641">BX148-BY148+BX163+BX164-BY163-BY164</f>
        <v>#DIV/0!</v>
      </c>
      <c r="BZ196" s="23" t="e">
        <f t="shared" ref="BZ196" si="1642">BY148-BZ148+BY163+BY164-BZ163-BZ164</f>
        <v>#DIV/0!</v>
      </c>
      <c r="CA196" s="23" t="e">
        <f t="shared" ref="CA196" si="1643">BZ148-CA148+BZ163+BZ164-CA163-CA164</f>
        <v>#DIV/0!</v>
      </c>
      <c r="CB196" s="23" t="e">
        <f t="shared" ref="CB196" si="1644">CA148-CB148+CA163+CA164-CB163-CB164</f>
        <v>#DIV/0!</v>
      </c>
      <c r="CC196" s="23" t="e">
        <f t="shared" ref="CC196" si="1645">CB148-CC148+CB163+CB164-CC163-CC164</f>
        <v>#DIV/0!</v>
      </c>
      <c r="CD196" s="23" t="e">
        <f t="shared" ref="CD196" si="1646">CC148-CD148+CC163+CC164-CD163-CD164</f>
        <v>#DIV/0!</v>
      </c>
      <c r="CE196" s="23" t="e">
        <f t="shared" ref="CE196" si="1647">CD148-CE148+CD163+CD164-CE163-CE164</f>
        <v>#DIV/0!</v>
      </c>
      <c r="CF196" s="23" t="e">
        <f t="shared" ref="CF196" si="1648">CE148-CF148+CE163+CE164-CF163-CF164</f>
        <v>#DIV/0!</v>
      </c>
      <c r="CG196" s="23">
        <f t="shared" ref="CG196" si="1649">CF148-CG148+CF163+CF164-CG163-CG164</f>
        <v>0</v>
      </c>
      <c r="CH196" s="23">
        <f t="shared" ref="CH196:CL196" si="1650">CG148-CH148+CG163+CG164-CH163-CH164</f>
        <v>-391.92</v>
      </c>
      <c r="CI196" s="23">
        <f t="shared" si="1650"/>
        <v>180.18</v>
      </c>
      <c r="CJ196" s="23">
        <f t="shared" si="1650"/>
        <v>-615.29</v>
      </c>
      <c r="CK196" s="24">
        <f t="shared" ref="CK196" si="1651">CJ148-CK148+CJ163+CJ164-CK163-CK164</f>
        <v>-4.2897323895480213</v>
      </c>
      <c r="CL196" s="23">
        <f t="shared" si="1650"/>
        <v>-41.040267610452076</v>
      </c>
      <c r="CM196" s="24" t="e">
        <f t="shared" ref="CM196" si="1652">CL148-CM148+CL163+CL164-CM163-CM164</f>
        <v>#DIV/0!</v>
      </c>
      <c r="CN196" s="24" t="e">
        <f t="shared" ref="CN196" si="1653">CM148-CN148+CM163+CM164-CN163-CN164</f>
        <v>#DIV/0!</v>
      </c>
      <c r="CO196" s="24" t="e">
        <f t="shared" ref="CO196" si="1654">CN148-CO148+CN163+CN164-CO163-CO164</f>
        <v>#DIV/0!</v>
      </c>
      <c r="CP196" s="24" t="e">
        <f t="shared" ref="CP196" si="1655">CO148-CP148+CO163+CO164-CP163-CP164</f>
        <v>#DIV/0!</v>
      </c>
      <c r="CQ196" s="24" t="e">
        <f t="shared" ref="CQ196" si="1656">CP148-CQ148+CP163+CP164-CQ163-CQ164</f>
        <v>#DIV/0!</v>
      </c>
      <c r="CR196" s="24" t="e">
        <f t="shared" ref="CR196" si="1657">CQ148-CR148+CQ163+CQ164-CR163-CR164</f>
        <v>#DIV/0!</v>
      </c>
      <c r="CS196" s="24" t="e">
        <f t="shared" ref="CS196" si="1658">CR148-CS148+CR163+CR164-CS163-CS164</f>
        <v>#DIV/0!</v>
      </c>
      <c r="CT196" s="24" t="e">
        <f t="shared" ref="CT196" si="1659">CS148-CT148+CS163+CS164-CT163-CT164</f>
        <v>#DIV/0!</v>
      </c>
      <c r="CU196" s="24" t="e">
        <f t="shared" ref="CU196" si="1660">CT148-CU148+CT163+CT164-CU163-CU164</f>
        <v>#DIV/0!</v>
      </c>
      <c r="CV196" s="24" t="e">
        <f t="shared" ref="CV196" si="1661">CU148-CV148+CU163+CU164-CV163-CV164</f>
        <v>#DIV/0!</v>
      </c>
      <c r="CW196" s="24" t="e">
        <f t="shared" ref="CW196" si="1662">CV148-CW148+CV163+CV164-CW163-CW164</f>
        <v>#DIV/0!</v>
      </c>
      <c r="CX196" s="24" t="e">
        <f t="shared" ref="CX196" si="1663">CW148-CX148+CW163+CW164-CX163-CX164</f>
        <v>#DIV/0!</v>
      </c>
      <c r="CY196" s="24" t="e">
        <f t="shared" ref="CY196" si="1664">CX148-CY148+CX163+CX164-CY163-CY164</f>
        <v>#DIV/0!</v>
      </c>
      <c r="CZ196" s="24" t="e">
        <f t="shared" ref="CZ196" si="1665">CY148-CZ148+CY163+CY164-CZ163-CZ164</f>
        <v>#DIV/0!</v>
      </c>
      <c r="DA196" s="24" t="e">
        <f t="shared" ref="DA196" si="1666">CZ148-DA148+CZ163+CZ164-DA163-DA164</f>
        <v>#DIV/0!</v>
      </c>
      <c r="DB196" s="24" t="e">
        <f t="shared" ref="DB196" si="1667">DA148-DB148+DA163+DA164-DB163-DB164</f>
        <v>#DIV/0!</v>
      </c>
      <c r="DE196" s="123"/>
      <c r="DF196" s="23">
        <v>-480.43900000000008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0</v>
      </c>
      <c r="K197" s="23">
        <f>J156-K156</f>
        <v>0</v>
      </c>
      <c r="L197" s="23">
        <f t="shared" si="1668"/>
        <v>0</v>
      </c>
      <c r="M197" s="23">
        <f t="shared" si="1668"/>
        <v>0</v>
      </c>
      <c r="N197" s="23">
        <f t="shared" si="1668"/>
        <v>0</v>
      </c>
      <c r="O197" s="23">
        <f t="shared" si="1668"/>
        <v>0</v>
      </c>
      <c r="P197" s="23">
        <f t="shared" si="1668"/>
        <v>0</v>
      </c>
      <c r="Q197" s="23">
        <f t="shared" si="1668"/>
        <v>0</v>
      </c>
      <c r="R197" s="23">
        <f t="shared" si="1668"/>
        <v>0</v>
      </c>
      <c r="S197" s="23">
        <f t="shared" si="1668"/>
        <v>0</v>
      </c>
      <c r="T197" s="23">
        <f t="shared" si="1668"/>
        <v>0</v>
      </c>
      <c r="U197" s="23">
        <f t="shared" si="1668"/>
        <v>0</v>
      </c>
      <c r="V197" s="23">
        <f t="shared" si="1668"/>
        <v>0</v>
      </c>
      <c r="W197" s="23">
        <f t="shared" si="1668"/>
        <v>-242.607</v>
      </c>
      <c r="X197" s="23">
        <f t="shared" si="1668"/>
        <v>-49.150999999999982</v>
      </c>
      <c r="Y197" s="23">
        <f t="shared" si="1668"/>
        <v>-54.247000000000014</v>
      </c>
      <c r="Z197" s="23">
        <f t="shared" si="1668"/>
        <v>-58.814999999999941</v>
      </c>
      <c r="AA197" s="23">
        <f t="shared" si="1668"/>
        <v>-153.90000000000009</v>
      </c>
      <c r="AB197" s="24" t="e">
        <f t="shared" ref="AB197" si="1669">AA156-AB156</f>
        <v>#DIV/0!</v>
      </c>
      <c r="AC197" s="24" t="e">
        <f t="shared" ref="AC197" si="1670">AB156-AC156</f>
        <v>#DIV/0!</v>
      </c>
      <c r="AD197" s="24" t="e">
        <f t="shared" ref="AD197" si="1671">AC156-AD156</f>
        <v>#DIV/0!</v>
      </c>
      <c r="AE197" s="24" t="e">
        <f t="shared" ref="AE197" si="1672">AD156-AE156</f>
        <v>#DIV/0!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 t="e">
        <f t="shared" ref="BK197" si="1701">BJ156-BK156</f>
        <v>#DIV/0!</v>
      </c>
      <c r="BL197" s="23" t="e">
        <f t="shared" ref="BL197" si="1702">BK156-BL156</f>
        <v>#DIV/0!</v>
      </c>
      <c r="BM197" s="23" t="e">
        <f t="shared" ref="BM197" si="1703">BL156-BM156</f>
        <v>#DIV/0!</v>
      </c>
      <c r="BN197" s="23" t="e">
        <f t="shared" ref="BN197" si="1704">BM156-BN156</f>
        <v>#DIV/0!</v>
      </c>
      <c r="BO197" s="23" t="e">
        <f t="shared" ref="BO197" si="1705">BN156-BO156</f>
        <v>#DIV/0!</v>
      </c>
      <c r="BP197" s="23" t="e">
        <f t="shared" ref="BP197" si="1706">BO156-BP156</f>
        <v>#DIV/0!</v>
      </c>
      <c r="BQ197" s="23" t="e">
        <f t="shared" ref="BQ197" si="1707">BP156-BQ156</f>
        <v>#DIV/0!</v>
      </c>
      <c r="BR197" s="23" t="e">
        <f t="shared" ref="BR197" si="1708">BQ156-BR156</f>
        <v>#DIV/0!</v>
      </c>
      <c r="BS197" s="23" t="e">
        <f t="shared" ref="BS197" si="1709">BR156-BS156</f>
        <v>#DIV/0!</v>
      </c>
      <c r="BT197" s="23" t="e">
        <f t="shared" ref="BT197" si="1710">BS156-BT156</f>
        <v>#DIV/0!</v>
      </c>
      <c r="BU197" s="23" t="e">
        <f t="shared" ref="BU197" si="1711">BT156-BU156</f>
        <v>#DIV/0!</v>
      </c>
      <c r="BV197" s="23" t="e">
        <f t="shared" ref="BV197" si="1712">BU156-BV156</f>
        <v>#DIV/0!</v>
      </c>
      <c r="BW197" s="23" t="e">
        <f t="shared" ref="BW197" si="1713">BV156-BW156</f>
        <v>#DIV/0!</v>
      </c>
      <c r="BX197" s="23" t="e">
        <f t="shared" ref="BX197" si="1714">BW156-BX156</f>
        <v>#DIV/0!</v>
      </c>
      <c r="BY197" s="23" t="e">
        <f t="shared" ref="BY197" si="1715">BX156-BY156</f>
        <v>#DIV/0!</v>
      </c>
      <c r="BZ197" s="23" t="e">
        <f t="shared" ref="BZ197" si="1716">BY156-BZ156</f>
        <v>#DIV/0!</v>
      </c>
      <c r="CA197" s="23" t="e">
        <f t="shared" ref="CA197" si="1717">BZ156-CA156</f>
        <v>#DIV/0!</v>
      </c>
      <c r="CB197" s="23" t="e">
        <f t="shared" ref="CB197" si="1718">CA156-CB156</f>
        <v>#DIV/0!</v>
      </c>
      <c r="CC197" s="23" t="e">
        <f t="shared" ref="CC197" si="1719">CB156-CC156</f>
        <v>#DIV/0!</v>
      </c>
      <c r="CD197" s="23" t="e">
        <f t="shared" ref="CD197" si="1720">CC156-CD156</f>
        <v>#DIV/0!</v>
      </c>
      <c r="CE197" s="23" t="e">
        <f t="shared" ref="CE197" si="1721">CD156-CE156</f>
        <v>#DIV/0!</v>
      </c>
      <c r="CF197" s="23" t="e">
        <f t="shared" ref="CF197" si="1722">CE156-CF156</f>
        <v>#DIV/0!</v>
      </c>
      <c r="CG197" s="23">
        <f t="shared" ref="CG197" si="1723">CF156-CG156</f>
        <v>0</v>
      </c>
      <c r="CH197" s="23">
        <f t="shared" ref="CH197:CL197" si="1724">CG156-CH156</f>
        <v>-404.81999999999994</v>
      </c>
      <c r="CI197" s="23">
        <f t="shared" si="1724"/>
        <v>404.81999999999994</v>
      </c>
      <c r="CJ197" s="23">
        <f t="shared" si="1724"/>
        <v>-543.59</v>
      </c>
      <c r="CK197" s="24">
        <f t="shared" ref="CK197" si="1725">CJ156-CK156</f>
        <v>-3.7905257479671945</v>
      </c>
      <c r="CL197" s="23">
        <f t="shared" si="1724"/>
        <v>-11.339474252032801</v>
      </c>
      <c r="CM197" s="24" t="e">
        <f t="shared" ref="CM197" si="1726">CL156-CM156</f>
        <v>#DIV/0!</v>
      </c>
      <c r="CN197" s="24" t="e">
        <f t="shared" ref="CN197" si="1727">CM156-CN156</f>
        <v>#DIV/0!</v>
      </c>
      <c r="CO197" s="24" t="e">
        <f t="shared" ref="CO197" si="1728">CN156-CO156</f>
        <v>#DIV/0!</v>
      </c>
      <c r="CP197" s="24" t="e">
        <f t="shared" ref="CP197" si="1729">CO156-CP156</f>
        <v>#DIV/0!</v>
      </c>
      <c r="CQ197" s="24" t="e">
        <f t="shared" ref="CQ197" si="1730">CP156-CQ156</f>
        <v>#DIV/0!</v>
      </c>
      <c r="CR197" s="24" t="e">
        <f t="shared" ref="CR197" si="1731">CQ156-CR156</f>
        <v>#DIV/0!</v>
      </c>
      <c r="CS197" s="24" t="e">
        <f t="shared" ref="CS197" si="1732">CR156-CS156</f>
        <v>#DIV/0!</v>
      </c>
      <c r="CT197" s="24" t="e">
        <f t="shared" ref="CT197" si="1733">CS156-CT156</f>
        <v>#DIV/0!</v>
      </c>
      <c r="CU197" s="24" t="e">
        <f t="shared" ref="CU197" si="1734">CT156-CU156</f>
        <v>#DIV/0!</v>
      </c>
      <c r="CV197" s="24" t="e">
        <f t="shared" ref="CV197" si="1735">CU156-CV156</f>
        <v>#DIV/0!</v>
      </c>
      <c r="CW197" s="24" t="e">
        <f t="shared" ref="CW197" si="1736">CV156-CW156</f>
        <v>#DIV/0!</v>
      </c>
      <c r="CX197" s="24" t="e">
        <f t="shared" ref="CX197" si="1737">CW156-CX156</f>
        <v>#DIV/0!</v>
      </c>
      <c r="CY197" s="24" t="e">
        <f t="shared" ref="CY197" si="1738">CX156-CY156</f>
        <v>#DIV/0!</v>
      </c>
      <c r="CZ197" s="24" t="e">
        <f t="shared" ref="CZ197" si="1739">CY156-CZ156</f>
        <v>#DIV/0!</v>
      </c>
      <c r="DA197" s="24" t="e">
        <f t="shared" ref="DA197" si="1740">CZ156-DA156</f>
        <v>#DIV/0!</v>
      </c>
      <c r="DB197" s="24" t="e">
        <f t="shared" ref="DB197" si="1741">DA156-DB156</f>
        <v>#DIV/0!</v>
      </c>
      <c r="DE197" s="123"/>
      <c r="DF197" s="23">
        <v>-153.904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0</v>
      </c>
      <c r="K198" s="22">
        <f t="shared" si="1742"/>
        <v>0</v>
      </c>
      <c r="L198" s="22">
        <f t="shared" si="1742"/>
        <v>0</v>
      </c>
      <c r="M198" s="22">
        <f t="shared" si="1742"/>
        <v>0</v>
      </c>
      <c r="N198" s="22">
        <f t="shared" si="1742"/>
        <v>0</v>
      </c>
      <c r="O198" s="22">
        <f t="shared" si="1742"/>
        <v>0</v>
      </c>
      <c r="P198" s="22">
        <f t="shared" si="1742"/>
        <v>0</v>
      </c>
      <c r="Q198" s="22">
        <f t="shared" si="1742"/>
        <v>0</v>
      </c>
      <c r="R198" s="22">
        <f t="shared" si="1742"/>
        <v>0</v>
      </c>
      <c r="S198" s="22">
        <f t="shared" si="1742"/>
        <v>0</v>
      </c>
      <c r="T198" s="22">
        <f t="shared" si="1742"/>
        <v>0</v>
      </c>
      <c r="U198" s="22">
        <f t="shared" si="1742"/>
        <v>0</v>
      </c>
      <c r="V198" s="22">
        <f t="shared" si="1742"/>
        <v>0</v>
      </c>
      <c r="W198" s="22">
        <f t="shared" si="1742"/>
        <v>131.184</v>
      </c>
      <c r="X198" s="22">
        <f t="shared" ref="X198:Y198" si="1743">X196-X197</f>
        <v>-17.385000000000019</v>
      </c>
      <c r="Y198" s="22">
        <f t="shared" si="1743"/>
        <v>-6.2049999999999841</v>
      </c>
      <c r="Z198" s="22">
        <f t="shared" ref="Z198:AA198" si="1744">Z196-Z197</f>
        <v>-94.694000000000074</v>
      </c>
      <c r="AA198" s="22">
        <f t="shared" si="1744"/>
        <v>-204.28999999999985</v>
      </c>
      <c r="AB198" s="21" t="e">
        <f t="shared" ref="AA198:AD198" si="1745">AB196-AB197</f>
        <v>#DIV/0!</v>
      </c>
      <c r="AC198" s="21" t="e">
        <f t="shared" si="1745"/>
        <v>#DIV/0!</v>
      </c>
      <c r="AD198" s="21" t="e">
        <f t="shared" si="1745"/>
        <v>#DIV/0!</v>
      </c>
      <c r="AE198" s="21" t="e">
        <f t="shared" ref="AE198" si="1746">AE196-AE197</f>
        <v>#DIV/0!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 t="e">
        <f t="shared" si="1750"/>
        <v>#DIV/0!</v>
      </c>
      <c r="BJ198" s="22" t="e">
        <f t="shared" si="1750"/>
        <v>#DIV/0!</v>
      </c>
      <c r="BK198" s="22" t="e">
        <f t="shared" si="1750"/>
        <v>#DIV/0!</v>
      </c>
      <c r="BL198" s="22" t="e">
        <f t="shared" si="1750"/>
        <v>#DIV/0!</v>
      </c>
      <c r="BM198" s="22" t="e">
        <f t="shared" si="1750"/>
        <v>#DIV/0!</v>
      </c>
      <c r="BN198" s="22" t="e">
        <f t="shared" si="1750"/>
        <v>#DIV/0!</v>
      </c>
      <c r="BO198" s="22" t="e">
        <f t="shared" si="1750"/>
        <v>#DIV/0!</v>
      </c>
      <c r="BP198" s="22" t="e">
        <f t="shared" si="1750"/>
        <v>#DIV/0!</v>
      </c>
      <c r="BQ198" s="22" t="e">
        <f t="shared" si="1750"/>
        <v>#DIV/0!</v>
      </c>
      <c r="BR198" s="22" t="e">
        <f t="shared" si="1750"/>
        <v>#DIV/0!</v>
      </c>
      <c r="BS198" s="22" t="e">
        <f t="shared" si="1750"/>
        <v>#DIV/0!</v>
      </c>
      <c r="BT198" s="22" t="e">
        <f t="shared" si="1750"/>
        <v>#DIV/0!</v>
      </c>
      <c r="BU198" s="22" t="e">
        <f t="shared" si="1750"/>
        <v>#DIV/0!</v>
      </c>
      <c r="BV198" s="22" t="e">
        <f t="shared" si="1750"/>
        <v>#DIV/0!</v>
      </c>
      <c r="BW198" s="22" t="e">
        <f t="shared" si="1750"/>
        <v>#DIV/0!</v>
      </c>
      <c r="BX198" s="22" t="e">
        <f t="shared" si="1750"/>
        <v>#DIV/0!</v>
      </c>
      <c r="BY198" s="22" t="e">
        <f t="shared" si="1750"/>
        <v>#DIV/0!</v>
      </c>
      <c r="BZ198" s="22" t="e">
        <f t="shared" si="1750"/>
        <v>#DIV/0!</v>
      </c>
      <c r="CA198" s="22" t="e">
        <f t="shared" si="1750"/>
        <v>#DIV/0!</v>
      </c>
      <c r="CB198" s="22" t="e">
        <f t="shared" si="1750"/>
        <v>#DIV/0!</v>
      </c>
      <c r="CC198" s="22" t="e">
        <f t="shared" si="1750"/>
        <v>#DIV/0!</v>
      </c>
      <c r="CD198" s="22" t="e">
        <f t="shared" si="1750"/>
        <v>#DIV/0!</v>
      </c>
      <c r="CE198" s="22" t="e">
        <f t="shared" ref="CE198:CF198" si="1751">CE196-CE197</f>
        <v>#DIV/0!</v>
      </c>
      <c r="CF198" s="22" t="e">
        <f t="shared" si="1751"/>
        <v>#DIV/0!</v>
      </c>
      <c r="CG198" s="22">
        <f t="shared" ref="CG198:CH198" si="1752">CG196-CG197</f>
        <v>0</v>
      </c>
      <c r="CH198" s="22">
        <f t="shared" si="1752"/>
        <v>12.89999999999992</v>
      </c>
      <c r="CI198" s="22">
        <f t="shared" ref="CI198:CJ198" si="1753">CI196-CI197</f>
        <v>-224.63999999999993</v>
      </c>
      <c r="CJ198" s="22">
        <f t="shared" si="1753"/>
        <v>-71.699999999999932</v>
      </c>
      <c r="CK198" s="21">
        <f t="shared" ref="CK198:DB198" si="1754">CK196-CK197</f>
        <v>-0.49920664158082673</v>
      </c>
      <c r="CL198" s="22">
        <f t="shared" si="1754"/>
        <v>-29.700793358419276</v>
      </c>
      <c r="CM198" s="21" t="e">
        <f t="shared" si="1754"/>
        <v>#DIV/0!</v>
      </c>
      <c r="CN198" s="21" t="e">
        <f t="shared" si="1754"/>
        <v>#DIV/0!</v>
      </c>
      <c r="CO198" s="21" t="e">
        <f t="shared" si="1754"/>
        <v>#DIV/0!</v>
      </c>
      <c r="CP198" s="21" t="e">
        <f t="shared" si="1754"/>
        <v>#DIV/0!</v>
      </c>
      <c r="CQ198" s="21" t="e">
        <f t="shared" si="1754"/>
        <v>#DIV/0!</v>
      </c>
      <c r="CR198" s="21" t="e">
        <f t="shared" si="1754"/>
        <v>#DIV/0!</v>
      </c>
      <c r="CS198" s="21" t="e">
        <f t="shared" si="1754"/>
        <v>#DIV/0!</v>
      </c>
      <c r="CT198" s="21" t="e">
        <f t="shared" si="1754"/>
        <v>#DIV/0!</v>
      </c>
      <c r="CU198" s="21" t="e">
        <f t="shared" si="1754"/>
        <v>#DIV/0!</v>
      </c>
      <c r="CV198" s="21" t="e">
        <f t="shared" si="1754"/>
        <v>#DIV/0!</v>
      </c>
      <c r="CW198" s="21" t="e">
        <f t="shared" si="1754"/>
        <v>#DIV/0!</v>
      </c>
      <c r="CX198" s="21" t="e">
        <f t="shared" si="1754"/>
        <v>#DIV/0!</v>
      </c>
      <c r="CY198" s="21" t="e">
        <f t="shared" si="1754"/>
        <v>#DIV/0!</v>
      </c>
      <c r="CZ198" s="21" t="e">
        <f t="shared" si="1754"/>
        <v>#DIV/0!</v>
      </c>
      <c r="DA198" s="21" t="e">
        <f t="shared" si="1754"/>
        <v>#DIV/0!</v>
      </c>
      <c r="DB198" s="21" t="e">
        <f t="shared" si="1754"/>
        <v>#DIV/0!</v>
      </c>
      <c r="DE198" s="126"/>
      <c r="DF198" s="22">
        <v>-326.53500000000008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0</v>
      </c>
      <c r="K199" s="22">
        <f t="shared" si="1755"/>
        <v>0</v>
      </c>
      <c r="L199" s="22">
        <f t="shared" si="1755"/>
        <v>0</v>
      </c>
      <c r="M199" s="22">
        <f t="shared" si="1755"/>
        <v>0</v>
      </c>
      <c r="N199" s="22">
        <f t="shared" si="1755"/>
        <v>0</v>
      </c>
      <c r="O199" s="22">
        <f t="shared" si="1755"/>
        <v>0</v>
      </c>
      <c r="P199" s="22">
        <f t="shared" si="1755"/>
        <v>0</v>
      </c>
      <c r="Q199" s="22">
        <f t="shared" si="1755"/>
        <v>0</v>
      </c>
      <c r="R199" s="22">
        <f t="shared" si="1755"/>
        <v>0</v>
      </c>
      <c r="S199" s="22">
        <f t="shared" si="1755"/>
        <v>0</v>
      </c>
      <c r="T199" s="22">
        <f t="shared" si="1755"/>
        <v>0</v>
      </c>
      <c r="U199" s="22">
        <f t="shared" si="1755"/>
        <v>0</v>
      </c>
      <c r="V199" s="22">
        <f t="shared" si="1755"/>
        <v>0</v>
      </c>
      <c r="W199" s="22">
        <f t="shared" si="1755"/>
        <v>-354.94499999999982</v>
      </c>
      <c r="X199" s="22">
        <f t="shared" ref="X199:Y199" si="1756">X195+X198</f>
        <v>-299.21800000000019</v>
      </c>
      <c r="Y199" s="22">
        <f t="shared" si="1756"/>
        <v>-62.177999999999976</v>
      </c>
      <c r="Z199" s="22">
        <f t="shared" ref="Z199:AA199" si="1757">Z195+Z198</f>
        <v>182.06599999999992</v>
      </c>
      <c r="AA199" s="22">
        <f t="shared" si="1757"/>
        <v>-393.89</v>
      </c>
      <c r="AB199" s="21" t="e">
        <f t="shared" ref="AA199:AD199" si="1758">AB195+AB198</f>
        <v>#DIV/0!</v>
      </c>
      <c r="AC199" s="21" t="e">
        <f t="shared" si="1758"/>
        <v>#DIV/0!</v>
      </c>
      <c r="AD199" s="21" t="e">
        <f t="shared" si="1758"/>
        <v>#DIV/0!</v>
      </c>
      <c r="AE199" s="21" t="e">
        <f t="shared" ref="AE199" si="1759">AE195+AE198</f>
        <v>#DIV/0!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 t="e">
        <f t="shared" si="1763"/>
        <v>#DIV/0!</v>
      </c>
      <c r="BJ199" s="22" t="e">
        <f t="shared" si="1763"/>
        <v>#DIV/0!</v>
      </c>
      <c r="BK199" s="22" t="e">
        <f t="shared" si="1763"/>
        <v>#DIV/0!</v>
      </c>
      <c r="BL199" s="22" t="e">
        <f t="shared" si="1763"/>
        <v>#DIV/0!</v>
      </c>
      <c r="BM199" s="22" t="e">
        <f t="shared" si="1763"/>
        <v>#DIV/0!</v>
      </c>
      <c r="BN199" s="22" t="e">
        <f t="shared" si="1763"/>
        <v>#DIV/0!</v>
      </c>
      <c r="BO199" s="22" t="e">
        <f t="shared" si="1763"/>
        <v>#DIV/0!</v>
      </c>
      <c r="BP199" s="22" t="e">
        <f t="shared" si="1763"/>
        <v>#DIV/0!</v>
      </c>
      <c r="BQ199" s="22" t="e">
        <f t="shared" si="1763"/>
        <v>#DIV/0!</v>
      </c>
      <c r="BR199" s="22" t="e">
        <f t="shared" si="1763"/>
        <v>#DIV/0!</v>
      </c>
      <c r="BS199" s="22" t="e">
        <f t="shared" si="1763"/>
        <v>#DIV/0!</v>
      </c>
      <c r="BT199" s="22" t="e">
        <f t="shared" si="1763"/>
        <v>#DIV/0!</v>
      </c>
      <c r="BU199" s="22" t="e">
        <f t="shared" si="1763"/>
        <v>#DIV/0!</v>
      </c>
      <c r="BV199" s="22" t="e">
        <f t="shared" si="1763"/>
        <v>#DIV/0!</v>
      </c>
      <c r="BW199" s="22" t="e">
        <f t="shared" si="1763"/>
        <v>#DIV/0!</v>
      </c>
      <c r="BX199" s="22" t="e">
        <f t="shared" si="1763"/>
        <v>#DIV/0!</v>
      </c>
      <c r="BY199" s="22" t="e">
        <f t="shared" si="1763"/>
        <v>#DIV/0!</v>
      </c>
      <c r="BZ199" s="22" t="e">
        <f t="shared" si="1763"/>
        <v>#DIV/0!</v>
      </c>
      <c r="CA199" s="22" t="e">
        <f t="shared" si="1763"/>
        <v>#DIV/0!</v>
      </c>
      <c r="CB199" s="22" t="e">
        <f t="shared" si="1763"/>
        <v>#DIV/0!</v>
      </c>
      <c r="CC199" s="22" t="e">
        <f t="shared" si="1763"/>
        <v>#DIV/0!</v>
      </c>
      <c r="CD199" s="22" t="e">
        <f t="shared" si="1763"/>
        <v>#DIV/0!</v>
      </c>
      <c r="CE199" s="22" t="e">
        <f t="shared" ref="CE199:CF199" si="1764">CE195+CE198</f>
        <v>#DIV/0!</v>
      </c>
      <c r="CF199" s="22" t="e">
        <f t="shared" si="1764"/>
        <v>#DIV/0!</v>
      </c>
      <c r="CG199" s="22">
        <f t="shared" ref="CG199:CH199" si="1765">CG195+CG198</f>
        <v>241.18000000000004</v>
      </c>
      <c r="CH199" s="22">
        <f t="shared" si="1765"/>
        <v>19.349999999999916</v>
      </c>
      <c r="CI199" s="22">
        <f t="shared" ref="CI199:CJ199" si="1766">CI195+CI198</f>
        <v>-224.63999999999993</v>
      </c>
      <c r="CJ199" s="22">
        <f t="shared" si="1766"/>
        <v>-120.61999999999993</v>
      </c>
      <c r="CK199" s="21">
        <f t="shared" ref="CK199:DB199" si="1767">CK195+CK198</f>
        <v>-10.029206641580831</v>
      </c>
      <c r="CL199" s="22">
        <f t="shared" si="1767"/>
        <v>-177.29079335841925</v>
      </c>
      <c r="CM199" s="21" t="e">
        <f t="shared" si="1767"/>
        <v>#DIV/0!</v>
      </c>
      <c r="CN199" s="21" t="e">
        <f t="shared" si="1767"/>
        <v>#DIV/0!</v>
      </c>
      <c r="CO199" s="21" t="e">
        <f t="shared" si="1767"/>
        <v>#DIV/0!</v>
      </c>
      <c r="CP199" s="21" t="e">
        <f t="shared" si="1767"/>
        <v>#DIV/0!</v>
      </c>
      <c r="CQ199" s="21" t="e">
        <f t="shared" si="1767"/>
        <v>#DIV/0!</v>
      </c>
      <c r="CR199" s="21" t="e">
        <f t="shared" si="1767"/>
        <v>#DIV/0!</v>
      </c>
      <c r="CS199" s="21" t="e">
        <f t="shared" si="1767"/>
        <v>#DIV/0!</v>
      </c>
      <c r="CT199" s="21" t="e">
        <f t="shared" si="1767"/>
        <v>#DIV/0!</v>
      </c>
      <c r="CU199" s="21" t="e">
        <f t="shared" si="1767"/>
        <v>#DIV/0!</v>
      </c>
      <c r="CV199" s="21" t="e">
        <f t="shared" si="1767"/>
        <v>#DIV/0!</v>
      </c>
      <c r="CW199" s="21" t="e">
        <f t="shared" si="1767"/>
        <v>#DIV/0!</v>
      </c>
      <c r="CX199" s="21" t="e">
        <f t="shared" si="1767"/>
        <v>#DIV/0!</v>
      </c>
      <c r="CY199" s="21" t="e">
        <f t="shared" si="1767"/>
        <v>#DIV/0!</v>
      </c>
      <c r="CZ199" s="21" t="e">
        <f t="shared" si="1767"/>
        <v>#DIV/0!</v>
      </c>
      <c r="DA199" s="21" t="e">
        <f t="shared" si="1767"/>
        <v>#DIV/0!</v>
      </c>
      <c r="DB199" s="21" t="e">
        <f t="shared" si="1767"/>
        <v>#DIV/0!</v>
      </c>
      <c r="DE199" s="126"/>
      <c r="DF199" s="22">
        <v>-532.57500000000005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0</v>
      </c>
      <c r="K201" s="22">
        <f t="shared" si="1768"/>
        <v>0</v>
      </c>
      <c r="L201" s="22">
        <f t="shared" si="1768"/>
        <v>0</v>
      </c>
      <c r="M201" s="22">
        <f t="shared" si="1768"/>
        <v>0</v>
      </c>
      <c r="N201" s="22">
        <f t="shared" si="1768"/>
        <v>0</v>
      </c>
      <c r="O201" s="22">
        <f t="shared" si="1768"/>
        <v>0</v>
      </c>
      <c r="P201" s="22">
        <f t="shared" si="1768"/>
        <v>0</v>
      </c>
      <c r="Q201" s="22">
        <f t="shared" si="1768"/>
        <v>0</v>
      </c>
      <c r="R201" s="22">
        <f t="shared" si="1768"/>
        <v>0</v>
      </c>
      <c r="S201" s="22">
        <f t="shared" si="1768"/>
        <v>0</v>
      </c>
      <c r="T201" s="22">
        <f t="shared" si="1768"/>
        <v>0</v>
      </c>
      <c r="U201" s="22">
        <f t="shared" si="1768"/>
        <v>0</v>
      </c>
      <c r="V201" s="22">
        <f t="shared" si="1768"/>
        <v>0</v>
      </c>
      <c r="W201" s="22">
        <f t="shared" si="1768"/>
        <v>-114.727</v>
      </c>
      <c r="X201" s="22">
        <f t="shared" ref="X201:Y201" si="1769">X202+X203</f>
        <v>-114.52799999999998</v>
      </c>
      <c r="Y201" s="22">
        <f t="shared" si="1769"/>
        <v>-176.63400000000001</v>
      </c>
      <c r="Z201" s="22">
        <f t="shared" ref="Z201:AA201" si="1770">Z202+Z203</f>
        <v>-20.616999999999976</v>
      </c>
      <c r="AA201" s="22">
        <f t="shared" si="1770"/>
        <v>-262.84000000000003</v>
      </c>
      <c r="AB201" s="21">
        <f t="shared" ref="AA201:AD201" si="1771">AB202+AB203</f>
        <v>122.25000000000003</v>
      </c>
      <c r="AC201" s="21">
        <f t="shared" si="1771"/>
        <v>7.000476587304405E-15</v>
      </c>
      <c r="AD201" s="21">
        <f t="shared" si="1771"/>
        <v>-5.6612349649225581E-15</v>
      </c>
      <c r="AE201" s="21">
        <f t="shared" ref="AE201" si="1772">AE202+AE203</f>
        <v>5.5225923202052285E-15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0</v>
      </c>
      <c r="BH201" s="22">
        <f t="shared" si="1776"/>
        <v>0</v>
      </c>
      <c r="BI201" s="22">
        <f t="shared" si="1776"/>
        <v>0</v>
      </c>
      <c r="BJ201" s="22">
        <f t="shared" si="1776"/>
        <v>0</v>
      </c>
      <c r="BK201" s="22">
        <f t="shared" si="1776"/>
        <v>0</v>
      </c>
      <c r="BL201" s="22">
        <f t="shared" si="1776"/>
        <v>0</v>
      </c>
      <c r="BM201" s="22">
        <f t="shared" si="1776"/>
        <v>0</v>
      </c>
      <c r="BN201" s="22">
        <f t="shared" si="1776"/>
        <v>0</v>
      </c>
      <c r="BO201" s="22">
        <f t="shared" si="1776"/>
        <v>0</v>
      </c>
      <c r="BP201" s="22">
        <f t="shared" si="1776"/>
        <v>0</v>
      </c>
      <c r="BQ201" s="22">
        <f t="shared" si="1776"/>
        <v>0</v>
      </c>
      <c r="BR201" s="22">
        <f t="shared" si="1776"/>
        <v>0</v>
      </c>
      <c r="BS201" s="22">
        <f t="shared" si="1776"/>
        <v>0</v>
      </c>
      <c r="BT201" s="22">
        <f t="shared" si="1776"/>
        <v>0</v>
      </c>
      <c r="BU201" s="22">
        <f t="shared" si="1776"/>
        <v>0</v>
      </c>
      <c r="BV201" s="22">
        <f t="shared" si="1776"/>
        <v>0</v>
      </c>
      <c r="BW201" s="22">
        <f t="shared" si="1776"/>
        <v>0</v>
      </c>
      <c r="BX201" s="22">
        <f t="shared" si="1776"/>
        <v>0</v>
      </c>
      <c r="BY201" s="22">
        <f t="shared" si="1776"/>
        <v>0</v>
      </c>
      <c r="BZ201" s="22">
        <f t="shared" si="1776"/>
        <v>0</v>
      </c>
      <c r="CA201" s="22">
        <f t="shared" si="1776"/>
        <v>0</v>
      </c>
      <c r="CB201" s="22">
        <f t="shared" si="1776"/>
        <v>0</v>
      </c>
      <c r="CC201" s="22">
        <f t="shared" si="1776"/>
        <v>0</v>
      </c>
      <c r="CD201" s="22">
        <f t="shared" si="1776"/>
        <v>0</v>
      </c>
      <c r="CE201" s="22">
        <f t="shared" ref="CE201:CF201" si="1777">CE202+CE203</f>
        <v>0</v>
      </c>
      <c r="CF201" s="22">
        <f t="shared" si="1777"/>
        <v>-9.57</v>
      </c>
      <c r="CG201" s="22">
        <f t="shared" ref="CG201:CH201" si="1778">CG202+CG203</f>
        <v>-9.34</v>
      </c>
      <c r="CH201" s="22">
        <f t="shared" si="1778"/>
        <v>-303.33</v>
      </c>
      <c r="CI201" s="22">
        <f t="shared" ref="CI201:CJ201" si="1779">CI202+CI203</f>
        <v>0</v>
      </c>
      <c r="CJ201" s="22">
        <f t="shared" si="1779"/>
        <v>16.489999999999981</v>
      </c>
      <c r="CK201" s="21">
        <f t="shared" ref="CK201:DB201" si="1780">CK202+CK203</f>
        <v>0</v>
      </c>
      <c r="CL201" s="22">
        <f t="shared" si="1780"/>
        <v>-147.57999999999998</v>
      </c>
      <c r="CM201" s="21">
        <f t="shared" si="1780"/>
        <v>2.1316282072803006E-14</v>
      </c>
      <c r="CN201" s="21">
        <f t="shared" si="1780"/>
        <v>8.8817841970012523E-15</v>
      </c>
      <c r="CO201" s="21">
        <f t="shared" si="1780"/>
        <v>-6.3282712403633923E-15</v>
      </c>
      <c r="CP201" s="21">
        <f t="shared" si="1780"/>
        <v>2.3661628212323649E-15</v>
      </c>
      <c r="CQ201" s="21">
        <f t="shared" si="1780"/>
        <v>8.309325449928906E-16</v>
      </c>
      <c r="CR201" s="21">
        <f t="shared" si="1780"/>
        <v>-4.2515903991846571E-15</v>
      </c>
      <c r="CS201" s="21">
        <f t="shared" si="1780"/>
        <v>-2.1027559034270116E-15</v>
      </c>
      <c r="CT201" s="21">
        <f t="shared" si="1780"/>
        <v>1.2524038575688953E-14</v>
      </c>
      <c r="CU201" s="21">
        <f t="shared" si="1780"/>
        <v>-6.0540553351181269E-15</v>
      </c>
      <c r="CV201" s="21">
        <f t="shared" si="1780"/>
        <v>-1.0814113822275253E-14</v>
      </c>
      <c r="CW201" s="21">
        <f t="shared" si="1780"/>
        <v>-1.548174417018094E-15</v>
      </c>
      <c r="CX201" s="21">
        <f t="shared" si="1780"/>
        <v>1.275510862251701E-14</v>
      </c>
      <c r="CY201" s="21">
        <f t="shared" si="1780"/>
        <v>3.5584904489937715E-15</v>
      </c>
      <c r="CZ201" s="21">
        <f t="shared" si="1780"/>
        <v>-2.0565301945566257E-15</v>
      </c>
      <c r="DA201" s="21">
        <f t="shared" si="1780"/>
        <v>-1.8485664670182831E-15</v>
      </c>
      <c r="DB201" s="21">
        <f t="shared" si="1780"/>
        <v>5.8691985327826298E-15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0</v>
      </c>
      <c r="P202" s="23">
        <f t="shared" si="1781"/>
        <v>0</v>
      </c>
      <c r="Q202" s="23">
        <f t="shared" si="1781"/>
        <v>0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0</v>
      </c>
      <c r="X202" s="23">
        <f t="shared" si="1781"/>
        <v>-50</v>
      </c>
      <c r="Y202" s="23">
        <f t="shared" si="1781"/>
        <v>-143.56</v>
      </c>
      <c r="Z202" s="23">
        <f t="shared" si="1781"/>
        <v>26.490000000000009</v>
      </c>
      <c r="AA202" s="23">
        <f t="shared" si="1781"/>
        <v>-186.18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0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-167.07</v>
      </c>
      <c r="CI202" s="23">
        <f t="shared" si="1837"/>
        <v>0</v>
      </c>
      <c r="CJ202" s="23">
        <f t="shared" si="1837"/>
        <v>-76.04000000000002</v>
      </c>
      <c r="CK202" s="24">
        <f t="shared" ref="CK202" si="1838">CJ140-CK140</f>
        <v>0</v>
      </c>
      <c r="CL202" s="23">
        <f t="shared" si="1837"/>
        <v>-110.13999999999999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0</v>
      </c>
      <c r="K203" s="23">
        <f t="shared" si="1855"/>
        <v>0</v>
      </c>
      <c r="L203" s="23">
        <f t="shared" si="1855"/>
        <v>0</v>
      </c>
      <c r="M203" s="23">
        <f t="shared" si="1855"/>
        <v>0</v>
      </c>
      <c r="N203" s="23">
        <f t="shared" si="1855"/>
        <v>0</v>
      </c>
      <c r="O203" s="23">
        <f t="shared" si="1855"/>
        <v>0</v>
      </c>
      <c r="P203" s="23">
        <f t="shared" si="1855"/>
        <v>0</v>
      </c>
      <c r="Q203" s="23">
        <f t="shared" si="1855"/>
        <v>0</v>
      </c>
      <c r="R203" s="23">
        <f t="shared" si="1855"/>
        <v>0</v>
      </c>
      <c r="S203" s="23">
        <f t="shared" si="1855"/>
        <v>0</v>
      </c>
      <c r="T203" s="23">
        <f t="shared" si="1855"/>
        <v>0</v>
      </c>
      <c r="U203" s="23">
        <f t="shared" si="1855"/>
        <v>0</v>
      </c>
      <c r="V203" s="23">
        <f t="shared" si="1855"/>
        <v>0</v>
      </c>
      <c r="W203" s="23">
        <f t="shared" si="1855"/>
        <v>-114.727</v>
      </c>
      <c r="X203" s="23">
        <f t="shared" si="1855"/>
        <v>-64.527999999999977</v>
      </c>
      <c r="Y203" s="23">
        <f t="shared" si="1855"/>
        <v>-33.074000000000026</v>
      </c>
      <c r="Z203" s="23">
        <f t="shared" si="1855"/>
        <v>-47.106999999999985</v>
      </c>
      <c r="AA203" s="23">
        <f t="shared" si="1855"/>
        <v>-76.660000000000025</v>
      </c>
      <c r="AB203" s="24">
        <f t="shared" si="1855"/>
        <v>122.25000000000003</v>
      </c>
      <c r="AC203" s="24">
        <f t="shared" si="1855"/>
        <v>7.000476587304405E-15</v>
      </c>
      <c r="AD203" s="24">
        <f t="shared" si="1855"/>
        <v>-5.6612349649225581E-15</v>
      </c>
      <c r="AE203" s="24">
        <f t="shared" si="1855"/>
        <v>5.5225923202052285E-15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0</v>
      </c>
      <c r="BH203" s="23">
        <f t="shared" si="1856"/>
        <v>0</v>
      </c>
      <c r="BI203" s="23">
        <f t="shared" si="1856"/>
        <v>0</v>
      </c>
      <c r="BJ203" s="23">
        <f t="shared" si="1856"/>
        <v>0</v>
      </c>
      <c r="BK203" s="23">
        <f t="shared" si="1856"/>
        <v>0</v>
      </c>
      <c r="BL203" s="23">
        <f t="shared" si="1856"/>
        <v>0</v>
      </c>
      <c r="BM203" s="23">
        <f t="shared" si="1856"/>
        <v>0</v>
      </c>
      <c r="BN203" s="23">
        <f t="shared" si="1856"/>
        <v>0</v>
      </c>
      <c r="BO203" s="23">
        <f t="shared" ref="BO203:CT203" si="1857">BN138-BO32-BO138</f>
        <v>0</v>
      </c>
      <c r="BP203" s="23">
        <f t="shared" si="1857"/>
        <v>0</v>
      </c>
      <c r="BQ203" s="23">
        <f t="shared" si="1857"/>
        <v>0</v>
      </c>
      <c r="BR203" s="23">
        <f t="shared" si="1857"/>
        <v>0</v>
      </c>
      <c r="BS203" s="23">
        <f t="shared" si="1857"/>
        <v>0</v>
      </c>
      <c r="BT203" s="23">
        <f t="shared" si="1857"/>
        <v>0</v>
      </c>
      <c r="BU203" s="23">
        <f t="shared" si="1857"/>
        <v>0</v>
      </c>
      <c r="BV203" s="23">
        <f t="shared" si="1857"/>
        <v>0</v>
      </c>
      <c r="BW203" s="23">
        <f t="shared" si="1857"/>
        <v>0</v>
      </c>
      <c r="BX203" s="23">
        <f t="shared" si="1857"/>
        <v>0</v>
      </c>
      <c r="BY203" s="23">
        <f t="shared" si="1857"/>
        <v>0</v>
      </c>
      <c r="BZ203" s="23">
        <f t="shared" si="1857"/>
        <v>0</v>
      </c>
      <c r="CA203" s="23">
        <f t="shared" si="1857"/>
        <v>0</v>
      </c>
      <c r="CB203" s="23">
        <f t="shared" si="1857"/>
        <v>0</v>
      </c>
      <c r="CC203" s="23">
        <f t="shared" si="1857"/>
        <v>0</v>
      </c>
      <c r="CD203" s="23">
        <f t="shared" si="1857"/>
        <v>0</v>
      </c>
      <c r="CE203" s="23">
        <f t="shared" si="1857"/>
        <v>0</v>
      </c>
      <c r="CF203" s="23">
        <f t="shared" si="1857"/>
        <v>-9.57</v>
      </c>
      <c r="CG203" s="23">
        <f t="shared" si="1857"/>
        <v>-9.34</v>
      </c>
      <c r="CH203" s="23">
        <f t="shared" si="1857"/>
        <v>-136.26</v>
      </c>
      <c r="CI203" s="23">
        <f t="shared" si="1857"/>
        <v>0</v>
      </c>
      <c r="CJ203" s="23">
        <f t="shared" si="1857"/>
        <v>92.53</v>
      </c>
      <c r="CK203" s="24">
        <f t="shared" si="1857"/>
        <v>0</v>
      </c>
      <c r="CL203" s="23">
        <f t="shared" si="1857"/>
        <v>-37.440000000000005</v>
      </c>
      <c r="CM203" s="24">
        <f t="shared" si="1857"/>
        <v>2.1316282072803006E-14</v>
      </c>
      <c r="CN203" s="24">
        <f t="shared" si="1857"/>
        <v>8.8817841970012523E-15</v>
      </c>
      <c r="CO203" s="24">
        <f t="shared" si="1857"/>
        <v>-6.3282712403633923E-15</v>
      </c>
      <c r="CP203" s="24">
        <f t="shared" si="1857"/>
        <v>2.3661628212323649E-15</v>
      </c>
      <c r="CQ203" s="24">
        <f t="shared" si="1857"/>
        <v>8.309325449928906E-16</v>
      </c>
      <c r="CR203" s="24">
        <f t="shared" si="1857"/>
        <v>-4.2515903991846571E-15</v>
      </c>
      <c r="CS203" s="24">
        <f t="shared" si="1857"/>
        <v>-2.1027559034270116E-15</v>
      </c>
      <c r="CT203" s="24">
        <f t="shared" si="1857"/>
        <v>1.2524038575688953E-14</v>
      </c>
      <c r="CU203" s="24">
        <f t="shared" ref="CU203:DB203" si="1858">CT138-CU32-CU138</f>
        <v>-6.0540553351181269E-15</v>
      </c>
      <c r="CV203" s="24">
        <f t="shared" si="1858"/>
        <v>-1.0814113822275253E-14</v>
      </c>
      <c r="CW203" s="24">
        <f t="shared" si="1858"/>
        <v>-1.548174417018094E-15</v>
      </c>
      <c r="CX203" s="24">
        <f t="shared" si="1858"/>
        <v>1.275510862251701E-14</v>
      </c>
      <c r="CY203" s="24">
        <f t="shared" si="1858"/>
        <v>3.5584904489937715E-15</v>
      </c>
      <c r="CZ203" s="24">
        <f t="shared" si="1858"/>
        <v>-2.0565301945566257E-15</v>
      </c>
      <c r="DA203" s="24">
        <f t="shared" si="1858"/>
        <v>-1.8485664670182831E-15</v>
      </c>
      <c r="DB203" s="24">
        <f t="shared" si="1858"/>
        <v>5.8691985327826298E-15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0</v>
      </c>
      <c r="K205" s="22">
        <f t="shared" si="1859"/>
        <v>0</v>
      </c>
      <c r="L205" s="22">
        <f t="shared" si="1859"/>
        <v>0</v>
      </c>
      <c r="M205" s="22">
        <f t="shared" si="1859"/>
        <v>0</v>
      </c>
      <c r="N205" s="22">
        <f t="shared" si="1859"/>
        <v>0</v>
      </c>
      <c r="O205" s="22">
        <f t="shared" si="1859"/>
        <v>0</v>
      </c>
      <c r="P205" s="22">
        <f t="shared" si="1859"/>
        <v>0</v>
      </c>
      <c r="Q205" s="22">
        <f t="shared" si="1859"/>
        <v>0</v>
      </c>
      <c r="R205" s="22">
        <f t="shared" si="1859"/>
        <v>0</v>
      </c>
      <c r="S205" s="22">
        <f t="shared" si="1859"/>
        <v>0</v>
      </c>
      <c r="T205" s="22">
        <f t="shared" si="1859"/>
        <v>0</v>
      </c>
      <c r="U205" s="22">
        <f t="shared" si="1859"/>
        <v>0</v>
      </c>
      <c r="V205" s="22">
        <f t="shared" si="1859"/>
        <v>0</v>
      </c>
      <c r="W205" s="22">
        <f t="shared" si="1859"/>
        <v>2065.5789999999997</v>
      </c>
      <c r="X205" s="22">
        <f t="shared" ref="X205:Y205" si="1860">X206+X207</f>
        <v>100.51200000000017</v>
      </c>
      <c r="Y205" s="22">
        <f t="shared" si="1860"/>
        <v>45.951000000000022</v>
      </c>
      <c r="Z205" s="22">
        <f t="shared" ref="Z205:AA205" si="1861">Z206+Z207</f>
        <v>263.41899999999987</v>
      </c>
      <c r="AA205" s="22">
        <f t="shared" si="1861"/>
        <v>582.58000000000015</v>
      </c>
      <c r="AB205" s="21" t="e">
        <f t="shared" ref="AA205:AD205" si="1862">AB206+AB207</f>
        <v>#DIV/0!</v>
      </c>
      <c r="AC205" s="21" t="e">
        <f t="shared" si="1862"/>
        <v>#DIV/0!</v>
      </c>
      <c r="AD205" s="21" t="e">
        <f t="shared" si="1862"/>
        <v>#DIV/0!</v>
      </c>
      <c r="AE205" s="21" t="e">
        <f t="shared" ref="AE205" si="1863">AE206+AE207</f>
        <v>#DIV/0!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0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0</v>
      </c>
      <c r="BI205" s="22">
        <f t="shared" si="1867"/>
        <v>0</v>
      </c>
      <c r="BJ205" s="22">
        <f t="shared" si="1867"/>
        <v>0</v>
      </c>
      <c r="BK205" s="22">
        <f t="shared" si="1867"/>
        <v>0</v>
      </c>
      <c r="BL205" s="22">
        <f t="shared" si="1867"/>
        <v>0</v>
      </c>
      <c r="BM205" s="22">
        <f t="shared" si="1867"/>
        <v>0</v>
      </c>
      <c r="BN205" s="22">
        <f t="shared" si="1867"/>
        <v>0</v>
      </c>
      <c r="BO205" s="22">
        <f t="shared" si="1867"/>
        <v>0</v>
      </c>
      <c r="BP205" s="22">
        <f t="shared" si="1867"/>
        <v>0</v>
      </c>
      <c r="BQ205" s="22">
        <f t="shared" si="1867"/>
        <v>0</v>
      </c>
      <c r="BR205" s="22">
        <f t="shared" si="1867"/>
        <v>0</v>
      </c>
      <c r="BS205" s="22">
        <f t="shared" si="1867"/>
        <v>0</v>
      </c>
      <c r="BT205" s="22">
        <f t="shared" si="1867"/>
        <v>0</v>
      </c>
      <c r="BU205" s="22">
        <f t="shared" si="1867"/>
        <v>0</v>
      </c>
      <c r="BV205" s="22">
        <f t="shared" si="1867"/>
        <v>0</v>
      </c>
      <c r="BW205" s="22">
        <f t="shared" si="1867"/>
        <v>0</v>
      </c>
      <c r="BX205" s="22">
        <f t="shared" si="1867"/>
        <v>0</v>
      </c>
      <c r="BY205" s="22">
        <f t="shared" si="1867"/>
        <v>0</v>
      </c>
      <c r="BZ205" s="22">
        <f t="shared" si="1867"/>
        <v>0</v>
      </c>
      <c r="CA205" s="22">
        <f t="shared" si="1867"/>
        <v>0</v>
      </c>
      <c r="CB205" s="22">
        <f t="shared" si="1867"/>
        <v>0</v>
      </c>
      <c r="CC205" s="22">
        <f t="shared" si="1867"/>
        <v>0</v>
      </c>
      <c r="CD205" s="22">
        <f t="shared" si="1867"/>
        <v>0</v>
      </c>
      <c r="CE205" s="22">
        <f t="shared" ref="CE205:CF205" si="1868">CE206+CE207</f>
        <v>0</v>
      </c>
      <c r="CF205" s="22">
        <f t="shared" si="1868"/>
        <v>1.819999999999947</v>
      </c>
      <c r="CG205" s="22">
        <f t="shared" ref="CG205:CH205" si="1869">CG206+CG207</f>
        <v>0</v>
      </c>
      <c r="CH205" s="22">
        <f t="shared" si="1869"/>
        <v>1566.8199999999997</v>
      </c>
      <c r="CI205" s="22">
        <f t="shared" ref="CI205:CJ205" si="1870">CI206+CI207</f>
        <v>0</v>
      </c>
      <c r="CJ205" s="22">
        <f t="shared" si="1870"/>
        <v>528.60000000000014</v>
      </c>
      <c r="CK205" s="21">
        <f t="shared" ref="CK205:DB205" si="1871">CK206+CK207</f>
        <v>0</v>
      </c>
      <c r="CL205" s="22">
        <f t="shared" si="1871"/>
        <v>60.919999999999618</v>
      </c>
      <c r="CM205" s="21" t="e">
        <f t="shared" si="1871"/>
        <v>#DIV/0!</v>
      </c>
      <c r="CN205" s="21" t="e">
        <f t="shared" si="1871"/>
        <v>#DIV/0!</v>
      </c>
      <c r="CO205" s="21" t="e">
        <f t="shared" si="1871"/>
        <v>#DIV/0!</v>
      </c>
      <c r="CP205" s="21" t="e">
        <f t="shared" si="1871"/>
        <v>#DIV/0!</v>
      </c>
      <c r="CQ205" s="21" t="e">
        <f t="shared" si="1871"/>
        <v>#DIV/0!</v>
      </c>
      <c r="CR205" s="21" t="e">
        <f t="shared" si="1871"/>
        <v>#DIV/0!</v>
      </c>
      <c r="CS205" s="21" t="e">
        <f t="shared" si="1871"/>
        <v>#DIV/0!</v>
      </c>
      <c r="CT205" s="21" t="e">
        <f t="shared" si="1871"/>
        <v>#DIV/0!</v>
      </c>
      <c r="CU205" s="21" t="e">
        <f t="shared" si="1871"/>
        <v>#DIV/0!</v>
      </c>
      <c r="CV205" s="21" t="e">
        <f t="shared" si="1871"/>
        <v>#DIV/0!</v>
      </c>
      <c r="CW205" s="21" t="e">
        <f t="shared" si="1871"/>
        <v>#DIV/0!</v>
      </c>
      <c r="CX205" s="21" t="e">
        <f t="shared" si="1871"/>
        <v>#DIV/0!</v>
      </c>
      <c r="CY205" s="21" t="e">
        <f t="shared" si="1871"/>
        <v>#DIV/0!</v>
      </c>
      <c r="CZ205" s="21" t="e">
        <f t="shared" si="1871"/>
        <v>#DIV/0!</v>
      </c>
      <c r="DA205" s="21" t="e">
        <f t="shared" si="1871"/>
        <v>#DIV/0!</v>
      </c>
      <c r="DB205" s="21" t="e">
        <f t="shared" si="1871"/>
        <v>#DIV/0!</v>
      </c>
      <c r="DE205" s="126"/>
      <c r="DF205" s="22">
        <v>589.51899999999955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</v>
      </c>
      <c r="P206" s="23">
        <f t="shared" si="1872"/>
        <v>0</v>
      </c>
      <c r="Q206" s="23">
        <f t="shared" si="1872"/>
        <v>0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0</v>
      </c>
      <c r="W206" s="23">
        <f t="shared" si="1872"/>
        <v>0</v>
      </c>
      <c r="X206" s="23">
        <f t="shared" si="1872"/>
        <v>0</v>
      </c>
      <c r="Y206" s="23">
        <f t="shared" si="1872"/>
        <v>0</v>
      </c>
      <c r="Z206" s="23">
        <f t="shared" si="1872"/>
        <v>0</v>
      </c>
      <c r="AA206" s="23">
        <f t="shared" si="1872"/>
        <v>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0</v>
      </c>
      <c r="BW206" s="23">
        <f t="shared" ref="BW206" si="1917">BW128-BV128</f>
        <v>0</v>
      </c>
      <c r="BX206" s="23">
        <f t="shared" ref="BX206" si="1918">BX128-BW128</f>
        <v>0</v>
      </c>
      <c r="BY206" s="23">
        <f t="shared" ref="BY206" si="1919">BY128-BX128</f>
        <v>0</v>
      </c>
      <c r="BZ206" s="23">
        <f t="shared" ref="BZ206" si="1920">BZ128-BY128</f>
        <v>0</v>
      </c>
      <c r="CA206" s="23">
        <f t="shared" ref="CA206" si="1921">CA128-BZ128</f>
        <v>0</v>
      </c>
      <c r="CB206" s="23">
        <f t="shared" ref="CB206" si="1922">CB128-CA128</f>
        <v>0</v>
      </c>
      <c r="CC206" s="23">
        <f t="shared" ref="CC206" si="1923">CC128-CB128</f>
        <v>0</v>
      </c>
      <c r="CD206" s="23">
        <f t="shared" ref="CD206" si="1924">CD128-CC128</f>
        <v>0</v>
      </c>
      <c r="CE206" s="23">
        <f t="shared" ref="CE206" si="1925">CE128-CD128</f>
        <v>0</v>
      </c>
      <c r="CF206" s="23">
        <f t="shared" ref="CF206" si="1926">CF128-CE128</f>
        <v>0</v>
      </c>
      <c r="CG206" s="23">
        <f t="shared" ref="CG206" si="1927">CG128-CF128</f>
        <v>0</v>
      </c>
      <c r="CH206" s="23">
        <f t="shared" ref="CH206:CL206" si="1928">CH128-CG128</f>
        <v>0</v>
      </c>
      <c r="CI206" s="23">
        <f t="shared" si="1928"/>
        <v>0</v>
      </c>
      <c r="CJ206" s="23">
        <f t="shared" si="1928"/>
        <v>0</v>
      </c>
      <c r="CK206" s="24">
        <f t="shared" ref="CK206" si="1929">CK128-CJ128</f>
        <v>0</v>
      </c>
      <c r="CL206" s="23">
        <f t="shared" si="1928"/>
        <v>0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0</v>
      </c>
      <c r="K207" s="23">
        <f t="shared" si="1946"/>
        <v>0</v>
      </c>
      <c r="L207" s="23">
        <f t="shared" si="1946"/>
        <v>0</v>
      </c>
      <c r="M207" s="23">
        <f t="shared" si="1946"/>
        <v>0</v>
      </c>
      <c r="N207" s="23">
        <f t="shared" si="1946"/>
        <v>0</v>
      </c>
      <c r="O207" s="23">
        <f t="shared" si="1946"/>
        <v>0</v>
      </c>
      <c r="P207" s="23">
        <f t="shared" si="1946"/>
        <v>0</v>
      </c>
      <c r="Q207" s="23">
        <f t="shared" si="1946"/>
        <v>0</v>
      </c>
      <c r="R207" s="23">
        <f t="shared" si="1946"/>
        <v>0</v>
      </c>
      <c r="S207" s="23">
        <f t="shared" si="1946"/>
        <v>0</v>
      </c>
      <c r="T207" s="23">
        <f t="shared" si="1946"/>
        <v>0</v>
      </c>
      <c r="U207" s="23">
        <f t="shared" si="1946"/>
        <v>0</v>
      </c>
      <c r="V207" s="23">
        <f t="shared" si="1946"/>
        <v>0</v>
      </c>
      <c r="W207" s="23">
        <f t="shared" si="1946"/>
        <v>2065.5789999999997</v>
      </c>
      <c r="X207" s="23">
        <f t="shared" si="1946"/>
        <v>100.51200000000017</v>
      </c>
      <c r="Y207" s="23">
        <f t="shared" si="1946"/>
        <v>45.951000000000022</v>
      </c>
      <c r="Z207" s="23">
        <f t="shared" si="1946"/>
        <v>263.41899999999987</v>
      </c>
      <c r="AA207" s="23">
        <f t="shared" si="1946"/>
        <v>582.58000000000015</v>
      </c>
      <c r="AB207" s="24" t="e">
        <f t="shared" si="1946"/>
        <v>#DIV/0!</v>
      </c>
      <c r="AC207" s="24" t="e">
        <f t="shared" si="1946"/>
        <v>#DIV/0!</v>
      </c>
      <c r="AD207" s="24" t="e">
        <f t="shared" si="1946"/>
        <v>#DIV/0!</v>
      </c>
      <c r="AE207" s="24" t="e">
        <f t="shared" si="1946"/>
        <v>#DIV/0!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0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0</v>
      </c>
      <c r="BI207" s="23">
        <f t="shared" si="1947"/>
        <v>0</v>
      </c>
      <c r="BJ207" s="23">
        <f t="shared" si="1947"/>
        <v>0</v>
      </c>
      <c r="BK207" s="23">
        <f t="shared" si="1947"/>
        <v>0</v>
      </c>
      <c r="BL207" s="23">
        <f t="shared" si="1947"/>
        <v>0</v>
      </c>
      <c r="BM207" s="23">
        <f t="shared" si="1947"/>
        <v>0</v>
      </c>
      <c r="BN207" s="23">
        <f t="shared" si="1947"/>
        <v>0</v>
      </c>
      <c r="BO207" s="23">
        <f t="shared" ref="BO207:CT207" si="1948">BO120-BO48-BN120+BO122-BN122</f>
        <v>0</v>
      </c>
      <c r="BP207" s="23">
        <f t="shared" si="1948"/>
        <v>0</v>
      </c>
      <c r="BQ207" s="23">
        <f t="shared" si="1948"/>
        <v>0</v>
      </c>
      <c r="BR207" s="23">
        <f t="shared" si="1948"/>
        <v>0</v>
      </c>
      <c r="BS207" s="23">
        <f t="shared" si="1948"/>
        <v>0</v>
      </c>
      <c r="BT207" s="23">
        <f t="shared" si="1948"/>
        <v>0</v>
      </c>
      <c r="BU207" s="23">
        <f t="shared" si="1948"/>
        <v>0</v>
      </c>
      <c r="BV207" s="23">
        <f t="shared" si="1948"/>
        <v>0</v>
      </c>
      <c r="BW207" s="23">
        <f t="shared" si="1948"/>
        <v>0</v>
      </c>
      <c r="BX207" s="23">
        <f t="shared" si="1948"/>
        <v>0</v>
      </c>
      <c r="BY207" s="23">
        <f t="shared" si="1948"/>
        <v>0</v>
      </c>
      <c r="BZ207" s="23">
        <f t="shared" si="1948"/>
        <v>0</v>
      </c>
      <c r="CA207" s="23">
        <f t="shared" si="1948"/>
        <v>0</v>
      </c>
      <c r="CB207" s="23">
        <f t="shared" si="1948"/>
        <v>0</v>
      </c>
      <c r="CC207" s="23">
        <f t="shared" si="1948"/>
        <v>0</v>
      </c>
      <c r="CD207" s="23">
        <f t="shared" si="1948"/>
        <v>0</v>
      </c>
      <c r="CE207" s="23">
        <f t="shared" si="1948"/>
        <v>0</v>
      </c>
      <c r="CF207" s="23">
        <f t="shared" si="1948"/>
        <v>1.819999999999947</v>
      </c>
      <c r="CG207" s="23">
        <f t="shared" si="1948"/>
        <v>0</v>
      </c>
      <c r="CH207" s="23">
        <f t="shared" si="1948"/>
        <v>1566.8199999999997</v>
      </c>
      <c r="CI207" s="23">
        <f t="shared" si="1948"/>
        <v>0</v>
      </c>
      <c r="CJ207" s="23">
        <f t="shared" si="1948"/>
        <v>528.60000000000014</v>
      </c>
      <c r="CK207" s="24">
        <f t="shared" si="1948"/>
        <v>0</v>
      </c>
      <c r="CL207" s="23">
        <f t="shared" si="1948"/>
        <v>60.919999999999618</v>
      </c>
      <c r="CM207" s="24" t="e">
        <f t="shared" si="1948"/>
        <v>#DIV/0!</v>
      </c>
      <c r="CN207" s="24" t="e">
        <f t="shared" si="1948"/>
        <v>#DIV/0!</v>
      </c>
      <c r="CO207" s="24" t="e">
        <f t="shared" si="1948"/>
        <v>#DIV/0!</v>
      </c>
      <c r="CP207" s="24" t="e">
        <f t="shared" si="1948"/>
        <v>#DIV/0!</v>
      </c>
      <c r="CQ207" s="24" t="e">
        <f t="shared" si="1948"/>
        <v>#DIV/0!</v>
      </c>
      <c r="CR207" s="24" t="e">
        <f t="shared" si="1948"/>
        <v>#DIV/0!</v>
      </c>
      <c r="CS207" s="24" t="e">
        <f t="shared" si="1948"/>
        <v>#DIV/0!</v>
      </c>
      <c r="CT207" s="24" t="e">
        <f t="shared" si="1948"/>
        <v>#DIV/0!</v>
      </c>
      <c r="CU207" s="24" t="e">
        <f t="shared" ref="CU207:DB207" si="1949">CU120-CU48-CT120+CU122-CT122</f>
        <v>#DIV/0!</v>
      </c>
      <c r="CV207" s="24" t="e">
        <f t="shared" si="1949"/>
        <v>#DIV/0!</v>
      </c>
      <c r="CW207" s="24" t="e">
        <f t="shared" si="1949"/>
        <v>#DIV/0!</v>
      </c>
      <c r="CX207" s="24" t="e">
        <f t="shared" si="1949"/>
        <v>#DIV/0!</v>
      </c>
      <c r="CY207" s="24" t="e">
        <f t="shared" si="1949"/>
        <v>#DIV/0!</v>
      </c>
      <c r="CZ207" s="24" t="e">
        <f t="shared" si="1949"/>
        <v>#DIV/0!</v>
      </c>
      <c r="DA207" s="24" t="e">
        <f t="shared" si="1949"/>
        <v>#DIV/0!</v>
      </c>
      <c r="DB207" s="24" t="e">
        <f t="shared" si="1949"/>
        <v>#DIV/0!</v>
      </c>
      <c r="DE207" s="123"/>
      <c r="DF207" s="23">
        <v>589.51899999999955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0</v>
      </c>
      <c r="L209" s="23">
        <f t="shared" ref="L209" si="1956">K161</f>
        <v>0</v>
      </c>
      <c r="M209" s="23">
        <f t="shared" ref="M209" si="1957">L161</f>
        <v>0</v>
      </c>
      <c r="N209" s="23">
        <f t="shared" ref="N209" si="1958">M161</f>
        <v>0</v>
      </c>
      <c r="O209" s="23">
        <f t="shared" ref="O209" si="1959">N161</f>
        <v>0</v>
      </c>
      <c r="P209" s="23">
        <f t="shared" ref="P209" si="1960">O161</f>
        <v>0</v>
      </c>
      <c r="Q209" s="23">
        <f t="shared" ref="Q209" si="1961">P161</f>
        <v>0</v>
      </c>
      <c r="R209" s="23">
        <f t="shared" ref="R209" si="1962">Q161</f>
        <v>0</v>
      </c>
      <c r="S209" s="23">
        <f t="shared" ref="S209" si="1963">R161</f>
        <v>0</v>
      </c>
      <c r="T209" s="23">
        <f t="shared" ref="T209" si="1964">S161</f>
        <v>0</v>
      </c>
      <c r="U209" s="23">
        <f t="shared" ref="U209" si="1965">T161</f>
        <v>0</v>
      </c>
      <c r="V209" s="23">
        <f t="shared" ref="V209" si="1966">U161</f>
        <v>0</v>
      </c>
      <c r="W209" s="23">
        <f t="shared" ref="W209:AA209" si="1967">V161</f>
        <v>0</v>
      </c>
      <c r="X209" s="23">
        <f t="shared" si="1967"/>
        <v>1595.9070000000002</v>
      </c>
      <c r="Y209" s="23">
        <f t="shared" si="1967"/>
        <v>1282.673</v>
      </c>
      <c r="Z209" s="23">
        <f t="shared" si="1967"/>
        <v>1089.8119999999999</v>
      </c>
      <c r="AA209" s="23">
        <f t="shared" si="1967"/>
        <v>1514.68</v>
      </c>
      <c r="AB209" s="24">
        <f t="shared" ref="AB209" si="1968">AA161</f>
        <v>1440.53</v>
      </c>
      <c r="AC209" s="24" t="e">
        <f t="shared" ref="AC209" si="1969">AB161</f>
        <v>#DIV/0!</v>
      </c>
      <c r="AD209" s="24" t="e">
        <f t="shared" ref="AD209" si="1970">AC161</f>
        <v>#DIV/0!</v>
      </c>
      <c r="AE209" s="24" t="e">
        <f t="shared" ref="AE209" si="1971">AD161</f>
        <v>#DIV/0!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 t="e">
        <f t="shared" ref="BJ209" si="1999">BI161</f>
        <v>#DIV/0!</v>
      </c>
      <c r="BK209" s="23">
        <f t="shared" ref="BK209" si="2000">BJ161</f>
        <v>0</v>
      </c>
      <c r="BL209" s="23" t="e">
        <f t="shared" ref="BL209" si="2001">BK161</f>
        <v>#DIV/0!</v>
      </c>
      <c r="BM209" s="23">
        <f t="shared" ref="BM209" si="2002">BL161</f>
        <v>0</v>
      </c>
      <c r="BN209" s="23" t="e">
        <f t="shared" ref="BN209" si="2003">BM161</f>
        <v>#DIV/0!</v>
      </c>
      <c r="BO209" s="23">
        <f t="shared" ref="BO209" si="2004">BN161</f>
        <v>0</v>
      </c>
      <c r="BP209" s="23" t="e">
        <f t="shared" ref="BP209" si="2005">BO161</f>
        <v>#DIV/0!</v>
      </c>
      <c r="BQ209" s="23">
        <f t="shared" ref="BQ209" si="2006">BP161</f>
        <v>0</v>
      </c>
      <c r="BR209" s="23" t="e">
        <f t="shared" ref="BR209" si="2007">BQ161</f>
        <v>#DIV/0!</v>
      </c>
      <c r="BS209" s="23">
        <f t="shared" ref="BS209" si="2008">BR161</f>
        <v>0</v>
      </c>
      <c r="BT209" s="23" t="e">
        <f t="shared" ref="BT209" si="2009">BS161</f>
        <v>#DIV/0!</v>
      </c>
      <c r="BU209" s="23">
        <f t="shared" ref="BU209" si="2010">BT161</f>
        <v>0</v>
      </c>
      <c r="BV209" s="23" t="e">
        <f t="shared" ref="BV209" si="2011">BU161</f>
        <v>#DIV/0!</v>
      </c>
      <c r="BW209" s="23">
        <f t="shared" ref="BW209" si="2012">BV161</f>
        <v>0</v>
      </c>
      <c r="BX209" s="23" t="e">
        <f t="shared" ref="BX209" si="2013">BW161</f>
        <v>#DIV/0!</v>
      </c>
      <c r="BY209" s="23">
        <f t="shared" ref="BY209" si="2014">BX161</f>
        <v>0</v>
      </c>
      <c r="BZ209" s="23" t="e">
        <f t="shared" ref="BZ209" si="2015">BY161</f>
        <v>#DIV/0!</v>
      </c>
      <c r="CA209" s="23">
        <f t="shared" ref="CA209" si="2016">BZ161</f>
        <v>0</v>
      </c>
      <c r="CB209" s="23" t="e">
        <f t="shared" ref="CB209" si="2017">CA161</f>
        <v>#DIV/0!</v>
      </c>
      <c r="CC209" s="23">
        <f t="shared" ref="CC209" si="2018">CB161</f>
        <v>0</v>
      </c>
      <c r="CD209" s="23" t="e">
        <f t="shared" ref="CD209" si="2019">CC161</f>
        <v>#DIV/0!</v>
      </c>
      <c r="CE209" s="23">
        <f t="shared" ref="CE209" si="2020">CD161</f>
        <v>0</v>
      </c>
      <c r="CF209" s="23" t="e">
        <f t="shared" ref="CF209" si="2021">CE161</f>
        <v>#DIV/0!</v>
      </c>
      <c r="CG209" s="23">
        <f t="shared" ref="CG209" si="2022">CF161</f>
        <v>0</v>
      </c>
      <c r="CH209" s="23">
        <f t="shared" ref="CH209:CL209" si="2023">CG161</f>
        <v>231.84000000000003</v>
      </c>
      <c r="CI209" s="23">
        <f t="shared" si="2023"/>
        <v>1514.68</v>
      </c>
      <c r="CJ209" s="23">
        <f t="shared" si="2023"/>
        <v>1290.0400000000002</v>
      </c>
      <c r="CK209" s="24">
        <f t="shared" ref="CK209" si="2024">CJ161</f>
        <v>1714.51</v>
      </c>
      <c r="CL209" s="23">
        <f t="shared" si="2023"/>
        <v>1704.4807933584191</v>
      </c>
      <c r="CM209" s="24">
        <f t="shared" ref="CM209" si="2025">CL161</f>
        <v>1440.53</v>
      </c>
      <c r="CN209" s="24" t="e">
        <f t="shared" ref="CN209" si="2026">CM161</f>
        <v>#DIV/0!</v>
      </c>
      <c r="CO209" s="24" t="e">
        <f t="shared" ref="CO209" si="2027">CN161</f>
        <v>#DIV/0!</v>
      </c>
      <c r="CP209" s="24" t="e">
        <f t="shared" ref="CP209" si="2028">CO161</f>
        <v>#DIV/0!</v>
      </c>
      <c r="CQ209" s="24" t="e">
        <f t="shared" ref="CQ209" si="2029">CP161</f>
        <v>#DIV/0!</v>
      </c>
      <c r="CR209" s="24" t="e">
        <f t="shared" ref="CR209" si="2030">CQ161</f>
        <v>#DIV/0!</v>
      </c>
      <c r="CS209" s="24" t="e">
        <f t="shared" ref="CS209" si="2031">CR161</f>
        <v>#DIV/0!</v>
      </c>
      <c r="CT209" s="24" t="e">
        <f t="shared" ref="CT209" si="2032">CS161</f>
        <v>#DIV/0!</v>
      </c>
      <c r="CU209" s="24" t="e">
        <f t="shared" ref="CU209" si="2033">CT161</f>
        <v>#DIV/0!</v>
      </c>
      <c r="CV209" s="24" t="e">
        <f t="shared" ref="CV209" si="2034">CU161</f>
        <v>#DIV/0!</v>
      </c>
      <c r="CW209" s="24" t="e">
        <f t="shared" ref="CW209" si="2035">CV161</f>
        <v>#DIV/0!</v>
      </c>
      <c r="CX209" s="24" t="e">
        <f t="shared" ref="CX209" si="2036">CW161</f>
        <v>#DIV/0!</v>
      </c>
      <c r="CY209" s="24" t="e">
        <f t="shared" ref="CY209" si="2037">CX161</f>
        <v>#DIV/0!</v>
      </c>
      <c r="CZ209" s="24" t="e">
        <f t="shared" ref="CZ209" si="2038">CY161</f>
        <v>#DIV/0!</v>
      </c>
      <c r="DA209" s="24" t="e">
        <f t="shared" ref="DA209" si="2039">CZ161</f>
        <v>#DIV/0!</v>
      </c>
      <c r="DB209" s="24" t="e">
        <f t="shared" ref="DB209" si="2040">DA161</f>
        <v>#DIV/0!</v>
      </c>
      <c r="DE209" s="123"/>
      <c r="DF209" s="23">
        <v>1704.4807933584191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41"/>
        <v>0</v>
      </c>
      <c r="O210" s="23">
        <f t="shared" si="2041"/>
        <v>0</v>
      </c>
      <c r="P210" s="23">
        <f t="shared" si="2041"/>
        <v>0</v>
      </c>
      <c r="Q210" s="23">
        <f t="shared" si="2041"/>
        <v>0</v>
      </c>
      <c r="R210" s="23">
        <f t="shared" si="2041"/>
        <v>0</v>
      </c>
      <c r="S210" s="23">
        <f t="shared" si="2041"/>
        <v>0</v>
      </c>
      <c r="T210" s="23">
        <f t="shared" si="2041"/>
        <v>0</v>
      </c>
      <c r="U210" s="23">
        <f t="shared" si="2041"/>
        <v>0</v>
      </c>
      <c r="V210" s="23">
        <f t="shared" si="2041"/>
        <v>0</v>
      </c>
      <c r="W210" s="23">
        <f t="shared" si="2041"/>
        <v>1595.9069999999997</v>
      </c>
      <c r="X210" s="23">
        <f t="shared" ref="X210:Y210" si="2042">X209+X205+X201+X199</f>
        <v>1282.6730000000002</v>
      </c>
      <c r="Y210" s="23">
        <f t="shared" si="2042"/>
        <v>1089.8120000000001</v>
      </c>
      <c r="Z210" s="23">
        <f t="shared" ref="Z210:AA210" si="2043">Z209+Z205+Z201+Z199</f>
        <v>1514.6799999999998</v>
      </c>
      <c r="AA210" s="23">
        <f t="shared" si="2043"/>
        <v>1440.5300000000002</v>
      </c>
      <c r="AB210" s="24" t="e">
        <f t="shared" ref="AA210:AD210" si="2044">AB209+AB205+AB201+AB199</f>
        <v>#DIV/0!</v>
      </c>
      <c r="AC210" s="24" t="e">
        <f t="shared" si="2044"/>
        <v>#DIV/0!</v>
      </c>
      <c r="AD210" s="24" t="e">
        <f t="shared" si="2044"/>
        <v>#DIV/0!</v>
      </c>
      <c r="AE210" s="24" t="e">
        <f t="shared" ref="AE210" si="2045">AE209+AE205+AE201+AE199</f>
        <v>#DIV/0!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 t="e">
        <f t="shared" si="2049"/>
        <v>#DIV/0!</v>
      </c>
      <c r="BJ210" s="23" t="e">
        <f t="shared" si="2049"/>
        <v>#DIV/0!</v>
      </c>
      <c r="BK210" s="23" t="e">
        <f t="shared" si="2049"/>
        <v>#DIV/0!</v>
      </c>
      <c r="BL210" s="23" t="e">
        <f t="shared" si="2049"/>
        <v>#DIV/0!</v>
      </c>
      <c r="BM210" s="23" t="e">
        <f t="shared" si="2049"/>
        <v>#DIV/0!</v>
      </c>
      <c r="BN210" s="23" t="e">
        <f t="shared" si="2049"/>
        <v>#DIV/0!</v>
      </c>
      <c r="BO210" s="23" t="e">
        <f t="shared" si="2049"/>
        <v>#DIV/0!</v>
      </c>
      <c r="BP210" s="23" t="e">
        <f t="shared" si="2049"/>
        <v>#DIV/0!</v>
      </c>
      <c r="BQ210" s="23" t="e">
        <f t="shared" si="2049"/>
        <v>#DIV/0!</v>
      </c>
      <c r="BR210" s="23" t="e">
        <f t="shared" si="2049"/>
        <v>#DIV/0!</v>
      </c>
      <c r="BS210" s="23" t="e">
        <f t="shared" si="2049"/>
        <v>#DIV/0!</v>
      </c>
      <c r="BT210" s="23" t="e">
        <f t="shared" si="2049"/>
        <v>#DIV/0!</v>
      </c>
      <c r="BU210" s="23" t="e">
        <f t="shared" si="2049"/>
        <v>#DIV/0!</v>
      </c>
      <c r="BV210" s="23" t="e">
        <f t="shared" si="2049"/>
        <v>#DIV/0!</v>
      </c>
      <c r="BW210" s="23" t="e">
        <f t="shared" si="2049"/>
        <v>#DIV/0!</v>
      </c>
      <c r="BX210" s="23" t="e">
        <f t="shared" si="2049"/>
        <v>#DIV/0!</v>
      </c>
      <c r="BY210" s="23" t="e">
        <f t="shared" si="2049"/>
        <v>#DIV/0!</v>
      </c>
      <c r="BZ210" s="23" t="e">
        <f t="shared" si="2049"/>
        <v>#DIV/0!</v>
      </c>
      <c r="CA210" s="23" t="e">
        <f t="shared" si="2049"/>
        <v>#DIV/0!</v>
      </c>
      <c r="CB210" s="23" t="e">
        <f t="shared" si="2049"/>
        <v>#DIV/0!</v>
      </c>
      <c r="CC210" s="23" t="e">
        <f t="shared" si="2049"/>
        <v>#DIV/0!</v>
      </c>
      <c r="CD210" s="23" t="e">
        <f t="shared" si="2049"/>
        <v>#DIV/0!</v>
      </c>
      <c r="CE210" s="23" t="e">
        <f t="shared" ref="CE210:CF210" si="2050">CE209+CE205+CE201+CE199</f>
        <v>#DIV/0!</v>
      </c>
      <c r="CF210" s="23" t="e">
        <f t="shared" si="2050"/>
        <v>#DIV/0!</v>
      </c>
      <c r="CG210" s="23">
        <f t="shared" ref="CG210:CH210" si="2051">CG209+CG205+CG201+CG199</f>
        <v>231.84000000000003</v>
      </c>
      <c r="CH210" s="23">
        <f t="shared" si="2051"/>
        <v>1514.6799999999998</v>
      </c>
      <c r="CI210" s="23">
        <f t="shared" ref="CI210:CJ210" si="2052">CI209+CI205+CI201+CI199</f>
        <v>1290.0400000000002</v>
      </c>
      <c r="CJ210" s="23">
        <f t="shared" si="2052"/>
        <v>1714.5100000000004</v>
      </c>
      <c r="CK210" s="24">
        <f t="shared" ref="CK210:DB210" si="2053">CK209+CK205+CK201+CK199</f>
        <v>1704.4807933584191</v>
      </c>
      <c r="CL210" s="23">
        <f t="shared" si="2053"/>
        <v>1440.5299999999995</v>
      </c>
      <c r="CM210" s="24" t="e">
        <f t="shared" si="2053"/>
        <v>#DIV/0!</v>
      </c>
      <c r="CN210" s="24" t="e">
        <f t="shared" si="2053"/>
        <v>#DIV/0!</v>
      </c>
      <c r="CO210" s="24" t="e">
        <f t="shared" si="2053"/>
        <v>#DIV/0!</v>
      </c>
      <c r="CP210" s="24" t="e">
        <f t="shared" si="2053"/>
        <v>#DIV/0!</v>
      </c>
      <c r="CQ210" s="24" t="e">
        <f t="shared" si="2053"/>
        <v>#DIV/0!</v>
      </c>
      <c r="CR210" s="24" t="e">
        <f t="shared" si="2053"/>
        <v>#DIV/0!</v>
      </c>
      <c r="CS210" s="24" t="e">
        <f t="shared" si="2053"/>
        <v>#DIV/0!</v>
      </c>
      <c r="CT210" s="24" t="e">
        <f t="shared" si="2053"/>
        <v>#DIV/0!</v>
      </c>
      <c r="CU210" s="24" t="e">
        <f t="shared" si="2053"/>
        <v>#DIV/0!</v>
      </c>
      <c r="CV210" s="24" t="e">
        <f t="shared" si="2053"/>
        <v>#DIV/0!</v>
      </c>
      <c r="CW210" s="24" t="e">
        <f t="shared" si="2053"/>
        <v>#DIV/0!</v>
      </c>
      <c r="CX210" s="24" t="e">
        <f t="shared" si="2053"/>
        <v>#DIV/0!</v>
      </c>
      <c r="CY210" s="24" t="e">
        <f t="shared" si="2053"/>
        <v>#DIV/0!</v>
      </c>
      <c r="CZ210" s="24" t="e">
        <f t="shared" si="2053"/>
        <v>#DIV/0!</v>
      </c>
      <c r="DA210" s="24" t="e">
        <f t="shared" si="2053"/>
        <v>#DIV/0!</v>
      </c>
      <c r="DB210" s="24" t="e">
        <f t="shared" si="2053"/>
        <v>#DIV/0!</v>
      </c>
      <c r="DE210" s="123"/>
      <c r="DF210" s="23">
        <v>1440.5299999999991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 t="e">
        <f t="shared" ref="AA211:AD211" si="2057">AB210-AB161</f>
        <v>#DIV/0!</v>
      </c>
      <c r="AC211" s="30" t="e">
        <f t="shared" si="2057"/>
        <v>#DIV/0!</v>
      </c>
      <c r="AD211" s="30" t="e">
        <f t="shared" si="2057"/>
        <v>#DIV/0!</v>
      </c>
      <c r="AE211" s="30" t="e">
        <f t="shared" ref="AE211" si="2058">AE210-AE161</f>
        <v>#DIV/0!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 t="e">
        <f t="shared" si="2062"/>
        <v>#DIV/0!</v>
      </c>
      <c r="BJ211" s="28" t="e">
        <f t="shared" si="2062"/>
        <v>#DIV/0!</v>
      </c>
      <c r="BK211" s="28" t="e">
        <f t="shared" si="2062"/>
        <v>#DIV/0!</v>
      </c>
      <c r="BL211" s="28" t="e">
        <f t="shared" si="2062"/>
        <v>#DIV/0!</v>
      </c>
      <c r="BM211" s="28" t="e">
        <f t="shared" si="2062"/>
        <v>#DIV/0!</v>
      </c>
      <c r="BN211" s="28" t="e">
        <f t="shared" si="2062"/>
        <v>#DIV/0!</v>
      </c>
      <c r="BO211" s="28" t="e">
        <f t="shared" si="2062"/>
        <v>#DIV/0!</v>
      </c>
      <c r="BP211" s="28" t="e">
        <f t="shared" si="2062"/>
        <v>#DIV/0!</v>
      </c>
      <c r="BQ211" s="28" t="e">
        <f t="shared" si="2062"/>
        <v>#DIV/0!</v>
      </c>
      <c r="BR211" s="28" t="e">
        <f t="shared" si="2062"/>
        <v>#DIV/0!</v>
      </c>
      <c r="BS211" s="28" t="e">
        <f t="shared" si="2062"/>
        <v>#DIV/0!</v>
      </c>
      <c r="BT211" s="28" t="e">
        <f t="shared" si="2062"/>
        <v>#DIV/0!</v>
      </c>
      <c r="BU211" s="28" t="e">
        <f t="shared" si="2062"/>
        <v>#DIV/0!</v>
      </c>
      <c r="BV211" s="28" t="e">
        <f t="shared" si="2062"/>
        <v>#DIV/0!</v>
      </c>
      <c r="BW211" s="28" t="e">
        <f t="shared" si="2062"/>
        <v>#DIV/0!</v>
      </c>
      <c r="BX211" s="28" t="e">
        <f t="shared" si="2062"/>
        <v>#DIV/0!</v>
      </c>
      <c r="BY211" s="28" t="e">
        <f t="shared" si="2062"/>
        <v>#DIV/0!</v>
      </c>
      <c r="BZ211" s="28" t="e">
        <f t="shared" si="2062"/>
        <v>#DIV/0!</v>
      </c>
      <c r="CA211" s="28" t="e">
        <f t="shared" si="2062"/>
        <v>#DIV/0!</v>
      </c>
      <c r="CB211" s="28" t="e">
        <f t="shared" si="2062"/>
        <v>#DIV/0!</v>
      </c>
      <c r="CC211" s="28" t="e">
        <f t="shared" si="2062"/>
        <v>#DIV/0!</v>
      </c>
      <c r="CD211" s="28" t="e">
        <f t="shared" si="2062"/>
        <v>#DIV/0!</v>
      </c>
      <c r="CE211" s="28" t="e">
        <f t="shared" ref="CE211:CF211" si="2063">CE210-CE161</f>
        <v>#DIV/0!</v>
      </c>
      <c r="CF211" s="28" t="e">
        <f t="shared" si="2063"/>
        <v>#DIV/0!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0</v>
      </c>
      <c r="CM211" s="30" t="e">
        <f t="shared" si="2066"/>
        <v>#DIV/0!</v>
      </c>
      <c r="CN211" s="30" t="e">
        <f t="shared" si="2066"/>
        <v>#DIV/0!</v>
      </c>
      <c r="CO211" s="30" t="e">
        <f t="shared" si="2066"/>
        <v>#DIV/0!</v>
      </c>
      <c r="CP211" s="30" t="e">
        <f t="shared" si="2066"/>
        <v>#DIV/0!</v>
      </c>
      <c r="CQ211" s="30" t="e">
        <f t="shared" si="2066"/>
        <v>#DIV/0!</v>
      </c>
      <c r="CR211" s="30" t="e">
        <f t="shared" si="2066"/>
        <v>#DIV/0!</v>
      </c>
      <c r="CS211" s="30" t="e">
        <f t="shared" si="2066"/>
        <v>#DIV/0!</v>
      </c>
      <c r="CT211" s="30" t="e">
        <f t="shared" si="2066"/>
        <v>#DIV/0!</v>
      </c>
      <c r="CU211" s="30" t="e">
        <f t="shared" si="2066"/>
        <v>#DIV/0!</v>
      </c>
      <c r="CV211" s="30" t="e">
        <f t="shared" si="2066"/>
        <v>#DIV/0!</v>
      </c>
      <c r="CW211" s="30" t="e">
        <f t="shared" si="2066"/>
        <v>#DIV/0!</v>
      </c>
      <c r="CX211" s="30" t="e">
        <f t="shared" si="2066"/>
        <v>#DIV/0!</v>
      </c>
      <c r="CY211" s="30" t="e">
        <f t="shared" si="2066"/>
        <v>#DIV/0!</v>
      </c>
      <c r="CZ211" s="30" t="e">
        <f t="shared" si="2066"/>
        <v>#DIV/0!</v>
      </c>
      <c r="DA211" s="30" t="e">
        <f t="shared" si="2066"/>
        <v>#DIV/0!</v>
      </c>
      <c r="DB211" s="30" t="e">
        <f t="shared" si="2066"/>
        <v>#DIV/0!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0</v>
      </c>
      <c r="K213" s="22">
        <f t="shared" si="2067"/>
        <v>0</v>
      </c>
      <c r="L213" s="22">
        <f t="shared" si="2067"/>
        <v>0</v>
      </c>
      <c r="M213" s="22">
        <f t="shared" si="2067"/>
        <v>0</v>
      </c>
      <c r="N213" s="22">
        <f t="shared" si="2067"/>
        <v>0</v>
      </c>
      <c r="O213" s="22">
        <f t="shared" si="2067"/>
        <v>0</v>
      </c>
      <c r="P213" s="22">
        <f t="shared" si="2067"/>
        <v>0</v>
      </c>
      <c r="Q213" s="22">
        <f t="shared" si="2067"/>
        <v>0</v>
      </c>
      <c r="R213" s="22">
        <f t="shared" si="2067"/>
        <v>0</v>
      </c>
      <c r="S213" s="22">
        <f t="shared" si="2067"/>
        <v>0</v>
      </c>
      <c r="T213" s="22">
        <f t="shared" si="2067"/>
        <v>0</v>
      </c>
      <c r="U213" s="22">
        <f t="shared" si="2067"/>
        <v>0</v>
      </c>
      <c r="V213" s="22">
        <f t="shared" si="2067"/>
        <v>0</v>
      </c>
      <c r="W213" s="22">
        <f t="shared" si="2067"/>
        <v>-469.6719999999998</v>
      </c>
      <c r="X213" s="22">
        <f t="shared" ref="X213:Y213" si="2068">X199+X201</f>
        <v>-413.74600000000015</v>
      </c>
      <c r="Y213" s="22">
        <f t="shared" si="2068"/>
        <v>-238.81199999999998</v>
      </c>
      <c r="Z213" s="22">
        <f t="shared" ref="Z213:AA213" si="2069">Z199+Z201</f>
        <v>161.44899999999996</v>
      </c>
      <c r="AA213" s="22">
        <f t="shared" si="2069"/>
        <v>-656.73</v>
      </c>
      <c r="AB213" s="21" t="e">
        <f t="shared" ref="AA213:AD213" si="2070">AB199+AB201</f>
        <v>#DIV/0!</v>
      </c>
      <c r="AC213" s="21" t="e">
        <f t="shared" si="2070"/>
        <v>#DIV/0!</v>
      </c>
      <c r="AD213" s="21" t="e">
        <f t="shared" si="2070"/>
        <v>#DIV/0!</v>
      </c>
      <c r="AE213" s="21" t="e">
        <f t="shared" ref="AE213" si="2071">AE199+AE201</f>
        <v>#DIV/0!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 t="e">
        <f t="shared" si="2075"/>
        <v>#DIV/0!</v>
      </c>
      <c r="BJ213" s="22" t="e">
        <f t="shared" si="2075"/>
        <v>#DIV/0!</v>
      </c>
      <c r="BK213" s="22" t="e">
        <f t="shared" si="2075"/>
        <v>#DIV/0!</v>
      </c>
      <c r="BL213" s="22" t="e">
        <f t="shared" si="2075"/>
        <v>#DIV/0!</v>
      </c>
      <c r="BM213" s="22" t="e">
        <f t="shared" si="2075"/>
        <v>#DIV/0!</v>
      </c>
      <c r="BN213" s="22" t="e">
        <f t="shared" si="2075"/>
        <v>#DIV/0!</v>
      </c>
      <c r="BO213" s="22" t="e">
        <f t="shared" si="2075"/>
        <v>#DIV/0!</v>
      </c>
      <c r="BP213" s="22" t="e">
        <f t="shared" si="2075"/>
        <v>#DIV/0!</v>
      </c>
      <c r="BQ213" s="22" t="e">
        <f t="shared" si="2075"/>
        <v>#DIV/0!</v>
      </c>
      <c r="BR213" s="22" t="e">
        <f t="shared" si="2075"/>
        <v>#DIV/0!</v>
      </c>
      <c r="BS213" s="22" t="e">
        <f t="shared" si="2075"/>
        <v>#DIV/0!</v>
      </c>
      <c r="BT213" s="22" t="e">
        <f t="shared" si="2075"/>
        <v>#DIV/0!</v>
      </c>
      <c r="BU213" s="22" t="e">
        <f t="shared" si="2075"/>
        <v>#DIV/0!</v>
      </c>
      <c r="BV213" s="22" t="e">
        <f t="shared" si="2075"/>
        <v>#DIV/0!</v>
      </c>
      <c r="BW213" s="22" t="e">
        <f t="shared" si="2075"/>
        <v>#DIV/0!</v>
      </c>
      <c r="BX213" s="22" t="e">
        <f t="shared" si="2075"/>
        <v>#DIV/0!</v>
      </c>
      <c r="BY213" s="22" t="e">
        <f t="shared" si="2075"/>
        <v>#DIV/0!</v>
      </c>
      <c r="BZ213" s="22" t="e">
        <f t="shared" si="2075"/>
        <v>#DIV/0!</v>
      </c>
      <c r="CA213" s="22" t="e">
        <f t="shared" si="2075"/>
        <v>#DIV/0!</v>
      </c>
      <c r="CB213" s="22" t="e">
        <f t="shared" si="2075"/>
        <v>#DIV/0!</v>
      </c>
      <c r="CC213" s="22" t="e">
        <f t="shared" si="2075"/>
        <v>#DIV/0!</v>
      </c>
      <c r="CD213" s="22" t="e">
        <f t="shared" si="2075"/>
        <v>#DIV/0!</v>
      </c>
      <c r="CE213" s="22" t="e">
        <f t="shared" ref="CE213:CF213" si="2076">CE199+CE201</f>
        <v>#DIV/0!</v>
      </c>
      <c r="CF213" s="22" t="e">
        <f t="shared" si="2076"/>
        <v>#DIV/0!</v>
      </c>
      <c r="CG213" s="22">
        <f t="shared" ref="CG213:CH213" si="2077">CG199+CG201</f>
        <v>231.84000000000003</v>
      </c>
      <c r="CH213" s="22">
        <f t="shared" si="2077"/>
        <v>-283.98000000000008</v>
      </c>
      <c r="CI213" s="22">
        <f t="shared" ref="CI213:CJ213" si="2078">CI199+CI201</f>
        <v>-224.63999999999993</v>
      </c>
      <c r="CJ213" s="22">
        <f t="shared" si="2078"/>
        <v>-104.12999999999995</v>
      </c>
      <c r="CK213" s="21">
        <f t="shared" ref="CK213:DB213" si="2079">CK199+CK201</f>
        <v>-10.029206641580831</v>
      </c>
      <c r="CL213" s="22">
        <f t="shared" si="2079"/>
        <v>-324.87079335841923</v>
      </c>
      <c r="CM213" s="21" t="e">
        <f t="shared" si="2079"/>
        <v>#DIV/0!</v>
      </c>
      <c r="CN213" s="21" t="e">
        <f t="shared" si="2079"/>
        <v>#DIV/0!</v>
      </c>
      <c r="CO213" s="21" t="e">
        <f t="shared" si="2079"/>
        <v>#DIV/0!</v>
      </c>
      <c r="CP213" s="21" t="e">
        <f t="shared" si="2079"/>
        <v>#DIV/0!</v>
      </c>
      <c r="CQ213" s="21" t="e">
        <f t="shared" si="2079"/>
        <v>#DIV/0!</v>
      </c>
      <c r="CR213" s="21" t="e">
        <f t="shared" si="2079"/>
        <v>#DIV/0!</v>
      </c>
      <c r="CS213" s="21" t="e">
        <f t="shared" si="2079"/>
        <v>#DIV/0!</v>
      </c>
      <c r="CT213" s="21" t="e">
        <f t="shared" si="2079"/>
        <v>#DIV/0!</v>
      </c>
      <c r="CU213" s="21" t="e">
        <f t="shared" si="2079"/>
        <v>#DIV/0!</v>
      </c>
      <c r="CV213" s="21" t="e">
        <f t="shared" si="2079"/>
        <v>#DIV/0!</v>
      </c>
      <c r="CW213" s="21" t="e">
        <f t="shared" si="2079"/>
        <v>#DIV/0!</v>
      </c>
      <c r="CX213" s="21" t="e">
        <f t="shared" si="2079"/>
        <v>#DIV/0!</v>
      </c>
      <c r="CY213" s="21" t="e">
        <f t="shared" si="2079"/>
        <v>#DIV/0!</v>
      </c>
      <c r="CZ213" s="21" t="e">
        <f t="shared" si="2079"/>
        <v>#DIV/0!</v>
      </c>
      <c r="DA213" s="21" t="e">
        <f t="shared" si="2079"/>
        <v>#DIV/0!</v>
      </c>
      <c r="DB213" s="21" t="e">
        <f t="shared" si="2079"/>
        <v>#DIV/0!</v>
      </c>
      <c r="DE213" s="126"/>
      <c r="DF213" s="22">
        <v>-663.66700000000003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0</v>
      </c>
      <c r="BA225" s="66">
        <f t="shared" si="2080"/>
        <v>0</v>
      </c>
      <c r="BB225" s="66">
        <f t="shared" si="2080"/>
        <v>0</v>
      </c>
      <c r="BC225" s="66">
        <f t="shared" si="2080"/>
        <v>0</v>
      </c>
      <c r="BD225" s="66">
        <f t="shared" si="2080"/>
        <v>0</v>
      </c>
      <c r="BE225" s="66">
        <f t="shared" si="2080"/>
        <v>0</v>
      </c>
      <c r="BF225" s="66">
        <f t="shared" si="2080"/>
        <v>0</v>
      </c>
      <c r="BG225" s="66">
        <f t="shared" si="2080"/>
        <v>0</v>
      </c>
      <c r="BH225" s="66">
        <f t="shared" si="2080"/>
        <v>0</v>
      </c>
      <c r="BI225" s="66">
        <f t="shared" si="2080"/>
        <v>0</v>
      </c>
      <c r="BJ225" s="66">
        <f t="shared" si="2080"/>
        <v>0</v>
      </c>
      <c r="BK225" s="66">
        <f t="shared" si="2080"/>
        <v>0</v>
      </c>
      <c r="BL225" s="66">
        <f t="shared" si="2080"/>
        <v>0</v>
      </c>
      <c r="BM225" s="66">
        <f t="shared" si="2080"/>
        <v>0</v>
      </c>
      <c r="BN225" s="66">
        <f t="shared" si="2080"/>
        <v>0</v>
      </c>
      <c r="BO225" s="66">
        <f t="shared" si="2080"/>
        <v>0</v>
      </c>
      <c r="BP225" s="66">
        <f t="shared" si="2080"/>
        <v>0</v>
      </c>
      <c r="BQ225" s="66">
        <f t="shared" si="2080"/>
        <v>0</v>
      </c>
      <c r="BR225" s="66">
        <f t="shared" ref="BR225:CW225" si="2081">SUM(BO10:BR10)</f>
        <v>0</v>
      </c>
      <c r="BS225" s="66">
        <f t="shared" si="2081"/>
        <v>0</v>
      </c>
      <c r="BT225" s="66">
        <f t="shared" si="2081"/>
        <v>0</v>
      </c>
      <c r="BU225" s="66">
        <f t="shared" si="2081"/>
        <v>0</v>
      </c>
      <c r="BV225" s="66">
        <f t="shared" si="2081"/>
        <v>0</v>
      </c>
      <c r="BW225" s="66">
        <f t="shared" si="2081"/>
        <v>0</v>
      </c>
      <c r="BX225" s="66">
        <f t="shared" si="2081"/>
        <v>0</v>
      </c>
      <c r="BY225" s="66">
        <f t="shared" si="2081"/>
        <v>0</v>
      </c>
      <c r="BZ225" s="66">
        <f t="shared" si="2081"/>
        <v>0</v>
      </c>
      <c r="CA225" s="66">
        <f t="shared" si="2081"/>
        <v>0</v>
      </c>
      <c r="CB225" s="66">
        <f t="shared" si="2081"/>
        <v>0</v>
      </c>
      <c r="CC225" s="66">
        <f t="shared" si="2081"/>
        <v>0</v>
      </c>
      <c r="CD225" s="66">
        <f t="shared" si="2081"/>
        <v>0</v>
      </c>
      <c r="CE225" s="66">
        <f t="shared" si="2081"/>
        <v>0</v>
      </c>
      <c r="CF225" s="66">
        <f t="shared" si="2081"/>
        <v>277.24</v>
      </c>
      <c r="CG225" s="66">
        <f t="shared" si="2081"/>
        <v>565.16000000000008</v>
      </c>
      <c r="CH225" s="66">
        <f t="shared" si="2081"/>
        <v>863.61000000000013</v>
      </c>
      <c r="CI225" s="66">
        <f t="shared" si="2081"/>
        <v>863.61000000000013</v>
      </c>
      <c r="CJ225" s="66">
        <f t="shared" si="2081"/>
        <v>966.4</v>
      </c>
      <c r="CK225" s="50">
        <f t="shared" si="2081"/>
        <v>1061.1600000000001</v>
      </c>
      <c r="CL225" s="66">
        <f t="shared" si="2081"/>
        <v>1188.27</v>
      </c>
      <c r="CM225" s="50" t="e">
        <f t="shared" si="2081"/>
        <v>#DIV/0!</v>
      </c>
      <c r="CN225" s="50" t="e">
        <f t="shared" si="2081"/>
        <v>#DIV/0!</v>
      </c>
      <c r="CO225" s="50" t="e">
        <f t="shared" si="2081"/>
        <v>#DIV/0!</v>
      </c>
      <c r="CP225" s="50" t="e">
        <f t="shared" si="2081"/>
        <v>#DIV/0!</v>
      </c>
      <c r="CQ225" s="50" t="e">
        <f t="shared" si="2081"/>
        <v>#DIV/0!</v>
      </c>
      <c r="CR225" s="50" t="e">
        <f t="shared" si="2081"/>
        <v>#DIV/0!</v>
      </c>
      <c r="CS225" s="50" t="e">
        <f t="shared" si="2081"/>
        <v>#DIV/0!</v>
      </c>
      <c r="CT225" s="50" t="e">
        <f t="shared" si="2081"/>
        <v>#DIV/0!</v>
      </c>
      <c r="CU225" s="50" t="e">
        <f t="shared" si="2081"/>
        <v>#DIV/0!</v>
      </c>
      <c r="CV225" s="50" t="e">
        <f t="shared" si="2081"/>
        <v>#DIV/0!</v>
      </c>
      <c r="CW225" s="50" t="e">
        <f t="shared" si="2081"/>
        <v>#DIV/0!</v>
      </c>
      <c r="CX225" s="50" t="e">
        <f t="shared" ref="CX225:DB225" si="2082">SUM(CU10:CX10)</f>
        <v>#DIV/0!</v>
      </c>
      <c r="CY225" s="50" t="e">
        <f t="shared" si="2082"/>
        <v>#DIV/0!</v>
      </c>
      <c r="CZ225" s="50" t="e">
        <f t="shared" si="2082"/>
        <v>#DIV/0!</v>
      </c>
      <c r="DA225" s="50" t="e">
        <f t="shared" si="2082"/>
        <v>#DIV/0!</v>
      </c>
      <c r="DB225" s="50" t="e">
        <f t="shared" si="2082"/>
        <v>#DIV/0!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0</v>
      </c>
      <c r="BA226" s="66">
        <f t="shared" si="2083"/>
        <v>0</v>
      </c>
      <c r="BB226" s="66">
        <f t="shared" si="2083"/>
        <v>0</v>
      </c>
      <c r="BC226" s="66">
        <f t="shared" si="2083"/>
        <v>0</v>
      </c>
      <c r="BD226" s="66">
        <f t="shared" si="2083"/>
        <v>0</v>
      </c>
      <c r="BE226" s="66">
        <f t="shared" si="2083"/>
        <v>0</v>
      </c>
      <c r="BF226" s="66">
        <f t="shared" si="2083"/>
        <v>0</v>
      </c>
      <c r="BG226" s="66">
        <f t="shared" si="2083"/>
        <v>0</v>
      </c>
      <c r="BH226" s="66">
        <f t="shared" si="2083"/>
        <v>0</v>
      </c>
      <c r="BI226" s="66">
        <f t="shared" si="2083"/>
        <v>0</v>
      </c>
      <c r="BJ226" s="66">
        <f t="shared" si="2083"/>
        <v>0</v>
      </c>
      <c r="BK226" s="66">
        <f t="shared" si="2083"/>
        <v>0</v>
      </c>
      <c r="BL226" s="66">
        <f t="shared" si="2083"/>
        <v>0</v>
      </c>
      <c r="BM226" s="66">
        <f t="shared" si="2083"/>
        <v>0</v>
      </c>
      <c r="BN226" s="66">
        <f t="shared" si="2083"/>
        <v>0</v>
      </c>
      <c r="BO226" s="66">
        <f t="shared" si="2083"/>
        <v>0</v>
      </c>
      <c r="BP226" s="66">
        <f t="shared" si="2083"/>
        <v>0</v>
      </c>
      <c r="BQ226" s="66">
        <f t="shared" si="2083"/>
        <v>0</v>
      </c>
      <c r="BR226" s="66">
        <f t="shared" ref="BR226:CW226" si="2084">SUM(BO28:BR28)</f>
        <v>0</v>
      </c>
      <c r="BS226" s="66">
        <f t="shared" si="2084"/>
        <v>0</v>
      </c>
      <c r="BT226" s="66">
        <f t="shared" si="2084"/>
        <v>0</v>
      </c>
      <c r="BU226" s="66">
        <f t="shared" si="2084"/>
        <v>0</v>
      </c>
      <c r="BV226" s="66">
        <f t="shared" si="2084"/>
        <v>0</v>
      </c>
      <c r="BW226" s="66">
        <f t="shared" si="2084"/>
        <v>0</v>
      </c>
      <c r="BX226" s="66">
        <f t="shared" si="2084"/>
        <v>0</v>
      </c>
      <c r="BY226" s="66">
        <f t="shared" si="2084"/>
        <v>0</v>
      </c>
      <c r="BZ226" s="66">
        <f t="shared" si="2084"/>
        <v>0</v>
      </c>
      <c r="CA226" s="66">
        <f t="shared" si="2084"/>
        <v>0</v>
      </c>
      <c r="CB226" s="66">
        <f t="shared" si="2084"/>
        <v>0</v>
      </c>
      <c r="CC226" s="66">
        <f t="shared" si="2084"/>
        <v>0</v>
      </c>
      <c r="CD226" s="66">
        <f t="shared" si="2084"/>
        <v>0</v>
      </c>
      <c r="CE226" s="66">
        <f t="shared" si="2084"/>
        <v>0</v>
      </c>
      <c r="CF226" s="66">
        <f t="shared" si="2084"/>
        <v>-16.309999999999945</v>
      </c>
      <c r="CG226" s="66">
        <f t="shared" si="2084"/>
        <v>-18.209999999999923</v>
      </c>
      <c r="CH226" s="66">
        <f t="shared" si="2084"/>
        <v>-28.13999999999993</v>
      </c>
      <c r="CI226" s="66">
        <f t="shared" si="2084"/>
        <v>-28.13999999999993</v>
      </c>
      <c r="CJ226" s="66">
        <f t="shared" si="2084"/>
        <v>-80.19</v>
      </c>
      <c r="CK226" s="50">
        <f t="shared" si="2084"/>
        <v>-113.60000000000002</v>
      </c>
      <c r="CL226" s="66">
        <f t="shared" si="2084"/>
        <v>-218.11</v>
      </c>
      <c r="CM226" s="50" t="e">
        <f t="shared" si="2084"/>
        <v>#DIV/0!</v>
      </c>
      <c r="CN226" s="50" t="e">
        <f t="shared" si="2084"/>
        <v>#DIV/0!</v>
      </c>
      <c r="CO226" s="50" t="e">
        <f t="shared" si="2084"/>
        <v>#DIV/0!</v>
      </c>
      <c r="CP226" s="50" t="e">
        <f t="shared" si="2084"/>
        <v>#DIV/0!</v>
      </c>
      <c r="CQ226" s="50" t="e">
        <f t="shared" si="2084"/>
        <v>#DIV/0!</v>
      </c>
      <c r="CR226" s="50" t="e">
        <f t="shared" si="2084"/>
        <v>#DIV/0!</v>
      </c>
      <c r="CS226" s="50" t="e">
        <f t="shared" si="2084"/>
        <v>#DIV/0!</v>
      </c>
      <c r="CT226" s="50" t="e">
        <f t="shared" si="2084"/>
        <v>#DIV/0!</v>
      </c>
      <c r="CU226" s="50" t="e">
        <f t="shared" si="2084"/>
        <v>#DIV/0!</v>
      </c>
      <c r="CV226" s="50" t="e">
        <f t="shared" si="2084"/>
        <v>#DIV/0!</v>
      </c>
      <c r="CW226" s="50" t="e">
        <f t="shared" si="2084"/>
        <v>#DIV/0!</v>
      </c>
      <c r="CX226" s="50" t="e">
        <f t="shared" ref="CX226:DB226" si="2085">SUM(CU28:CX28)</f>
        <v>#DIV/0!</v>
      </c>
      <c r="CY226" s="50" t="e">
        <f t="shared" si="2085"/>
        <v>#DIV/0!</v>
      </c>
      <c r="CZ226" s="50" t="e">
        <f t="shared" si="2085"/>
        <v>#DIV/0!</v>
      </c>
      <c r="DA226" s="50" t="e">
        <f t="shared" si="2085"/>
        <v>#DIV/0!</v>
      </c>
      <c r="DB226" s="50" t="e">
        <f t="shared" si="2085"/>
        <v>#DIV/0!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0</v>
      </c>
      <c r="BA227" s="66">
        <f t="shared" si="2086"/>
        <v>0</v>
      </c>
      <c r="BB227" s="66">
        <f t="shared" si="2086"/>
        <v>0</v>
      </c>
      <c r="BC227" s="66">
        <f t="shared" si="2086"/>
        <v>0</v>
      </c>
      <c r="BD227" s="66">
        <f t="shared" si="2086"/>
        <v>0</v>
      </c>
      <c r="BE227" s="66">
        <f t="shared" si="2086"/>
        <v>0</v>
      </c>
      <c r="BF227" s="66">
        <f t="shared" si="2086"/>
        <v>0</v>
      </c>
      <c r="BG227" s="66">
        <f t="shared" si="2086"/>
        <v>0</v>
      </c>
      <c r="BH227" s="66">
        <f t="shared" si="2086"/>
        <v>0</v>
      </c>
      <c r="BI227" s="66">
        <f t="shared" si="2086"/>
        <v>0</v>
      </c>
      <c r="BJ227" s="66">
        <f t="shared" si="2086"/>
        <v>0</v>
      </c>
      <c r="BK227" s="66">
        <f t="shared" si="2086"/>
        <v>0</v>
      </c>
      <c r="BL227" s="66">
        <f t="shared" si="2086"/>
        <v>0</v>
      </c>
      <c r="BM227" s="66">
        <f t="shared" si="2086"/>
        <v>0</v>
      </c>
      <c r="BN227" s="66">
        <f t="shared" si="2086"/>
        <v>0</v>
      </c>
      <c r="BO227" s="66">
        <f t="shared" si="2086"/>
        <v>0</v>
      </c>
      <c r="BP227" s="66">
        <f t="shared" si="2086"/>
        <v>0</v>
      </c>
      <c r="BQ227" s="66">
        <f t="shared" si="2086"/>
        <v>0</v>
      </c>
      <c r="BR227" s="66">
        <f t="shared" ref="BR227:CW227" si="2087">SUM(BO41:BR41)</f>
        <v>0</v>
      </c>
      <c r="BS227" s="66">
        <f t="shared" si="2087"/>
        <v>0</v>
      </c>
      <c r="BT227" s="66">
        <f t="shared" si="2087"/>
        <v>0</v>
      </c>
      <c r="BU227" s="66">
        <f t="shared" si="2087"/>
        <v>0</v>
      </c>
      <c r="BV227" s="66">
        <f t="shared" si="2087"/>
        <v>0</v>
      </c>
      <c r="BW227" s="66">
        <f t="shared" si="2087"/>
        <v>0</v>
      </c>
      <c r="BX227" s="66">
        <f t="shared" si="2087"/>
        <v>0</v>
      </c>
      <c r="BY227" s="66">
        <f t="shared" si="2087"/>
        <v>0</v>
      </c>
      <c r="BZ227" s="66">
        <f t="shared" si="2087"/>
        <v>0</v>
      </c>
      <c r="CA227" s="66">
        <f t="shared" si="2087"/>
        <v>0</v>
      </c>
      <c r="CB227" s="66">
        <f t="shared" si="2087"/>
        <v>0</v>
      </c>
      <c r="CC227" s="66">
        <f t="shared" si="2087"/>
        <v>0</v>
      </c>
      <c r="CD227" s="66">
        <f t="shared" si="2087"/>
        <v>0</v>
      </c>
      <c r="CE227" s="66">
        <f t="shared" si="2087"/>
        <v>0</v>
      </c>
      <c r="CF227" s="66">
        <f t="shared" si="2087"/>
        <v>-1.819999999999947</v>
      </c>
      <c r="CG227" s="66">
        <f t="shared" si="2087"/>
        <v>230.0200000000001</v>
      </c>
      <c r="CH227" s="66">
        <f t="shared" si="2087"/>
        <v>235.8300000000001</v>
      </c>
      <c r="CI227" s="66">
        <f t="shared" si="2087"/>
        <v>235.8300000000001</v>
      </c>
      <c r="CJ227" s="66">
        <f t="shared" si="2087"/>
        <v>188.58000000000004</v>
      </c>
      <c r="CK227" s="50">
        <f t="shared" si="2087"/>
        <v>-57.520000000000017</v>
      </c>
      <c r="CL227" s="66">
        <f t="shared" si="2087"/>
        <v>-219.17999999999998</v>
      </c>
      <c r="CM227" s="50" t="e">
        <f t="shared" si="2087"/>
        <v>#DIV/0!</v>
      </c>
      <c r="CN227" s="50" t="e">
        <f t="shared" si="2087"/>
        <v>#DIV/0!</v>
      </c>
      <c r="CO227" s="50" t="e">
        <f t="shared" si="2087"/>
        <v>#DIV/0!</v>
      </c>
      <c r="CP227" s="50" t="e">
        <f t="shared" si="2087"/>
        <v>#DIV/0!</v>
      </c>
      <c r="CQ227" s="50" t="e">
        <f t="shared" si="2087"/>
        <v>#DIV/0!</v>
      </c>
      <c r="CR227" s="50" t="e">
        <f t="shared" si="2087"/>
        <v>#DIV/0!</v>
      </c>
      <c r="CS227" s="50" t="e">
        <f t="shared" si="2087"/>
        <v>#DIV/0!</v>
      </c>
      <c r="CT227" s="50" t="e">
        <f t="shared" si="2087"/>
        <v>#DIV/0!</v>
      </c>
      <c r="CU227" s="50" t="e">
        <f t="shared" si="2087"/>
        <v>#DIV/0!</v>
      </c>
      <c r="CV227" s="50" t="e">
        <f t="shared" si="2087"/>
        <v>#DIV/0!</v>
      </c>
      <c r="CW227" s="50" t="e">
        <f t="shared" si="2087"/>
        <v>#DIV/0!</v>
      </c>
      <c r="CX227" s="50" t="e">
        <f t="shared" ref="CX227:DB227" si="2088">SUM(CU41:CX41)</f>
        <v>#DIV/0!</v>
      </c>
      <c r="CY227" s="50" t="e">
        <f t="shared" si="2088"/>
        <v>#DIV/0!</v>
      </c>
      <c r="CZ227" s="50" t="e">
        <f t="shared" si="2088"/>
        <v>#DIV/0!</v>
      </c>
      <c r="DA227" s="50" t="e">
        <f t="shared" si="2088"/>
        <v>#DIV/0!</v>
      </c>
      <c r="DB227" s="50" t="e">
        <f t="shared" si="2088"/>
        <v>#DIV/0!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0</v>
      </c>
      <c r="L231" s="64">
        <f t="shared" si="2089"/>
        <v>0</v>
      </c>
      <c r="M231" s="64">
        <f t="shared" si="2089"/>
        <v>0</v>
      </c>
      <c r="N231" s="64">
        <f t="shared" si="2089"/>
        <v>0</v>
      </c>
      <c r="O231" s="64">
        <f t="shared" si="2089"/>
        <v>0</v>
      </c>
      <c r="P231" s="64">
        <f t="shared" si="2089"/>
        <v>0</v>
      </c>
      <c r="Q231" s="64">
        <f t="shared" si="2089"/>
        <v>0</v>
      </c>
      <c r="R231" s="64">
        <f t="shared" si="2089"/>
        <v>0</v>
      </c>
      <c r="S231" s="64">
        <f t="shared" si="2089"/>
        <v>0</v>
      </c>
      <c r="T231" s="64">
        <f t="shared" si="2089"/>
        <v>0</v>
      </c>
      <c r="U231" s="64">
        <f t="shared" si="2089"/>
        <v>0</v>
      </c>
      <c r="V231" s="64">
        <f t="shared" si="2089"/>
        <v>0</v>
      </c>
      <c r="W231" s="64">
        <f t="shared" si="2089"/>
        <v>437.57499999999999</v>
      </c>
      <c r="X231" s="64">
        <f t="shared" si="2089"/>
        <v>636.59699999999998</v>
      </c>
      <c r="Y231" s="64">
        <f t="shared" si="2089"/>
        <v>828.01800000000003</v>
      </c>
      <c r="Z231" s="64">
        <f t="shared" si="2089"/>
        <v>1144.47</v>
      </c>
      <c r="AA231" s="64">
        <f t="shared" ref="AA231" si="2090">AA8-AA237</f>
        <v>1555.54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0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0</v>
      </c>
      <c r="BH231" s="64">
        <f t="shared" si="2091"/>
        <v>0</v>
      </c>
      <c r="BI231" s="64">
        <f t="shared" si="2091"/>
        <v>0</v>
      </c>
      <c r="BJ231" s="64">
        <f t="shared" si="2091"/>
        <v>0</v>
      </c>
      <c r="BK231" s="64">
        <f t="shared" si="2091"/>
        <v>0</v>
      </c>
      <c r="BL231" s="64">
        <f t="shared" si="2091"/>
        <v>0</v>
      </c>
      <c r="BM231" s="64">
        <f t="shared" si="2091"/>
        <v>0</v>
      </c>
      <c r="BN231" s="64">
        <f t="shared" si="2091"/>
        <v>0</v>
      </c>
      <c r="BO231" s="64">
        <f t="shared" ref="BO231:CT231" si="2092">BO8-BO237</f>
        <v>0</v>
      </c>
      <c r="BP231" s="64">
        <f t="shared" si="2092"/>
        <v>0</v>
      </c>
      <c r="BQ231" s="64">
        <f t="shared" si="2092"/>
        <v>0</v>
      </c>
      <c r="BR231" s="64">
        <f t="shared" si="2092"/>
        <v>0</v>
      </c>
      <c r="BS231" s="64">
        <f t="shared" si="2092"/>
        <v>0</v>
      </c>
      <c r="BT231" s="64">
        <f t="shared" si="2092"/>
        <v>0</v>
      </c>
      <c r="BU231" s="64">
        <f t="shared" si="2092"/>
        <v>0</v>
      </c>
      <c r="BV231" s="64">
        <f t="shared" si="2092"/>
        <v>0</v>
      </c>
      <c r="BW231" s="64">
        <f t="shared" si="2092"/>
        <v>0</v>
      </c>
      <c r="BX231" s="64">
        <f t="shared" si="2092"/>
        <v>0</v>
      </c>
      <c r="BY231" s="64">
        <f t="shared" si="2092"/>
        <v>0</v>
      </c>
      <c r="BZ231" s="64">
        <f t="shared" si="2092"/>
        <v>0</v>
      </c>
      <c r="CA231" s="64">
        <f t="shared" si="2092"/>
        <v>0</v>
      </c>
      <c r="CB231" s="64">
        <f t="shared" si="2092"/>
        <v>0</v>
      </c>
      <c r="CC231" s="64">
        <f t="shared" si="2092"/>
        <v>0</v>
      </c>
      <c r="CD231" s="64">
        <f t="shared" si="2092"/>
        <v>0</v>
      </c>
      <c r="CE231" s="64">
        <f t="shared" si="2092"/>
        <v>0</v>
      </c>
      <c r="CF231" s="64">
        <f t="shared" si="2092"/>
        <v>277.24</v>
      </c>
      <c r="CG231" s="64">
        <f t="shared" si="2092"/>
        <v>287.92</v>
      </c>
      <c r="CH231" s="64">
        <f t="shared" si="2092"/>
        <v>298.45</v>
      </c>
      <c r="CI231" s="64">
        <f t="shared" si="2092"/>
        <v>0</v>
      </c>
      <c r="CJ231" s="64">
        <f t="shared" si="2092"/>
        <v>380.03</v>
      </c>
      <c r="CK231" s="30">
        <f t="shared" si="2092"/>
        <v>382.68</v>
      </c>
      <c r="CL231" s="64">
        <f t="shared" ref="CL231" si="2093">CL8-CL237</f>
        <v>425.56</v>
      </c>
      <c r="CM231" s="30" t="e">
        <f t="shared" si="2092"/>
        <v>#DIV/0!</v>
      </c>
      <c r="CN231" s="30" t="e">
        <f t="shared" si="2092"/>
        <v>#DIV/0!</v>
      </c>
      <c r="CO231" s="30" t="e">
        <f t="shared" si="2092"/>
        <v>#DIV/0!</v>
      </c>
      <c r="CP231" s="30" t="e">
        <f t="shared" si="2092"/>
        <v>#DIV/0!</v>
      </c>
      <c r="CQ231" s="30" t="e">
        <f t="shared" si="2092"/>
        <v>#DIV/0!</v>
      </c>
      <c r="CR231" s="30" t="e">
        <f t="shared" si="2092"/>
        <v>#DIV/0!</v>
      </c>
      <c r="CS231" s="30" t="e">
        <f t="shared" si="2092"/>
        <v>#DIV/0!</v>
      </c>
      <c r="CT231" s="30" t="e">
        <f t="shared" si="2092"/>
        <v>#DIV/0!</v>
      </c>
      <c r="CU231" s="30" t="e">
        <f t="shared" ref="CU231:DB231" si="2094">CU8-CU237</f>
        <v>#DIV/0!</v>
      </c>
      <c r="CV231" s="30" t="e">
        <f t="shared" si="2094"/>
        <v>#DIV/0!</v>
      </c>
      <c r="CW231" s="30" t="e">
        <f t="shared" si="2094"/>
        <v>#DIV/0!</v>
      </c>
      <c r="CX231" s="30" t="e">
        <f t="shared" si="2094"/>
        <v>#DIV/0!</v>
      </c>
      <c r="CY231" s="30" t="e">
        <f t="shared" si="2094"/>
        <v>#DIV/0!</v>
      </c>
      <c r="CZ231" s="30" t="e">
        <f t="shared" si="2094"/>
        <v>#DIV/0!</v>
      </c>
      <c r="DA231" s="30" t="e">
        <f t="shared" si="2094"/>
        <v>#DIV/0!</v>
      </c>
      <c r="DB231" s="30" t="e">
        <f t="shared" si="2094"/>
        <v>#DIV/0!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0</v>
      </c>
      <c r="K232" s="64">
        <f t="shared" si="2095"/>
        <v>0</v>
      </c>
      <c r="L232" s="64">
        <f t="shared" si="2095"/>
        <v>0</v>
      </c>
      <c r="M232" s="64">
        <f t="shared" si="2095"/>
        <v>0</v>
      </c>
      <c r="N232" s="64">
        <f t="shared" si="2095"/>
        <v>0</v>
      </c>
      <c r="O232" s="64">
        <f t="shared" si="2095"/>
        <v>0</v>
      </c>
      <c r="P232" s="64">
        <f t="shared" si="2095"/>
        <v>0</v>
      </c>
      <c r="Q232" s="64">
        <f t="shared" si="2095"/>
        <v>0</v>
      </c>
      <c r="R232" s="64">
        <f t="shared" si="2095"/>
        <v>0</v>
      </c>
      <c r="S232" s="64">
        <f t="shared" si="2095"/>
        <v>0</v>
      </c>
      <c r="T232" s="64">
        <f t="shared" si="2095"/>
        <v>0</v>
      </c>
      <c r="U232" s="64">
        <f t="shared" si="2095"/>
        <v>0</v>
      </c>
      <c r="V232" s="64">
        <f t="shared" si="2095"/>
        <v>0</v>
      </c>
      <c r="W232" s="64">
        <f t="shared" si="2095"/>
        <v>-549.37199999999996</v>
      </c>
      <c r="X232" s="64">
        <f t="shared" si="2095"/>
        <v>-364.01300000000015</v>
      </c>
      <c r="Y232" s="64">
        <f t="shared" si="2095"/>
        <v>-146.38999999999999</v>
      </c>
      <c r="Z232" s="64">
        <f t="shared" si="2095"/>
        <v>-32.090000000000032</v>
      </c>
      <c r="AA232" s="64">
        <f t="shared" ref="AA232" si="2096">AA28-AA238</f>
        <v>-223.3900000000001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0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0</v>
      </c>
      <c r="BH232" s="64">
        <f t="shared" si="2097"/>
        <v>0</v>
      </c>
      <c r="BI232" s="64">
        <f t="shared" si="2097"/>
        <v>0</v>
      </c>
      <c r="BJ232" s="64">
        <f t="shared" si="2097"/>
        <v>0</v>
      </c>
      <c r="BK232" s="64">
        <f t="shared" si="2097"/>
        <v>0</v>
      </c>
      <c r="BL232" s="64">
        <f t="shared" si="2097"/>
        <v>0</v>
      </c>
      <c r="BM232" s="64">
        <f t="shared" si="2097"/>
        <v>0</v>
      </c>
      <c r="BN232" s="64">
        <f t="shared" si="2097"/>
        <v>0</v>
      </c>
      <c r="BO232" s="64">
        <f t="shared" ref="BO232:CT232" si="2098">BO28-BO238</f>
        <v>0</v>
      </c>
      <c r="BP232" s="64">
        <f t="shared" si="2098"/>
        <v>0</v>
      </c>
      <c r="BQ232" s="64">
        <f t="shared" si="2098"/>
        <v>0</v>
      </c>
      <c r="BR232" s="64">
        <f t="shared" si="2098"/>
        <v>0</v>
      </c>
      <c r="BS232" s="64">
        <f t="shared" si="2098"/>
        <v>0</v>
      </c>
      <c r="BT232" s="64">
        <f t="shared" si="2098"/>
        <v>0</v>
      </c>
      <c r="BU232" s="64">
        <f t="shared" si="2098"/>
        <v>0</v>
      </c>
      <c r="BV232" s="64">
        <f t="shared" si="2098"/>
        <v>0</v>
      </c>
      <c r="BW232" s="64">
        <f t="shared" si="2098"/>
        <v>0</v>
      </c>
      <c r="BX232" s="64">
        <f t="shared" si="2098"/>
        <v>0</v>
      </c>
      <c r="BY232" s="64">
        <f t="shared" si="2098"/>
        <v>0</v>
      </c>
      <c r="BZ232" s="64">
        <f t="shared" si="2098"/>
        <v>0</v>
      </c>
      <c r="CA232" s="64">
        <f t="shared" si="2098"/>
        <v>0</v>
      </c>
      <c r="CB232" s="64">
        <f t="shared" si="2098"/>
        <v>0</v>
      </c>
      <c r="CC232" s="64">
        <f t="shared" si="2098"/>
        <v>0</v>
      </c>
      <c r="CD232" s="64">
        <f t="shared" si="2098"/>
        <v>0</v>
      </c>
      <c r="CE232" s="64">
        <f t="shared" si="2098"/>
        <v>0</v>
      </c>
      <c r="CF232" s="64">
        <f t="shared" si="2098"/>
        <v>-16.309999999999945</v>
      </c>
      <c r="CG232" s="64">
        <f t="shared" si="2098"/>
        <v>-1.8999999999999773</v>
      </c>
      <c r="CH232" s="64">
        <f t="shared" si="2098"/>
        <v>-9.9300000000000068</v>
      </c>
      <c r="CI232" s="64">
        <f t="shared" si="2098"/>
        <v>0</v>
      </c>
      <c r="CJ232" s="64">
        <f t="shared" si="2098"/>
        <v>-68.360000000000014</v>
      </c>
      <c r="CK232" s="30">
        <f t="shared" si="2098"/>
        <v>-35.31</v>
      </c>
      <c r="CL232" s="64">
        <f t="shared" ref="CL232" si="2099">CL28-CL238</f>
        <v>-114.44</v>
      </c>
      <c r="CM232" s="30" t="e">
        <f t="shared" si="2098"/>
        <v>#DIV/0!</v>
      </c>
      <c r="CN232" s="30" t="e">
        <f t="shared" si="2098"/>
        <v>#DIV/0!</v>
      </c>
      <c r="CO232" s="30" t="e">
        <f t="shared" si="2098"/>
        <v>#DIV/0!</v>
      </c>
      <c r="CP232" s="30" t="e">
        <f t="shared" si="2098"/>
        <v>#DIV/0!</v>
      </c>
      <c r="CQ232" s="30" t="e">
        <f t="shared" si="2098"/>
        <v>#DIV/0!</v>
      </c>
      <c r="CR232" s="30" t="e">
        <f t="shared" si="2098"/>
        <v>#DIV/0!</v>
      </c>
      <c r="CS232" s="30" t="e">
        <f t="shared" si="2098"/>
        <v>#DIV/0!</v>
      </c>
      <c r="CT232" s="30" t="e">
        <f t="shared" si="2098"/>
        <v>#DIV/0!</v>
      </c>
      <c r="CU232" s="30" t="e">
        <f t="shared" ref="CU232:DB232" si="2100">CU28-CU238</f>
        <v>#DIV/0!</v>
      </c>
      <c r="CV232" s="30" t="e">
        <f t="shared" si="2100"/>
        <v>#DIV/0!</v>
      </c>
      <c r="CW232" s="30" t="e">
        <f t="shared" si="2100"/>
        <v>#DIV/0!</v>
      </c>
      <c r="CX232" s="30" t="e">
        <f t="shared" si="2100"/>
        <v>#DIV/0!</v>
      </c>
      <c r="CY232" s="30" t="e">
        <f t="shared" si="2100"/>
        <v>#DIV/0!</v>
      </c>
      <c r="CZ232" s="30" t="e">
        <f t="shared" si="2100"/>
        <v>#DIV/0!</v>
      </c>
      <c r="DA232" s="30" t="e">
        <f t="shared" si="2100"/>
        <v>#DIV/0!</v>
      </c>
      <c r="DB232" s="30" t="e">
        <f t="shared" si="2100"/>
        <v>#DIV/0!</v>
      </c>
      <c r="DE232" s="139"/>
    </row>
    <row r="233" spans="1:109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 t="e">
        <f t="shared" ref="K233" si="2109">+K232/K231</f>
        <v>#DIV/0!</v>
      </c>
      <c r="L233" s="86" t="e">
        <f t="shared" ref="L233" si="2110">+L232/L231</f>
        <v>#DIV/0!</v>
      </c>
      <c r="M233" s="86" t="e">
        <f t="shared" ref="M233" si="2111">+M232/M231</f>
        <v>#DIV/0!</v>
      </c>
      <c r="N233" s="86" t="e">
        <f t="shared" ref="N233" si="2112">+N232/N231</f>
        <v>#DIV/0!</v>
      </c>
      <c r="O233" s="86" t="e">
        <f t="shared" ref="O233" si="2113">+O232/O231</f>
        <v>#DIV/0!</v>
      </c>
      <c r="P233" s="86" t="e">
        <f t="shared" ref="P233" si="2114">+P232/P231</f>
        <v>#DIV/0!</v>
      </c>
      <c r="Q233" s="86" t="e">
        <f t="shared" ref="Q233" si="2115">+Q232/Q231</f>
        <v>#DIV/0!</v>
      </c>
      <c r="R233" s="86" t="e">
        <f t="shared" ref="R233" si="2116">+R232/R231</f>
        <v>#DIV/0!</v>
      </c>
      <c r="S233" s="86" t="e">
        <f t="shared" ref="S233" si="2117">+S232/S231</f>
        <v>#DIV/0!</v>
      </c>
      <c r="T233" s="86" t="e">
        <f t="shared" ref="T233" si="2118">+T232/T231</f>
        <v>#DIV/0!</v>
      </c>
      <c r="U233" s="86" t="e">
        <f t="shared" ref="U233" si="2119">+U232/U231</f>
        <v>#DIV/0!</v>
      </c>
      <c r="V233" s="86" t="e">
        <f t="shared" ref="V233" si="2120">+V232/V231</f>
        <v>#DIV/0!</v>
      </c>
      <c r="W233" s="86">
        <f t="shared" ref="W233" si="2121">+W232/W231</f>
        <v>-1.2554922013369136</v>
      </c>
      <c r="X233" s="86">
        <f t="shared" ref="X233:Y233" si="2122">+X232/X231</f>
        <v>-0.57181073740529753</v>
      </c>
      <c r="Y233" s="86">
        <f t="shared" si="2122"/>
        <v>-0.17679567352400549</v>
      </c>
      <c r="Z233" s="86">
        <f t="shared" ref="Z233:AA233" si="2123">+Z232/Z231</f>
        <v>-2.8039179707637623E-2</v>
      </c>
      <c r="AA233" s="86">
        <f t="shared" si="2123"/>
        <v>-0.14360929323578958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 t="e">
        <f t="shared" ref="BA233" si="2142">+BA232/BA231</f>
        <v>#DIV/0!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 t="e">
        <f t="shared" ref="BI233" si="2150">+BI232/BI231</f>
        <v>#DIV/0!</v>
      </c>
      <c r="BJ233" s="86" t="e">
        <f t="shared" ref="BJ233" si="2151">+BJ232/BJ231</f>
        <v>#DIV/0!</v>
      </c>
      <c r="BK233" s="86" t="e">
        <f t="shared" ref="BK233" si="2152">+BK232/BK231</f>
        <v>#DIV/0!</v>
      </c>
      <c r="BL233" s="86" t="e">
        <f t="shared" ref="BL233" si="2153">+BL232/BL231</f>
        <v>#DIV/0!</v>
      </c>
      <c r="BM233" s="86" t="e">
        <f t="shared" ref="BM233" si="2154">+BM232/BM231</f>
        <v>#DIV/0!</v>
      </c>
      <c r="BN233" s="86" t="e">
        <f t="shared" ref="BN233" si="2155">+BN232/BN231</f>
        <v>#DIV/0!</v>
      </c>
      <c r="BO233" s="86" t="e">
        <f t="shared" ref="BO233" si="2156">+BO232/BO231</f>
        <v>#DIV/0!</v>
      </c>
      <c r="BP233" s="86" t="e">
        <f t="shared" ref="BP233" si="2157">+BP232/BP231</f>
        <v>#DIV/0!</v>
      </c>
      <c r="BQ233" s="86" t="e">
        <f t="shared" ref="BQ233" si="2158">+BQ232/BQ231</f>
        <v>#DIV/0!</v>
      </c>
      <c r="BR233" s="86" t="e">
        <f t="shared" ref="BR233" si="2159">+BR232/BR231</f>
        <v>#DIV/0!</v>
      </c>
      <c r="BS233" s="86" t="e">
        <f t="shared" ref="BS233" si="2160">+BS232/BS231</f>
        <v>#DIV/0!</v>
      </c>
      <c r="BT233" s="86" t="e">
        <f t="shared" ref="BT233" si="2161">+BT232/BT231</f>
        <v>#DIV/0!</v>
      </c>
      <c r="BU233" s="86" t="e">
        <f t="shared" ref="BU233" si="2162">+BU232/BU231</f>
        <v>#DIV/0!</v>
      </c>
      <c r="BV233" s="86" t="e">
        <f t="shared" ref="BV233" si="2163">+BV232/BV231</f>
        <v>#DIV/0!</v>
      </c>
      <c r="BW233" s="86" t="e">
        <f t="shared" ref="BW233" si="2164">+BW232/BW231</f>
        <v>#DIV/0!</v>
      </c>
      <c r="BX233" s="86" t="e">
        <f t="shared" ref="BX233" si="2165">+BX232/BX231</f>
        <v>#DIV/0!</v>
      </c>
      <c r="BY233" s="86" t="e">
        <f t="shared" ref="BY233" si="2166">+BY232/BY231</f>
        <v>#DIV/0!</v>
      </c>
      <c r="BZ233" s="86" t="e">
        <f t="shared" ref="BZ233" si="2167">+BZ232/BZ231</f>
        <v>#DIV/0!</v>
      </c>
      <c r="CA233" s="86" t="e">
        <f t="shared" ref="CA233" si="2168">+CA232/CA231</f>
        <v>#DIV/0!</v>
      </c>
      <c r="CB233" s="86" t="e">
        <f t="shared" ref="CB233:CC233" si="2169">+CB232/CB231</f>
        <v>#DIV/0!</v>
      </c>
      <c r="CC233" s="86" t="e">
        <f t="shared" si="2169"/>
        <v>#DIV/0!</v>
      </c>
      <c r="CD233" s="86" t="e">
        <f t="shared" ref="CD233" si="2170">+CD232/CD231</f>
        <v>#DIV/0!</v>
      </c>
      <c r="CE233" s="86" t="e">
        <f t="shared" ref="CE233:CF233" si="2171">+CE232/CE231</f>
        <v>#DIV/0!</v>
      </c>
      <c r="CF233" s="86">
        <f t="shared" si="2171"/>
        <v>-5.8829894676092717E-2</v>
      </c>
      <c r="CG233" s="86">
        <f t="shared" ref="CG233:CH233" si="2172">+CG232/CG231</f>
        <v>-6.5990552931369031E-3</v>
      </c>
      <c r="CH233" s="86">
        <f t="shared" si="2172"/>
        <v>-3.3271904841682048E-2</v>
      </c>
      <c r="CI233" s="86" t="e">
        <f t="shared" ref="CI233:CJ233" si="2173">+CI232/CI231</f>
        <v>#DIV/0!</v>
      </c>
      <c r="CJ233" s="86">
        <f t="shared" si="2173"/>
        <v>-0.17988053574717791</v>
      </c>
      <c r="CK233" s="47">
        <f t="shared" ref="CK233:DB233" si="2174">+CK232/CK231</f>
        <v>-9.227030417058639E-2</v>
      </c>
      <c r="CL233" s="86">
        <f t="shared" si="2174"/>
        <v>-0.26891625152739917</v>
      </c>
      <c r="CM233" s="47" t="e">
        <f t="shared" si="2174"/>
        <v>#DIV/0!</v>
      </c>
      <c r="CN233" s="47" t="e">
        <f t="shared" si="2174"/>
        <v>#DIV/0!</v>
      </c>
      <c r="CO233" s="47" t="e">
        <f t="shared" si="2174"/>
        <v>#DIV/0!</v>
      </c>
      <c r="CP233" s="47" t="e">
        <f t="shared" si="2174"/>
        <v>#DIV/0!</v>
      </c>
      <c r="CQ233" s="47" t="e">
        <f t="shared" si="2174"/>
        <v>#DIV/0!</v>
      </c>
      <c r="CR233" s="47" t="e">
        <f t="shared" si="2174"/>
        <v>#DIV/0!</v>
      </c>
      <c r="CS233" s="47" t="e">
        <f t="shared" si="2174"/>
        <v>#DIV/0!</v>
      </c>
      <c r="CT233" s="47" t="e">
        <f t="shared" si="2174"/>
        <v>#DIV/0!</v>
      </c>
      <c r="CU233" s="47" t="e">
        <f t="shared" si="2174"/>
        <v>#DIV/0!</v>
      </c>
      <c r="CV233" s="47" t="e">
        <f t="shared" si="2174"/>
        <v>#DIV/0!</v>
      </c>
      <c r="CW233" s="47" t="e">
        <f t="shared" si="2174"/>
        <v>#DIV/0!</v>
      </c>
      <c r="CX233" s="47" t="e">
        <f t="shared" si="2174"/>
        <v>#DIV/0!</v>
      </c>
      <c r="CY233" s="47" t="e">
        <f t="shared" si="2174"/>
        <v>#DIV/0!</v>
      </c>
      <c r="CZ233" s="47" t="e">
        <f t="shared" si="2174"/>
        <v>#DIV/0!</v>
      </c>
      <c r="DA233" s="47" t="e">
        <f t="shared" si="2174"/>
        <v>#DIV/0!</v>
      </c>
      <c r="DB233" s="47" t="e">
        <f t="shared" si="2174"/>
        <v>#DIV/0!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0</v>
      </c>
      <c r="K234" s="64">
        <f t="shared" si="2175"/>
        <v>0</v>
      </c>
      <c r="L234" s="64">
        <f t="shared" si="2175"/>
        <v>0</v>
      </c>
      <c r="M234" s="64">
        <f t="shared" si="2175"/>
        <v>0</v>
      </c>
      <c r="N234" s="64">
        <f t="shared" si="2175"/>
        <v>0</v>
      </c>
      <c r="O234" s="64">
        <f t="shared" si="2175"/>
        <v>0</v>
      </c>
      <c r="P234" s="64">
        <f t="shared" si="2175"/>
        <v>0</v>
      </c>
      <c r="Q234" s="64">
        <f t="shared" si="2175"/>
        <v>0</v>
      </c>
      <c r="R234" s="64">
        <f t="shared" si="2175"/>
        <v>0</v>
      </c>
      <c r="S234" s="64">
        <f t="shared" si="2175"/>
        <v>0</v>
      </c>
      <c r="T234" s="64">
        <f t="shared" si="2175"/>
        <v>0</v>
      </c>
      <c r="U234" s="64">
        <f t="shared" si="2175"/>
        <v>0</v>
      </c>
      <c r="V234" s="64">
        <f t="shared" si="2175"/>
        <v>0</v>
      </c>
      <c r="W234" s="64">
        <f t="shared" si="2175"/>
        <v>-514.14499999999987</v>
      </c>
      <c r="X234" s="64">
        <f t="shared" si="2175"/>
        <v>-312.48400000000015</v>
      </c>
      <c r="Y234" s="64">
        <f t="shared" si="2175"/>
        <v>-92.771999999999991</v>
      </c>
      <c r="Z234" s="64">
        <f t="shared" si="2175"/>
        <v>248.40999999999997</v>
      </c>
      <c r="AA234" s="64">
        <f t="shared" ref="AA234" si="2176">AA41-AA240</f>
        <v>-203.6400000000001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0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0</v>
      </c>
      <c r="BH234" s="64">
        <f t="shared" si="2177"/>
        <v>0</v>
      </c>
      <c r="BI234" s="64">
        <f t="shared" si="2177"/>
        <v>0</v>
      </c>
      <c r="BJ234" s="64">
        <f t="shared" si="2177"/>
        <v>0</v>
      </c>
      <c r="BK234" s="64">
        <f t="shared" si="2177"/>
        <v>0</v>
      </c>
      <c r="BL234" s="64">
        <f t="shared" si="2177"/>
        <v>0</v>
      </c>
      <c r="BM234" s="64">
        <f t="shared" si="2177"/>
        <v>0</v>
      </c>
      <c r="BN234" s="64">
        <f t="shared" si="2177"/>
        <v>0</v>
      </c>
      <c r="BO234" s="64">
        <f t="shared" ref="BO234:CT234" si="2178">BO41-BO240</f>
        <v>0</v>
      </c>
      <c r="BP234" s="64">
        <f t="shared" si="2178"/>
        <v>0</v>
      </c>
      <c r="BQ234" s="64">
        <f t="shared" si="2178"/>
        <v>0</v>
      </c>
      <c r="BR234" s="64">
        <f t="shared" si="2178"/>
        <v>0</v>
      </c>
      <c r="BS234" s="64">
        <f t="shared" si="2178"/>
        <v>0</v>
      </c>
      <c r="BT234" s="64">
        <f t="shared" si="2178"/>
        <v>0</v>
      </c>
      <c r="BU234" s="64">
        <f t="shared" si="2178"/>
        <v>0</v>
      </c>
      <c r="BV234" s="64">
        <f t="shared" si="2178"/>
        <v>0</v>
      </c>
      <c r="BW234" s="64">
        <f t="shared" si="2178"/>
        <v>0</v>
      </c>
      <c r="BX234" s="64">
        <f t="shared" si="2178"/>
        <v>0</v>
      </c>
      <c r="BY234" s="64">
        <f t="shared" si="2178"/>
        <v>0</v>
      </c>
      <c r="BZ234" s="64">
        <f t="shared" si="2178"/>
        <v>0</v>
      </c>
      <c r="CA234" s="64">
        <f t="shared" si="2178"/>
        <v>0</v>
      </c>
      <c r="CB234" s="64">
        <f t="shared" si="2178"/>
        <v>0</v>
      </c>
      <c r="CC234" s="64">
        <f t="shared" si="2178"/>
        <v>0</v>
      </c>
      <c r="CD234" s="64">
        <f t="shared" si="2178"/>
        <v>0</v>
      </c>
      <c r="CE234" s="64">
        <f t="shared" si="2178"/>
        <v>0</v>
      </c>
      <c r="CF234" s="64">
        <f t="shared" si="2178"/>
        <v>-1.819999999999947</v>
      </c>
      <c r="CG234" s="64">
        <f t="shared" si="2178"/>
        <v>231.84000000000003</v>
      </c>
      <c r="CH234" s="64">
        <f t="shared" si="2178"/>
        <v>5.8099999999999952</v>
      </c>
      <c r="CI234" s="64">
        <f t="shared" si="2178"/>
        <v>0</v>
      </c>
      <c r="CJ234" s="64">
        <f t="shared" si="2178"/>
        <v>-49.070000000000007</v>
      </c>
      <c r="CK234" s="30">
        <f t="shared" si="2178"/>
        <v>-14.260000000000005</v>
      </c>
      <c r="CL234" s="64">
        <f t="shared" ref="CL234" si="2179">CL41-CL240</f>
        <v>-155.84999999999997</v>
      </c>
      <c r="CM234" s="30" t="e">
        <f t="shared" si="2178"/>
        <v>#DIV/0!</v>
      </c>
      <c r="CN234" s="30" t="e">
        <f t="shared" si="2178"/>
        <v>#DIV/0!</v>
      </c>
      <c r="CO234" s="30" t="e">
        <f t="shared" si="2178"/>
        <v>#DIV/0!</v>
      </c>
      <c r="CP234" s="30" t="e">
        <f t="shared" si="2178"/>
        <v>#DIV/0!</v>
      </c>
      <c r="CQ234" s="30" t="e">
        <f t="shared" si="2178"/>
        <v>#DIV/0!</v>
      </c>
      <c r="CR234" s="30" t="e">
        <f t="shared" si="2178"/>
        <v>#DIV/0!</v>
      </c>
      <c r="CS234" s="30" t="e">
        <f t="shared" si="2178"/>
        <v>#DIV/0!</v>
      </c>
      <c r="CT234" s="30" t="e">
        <f t="shared" si="2178"/>
        <v>#DIV/0!</v>
      </c>
      <c r="CU234" s="30" t="e">
        <f t="shared" ref="CU234:DB234" si="2180">CU41-CU240</f>
        <v>#DIV/0!</v>
      </c>
      <c r="CV234" s="30" t="e">
        <f t="shared" si="2180"/>
        <v>#DIV/0!</v>
      </c>
      <c r="CW234" s="30" t="e">
        <f t="shared" si="2180"/>
        <v>#DIV/0!</v>
      </c>
      <c r="CX234" s="30" t="e">
        <f t="shared" si="2180"/>
        <v>#DIV/0!</v>
      </c>
      <c r="CY234" s="30" t="e">
        <f t="shared" si="2180"/>
        <v>#DIV/0!</v>
      </c>
      <c r="CZ234" s="30" t="e">
        <f t="shared" si="2180"/>
        <v>#DIV/0!</v>
      </c>
      <c r="DA234" s="30" t="e">
        <f t="shared" si="2180"/>
        <v>#DIV/0!</v>
      </c>
      <c r="DB234" s="30" t="e">
        <f t="shared" si="2180"/>
        <v>#DIV/0!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 t="e">
        <f t="shared" si="2235"/>
        <v>#DIV/0!</v>
      </c>
      <c r="K244" s="84" t="e">
        <f t="shared" si="2235"/>
        <v>#DIV/0!</v>
      </c>
      <c r="L244" s="84" t="e">
        <f t="shared" si="2235"/>
        <v>#DIV/0!</v>
      </c>
      <c r="M244" s="84" t="e">
        <f t="shared" si="2235"/>
        <v>#DIV/0!</v>
      </c>
      <c r="N244" s="84" t="e">
        <f t="shared" si="2235"/>
        <v>#DIV/0!</v>
      </c>
      <c r="O244" s="84" t="e">
        <f t="shared" si="2235"/>
        <v>#DIV/0!</v>
      </c>
      <c r="P244" s="84" t="e">
        <f t="shared" si="2235"/>
        <v>#DIV/0!</v>
      </c>
      <c r="Q244" s="84" t="e">
        <f t="shared" si="2235"/>
        <v>#DIV/0!</v>
      </c>
      <c r="R244" s="84" t="e">
        <f t="shared" si="2235"/>
        <v>#DIV/0!</v>
      </c>
      <c r="S244" s="84" t="e">
        <f t="shared" si="2235"/>
        <v>#DIV/0!</v>
      </c>
      <c r="T244" s="84" t="e">
        <f t="shared" si="2235"/>
        <v>#DIV/0!</v>
      </c>
      <c r="U244" s="84" t="e">
        <f t="shared" si="2235"/>
        <v>#DIV/0!</v>
      </c>
      <c r="V244" s="84" t="e">
        <f t="shared" si="2235"/>
        <v>#DIV/0!</v>
      </c>
      <c r="W244" s="84">
        <f t="shared" si="2235"/>
        <v>0.24390468222298151</v>
      </c>
      <c r="X244" s="84">
        <f t="shared" si="2235"/>
        <v>0.4025986263771012</v>
      </c>
      <c r="Y244" s="84">
        <f t="shared" si="2235"/>
        <v>0.57298873561850294</v>
      </c>
      <c r="Z244" s="84">
        <f>Z10/(Z161+Z148+Z138)</f>
        <v>0.62819802067152253</v>
      </c>
      <c r="AA244" s="84">
        <f>AA10/(AA161+AA148+AA138)</f>
        <v>0.70785836825890891</v>
      </c>
      <c r="AB244" s="50" t="e">
        <f t="shared" ref="AA244:AE244" si="2236">AB10/(AB161+AB148+AB138)</f>
        <v>#DIV/0!</v>
      </c>
      <c r="AC244" s="50" t="e">
        <f t="shared" si="2236"/>
        <v>#DIV/0!</v>
      </c>
      <c r="AD244" s="50" t="e">
        <f t="shared" si="2236"/>
        <v>#DIV/0!</v>
      </c>
      <c r="AE244" s="50" t="e">
        <f t="shared" si="2236"/>
        <v>#DIV/0!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 t="e">
        <f t="shared" si="2237"/>
        <v>#DIV/0!</v>
      </c>
      <c r="BJ244" s="84" t="e">
        <f t="shared" si="2237"/>
        <v>#DIV/0!</v>
      </c>
      <c r="BK244" s="84" t="e">
        <f t="shared" si="2237"/>
        <v>#DIV/0!</v>
      </c>
      <c r="BL244" s="84" t="e">
        <f t="shared" si="2237"/>
        <v>#DIV/0!</v>
      </c>
      <c r="BM244" s="84" t="e">
        <f t="shared" si="2237"/>
        <v>#DIV/0!</v>
      </c>
      <c r="BN244" s="84" t="e">
        <f t="shared" si="2237"/>
        <v>#DIV/0!</v>
      </c>
      <c r="BO244" s="84" t="e">
        <f t="shared" si="2237"/>
        <v>#DIV/0!</v>
      </c>
      <c r="BP244" s="84" t="e">
        <f t="shared" si="2237"/>
        <v>#DIV/0!</v>
      </c>
      <c r="BQ244" s="84" t="e">
        <f t="shared" si="2237"/>
        <v>#DIV/0!</v>
      </c>
      <c r="BR244" s="84" t="e">
        <f t="shared" si="2237"/>
        <v>#DIV/0!</v>
      </c>
      <c r="BS244" s="84" t="e">
        <f t="shared" si="2237"/>
        <v>#DIV/0!</v>
      </c>
      <c r="BT244" s="84" t="e">
        <f t="shared" si="2237"/>
        <v>#DIV/0!</v>
      </c>
      <c r="BU244" s="84" t="e">
        <f t="shared" si="2237"/>
        <v>#DIV/0!</v>
      </c>
      <c r="BV244" s="84" t="e">
        <f t="shared" si="2237"/>
        <v>#DIV/0!</v>
      </c>
      <c r="BW244" s="84" t="e">
        <f t="shared" si="2237"/>
        <v>#DIV/0!</v>
      </c>
      <c r="BX244" s="84" t="e">
        <f t="shared" si="2237"/>
        <v>#DIV/0!</v>
      </c>
      <c r="BY244" s="84" t="e">
        <f t="shared" si="2237"/>
        <v>#DIV/0!</v>
      </c>
      <c r="BZ244" s="84" t="e">
        <f t="shared" si="2237"/>
        <v>#DIV/0!</v>
      </c>
      <c r="CA244" s="84" t="e">
        <f t="shared" si="2237"/>
        <v>#DIV/0!</v>
      </c>
      <c r="CB244" s="84" t="e">
        <f t="shared" si="2237"/>
        <v>#DIV/0!</v>
      </c>
      <c r="CC244" s="84" t="e">
        <f t="shared" si="2237"/>
        <v>#DIV/0!</v>
      </c>
      <c r="CD244" s="84" t="e">
        <f t="shared" si="2237"/>
        <v>#DIV/0!</v>
      </c>
      <c r="CE244" s="84" t="e">
        <f t="shared" si="2237"/>
        <v>#DIV/0!</v>
      </c>
      <c r="CF244" s="84" t="e">
        <f t="shared" si="2237"/>
        <v>#DIV/0!</v>
      </c>
      <c r="CG244" s="84">
        <f t="shared" si="2237"/>
        <v>2.4377156659765356</v>
      </c>
      <c r="CH244" s="84">
        <f t="shared" si="2237"/>
        <v>0.47403435007657141</v>
      </c>
      <c r="CI244" s="84">
        <f t="shared" si="2237"/>
        <v>0.60945935455642519</v>
      </c>
      <c r="CJ244" s="84">
        <f t="shared" si="2237"/>
        <v>0.41058409666400414</v>
      </c>
      <c r="CK244" s="50">
        <f t="shared" ref="CK244" si="2238">SUM(CH10:CK10)/(CK161+CK148+CK138)</f>
        <v>0.45421498606630051</v>
      </c>
      <c r="CL244" s="84">
        <f t="shared" si="2237"/>
        <v>0.54072981938813114</v>
      </c>
      <c r="CM244" s="50" t="e">
        <f t="shared" ref="CM244:DB244" si="2239">SUM(CJ10:CM10)/(CM161+CM148+CM138)</f>
        <v>#DIV/0!</v>
      </c>
      <c r="CN244" s="50" t="e">
        <f t="shared" si="2239"/>
        <v>#DIV/0!</v>
      </c>
      <c r="CO244" s="50" t="e">
        <f t="shared" si="2239"/>
        <v>#DIV/0!</v>
      </c>
      <c r="CP244" s="50" t="e">
        <f t="shared" si="2239"/>
        <v>#DIV/0!</v>
      </c>
      <c r="CQ244" s="50" t="e">
        <f t="shared" si="2239"/>
        <v>#DIV/0!</v>
      </c>
      <c r="CR244" s="50" t="e">
        <f t="shared" si="2239"/>
        <v>#DIV/0!</v>
      </c>
      <c r="CS244" s="50" t="e">
        <f t="shared" si="2239"/>
        <v>#DIV/0!</v>
      </c>
      <c r="CT244" s="50" t="e">
        <f t="shared" si="2239"/>
        <v>#DIV/0!</v>
      </c>
      <c r="CU244" s="50" t="e">
        <f t="shared" si="2239"/>
        <v>#DIV/0!</v>
      </c>
      <c r="CV244" s="50" t="e">
        <f t="shared" si="2239"/>
        <v>#DIV/0!</v>
      </c>
      <c r="CW244" s="50" t="e">
        <f t="shared" si="2239"/>
        <v>#DIV/0!</v>
      </c>
      <c r="CX244" s="50" t="e">
        <f t="shared" si="2239"/>
        <v>#DIV/0!</v>
      </c>
      <c r="CY244" s="50" t="e">
        <f t="shared" si="2239"/>
        <v>#DIV/0!</v>
      </c>
      <c r="CZ244" s="50" t="e">
        <f t="shared" si="2239"/>
        <v>#DIV/0!</v>
      </c>
      <c r="DA244" s="50" t="e">
        <f t="shared" si="2239"/>
        <v>#DIV/0!</v>
      </c>
      <c r="DB244" s="50" t="e">
        <f t="shared" si="2239"/>
        <v>#DIV/0!</v>
      </c>
      <c r="DE244" s="138"/>
      <c r="DF244" s="84">
        <v>0.54072981938813114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 t="e">
        <f t="shared" si="2240"/>
        <v>#DIV/0!</v>
      </c>
      <c r="L245" s="181" t="e">
        <f t="shared" si="2240"/>
        <v>#DIV/0!</v>
      </c>
      <c r="M245" s="181" t="e">
        <f t="shared" si="2240"/>
        <v>#DIV/0!</v>
      </c>
      <c r="N245" s="181" t="e">
        <f t="shared" si="2240"/>
        <v>#DIV/0!</v>
      </c>
      <c r="O245" s="181" t="e">
        <f t="shared" si="2240"/>
        <v>#DIV/0!</v>
      </c>
      <c r="P245" s="181" t="e">
        <f t="shared" si="2240"/>
        <v>#DIV/0!</v>
      </c>
      <c r="Q245" s="181" t="e">
        <f t="shared" si="2240"/>
        <v>#DIV/0!</v>
      </c>
      <c r="R245" s="181" t="e">
        <f t="shared" si="2240"/>
        <v>#DIV/0!</v>
      </c>
      <c r="S245" s="181" t="e">
        <f t="shared" si="2240"/>
        <v>#DIV/0!</v>
      </c>
      <c r="T245" s="181" t="e">
        <f t="shared" si="2240"/>
        <v>#DIV/0!</v>
      </c>
      <c r="U245" s="181" t="e">
        <f t="shared" si="2240"/>
        <v>#DIV/0!</v>
      </c>
      <c r="V245" s="181" t="e">
        <f t="shared" si="2240"/>
        <v>#DIV/0!</v>
      </c>
      <c r="W245" s="181">
        <f t="shared" si="2240"/>
        <v>-1.1749871450608464</v>
      </c>
      <c r="X245" s="181">
        <f t="shared" si="2240"/>
        <v>-0.49086627803775412</v>
      </c>
      <c r="Y245" s="181">
        <f t="shared" si="2240"/>
        <v>-0.11204104258603072</v>
      </c>
      <c r="Z245" s="181">
        <f t="shared" si="2240"/>
        <v>0.21705243475145697</v>
      </c>
      <c r="AA245" s="181">
        <f t="shared" ref="AA245" si="2241">+AA42</f>
        <v>-0.13091273769880563</v>
      </c>
      <c r="AB245" s="182" t="e">
        <f t="shared" si="2240"/>
        <v>#DIV/0!</v>
      </c>
      <c r="AC245" s="182" t="e">
        <f t="shared" si="2240"/>
        <v>#DIV/0!</v>
      </c>
      <c r="AD245" s="182" t="e">
        <f t="shared" si="2240"/>
        <v>#DIV/0!</v>
      </c>
      <c r="AE245" s="182" t="e">
        <f t="shared" si="2240"/>
        <v>#DIV/0!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 t="e">
        <f t="shared" si="2242"/>
        <v>#DIV/0!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 t="e">
        <f t="shared" si="2242"/>
        <v>#DIV/0!</v>
      </c>
      <c r="BH245" s="181" t="e">
        <f t="shared" si="2242"/>
        <v>#DIV/0!</v>
      </c>
      <c r="BI245" s="181" t="e">
        <f t="shared" si="2242"/>
        <v>#DIV/0!</v>
      </c>
      <c r="BJ245" s="181" t="e">
        <f t="shared" si="2242"/>
        <v>#DIV/0!</v>
      </c>
      <c r="BK245" s="181" t="e">
        <f t="shared" si="2242"/>
        <v>#DIV/0!</v>
      </c>
      <c r="BL245" s="181" t="e">
        <f t="shared" si="2242"/>
        <v>#DIV/0!</v>
      </c>
      <c r="BM245" s="181" t="e">
        <f t="shared" si="2242"/>
        <v>#DIV/0!</v>
      </c>
      <c r="BN245" s="181" t="e">
        <f t="shared" si="2242"/>
        <v>#DIV/0!</v>
      </c>
      <c r="BO245" s="181" t="e">
        <f t="shared" si="2242"/>
        <v>#DIV/0!</v>
      </c>
      <c r="BP245" s="181" t="e">
        <f t="shared" si="2242"/>
        <v>#DIV/0!</v>
      </c>
      <c r="BQ245" s="181" t="e">
        <f t="shared" si="2242"/>
        <v>#DIV/0!</v>
      </c>
      <c r="BR245" s="181" t="e">
        <f t="shared" si="2242"/>
        <v>#DIV/0!</v>
      </c>
      <c r="BS245" s="181" t="e">
        <f t="shared" si="2242"/>
        <v>#DIV/0!</v>
      </c>
      <c r="BT245" s="181" t="e">
        <f t="shared" si="2242"/>
        <v>#DIV/0!</v>
      </c>
      <c r="BU245" s="181" t="e">
        <f t="shared" si="2242"/>
        <v>#DIV/0!</v>
      </c>
      <c r="BV245" s="181" t="e">
        <f t="shared" si="2242"/>
        <v>#DIV/0!</v>
      </c>
      <c r="BW245" s="181" t="e">
        <f t="shared" si="2242"/>
        <v>#DIV/0!</v>
      </c>
      <c r="BX245" s="181" t="e">
        <f t="shared" si="2242"/>
        <v>#DIV/0!</v>
      </c>
      <c r="BY245" s="181" t="e">
        <f t="shared" si="2242"/>
        <v>#DIV/0!</v>
      </c>
      <c r="BZ245" s="181" t="e">
        <f t="shared" si="2242"/>
        <v>#DIV/0!</v>
      </c>
      <c r="CA245" s="181" t="e">
        <f t="shared" si="2242"/>
        <v>#DIV/0!</v>
      </c>
      <c r="CB245" s="181" t="e">
        <f t="shared" si="2242"/>
        <v>#DIV/0!</v>
      </c>
      <c r="CC245" s="181" t="e">
        <f t="shared" si="2242"/>
        <v>#DIV/0!</v>
      </c>
      <c r="CD245" s="181" t="e">
        <f t="shared" si="2242"/>
        <v>#DIV/0!</v>
      </c>
      <c r="CE245" s="181" t="e">
        <f t="shared" si="2242"/>
        <v>#DIV/0!</v>
      </c>
      <c r="CF245" s="181">
        <f t="shared" si="2242"/>
        <v>-6.5647092771603912E-3</v>
      </c>
      <c r="CG245" s="181">
        <f t="shared" si="2242"/>
        <v>0.80522367324256749</v>
      </c>
      <c r="CH245" s="181">
        <f t="shared" si="2242"/>
        <v>1.9467247445133173E-2</v>
      </c>
      <c r="CI245" s="181" t="e">
        <f t="shared" si="2242"/>
        <v>#DIV/0!</v>
      </c>
      <c r="CJ245" s="181">
        <f t="shared" si="2242"/>
        <v>-0.12912138515380367</v>
      </c>
      <c r="CK245" s="182">
        <f t="shared" si="2242"/>
        <v>-3.7263509982230596E-2</v>
      </c>
      <c r="CL245" s="181">
        <f t="shared" ref="CL245" si="2243">+CL42</f>
        <v>-0.36622332926026874</v>
      </c>
      <c r="CM245" s="182" t="e">
        <f t="shared" si="2242"/>
        <v>#DIV/0!</v>
      </c>
      <c r="CN245" s="182" t="e">
        <f t="shared" si="2242"/>
        <v>#DIV/0!</v>
      </c>
      <c r="CO245" s="182" t="e">
        <f t="shared" si="2242"/>
        <v>#DIV/0!</v>
      </c>
      <c r="CP245" s="182" t="e">
        <f t="shared" si="2242"/>
        <v>#DIV/0!</v>
      </c>
      <c r="CQ245" s="182" t="e">
        <f t="shared" si="2242"/>
        <v>#DIV/0!</v>
      </c>
      <c r="CR245" s="182" t="e">
        <f t="shared" si="2242"/>
        <v>#DIV/0!</v>
      </c>
      <c r="CS245" s="182" t="e">
        <f t="shared" si="2242"/>
        <v>#DIV/0!</v>
      </c>
      <c r="CT245" s="182" t="e">
        <f t="shared" si="2242"/>
        <v>#DIV/0!</v>
      </c>
      <c r="CU245" s="182" t="e">
        <f t="shared" si="2242"/>
        <v>#DIV/0!</v>
      </c>
      <c r="CV245" s="182" t="e">
        <f t="shared" si="2242"/>
        <v>#DIV/0!</v>
      </c>
      <c r="CW245" s="182" t="e">
        <f t="shared" si="2242"/>
        <v>#DIV/0!</v>
      </c>
      <c r="CX245" s="182" t="e">
        <f t="shared" ref="CX245:DB245" si="2244">+CX42</f>
        <v>#DIV/0!</v>
      </c>
      <c r="CY245" s="182" t="e">
        <f t="shared" si="2244"/>
        <v>#DIV/0!</v>
      </c>
      <c r="CZ245" s="182" t="e">
        <f t="shared" si="2244"/>
        <v>#DIV/0!</v>
      </c>
      <c r="DA245" s="182" t="e">
        <f t="shared" si="2244"/>
        <v>#DIV/0!</v>
      </c>
      <c r="DB245" s="182" t="e">
        <f t="shared" si="2244"/>
        <v>#DIV/0!</v>
      </c>
      <c r="DE245" s="138"/>
      <c r="DF245" s="84">
        <v>-0.1844530283521422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 t="e">
        <f t="shared" si="2245"/>
        <v>#DIV/0!</v>
      </c>
      <c r="K246" s="84" t="e">
        <f t="shared" si="2245"/>
        <v>#DIV/0!</v>
      </c>
      <c r="L246" s="84" t="e">
        <f t="shared" si="2245"/>
        <v>#DIV/0!</v>
      </c>
      <c r="M246" s="84" t="e">
        <f t="shared" si="2245"/>
        <v>#DIV/0!</v>
      </c>
      <c r="N246" s="84" t="e">
        <f t="shared" si="2245"/>
        <v>#DIV/0!</v>
      </c>
      <c r="O246" s="84" t="e">
        <f t="shared" si="2245"/>
        <v>#DIV/0!</v>
      </c>
      <c r="P246" s="84" t="e">
        <f t="shared" si="2245"/>
        <v>#DIV/0!</v>
      </c>
      <c r="Q246" s="84" t="e">
        <f t="shared" si="2245"/>
        <v>#DIV/0!</v>
      </c>
      <c r="R246" s="84" t="e">
        <f t="shared" si="2245"/>
        <v>#DIV/0!</v>
      </c>
      <c r="S246" s="84" t="e">
        <f t="shared" si="2245"/>
        <v>#DIV/0!</v>
      </c>
      <c r="T246" s="84" t="e">
        <f t="shared" si="2245"/>
        <v>#DIV/0!</v>
      </c>
      <c r="U246" s="84" t="e">
        <f t="shared" si="2245"/>
        <v>#DIV/0!</v>
      </c>
      <c r="V246" s="84" t="e">
        <f t="shared" si="2245"/>
        <v>#DIV/0!</v>
      </c>
      <c r="W246" s="84">
        <f t="shared" si="2245"/>
        <v>1.1563759721651068</v>
      </c>
      <c r="X246" s="84">
        <f t="shared" si="2245"/>
        <v>1.2178173027678276</v>
      </c>
      <c r="Y246" s="84">
        <f t="shared" si="2245"/>
        <v>1.2676729269766314</v>
      </c>
      <c r="Z246" s="84">
        <f t="shared" si="2245"/>
        <v>1.1075163435088151</v>
      </c>
      <c r="AA246" s="84">
        <f t="shared" ref="AA246" si="2246">(AA161+AA148+AA138+AA140)/AA120</f>
        <v>1.1899570346941344</v>
      </c>
      <c r="AB246" s="50" t="e">
        <f t="shared" si="2245"/>
        <v>#DIV/0!</v>
      </c>
      <c r="AC246" s="50" t="e">
        <f t="shared" si="2245"/>
        <v>#DIV/0!</v>
      </c>
      <c r="AD246" s="50" t="e">
        <f t="shared" si="2245"/>
        <v>#DIV/0!</v>
      </c>
      <c r="AE246" s="50" t="e">
        <f t="shared" si="2245"/>
        <v>#DIV/0!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 t="e">
        <f t="shared" si="2247"/>
        <v>#DIV/0!</v>
      </c>
      <c r="BJ246" s="84" t="e">
        <f t="shared" si="2247"/>
        <v>#DIV/0!</v>
      </c>
      <c r="BK246" s="84" t="e">
        <f t="shared" si="2247"/>
        <v>#DIV/0!</v>
      </c>
      <c r="BL246" s="84" t="e">
        <f t="shared" si="2247"/>
        <v>#DIV/0!</v>
      </c>
      <c r="BM246" s="84" t="e">
        <f t="shared" si="2247"/>
        <v>#DIV/0!</v>
      </c>
      <c r="BN246" s="84" t="e">
        <f t="shared" si="2247"/>
        <v>#DIV/0!</v>
      </c>
      <c r="BO246" s="84" t="e">
        <f t="shared" si="2247"/>
        <v>#DIV/0!</v>
      </c>
      <c r="BP246" s="84" t="e">
        <f t="shared" si="2247"/>
        <v>#DIV/0!</v>
      </c>
      <c r="BQ246" s="84" t="e">
        <f t="shared" si="2247"/>
        <v>#DIV/0!</v>
      </c>
      <c r="BR246" s="84" t="e">
        <f t="shared" si="2247"/>
        <v>#DIV/0!</v>
      </c>
      <c r="BS246" s="84" t="e">
        <f t="shared" si="2247"/>
        <v>#DIV/0!</v>
      </c>
      <c r="BT246" s="84" t="e">
        <f t="shared" si="2247"/>
        <v>#DIV/0!</v>
      </c>
      <c r="BU246" s="84" t="e">
        <f t="shared" si="2247"/>
        <v>#DIV/0!</v>
      </c>
      <c r="BV246" s="84" t="e">
        <f t="shared" si="2247"/>
        <v>#DIV/0!</v>
      </c>
      <c r="BW246" s="84" t="e">
        <f t="shared" si="2247"/>
        <v>#DIV/0!</v>
      </c>
      <c r="BX246" s="84" t="e">
        <f t="shared" si="2247"/>
        <v>#DIV/0!</v>
      </c>
      <c r="BY246" s="84" t="e">
        <f t="shared" si="2247"/>
        <v>#DIV/0!</v>
      </c>
      <c r="BZ246" s="84" t="e">
        <f t="shared" si="2247"/>
        <v>#DIV/0!</v>
      </c>
      <c r="CA246" s="84" t="e">
        <f t="shared" si="2247"/>
        <v>#DIV/0!</v>
      </c>
      <c r="CB246" s="84" t="e">
        <f t="shared" si="2247"/>
        <v>#DIV/0!</v>
      </c>
      <c r="CC246" s="84" t="e">
        <f t="shared" si="2247"/>
        <v>#DIV/0!</v>
      </c>
      <c r="CD246" s="84" t="e">
        <f t="shared" si="2247"/>
        <v>#DIV/0!</v>
      </c>
      <c r="CE246" s="84" t="e">
        <f t="shared" si="2247"/>
        <v>#DIV/0!</v>
      </c>
      <c r="CF246" s="84" t="e">
        <f t="shared" si="2247"/>
        <v>#DIV/0!</v>
      </c>
      <c r="CG246" s="84">
        <f t="shared" si="2247"/>
        <v>1</v>
      </c>
      <c r="CH246" s="84">
        <f t="shared" si="2247"/>
        <v>1.1075163435088151</v>
      </c>
      <c r="CI246" s="84">
        <f t="shared" si="2247"/>
        <v>0.88209286008620025</v>
      </c>
      <c r="CJ246" s="84">
        <f t="shared" si="2247"/>
        <v>1.1464577566454315</v>
      </c>
      <c r="CK246" s="50">
        <f t="shared" si="2247"/>
        <v>1.1495347355851233</v>
      </c>
      <c r="CL246" s="84">
        <f t="shared" ref="CL246" si="2248">(CL161+CL148+CL138+CL140)/CL120</f>
        <v>1.1899570346941348</v>
      </c>
      <c r="CM246" s="50" t="e">
        <f t="shared" si="2247"/>
        <v>#DIV/0!</v>
      </c>
      <c r="CN246" s="50" t="e">
        <f t="shared" si="2247"/>
        <v>#DIV/0!</v>
      </c>
      <c r="CO246" s="50" t="e">
        <f t="shared" si="2247"/>
        <v>#DIV/0!</v>
      </c>
      <c r="CP246" s="50" t="e">
        <f t="shared" si="2247"/>
        <v>#DIV/0!</v>
      </c>
      <c r="CQ246" s="50" t="e">
        <f t="shared" si="2247"/>
        <v>#DIV/0!</v>
      </c>
      <c r="CR246" s="50" t="e">
        <f t="shared" si="2247"/>
        <v>#DIV/0!</v>
      </c>
      <c r="CS246" s="50" t="e">
        <f t="shared" si="2247"/>
        <v>#DIV/0!</v>
      </c>
      <c r="CT246" s="50" t="e">
        <f t="shared" si="2247"/>
        <v>#DIV/0!</v>
      </c>
      <c r="CU246" s="50" t="e">
        <f t="shared" si="2247"/>
        <v>#DIV/0!</v>
      </c>
      <c r="CV246" s="50" t="e">
        <f t="shared" si="2247"/>
        <v>#DIV/0!</v>
      </c>
      <c r="CW246" s="50" t="e">
        <f t="shared" si="2247"/>
        <v>#DIV/0!</v>
      </c>
      <c r="CX246" s="50" t="e">
        <f t="shared" ref="CX246:DB246" si="2249">(CX161+CX148+CX138+CX140)/CX120</f>
        <v>#DIV/0!</v>
      </c>
      <c r="CY246" s="50" t="e">
        <f t="shared" si="2249"/>
        <v>#DIV/0!</v>
      </c>
      <c r="CZ246" s="50" t="e">
        <f t="shared" si="2249"/>
        <v>#DIV/0!</v>
      </c>
      <c r="DA246" s="50" t="e">
        <f t="shared" si="2249"/>
        <v>#DIV/0!</v>
      </c>
      <c r="DB246" s="50" t="e">
        <f t="shared" si="2249"/>
        <v>#DIV/0!</v>
      </c>
      <c r="DE246" s="138"/>
      <c r="DF246" s="84">
        <v>1.1899570346941348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 t="e">
        <f t="shared" si="2250"/>
        <v>#DIV/0!</v>
      </c>
      <c r="K248" s="88" t="e">
        <f t="shared" si="2250"/>
        <v>#DIV/0!</v>
      </c>
      <c r="L248" s="88" t="e">
        <f t="shared" si="2250"/>
        <v>#DIV/0!</v>
      </c>
      <c r="M248" s="88" t="e">
        <f t="shared" si="2250"/>
        <v>#DIV/0!</v>
      </c>
      <c r="N248" s="88" t="e">
        <f t="shared" si="2250"/>
        <v>#DIV/0!</v>
      </c>
      <c r="O248" s="88" t="e">
        <f t="shared" si="2250"/>
        <v>#DIV/0!</v>
      </c>
      <c r="P248" s="88" t="e">
        <f t="shared" si="2250"/>
        <v>#DIV/0!</v>
      </c>
      <c r="Q248" s="88" t="e">
        <f t="shared" si="2250"/>
        <v>#DIV/0!</v>
      </c>
      <c r="R248" s="88" t="e">
        <f t="shared" si="2250"/>
        <v>#DIV/0!</v>
      </c>
      <c r="S248" s="88" t="e">
        <f t="shared" si="2250"/>
        <v>#DIV/0!</v>
      </c>
      <c r="T248" s="88" t="e">
        <f t="shared" si="2250"/>
        <v>#DIV/0!</v>
      </c>
      <c r="U248" s="88" t="e">
        <f t="shared" si="2250"/>
        <v>#DIV/0!</v>
      </c>
      <c r="V248" s="88" t="e">
        <f t="shared" si="2250"/>
        <v>#DIV/0!</v>
      </c>
      <c r="W248" s="88">
        <f t="shared" si="2250"/>
        <v>1.028665737633699</v>
      </c>
      <c r="X248" s="88">
        <f t="shared" si="2250"/>
        <v>0.95760312722570706</v>
      </c>
      <c r="Y248" s="88">
        <f t="shared" si="2250"/>
        <v>0.8430894579392112</v>
      </c>
      <c r="Z248" s="88">
        <f t="shared" si="2250"/>
        <v>0.84344756155962186</v>
      </c>
      <c r="AA248" s="88">
        <f t="shared" ref="AA248" si="2251">AA161/AA120</f>
        <v>0.67201750334718857</v>
      </c>
      <c r="AB248" s="42" t="e">
        <f t="shared" si="2250"/>
        <v>#DIV/0!</v>
      </c>
      <c r="AC248" s="42" t="e">
        <f t="shared" si="2250"/>
        <v>#DIV/0!</v>
      </c>
      <c r="AD248" s="42" t="e">
        <f t="shared" si="2250"/>
        <v>#DIV/0!</v>
      </c>
      <c r="AE248" s="42" t="e">
        <f t="shared" si="2250"/>
        <v>#DIV/0!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 t="e">
        <f t="shared" si="2252"/>
        <v>#DIV/0!</v>
      </c>
      <c r="BJ248" s="88" t="e">
        <f t="shared" si="2252"/>
        <v>#DIV/0!</v>
      </c>
      <c r="BK248" s="88" t="e">
        <f t="shared" si="2252"/>
        <v>#DIV/0!</v>
      </c>
      <c r="BL248" s="88" t="e">
        <f t="shared" si="2252"/>
        <v>#DIV/0!</v>
      </c>
      <c r="BM248" s="88" t="e">
        <f t="shared" si="2252"/>
        <v>#DIV/0!</v>
      </c>
      <c r="BN248" s="88" t="e">
        <f t="shared" si="2252"/>
        <v>#DIV/0!</v>
      </c>
      <c r="BO248" s="88" t="e">
        <f t="shared" si="2252"/>
        <v>#DIV/0!</v>
      </c>
      <c r="BP248" s="88" t="e">
        <f t="shared" si="2252"/>
        <v>#DIV/0!</v>
      </c>
      <c r="BQ248" s="88" t="e">
        <f t="shared" si="2252"/>
        <v>#DIV/0!</v>
      </c>
      <c r="BR248" s="88" t="e">
        <f t="shared" si="2252"/>
        <v>#DIV/0!</v>
      </c>
      <c r="BS248" s="88" t="e">
        <f t="shared" si="2252"/>
        <v>#DIV/0!</v>
      </c>
      <c r="BT248" s="88" t="e">
        <f t="shared" si="2252"/>
        <v>#DIV/0!</v>
      </c>
      <c r="BU248" s="88" t="e">
        <f t="shared" si="2252"/>
        <v>#DIV/0!</v>
      </c>
      <c r="BV248" s="88" t="e">
        <f t="shared" si="2252"/>
        <v>#DIV/0!</v>
      </c>
      <c r="BW248" s="88" t="e">
        <f t="shared" si="2252"/>
        <v>#DIV/0!</v>
      </c>
      <c r="BX248" s="88" t="e">
        <f t="shared" si="2252"/>
        <v>#DIV/0!</v>
      </c>
      <c r="BY248" s="88" t="e">
        <f t="shared" si="2252"/>
        <v>#DIV/0!</v>
      </c>
      <c r="BZ248" s="88" t="e">
        <f t="shared" si="2252"/>
        <v>#DIV/0!</v>
      </c>
      <c r="CA248" s="88" t="e">
        <f t="shared" si="2252"/>
        <v>#DIV/0!</v>
      </c>
      <c r="CB248" s="88" t="e">
        <f t="shared" si="2252"/>
        <v>#DIV/0!</v>
      </c>
      <c r="CC248" s="88" t="e">
        <f t="shared" si="2252"/>
        <v>#DIV/0!</v>
      </c>
      <c r="CD248" s="88" t="e">
        <f t="shared" si="2252"/>
        <v>#DIV/0!</v>
      </c>
      <c r="CE248" s="88" t="e">
        <f t="shared" si="2252"/>
        <v>#DIV/0!</v>
      </c>
      <c r="CF248" s="88" t="e">
        <f t="shared" si="2252"/>
        <v>#DIV/0!</v>
      </c>
      <c r="CG248" s="88">
        <f t="shared" si="2252"/>
        <v>1</v>
      </c>
      <c r="CH248" s="88">
        <f t="shared" si="2252"/>
        <v>0.84344756155962186</v>
      </c>
      <c r="CI248" s="88">
        <f t="shared" si="2252"/>
        <v>0.71835707364880685</v>
      </c>
      <c r="CJ248" s="88">
        <f t="shared" si="2252"/>
        <v>0.75692798078663537</v>
      </c>
      <c r="CK248" s="42">
        <f t="shared" si="2252"/>
        <v>0.75963009379427993</v>
      </c>
      <c r="CL248" s="88">
        <f t="shared" ref="CL248" si="2253">CL161/CL120</f>
        <v>0.67201750334718868</v>
      </c>
      <c r="CM248" s="42" t="e">
        <f t="shared" si="2252"/>
        <v>#DIV/0!</v>
      </c>
      <c r="CN248" s="42" t="e">
        <f t="shared" si="2252"/>
        <v>#DIV/0!</v>
      </c>
      <c r="CO248" s="42" t="e">
        <f t="shared" si="2252"/>
        <v>#DIV/0!</v>
      </c>
      <c r="CP248" s="42" t="e">
        <f t="shared" si="2252"/>
        <v>#DIV/0!</v>
      </c>
      <c r="CQ248" s="42" t="e">
        <f t="shared" si="2252"/>
        <v>#DIV/0!</v>
      </c>
      <c r="CR248" s="42" t="e">
        <f t="shared" si="2252"/>
        <v>#DIV/0!</v>
      </c>
      <c r="CS248" s="42" t="e">
        <f t="shared" si="2252"/>
        <v>#DIV/0!</v>
      </c>
      <c r="CT248" s="42" t="e">
        <f t="shared" si="2252"/>
        <v>#DIV/0!</v>
      </c>
      <c r="CU248" s="42" t="e">
        <f t="shared" si="2252"/>
        <v>#DIV/0!</v>
      </c>
      <c r="CV248" s="42" t="e">
        <f t="shared" si="2252"/>
        <v>#DIV/0!</v>
      </c>
      <c r="CW248" s="42" t="e">
        <f t="shared" si="2252"/>
        <v>#DIV/0!</v>
      </c>
      <c r="CX248" s="42" t="e">
        <f t="shared" ref="CX248:DB248" si="2254">CX161/CX120</f>
        <v>#DIV/0!</v>
      </c>
      <c r="CY248" s="42" t="e">
        <f t="shared" si="2254"/>
        <v>#DIV/0!</v>
      </c>
      <c r="CZ248" s="42" t="e">
        <f t="shared" si="2254"/>
        <v>#DIV/0!</v>
      </c>
      <c r="DA248" s="42" t="e">
        <f t="shared" si="2254"/>
        <v>#DIV/0!</v>
      </c>
      <c r="DB248" s="42" t="e">
        <f t="shared" si="2254"/>
        <v>#DIV/0!</v>
      </c>
      <c r="DE248" s="125"/>
      <c r="DF248" s="88">
        <v>0.67201750334718868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 t="e">
        <f t="shared" si="2255"/>
        <v>#DIV/0!</v>
      </c>
      <c r="Q249" s="89" t="e">
        <f t="shared" si="2255"/>
        <v>#DIV/0!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 t="e">
        <f t="shared" si="2255"/>
        <v>#DIV/0!</v>
      </c>
      <c r="W249" s="89" t="e">
        <f t="shared" si="2255"/>
        <v>#DIV/0!</v>
      </c>
      <c r="X249" s="89" t="e">
        <f t="shared" si="2255"/>
        <v>#DIV/0!</v>
      </c>
      <c r="Y249" s="89" t="e">
        <f t="shared" si="2255"/>
        <v>#DIV/0!</v>
      </c>
      <c r="Z249" s="89" t="e">
        <f t="shared" si="2255"/>
        <v>#DIV/0!</v>
      </c>
      <c r="AA249" s="89" t="e">
        <f t="shared" si="2255"/>
        <v>#DIV/0!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 t="e">
        <f t="shared" si="2256"/>
        <v>#DIV/0!</v>
      </c>
      <c r="BX249" s="89" t="e">
        <f t="shared" si="2256"/>
        <v>#DIV/0!</v>
      </c>
      <c r="BY249" s="89" t="e">
        <f t="shared" si="2256"/>
        <v>#DIV/0!</v>
      </c>
      <c r="BZ249" s="89" t="e">
        <f t="shared" si="2256"/>
        <v>#DIV/0!</v>
      </c>
      <c r="CA249" s="89" t="e">
        <f t="shared" si="2256"/>
        <v>#DIV/0!</v>
      </c>
      <c r="CB249" s="89" t="e">
        <f t="shared" si="2256"/>
        <v>#DIV/0!</v>
      </c>
      <c r="CC249" s="89" t="e">
        <f t="shared" si="2256"/>
        <v>#DIV/0!</v>
      </c>
      <c r="CD249" s="89" t="e">
        <f t="shared" si="2256"/>
        <v>#DIV/0!</v>
      </c>
      <c r="CE249" s="89" t="e">
        <f t="shared" si="2256"/>
        <v>#DIV/0!</v>
      </c>
      <c r="CF249" s="89" t="e">
        <f t="shared" si="2256"/>
        <v>#DIV/0!</v>
      </c>
      <c r="CG249" s="89" t="e">
        <f t="shared" si="2256"/>
        <v>#DIV/0!</v>
      </c>
      <c r="CH249" s="89" t="e">
        <f t="shared" si="2256"/>
        <v>#DIV/0!</v>
      </c>
      <c r="CI249" s="89" t="e">
        <f t="shared" si="2256"/>
        <v>#DIV/0!</v>
      </c>
      <c r="CJ249" s="89" t="e">
        <f t="shared" si="2256"/>
        <v>#DIV/0!</v>
      </c>
      <c r="CK249" s="47" t="e">
        <f t="shared" si="2256"/>
        <v>#DIV/0!</v>
      </c>
      <c r="CL249" s="89" t="e">
        <f t="shared" si="2256"/>
        <v>#DIV/0!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 t="e">
        <f t="shared" si="2258"/>
        <v>#DIV/0!</v>
      </c>
      <c r="L250" s="89" t="e">
        <f t="shared" si="2258"/>
        <v>#DIV/0!</v>
      </c>
      <c r="M250" s="89" t="e">
        <f t="shared" si="2258"/>
        <v>#DIV/0!</v>
      </c>
      <c r="N250" s="89" t="e">
        <f t="shared" si="2258"/>
        <v>#DIV/0!</v>
      </c>
      <c r="O250" s="89" t="e">
        <f t="shared" si="2258"/>
        <v>#DIV/0!</v>
      </c>
      <c r="P250" s="89" t="e">
        <f t="shared" si="2258"/>
        <v>#DIV/0!</v>
      </c>
      <c r="Q250" s="89" t="e">
        <f t="shared" si="2258"/>
        <v>#DIV/0!</v>
      </c>
      <c r="R250" s="89" t="e">
        <f t="shared" si="2258"/>
        <v>#DIV/0!</v>
      </c>
      <c r="S250" s="89" t="e">
        <f t="shared" si="2258"/>
        <v>#DIV/0!</v>
      </c>
      <c r="T250" s="89" t="e">
        <f t="shared" si="2258"/>
        <v>#DIV/0!</v>
      </c>
      <c r="U250" s="89" t="e">
        <f t="shared" si="2258"/>
        <v>#DIV/0!</v>
      </c>
      <c r="V250" s="89" t="e">
        <f t="shared" si="2258"/>
        <v>#DIV/0!</v>
      </c>
      <c r="W250" s="89" t="e">
        <f t="shared" si="2258"/>
        <v>#DIV/0!</v>
      </c>
      <c r="X250" s="89">
        <f t="shared" si="2258"/>
        <v>-0.33740161493487075</v>
      </c>
      <c r="Y250" s="89">
        <f t="shared" si="2258"/>
        <v>-0.59784403304277611</v>
      </c>
      <c r="Z250" s="89">
        <f t="shared" si="2258"/>
        <v>-0.78079103763918278</v>
      </c>
      <c r="AA250" s="89">
        <f t="shared" si="2258"/>
        <v>5.961358678716107</v>
      </c>
      <c r="AB250" s="47" t="e">
        <f t="shared" si="2258"/>
        <v>#DIV/0!</v>
      </c>
      <c r="AC250" s="47" t="e">
        <f t="shared" si="2258"/>
        <v>#DIV/0!</v>
      </c>
      <c r="AD250" s="47" t="e">
        <f t="shared" si="2258"/>
        <v>#DIV/0!</v>
      </c>
      <c r="AE250" s="47" t="e">
        <f t="shared" si="2258"/>
        <v>#DIV/0!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 t="e">
        <f t="shared" si="2259"/>
        <v>#DIV/0!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 t="e">
        <f t="shared" si="2259"/>
        <v>#DIV/0!</v>
      </c>
      <c r="BI250" s="89" t="e">
        <f t="shared" si="2259"/>
        <v>#DIV/0!</v>
      </c>
      <c r="BJ250" s="89" t="e">
        <f t="shared" si="2259"/>
        <v>#DIV/0!</v>
      </c>
      <c r="BK250" s="89" t="e">
        <f t="shared" si="2259"/>
        <v>#DIV/0!</v>
      </c>
      <c r="BL250" s="89" t="e">
        <f t="shared" si="2259"/>
        <v>#DIV/0!</v>
      </c>
      <c r="BM250" s="89" t="e">
        <f t="shared" si="2259"/>
        <v>#DIV/0!</v>
      </c>
      <c r="BN250" s="89" t="e">
        <f t="shared" si="2259"/>
        <v>#DIV/0!</v>
      </c>
      <c r="BO250" s="89" t="e">
        <f t="shared" si="2259"/>
        <v>#DIV/0!</v>
      </c>
      <c r="BP250" s="89" t="e">
        <f t="shared" si="2259"/>
        <v>#DIV/0!</v>
      </c>
      <c r="BQ250" s="89" t="e">
        <f t="shared" si="2259"/>
        <v>#DIV/0!</v>
      </c>
      <c r="BR250" s="89" t="e">
        <f t="shared" si="2259"/>
        <v>#DIV/0!</v>
      </c>
      <c r="BS250" s="89" t="e">
        <f t="shared" si="2259"/>
        <v>#DIV/0!</v>
      </c>
      <c r="BT250" s="89" t="e">
        <f t="shared" si="2259"/>
        <v>#DIV/0!</v>
      </c>
      <c r="BU250" s="89" t="e">
        <f t="shared" si="2259"/>
        <v>#DIV/0!</v>
      </c>
      <c r="BV250" s="89" t="e">
        <f t="shared" si="2259"/>
        <v>#DIV/0!</v>
      </c>
      <c r="BW250" s="89" t="e">
        <f t="shared" si="2259"/>
        <v>#DIV/0!</v>
      </c>
      <c r="BX250" s="89" t="e">
        <f t="shared" si="2259"/>
        <v>#DIV/0!</v>
      </c>
      <c r="BY250" s="89" t="e">
        <f t="shared" si="2259"/>
        <v>#DIV/0!</v>
      </c>
      <c r="BZ250" s="89" t="e">
        <f t="shared" si="2259"/>
        <v>#DIV/0!</v>
      </c>
      <c r="CA250" s="89" t="e">
        <f t="shared" si="2259"/>
        <v>#DIV/0!</v>
      </c>
      <c r="CB250" s="89" t="e">
        <f t="shared" si="2259"/>
        <v>#DIV/0!</v>
      </c>
      <c r="CC250" s="89" t="e">
        <f t="shared" si="2259"/>
        <v>#DIV/0!</v>
      </c>
      <c r="CD250" s="89" t="e">
        <f t="shared" si="2259"/>
        <v>#DIV/0!</v>
      </c>
      <c r="CE250" s="89" t="e">
        <f t="shared" si="2259"/>
        <v>#DIV/0!</v>
      </c>
      <c r="CF250" s="89" t="e">
        <f t="shared" si="2259"/>
        <v>#DIV/0!</v>
      </c>
      <c r="CG250" s="89">
        <f t="shared" si="2259"/>
        <v>-0.88350705088902615</v>
      </c>
      <c r="CH250" s="89">
        <f t="shared" si="2259"/>
        <v>4.22631578947375</v>
      </c>
      <c r="CI250" s="89">
        <f t="shared" si="2259"/>
        <v>-1</v>
      </c>
      <c r="CJ250" s="89" t="e">
        <f t="shared" si="2259"/>
        <v>#DIV/0!</v>
      </c>
      <c r="CK250" s="47">
        <f t="shared" si="2259"/>
        <v>-0.48346986541837333</v>
      </c>
      <c r="CL250" s="89">
        <f t="shared" si="2259"/>
        <v>2.2410082129708293</v>
      </c>
      <c r="CM250" s="47" t="e">
        <f t="shared" si="2259"/>
        <v>#DIV/0!</v>
      </c>
      <c r="CN250" s="47" t="e">
        <f t="shared" si="2259"/>
        <v>#DIV/0!</v>
      </c>
      <c r="CO250" s="47" t="e">
        <f t="shared" si="2259"/>
        <v>#DIV/0!</v>
      </c>
      <c r="CP250" s="47" t="e">
        <f t="shared" si="2259"/>
        <v>#DIV/0!</v>
      </c>
      <c r="CQ250" s="47" t="e">
        <f t="shared" si="2259"/>
        <v>#DIV/0!</v>
      </c>
      <c r="CR250" s="47" t="e">
        <f t="shared" si="2259"/>
        <v>#DIV/0!</v>
      </c>
      <c r="CS250" s="47" t="e">
        <f t="shared" si="2259"/>
        <v>#DIV/0!</v>
      </c>
      <c r="CT250" s="47" t="e">
        <f t="shared" si="2259"/>
        <v>#DIV/0!</v>
      </c>
      <c r="CU250" s="47" t="e">
        <f t="shared" si="2259"/>
        <v>#DIV/0!</v>
      </c>
      <c r="CV250" s="47" t="e">
        <f t="shared" si="2259"/>
        <v>#DIV/0!</v>
      </c>
      <c r="CW250" s="47" t="e">
        <f t="shared" si="2259"/>
        <v>#DIV/0!</v>
      </c>
      <c r="CX250" s="47" t="e">
        <f t="shared" ref="CX250:DB250" si="2260">CX28/CW28-1</f>
        <v>#DIV/0!</v>
      </c>
      <c r="CY250" s="47" t="e">
        <f t="shared" si="2260"/>
        <v>#DIV/0!</v>
      </c>
      <c r="CZ250" s="47" t="e">
        <f t="shared" si="2260"/>
        <v>#DIV/0!</v>
      </c>
      <c r="DA250" s="47" t="e">
        <f t="shared" si="2260"/>
        <v>#DIV/0!</v>
      </c>
      <c r="DB250" s="47" t="e">
        <f t="shared" si="2260"/>
        <v>#DIV/0!</v>
      </c>
      <c r="DE250" s="130"/>
      <c r="DF250" s="89">
        <v>5.7972450760408716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 t="e">
        <f t="shared" si="2261"/>
        <v>#DIV/0!</v>
      </c>
      <c r="Q251" s="103" t="e">
        <f t="shared" si="2261"/>
        <v>#DIV/0!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e">
        <f>IF(V249&gt;V250,"RF",0)</f>
        <v>#DIV/0!</v>
      </c>
      <c r="W251" s="103" t="e">
        <f t="shared" ref="W251:AE251" si="2262">IF(W249&gt;W250,"RF",0)</f>
        <v>#DIV/0!</v>
      </c>
      <c r="X251" s="103" t="e">
        <f t="shared" si="2262"/>
        <v>#DIV/0!</v>
      </c>
      <c r="Y251" s="103" t="e">
        <f t="shared" si="2262"/>
        <v>#DIV/0!</v>
      </c>
      <c r="Z251" s="103" t="e">
        <f t="shared" si="2262"/>
        <v>#DIV/0!</v>
      </c>
      <c r="AA251" s="103" t="e">
        <f t="shared" ref="AA251" si="2263">IF(AA249&gt;AA250,"RF",0)</f>
        <v>#DIV/0!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 t="e">
        <f t="shared" si="2264"/>
        <v>#DIV/0!</v>
      </c>
      <c r="BX251" s="103" t="e">
        <f t="shared" si="2264"/>
        <v>#DIV/0!</v>
      </c>
      <c r="BY251" s="103" t="e">
        <f t="shared" si="2264"/>
        <v>#DIV/0!</v>
      </c>
      <c r="BZ251" s="103" t="e">
        <f t="shared" si="2264"/>
        <v>#DIV/0!</v>
      </c>
      <c r="CA251" s="103" t="e">
        <f t="shared" si="2264"/>
        <v>#DIV/0!</v>
      </c>
      <c r="CB251" s="103" t="e">
        <f t="shared" si="2264"/>
        <v>#DIV/0!</v>
      </c>
      <c r="CC251" s="103" t="e">
        <f t="shared" si="2264"/>
        <v>#DIV/0!</v>
      </c>
      <c r="CD251" s="103" t="e">
        <f t="shared" si="2264"/>
        <v>#DIV/0!</v>
      </c>
      <c r="CE251" s="103" t="e">
        <f t="shared" si="2264"/>
        <v>#DIV/0!</v>
      </c>
      <c r="CF251" s="103" t="e">
        <f t="shared" si="2264"/>
        <v>#DIV/0!</v>
      </c>
      <c r="CG251" s="103" t="e">
        <f t="shared" si="2264"/>
        <v>#DIV/0!</v>
      </c>
      <c r="CH251" s="103" t="e">
        <f t="shared" si="2264"/>
        <v>#DIV/0!</v>
      </c>
      <c r="CI251" s="103" t="e">
        <f t="shared" si="2264"/>
        <v>#DIV/0!</v>
      </c>
      <c r="CJ251" s="103" t="e">
        <f t="shared" si="2264"/>
        <v>#DIV/0!</v>
      </c>
      <c r="CK251" s="73" t="e">
        <f t="shared" si="2264"/>
        <v>#DIV/0!</v>
      </c>
      <c r="CL251" s="103" t="e">
        <f t="shared" ref="CL251" si="2265">IF(CL249&gt;CL250,"RF",0)</f>
        <v>#DIV/0!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 t="e">
        <f t="shared" si="2267"/>
        <v>#DIV/0!</v>
      </c>
      <c r="L252" s="86" t="e">
        <f t="shared" si="2267"/>
        <v>#DIV/0!</v>
      </c>
      <c r="M252" s="86" t="e">
        <f t="shared" si="2267"/>
        <v>#DIV/0!</v>
      </c>
      <c r="N252" s="86" t="e">
        <f t="shared" si="2267"/>
        <v>#DIV/0!</v>
      </c>
      <c r="O252" s="86" t="e">
        <f t="shared" si="2267"/>
        <v>#DIV/0!</v>
      </c>
      <c r="P252" s="86" t="e">
        <f t="shared" si="2267"/>
        <v>#DIV/0!</v>
      </c>
      <c r="Q252" s="86" t="e">
        <f t="shared" si="2267"/>
        <v>#DIV/0!</v>
      </c>
      <c r="R252" s="86" t="e">
        <f t="shared" si="2267"/>
        <v>#DIV/0!</v>
      </c>
      <c r="S252" s="86" t="e">
        <f t="shared" si="2267"/>
        <v>#DIV/0!</v>
      </c>
      <c r="T252" s="86" t="e">
        <f t="shared" si="2267"/>
        <v>#DIV/0!</v>
      </c>
      <c r="U252" s="86" t="e">
        <f t="shared" si="2267"/>
        <v>#DIV/0!</v>
      </c>
      <c r="V252" s="86" t="e">
        <f t="shared" si="2267"/>
        <v>#DIV/0!</v>
      </c>
      <c r="W252" s="86">
        <f t="shared" si="2267"/>
        <v>1.9098440267382732E-2</v>
      </c>
      <c r="X252" s="86">
        <f t="shared" si="2267"/>
        <v>1.1996600675152411E-2</v>
      </c>
      <c r="Y252" s="86">
        <f t="shared" si="2267"/>
        <v>1.1548058134001917E-2</v>
      </c>
      <c r="Z252" s="86">
        <f t="shared" si="2267"/>
        <v>9.5852228542469449E-3</v>
      </c>
      <c r="AA252" s="86">
        <f t="shared" ref="AA252" si="2268">AA36/AA8</f>
        <v>7.9715082865114365E-3</v>
      </c>
      <c r="AB252" s="87" t="e">
        <f t="shared" si="2267"/>
        <v>#DIV/0!</v>
      </c>
      <c r="AC252" s="87" t="e">
        <f t="shared" si="2267"/>
        <v>#DIV/0!</v>
      </c>
      <c r="AD252" s="87" t="e">
        <f t="shared" si="2267"/>
        <v>#DIV/0!</v>
      </c>
      <c r="AE252" s="87" t="e">
        <f t="shared" si="2267"/>
        <v>#DIV/0!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 t="e">
        <f t="shared" si="2269"/>
        <v>#DIV/0!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 t="e">
        <f t="shared" si="2269"/>
        <v>#DIV/0!</v>
      </c>
      <c r="BH252" s="86" t="e">
        <f t="shared" si="2269"/>
        <v>#DIV/0!</v>
      </c>
      <c r="BI252" s="86" t="e">
        <f t="shared" si="2269"/>
        <v>#DIV/0!</v>
      </c>
      <c r="BJ252" s="86" t="e">
        <f t="shared" si="2269"/>
        <v>#DIV/0!</v>
      </c>
      <c r="BK252" s="86" t="e">
        <f t="shared" si="2269"/>
        <v>#DIV/0!</v>
      </c>
      <c r="BL252" s="86" t="e">
        <f t="shared" si="2269"/>
        <v>#DIV/0!</v>
      </c>
      <c r="BM252" s="86" t="e">
        <f t="shared" si="2269"/>
        <v>#DIV/0!</v>
      </c>
      <c r="BN252" s="86" t="e">
        <f t="shared" si="2269"/>
        <v>#DIV/0!</v>
      </c>
      <c r="BO252" s="86" t="e">
        <f t="shared" si="2269"/>
        <v>#DIV/0!</v>
      </c>
      <c r="BP252" s="86" t="e">
        <f t="shared" si="2269"/>
        <v>#DIV/0!</v>
      </c>
      <c r="BQ252" s="86" t="e">
        <f t="shared" si="2269"/>
        <v>#DIV/0!</v>
      </c>
      <c r="BR252" s="86" t="e">
        <f t="shared" si="2269"/>
        <v>#DIV/0!</v>
      </c>
      <c r="BS252" s="86" t="e">
        <f t="shared" si="2269"/>
        <v>#DIV/0!</v>
      </c>
      <c r="BT252" s="86" t="e">
        <f t="shared" si="2269"/>
        <v>#DIV/0!</v>
      </c>
      <c r="BU252" s="86" t="e">
        <f t="shared" si="2269"/>
        <v>#DIV/0!</v>
      </c>
      <c r="BV252" s="86" t="e">
        <f t="shared" si="2269"/>
        <v>#DIV/0!</v>
      </c>
      <c r="BW252" s="86" t="e">
        <f t="shared" si="2269"/>
        <v>#DIV/0!</v>
      </c>
      <c r="BX252" s="86" t="e">
        <f t="shared" si="2269"/>
        <v>#DIV/0!</v>
      </c>
      <c r="BY252" s="86" t="e">
        <f t="shared" si="2269"/>
        <v>#DIV/0!</v>
      </c>
      <c r="BZ252" s="86" t="e">
        <f t="shared" si="2269"/>
        <v>#DIV/0!</v>
      </c>
      <c r="CA252" s="86" t="e">
        <f t="shared" si="2269"/>
        <v>#DIV/0!</v>
      </c>
      <c r="CB252" s="86" t="e">
        <f t="shared" si="2269"/>
        <v>#DIV/0!</v>
      </c>
      <c r="CC252" s="86" t="e">
        <f t="shared" si="2269"/>
        <v>#DIV/0!</v>
      </c>
      <c r="CD252" s="86" t="e">
        <f t="shared" si="2269"/>
        <v>#DIV/0!</v>
      </c>
      <c r="CE252" s="86" t="e">
        <f t="shared" si="2269"/>
        <v>#DIV/0!</v>
      </c>
      <c r="CF252" s="86">
        <f t="shared" si="2269"/>
        <v>9.9192035781272541E-3</v>
      </c>
      <c r="CG252" s="86">
        <f t="shared" si="2269"/>
        <v>9.5165323701028072E-3</v>
      </c>
      <c r="CH252" s="86">
        <f t="shared" si="2269"/>
        <v>8.9797285977550687E-3</v>
      </c>
      <c r="CI252" s="86" t="e">
        <f t="shared" si="2269"/>
        <v>#DIV/0!</v>
      </c>
      <c r="CJ252" s="86">
        <f t="shared" si="2269"/>
        <v>7.7099176380812052E-3</v>
      </c>
      <c r="CK252" s="87">
        <f t="shared" si="2269"/>
        <v>8.1268945332915229E-3</v>
      </c>
      <c r="CL252" s="86">
        <f t="shared" ref="CL252" si="2270">CL36/CL8</f>
        <v>7.7074913055738313E-3</v>
      </c>
      <c r="CM252" s="87" t="e">
        <f t="shared" si="2269"/>
        <v>#DIV/0!</v>
      </c>
      <c r="CN252" s="87" t="e">
        <f t="shared" si="2269"/>
        <v>#DIV/0!</v>
      </c>
      <c r="CO252" s="87" t="e">
        <f t="shared" si="2269"/>
        <v>#DIV/0!</v>
      </c>
      <c r="CP252" s="87" t="e">
        <f t="shared" si="2269"/>
        <v>#DIV/0!</v>
      </c>
      <c r="CQ252" s="87" t="e">
        <f t="shared" si="2269"/>
        <v>#DIV/0!</v>
      </c>
      <c r="CR252" s="87" t="e">
        <f t="shared" si="2269"/>
        <v>#DIV/0!</v>
      </c>
      <c r="CS252" s="87" t="e">
        <f t="shared" si="2269"/>
        <v>#DIV/0!</v>
      </c>
      <c r="CT252" s="87" t="e">
        <f t="shared" si="2269"/>
        <v>#DIV/0!</v>
      </c>
      <c r="CU252" s="87" t="e">
        <f t="shared" si="2269"/>
        <v>#DIV/0!</v>
      </c>
      <c r="CV252" s="87" t="e">
        <f t="shared" si="2269"/>
        <v>#DIV/0!</v>
      </c>
      <c r="CW252" s="87" t="e">
        <f t="shared" si="2269"/>
        <v>#DIV/0!</v>
      </c>
      <c r="CX252" s="87" t="e">
        <f t="shared" ref="CX252:DB252" si="2271">CX36/CX8</f>
        <v>#DIV/0!</v>
      </c>
      <c r="CY252" s="87" t="e">
        <f t="shared" si="2271"/>
        <v>#DIV/0!</v>
      </c>
      <c r="CZ252" s="87" t="e">
        <f t="shared" si="2271"/>
        <v>#DIV/0!</v>
      </c>
      <c r="DA252" s="87" t="e">
        <f t="shared" si="2271"/>
        <v>#DIV/0!</v>
      </c>
      <c r="DB252" s="87" t="e">
        <f t="shared" si="2271"/>
        <v>#DIV/0!</v>
      </c>
      <c r="DE252" s="141"/>
      <c r="DF252" s="86">
        <v>7.8433352689203633E-3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 t="e">
        <f t="shared" si="2272"/>
        <v>#DIV/0!</v>
      </c>
      <c r="L253" s="86" t="e">
        <f t="shared" si="2272"/>
        <v>#DIV/0!</v>
      </c>
      <c r="M253" s="86" t="e">
        <f t="shared" si="2272"/>
        <v>#DIV/0!</v>
      </c>
      <c r="N253" s="86" t="e">
        <f t="shared" si="2272"/>
        <v>#DIV/0!</v>
      </c>
      <c r="O253" s="86" t="e">
        <f t="shared" si="2272"/>
        <v>#DIV/0!</v>
      </c>
      <c r="P253" s="86" t="e">
        <f t="shared" si="2272"/>
        <v>#DIV/0!</v>
      </c>
      <c r="Q253" s="86" t="e">
        <f t="shared" si="2272"/>
        <v>#DIV/0!</v>
      </c>
      <c r="R253" s="86" t="e">
        <f t="shared" si="2272"/>
        <v>#DIV/0!</v>
      </c>
      <c r="S253" s="86" t="e">
        <f t="shared" si="2272"/>
        <v>#DIV/0!</v>
      </c>
      <c r="T253" s="86" t="e">
        <f t="shared" si="2272"/>
        <v>#DIV/0!</v>
      </c>
      <c r="U253" s="86" t="e">
        <f t="shared" si="2272"/>
        <v>#DIV/0!</v>
      </c>
      <c r="V253" s="86" t="e">
        <f t="shared" si="2272"/>
        <v>#DIV/0!</v>
      </c>
      <c r="W253" s="86">
        <f t="shared" si="2272"/>
        <v>6.4025595612180769E-2</v>
      </c>
      <c r="X253" s="86">
        <f t="shared" si="2272"/>
        <v>4.814820050989873E-2</v>
      </c>
      <c r="Y253" s="86">
        <f t="shared" si="2272"/>
        <v>4.4442270578658918E-2</v>
      </c>
      <c r="Z253" s="86">
        <f t="shared" si="2272"/>
        <v>3.2329375169292338E-2</v>
      </c>
      <c r="AA253" s="86">
        <f t="shared" ref="AA253" si="2273">AA32/AA8</f>
        <v>2.9063862067192102E-2</v>
      </c>
      <c r="AB253" s="87" t="e">
        <f t="shared" si="2272"/>
        <v>#DIV/0!</v>
      </c>
      <c r="AC253" s="87" t="e">
        <f t="shared" si="2272"/>
        <v>#DIV/0!</v>
      </c>
      <c r="AD253" s="87" t="e">
        <f t="shared" si="2272"/>
        <v>#DIV/0!</v>
      </c>
      <c r="AE253" s="87" t="e">
        <f t="shared" si="2272"/>
        <v>#DIV/0!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 t="e">
        <f t="shared" si="2274"/>
        <v>#DIV/0!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 t="e">
        <f t="shared" si="2274"/>
        <v>#DIV/0!</v>
      </c>
      <c r="BH253" s="86" t="e">
        <f t="shared" si="2274"/>
        <v>#DIV/0!</v>
      </c>
      <c r="BI253" s="86" t="e">
        <f t="shared" si="2274"/>
        <v>#DIV/0!</v>
      </c>
      <c r="BJ253" s="86" t="e">
        <f t="shared" si="2274"/>
        <v>#DIV/0!</v>
      </c>
      <c r="BK253" s="86" t="e">
        <f t="shared" si="2274"/>
        <v>#DIV/0!</v>
      </c>
      <c r="BL253" s="86" t="e">
        <f t="shared" si="2274"/>
        <v>#DIV/0!</v>
      </c>
      <c r="BM253" s="86" t="e">
        <f t="shared" si="2274"/>
        <v>#DIV/0!</v>
      </c>
      <c r="BN253" s="86" t="e">
        <f t="shared" si="2274"/>
        <v>#DIV/0!</v>
      </c>
      <c r="BO253" s="86" t="e">
        <f t="shared" si="2274"/>
        <v>#DIV/0!</v>
      </c>
      <c r="BP253" s="86" t="e">
        <f t="shared" si="2274"/>
        <v>#DIV/0!</v>
      </c>
      <c r="BQ253" s="86" t="e">
        <f t="shared" si="2274"/>
        <v>#DIV/0!</v>
      </c>
      <c r="BR253" s="86" t="e">
        <f t="shared" si="2274"/>
        <v>#DIV/0!</v>
      </c>
      <c r="BS253" s="86" t="e">
        <f t="shared" si="2274"/>
        <v>#DIV/0!</v>
      </c>
      <c r="BT253" s="86" t="e">
        <f t="shared" si="2274"/>
        <v>#DIV/0!</v>
      </c>
      <c r="BU253" s="86" t="e">
        <f t="shared" si="2274"/>
        <v>#DIV/0!</v>
      </c>
      <c r="BV253" s="86" t="e">
        <f t="shared" si="2274"/>
        <v>#DIV/0!</v>
      </c>
      <c r="BW253" s="86" t="e">
        <f t="shared" si="2274"/>
        <v>#DIV/0!</v>
      </c>
      <c r="BX253" s="86" t="e">
        <f t="shared" si="2274"/>
        <v>#DIV/0!</v>
      </c>
      <c r="BY253" s="86" t="e">
        <f t="shared" si="2274"/>
        <v>#DIV/0!</v>
      </c>
      <c r="BZ253" s="86" t="e">
        <f t="shared" si="2274"/>
        <v>#DIV/0!</v>
      </c>
      <c r="CA253" s="86" t="e">
        <f t="shared" si="2274"/>
        <v>#DIV/0!</v>
      </c>
      <c r="CB253" s="86" t="e">
        <f t="shared" si="2274"/>
        <v>#DIV/0!</v>
      </c>
      <c r="CC253" s="86" t="e">
        <f t="shared" si="2274"/>
        <v>#DIV/0!</v>
      </c>
      <c r="CD253" s="86" t="e">
        <f t="shared" si="2274"/>
        <v>#DIV/0!</v>
      </c>
      <c r="CE253" s="86" t="e">
        <f t="shared" si="2274"/>
        <v>#DIV/0!</v>
      </c>
      <c r="CF253" s="86">
        <f t="shared" si="2274"/>
        <v>3.4518828451882845E-2</v>
      </c>
      <c r="CG253" s="86">
        <f t="shared" si="2274"/>
        <v>3.243956654626285E-2</v>
      </c>
      <c r="CH253" s="86">
        <f t="shared" si="2274"/>
        <v>3.1127492042218124E-2</v>
      </c>
      <c r="CI253" s="86" t="e">
        <f t="shared" si="2274"/>
        <v>#DIV/0!</v>
      </c>
      <c r="CJ253" s="86">
        <f t="shared" si="2274"/>
        <v>2.7392574270452334E-2</v>
      </c>
      <c r="CK253" s="87">
        <f t="shared" si="2274"/>
        <v>3.0652242082157416E-2</v>
      </c>
      <c r="CL253" s="86">
        <f t="shared" ref="CL253" si="2275">CL32/CL8</f>
        <v>3.1887395431901493E-2</v>
      </c>
      <c r="CM253" s="87" t="e">
        <f t="shared" si="2274"/>
        <v>#DIV/0!</v>
      </c>
      <c r="CN253" s="87" t="e">
        <f t="shared" si="2274"/>
        <v>#DIV/0!</v>
      </c>
      <c r="CO253" s="87" t="e">
        <f t="shared" si="2274"/>
        <v>#DIV/0!</v>
      </c>
      <c r="CP253" s="87" t="e">
        <f t="shared" si="2274"/>
        <v>#DIV/0!</v>
      </c>
      <c r="CQ253" s="87" t="e">
        <f t="shared" si="2274"/>
        <v>#DIV/0!</v>
      </c>
      <c r="CR253" s="87" t="e">
        <f t="shared" si="2274"/>
        <v>#DIV/0!</v>
      </c>
      <c r="CS253" s="87" t="e">
        <f t="shared" si="2274"/>
        <v>#DIV/0!</v>
      </c>
      <c r="CT253" s="87" t="e">
        <f t="shared" si="2274"/>
        <v>#DIV/0!</v>
      </c>
      <c r="CU253" s="87" t="e">
        <f t="shared" si="2274"/>
        <v>#DIV/0!</v>
      </c>
      <c r="CV253" s="87" t="e">
        <f t="shared" si="2274"/>
        <v>#DIV/0!</v>
      </c>
      <c r="CW253" s="87" t="e">
        <f t="shared" si="2274"/>
        <v>#DIV/0!</v>
      </c>
      <c r="CX253" s="87" t="e">
        <f t="shared" ref="CX253:DB253" si="2276">CX32/CX8</f>
        <v>#DIV/0!</v>
      </c>
      <c r="CY253" s="87" t="e">
        <f t="shared" si="2276"/>
        <v>#DIV/0!</v>
      </c>
      <c r="CZ253" s="87" t="e">
        <f t="shared" si="2276"/>
        <v>#DIV/0!</v>
      </c>
      <c r="DA253" s="87" t="e">
        <f t="shared" si="2276"/>
        <v>#DIV/0!</v>
      </c>
      <c r="DB253" s="87" t="e">
        <f t="shared" si="2276"/>
        <v>#DIV/0!</v>
      </c>
      <c r="DE253" s="141"/>
      <c r="DF253" s="86">
        <v>3.005209253789122E-2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320350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Urban Company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0</v>
      </c>
      <c r="AV5">
        <f>_xll.EQNXTDZ($A$1,$B5,AV$1,$B$1)</f>
        <v>0</v>
      </c>
      <c r="AW5">
        <f>_xll.EQNXTDZ($A$1,$B5,AW$1,$B$1)</f>
        <v>0</v>
      </c>
      <c r="AX5">
        <f>_xll.EQNXTDZ($A$1,$B5,AX$1,$B$1)</f>
        <v>0</v>
      </c>
      <c r="AY5">
        <f>_xll.EQNXTDZ($A$1,$B5,AY$1,$B$1)</f>
        <v>0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0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0</v>
      </c>
      <c r="AV6">
        <f>_xll.EQNXTDZ($A$1,$B6,AV$1,$B$1)</f>
        <v>0</v>
      </c>
      <c r="AW6">
        <f>_xll.EQNXTDZ($A$1,$B6,AW$1,$B$1)</f>
        <v>0</v>
      </c>
      <c r="AX6">
        <f>_xll.EQNXTDZ($A$1,$B6,AX$1,$B$1)</f>
        <v>0</v>
      </c>
      <c r="AY6">
        <f>_xll.EQNXTDZ($A$1,$B6,AY$1,$B$1)</f>
        <v>0</v>
      </c>
      <c r="AZ6">
        <f>_xll.EQNXTDZ($A$1,$B6,AZ$1,$B$1)</f>
        <v>277.24</v>
      </c>
      <c r="BA6">
        <f>_xll.EQNXTDZ($A$1,$B6,BA$1,$B$1)</f>
        <v>287.92</v>
      </c>
      <c r="BB6">
        <f>_xll.EQNXTDZ($A$1,$B6,BB$1,$B$1)</f>
        <v>298.45</v>
      </c>
      <c r="BC6">
        <f>_xll.EQNXTDZ($A$1,$B6,BC$1,$B$1)</f>
        <v>0</v>
      </c>
      <c r="BD6">
        <f>_xll.EQNXTDZ($A$1,$B6,BD$1,$B$1)</f>
        <v>380.03</v>
      </c>
      <c r="BE6">
        <f>_xll.EQNXTDZ($A$1,$B6,BE$1,$B$1)</f>
        <v>382.68</v>
      </c>
      <c r="BF6">
        <f>_xll.EQNXTDZ($A$1,$B6,BF$1,$B$1)</f>
        <v>425.56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0</v>
      </c>
      <c r="AV9">
        <f>_xll.EQNXTDZ($A$1,$B9,AV$1,$B$1)</f>
        <v>0</v>
      </c>
      <c r="AW9">
        <f>_xll.EQNXTDZ($A$1,$B9,AW$1,$B$1)</f>
        <v>0</v>
      </c>
      <c r="AX9">
        <f>_xll.EQNXTDZ($A$1,$B9,AX$1,$B$1)</f>
        <v>0</v>
      </c>
      <c r="AY9">
        <f>_xll.EQNXTDZ($A$1,$B9,AY$1,$B$1)</f>
        <v>0</v>
      </c>
      <c r="AZ9">
        <f>_xll.EQNXTDZ($A$1,$B9,AZ$1,$B$1)</f>
        <v>277.24</v>
      </c>
      <c r="BA9">
        <f>_xll.EQNXTDZ($A$1,$B9,BA$1,$B$1)</f>
        <v>287.92</v>
      </c>
      <c r="BB9">
        <f>_xll.EQNXTDZ($A$1,$B9,BB$1,$B$1)</f>
        <v>298.45</v>
      </c>
      <c r="BC9">
        <f>_xll.EQNXTDZ($A$1,$B9,BC$1,$B$1)</f>
        <v>0</v>
      </c>
      <c r="BD9">
        <f>_xll.EQNXTDZ($A$1,$B9,BD$1,$B$1)</f>
        <v>380.03</v>
      </c>
      <c r="BE9">
        <f>_xll.EQNXTDZ($A$1,$B9,BE$1,$B$1)</f>
        <v>382.68</v>
      </c>
      <c r="BF9">
        <f>_xll.EQNXTDZ($A$1,$B9,BF$1,$B$1)</f>
        <v>425.56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-8.16</v>
      </c>
      <c r="BA10">
        <f>_xll.EQNXTDZ($A$1,$B10,BA$1,$B$1)</f>
        <v>4.51</v>
      </c>
      <c r="BB10">
        <f>_xll.EQNXTDZ($A$1,$B10,BB$1,$B$1)</f>
        <v>-3.25</v>
      </c>
      <c r="BC10">
        <f>_xll.EQNXTDZ($A$1,$B10,BC$1,$B$1)</f>
        <v>0</v>
      </c>
      <c r="BD10">
        <f>_xll.EQNXTDZ($A$1,$B10,BD$1,$B$1)</f>
        <v>-21.62</v>
      </c>
      <c r="BE10">
        <f>_xll.EQNXTDZ($A$1,$B10,BE$1,$B$1)</f>
        <v>8.94</v>
      </c>
      <c r="BF10">
        <f>_xll.EQNXTDZ($A$1,$B10,BF$1,$B$1)</f>
        <v>-11.04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59.94</v>
      </c>
      <c r="BA12">
        <f>_xll.EQNXTDZ($A$1,$B12,BA$1,$B$1)</f>
        <v>50.02</v>
      </c>
      <c r="BB12">
        <f>_xll.EQNXTDZ($A$1,$B12,BB$1,$B$1)</f>
        <v>67.95</v>
      </c>
      <c r="BC12">
        <f>_xll.EQNXTDZ($A$1,$B12,BC$1,$B$1)</f>
        <v>0</v>
      </c>
      <c r="BD12">
        <f>_xll.EQNXTDZ($A$1,$B12,BD$1,$B$1)</f>
        <v>102.63</v>
      </c>
      <c r="BE12">
        <f>_xll.EQNXTDZ($A$1,$B12,BE$1,$B$1)</f>
        <v>62.59</v>
      </c>
      <c r="BF12">
        <f>_xll.EQNXTDZ($A$1,$B12,BF$1,$B$1)</f>
        <v>99.87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0</v>
      </c>
      <c r="AV14">
        <f>_xll.EQNXTDZ($A$1,$B14,AV$1,$B$1)</f>
        <v>0</v>
      </c>
      <c r="AW14">
        <f>_xll.EQNXTDZ($A$1,$B14,AW$1,$B$1)</f>
        <v>0</v>
      </c>
      <c r="AX14">
        <f>_xll.EQNXTDZ($A$1,$B14,AX$1,$B$1)</f>
        <v>0</v>
      </c>
      <c r="AY14">
        <f>_xll.EQNXTDZ($A$1,$B14,AY$1,$B$1)</f>
        <v>0</v>
      </c>
      <c r="AZ14">
        <f>_xll.EQNXTDZ($A$1,$B14,AZ$1,$B$1)</f>
        <v>151.81</v>
      </c>
      <c r="BA14">
        <f>_xll.EQNXTDZ($A$1,$B14,BA$1,$B$1)</f>
        <v>151.57</v>
      </c>
      <c r="BB14">
        <f>_xll.EQNXTDZ($A$1,$B14,BB$1,$B$1)</f>
        <v>151.41</v>
      </c>
      <c r="BC14">
        <f>_xll.EQNXTDZ($A$1,$B14,BC$1,$B$1)</f>
        <v>0</v>
      </c>
      <c r="BD14">
        <f>_xll.EQNXTDZ($A$1,$B14,BD$1,$B$1)</f>
        <v>236.53</v>
      </c>
      <c r="BE14">
        <f>_xll.EQNXTDZ($A$1,$B14,BE$1,$B$1)</f>
        <v>232.26</v>
      </c>
      <c r="BF14">
        <f>_xll.EQNXTDZ($A$1,$B14,BF$1,$B$1)</f>
        <v>321.86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0</v>
      </c>
      <c r="AV16">
        <f>_xll.EQNXTDZ($A$1,$B16,AV$1,$B$1)</f>
        <v>0</v>
      </c>
      <c r="AW16">
        <f>_xll.EQNXTDZ($A$1,$B16,AW$1,$B$1)</f>
        <v>0</v>
      </c>
      <c r="AX16">
        <f>_xll.EQNXTDZ($A$1,$B16,AX$1,$B$1)</f>
        <v>0</v>
      </c>
      <c r="AY16">
        <f>_xll.EQNXTDZ($A$1,$B16,AY$1,$B$1)</f>
        <v>0</v>
      </c>
      <c r="AZ16">
        <f>_xll.EQNXTDZ($A$1,$B16,AZ$1,$B$1)</f>
        <v>89.96</v>
      </c>
      <c r="BA16">
        <f>_xll.EQNXTDZ($A$1,$B16,BA$1,$B$1)</f>
        <v>83.72</v>
      </c>
      <c r="BB16">
        <f>_xll.EQNXTDZ($A$1,$B16,BB$1,$B$1)</f>
        <v>92.27</v>
      </c>
      <c r="BC16">
        <f>_xll.EQNXTDZ($A$1,$B16,BC$1,$B$1)</f>
        <v>0</v>
      </c>
      <c r="BD16">
        <f>_xll.EQNXTDZ($A$1,$B16,BD$1,$B$1)</f>
        <v>113.75</v>
      </c>
      <c r="BE16">
        <f>_xll.EQNXTDZ($A$1,$B16,BE$1,$B$1)</f>
        <v>114.2</v>
      </c>
      <c r="BF16">
        <f>_xll.EQNXTDZ($A$1,$B16,BF$1,$B$1)</f>
        <v>129.31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17.100000000000001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0</v>
      </c>
      <c r="AV22">
        <f>_xll.EQNXTDZ($A$1,$B22,AV$1,$B$1)</f>
        <v>0</v>
      </c>
      <c r="AW22">
        <f>_xll.EQNXTDZ($A$1,$B22,AW$1,$B$1)</f>
        <v>0</v>
      </c>
      <c r="AX22">
        <f>_xll.EQNXTDZ($A$1,$B22,AX$1,$B$1)</f>
        <v>0</v>
      </c>
      <c r="AY22">
        <f>_xll.EQNXTDZ($A$1,$B22,AY$1,$B$1)</f>
        <v>0</v>
      </c>
      <c r="AZ22">
        <f>_xll.EQNXTDZ($A$1,$B22,AZ$1,$B$1)</f>
        <v>-16.309999999999999</v>
      </c>
      <c r="BA22">
        <f>_xll.EQNXTDZ($A$1,$B22,BA$1,$B$1)</f>
        <v>-1.9</v>
      </c>
      <c r="BB22">
        <f>_xll.EQNXTDZ($A$1,$B22,BB$1,$B$1)</f>
        <v>-9.9300000000000193</v>
      </c>
      <c r="BC22">
        <f>_xll.EQNXTDZ($A$1,$B22,BC$1,$B$1)</f>
        <v>0</v>
      </c>
      <c r="BD22">
        <f>_xll.EQNXTDZ($A$1,$B22,BD$1,$B$1)</f>
        <v>-68.36</v>
      </c>
      <c r="BE22">
        <f>_xll.EQNXTDZ($A$1,$B22,BE$1,$B$1)</f>
        <v>-35.309999999999903</v>
      </c>
      <c r="BF22">
        <f>_xll.EQNXTDZ($A$1,$B22,BF$1,$B$1)</f>
        <v>-114.44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</v>
      </c>
      <c r="AV23">
        <f>_xll.EQNXTDZ($A$1,$B23,AV$1,$B$1)</f>
        <v>0</v>
      </c>
      <c r="AW23">
        <f>_xll.EQNXTDZ($A$1,$B23,AW$1,$B$1)</f>
        <v>0</v>
      </c>
      <c r="AX23">
        <f>_xll.EQNXTDZ($A$1,$B23,AX$1,$B$1)</f>
        <v>0</v>
      </c>
      <c r="AY23">
        <f>_xll.EQNXTDZ($A$1,$B23,AY$1,$B$1)</f>
        <v>0</v>
      </c>
      <c r="AZ23">
        <f>_xll.EQNXTDZ($A$1,$B23,AZ$1,$B$1)</f>
        <v>26.81</v>
      </c>
      <c r="BA23">
        <f>_xll.EQNXTDZ($A$1,$B23,BA$1,$B$1)</f>
        <v>30.36</v>
      </c>
      <c r="BB23">
        <f>_xll.EQNXTDZ($A$1,$B23,BB$1,$B$1)</f>
        <v>31.96</v>
      </c>
      <c r="BC23">
        <f>_xll.EQNXTDZ($A$1,$B23,BC$1,$B$1)</f>
        <v>0</v>
      </c>
      <c r="BD23">
        <f>_xll.EQNXTDZ($A$1,$B23,BD$1,$B$1)</f>
        <v>32.630000000000003</v>
      </c>
      <c r="BE23">
        <f>_xll.EQNXTDZ($A$1,$B23,BE$1,$B$1)</f>
        <v>36.1</v>
      </c>
      <c r="BF23">
        <f>_xll.EQNXTDZ($A$1,$B23,BF$1,$B$1)</f>
        <v>36.74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0</v>
      </c>
      <c r="AV24">
        <f>_xll.EQNXTDZ($A$1,$B24,AV$1,$B$1)</f>
        <v>0</v>
      </c>
      <c r="AW24">
        <f>_xll.EQNXTDZ($A$1,$B24,AW$1,$B$1)</f>
        <v>0</v>
      </c>
      <c r="AX24">
        <f>_xll.EQNXTDZ($A$1,$B24,AX$1,$B$1)</f>
        <v>0</v>
      </c>
      <c r="AY24">
        <f>_xll.EQNXTDZ($A$1,$B24,AY$1,$B$1)</f>
        <v>0</v>
      </c>
      <c r="AZ24">
        <f>_xll.EQNXTDZ($A$1,$B24,AZ$1,$B$1)</f>
        <v>10.5</v>
      </c>
      <c r="BA24">
        <f>_xll.EQNXTDZ($A$1,$B24,BA$1,$B$1)</f>
        <v>28.46</v>
      </c>
      <c r="BB24">
        <f>_xll.EQNXTDZ($A$1,$B24,BB$1,$B$1)</f>
        <v>22.03</v>
      </c>
      <c r="BC24">
        <f>_xll.EQNXTDZ($A$1,$B24,BC$1,$B$1)</f>
        <v>0</v>
      </c>
      <c r="BD24">
        <f>_xll.EQNXTDZ($A$1,$B24,BD$1,$B$1)</f>
        <v>-35.729999999999997</v>
      </c>
      <c r="BE24">
        <f>_xll.EQNXTDZ($A$1,$B24,BE$1,$B$1)</f>
        <v>0.79000000000005499</v>
      </c>
      <c r="BF24">
        <f>_xll.EQNXTDZ($A$1,$B24,BF$1,$B$1)</f>
        <v>-77.699999999999903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2.75</v>
      </c>
      <c r="BA25">
        <f>_xll.EQNXTDZ($A$1,$B25,BA$1,$B$1)</f>
        <v>2.74</v>
      </c>
      <c r="BB25">
        <f>_xll.EQNXTDZ($A$1,$B25,BB$1,$B$1)</f>
        <v>2.68</v>
      </c>
      <c r="BC25">
        <f>_xll.EQNXTDZ($A$1,$B25,BC$1,$B$1)</f>
        <v>0</v>
      </c>
      <c r="BD25">
        <f>_xll.EQNXTDZ($A$1,$B25,BD$1,$B$1)</f>
        <v>2.93</v>
      </c>
      <c r="BE25">
        <f>_xll.EQNXTDZ($A$1,$B25,BE$1,$B$1)</f>
        <v>3.11</v>
      </c>
      <c r="BF25">
        <f>_xll.EQNXTDZ($A$1,$B25,BF$1,$B$1)</f>
        <v>3.28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0</v>
      </c>
      <c r="AV27">
        <f>_xll.EQNXTDZ($A$1,$B27,AV$1,$B$1)</f>
        <v>0</v>
      </c>
      <c r="AW27">
        <f>_xll.EQNXTDZ($A$1,$B27,AW$1,$B$1)</f>
        <v>0</v>
      </c>
      <c r="AX27">
        <f>_xll.EQNXTDZ($A$1,$B27,AX$1,$B$1)</f>
        <v>0</v>
      </c>
      <c r="AY27">
        <f>_xll.EQNXTDZ($A$1,$B27,AY$1,$B$1)</f>
        <v>0</v>
      </c>
      <c r="AZ27">
        <f>_xll.EQNXTDZ($A$1,$B27,AZ$1,$B$1)</f>
        <v>7.75</v>
      </c>
      <c r="BA27">
        <f>_xll.EQNXTDZ($A$1,$B27,BA$1,$B$1)</f>
        <v>25.72</v>
      </c>
      <c r="BB27">
        <f>_xll.EQNXTDZ($A$1,$B27,BB$1,$B$1)</f>
        <v>19.350000000000001</v>
      </c>
      <c r="BC27">
        <f>_xll.EQNXTDZ($A$1,$B27,BC$1,$B$1)</f>
        <v>0</v>
      </c>
      <c r="BD27">
        <f>_xll.EQNXTDZ($A$1,$B27,BD$1,$B$1)</f>
        <v>-38.659999999999997</v>
      </c>
      <c r="BE27">
        <f>_xll.EQNXTDZ($A$1,$B27,BE$1,$B$1)</f>
        <v>-2.3199999999999501</v>
      </c>
      <c r="BF27">
        <f>_xll.EQNXTDZ($A$1,$B27,BF$1,$B$1)</f>
        <v>-80.979999999999905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9.57</v>
      </c>
      <c r="BA28">
        <f>_xll.EQNXTDZ($A$1,$B28,BA$1,$B$1)</f>
        <v>9.34</v>
      </c>
      <c r="BB28">
        <f>_xll.EQNXTDZ($A$1,$B28,BB$1,$B$1)</f>
        <v>9.2899999999999991</v>
      </c>
      <c r="BC28">
        <f>_xll.EQNXTDZ($A$1,$B28,BC$1,$B$1)</f>
        <v>0</v>
      </c>
      <c r="BD28">
        <f>_xll.EQNXTDZ($A$1,$B28,BD$1,$B$1)</f>
        <v>10.41</v>
      </c>
      <c r="BE28">
        <f>_xll.EQNXTDZ($A$1,$B28,BE$1,$B$1)</f>
        <v>11.73</v>
      </c>
      <c r="BF28">
        <f>_xll.EQNXTDZ($A$1,$B28,BF$1,$B$1)</f>
        <v>13.57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0</v>
      </c>
      <c r="AZ29">
        <f>_xll.EQNXTDZ($A$1,$B29,AZ$1,$B$1)</f>
        <v>0</v>
      </c>
      <c r="BA29">
        <f>_xll.EQNXTDZ($A$1,$B29,BA$1,$B$1)</f>
        <v>-215.46</v>
      </c>
      <c r="BB29">
        <f>_xll.EQNXTDZ($A$1,$B29,BB$1,$B$1)</f>
        <v>4.25</v>
      </c>
      <c r="BC29">
        <f>_xll.EQNXTDZ($A$1,$B29,BC$1,$B$1)</f>
        <v>0</v>
      </c>
      <c r="BD29">
        <f>_xll.EQNXTDZ($A$1,$B29,BD$1,$B$1)</f>
        <v>0</v>
      </c>
      <c r="BE29">
        <f>_xll.EQNXTDZ($A$1,$B29,BE$1,$B$1)</f>
        <v>0.21</v>
      </c>
      <c r="BF29">
        <f>_xll.EQNXTDZ($A$1,$B29,BF$1,$B$1)</f>
        <v>61.3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0</v>
      </c>
      <c r="AV30">
        <f>_xll.EQNXTDZ($A$1,$B30,AV$1,$B$1)</f>
        <v>0</v>
      </c>
      <c r="AW30">
        <f>_xll.EQNXTDZ($A$1,$B30,AW$1,$B$1)</f>
        <v>0</v>
      </c>
      <c r="AX30">
        <f>_xll.EQNXTDZ($A$1,$B30,AX$1,$B$1)</f>
        <v>0</v>
      </c>
      <c r="AY30">
        <f>_xll.EQNXTDZ($A$1,$B30,AY$1,$B$1)</f>
        <v>0</v>
      </c>
      <c r="AZ30">
        <f>_xll.EQNXTDZ($A$1,$B30,AZ$1,$B$1)</f>
        <v>-1.82</v>
      </c>
      <c r="BA30">
        <f>_xll.EQNXTDZ($A$1,$B30,BA$1,$B$1)</f>
        <v>231.84</v>
      </c>
      <c r="BB30">
        <f>_xll.EQNXTDZ($A$1,$B30,BB$1,$B$1)</f>
        <v>5.8099999999999703</v>
      </c>
      <c r="BC30">
        <f>_xll.EQNXTDZ($A$1,$B30,BC$1,$B$1)</f>
        <v>0</v>
      </c>
      <c r="BD30">
        <f>_xll.EQNXTDZ($A$1,$B30,BD$1,$B$1)</f>
        <v>-49.07</v>
      </c>
      <c r="BE30">
        <f>_xll.EQNXTDZ($A$1,$B30,BE$1,$B$1)</f>
        <v>-14.2599999999999</v>
      </c>
      <c r="BF30">
        <f>_xll.EQNXTDZ($A$1,$B30,BF$1,$B$1)</f>
        <v>-155.85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-8.65</v>
      </c>
      <c r="BC35">
        <f>_xll.EQNXTDZ($A$1,$B35,BC$1,$B$1)</f>
        <v>0</v>
      </c>
      <c r="BD35">
        <f>_xll.EQNXTDZ($A$1,$B35,BD$1,$B$1)</f>
        <v>-10.26</v>
      </c>
      <c r="BE35">
        <f>_xll.EQNXTDZ($A$1,$B35,BE$1,$B$1)</f>
        <v>-7</v>
      </c>
      <c r="BF35">
        <f>_xll.EQNXTDZ($A$1,$B35,BF$1,$B$1)</f>
        <v>-5.31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0</v>
      </c>
      <c r="AV38">
        <f>_xll.EQNXTDZ($A$1,$B38,AV$1,$B$1)</f>
        <v>0</v>
      </c>
      <c r="AW38">
        <f>_xll.EQNXTDZ($A$1,$B38,AW$1,$B$1)</f>
        <v>0</v>
      </c>
      <c r="AX38">
        <f>_xll.EQNXTDZ($A$1,$B38,AX$1,$B$1)</f>
        <v>0</v>
      </c>
      <c r="AY38">
        <f>_xll.EQNXTDZ($A$1,$B38,AY$1,$B$1)</f>
        <v>0</v>
      </c>
      <c r="AZ38">
        <f>_xll.EQNXTDZ($A$1,$B38,AZ$1,$B$1)</f>
        <v>-1.82</v>
      </c>
      <c r="BA38">
        <f>_xll.EQNXTDZ($A$1,$B38,BA$1,$B$1)</f>
        <v>231.84</v>
      </c>
      <c r="BB38">
        <f>_xll.EQNXTDZ($A$1,$B38,BB$1,$B$1)</f>
        <v>-2.84</v>
      </c>
      <c r="BC38">
        <f>_xll.EQNXTDZ($A$1,$B38,BC$1,$B$1)</f>
        <v>0</v>
      </c>
      <c r="BD38">
        <f>_xll.EQNXTDZ($A$1,$B38,BD$1,$B$1)</f>
        <v>-59.33</v>
      </c>
      <c r="BE38">
        <f>_xll.EQNXTDZ($A$1,$B38,BE$1,$B$1)</f>
        <v>-21.26</v>
      </c>
      <c r="BF38">
        <f>_xll.EQNXTDZ($A$1,$B38,BF$1,$B$1)</f>
        <v>-161.16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-0.13</v>
      </c>
      <c r="BA40">
        <f>_xll.EQNXTDZ($A$1,$B40,BA$1,$B$1)</f>
        <v>-0.16</v>
      </c>
      <c r="BB40">
        <f>_xll.EQNXTDZ($A$1,$B40,BB$1,$B$1)</f>
        <v>-0.48</v>
      </c>
      <c r="BC40">
        <f>_xll.EQNXTDZ($A$1,$B40,BC$1,$B$1)</f>
        <v>0</v>
      </c>
      <c r="BD40">
        <f>_xll.EQNXTDZ($A$1,$B40,BD$1,$B$1)</f>
        <v>0.61</v>
      </c>
      <c r="BE40">
        <f>_xll.EQNXTDZ($A$1,$B40,BE$1,$B$1)</f>
        <v>0.94</v>
      </c>
      <c r="BF40">
        <f>_xll.EQNXTDZ($A$1,$B40,BF$1,$B$1)</f>
        <v>1.98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0</v>
      </c>
      <c r="AV41">
        <f>_xll.EQNXTDZ($A$1,$B41,AV$1,$B$1)</f>
        <v>0</v>
      </c>
      <c r="AW41">
        <f>_xll.EQNXTDZ($A$1,$B41,AW$1,$B$1)</f>
        <v>0</v>
      </c>
      <c r="AX41">
        <f>_xll.EQNXTDZ($A$1,$B41,AX$1,$B$1)</f>
        <v>0</v>
      </c>
      <c r="AY41">
        <f>_xll.EQNXTDZ($A$1,$B41,AY$1,$B$1)</f>
        <v>0</v>
      </c>
      <c r="AZ41">
        <f>_xll.EQNXTDZ($A$1,$B41,AZ$1,$B$1)</f>
        <v>-1.95</v>
      </c>
      <c r="BA41">
        <f>_xll.EQNXTDZ($A$1,$B41,BA$1,$B$1)</f>
        <v>231.68</v>
      </c>
      <c r="BB41">
        <f>_xll.EQNXTDZ($A$1,$B41,BB$1,$B$1)</f>
        <v>-3.32</v>
      </c>
      <c r="BC41">
        <f>_xll.EQNXTDZ($A$1,$B41,BC$1,$B$1)</f>
        <v>0</v>
      </c>
      <c r="BD41">
        <f>_xll.EQNXTDZ($A$1,$B41,BD$1,$B$1)</f>
        <v>-58.72</v>
      </c>
      <c r="BE41">
        <f>_xll.EQNXTDZ($A$1,$B41,BE$1,$B$1)</f>
        <v>-20.32</v>
      </c>
      <c r="BF41">
        <f>_xll.EQNXTDZ($A$1,$B41,BF$1,$B$1)</f>
        <v>-159.18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0</v>
      </c>
      <c r="AV42">
        <f>_xll.EQNXTDZ($A$1,$B42,AV$1,$B$1)</f>
        <v>0</v>
      </c>
      <c r="AW42">
        <f>_xll.EQNXTDZ($A$1,$B42,AW$1,$B$1)</f>
        <v>0</v>
      </c>
      <c r="AX42">
        <f>_xll.EQNXTDZ($A$1,$B42,AX$1,$B$1)</f>
        <v>0</v>
      </c>
      <c r="AY42">
        <f>_xll.EQNXTDZ($A$1,$B42,AY$1,$B$1)</f>
        <v>0</v>
      </c>
      <c r="AZ42">
        <f>_xll.EQNXTDZ($A$1,$B42,AZ$1,$B$1)</f>
        <v>-1.82</v>
      </c>
      <c r="BA42">
        <f>_xll.EQNXTDZ($A$1,$B42,BA$1,$B$1)</f>
        <v>231.84</v>
      </c>
      <c r="BB42">
        <f>_xll.EQNXTDZ($A$1,$B42,BB$1,$B$1)</f>
        <v>-2.84</v>
      </c>
      <c r="BC42">
        <f>_xll.EQNXTDZ($A$1,$B42,BC$1,$B$1)</f>
        <v>0</v>
      </c>
      <c r="BD42">
        <f>_xll.EQNXTDZ($A$1,$B42,BD$1,$B$1)</f>
        <v>-59.33</v>
      </c>
      <c r="BE42">
        <f>_xll.EQNXTDZ($A$1,$B42,BE$1,$B$1)</f>
        <v>-21.26</v>
      </c>
      <c r="BF42">
        <f>_xll.EQNXTDZ($A$1,$B42,BF$1,$B$1)</f>
        <v>-161.16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0</v>
      </c>
      <c r="AV45">
        <f>_xll.EQNXTDZ($A$1,$B45,AV$1,$B$1)</f>
        <v>0</v>
      </c>
      <c r="AW45">
        <f>_xll.EQNXTDZ($A$1,$B45,AW$1,$B$1)</f>
        <v>0</v>
      </c>
      <c r="AX45">
        <f>_xll.EQNXTDZ($A$1,$B45,AX$1,$B$1)</f>
        <v>0</v>
      </c>
      <c r="AY45">
        <f>_xll.EQNXTDZ($A$1,$B45,AY$1,$B$1)</f>
        <v>0</v>
      </c>
      <c r="AZ45">
        <f>_xll.EQNXTDZ($A$1,$B45,AZ$1,$B$1)</f>
        <v>0.02</v>
      </c>
      <c r="BA45">
        <f>_xll.EQNXTDZ($A$1,$B45,BA$1,$B$1)</f>
        <v>0.02</v>
      </c>
      <c r="BB45">
        <f>_xll.EQNXTDZ($A$1,$B45,BB$1,$B$1)</f>
        <v>48.98</v>
      </c>
      <c r="BC45">
        <f>_xll.EQNXTDZ($A$1,$B45,BC$1,$B$1)</f>
        <v>0</v>
      </c>
      <c r="BD45">
        <f>_xll.EQNXTDZ($A$1,$B45,BD$1,$B$1)</f>
        <v>143.59</v>
      </c>
      <c r="BE45">
        <f>_xll.EQNXTDZ($A$1,$B45,BE$1,$B$1)</f>
        <v>144.61000000000001</v>
      </c>
      <c r="BF45">
        <f>_xll.EQNXTDZ($A$1,$B45,BF$1,$B$1)</f>
        <v>146.22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0</v>
      </c>
      <c r="AV46">
        <f>_xll.EQNXTDZ($A$1,$B46,AV$1,$B$1)</f>
        <v>0</v>
      </c>
      <c r="AW46">
        <f>_xll.EQNXTDZ($A$1,$B46,AW$1,$B$1)</f>
        <v>0</v>
      </c>
      <c r="AX46">
        <f>_xll.EQNXTDZ($A$1,$B46,AX$1,$B$1)</f>
        <v>0</v>
      </c>
      <c r="AY46">
        <f>_xll.EQNXTDZ($A$1,$B46,AY$1,$B$1)</f>
        <v>0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0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0</v>
      </c>
      <c r="BA47">
        <f>_xll.EQNXTDZ($A$1,$B47,BA$5)</f>
        <v>0</v>
      </c>
      <c r="BB47">
        <f>_xll.EQNXTDZ($A$1,$B47,BB$5)</f>
        <v>0</v>
      </c>
      <c r="BC47">
        <f>_xll.EQNXTDZ($A$1,$B47,BC$5)</f>
        <v>0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0</v>
      </c>
      <c r="BA48" s="55">
        <f>_xll.EQNXTDZ($A$1,$B48,BA$5)</f>
        <v>0</v>
      </c>
      <c r="BB48" s="55">
        <f>_xll.EQNXTDZ($A$1,$B48,BB$5)</f>
        <v>0</v>
      </c>
      <c r="BC48" s="55">
        <f>_xll.EQNXTDZ($A$1,$B48,BC$5)</f>
        <v>0</v>
      </c>
      <c r="BD48" s="55">
        <f>_xll.EQNXTDZ($A$1,$B48,BD$5)</f>
        <v>167.5</v>
      </c>
      <c r="BE48" s="55">
        <f>_xll.EQNXTDZ($A$1,$B48,BE$5)</f>
        <v>133.44999999999999</v>
      </c>
      <c r="BF48" s="55">
        <f>_xll.EQNXTDZ($A$1,$B48,BF$5)</f>
        <v>118.5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20.43</v>
      </c>
      <c r="BE49" s="55">
        <f>_xll.EQNXTDZ($A$1,$B49,BE$5)</f>
        <v>20.29</v>
      </c>
      <c r="BF49" s="55">
        <f>_xll.EQNXTDZ($A$1,$B49,BF$5)</f>
        <v>19.02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0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0</v>
      </c>
      <c r="AY55" s="56">
        <f>_xll.EQNXTDZ($A$1,$B55,AY$5,$B$1)</f>
        <v>0</v>
      </c>
      <c r="AZ55" s="56">
        <f>_xll.EQNXTDZ($A$1,$B55,AZ$5,$B$1)</f>
        <v>0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0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0</v>
      </c>
      <c r="AY56" s="55">
        <f>_xll.EQNXTDZ($A$1,$B56,AY$5,$B$1)</f>
        <v>0</v>
      </c>
      <c r="AZ56" s="55">
        <f>_xll.EQNXTDZ($A$1,$B56,AZ$5,$B$1)</f>
        <v>0</v>
      </c>
      <c r="BA56" s="55">
        <f>_xll.EQNXTDZ($A$1,$B56,BA$5,$B$1)</f>
        <v>0</v>
      </c>
      <c r="BB56" s="55">
        <f>_xll.EQNXTDZ($A$1,$B56,BB$5,$B$1)</f>
        <v>48.98</v>
      </c>
      <c r="BC56" s="55">
        <f>_xll.EQNXTDZ($A$1,$B56,BC$5,$B$1)</f>
        <v>0</v>
      </c>
      <c r="BD56" s="55">
        <f>_xll.EQNXTDZ($A$1,$B56,BD$5,$B$1)</f>
        <v>143.59</v>
      </c>
      <c r="BE56" s="55">
        <f>_xll.EQNXTDZ($A$1,$B56,BE$5,$B$1)</f>
        <v>0</v>
      </c>
      <c r="BF56" s="55">
        <f>_xll.EQNXTDZ($A$1,$B56,BF$5,$B$1)</f>
        <v>146.22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0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0</v>
      </c>
      <c r="AY58" s="55">
        <f>_xll.EQNXTDZ($A$1,$B58,AY$5,$B$1)</f>
        <v>0</v>
      </c>
      <c r="AZ58" s="55">
        <f>_xll.EQNXTDZ($A$1,$B58,AZ$5,$B$1)</f>
        <v>0</v>
      </c>
      <c r="BA58" s="55">
        <f>_xll.EQNXTDZ($A$1,$B58,BA$5,$B$1)</f>
        <v>0</v>
      </c>
      <c r="BB58" s="55">
        <f>_xll.EQNXTDZ($A$1,$B58,BB$5,$B$1)</f>
        <v>1746.84</v>
      </c>
      <c r="BC58" s="55">
        <f>_xll.EQNXTDZ($A$1,$B58,BC$5,$B$1)</f>
        <v>0</v>
      </c>
      <c r="BD58" s="55">
        <f>_xll.EQNXTDZ($A$1,$B58,BD$5,$B$1)</f>
        <v>2121.5</v>
      </c>
      <c r="BE58" s="55">
        <f>_xll.EQNXTDZ($A$1,$B58,BE$5,$B$1)</f>
        <v>0</v>
      </c>
      <c r="BF58" s="55">
        <f>_xll.EQNXTDZ($A$1,$B58,BF$5,$B$1)</f>
        <v>1997.37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0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0</v>
      </c>
      <c r="AY59" s="55">
        <f>_xll.EQNXTDZ($A$1,$B59,AY$5,$B$1)</f>
        <v>0</v>
      </c>
      <c r="AZ59" s="55">
        <f>_xll.EQNXTDZ($A$1,$B59,AZ$5,$B$1)</f>
        <v>0</v>
      </c>
      <c r="BA59" s="55">
        <f>_xll.EQNXTDZ($A$1,$B59,BA$5,$B$1)</f>
        <v>0</v>
      </c>
      <c r="BB59" s="55">
        <f>_xll.EQNXTDZ($A$1,$B59,BB$5,$B$1)</f>
        <v>1795.82</v>
      </c>
      <c r="BC59" s="55">
        <f>_xll.EQNXTDZ($A$1,$B59,BC$5,$B$1)</f>
        <v>0</v>
      </c>
      <c r="BD59" s="55">
        <f>_xll.EQNXTDZ($A$1,$B59,BD$5,$B$1)</f>
        <v>2265.09</v>
      </c>
      <c r="BE59" s="55">
        <f>_xll.EQNXTDZ($A$1,$B59,BE$5,$B$1)</f>
        <v>0</v>
      </c>
      <c r="BF59" s="55">
        <f>_xll.EQNXTDZ($A$1,$B59,BF$5,$B$1)</f>
        <v>2143.59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99.47</v>
      </c>
      <c r="BC64" s="55">
        <f>_xll.EQNXTDZ($A$1,$B64,BC$5,$B$1)</f>
        <v>0</v>
      </c>
      <c r="BD64" s="55">
        <f>_xll.EQNXTDZ($A$1,$B64,BD$5,$B$1)</f>
        <v>109.45</v>
      </c>
      <c r="BE64" s="55">
        <f>_xll.EQNXTDZ($A$1,$B64,BE$5,$B$1)</f>
        <v>0</v>
      </c>
      <c r="BF64" s="55">
        <f>_xll.EQNXTDZ($A$1,$B64,BF$5,$B$1)</f>
        <v>104.39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21.95</v>
      </c>
      <c r="BC66" s="55">
        <f>_xll.EQNXTDZ($A$1,$B66,BC$5,$B$1)</f>
        <v>0</v>
      </c>
      <c r="BD66" s="55">
        <f>_xll.EQNXTDZ($A$1,$B66,BD$5,$B$1)</f>
        <v>19.36</v>
      </c>
      <c r="BE66" s="55">
        <f>_xll.EQNXTDZ($A$1,$B66,BE$5,$B$1)</f>
        <v>0</v>
      </c>
      <c r="BF66" s="55">
        <f>_xll.EQNXTDZ($A$1,$B66,BF$5,$B$1)</f>
        <v>22.12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0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0</v>
      </c>
      <c r="AY67" s="55">
        <f>_xll.EQNXTDZ($A$1,$B67,AY$5,$B$1)</f>
        <v>0</v>
      </c>
      <c r="AZ67" s="55">
        <f>_xll.EQNXTDZ($A$1,$B67,AZ$5,$B$1)</f>
        <v>0</v>
      </c>
      <c r="BA67" s="55">
        <f>_xll.EQNXTDZ($A$1,$B67,BA$5,$B$1)</f>
        <v>0</v>
      </c>
      <c r="BB67" s="55">
        <f>_xll.EQNXTDZ($A$1,$B67,BB$5,$B$1)</f>
        <v>1917.24</v>
      </c>
      <c r="BC67" s="55">
        <f>_xll.EQNXTDZ($A$1,$B67,BC$5,$B$1)</f>
        <v>0</v>
      </c>
      <c r="BD67" s="55">
        <f>_xll.EQNXTDZ($A$1,$B67,BD$5,$B$1)</f>
        <v>2393.9</v>
      </c>
      <c r="BE67" s="55">
        <f>_xll.EQNXTDZ($A$1,$B67,BE$5,$B$1)</f>
        <v>0</v>
      </c>
      <c r="BF67" s="55">
        <f>_xll.EQNXTDZ($A$1,$B67,BF$5,$B$1)</f>
        <v>2270.1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0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0</v>
      </c>
      <c r="AY68" s="55">
        <f>_xll.EQNXTDZ($A$1,$B68,AY$5,$B$1)</f>
        <v>0</v>
      </c>
      <c r="AZ68" s="55">
        <f>_xll.EQNXTDZ($A$1,$B68,AZ$5,$B$1)</f>
        <v>0</v>
      </c>
      <c r="BA68" s="55">
        <f>_xll.EQNXTDZ($A$1,$B68,BA$5,$B$1)</f>
        <v>0</v>
      </c>
      <c r="BB68" s="55">
        <f>_xll.EQNXTDZ($A$1,$B68,BB$5,$B$1)</f>
        <v>15.11</v>
      </c>
      <c r="BC68" s="55">
        <f>_xll.EQNXTDZ($A$1,$B68,BC$5,$B$1)</f>
        <v>0</v>
      </c>
      <c r="BD68" s="55">
        <f>_xll.EQNXTDZ($A$1,$B68,BD$5,$B$1)</f>
        <v>24.03</v>
      </c>
      <c r="BE68" s="55">
        <f>_xll.EQNXTDZ($A$1,$B68,BE$5,$B$1)</f>
        <v>0</v>
      </c>
      <c r="BF68" s="55">
        <f>_xll.EQNXTDZ($A$1,$B68,BF$5,$B$1)</f>
        <v>36.17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0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0</v>
      </c>
      <c r="AY71" s="55">
        <f>_xll.EQNXTDZ($A$1,$B71,AY$5,$B$1)</f>
        <v>0</v>
      </c>
      <c r="AZ71" s="55">
        <f>_xll.EQNXTDZ($A$1,$B71,AZ$5,$B$1)</f>
        <v>0</v>
      </c>
      <c r="BA71" s="55">
        <f>_xll.EQNXTDZ($A$1,$B71,BA$5,$B$1)</f>
        <v>0</v>
      </c>
      <c r="BB71" s="55">
        <f>_xll.EQNXTDZ($A$1,$B71,BB$5,$B$1)</f>
        <v>15.11</v>
      </c>
      <c r="BC71" s="55">
        <f>_xll.EQNXTDZ($A$1,$B71,BC$5,$B$1)</f>
        <v>0</v>
      </c>
      <c r="BD71" s="55">
        <f>_xll.EQNXTDZ($A$1,$B71,BD$5,$B$1)</f>
        <v>24.03</v>
      </c>
      <c r="BE71" s="55">
        <f>_xll.EQNXTDZ($A$1,$B71,BE$5,$B$1)</f>
        <v>0</v>
      </c>
      <c r="BF71" s="55">
        <f>_xll.EQNXTDZ($A$1,$B71,BF$5,$B$1)</f>
        <v>36.17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167.07</v>
      </c>
      <c r="BC77" s="55">
        <f>_xll.EQNXTDZ($A$1,$B77,BC$5,$B$1)</f>
        <v>0</v>
      </c>
      <c r="BD77" s="55">
        <f>_xll.EQNXTDZ($A$1,$B77,BD$5,$B$1)</f>
        <v>243.11</v>
      </c>
      <c r="BE77" s="55">
        <f>_xll.EQNXTDZ($A$1,$B77,BE$5,$B$1)</f>
        <v>0</v>
      </c>
      <c r="BF77" s="55">
        <f>_xll.EQNXTDZ($A$1,$B77,BF$5,$B$1)</f>
        <v>353.25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135.71</v>
      </c>
      <c r="BC79" s="55">
        <f>_xll.EQNXTDZ($A$1,$B79,BC$5,$B$1)</f>
        <v>0</v>
      </c>
      <c r="BD79" s="55">
        <f>_xll.EQNXTDZ($A$1,$B79,BD$5,$B$1)</f>
        <v>390.46</v>
      </c>
      <c r="BE79" s="55">
        <f>_xll.EQNXTDZ($A$1,$B79,BE$5,$B$1)</f>
        <v>0</v>
      </c>
      <c r="BF79" s="55">
        <f>_xll.EQNXTDZ($A$1,$B79,BF$5,$B$1)</f>
        <v>211.81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923.99</v>
      </c>
      <c r="BC80" s="55">
        <f>_xll.EQNXTDZ($A$1,$B80,BC$5,$B$1)</f>
        <v>0</v>
      </c>
      <c r="BD80" s="55">
        <f>_xll.EQNXTDZ($A$1,$B80,BD$5,$B$1)</f>
        <v>863.51</v>
      </c>
      <c r="BE80" s="55">
        <f>_xll.EQNXTDZ($A$1,$B80,BE$5,$B$1)</f>
        <v>0</v>
      </c>
      <c r="BF80" s="55">
        <f>_xll.EQNXTDZ($A$1,$B80,BF$5,$B$1)</f>
        <v>908.6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41.48</v>
      </c>
      <c r="BC81" s="55">
        <f>_xll.EQNXTDZ($A$1,$B81,BC$5,$B$1)</f>
        <v>0</v>
      </c>
      <c r="BD81" s="55">
        <f>_xll.EQNXTDZ($A$1,$B81,BD$5,$B$1)</f>
        <v>70.55</v>
      </c>
      <c r="BE81" s="55">
        <f>_xll.EQNXTDZ($A$1,$B81,BE$5,$B$1)</f>
        <v>0</v>
      </c>
      <c r="BF81" s="55">
        <f>_xll.EQNXTDZ($A$1,$B81,BF$5,$B$1)</f>
        <v>73.739999999999995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26.6</v>
      </c>
      <c r="BC82" s="55">
        <f>_xll.EQNXTDZ($A$1,$B82,BC$5,$B$1)</f>
        <v>0</v>
      </c>
      <c r="BD82" s="55">
        <f>_xll.EQNXTDZ($A$1,$B82,BD$5,$B$1)</f>
        <v>32.46</v>
      </c>
      <c r="BE82" s="55">
        <f>_xll.EQNXTDZ($A$1,$B82,BE$5,$B$1)</f>
        <v>0</v>
      </c>
      <c r="BF82" s="55">
        <f>_xll.EQNXTDZ($A$1,$B82,BF$5,$B$1)</f>
        <v>37.78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0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0</v>
      </c>
      <c r="AY83" s="55">
        <f>_xll.EQNXTDZ($A$1,$B83,AY$5,$B$1)</f>
        <v>0</v>
      </c>
      <c r="AZ83" s="55">
        <f>_xll.EQNXTDZ($A$1,$B83,AZ$5,$B$1)</f>
        <v>0</v>
      </c>
      <c r="BA83" s="55">
        <f>_xll.EQNXTDZ($A$1,$B83,BA$5,$B$1)</f>
        <v>0</v>
      </c>
      <c r="BB83" s="55">
        <f>_xll.EQNXTDZ($A$1,$B83,BB$5,$B$1)</f>
        <v>590.69000000000005</v>
      </c>
      <c r="BC83" s="55">
        <f>_xll.EQNXTDZ($A$1,$B83,BC$5,$B$1)</f>
        <v>0</v>
      </c>
      <c r="BD83" s="55">
        <f>_xll.EQNXTDZ($A$1,$B83,BD$5,$B$1)</f>
        <v>851</v>
      </c>
      <c r="BE83" s="55">
        <f>_xll.EQNXTDZ($A$1,$B83,BE$5,$B$1)</f>
        <v>0</v>
      </c>
      <c r="BF83" s="55">
        <f>_xll.EQNXTDZ($A$1,$B83,BF$5,$B$1)</f>
        <v>531.92999999999995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88.25</v>
      </c>
      <c r="BC84" s="55">
        <f>_xll.EQNXTDZ($A$1,$B84,BC$5,$B$1)</f>
        <v>0</v>
      </c>
      <c r="BD84" s="55">
        <f>_xll.EQNXTDZ($A$1,$B84,BD$5,$B$1)</f>
        <v>121.71</v>
      </c>
      <c r="BE84" s="55">
        <f>_xll.EQNXTDZ($A$1,$B84,BE$5,$B$1)</f>
        <v>0</v>
      </c>
      <c r="BF84" s="55">
        <f>_xll.EQNXTDZ($A$1,$B84,BF$5,$B$1)</f>
        <v>397.5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0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0</v>
      </c>
      <c r="AY86" s="55">
        <f>_xll.EQNXTDZ($A$1,$B86,AY$5,$B$1)</f>
        <v>0</v>
      </c>
      <c r="AZ86" s="55">
        <f>_xll.EQNXTDZ($A$1,$B86,AZ$5,$B$1)</f>
        <v>0</v>
      </c>
      <c r="BA86" s="55">
        <f>_xll.EQNXTDZ($A$1,$B86,BA$5,$B$1)</f>
        <v>0</v>
      </c>
      <c r="BB86" s="55">
        <f>_xll.EQNXTDZ($A$1,$B86,BB$5,$B$1)</f>
        <v>1671.01</v>
      </c>
      <c r="BC86" s="55">
        <f>_xll.EQNXTDZ($A$1,$B86,BC$5,$B$1)</f>
        <v>0</v>
      </c>
      <c r="BD86" s="55">
        <f>_xll.EQNXTDZ($A$1,$B86,BD$5,$B$1)</f>
        <v>1939.23</v>
      </c>
      <c r="BE86" s="55">
        <f>_xll.EQNXTDZ($A$1,$B86,BE$5,$B$1)</f>
        <v>0</v>
      </c>
      <c r="BF86" s="55">
        <f>_xll.EQNXTDZ($A$1,$B86,BF$5,$B$1)</f>
        <v>1949.55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110.49</v>
      </c>
      <c r="BC89" s="55">
        <f>_xll.EQNXTDZ($A$1,$B89,BC$5,$B$1)</f>
        <v>0</v>
      </c>
      <c r="BD89" s="55">
        <f>_xll.EQNXTDZ($A$1,$B89,BD$5,$B$1)</f>
        <v>207.46</v>
      </c>
      <c r="BE89" s="55">
        <f>_xll.EQNXTDZ($A$1,$B89,BE$5,$B$1)</f>
        <v>0</v>
      </c>
      <c r="BF89" s="55">
        <f>_xll.EQNXTDZ($A$1,$B89,BF$5,$B$1)</f>
        <v>178.66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0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0</v>
      </c>
      <c r="AY91" s="55">
        <f>_xll.EQNXTDZ($A$1,$B91,AY$5,$B$1)</f>
        <v>0</v>
      </c>
      <c r="AZ91" s="55">
        <f>_xll.EQNXTDZ($A$1,$B91,AZ$5,$B$1)</f>
        <v>0</v>
      </c>
      <c r="BA91" s="55">
        <f>_xll.EQNXTDZ($A$1,$B91,BA$5,$B$1)</f>
        <v>0</v>
      </c>
      <c r="BB91" s="55">
        <f>_xll.EQNXTDZ($A$1,$B91,BB$5,$B$1)</f>
        <v>159.01</v>
      </c>
      <c r="BC91" s="55">
        <f>_xll.EQNXTDZ($A$1,$B91,BC$5,$B$1)</f>
        <v>0</v>
      </c>
      <c r="BD91" s="55">
        <f>_xll.EQNXTDZ($A$1,$B91,BD$5,$B$1)</f>
        <v>188.44</v>
      </c>
      <c r="BE91" s="55">
        <f>_xll.EQNXTDZ($A$1,$B91,BE$5,$B$1)</f>
        <v>0</v>
      </c>
      <c r="BF91" s="55">
        <f>_xll.EQNXTDZ($A$1,$B91,BF$5,$B$1)</f>
        <v>234.97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13.9</v>
      </c>
      <c r="BC92" s="55">
        <f>_xll.EQNXTDZ($A$1,$B92,BC$5,$B$1)</f>
        <v>0</v>
      </c>
      <c r="BD92" s="55">
        <f>_xll.EQNXTDZ($A$1,$B92,BD$5,$B$1)</f>
        <v>18.88</v>
      </c>
      <c r="BE92" s="55">
        <f>_xll.EQNXTDZ($A$1,$B92,BE$5,$B$1)</f>
        <v>0</v>
      </c>
      <c r="BF92" s="55">
        <f>_xll.EQNXTDZ($A$1,$B92,BF$5,$B$1)</f>
        <v>18.579999999999998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0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0</v>
      </c>
      <c r="AY93" s="55">
        <f>_xll.EQNXTDZ($A$1,$B93,AY$5,$B$1)</f>
        <v>0</v>
      </c>
      <c r="AZ93" s="55">
        <f>_xll.EQNXTDZ($A$1,$B93,AZ$5,$B$1)</f>
        <v>0</v>
      </c>
      <c r="BA93" s="55">
        <f>_xll.EQNXTDZ($A$1,$B93,BA$5,$B$1)</f>
        <v>0</v>
      </c>
      <c r="BB93" s="55">
        <f>_xll.EQNXTDZ($A$1,$B93,BB$5,$B$1)</f>
        <v>283.39999999999998</v>
      </c>
      <c r="BC93" s="55">
        <f>_xll.EQNXTDZ($A$1,$B93,BC$5,$B$1)</f>
        <v>0</v>
      </c>
      <c r="BD93" s="55">
        <f>_xll.EQNXTDZ($A$1,$B93,BD$5,$B$1)</f>
        <v>414.78</v>
      </c>
      <c r="BE93" s="55">
        <f>_xll.EQNXTDZ($A$1,$B93,BE$5,$B$1)</f>
        <v>0</v>
      </c>
      <c r="BF93" s="55">
        <f>_xll.EQNXTDZ($A$1,$B93,BF$5,$B$1)</f>
        <v>432.21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0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0</v>
      </c>
      <c r="AY94" s="55">
        <f>_xll.EQNXTDZ($A$1,$B94,AY$5,$B$1)</f>
        <v>0</v>
      </c>
      <c r="AZ94" s="55">
        <f>_xll.EQNXTDZ($A$1,$B94,AZ$5,$B$1)</f>
        <v>0</v>
      </c>
      <c r="BA94" s="55">
        <f>_xll.EQNXTDZ($A$1,$B94,BA$5,$B$1)</f>
        <v>0</v>
      </c>
      <c r="BB94" s="55">
        <f>_xll.EQNXTDZ($A$1,$B94,BB$5,$B$1)</f>
        <v>1387.61</v>
      </c>
      <c r="BC94" s="55">
        <f>_xll.EQNXTDZ($A$1,$B94,BC$5,$B$1)</f>
        <v>0</v>
      </c>
      <c r="BD94" s="55">
        <f>_xll.EQNXTDZ($A$1,$B94,BD$5,$B$1)</f>
        <v>1524.45</v>
      </c>
      <c r="BE94" s="55">
        <f>_xll.EQNXTDZ($A$1,$B94,BE$5,$B$1)</f>
        <v>0</v>
      </c>
      <c r="BF94" s="55">
        <f>_xll.EQNXTDZ($A$1,$B94,BF$5,$B$1)</f>
        <v>1517.34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211.74</v>
      </c>
      <c r="BC96" s="55">
        <f>_xll.EQNXTDZ($A$1,$B96,BC$5,$B$1)</f>
        <v>0</v>
      </c>
      <c r="BD96" s="55">
        <f>_xll.EQNXTDZ($A$1,$B96,BD$5,$B$1)</f>
        <v>211.85</v>
      </c>
      <c r="BE96" s="55">
        <f>_xll.EQNXTDZ($A$1,$B96,BE$5,$B$1)</f>
        <v>0</v>
      </c>
      <c r="BF96" s="55">
        <f>_xll.EQNXTDZ($A$1,$B96,BF$5,$B$1)</f>
        <v>151.53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0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0</v>
      </c>
      <c r="AY97" s="55">
        <f>_xll.EQNXTDZ($A$1,$B97,AY$5,$B$1)</f>
        <v>0</v>
      </c>
      <c r="AZ97" s="55">
        <f>_xll.EQNXTDZ($A$1,$B97,AZ$5,$B$1)</f>
        <v>0</v>
      </c>
      <c r="BA97" s="55">
        <f>_xll.EQNXTDZ($A$1,$B97,BA$5,$B$1)</f>
        <v>0</v>
      </c>
      <c r="BB97" s="55">
        <f>_xll.EQNXTDZ($A$1,$B97,BB$5,$B$1)</f>
        <v>1917.24</v>
      </c>
      <c r="BC97" s="55">
        <f>_xll.EQNXTDZ($A$1,$B97,BC$5,$B$1)</f>
        <v>0</v>
      </c>
      <c r="BD97" s="55">
        <f>_xll.EQNXTDZ($A$1,$B97,BD$5,$B$1)</f>
        <v>2393.9</v>
      </c>
      <c r="BE97" s="55">
        <f>_xll.EQNXTDZ($A$1,$B97,BE$5,$B$1)</f>
        <v>0</v>
      </c>
      <c r="BF97" s="55">
        <f>_xll.EQNXTDZ($A$1,$B97,BF$5,$B$1)</f>
        <v>2270.1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320350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Urban Company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437.57499999999999</v>
      </c>
      <c r="Y6" s="100">
        <f>_xll.EQNXTDZ($A$1,$B6,Y$1,$B$1)</f>
        <v>636.59699999999998</v>
      </c>
      <c r="Z6" s="100">
        <f>_xll.EQNXTDZ($A$1,$B6,Z$1,$B$1)</f>
        <v>828.01800000000003</v>
      </c>
      <c r="AA6" s="100">
        <f>_xll.EQNXTDZ($A$1,$B6,AA$1,$B$1)</f>
        <v>1144.47</v>
      </c>
      <c r="AB6" s="100">
        <f>_xll.EQNXTDZ($A$1,$B6,AB$1,$B$1)</f>
        <v>1555.54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437.57499999999999</v>
      </c>
      <c r="Y10" s="100">
        <f>_xll.EQNXTDZ($A$1,$B10,Y$1,$B$1)</f>
        <v>636.59699999999998</v>
      </c>
      <c r="Z10" s="100">
        <f>_xll.EQNXTDZ($A$1,$B10,Z$1,$B$1)</f>
        <v>828.01800000000003</v>
      </c>
      <c r="AA10" s="100">
        <f>_xll.EQNXTDZ($A$1,$B10,AA$1,$B$1)</f>
        <v>1144.47</v>
      </c>
      <c r="AB10" s="100">
        <f>_xll.EQNXTDZ($A$1,$B10,AB$1,$B$1)</f>
        <v>1555.54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-10.622999999999999</v>
      </c>
      <c r="Y11" s="100">
        <f>_xll.EQNXTDZ($A$1,$B11,Y$1,$B$1)</f>
        <v>7.9409999999999998</v>
      </c>
      <c r="Z11" s="100">
        <f>_xll.EQNXTDZ($A$1,$B11,Z$1,$B$1)</f>
        <v>-13.534000000000001</v>
      </c>
      <c r="AA11" s="100">
        <f>_xll.EQNXTDZ($A$1,$B11,AA$1,$B$1)</f>
        <v>-12.75</v>
      </c>
      <c r="AB11" s="100">
        <f>_xll.EQNXTDZ($A$1,$B11,AB$1,$B$1)</f>
        <v>-25.37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83.138999999999996</v>
      </c>
      <c r="Y12" s="100">
        <f>_xll.EQNXTDZ($A$1,$B12,Y$1,$B$1)</f>
        <v>99.856999999999999</v>
      </c>
      <c r="Z12" s="100">
        <f>_xll.EQNXTDZ($A$1,$B12,Z$1,$B$1)</f>
        <v>142.78700000000001</v>
      </c>
      <c r="AA12" s="100">
        <f>_xll.EQNXTDZ($A$1,$B12,AA$1,$B$1)</f>
        <v>225.36</v>
      </c>
      <c r="AB12" s="100">
        <f>_xll.EQNXTDZ($A$1,$B12,AB$1,$B$1)</f>
        <v>344.44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2.6360000000000001</v>
      </c>
      <c r="Y13" s="100">
        <f>_xll.EQNXTDZ($A$1,$B13,Y$1,$B$1)</f>
        <v>3.9940000000000002</v>
      </c>
      <c r="Z13" s="100">
        <f>_xll.EQNXTDZ($A$1,$B13,Z$1,$B$1)</f>
        <v>3.4009999999999998</v>
      </c>
      <c r="AA13" s="100">
        <f>_xll.EQNXTDZ($A$1,$B13,AA$1,$B$1)</f>
        <v>3.9</v>
      </c>
      <c r="AB13" s="100">
        <f>_xll.EQNXTDZ($A$1,$B13,AB$1,$B$1)</f>
        <v>5.13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443.86399999999998</v>
      </c>
      <c r="Y14" s="100">
        <f>_xll.EQNXTDZ($A$1,$B14,Y$1,$B$1)</f>
        <v>377.08600000000001</v>
      </c>
      <c r="Z14" s="100">
        <f>_xll.EQNXTDZ($A$1,$B14,Z$1,$B$1)</f>
        <v>344.81799999999998</v>
      </c>
      <c r="AA14" s="100">
        <f>_xll.EQNXTDZ($A$1,$B14,AA$1,$B$1)</f>
        <v>350.12</v>
      </c>
      <c r="AB14" s="100">
        <f>_xll.EQNXTDZ($A$1,$B14,AB$1,$B$1)</f>
        <v>456.48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81.97</v>
      </c>
      <c r="Y15" s="100">
        <f>_xll.EQNXTDZ($A$1,$B15,Y$1,$B$1)</f>
        <v>94.204999999999998</v>
      </c>
      <c r="Z15" s="100">
        <f>_xll.EQNXTDZ($A$1,$B15,Z$1,$B$1)</f>
        <v>111.46</v>
      </c>
      <c r="AA15" s="100">
        <f>_xll.EQNXTDZ($A$1,$B15,AA$1,$B$1)</f>
        <v>169.9</v>
      </c>
      <c r="AB15" s="100">
        <f>_xll.EQNXTDZ($A$1,$B15,AB$1,$B$1)</f>
        <v>251.06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153.066</v>
      </c>
      <c r="Y17" s="100">
        <f>_xll.EQNXTDZ($A$1,$B17,Y$1,$B$1)</f>
        <v>152.4</v>
      </c>
      <c r="Z17" s="100">
        <f>_xll.EQNXTDZ($A$1,$B17,Z$1,$B$1)</f>
        <v>116.846</v>
      </c>
      <c r="AA17" s="100">
        <f>_xll.EQNXTDZ($A$1,$B17,AA$1,$B$1)</f>
        <v>131.76</v>
      </c>
      <c r="AB17" s="100">
        <f>_xll.EQNXTDZ($A$1,$B17,AB$1,$B$1)</f>
        <v>219.85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228.184</v>
      </c>
      <c r="Y18" s="100">
        <f>_xll.EQNXTDZ($A$1,$B18,Y$1,$B$1)</f>
        <v>258.82600000000002</v>
      </c>
      <c r="Z18" s="100">
        <f>_xll.EQNXTDZ($A$1,$B18,Z$1,$B$1)</f>
        <v>264.16800000000001</v>
      </c>
      <c r="AA18" s="100">
        <f>_xll.EQNXTDZ($A$1,$B18,AA$1,$B$1)</f>
        <v>286.18</v>
      </c>
      <c r="AB18" s="100">
        <f>_xll.EQNXTDZ($A$1,$B18,AB$1,$B$1)</f>
        <v>501.21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4.7110000000000003</v>
      </c>
      <c r="Y19" s="100">
        <f>_xll.EQNXTDZ($A$1,$B19,Y$1,$B$1)</f>
        <v>6.3010000000000002</v>
      </c>
      <c r="Z19" s="100">
        <f>_xll.EQNXTDZ($A$1,$B19,Z$1,$B$1)</f>
        <v>4.4619999999999997</v>
      </c>
      <c r="AA19" s="100">
        <f>_xll.EQNXTDZ($A$1,$B19,AA$1,$B$1)</f>
        <v>22.09</v>
      </c>
      <c r="AB19" s="100">
        <f>_xll.EQNXTDZ($A$1,$B19,AB$1,$B$1)</f>
        <v>26.13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986.947</v>
      </c>
      <c r="Y21" s="100">
        <f>_xll.EQNXTDZ($A$1,$B21,Y$1,$B$1)</f>
        <v>1000.61</v>
      </c>
      <c r="Z21" s="100">
        <f>_xll.EQNXTDZ($A$1,$B21,Z$1,$B$1)</f>
        <v>974.40800000000002</v>
      </c>
      <c r="AA21" s="100">
        <f>_xll.EQNXTDZ($A$1,$B21,AA$1,$B$1)</f>
        <v>1176.56</v>
      </c>
      <c r="AB21" s="100">
        <f>_xll.EQNXTDZ($A$1,$B21,AB$1,$B$1)</f>
        <v>1778.93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-549.37199999999996</v>
      </c>
      <c r="Y22" s="100">
        <f>_xll.EQNXTDZ($A$1,$B22,Y$1,$B$1)</f>
        <v>-364.01299999999998</v>
      </c>
      <c r="Z22" s="100">
        <f>_xll.EQNXTDZ($A$1,$B22,Z$1,$B$1)</f>
        <v>-146.38999999999999</v>
      </c>
      <c r="AA22" s="100">
        <f>_xll.EQNXTDZ($A$1,$B22,AA$1,$B$1)</f>
        <v>-32.089999999999897</v>
      </c>
      <c r="AB22" s="100">
        <f>_xll.EQNXTDZ($A$1,$B22,AB$1,$B$1)</f>
        <v>-223.39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71.599999999999994</v>
      </c>
      <c r="Y23" s="100">
        <f>_xll.EQNXTDZ($A$1,$B23,Y$1,$B$1)</f>
        <v>89.858999999999995</v>
      </c>
      <c r="Z23" s="100">
        <f>_xll.EQNXTDZ($A$1,$B23,Z$1,$B$1)</f>
        <v>100.024</v>
      </c>
      <c r="AA23" s="100">
        <f>_xll.EQNXTDZ($A$1,$B23,AA$1,$B$1)</f>
        <v>117.26</v>
      </c>
      <c r="AB23" s="100">
        <f>_xll.EQNXTDZ($A$1,$B23,AB$1,$B$1)</f>
        <v>137.57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-477.77199999999999</v>
      </c>
      <c r="Y24" s="100">
        <f>_xll.EQNXTDZ($A$1,$B24,Y$1,$B$1)</f>
        <v>-274.154</v>
      </c>
      <c r="Z24" s="100">
        <f>_xll.EQNXTDZ($A$1,$B24,Z$1,$B$1)</f>
        <v>-46.366</v>
      </c>
      <c r="AA24" s="100">
        <f>_xll.EQNXTDZ($A$1,$B24,AA$1,$B$1)</f>
        <v>85.17</v>
      </c>
      <c r="AB24" s="100">
        <f>_xll.EQNXTDZ($A$1,$B24,AB$1,$B$1)</f>
        <v>-85.82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8.3569999999999993</v>
      </c>
      <c r="Y25" s="100">
        <f>_xll.EQNXTDZ($A$1,$B25,Y$1,$B$1)</f>
        <v>7.6369999999999996</v>
      </c>
      <c r="Z25" s="100">
        <f>_xll.EQNXTDZ($A$1,$B25,Z$1,$B$1)</f>
        <v>9.5619999999999994</v>
      </c>
      <c r="AA25" s="100">
        <f>_xll.EQNXTDZ($A$1,$B25,AA$1,$B$1)</f>
        <v>10.97</v>
      </c>
      <c r="AB25" s="100">
        <f>_xll.EQNXTDZ($A$1,$B25,AB$1,$B$1)</f>
        <v>12.4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-486.12900000000002</v>
      </c>
      <c r="Y26" s="100">
        <f>_xll.EQNXTDZ($A$1,$B26,Y$1,$B$1)</f>
        <v>-281.791</v>
      </c>
      <c r="Z26" s="100">
        <f>_xll.EQNXTDZ($A$1,$B26,Z$1,$B$1)</f>
        <v>-55.927999999999997</v>
      </c>
      <c r="AA26" s="100">
        <f>_xll.EQNXTDZ($A$1,$B26,AA$1,$B$1)</f>
        <v>74.2</v>
      </c>
      <c r="AB26" s="100">
        <f>_xll.EQNXTDZ($A$1,$B26,AB$1,$B$1)</f>
        <v>-98.22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28.015999999999998</v>
      </c>
      <c r="Y27" s="100">
        <f>_xll.EQNXTDZ($A$1,$B27,Y$1,$B$1)</f>
        <v>30.651</v>
      </c>
      <c r="Z27" s="100">
        <f>_xll.EQNXTDZ($A$1,$B27,Z$1,$B$1)</f>
        <v>36.798999999999999</v>
      </c>
      <c r="AA27" s="100">
        <f>_xll.EQNXTDZ($A$1,$B27,AA$1,$B$1)</f>
        <v>37</v>
      </c>
      <c r="AB27" s="100">
        <f>_xll.EQNXTDZ($A$1,$B27,AB$1,$B$1)</f>
        <v>45.21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-8.65</v>
      </c>
      <c r="AB28" s="100">
        <f>_xll.EQNXTDZ($A$1,$B28,AB$1,$B$1)</f>
        <v>-31.17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4.2000000000000003E-2</v>
      </c>
      <c r="Z30" s="100">
        <f>_xll.EQNXTDZ($A$1,$B30,Z$1,$B$1)</f>
        <v>4.4999999999999998E-2</v>
      </c>
      <c r="AA30" s="100">
        <f>_xll.EQNXTDZ($A$1,$B30,AA$1,$B$1)</f>
        <v>-211.21</v>
      </c>
      <c r="AB30" s="100">
        <f>_xll.EQNXTDZ($A$1,$B30,AB$1,$B$1)</f>
        <v>60.21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-514.14499999999998</v>
      </c>
      <c r="Y35" s="100">
        <f>_xll.EQNXTDZ($A$1,$B35,Y$1,$B$1)</f>
        <v>-312.48399999999998</v>
      </c>
      <c r="Z35" s="100">
        <f>_xll.EQNXTDZ($A$1,$B35,Z$1,$B$1)</f>
        <v>-92.772000000000006</v>
      </c>
      <c r="AA35" s="100">
        <f>_xll.EQNXTDZ($A$1,$B35,AA$1,$B$1)</f>
        <v>239.76</v>
      </c>
      <c r="AB35" s="100">
        <f>_xll.EQNXTDZ($A$1,$B35,AB$1,$B$1)</f>
        <v>-234.81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0.4</v>
      </c>
      <c r="Y41" s="55">
        <f>_xll.EQNXTDZ($A$1,$B41,Y$1,$B$1)</f>
        <v>0.4</v>
      </c>
      <c r="Z41" s="55">
        <f>_xll.EQNXTDZ($A$1,$B41,Z$1,$B$1)</f>
        <v>0.4</v>
      </c>
      <c r="AA41" s="55">
        <f>_xll.EQNXTDZ($A$1,$B41,AA$1,$B$1)</f>
        <v>49.36</v>
      </c>
      <c r="AB41" s="55">
        <f>_xll.EQNXTDZ($A$1,$B41,AB$1,$B$1)</f>
        <v>146.22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319.01299999999998</v>
      </c>
      <c r="Y42" s="55">
        <f>_xll.EQNXTDZ($A$1,$B42,Y$1,$B$1)</f>
        <v>412.416</v>
      </c>
      <c r="Z42" s="55">
        <f>_xll.EQNXTDZ($A$1,$B42,Z$1,$B$1)</f>
        <v>458.82600000000002</v>
      </c>
      <c r="AA42" s="55">
        <f>_xll.EQNXTDZ($A$1,$B42,AA$1,$B$1)</f>
        <v>434.37</v>
      </c>
      <c r="AB42" s="55">
        <f>_xll.EQNXTDZ($A$1,$B42,AB$1,$B$1)</f>
        <v>428.51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1232.021</v>
      </c>
      <c r="Y43" s="55">
        <f>_xll.EQNXTDZ($A$1,$B43,Y$1,$B$1)</f>
        <v>926.64599999999996</v>
      </c>
      <c r="Z43" s="55">
        <f>_xll.EQNXTDZ($A$1,$B43,Z$1,$B$1)</f>
        <v>833.41499999999996</v>
      </c>
      <c r="AA43" s="55">
        <f>_xll.EQNXTDZ($A$1,$B43,AA$1,$B$1)</f>
        <v>1312.09</v>
      </c>
      <c r="AB43" s="55">
        <f>_xll.EQNXTDZ($A$1,$B43,AB$1,$B$1)</f>
        <v>1568.86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1551.434</v>
      </c>
      <c r="Y44" s="55">
        <f>_xll.EQNXTDZ($A$1,$B44,Y$1,$B$1)</f>
        <v>1339.462</v>
      </c>
      <c r="Z44" s="55">
        <f>_xll.EQNXTDZ($A$1,$B44,Z$1,$B$1)</f>
        <v>1292.6410000000001</v>
      </c>
      <c r="AA44" s="55">
        <f>_xll.EQNXTDZ($A$1,$B44,AA$1,$B$1)</f>
        <v>1795.82</v>
      </c>
      <c r="AB44" s="55">
        <f>_xll.EQNXTDZ($A$1,$B44,AB$1,$B$1)</f>
        <v>2143.59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-211.74</v>
      </c>
      <c r="AB49" s="55">
        <f>_xll.EQNXTDZ($A$1,$B49,AB$1,$B$1)</f>
        <v>-151.53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61.290999999999997</v>
      </c>
      <c r="Y50" s="55">
        <f>_xll.EQNXTDZ($A$1,$B50,Y$1,$B$1)</f>
        <v>83.944000000000003</v>
      </c>
      <c r="Z50" s="55">
        <f>_xll.EQNXTDZ($A$1,$B50,Z$1,$B$1)</f>
        <v>86.260999999999996</v>
      </c>
      <c r="AA50" s="55">
        <f>_xll.EQNXTDZ($A$1,$B50,AA$1,$B$1)</f>
        <v>99.47</v>
      </c>
      <c r="AB50" s="55">
        <f>_xll.EQNXTDZ($A$1,$B50,AB$1,$B$1)</f>
        <v>104.39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8.8889999999999993</v>
      </c>
      <c r="Y52" s="55">
        <f>_xll.EQNXTDZ($A$1,$B52,Y$1,$B$1)</f>
        <v>11.128</v>
      </c>
      <c r="Z52" s="55">
        <f>_xll.EQNXTDZ($A$1,$B52,Z$1,$B$1)</f>
        <v>15.678000000000001</v>
      </c>
      <c r="AA52" s="55">
        <f>_xll.EQNXTDZ($A$1,$B52,AA$1,$B$1)</f>
        <v>21.95</v>
      </c>
      <c r="AB52" s="55">
        <f>_xll.EQNXTDZ($A$1,$B52,AB$1,$B$1)</f>
        <v>22.12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70.180000000000007</v>
      </c>
      <c r="Y53" s="55">
        <f>_xll.EQNXTDZ($A$1,$B53,Y$1,$B$1)</f>
        <v>95.072000000000003</v>
      </c>
      <c r="Z53" s="55">
        <f>_xll.EQNXTDZ($A$1,$B53,Z$1,$B$1)</f>
        <v>101.93899999999999</v>
      </c>
      <c r="AA53" s="55">
        <f>_xll.EQNXTDZ($A$1,$B53,AA$1,$B$1)</f>
        <v>-90.32</v>
      </c>
      <c r="AB53" s="55">
        <f>_xll.EQNXTDZ($A$1,$B53,AB$1,$B$1)</f>
        <v>-25.02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76.721999999999994</v>
      </c>
      <c r="Y54" s="55">
        <f>_xll.EQNXTDZ($A$1,$B54,Y$1,$B$1)</f>
        <v>90.858999999999995</v>
      </c>
      <c r="Z54" s="55">
        <f>_xll.EQNXTDZ($A$1,$B54,Z$1,$B$1)</f>
        <v>92.700999999999993</v>
      </c>
      <c r="AA54" s="55">
        <f>_xll.EQNXTDZ($A$1,$B54,AA$1,$B$1)</f>
        <v>110.49</v>
      </c>
      <c r="AB54" s="55">
        <f>_xll.EQNXTDZ($A$1,$B54,AB$1,$B$1)</f>
        <v>178.66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91.590999999999994</v>
      </c>
      <c r="Y55" s="55">
        <f>_xll.EQNXTDZ($A$1,$B55,Y$1,$B$1)</f>
        <v>101.339</v>
      </c>
      <c r="Z55" s="55">
        <f>_xll.EQNXTDZ($A$1,$B55,Z$1,$B$1)</f>
        <v>145.21100000000001</v>
      </c>
      <c r="AA55" s="55">
        <f>_xll.EQNXTDZ($A$1,$B55,AA$1,$B$1)</f>
        <v>159.01</v>
      </c>
      <c r="AB55" s="55">
        <f>_xll.EQNXTDZ($A$1,$B55,AB$1,$B$1)</f>
        <v>234.97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4.1139999999999999</v>
      </c>
      <c r="Y57" s="55">
        <f>_xll.EQNXTDZ($A$1,$B57,Y$1,$B$1)</f>
        <v>4.4880000000000004</v>
      </c>
      <c r="Z57" s="55">
        <f>_xll.EQNXTDZ($A$1,$B57,Z$1,$B$1)</f>
        <v>6.1539999999999999</v>
      </c>
      <c r="AA57" s="55">
        <f>_xll.EQNXTDZ($A$1,$B57,AA$1,$B$1)</f>
        <v>13.9</v>
      </c>
      <c r="AB57" s="55">
        <f>_xll.EQNXTDZ($A$1,$B57,AB$1,$B$1)</f>
        <v>18.579999999999998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172.42699999999999</v>
      </c>
      <c r="Y59" s="55">
        <f>_xll.EQNXTDZ($A$1,$B59,Y$1,$B$1)</f>
        <v>196.68600000000001</v>
      </c>
      <c r="Z59" s="55">
        <f>_xll.EQNXTDZ($A$1,$B59,Z$1,$B$1)</f>
        <v>244.066</v>
      </c>
      <c r="AA59" s="55">
        <f>_xll.EQNXTDZ($A$1,$B59,AA$1,$B$1)</f>
        <v>283.39999999999998</v>
      </c>
      <c r="AB59" s="55">
        <f>_xll.EQNXTDZ($A$1,$B59,AB$1,$B$1)</f>
        <v>432.21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1794.0409999999999</v>
      </c>
      <c r="Y60" s="55">
        <f>_xll.EQNXTDZ($A$1,$B60,Y$1,$B$1)</f>
        <v>1631.22</v>
      </c>
      <c r="Z60" s="55">
        <f>_xll.EQNXTDZ($A$1,$B60,Z$1,$B$1)</f>
        <v>1638.646</v>
      </c>
      <c r="AA60" s="55">
        <f>_xll.EQNXTDZ($A$1,$B60,AA$1,$B$1)</f>
        <v>1988.9</v>
      </c>
      <c r="AB60" s="55">
        <f>_xll.EQNXTDZ($A$1,$B60,AB$1,$B$1)</f>
        <v>2550.7800000000002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146.18100000000001</v>
      </c>
      <c r="Y62" s="55">
        <f>_xll.EQNXTDZ($A$1,$B62,Y$1,$B$1)</f>
        <v>175.30099999999999</v>
      </c>
      <c r="Z62" s="55">
        <f>_xll.EQNXTDZ($A$1,$B62,Z$1,$B$1)</f>
        <v>182.98500000000001</v>
      </c>
      <c r="AA62" s="55">
        <f>_xll.EQNXTDZ($A$1,$B62,AA$1,$B$1)</f>
        <v>204.9</v>
      </c>
      <c r="AB62" s="55">
        <f>_xll.EQNXTDZ($A$1,$B62,AB$1,$B$1)</f>
        <v>267.3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59.47</v>
      </c>
      <c r="Y63" s="55">
        <f>_xll.EQNXTDZ($A$1,$B63,Y$1,$B$1)</f>
        <v>54.713000000000001</v>
      </c>
      <c r="Z63" s="55">
        <f>_xll.EQNXTDZ($A$1,$B63,Z$1,$B$1)</f>
        <v>66.122</v>
      </c>
      <c r="AA63" s="55">
        <f>_xll.EQNXTDZ($A$1,$B63,AA$1,$B$1)</f>
        <v>77.930000000000007</v>
      </c>
      <c r="AB63" s="55">
        <f>_xll.EQNXTDZ($A$1,$B63,AB$1,$B$1)</f>
        <v>108.88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86.710999999999999</v>
      </c>
      <c r="Y65" s="55">
        <f>_xll.EQNXTDZ($A$1,$B65,Y$1,$B$1)</f>
        <v>120.58799999999999</v>
      </c>
      <c r="Z65" s="55">
        <f>_xll.EQNXTDZ($A$1,$B65,Z$1,$B$1)</f>
        <v>116.863</v>
      </c>
      <c r="AA65" s="55">
        <f>_xll.EQNXTDZ($A$1,$B65,AA$1,$B$1)</f>
        <v>126.97</v>
      </c>
      <c r="AB65" s="55">
        <f>_xll.EQNXTDZ($A$1,$B65,AB$1,$B$1)</f>
        <v>158.41999999999999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50</v>
      </c>
      <c r="Z71" s="55">
        <f>_xll.EQNXTDZ($A$1,$B71,Z$1,$B$1)</f>
        <v>193.56</v>
      </c>
      <c r="AA71" s="55">
        <f>_xll.EQNXTDZ($A$1,$B71,AA$1,$B$1)</f>
        <v>167.07</v>
      </c>
      <c r="AB71" s="55">
        <f>_xll.EQNXTDZ($A$1,$B71,AB$1,$B$1)</f>
        <v>353.25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13.259</v>
      </c>
      <c r="Y72" s="55">
        <f>_xll.EQNXTDZ($A$1,$B72,Y$1,$B$1)</f>
        <v>16.378</v>
      </c>
      <c r="Z72" s="55">
        <f>_xll.EQNXTDZ($A$1,$B72,Z$1,$B$1)</f>
        <v>17.582999999999998</v>
      </c>
      <c r="AA72" s="55">
        <f>_xll.EQNXTDZ($A$1,$B72,AA$1,$B$1)</f>
        <v>23.85</v>
      </c>
      <c r="AB72" s="55">
        <f>_xll.EQNXTDZ($A$1,$B72,AB$1,$B$1)</f>
        <v>89.56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99.97</v>
      </c>
      <c r="Y74" s="55">
        <f>_xll.EQNXTDZ($A$1,$B74,Y$1,$B$1)</f>
        <v>186.96600000000001</v>
      </c>
      <c r="Z74" s="55">
        <f>_xll.EQNXTDZ($A$1,$B74,Z$1,$B$1)</f>
        <v>328.00599999999997</v>
      </c>
      <c r="AA74" s="55">
        <f>_xll.EQNXTDZ($A$1,$B74,AA$1,$B$1)</f>
        <v>317.89</v>
      </c>
      <c r="AB74" s="55">
        <f>_xll.EQNXTDZ($A$1,$B74,AB$1,$B$1)</f>
        <v>601.23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922.12800000000004</v>
      </c>
      <c r="Y75" s="55">
        <f>_xll.EQNXTDZ($A$1,$B75,Y$1,$B$1)</f>
        <v>959.17499999999995</v>
      </c>
      <c r="Z75" s="55">
        <f>_xll.EQNXTDZ($A$1,$B75,Z$1,$B$1)</f>
        <v>568.64099999999996</v>
      </c>
      <c r="AA75" s="55">
        <f>_xll.EQNXTDZ($A$1,$B75,AA$1,$B$1)</f>
        <v>923.99</v>
      </c>
      <c r="AB75" s="55">
        <f>_xll.EQNXTDZ($A$1,$B75,AB$1,$B$1)</f>
        <v>908.6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23.091999999999999</v>
      </c>
      <c r="Y76" s="55">
        <f>_xll.EQNXTDZ($A$1,$B76,Y$1,$B$1)</f>
        <v>15.151</v>
      </c>
      <c r="Z76" s="55">
        <f>_xll.EQNXTDZ($A$1,$B76,Z$1,$B$1)</f>
        <v>28.919</v>
      </c>
      <c r="AA76" s="55">
        <f>_xll.EQNXTDZ($A$1,$B76,AA$1,$B$1)</f>
        <v>41.48</v>
      </c>
      <c r="AB76" s="55">
        <f>_xll.EQNXTDZ($A$1,$B76,AB$1,$B$1)</f>
        <v>73.739999999999995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6.7839999999999998</v>
      </c>
      <c r="Y77" s="55">
        <f>_xll.EQNXTDZ($A$1,$B77,Y$1,$B$1)</f>
        <v>10.678000000000001</v>
      </c>
      <c r="Z77" s="55">
        <f>_xll.EQNXTDZ($A$1,$B77,Z$1,$B$1)</f>
        <v>20.064</v>
      </c>
      <c r="AA77" s="55">
        <f>_xll.EQNXTDZ($A$1,$B77,AA$1,$B$1)</f>
        <v>26.6</v>
      </c>
      <c r="AB77" s="55">
        <f>_xll.EQNXTDZ($A$1,$B77,AB$1,$B$1)</f>
        <v>37.78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673.779</v>
      </c>
      <c r="Y78" s="55">
        <f>_xll.EQNXTDZ($A$1,$B78,Y$1,$B$1)</f>
        <v>323.49799999999999</v>
      </c>
      <c r="Z78" s="55">
        <f>_xll.EQNXTDZ($A$1,$B78,Z$1,$B$1)</f>
        <v>521.17100000000005</v>
      </c>
      <c r="AA78" s="55">
        <f>_xll.EQNXTDZ($A$1,$B78,AA$1,$B$1)</f>
        <v>590.69000000000005</v>
      </c>
      <c r="AB78" s="55">
        <f>_xll.EQNXTDZ($A$1,$B78,AB$1,$B$1)</f>
        <v>531.92999999999995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55.505000000000003</v>
      </c>
      <c r="Y79" s="55">
        <f>_xll.EQNXTDZ($A$1,$B79,Y$1,$B$1)</f>
        <v>46.378999999999998</v>
      </c>
      <c r="Z79" s="55">
        <f>_xll.EQNXTDZ($A$1,$B79,Z$1,$B$1)</f>
        <v>73.417000000000002</v>
      </c>
      <c r="AA79" s="55">
        <f>_xll.EQNXTDZ($A$1,$B79,AA$1,$B$1)</f>
        <v>69.39</v>
      </c>
      <c r="AB79" s="55">
        <f>_xll.EQNXTDZ($A$1,$B79,AB$1,$B$1)</f>
        <v>91.91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12.782999999999999</v>
      </c>
      <c r="Y80" s="55">
        <f>_xll.EQNXTDZ($A$1,$B80,Y$1,$B$1)</f>
        <v>89.373000000000005</v>
      </c>
      <c r="Z80" s="55">
        <f>_xll.EQNXTDZ($A$1,$B80,Z$1,$B$1)</f>
        <v>98.427999999999997</v>
      </c>
      <c r="AA80" s="55">
        <f>_xll.EQNXTDZ($A$1,$B80,AA$1,$B$1)</f>
        <v>18.86</v>
      </c>
      <c r="AB80" s="55">
        <f>_xll.EQNXTDZ($A$1,$B80,AB$1,$B$1)</f>
        <v>305.58999999999997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1694.0709999999999</v>
      </c>
      <c r="Y82" s="55">
        <f>_xll.EQNXTDZ($A$1,$B82,Y$1,$B$1)</f>
        <v>1444.2539999999999</v>
      </c>
      <c r="Z82" s="55">
        <f>_xll.EQNXTDZ($A$1,$B82,Z$1,$B$1)</f>
        <v>1310.6400000000001</v>
      </c>
      <c r="AA82" s="55">
        <f>_xll.EQNXTDZ($A$1,$B82,AA$1,$B$1)</f>
        <v>1671.01</v>
      </c>
      <c r="AB82" s="55">
        <f>_xll.EQNXTDZ($A$1,$B82,AB$1,$B$1)</f>
        <v>1949.55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1794.0409999999999</v>
      </c>
      <c r="Y84" s="55">
        <f>_xll.EQNXTDZ($A$1,$B84,Y$1,$B$1)</f>
        <v>1631.22</v>
      </c>
      <c r="Z84" s="55">
        <f>_xll.EQNXTDZ($A$1,$B84,Z$1,$B$1)</f>
        <v>1638.646</v>
      </c>
      <c r="AA84" s="55">
        <f>_xll.EQNXTDZ($A$1,$B84,AA$1,$B$1)</f>
        <v>1988.9</v>
      </c>
      <c r="AB84" s="55">
        <f>_xll.EQNXTDZ($A$1,$B84,AB$1,$B$1)</f>
        <v>2550.7800000000002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17.670999999999999</v>
      </c>
      <c r="Z85" s="55">
        <f>_xll.EQNXTDZ($A$1,$B85,Z$1,$B$1)</f>
        <v>21.826000000000001</v>
      </c>
      <c r="AA85" s="55">
        <f>_xll.EQNXTDZ($A$1,$B85,AA$1,$B$1)</f>
        <v>56.17</v>
      </c>
      <c r="AB85" s="55">
        <f>_xll.EQNXTDZ($A$1,$B85,AB$1,$B$1)</f>
        <v>64.540000000000006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17.670999999999999</v>
      </c>
      <c r="Z93" s="55">
        <f>_xll.EQNXTDZ($A$1,$B93,Z$1,$B$1)</f>
        <v>21.826000000000001</v>
      </c>
      <c r="AA93" s="55">
        <f>_xll.EQNXTDZ($A$1,$B93,AA$1,$B$1)</f>
        <v>56.17</v>
      </c>
      <c r="AB93" s="55">
        <f>_xll.EQNXTDZ($A$1,$B93,AB$1,$B$1)</f>
        <v>64.540000000000006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1.7000000000000001E-2</v>
      </c>
      <c r="Y104" s="55">
        <f>_xll.EQNXTDZ($A$1,$B104,Y$1,$B$1)</f>
        <v>1.7000000000000001E-2</v>
      </c>
      <c r="Z104" s="55">
        <f>_xll.EQNXTDZ($A$1,$B104,Z$1,$B$1)</f>
        <v>1.7000000000000001E-2</v>
      </c>
      <c r="AA104" s="55">
        <f>_xll.EQNXTDZ($A$1,$B104,AA$1,$B$1)</f>
        <v>48.98</v>
      </c>
      <c r="AB104" s="55">
        <f>_xll.EQNXTDZ($A$1,$B104,AB$1,$B$1)</f>
        <v>146.22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118.5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201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96.35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17327.07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0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19.02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320350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162.25</v>
      </c>
      <c r="FG6" cm="1">
        <f t="array" ref="FG6">_xll.EQNXTDZ($A$1,$B6,FG$1)</f>
        <v>167.5</v>
      </c>
      <c r="FH6" cm="1">
        <f t="array" ref="FH6">_xll.EQNXTDZ($A$1,$B6,FH$1)</f>
        <v>148</v>
      </c>
      <c r="FI6" cm="1">
        <f t="array" ref="FI6">_xll.EQNXTDZ($A$1,$B6,FI$1)</f>
        <v>136.38999999999999</v>
      </c>
      <c r="FJ6" cm="1">
        <f t="array" ref="FJ6">_xll.EQNXTDZ($A$1,$B6,FJ$1)</f>
        <v>133.85</v>
      </c>
      <c r="FK6" cm="1">
        <f t="array" ref="FK6">_xll.EQNXTDZ($A$1,$B6,FK$1)</f>
        <v>123.5</v>
      </c>
      <c r="FL6" cm="1">
        <f t="array" ref="FL6">_xll.EQNXTDZ($A$1,$B6,FL$1)</f>
        <v>103.82</v>
      </c>
      <c r="FM6" cm="1">
        <f t="array" ref="FM6">_xll.EQNXTDZ($A$1,$B6,FM$1)</f>
        <v>121.83</v>
      </c>
      <c r="FN6" cm="1">
        <f t="array" ref="FN6">_xll.EQNXTDZ($A$1,$B6,FN$1)</f>
        <v>151.66</v>
      </c>
      <c r="FO6" cm="1">
        <f t="array" ref="FO6">_xll.EQNXTDZ($A$1,$B6,FO$1)</f>
        <v>120.5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201.18</v>
      </c>
      <c r="FG7" s="116" cm="1">
        <f t="array" ref="FG7">_xll.EQNXTDZ($A$1,$B7,FG$1)</f>
        <v>175.45</v>
      </c>
      <c r="FH7" s="116" cm="1">
        <f t="array" ref="FH7">_xll.EQNXTDZ($A$1,$B7,FH$1)</f>
        <v>154.69999999999999</v>
      </c>
      <c r="FI7" s="116" cm="1">
        <f t="array" ref="FI7">_xll.EQNXTDZ($A$1,$B7,FI$1)</f>
        <v>137.25</v>
      </c>
      <c r="FJ7" s="116" cm="1">
        <f t="array" ref="FJ7">_xll.EQNXTDZ($A$1,$B7,FJ$1)</f>
        <v>139.51</v>
      </c>
      <c r="FK7" s="116" cm="1">
        <f t="array" ref="FK7">_xll.EQNXTDZ($A$1,$B7,FK$1)</f>
        <v>127.95</v>
      </c>
      <c r="FL7" s="116" cm="1">
        <f t="array" ref="FL7">_xll.EQNXTDZ($A$1,$B7,FL$1)</f>
        <v>131.44</v>
      </c>
      <c r="FM7" s="116" cm="1">
        <f t="array" ref="FM7">_xll.EQNXTDZ($A$1,$B7,FM$1)</f>
        <v>156</v>
      </c>
      <c r="FN7" s="116" cm="1">
        <f t="array" ref="FN7">_xll.EQNXTDZ($A$1,$B7,FN$1)</f>
        <v>156.19</v>
      </c>
      <c r="FO7" s="116" cm="1">
        <f t="array" ref="FO7">_xll.EQNXTDZ($A$1,$B7,FO$1)</f>
        <v>130.05000000000001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201.18</v>
      </c>
      <c r="JQ7" s="116">
        <f>MAX(FG7:FI7)</f>
        <v>175.45</v>
      </c>
      <c r="JR7" s="116">
        <f>MAX(FJ7:FL7)</f>
        <v>139.51</v>
      </c>
      <c r="JS7" s="116">
        <f>MAX(FM7:FO7)</f>
        <v>156.19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161.37</v>
      </c>
      <c r="FG8" s="116" cm="1">
        <f t="array" ref="FG8">_xll.EQNXTDZ($A$1,$B8,FG$1)</f>
        <v>145.16999999999999</v>
      </c>
      <c r="FH8" s="116" cm="1">
        <f t="array" ref="FH8">_xll.EQNXTDZ($A$1,$B8,FH$1)</f>
        <v>131.13999999999999</v>
      </c>
      <c r="FI8" s="116" cm="1">
        <f t="array" ref="FI8">_xll.EQNXTDZ($A$1,$B8,FI$1)</f>
        <v>120.97</v>
      </c>
      <c r="FJ8" s="116" cm="1">
        <f t="array" ref="FJ8">_xll.EQNXTDZ($A$1,$B8,FJ$1)</f>
        <v>116.58</v>
      </c>
      <c r="FK8" s="116" cm="1">
        <f t="array" ref="FK8">_xll.EQNXTDZ($A$1,$B8,FK$1)</f>
        <v>106.07</v>
      </c>
      <c r="FL8" s="116" cm="1">
        <f t="array" ref="FL8">_xll.EQNXTDZ($A$1,$B8,FL$1)</f>
        <v>100.7</v>
      </c>
      <c r="FM8" s="116" cm="1">
        <f t="array" ref="FM8">_xll.EQNXTDZ($A$1,$B8,FM$1)</f>
        <v>119.74</v>
      </c>
      <c r="FN8" s="116" cm="1">
        <f t="array" ref="FN8">_xll.EQNXTDZ($A$1,$B8,FN$1)</f>
        <v>117.8</v>
      </c>
      <c r="FO8" s="116" cm="1">
        <f t="array" ref="FO8">_xll.EQNXTDZ($A$1,$B8,FO$1)</f>
        <v>117.93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120.97</v>
      </c>
      <c r="JR8" s="116">
        <f>MIN(FJ8:FL8)</f>
        <v>100.7</v>
      </c>
      <c r="JS8" s="116">
        <f>MIN(FM8:FO8)</f>
        <v>117.8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167.38</v>
      </c>
      <c r="FG9" s="116" cm="1">
        <f t="array" ref="FG9">_xll.EQNXTDZ($A$1,$B9,FG$1)</f>
        <v>157.75</v>
      </c>
      <c r="FH9" s="116" cm="1">
        <f t="array" ref="FH9">_xll.EQNXTDZ($A$1,$B9,FH$1)</f>
        <v>135.03</v>
      </c>
      <c r="FI9" s="116" cm="1">
        <f t="array" ref="FI9">_xll.EQNXTDZ($A$1,$B9,FI$1)</f>
        <v>133.55000000000001</v>
      </c>
      <c r="FJ9" s="116" cm="1">
        <f t="array" ref="FJ9">_xll.EQNXTDZ($A$1,$B9,FJ$1)</f>
        <v>124.28</v>
      </c>
      <c r="FK9" s="116" cm="1">
        <f t="array" ref="FK9">_xll.EQNXTDZ($A$1,$B9,FK$1)</f>
        <v>107.1</v>
      </c>
      <c r="FL9" s="116" cm="1">
        <f t="array" ref="FL9">_xll.EQNXTDZ($A$1,$B9,FL$1)</f>
        <v>118.86</v>
      </c>
      <c r="FM9" s="116" cm="1">
        <f t="array" ref="FM9">_xll.EQNXTDZ($A$1,$B9,FM$1)</f>
        <v>151.66</v>
      </c>
      <c r="FN9" s="116" cm="1">
        <f t="array" ref="FN9">_xll.EQNXTDZ($A$1,$B9,FN$1)</f>
        <v>120.03</v>
      </c>
      <c r="FO9" s="116" cm="1">
        <f t="array" ref="FO9">_xll.EQNXTDZ($A$1,$B9,FO$1)</f>
        <v>128.86000000000001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167.38</v>
      </c>
      <c r="JQ9" s="116">
        <f>FI9</f>
        <v>133.55000000000001</v>
      </c>
      <c r="JR9" s="116">
        <f>FL9</f>
        <v>118.86</v>
      </c>
      <c r="JS9" s="116">
        <f>FO9</f>
        <v>128.86000000000001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0</v>
      </c>
      <c r="EU12" cm="1">
        <f t="array" ref="EU12">_xll.EQNXTDZ($A$1,$B12,EU$1)</f>
        <v>0</v>
      </c>
      <c r="EV12" cm="1">
        <f t="array" ref="EV12">_xll.EQNXTDZ($A$1,$B12,EV$1)</f>
        <v>0</v>
      </c>
      <c r="EW12" cm="1">
        <f t="array" ref="EW12">_xll.EQNXTDZ($A$1,$B12,EW$1)</f>
        <v>0</v>
      </c>
      <c r="EX12" cm="1">
        <f t="array" ref="EX12">_xll.EQNXTDZ($A$1,$B12,EX$1)</f>
        <v>0</v>
      </c>
      <c r="EY12" cm="1">
        <f t="array" ref="EY12">_xll.EQNXTDZ($A$1,$B12,EY$1)</f>
        <v>0</v>
      </c>
      <c r="EZ12" cm="1">
        <f t="array" ref="EZ12">_xll.EQNXTDZ($A$1,$B12,EZ$1)</f>
        <v>0</v>
      </c>
      <c r="FA12" cm="1">
        <f t="array" ref="FA12">_xll.EQNXTDZ($A$1,$B12,FA$1)</f>
        <v>0</v>
      </c>
      <c r="FB12" cm="1">
        <f t="array" ref="FB12">_xll.EQNXTDZ($A$1,$B12,FB$1)</f>
        <v>0</v>
      </c>
      <c r="FC12" cm="1">
        <f t="array" ref="FC12">_xll.EQNXTDZ($A$1,$B12,FC$1)</f>
        <v>0</v>
      </c>
      <c r="FD12" cm="1">
        <f t="array" ref="FD12">_xll.EQNXTDZ($A$1,$B12,FD$1)</f>
        <v>0</v>
      </c>
      <c r="FE12" cm="1">
        <f t="array" ref="FE12">_xll.EQNXTDZ($A$1,$B12,FE$1)</f>
        <v>0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0</v>
      </c>
      <c r="EU13" cm="1">
        <f t="array" ref="EU13">_xll.EQNXTDZ($A$1,$B13,EU$1)</f>
        <v>0</v>
      </c>
      <c r="EV13" cm="1">
        <f t="array" ref="EV13">_xll.EQNXTDZ($A$1,$B13,EV$1)</f>
        <v>0</v>
      </c>
      <c r="EW13" cm="1">
        <f t="array" ref="EW13">_xll.EQNXTDZ($A$1,$B13,EW$1)</f>
        <v>0</v>
      </c>
      <c r="EX13" cm="1">
        <f t="array" ref="EX13">_xll.EQNXTDZ($A$1,$B13,EX$1)</f>
        <v>0</v>
      </c>
      <c r="EY13" cm="1">
        <f t="array" ref="EY13">_xll.EQNXTDZ($A$1,$B13,EY$1)</f>
        <v>0</v>
      </c>
      <c r="EZ13" cm="1">
        <f t="array" ref="EZ13">_xll.EQNXTDZ($A$1,$B13,EZ$1)</f>
        <v>0</v>
      </c>
      <c r="FA13" cm="1">
        <f t="array" ref="FA13">_xll.EQNXTDZ($A$1,$B13,FA$1)</f>
        <v>0</v>
      </c>
      <c r="FB13" cm="1">
        <f t="array" ref="FB13">_xll.EQNXTDZ($A$1,$B13,FB$1)</f>
        <v>0</v>
      </c>
      <c r="FC13" cm="1">
        <f t="array" ref="FC13">_xll.EQNXTDZ($A$1,$B13,FC$1)</f>
        <v>0</v>
      </c>
      <c r="FD13" cm="1">
        <f t="array" ref="FD13">_xll.EQNXTDZ($A$1,$B13,FD$1)</f>
        <v>0</v>
      </c>
      <c r="FE13" cm="1">
        <f t="array" ref="FE13">_xll.EQNXTDZ($A$1,$B13,FE$1)</f>
        <v>0</v>
      </c>
      <c r="FF13" cm="1">
        <f t="array" ref="FF13">_xll.EQNXTDZ($A$1,$B13,FF$1)</f>
        <v>161</v>
      </c>
      <c r="FG13" cm="1">
        <f t="array" ref="FG13">_xll.EQNXTDZ($A$1,$B13,FG$1)</f>
        <v>167.15</v>
      </c>
      <c r="FH13" cm="1">
        <f t="array" ref="FH13">_xll.EQNXTDZ($A$1,$B13,FH$1)</f>
        <v>147.65</v>
      </c>
      <c r="FI13" cm="1">
        <f t="array" ref="FI13">_xll.EQNXTDZ($A$1,$B13,FI$1)</f>
        <v>136.69999999999999</v>
      </c>
      <c r="FJ13" cm="1">
        <f t="array" ref="FJ13">_xll.EQNXTDZ($A$1,$B13,FJ$1)</f>
        <v>133.6</v>
      </c>
      <c r="FK13" cm="1">
        <f t="array" ref="FK13">_xll.EQNXTDZ($A$1,$B13,FK$1)</f>
        <v>122.85</v>
      </c>
      <c r="FL13" cm="1">
        <f t="array" ref="FL13">_xll.EQNXTDZ($A$1,$B13,FL$1)</f>
        <v>96.35</v>
      </c>
      <c r="FM13" cm="1">
        <f t="array" ref="FM13">_xll.EQNXTDZ($A$1,$B13,FM$1)</f>
        <v>123.25</v>
      </c>
      <c r="FN13" cm="1">
        <f t="array" ref="FN13">_xll.EQNXTDZ($A$1,$B13,FN$1)</f>
        <v>152.19999999999999</v>
      </c>
      <c r="FO13" cm="1">
        <f t="array" ref="FO13">_xll.EQNXTDZ($A$1,$B13,FO$1)</f>
        <v>120.65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0</v>
      </c>
      <c r="ES14" s="116" cm="1">
        <f t="array" ref="ES14">_xll.EQNXTDZ($A$1,$B14,ES$1)</f>
        <v>0</v>
      </c>
      <c r="ET14" s="116" cm="1">
        <f t="array" ref="ET14">_xll.EQNXTDZ($A$1,$B14,ET$1)</f>
        <v>0</v>
      </c>
      <c r="EU14" s="116" cm="1">
        <f t="array" ref="EU14">_xll.EQNXTDZ($A$1,$B14,EU$1)</f>
        <v>0</v>
      </c>
      <c r="EV14" s="116" cm="1">
        <f t="array" ref="EV14">_xll.EQNXTDZ($A$1,$B14,EV$1)</f>
        <v>0</v>
      </c>
      <c r="EW14" s="116" cm="1">
        <f t="array" ref="EW14">_xll.EQNXTDZ($A$1,$B14,EW$1)</f>
        <v>0</v>
      </c>
      <c r="EX14" s="116" cm="1">
        <f t="array" ref="EX14">_xll.EQNXTDZ($A$1,$B14,EX$1)</f>
        <v>0</v>
      </c>
      <c r="EY14" s="116" cm="1">
        <f t="array" ref="EY14">_xll.EQNXTDZ($A$1,$B14,EY$1)</f>
        <v>0</v>
      </c>
      <c r="EZ14" s="116" cm="1">
        <f t="array" ref="EZ14">_xll.EQNXTDZ($A$1,$B14,EZ$1)</f>
        <v>0</v>
      </c>
      <c r="FA14" s="116" cm="1">
        <f t="array" ref="FA14">_xll.EQNXTDZ($A$1,$B14,FA$1)</f>
        <v>0</v>
      </c>
      <c r="FB14" s="116" cm="1">
        <f t="array" ref="FB14">_xll.EQNXTDZ($A$1,$B14,FB$1)</f>
        <v>0</v>
      </c>
      <c r="FC14" s="116" cm="1">
        <f t="array" ref="FC14">_xll.EQNXTDZ($A$1,$B14,FC$1)</f>
        <v>0</v>
      </c>
      <c r="FD14" s="116" cm="1">
        <f t="array" ref="FD14">_xll.EQNXTDZ($A$1,$B14,FD$1)</f>
        <v>0</v>
      </c>
      <c r="FE14" s="116" cm="1">
        <f t="array" ref="FE14">_xll.EQNXTDZ($A$1,$B14,FE$1)</f>
        <v>0</v>
      </c>
      <c r="FF14" s="116" cm="1">
        <f t="array" ref="FF14">_xll.EQNXTDZ($A$1,$B14,FF$1)</f>
        <v>201</v>
      </c>
      <c r="FG14" s="116" cm="1">
        <f t="array" ref="FG14">_xll.EQNXTDZ($A$1,$B14,FG$1)</f>
        <v>175.5</v>
      </c>
      <c r="FH14" s="116" cm="1">
        <f t="array" ref="FH14">_xll.EQNXTDZ($A$1,$B14,FH$1)</f>
        <v>154.69999999999999</v>
      </c>
      <c r="FI14" s="116" cm="1">
        <f t="array" ref="FI14">_xll.EQNXTDZ($A$1,$B14,FI$1)</f>
        <v>137.1</v>
      </c>
      <c r="FJ14" s="116" cm="1">
        <f t="array" ref="FJ14">_xll.EQNXTDZ($A$1,$B14,FJ$1)</f>
        <v>139.44999999999999</v>
      </c>
      <c r="FK14" s="116" cm="1">
        <f t="array" ref="FK14">_xll.EQNXTDZ($A$1,$B14,FK$1)</f>
        <v>128.69999999999999</v>
      </c>
      <c r="FL14" s="116" cm="1">
        <f t="array" ref="FL14">_xll.EQNXTDZ($A$1,$B14,FL$1)</f>
        <v>131.6</v>
      </c>
      <c r="FM14" s="116" cm="1">
        <f t="array" ref="FM14">_xll.EQNXTDZ($A$1,$B14,FM$1)</f>
        <v>156</v>
      </c>
      <c r="FN14" s="116" cm="1">
        <f t="array" ref="FN14">_xll.EQNXTDZ($A$1,$B14,FN$1)</f>
        <v>156.1</v>
      </c>
      <c r="FO14" s="116" cm="1">
        <f t="array" ref="FO14">_xll.EQNXTDZ($A$1,$B14,FO$1)</f>
        <v>130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0</v>
      </c>
      <c r="JM14" s="116">
        <f>MAX(EU14:EW14)</f>
        <v>0</v>
      </c>
      <c r="JN14" s="116">
        <f>MAX(EX14:EZ14)</f>
        <v>0</v>
      </c>
      <c r="JO14" s="116">
        <f>MAX(FA14:FC14)</f>
        <v>0</v>
      </c>
      <c r="JP14" s="116">
        <f>MAX(FD14:FF14)</f>
        <v>201</v>
      </c>
      <c r="JQ14" s="116">
        <f>MAX(FG14:FI14)</f>
        <v>175.5</v>
      </c>
      <c r="JR14" s="116">
        <f>MAX(FJ14:FL14)</f>
        <v>139.44999999999999</v>
      </c>
      <c r="JS14" s="116">
        <f>MAX(FM14:FO14)</f>
        <v>156.1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0</v>
      </c>
      <c r="ES15" s="116" cm="1">
        <f t="array" ref="ES15">_xll.EQNXTDZ($A$1,$B15,ES$1)</f>
        <v>0</v>
      </c>
      <c r="ET15" s="116" cm="1">
        <f t="array" ref="ET15">_xll.EQNXTDZ($A$1,$B15,ET$1)</f>
        <v>0</v>
      </c>
      <c r="EU15" s="116" cm="1">
        <f t="array" ref="EU15">_xll.EQNXTDZ($A$1,$B15,EU$1)</f>
        <v>0</v>
      </c>
      <c r="EV15" s="116" cm="1">
        <f t="array" ref="EV15">_xll.EQNXTDZ($A$1,$B15,EV$1)</f>
        <v>0</v>
      </c>
      <c r="EW15" s="116" cm="1">
        <f t="array" ref="EW15">_xll.EQNXTDZ($A$1,$B15,EW$1)</f>
        <v>0</v>
      </c>
      <c r="EX15" s="116" cm="1">
        <f t="array" ref="EX15">_xll.EQNXTDZ($A$1,$B15,EX$1)</f>
        <v>0</v>
      </c>
      <c r="EY15" s="116" cm="1">
        <f t="array" ref="EY15">_xll.EQNXTDZ($A$1,$B15,EY$1)</f>
        <v>0</v>
      </c>
      <c r="EZ15" s="116" cm="1">
        <f t="array" ref="EZ15">_xll.EQNXTDZ($A$1,$B15,EZ$1)</f>
        <v>0</v>
      </c>
      <c r="FA15" s="116" cm="1">
        <f t="array" ref="FA15">_xll.EQNXTDZ($A$1,$B15,FA$1)</f>
        <v>0</v>
      </c>
      <c r="FB15" s="116" cm="1">
        <f t="array" ref="FB15">_xll.EQNXTDZ($A$1,$B15,FB$1)</f>
        <v>0</v>
      </c>
      <c r="FC15" s="116" cm="1">
        <f t="array" ref="FC15">_xll.EQNXTDZ($A$1,$B15,FC$1)</f>
        <v>0</v>
      </c>
      <c r="FD15" s="116" cm="1">
        <f t="array" ref="FD15">_xll.EQNXTDZ($A$1,$B15,FD$1)</f>
        <v>0</v>
      </c>
      <c r="FE15" s="116" cm="1">
        <f t="array" ref="FE15">_xll.EQNXTDZ($A$1,$B15,FE$1)</f>
        <v>0</v>
      </c>
      <c r="FF15" s="116" cm="1">
        <f t="array" ref="FF15">_xll.EQNXTDZ($A$1,$B15,FF$1)</f>
        <v>161</v>
      </c>
      <c r="FG15" s="116" cm="1">
        <f t="array" ref="FG15">_xll.EQNXTDZ($A$1,$B15,FG$1)</f>
        <v>145.19999999999999</v>
      </c>
      <c r="FH15" s="116" cm="1">
        <f t="array" ref="FH15">_xll.EQNXTDZ($A$1,$B15,FH$1)</f>
        <v>131.30000000000001</v>
      </c>
      <c r="FI15" s="116" cm="1">
        <f t="array" ref="FI15">_xll.EQNXTDZ($A$1,$B15,FI$1)</f>
        <v>121</v>
      </c>
      <c r="FJ15" s="116" cm="1">
        <f t="array" ref="FJ15">_xll.EQNXTDZ($A$1,$B15,FJ$1)</f>
        <v>116.7</v>
      </c>
      <c r="FK15" s="116" cm="1">
        <f t="array" ref="FK15">_xll.EQNXTDZ($A$1,$B15,FK$1)</f>
        <v>106.2</v>
      </c>
      <c r="FL15" s="116" cm="1">
        <f t="array" ref="FL15">_xll.EQNXTDZ($A$1,$B15,FL$1)</f>
        <v>96.35</v>
      </c>
      <c r="FM15" s="116" cm="1">
        <f t="array" ref="FM15">_xll.EQNXTDZ($A$1,$B15,FM$1)</f>
        <v>119.6</v>
      </c>
      <c r="FN15" s="116" cm="1">
        <f t="array" ref="FN15">_xll.EQNXTDZ($A$1,$B15,FN$1)</f>
        <v>117.85</v>
      </c>
      <c r="FO15" s="116" cm="1">
        <f t="array" ref="FO15">_xll.EQNXTDZ($A$1,$B15,FO$1)</f>
        <v>118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0</v>
      </c>
      <c r="JM15" s="116">
        <f>MIN(EU15:EW15)</f>
        <v>0</v>
      </c>
      <c r="JN15" s="116">
        <f>MIN(EX15:EZ15)</f>
        <v>0</v>
      </c>
      <c r="JO15" s="116">
        <f>MIN(FA15:FC15)</f>
        <v>0</v>
      </c>
      <c r="JP15" s="116">
        <f>MIN(FD15:FF15)</f>
        <v>0</v>
      </c>
      <c r="JQ15" s="116">
        <f>MIN(FG15:FI15)</f>
        <v>121</v>
      </c>
      <c r="JR15" s="116">
        <f>MIN(FJ15:FL15)</f>
        <v>96.35</v>
      </c>
      <c r="JS15" s="116">
        <f>MIN(FM15:FO15)</f>
        <v>117.85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0</v>
      </c>
      <c r="ES16" s="116" cm="1">
        <f t="array" ref="ES16">_xll.EQNXTDZ($A$1,$B16,ES$1)</f>
        <v>0</v>
      </c>
      <c r="ET16" s="116" cm="1">
        <f t="array" ref="ET16">_xll.EQNXTDZ($A$1,$B16,ET$1)</f>
        <v>0</v>
      </c>
      <c r="EU16" s="116" cm="1">
        <f t="array" ref="EU16">_xll.EQNXTDZ($A$1,$B16,EU$1)</f>
        <v>0</v>
      </c>
      <c r="EV16" s="116" cm="1">
        <f t="array" ref="EV16">_xll.EQNXTDZ($A$1,$B16,EV$1)</f>
        <v>0</v>
      </c>
      <c r="EW16" s="116" cm="1">
        <f t="array" ref="EW16">_xll.EQNXTDZ($A$1,$B16,EW$1)</f>
        <v>0</v>
      </c>
      <c r="EX16" s="116" cm="1">
        <f t="array" ref="EX16">_xll.EQNXTDZ($A$1,$B16,EX$1)</f>
        <v>0</v>
      </c>
      <c r="EY16" s="116" cm="1">
        <f t="array" ref="EY16">_xll.EQNXTDZ($A$1,$B16,EY$1)</f>
        <v>0</v>
      </c>
      <c r="EZ16" s="116" cm="1">
        <f t="array" ref="EZ16">_xll.EQNXTDZ($A$1,$B16,EZ$1)</f>
        <v>0</v>
      </c>
      <c r="FA16" s="116" cm="1">
        <f t="array" ref="FA16">_xll.EQNXTDZ($A$1,$B16,FA$1)</f>
        <v>0</v>
      </c>
      <c r="FB16" s="116" cm="1">
        <f t="array" ref="FB16">_xll.EQNXTDZ($A$1,$B16,FB$1)</f>
        <v>0</v>
      </c>
      <c r="FC16" s="116" cm="1">
        <f t="array" ref="FC16">_xll.EQNXTDZ($A$1,$B16,FC$1)</f>
        <v>0</v>
      </c>
      <c r="FD16" s="116" cm="1">
        <f t="array" ref="FD16">_xll.EQNXTDZ($A$1,$B16,FD$1)</f>
        <v>0</v>
      </c>
      <c r="FE16" s="116" cm="1">
        <f t="array" ref="FE16">_xll.EQNXTDZ($A$1,$B16,FE$1)</f>
        <v>0</v>
      </c>
      <c r="FF16" s="116" cm="1">
        <f t="array" ref="FF16">_xll.EQNXTDZ($A$1,$B16,FF$1)</f>
        <v>167.5</v>
      </c>
      <c r="FG16" s="116" cm="1">
        <f t="array" ref="FG16">_xll.EQNXTDZ($A$1,$B16,FG$1)</f>
        <v>157.55000000000001</v>
      </c>
      <c r="FH16" s="116" cm="1">
        <f t="array" ref="FH16">_xll.EQNXTDZ($A$1,$B16,FH$1)</f>
        <v>135</v>
      </c>
      <c r="FI16" s="116" cm="1">
        <f t="array" ref="FI16">_xll.EQNXTDZ($A$1,$B16,FI$1)</f>
        <v>133.44999999999999</v>
      </c>
      <c r="FJ16" s="116" cm="1">
        <f t="array" ref="FJ16">_xll.EQNXTDZ($A$1,$B16,FJ$1)</f>
        <v>124.1</v>
      </c>
      <c r="FK16" s="116" cm="1">
        <f t="array" ref="FK16">_xll.EQNXTDZ($A$1,$B16,FK$1)</f>
        <v>107.15</v>
      </c>
      <c r="FL16" s="116" cm="1">
        <f t="array" ref="FL16">_xll.EQNXTDZ($A$1,$B16,FL$1)</f>
        <v>118.5</v>
      </c>
      <c r="FM16" s="116" cm="1">
        <f t="array" ref="FM16">_xll.EQNXTDZ($A$1,$B16,FM$1)</f>
        <v>151.65</v>
      </c>
      <c r="FN16" s="116" cm="1">
        <f t="array" ref="FN16">_xll.EQNXTDZ($A$1,$B16,FN$1)</f>
        <v>120.05</v>
      </c>
      <c r="FO16" s="116" cm="1">
        <f t="array" ref="FO16">_xll.EQNXTDZ($A$1,$B16,FO$1)</f>
        <v>128.85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0</v>
      </c>
      <c r="JM16" s="116">
        <f>EW16</f>
        <v>0</v>
      </c>
      <c r="JN16" s="116">
        <f>EZ16</f>
        <v>0</v>
      </c>
      <c r="JO16" s="116">
        <f>FC16</f>
        <v>0</v>
      </c>
      <c r="JP16" s="116">
        <f>FF16</f>
        <v>167.5</v>
      </c>
      <c r="JQ16" s="116">
        <f>FI16</f>
        <v>133.44999999999999</v>
      </c>
      <c r="JR16" s="116">
        <f>FL16</f>
        <v>118.5</v>
      </c>
      <c r="JS16" s="116">
        <f>FO16</f>
        <v>128.85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0</v>
      </c>
      <c r="JM19" s="116">
        <f t="shared" si="4"/>
        <v>0</v>
      </c>
      <c r="JN19" s="116">
        <f t="shared" ref="JN19:JO19" si="5">+IF(JN14=0,JN7,JN14)</f>
        <v>0</v>
      </c>
      <c r="JO19" s="116">
        <f t="shared" si="5"/>
        <v>0</v>
      </c>
      <c r="JP19" s="116">
        <f t="shared" ref="JP19" si="6">+IF(JP14=0,JP7,JP14)</f>
        <v>201</v>
      </c>
      <c r="JQ19" s="116">
        <f t="shared" ref="JQ19:KH19" si="7">+IF(JQ14=0,JQ7,JQ14)</f>
        <v>175.5</v>
      </c>
      <c r="JR19" s="116">
        <f t="shared" si="7"/>
        <v>139.44999999999999</v>
      </c>
      <c r="JS19" s="116">
        <f t="shared" si="7"/>
        <v>156.1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0</v>
      </c>
      <c r="JM20" s="116">
        <f t="shared" si="10"/>
        <v>0</v>
      </c>
      <c r="JN20" s="116">
        <f t="shared" ref="JN20:JO20" si="11">+IF(JN15=0,JN8,JN15)</f>
        <v>0</v>
      </c>
      <c r="JO20" s="116">
        <f t="shared" si="11"/>
        <v>0</v>
      </c>
      <c r="JP20" s="116">
        <f t="shared" ref="JP20" si="12">+IF(JP15=0,JP8,JP15)</f>
        <v>0</v>
      </c>
      <c r="JQ20" s="116">
        <f t="shared" ref="JQ20:KH20" si="13">+IF(JQ15=0,JQ8,JQ15)</f>
        <v>121</v>
      </c>
      <c r="JR20" s="116">
        <f t="shared" si="13"/>
        <v>96.35</v>
      </c>
      <c r="JS20" s="116">
        <f t="shared" si="13"/>
        <v>117.85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0</v>
      </c>
      <c r="JM21" s="116">
        <f t="shared" si="15"/>
        <v>0</v>
      </c>
      <c r="JN21" s="116">
        <f t="shared" ref="JN21:JO21" si="16">+IF(JN16=0,JN9,JN16)</f>
        <v>0</v>
      </c>
      <c r="JO21" s="116">
        <f t="shared" si="16"/>
        <v>0</v>
      </c>
      <c r="JP21" s="116">
        <f t="shared" ref="JP21" si="17">+IF(JP16=0,JP9,JP16)</f>
        <v>167.5</v>
      </c>
      <c r="JQ21" s="116">
        <f t="shared" ref="JQ21:KH21" si="18">+IF(JQ16=0,JQ9,JQ16)</f>
        <v>133.44999999999999</v>
      </c>
      <c r="JR21" s="116">
        <f t="shared" si="18"/>
        <v>118.5</v>
      </c>
      <c r="JS21" s="116">
        <f t="shared" si="18"/>
        <v>128.85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320350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0</v>
      </c>
      <c r="AY7" s="100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320350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45917</v>
      </c>
      <c r="B4" s="116">
        <v>179</v>
      </c>
      <c r="C4" s="116">
        <v>167.05</v>
      </c>
      <c r="D4" s="116">
        <v>161</v>
      </c>
      <c r="E4" s="116">
        <v>161</v>
      </c>
      <c r="F4" s="116">
        <v>167.05</v>
      </c>
      <c r="G4">
        <v>14987531</v>
      </c>
      <c r="H4" s="116"/>
      <c r="I4" s="116"/>
      <c r="L4" s="170">
        <v>45917</v>
      </c>
      <c r="M4" s="116">
        <v>166.83</v>
      </c>
      <c r="N4" s="116">
        <v>179</v>
      </c>
      <c r="O4" s="116">
        <v>161.37</v>
      </c>
      <c r="P4" s="116">
        <v>162.25</v>
      </c>
      <c r="Q4" s="116">
        <v>166.83</v>
      </c>
      <c r="R4">
        <v>196030557</v>
      </c>
    </row>
    <row r="5" spans="1:18" x14ac:dyDescent="0.25">
      <c r="A5" s="170">
        <v>45918</v>
      </c>
      <c r="B5" s="116">
        <v>174</v>
      </c>
      <c r="C5" s="116">
        <v>170.1</v>
      </c>
      <c r="D5" s="116">
        <v>167.35</v>
      </c>
      <c r="E5" s="116">
        <v>171.8</v>
      </c>
      <c r="F5" s="116">
        <v>170.1</v>
      </c>
      <c r="G5">
        <v>8227109</v>
      </c>
      <c r="H5" s="116"/>
      <c r="I5" s="116"/>
      <c r="L5" s="170">
        <v>45918</v>
      </c>
      <c r="M5" s="116">
        <v>170.16</v>
      </c>
      <c r="N5" s="116">
        <v>174</v>
      </c>
      <c r="O5" s="116">
        <v>167.4</v>
      </c>
      <c r="P5" s="116">
        <v>171.5</v>
      </c>
      <c r="Q5" s="116">
        <v>170.16</v>
      </c>
      <c r="R5">
        <v>62784183</v>
      </c>
    </row>
    <row r="6" spans="1:18" x14ac:dyDescent="0.25">
      <c r="A6" s="170">
        <v>45919</v>
      </c>
      <c r="B6" s="116">
        <v>187.3</v>
      </c>
      <c r="C6" s="116">
        <v>185.1</v>
      </c>
      <c r="D6" s="116">
        <v>167.5</v>
      </c>
      <c r="E6" s="116">
        <v>170.25</v>
      </c>
      <c r="F6" s="116">
        <v>185.1</v>
      </c>
      <c r="G6">
        <v>10807504</v>
      </c>
      <c r="H6" s="116"/>
      <c r="I6" s="116"/>
      <c r="L6" s="170">
        <v>45919</v>
      </c>
      <c r="M6" s="116">
        <v>184.81</v>
      </c>
      <c r="N6" s="116">
        <v>187.5</v>
      </c>
      <c r="O6" s="116">
        <v>167.56</v>
      </c>
      <c r="P6" s="116">
        <v>170</v>
      </c>
      <c r="Q6" s="116">
        <v>184.81</v>
      </c>
      <c r="R6">
        <v>128767459</v>
      </c>
    </row>
    <row r="7" spans="1:18" x14ac:dyDescent="0.25">
      <c r="A7" s="170">
        <v>45922</v>
      </c>
      <c r="B7" s="116">
        <v>201</v>
      </c>
      <c r="C7" s="116">
        <v>187.4</v>
      </c>
      <c r="D7" s="116">
        <v>182.1</v>
      </c>
      <c r="E7" s="116">
        <v>190</v>
      </c>
      <c r="F7" s="116">
        <v>187.4</v>
      </c>
      <c r="G7">
        <v>15533349</v>
      </c>
      <c r="H7" s="116"/>
      <c r="I7" s="116"/>
      <c r="L7" s="170">
        <v>45922</v>
      </c>
      <c r="M7" s="116">
        <v>186.73</v>
      </c>
      <c r="N7" s="116">
        <v>201.18</v>
      </c>
      <c r="O7" s="116">
        <v>182</v>
      </c>
      <c r="P7" s="116">
        <v>188.9</v>
      </c>
      <c r="Q7" s="116">
        <v>186.73</v>
      </c>
      <c r="R7">
        <v>124119236</v>
      </c>
    </row>
    <row r="8" spans="1:18" x14ac:dyDescent="0.25">
      <c r="A8" s="170">
        <v>45923</v>
      </c>
      <c r="B8" s="116">
        <v>185.95</v>
      </c>
      <c r="C8" s="116">
        <v>178.5</v>
      </c>
      <c r="D8" s="116">
        <v>175</v>
      </c>
      <c r="E8" s="116">
        <v>185.95</v>
      </c>
      <c r="F8" s="116">
        <v>178.5</v>
      </c>
      <c r="G8">
        <v>4921937</v>
      </c>
      <c r="H8" s="116"/>
      <c r="I8" s="116"/>
      <c r="L8" s="170">
        <v>45923</v>
      </c>
      <c r="M8" s="116">
        <v>178.57</v>
      </c>
      <c r="N8" s="116">
        <v>185.3</v>
      </c>
      <c r="O8" s="116">
        <v>176.2</v>
      </c>
      <c r="P8" s="116">
        <v>185.3</v>
      </c>
      <c r="Q8" s="116">
        <v>178.57</v>
      </c>
      <c r="R8">
        <v>34010401</v>
      </c>
    </row>
    <row r="9" spans="1:18" x14ac:dyDescent="0.25">
      <c r="A9" s="170">
        <v>45924</v>
      </c>
      <c r="B9" s="116">
        <v>183.9</v>
      </c>
      <c r="C9" s="116">
        <v>175.5</v>
      </c>
      <c r="D9" s="116">
        <v>174.05</v>
      </c>
      <c r="E9" s="116">
        <v>177.85</v>
      </c>
      <c r="F9" s="116">
        <v>175.5</v>
      </c>
      <c r="G9">
        <v>3070987</v>
      </c>
      <c r="H9" s="116"/>
      <c r="I9" s="116"/>
      <c r="L9" s="170">
        <v>45924</v>
      </c>
      <c r="M9" s="116">
        <v>175.4</v>
      </c>
      <c r="N9" s="116">
        <v>183.9</v>
      </c>
      <c r="O9" s="116">
        <v>174</v>
      </c>
      <c r="P9" s="116">
        <v>177.6</v>
      </c>
      <c r="Q9" s="116">
        <v>175.4</v>
      </c>
      <c r="R9">
        <v>36354429</v>
      </c>
    </row>
    <row r="10" spans="1:18" x14ac:dyDescent="0.25">
      <c r="A10" s="170">
        <v>45925</v>
      </c>
      <c r="B10" s="116">
        <v>178.35</v>
      </c>
      <c r="C10" s="116">
        <v>170.45</v>
      </c>
      <c r="D10" s="116">
        <v>169.9</v>
      </c>
      <c r="E10" s="116">
        <v>176.4</v>
      </c>
      <c r="F10" s="116">
        <v>170.45</v>
      </c>
      <c r="G10">
        <v>2635900</v>
      </c>
      <c r="H10" s="116"/>
      <c r="I10" s="116"/>
      <c r="L10" s="170">
        <v>45925</v>
      </c>
      <c r="M10" s="116">
        <v>170.43</v>
      </c>
      <c r="N10" s="116">
        <v>178.47</v>
      </c>
      <c r="O10" s="116">
        <v>170</v>
      </c>
      <c r="P10" s="116">
        <v>175.7</v>
      </c>
      <c r="Q10" s="116">
        <v>170.43</v>
      </c>
      <c r="R10">
        <v>22954239</v>
      </c>
    </row>
    <row r="11" spans="1:18" x14ac:dyDescent="0.25">
      <c r="A11" s="170">
        <v>45926</v>
      </c>
      <c r="B11" s="116">
        <v>176.3</v>
      </c>
      <c r="C11" s="116">
        <v>171.45</v>
      </c>
      <c r="D11" s="116">
        <v>169.1</v>
      </c>
      <c r="E11" s="116">
        <v>171</v>
      </c>
      <c r="F11" s="116">
        <v>171.45</v>
      </c>
      <c r="G11">
        <v>2641897</v>
      </c>
      <c r="H11" s="116"/>
      <c r="I11" s="116"/>
      <c r="L11" s="170">
        <v>45926</v>
      </c>
      <c r="M11" s="116">
        <v>171.63</v>
      </c>
      <c r="N11" s="116">
        <v>176.3</v>
      </c>
      <c r="O11" s="116">
        <v>169.18</v>
      </c>
      <c r="P11" s="116">
        <v>170.75</v>
      </c>
      <c r="Q11" s="116">
        <v>171.63</v>
      </c>
      <c r="R11">
        <v>24564724</v>
      </c>
    </row>
    <row r="12" spans="1:18" x14ac:dyDescent="0.25">
      <c r="A12" s="170">
        <v>45929</v>
      </c>
      <c r="B12" s="116">
        <v>174.8</v>
      </c>
      <c r="C12" s="116">
        <v>169.95</v>
      </c>
      <c r="D12" s="116">
        <v>168.35</v>
      </c>
      <c r="E12" s="116">
        <v>174.35</v>
      </c>
      <c r="F12" s="116">
        <v>169.95</v>
      </c>
      <c r="G12">
        <v>926307</v>
      </c>
      <c r="H12" s="116"/>
      <c r="I12" s="116"/>
      <c r="L12" s="170">
        <v>45929</v>
      </c>
      <c r="M12" s="116">
        <v>169.9</v>
      </c>
      <c r="N12" s="116">
        <v>174.78</v>
      </c>
      <c r="O12" s="116">
        <v>168.46</v>
      </c>
      <c r="P12" s="116">
        <v>173.21</v>
      </c>
      <c r="Q12" s="116">
        <v>169.9</v>
      </c>
      <c r="R12">
        <v>11957021</v>
      </c>
    </row>
    <row r="13" spans="1:18" x14ac:dyDescent="0.25">
      <c r="A13" s="170">
        <v>45930</v>
      </c>
      <c r="B13" s="116">
        <v>169.85</v>
      </c>
      <c r="C13" s="116">
        <v>167.5</v>
      </c>
      <c r="D13" s="116">
        <v>162.55000000000001</v>
      </c>
      <c r="E13" s="116">
        <v>168.25</v>
      </c>
      <c r="F13" s="116">
        <v>167.5</v>
      </c>
      <c r="G13">
        <v>1597716</v>
      </c>
      <c r="H13" s="116"/>
      <c r="I13" s="116"/>
      <c r="L13" s="170">
        <v>45930</v>
      </c>
      <c r="M13" s="116">
        <v>167.38</v>
      </c>
      <c r="N13" s="116">
        <v>169.78</v>
      </c>
      <c r="O13" s="116">
        <v>162.5</v>
      </c>
      <c r="P13" s="116">
        <v>169</v>
      </c>
      <c r="Q13" s="116">
        <v>167.38</v>
      </c>
      <c r="R13">
        <v>12688739</v>
      </c>
    </row>
    <row r="14" spans="1:18" x14ac:dyDescent="0.25">
      <c r="A14" s="170">
        <v>45931</v>
      </c>
      <c r="B14" s="116">
        <v>171.75</v>
      </c>
      <c r="C14" s="116">
        <v>169.85</v>
      </c>
      <c r="D14" s="116">
        <v>166.1</v>
      </c>
      <c r="E14" s="116">
        <v>167.15</v>
      </c>
      <c r="F14" s="116">
        <v>169.85</v>
      </c>
      <c r="G14">
        <v>1076404</v>
      </c>
      <c r="H14" s="116"/>
      <c r="I14" s="116"/>
      <c r="L14" s="170">
        <v>45931</v>
      </c>
      <c r="M14" s="116">
        <v>170.09</v>
      </c>
      <c r="N14" s="116">
        <v>171.88</v>
      </c>
      <c r="O14" s="116">
        <v>166.11</v>
      </c>
      <c r="P14" s="116">
        <v>167.5</v>
      </c>
      <c r="Q14" s="116">
        <v>170.09</v>
      </c>
      <c r="R14">
        <v>8268798</v>
      </c>
    </row>
    <row r="15" spans="1:18" x14ac:dyDescent="0.25">
      <c r="A15" s="170">
        <v>45933</v>
      </c>
      <c r="B15" s="116">
        <v>175.1</v>
      </c>
      <c r="C15" s="116">
        <v>174.55</v>
      </c>
      <c r="D15" s="116">
        <v>168.15</v>
      </c>
      <c r="E15" s="116">
        <v>170.7</v>
      </c>
      <c r="F15" s="116">
        <v>174.55</v>
      </c>
      <c r="G15">
        <v>662251</v>
      </c>
      <c r="H15" s="116"/>
      <c r="I15" s="116"/>
      <c r="L15" s="170">
        <v>45933</v>
      </c>
      <c r="M15" s="116">
        <v>174.39</v>
      </c>
      <c r="N15" s="116">
        <v>175.3</v>
      </c>
      <c r="O15" s="116">
        <v>168.1</v>
      </c>
      <c r="P15" s="116">
        <v>171</v>
      </c>
      <c r="Q15" s="116">
        <v>174.39</v>
      </c>
      <c r="R15">
        <v>9451851</v>
      </c>
    </row>
    <row r="16" spans="1:18" x14ac:dyDescent="0.25">
      <c r="A16" s="170">
        <v>45936</v>
      </c>
      <c r="B16" s="116">
        <v>175.5</v>
      </c>
      <c r="C16" s="116">
        <v>167.55</v>
      </c>
      <c r="D16" s="116">
        <v>166.65</v>
      </c>
      <c r="E16" s="116">
        <v>174.85</v>
      </c>
      <c r="F16" s="116">
        <v>167.55</v>
      </c>
      <c r="G16">
        <v>801868</v>
      </c>
      <c r="H16" s="116"/>
      <c r="I16" s="116"/>
      <c r="L16" s="170">
        <v>45936</v>
      </c>
      <c r="M16" s="116">
        <v>167.51</v>
      </c>
      <c r="N16" s="116">
        <v>175.45</v>
      </c>
      <c r="O16" s="116">
        <v>166.56</v>
      </c>
      <c r="P16" s="116">
        <v>175.29</v>
      </c>
      <c r="Q16" s="116">
        <v>167.51</v>
      </c>
      <c r="R16">
        <v>6441829</v>
      </c>
    </row>
    <row r="17" spans="1:18" x14ac:dyDescent="0.25">
      <c r="A17" s="170">
        <v>45937</v>
      </c>
      <c r="B17" s="116">
        <v>172.4</v>
      </c>
      <c r="C17" s="116">
        <v>169.25</v>
      </c>
      <c r="D17" s="116">
        <v>167.65</v>
      </c>
      <c r="E17" s="116">
        <v>168.15</v>
      </c>
      <c r="F17" s="116">
        <v>169.25</v>
      </c>
      <c r="G17">
        <v>805179</v>
      </c>
      <c r="H17" s="116"/>
      <c r="I17" s="116"/>
      <c r="L17" s="170">
        <v>45937</v>
      </c>
      <c r="M17" s="116">
        <v>169.44</v>
      </c>
      <c r="N17" s="116">
        <v>172.29</v>
      </c>
      <c r="O17" s="116">
        <v>167.71</v>
      </c>
      <c r="P17" s="116">
        <v>167.98</v>
      </c>
      <c r="Q17" s="116">
        <v>169.44</v>
      </c>
      <c r="R17">
        <v>7309649</v>
      </c>
    </row>
    <row r="18" spans="1:18" x14ac:dyDescent="0.25">
      <c r="A18" s="170">
        <v>45938</v>
      </c>
      <c r="B18" s="116">
        <v>169.65</v>
      </c>
      <c r="C18" s="116">
        <v>163.85</v>
      </c>
      <c r="D18" s="116">
        <v>162.15</v>
      </c>
      <c r="E18" s="116">
        <v>169.25</v>
      </c>
      <c r="F18" s="116">
        <v>163.85</v>
      </c>
      <c r="G18">
        <v>313114</v>
      </c>
      <c r="H18" s="116"/>
      <c r="I18" s="116"/>
      <c r="L18" s="170">
        <v>45938</v>
      </c>
      <c r="M18" s="116">
        <v>163.72</v>
      </c>
      <c r="N18" s="116">
        <v>169.6</v>
      </c>
      <c r="O18" s="116">
        <v>162.22</v>
      </c>
      <c r="P18" s="116">
        <v>169.08</v>
      </c>
      <c r="Q18" s="116">
        <v>163.72</v>
      </c>
      <c r="R18">
        <v>5961047</v>
      </c>
    </row>
    <row r="19" spans="1:18" x14ac:dyDescent="0.25">
      <c r="A19" s="170">
        <v>45939</v>
      </c>
      <c r="B19" s="116">
        <v>166.4</v>
      </c>
      <c r="C19" s="116">
        <v>160.55000000000001</v>
      </c>
      <c r="D19" s="116">
        <v>159.75</v>
      </c>
      <c r="E19" s="116">
        <v>164.15</v>
      </c>
      <c r="F19" s="116">
        <v>160.55000000000001</v>
      </c>
      <c r="G19">
        <v>778199</v>
      </c>
      <c r="H19" s="116"/>
      <c r="I19" s="116"/>
      <c r="L19" s="170">
        <v>45939</v>
      </c>
      <c r="M19" s="116">
        <v>160.59</v>
      </c>
      <c r="N19" s="116">
        <v>166.35</v>
      </c>
      <c r="O19" s="116">
        <v>159.76</v>
      </c>
      <c r="P19" s="116">
        <v>164.53</v>
      </c>
      <c r="Q19" s="116">
        <v>160.59</v>
      </c>
      <c r="R19">
        <v>6879440</v>
      </c>
    </row>
    <row r="20" spans="1:18" x14ac:dyDescent="0.25">
      <c r="A20" s="170">
        <v>45940</v>
      </c>
      <c r="B20" s="116">
        <v>162.55000000000001</v>
      </c>
      <c r="C20" s="116">
        <v>156.80000000000001</v>
      </c>
      <c r="D20" s="116">
        <v>156.19999999999999</v>
      </c>
      <c r="E20" s="116">
        <v>161.19999999999999</v>
      </c>
      <c r="F20" s="116">
        <v>156.80000000000001</v>
      </c>
      <c r="G20">
        <v>421231</v>
      </c>
      <c r="H20" s="116"/>
      <c r="I20" s="116"/>
      <c r="L20" s="170">
        <v>45940</v>
      </c>
      <c r="M20" s="116">
        <v>156.74</v>
      </c>
      <c r="N20" s="116">
        <v>162.49</v>
      </c>
      <c r="O20" s="116">
        <v>156.25</v>
      </c>
      <c r="P20" s="116">
        <v>161</v>
      </c>
      <c r="Q20" s="116">
        <v>156.74</v>
      </c>
      <c r="R20">
        <v>5432077</v>
      </c>
    </row>
    <row r="21" spans="1:18" x14ac:dyDescent="0.25">
      <c r="A21" s="170">
        <v>45943</v>
      </c>
      <c r="B21" s="116">
        <v>157</v>
      </c>
      <c r="C21" s="116">
        <v>155.85</v>
      </c>
      <c r="D21" s="116">
        <v>152.75</v>
      </c>
      <c r="E21" s="116">
        <v>156.69999999999999</v>
      </c>
      <c r="F21" s="116">
        <v>155.85</v>
      </c>
      <c r="G21">
        <v>751600</v>
      </c>
      <c r="H21" s="116"/>
      <c r="I21" s="116"/>
      <c r="L21" s="170">
        <v>45943</v>
      </c>
      <c r="M21" s="116">
        <v>155.71</v>
      </c>
      <c r="N21" s="116">
        <v>157.16999999999999</v>
      </c>
      <c r="O21" s="116">
        <v>152.83000000000001</v>
      </c>
      <c r="P21" s="116">
        <v>156.5</v>
      </c>
      <c r="Q21" s="116">
        <v>155.71</v>
      </c>
      <c r="R21">
        <v>4699940</v>
      </c>
    </row>
    <row r="22" spans="1:18" x14ac:dyDescent="0.25">
      <c r="A22" s="170">
        <v>45944</v>
      </c>
      <c r="B22" s="116">
        <v>157.5</v>
      </c>
      <c r="C22" s="116">
        <v>150.55000000000001</v>
      </c>
      <c r="D22" s="116">
        <v>149.5</v>
      </c>
      <c r="E22" s="116">
        <v>156.05000000000001</v>
      </c>
      <c r="F22" s="116">
        <v>150.55000000000001</v>
      </c>
      <c r="G22">
        <v>1044974</v>
      </c>
      <c r="H22" s="116"/>
      <c r="I22" s="116"/>
      <c r="L22" s="170">
        <v>45944</v>
      </c>
      <c r="M22" s="116">
        <v>150.65</v>
      </c>
      <c r="N22" s="116">
        <v>157.36000000000001</v>
      </c>
      <c r="O22" s="116">
        <v>149.46</v>
      </c>
      <c r="P22" s="116">
        <v>156.25</v>
      </c>
      <c r="Q22" s="116">
        <v>150.65</v>
      </c>
      <c r="R22">
        <v>5966558</v>
      </c>
    </row>
    <row r="23" spans="1:18" x14ac:dyDescent="0.25">
      <c r="A23" s="170">
        <v>45945</v>
      </c>
      <c r="B23" s="116">
        <v>167.35</v>
      </c>
      <c r="C23" s="116">
        <v>164.6</v>
      </c>
      <c r="D23" s="116">
        <v>150.80000000000001</v>
      </c>
      <c r="E23" s="116">
        <v>150.80000000000001</v>
      </c>
      <c r="F23" s="116">
        <v>164.6</v>
      </c>
      <c r="G23">
        <v>1855068</v>
      </c>
      <c r="H23" s="116"/>
      <c r="I23" s="116"/>
      <c r="L23" s="170">
        <v>45945</v>
      </c>
      <c r="M23" s="116">
        <v>164.2</v>
      </c>
      <c r="N23" s="116">
        <v>167.85</v>
      </c>
      <c r="O23" s="116">
        <v>151</v>
      </c>
      <c r="P23" s="116">
        <v>151</v>
      </c>
      <c r="Q23" s="116">
        <v>164.2</v>
      </c>
      <c r="R23">
        <v>32344968</v>
      </c>
    </row>
    <row r="24" spans="1:18" x14ac:dyDescent="0.25">
      <c r="A24" s="170">
        <v>45946</v>
      </c>
      <c r="B24" s="116">
        <v>165.35</v>
      </c>
      <c r="C24" s="116">
        <v>158.4</v>
      </c>
      <c r="D24" s="116">
        <v>156.19999999999999</v>
      </c>
      <c r="E24" s="116">
        <v>165.2</v>
      </c>
      <c r="F24" s="116">
        <v>158.4</v>
      </c>
      <c r="G24">
        <v>1056450</v>
      </c>
      <c r="H24" s="116"/>
      <c r="I24" s="116"/>
      <c r="L24" s="170">
        <v>45946</v>
      </c>
      <c r="M24" s="116">
        <v>158.44999999999999</v>
      </c>
      <c r="N24" s="116">
        <v>165.4</v>
      </c>
      <c r="O24" s="116">
        <v>156.19999999999999</v>
      </c>
      <c r="P24" s="116">
        <v>165.4</v>
      </c>
      <c r="Q24" s="116">
        <v>158.44999999999999</v>
      </c>
      <c r="R24">
        <v>17315646</v>
      </c>
    </row>
    <row r="25" spans="1:18" x14ac:dyDescent="0.25">
      <c r="A25" s="170">
        <v>45947</v>
      </c>
      <c r="B25" s="116">
        <v>158.85</v>
      </c>
      <c r="C25" s="116">
        <v>153</v>
      </c>
      <c r="D25" s="116">
        <v>152.5</v>
      </c>
      <c r="E25" s="116">
        <v>158.85</v>
      </c>
      <c r="F25" s="116">
        <v>153</v>
      </c>
      <c r="G25">
        <v>338777</v>
      </c>
      <c r="H25" s="116"/>
      <c r="I25" s="116"/>
      <c r="L25" s="170">
        <v>45947</v>
      </c>
      <c r="M25" s="116">
        <v>152.91</v>
      </c>
      <c r="N25" s="116">
        <v>158.68</v>
      </c>
      <c r="O25" s="116">
        <v>152.5</v>
      </c>
      <c r="P25" s="116">
        <v>158.46</v>
      </c>
      <c r="Q25" s="116">
        <v>152.91</v>
      </c>
      <c r="R25">
        <v>7446658</v>
      </c>
    </row>
    <row r="26" spans="1:18" x14ac:dyDescent="0.25">
      <c r="A26" s="170">
        <v>45950</v>
      </c>
      <c r="B26" s="116">
        <v>155.94999999999999</v>
      </c>
      <c r="C26" s="116">
        <v>154.30000000000001</v>
      </c>
      <c r="D26" s="116">
        <v>150.6</v>
      </c>
      <c r="E26" s="116">
        <v>154.6</v>
      </c>
      <c r="F26" s="116">
        <v>154.30000000000001</v>
      </c>
      <c r="G26">
        <v>705888</v>
      </c>
      <c r="H26" s="116"/>
      <c r="I26" s="116"/>
      <c r="L26" s="170">
        <v>45950</v>
      </c>
      <c r="M26" s="116">
        <v>154.22</v>
      </c>
      <c r="N26" s="116">
        <v>155.97999999999999</v>
      </c>
      <c r="O26" s="116">
        <v>150.57</v>
      </c>
      <c r="P26" s="116">
        <v>154.4</v>
      </c>
      <c r="Q26" s="116">
        <v>154.22</v>
      </c>
      <c r="R26">
        <v>7984043</v>
      </c>
    </row>
    <row r="27" spans="1:18" x14ac:dyDescent="0.25">
      <c r="A27" s="170">
        <v>45951</v>
      </c>
      <c r="B27" s="116">
        <v>158.4</v>
      </c>
      <c r="C27" s="116">
        <v>157.85</v>
      </c>
      <c r="D27" s="116">
        <v>154.75</v>
      </c>
      <c r="E27" s="116">
        <v>155.94999999999999</v>
      </c>
      <c r="F27" s="116">
        <v>157.85</v>
      </c>
      <c r="G27">
        <v>412353</v>
      </c>
      <c r="H27" s="116"/>
      <c r="I27" s="116"/>
      <c r="L27" s="170">
        <v>45951</v>
      </c>
      <c r="M27" s="116">
        <v>157.83000000000001</v>
      </c>
      <c r="N27" s="116">
        <v>158.5</v>
      </c>
      <c r="O27" s="116">
        <v>154.55000000000001</v>
      </c>
      <c r="P27" s="116">
        <v>154.99</v>
      </c>
      <c r="Q27" s="116">
        <v>157.83000000000001</v>
      </c>
      <c r="R27">
        <v>2489447</v>
      </c>
    </row>
    <row r="28" spans="1:18" x14ac:dyDescent="0.25">
      <c r="A28" s="170">
        <v>45953</v>
      </c>
      <c r="B28" s="116">
        <v>157.4</v>
      </c>
      <c r="C28" s="116">
        <v>152</v>
      </c>
      <c r="D28" s="116">
        <v>151.25</v>
      </c>
      <c r="E28" s="116">
        <v>157.30000000000001</v>
      </c>
      <c r="F28" s="116">
        <v>152</v>
      </c>
      <c r="G28">
        <v>768390</v>
      </c>
      <c r="H28" s="116"/>
      <c r="I28" s="116"/>
      <c r="L28" s="170">
        <v>45953</v>
      </c>
      <c r="M28" s="116">
        <v>151.91</v>
      </c>
      <c r="N28" s="116">
        <v>157.63999999999999</v>
      </c>
      <c r="O28" s="116">
        <v>151.37</v>
      </c>
      <c r="P28" s="116">
        <v>156.25</v>
      </c>
      <c r="Q28" s="116">
        <v>151.91</v>
      </c>
      <c r="R28">
        <v>5256721</v>
      </c>
    </row>
    <row r="29" spans="1:18" x14ac:dyDescent="0.25">
      <c r="A29" s="170">
        <v>45954</v>
      </c>
      <c r="B29" s="116">
        <v>152.1</v>
      </c>
      <c r="C29" s="116">
        <v>147.1</v>
      </c>
      <c r="D29" s="116">
        <v>145.19999999999999</v>
      </c>
      <c r="E29" s="116">
        <v>152.05000000000001</v>
      </c>
      <c r="F29" s="116">
        <v>147.1</v>
      </c>
      <c r="G29">
        <v>1011845</v>
      </c>
      <c r="H29" s="116"/>
      <c r="I29" s="116"/>
      <c r="L29" s="170">
        <v>45954</v>
      </c>
      <c r="M29" s="116">
        <v>147.11000000000001</v>
      </c>
      <c r="N29" s="116">
        <v>151.94999999999999</v>
      </c>
      <c r="O29" s="116">
        <v>145.16999999999999</v>
      </c>
      <c r="P29" s="116">
        <v>151.94</v>
      </c>
      <c r="Q29" s="116">
        <v>147.11000000000001</v>
      </c>
      <c r="R29">
        <v>8192982</v>
      </c>
    </row>
    <row r="30" spans="1:18" x14ac:dyDescent="0.25">
      <c r="A30" s="170">
        <v>45957</v>
      </c>
      <c r="B30" s="116">
        <v>153.94999999999999</v>
      </c>
      <c r="C30" s="116">
        <v>148.35</v>
      </c>
      <c r="D30" s="116">
        <v>146.25</v>
      </c>
      <c r="E30" s="116">
        <v>148.15</v>
      </c>
      <c r="F30" s="116">
        <v>148.35</v>
      </c>
      <c r="G30">
        <v>615544</v>
      </c>
      <c r="H30" s="116"/>
      <c r="I30" s="116"/>
      <c r="L30" s="170">
        <v>45957</v>
      </c>
      <c r="M30" s="116">
        <v>148.37</v>
      </c>
      <c r="N30" s="116">
        <v>154.01</v>
      </c>
      <c r="O30" s="116">
        <v>146.22</v>
      </c>
      <c r="P30" s="116">
        <v>148</v>
      </c>
      <c r="Q30" s="116">
        <v>148.37</v>
      </c>
      <c r="R30">
        <v>8234395</v>
      </c>
    </row>
    <row r="31" spans="1:18" x14ac:dyDescent="0.25">
      <c r="A31" s="170">
        <v>45958</v>
      </c>
      <c r="B31" s="116">
        <v>151.9</v>
      </c>
      <c r="C31" s="116">
        <v>151.44999999999999</v>
      </c>
      <c r="D31" s="116">
        <v>147.5</v>
      </c>
      <c r="E31" s="116">
        <v>149.35</v>
      </c>
      <c r="F31" s="116">
        <v>151.44999999999999</v>
      </c>
      <c r="G31">
        <v>246057</v>
      </c>
      <c r="H31" s="116"/>
      <c r="I31" s="116"/>
      <c r="L31" s="170">
        <v>45958</v>
      </c>
      <c r="M31" s="116">
        <v>151.53</v>
      </c>
      <c r="N31" s="116">
        <v>151.94999999999999</v>
      </c>
      <c r="O31" s="116">
        <v>147.52000000000001</v>
      </c>
      <c r="P31" s="116">
        <v>149.19999999999999</v>
      </c>
      <c r="Q31" s="116">
        <v>151.53</v>
      </c>
      <c r="R31">
        <v>6255109</v>
      </c>
    </row>
    <row r="32" spans="1:18" x14ac:dyDescent="0.25">
      <c r="A32" s="170">
        <v>45959</v>
      </c>
      <c r="B32" s="116">
        <v>157.85</v>
      </c>
      <c r="C32" s="116">
        <v>156.05000000000001</v>
      </c>
      <c r="D32" s="116">
        <v>149.05000000000001</v>
      </c>
      <c r="E32" s="116">
        <v>149.05000000000001</v>
      </c>
      <c r="F32" s="116">
        <v>156.05000000000001</v>
      </c>
      <c r="G32">
        <v>203565</v>
      </c>
      <c r="H32" s="116"/>
      <c r="I32" s="116"/>
      <c r="L32" s="170">
        <v>45959</v>
      </c>
      <c r="M32" s="116">
        <v>156.27000000000001</v>
      </c>
      <c r="N32" s="116">
        <v>158</v>
      </c>
      <c r="O32" s="116">
        <v>151.22</v>
      </c>
      <c r="P32" s="116">
        <v>151.6</v>
      </c>
      <c r="Q32" s="116">
        <v>156.27000000000001</v>
      </c>
      <c r="R32">
        <v>5814673</v>
      </c>
    </row>
    <row r="33" spans="1:18" x14ac:dyDescent="0.25">
      <c r="A33" s="170">
        <v>45960</v>
      </c>
      <c r="B33" s="116">
        <v>157.75</v>
      </c>
      <c r="C33" s="116">
        <v>154.69999999999999</v>
      </c>
      <c r="D33" s="116">
        <v>153.30000000000001</v>
      </c>
      <c r="E33" s="116">
        <v>156.15</v>
      </c>
      <c r="F33" s="116">
        <v>154.69999999999999</v>
      </c>
      <c r="G33">
        <v>229461</v>
      </c>
      <c r="H33" s="116"/>
      <c r="I33" s="116"/>
      <c r="L33" s="170">
        <v>45960</v>
      </c>
      <c r="M33" s="116">
        <v>154.65</v>
      </c>
      <c r="N33" s="116">
        <v>157.9</v>
      </c>
      <c r="O33" s="116">
        <v>153.25</v>
      </c>
      <c r="P33" s="116">
        <v>156</v>
      </c>
      <c r="Q33" s="116">
        <v>154.65</v>
      </c>
      <c r="R33">
        <v>4070287</v>
      </c>
    </row>
    <row r="34" spans="1:18" x14ac:dyDescent="0.25">
      <c r="A34" s="170">
        <v>45961</v>
      </c>
      <c r="B34" s="116">
        <v>159.25</v>
      </c>
      <c r="C34" s="116">
        <v>157.55000000000001</v>
      </c>
      <c r="D34" s="116">
        <v>152.44999999999999</v>
      </c>
      <c r="E34" s="116">
        <v>154.75</v>
      </c>
      <c r="F34" s="116">
        <v>157.55000000000001</v>
      </c>
      <c r="G34">
        <v>746414</v>
      </c>
      <c r="H34" s="116"/>
      <c r="I34" s="116"/>
      <c r="L34" s="170">
        <v>45961</v>
      </c>
      <c r="M34" s="116">
        <v>157.75</v>
      </c>
      <c r="N34" s="116">
        <v>159.4</v>
      </c>
      <c r="O34" s="116">
        <v>152.30000000000001</v>
      </c>
      <c r="P34" s="116">
        <v>155</v>
      </c>
      <c r="Q34" s="116">
        <v>157.75</v>
      </c>
      <c r="R34">
        <v>7677863</v>
      </c>
    </row>
    <row r="35" spans="1:18" x14ac:dyDescent="0.25">
      <c r="A35" s="170">
        <v>45964</v>
      </c>
      <c r="B35" s="116">
        <v>154.69999999999999</v>
      </c>
      <c r="C35" s="116">
        <v>151.75</v>
      </c>
      <c r="D35" s="116">
        <v>147.5</v>
      </c>
      <c r="E35" s="116">
        <v>147.65</v>
      </c>
      <c r="F35" s="116">
        <v>151.75</v>
      </c>
      <c r="G35">
        <v>663127</v>
      </c>
      <c r="H35" s="116"/>
      <c r="I35" s="116"/>
      <c r="L35" s="170">
        <v>45964</v>
      </c>
      <c r="M35" s="116">
        <v>152.01</v>
      </c>
      <c r="N35" s="116">
        <v>154.69999999999999</v>
      </c>
      <c r="O35" s="116">
        <v>147.01</v>
      </c>
      <c r="P35" s="116">
        <v>148</v>
      </c>
      <c r="Q35" s="116">
        <v>152.01</v>
      </c>
      <c r="R35">
        <v>13432378</v>
      </c>
    </row>
    <row r="36" spans="1:18" x14ac:dyDescent="0.25">
      <c r="A36" s="170">
        <v>45965</v>
      </c>
      <c r="B36" s="116">
        <v>152</v>
      </c>
      <c r="C36" s="116">
        <v>149.1</v>
      </c>
      <c r="D36" s="116">
        <v>148.30000000000001</v>
      </c>
      <c r="E36" s="116">
        <v>151.5</v>
      </c>
      <c r="F36" s="116">
        <v>149.1</v>
      </c>
      <c r="G36">
        <v>194209</v>
      </c>
      <c r="H36" s="116"/>
      <c r="I36" s="116"/>
      <c r="L36" s="170">
        <v>45965</v>
      </c>
      <c r="M36" s="116">
        <v>148.9</v>
      </c>
      <c r="N36" s="116">
        <v>151.65</v>
      </c>
      <c r="O36" s="116">
        <v>148.4</v>
      </c>
      <c r="P36" s="116">
        <v>151.6</v>
      </c>
      <c r="Q36" s="116">
        <v>148.9</v>
      </c>
      <c r="R36">
        <v>4852058</v>
      </c>
    </row>
    <row r="37" spans="1:18" x14ac:dyDescent="0.25">
      <c r="A37" s="170">
        <v>45967</v>
      </c>
      <c r="B37" s="116">
        <v>148.69999999999999</v>
      </c>
      <c r="C37" s="116">
        <v>143.35</v>
      </c>
      <c r="D37" s="116">
        <v>142.9</v>
      </c>
      <c r="E37" s="116">
        <v>148.55000000000001</v>
      </c>
      <c r="F37" s="116">
        <v>143.35</v>
      </c>
      <c r="G37">
        <v>706511</v>
      </c>
      <c r="H37" s="116"/>
      <c r="I37" s="116"/>
      <c r="L37" s="170">
        <v>45967</v>
      </c>
      <c r="M37" s="116">
        <v>143.43</v>
      </c>
      <c r="N37" s="116">
        <v>148.71</v>
      </c>
      <c r="O37" s="116">
        <v>143</v>
      </c>
      <c r="P37" s="116">
        <v>148.71</v>
      </c>
      <c r="Q37" s="116">
        <v>143.43</v>
      </c>
      <c r="R37">
        <v>4913365</v>
      </c>
    </row>
    <row r="38" spans="1:18" x14ac:dyDescent="0.25">
      <c r="A38" s="170">
        <v>45968</v>
      </c>
      <c r="B38" s="116">
        <v>143.25</v>
      </c>
      <c r="C38" s="116">
        <v>142.25</v>
      </c>
      <c r="D38" s="116">
        <v>139.55000000000001</v>
      </c>
      <c r="E38" s="116">
        <v>142.4</v>
      </c>
      <c r="F38" s="116">
        <v>142.25</v>
      </c>
      <c r="G38">
        <v>268374</v>
      </c>
      <c r="H38" s="116"/>
      <c r="I38" s="116"/>
      <c r="L38" s="170">
        <v>45968</v>
      </c>
      <c r="M38" s="116">
        <v>142.34</v>
      </c>
      <c r="N38" s="116">
        <v>143.4</v>
      </c>
      <c r="O38" s="116">
        <v>139.63999999999999</v>
      </c>
      <c r="P38" s="116">
        <v>142.36000000000001</v>
      </c>
      <c r="Q38" s="116">
        <v>142.34</v>
      </c>
      <c r="R38">
        <v>3177220</v>
      </c>
    </row>
    <row r="39" spans="1:18" x14ac:dyDescent="0.25">
      <c r="A39" s="170">
        <v>45971</v>
      </c>
      <c r="B39" s="116">
        <v>143.30000000000001</v>
      </c>
      <c r="C39" s="116">
        <v>133.15</v>
      </c>
      <c r="D39" s="116">
        <v>131.30000000000001</v>
      </c>
      <c r="E39" s="116">
        <v>143.30000000000001</v>
      </c>
      <c r="F39" s="116">
        <v>133.15</v>
      </c>
      <c r="G39">
        <v>486410</v>
      </c>
      <c r="H39" s="116"/>
      <c r="I39" s="116"/>
      <c r="L39" s="170">
        <v>45971</v>
      </c>
      <c r="M39" s="116">
        <v>132.93</v>
      </c>
      <c r="N39" s="116">
        <v>143.51</v>
      </c>
      <c r="O39" s="116">
        <v>131.13999999999999</v>
      </c>
      <c r="P39" s="116">
        <v>142.80000000000001</v>
      </c>
      <c r="Q39" s="116">
        <v>132.93</v>
      </c>
      <c r="R39">
        <v>8780046</v>
      </c>
    </row>
    <row r="40" spans="1:18" x14ac:dyDescent="0.25">
      <c r="A40" s="170">
        <v>45972</v>
      </c>
      <c r="B40" s="116">
        <v>148.15</v>
      </c>
      <c r="C40" s="116">
        <v>146.15</v>
      </c>
      <c r="D40" s="116">
        <v>133.69999999999999</v>
      </c>
      <c r="E40" s="116">
        <v>133.69999999999999</v>
      </c>
      <c r="F40" s="116">
        <v>146.15</v>
      </c>
      <c r="G40">
        <v>1671296</v>
      </c>
      <c r="H40" s="116"/>
      <c r="I40" s="116"/>
      <c r="L40" s="170">
        <v>45972</v>
      </c>
      <c r="M40" s="116">
        <v>146.11000000000001</v>
      </c>
      <c r="N40" s="116">
        <v>148.44</v>
      </c>
      <c r="O40" s="116">
        <v>133.6</v>
      </c>
      <c r="P40" s="116">
        <v>133.94999999999999</v>
      </c>
      <c r="Q40" s="116">
        <v>146.11000000000001</v>
      </c>
      <c r="R40">
        <v>22769488</v>
      </c>
    </row>
    <row r="41" spans="1:18" x14ac:dyDescent="0.25">
      <c r="A41" s="170">
        <v>45973</v>
      </c>
      <c r="B41" s="116">
        <v>146.65</v>
      </c>
      <c r="C41" s="116">
        <v>142.80000000000001</v>
      </c>
      <c r="D41" s="116">
        <v>141.69999999999999</v>
      </c>
      <c r="E41" s="116">
        <v>143.19999999999999</v>
      </c>
      <c r="F41" s="116">
        <v>142.80000000000001</v>
      </c>
      <c r="G41">
        <v>649649</v>
      </c>
      <c r="H41" s="116"/>
      <c r="I41" s="116"/>
      <c r="L41" s="170">
        <v>45973</v>
      </c>
      <c r="M41" s="116">
        <v>142.72</v>
      </c>
      <c r="N41" s="116">
        <v>146.72999999999999</v>
      </c>
      <c r="O41" s="116">
        <v>141.69999999999999</v>
      </c>
      <c r="P41" s="116">
        <v>144.5</v>
      </c>
      <c r="Q41" s="116">
        <v>142.72</v>
      </c>
      <c r="R41">
        <v>6561249</v>
      </c>
    </row>
    <row r="42" spans="1:18" x14ac:dyDescent="0.25">
      <c r="A42" s="170">
        <v>45974</v>
      </c>
      <c r="B42" s="116">
        <v>144.05000000000001</v>
      </c>
      <c r="C42" s="116">
        <v>140.9</v>
      </c>
      <c r="D42" s="116">
        <v>139.6</v>
      </c>
      <c r="E42" s="116">
        <v>142.9</v>
      </c>
      <c r="F42" s="116">
        <v>140.9</v>
      </c>
      <c r="G42">
        <v>439750</v>
      </c>
      <c r="H42" s="116"/>
      <c r="I42" s="116"/>
      <c r="L42" s="170">
        <v>45974</v>
      </c>
      <c r="M42" s="116">
        <v>140.55000000000001</v>
      </c>
      <c r="N42" s="116">
        <v>143.99</v>
      </c>
      <c r="O42" s="116">
        <v>139.5</v>
      </c>
      <c r="P42" s="116">
        <v>142.71</v>
      </c>
      <c r="Q42" s="116">
        <v>140.55000000000001</v>
      </c>
      <c r="R42">
        <v>4073974</v>
      </c>
    </row>
    <row r="43" spans="1:18" x14ac:dyDescent="0.25">
      <c r="A43" s="170">
        <v>45975</v>
      </c>
      <c r="B43" s="116">
        <v>142.55000000000001</v>
      </c>
      <c r="C43" s="116">
        <v>140.6</v>
      </c>
      <c r="D43" s="116">
        <v>138.25</v>
      </c>
      <c r="E43" s="116">
        <v>138.25</v>
      </c>
      <c r="F43" s="116">
        <v>140.6</v>
      </c>
      <c r="G43">
        <v>527161</v>
      </c>
      <c r="H43" s="116"/>
      <c r="I43" s="116"/>
      <c r="L43" s="170">
        <v>45975</v>
      </c>
      <c r="M43" s="116">
        <v>140.69999999999999</v>
      </c>
      <c r="N43" s="116">
        <v>142.5</v>
      </c>
      <c r="O43" s="116">
        <v>138.71</v>
      </c>
      <c r="P43" s="116">
        <v>139</v>
      </c>
      <c r="Q43" s="116">
        <v>140.69999999999999</v>
      </c>
      <c r="R43">
        <v>2682607</v>
      </c>
    </row>
    <row r="44" spans="1:18" x14ac:dyDescent="0.25">
      <c r="A44" s="170">
        <v>45978</v>
      </c>
      <c r="B44" s="116">
        <v>147</v>
      </c>
      <c r="C44" s="116">
        <v>145.4</v>
      </c>
      <c r="D44" s="116">
        <v>139.4</v>
      </c>
      <c r="E44" s="116">
        <v>141.69999999999999</v>
      </c>
      <c r="F44" s="116">
        <v>145.4</v>
      </c>
      <c r="G44">
        <v>308560</v>
      </c>
      <c r="H44" s="116"/>
      <c r="I44" s="116"/>
      <c r="L44" s="170">
        <v>45978</v>
      </c>
      <c r="M44" s="116">
        <v>145.18</v>
      </c>
      <c r="N44" s="116">
        <v>147</v>
      </c>
      <c r="O44" s="116">
        <v>139.34</v>
      </c>
      <c r="P44" s="116">
        <v>141.41</v>
      </c>
      <c r="Q44" s="116">
        <v>145.18</v>
      </c>
      <c r="R44">
        <v>6567439</v>
      </c>
    </row>
    <row r="45" spans="1:18" x14ac:dyDescent="0.25">
      <c r="A45" s="170">
        <v>45979</v>
      </c>
      <c r="B45" s="116">
        <v>150.65</v>
      </c>
      <c r="C45" s="116">
        <v>148.1</v>
      </c>
      <c r="D45" s="116">
        <v>144.75</v>
      </c>
      <c r="E45" s="116">
        <v>145</v>
      </c>
      <c r="F45" s="116">
        <v>148.1</v>
      </c>
      <c r="G45">
        <v>720364</v>
      </c>
      <c r="H45" s="116"/>
      <c r="I45" s="116"/>
      <c r="L45" s="170">
        <v>45979</v>
      </c>
      <c r="M45" s="116">
        <v>148.25</v>
      </c>
      <c r="N45" s="116">
        <v>150.93</v>
      </c>
      <c r="O45" s="116">
        <v>144</v>
      </c>
      <c r="P45" s="116">
        <v>145</v>
      </c>
      <c r="Q45" s="116">
        <v>148.25</v>
      </c>
      <c r="R45">
        <v>9416937</v>
      </c>
    </row>
    <row r="46" spans="1:18" x14ac:dyDescent="0.25">
      <c r="A46" s="170">
        <v>45980</v>
      </c>
      <c r="B46" s="116">
        <v>148.15</v>
      </c>
      <c r="C46" s="116">
        <v>144.9</v>
      </c>
      <c r="D46" s="116">
        <v>143.4</v>
      </c>
      <c r="E46" s="116">
        <v>148.15</v>
      </c>
      <c r="F46" s="116">
        <v>144.9</v>
      </c>
      <c r="G46">
        <v>223416</v>
      </c>
      <c r="H46" s="116"/>
      <c r="I46" s="116"/>
      <c r="L46" s="170">
        <v>45980</v>
      </c>
      <c r="M46" s="116">
        <v>144.97</v>
      </c>
      <c r="N46" s="116">
        <v>148</v>
      </c>
      <c r="O46" s="116">
        <v>143.51</v>
      </c>
      <c r="P46" s="116">
        <v>148</v>
      </c>
      <c r="Q46" s="116">
        <v>144.97</v>
      </c>
      <c r="R46">
        <v>3976179</v>
      </c>
    </row>
    <row r="47" spans="1:18" x14ac:dyDescent="0.25">
      <c r="A47" s="170">
        <v>45981</v>
      </c>
      <c r="B47" s="116">
        <v>146.55000000000001</v>
      </c>
      <c r="C47" s="116">
        <v>144.05000000000001</v>
      </c>
      <c r="D47" s="116">
        <v>143.1</v>
      </c>
      <c r="E47" s="116">
        <v>146.05000000000001</v>
      </c>
      <c r="F47" s="116">
        <v>144.05000000000001</v>
      </c>
      <c r="G47">
        <v>133643</v>
      </c>
      <c r="H47" s="116"/>
      <c r="I47" s="116"/>
      <c r="L47" s="170">
        <v>45981</v>
      </c>
      <c r="M47" s="116">
        <v>144.27000000000001</v>
      </c>
      <c r="N47" s="116">
        <v>146.5</v>
      </c>
      <c r="O47" s="116">
        <v>143.13</v>
      </c>
      <c r="P47" s="116">
        <v>145.5</v>
      </c>
      <c r="Q47" s="116">
        <v>144.27000000000001</v>
      </c>
      <c r="R47">
        <v>3047139</v>
      </c>
    </row>
    <row r="48" spans="1:18" x14ac:dyDescent="0.25">
      <c r="A48" s="170">
        <v>45982</v>
      </c>
      <c r="B48" s="116">
        <v>144</v>
      </c>
      <c r="C48" s="116">
        <v>142.85</v>
      </c>
      <c r="D48" s="116">
        <v>141.1</v>
      </c>
      <c r="E48" s="116">
        <v>142.80000000000001</v>
      </c>
      <c r="F48" s="116">
        <v>142.85</v>
      </c>
      <c r="G48">
        <v>122800</v>
      </c>
      <c r="H48" s="116"/>
      <c r="I48" s="116"/>
      <c r="L48" s="170">
        <v>45982</v>
      </c>
      <c r="M48" s="116">
        <v>143</v>
      </c>
      <c r="N48" s="116">
        <v>144.11000000000001</v>
      </c>
      <c r="O48" s="116">
        <v>141.1</v>
      </c>
      <c r="P48" s="116">
        <v>144</v>
      </c>
      <c r="Q48" s="116">
        <v>143</v>
      </c>
      <c r="R48">
        <v>2339012</v>
      </c>
    </row>
    <row r="49" spans="1:18" x14ac:dyDescent="0.25">
      <c r="A49" s="170">
        <v>45985</v>
      </c>
      <c r="B49" s="116">
        <v>143.4</v>
      </c>
      <c r="C49" s="116">
        <v>137.5</v>
      </c>
      <c r="D49" s="116">
        <v>136.9</v>
      </c>
      <c r="E49" s="116">
        <v>141.94999999999999</v>
      </c>
      <c r="F49" s="116">
        <v>137.5</v>
      </c>
      <c r="G49">
        <v>162160</v>
      </c>
      <c r="H49" s="116"/>
      <c r="I49" s="116"/>
      <c r="L49" s="170">
        <v>45985</v>
      </c>
      <c r="M49" s="116">
        <v>137.68</v>
      </c>
      <c r="N49" s="116">
        <v>143.4</v>
      </c>
      <c r="O49" s="116">
        <v>136.99</v>
      </c>
      <c r="P49" s="116">
        <v>141.36000000000001</v>
      </c>
      <c r="Q49" s="116">
        <v>137.68</v>
      </c>
      <c r="R49">
        <v>3722659</v>
      </c>
    </row>
    <row r="50" spans="1:18" x14ac:dyDescent="0.25">
      <c r="A50" s="170">
        <v>45986</v>
      </c>
      <c r="B50" s="116">
        <v>144.30000000000001</v>
      </c>
      <c r="C50" s="116">
        <v>135.44999999999999</v>
      </c>
      <c r="D50" s="116">
        <v>134.69999999999999</v>
      </c>
      <c r="E50" s="116">
        <v>144.30000000000001</v>
      </c>
      <c r="F50" s="116">
        <v>135.44999999999999</v>
      </c>
      <c r="G50">
        <v>228570</v>
      </c>
      <c r="H50" s="116"/>
      <c r="I50" s="116"/>
      <c r="L50" s="170">
        <v>45986</v>
      </c>
      <c r="M50" s="116">
        <v>135.46</v>
      </c>
      <c r="N50" s="116">
        <v>138.69999999999999</v>
      </c>
      <c r="O50" s="116">
        <v>134.6</v>
      </c>
      <c r="P50" s="116">
        <v>138.69999999999999</v>
      </c>
      <c r="Q50" s="116">
        <v>135.46</v>
      </c>
      <c r="R50">
        <v>5251918</v>
      </c>
    </row>
    <row r="51" spans="1:18" x14ac:dyDescent="0.25">
      <c r="A51" s="170">
        <v>45987</v>
      </c>
      <c r="B51" s="116">
        <v>142.69999999999999</v>
      </c>
      <c r="C51" s="116">
        <v>138.19999999999999</v>
      </c>
      <c r="D51" s="116">
        <v>136.4</v>
      </c>
      <c r="E51" s="116">
        <v>137.4</v>
      </c>
      <c r="F51" s="116">
        <v>138.19999999999999</v>
      </c>
      <c r="G51">
        <v>212287</v>
      </c>
      <c r="H51" s="116"/>
      <c r="I51" s="116"/>
      <c r="L51" s="170">
        <v>45987</v>
      </c>
      <c r="M51" s="116">
        <v>138.11000000000001</v>
      </c>
      <c r="N51" s="116">
        <v>142.69999999999999</v>
      </c>
      <c r="O51" s="116">
        <v>136.26</v>
      </c>
      <c r="P51" s="116">
        <v>137</v>
      </c>
      <c r="Q51" s="116">
        <v>138.11000000000001</v>
      </c>
      <c r="R51">
        <v>4435881</v>
      </c>
    </row>
    <row r="52" spans="1:18" x14ac:dyDescent="0.25">
      <c r="A52" s="170">
        <v>45988</v>
      </c>
      <c r="B52" s="116">
        <v>140.5</v>
      </c>
      <c r="C52" s="116">
        <v>136.15</v>
      </c>
      <c r="D52" s="116">
        <v>135.9</v>
      </c>
      <c r="E52" s="116">
        <v>139.19999999999999</v>
      </c>
      <c r="F52" s="116">
        <v>136.15</v>
      </c>
      <c r="G52">
        <v>261679</v>
      </c>
      <c r="H52" s="116"/>
      <c r="I52" s="116"/>
      <c r="L52" s="170">
        <v>45988</v>
      </c>
      <c r="M52" s="116">
        <v>136.07</v>
      </c>
      <c r="N52" s="116">
        <v>140.35</v>
      </c>
      <c r="O52" s="116">
        <v>135.74</v>
      </c>
      <c r="P52" s="116">
        <v>138.44</v>
      </c>
      <c r="Q52" s="116">
        <v>136.07</v>
      </c>
      <c r="R52">
        <v>2071122</v>
      </c>
    </row>
    <row r="53" spans="1:18" x14ac:dyDescent="0.25">
      <c r="A53" s="170">
        <v>45989</v>
      </c>
      <c r="B53" s="116">
        <v>137</v>
      </c>
      <c r="C53" s="116">
        <v>135</v>
      </c>
      <c r="D53" s="116">
        <v>134.75</v>
      </c>
      <c r="E53" s="116">
        <v>136.5</v>
      </c>
      <c r="F53" s="116">
        <v>135</v>
      </c>
      <c r="G53">
        <v>240763</v>
      </c>
      <c r="H53" s="116"/>
      <c r="I53" s="116"/>
      <c r="L53" s="170">
        <v>45989</v>
      </c>
      <c r="M53" s="116">
        <v>135.03</v>
      </c>
      <c r="N53" s="116">
        <v>137.19</v>
      </c>
      <c r="O53" s="116">
        <v>134.77000000000001</v>
      </c>
      <c r="P53" s="116">
        <v>136.25</v>
      </c>
      <c r="Q53" s="116">
        <v>135.03</v>
      </c>
      <c r="R53">
        <v>2276793</v>
      </c>
    </row>
    <row r="54" spans="1:18" x14ac:dyDescent="0.25">
      <c r="A54" s="170">
        <v>45992</v>
      </c>
      <c r="B54" s="116">
        <v>136.75</v>
      </c>
      <c r="C54" s="116">
        <v>135</v>
      </c>
      <c r="D54" s="116">
        <v>134.69999999999999</v>
      </c>
      <c r="E54" s="116">
        <v>136.69999999999999</v>
      </c>
      <c r="F54" s="116">
        <v>135</v>
      </c>
      <c r="G54">
        <v>114873</v>
      </c>
      <c r="H54" s="116"/>
      <c r="I54" s="116"/>
      <c r="L54" s="170">
        <v>45992</v>
      </c>
      <c r="M54" s="116">
        <v>135.08000000000001</v>
      </c>
      <c r="N54" s="116">
        <v>136.80000000000001</v>
      </c>
      <c r="O54" s="116">
        <v>134.81</v>
      </c>
      <c r="P54" s="116">
        <v>136.38999999999999</v>
      </c>
      <c r="Q54" s="116">
        <v>135.08000000000001</v>
      </c>
      <c r="R54">
        <v>2023756</v>
      </c>
    </row>
    <row r="55" spans="1:18" x14ac:dyDescent="0.25">
      <c r="A55" s="170">
        <v>45993</v>
      </c>
      <c r="B55" s="116">
        <v>136</v>
      </c>
      <c r="C55" s="116">
        <v>135.15</v>
      </c>
      <c r="D55" s="116">
        <v>134.19999999999999</v>
      </c>
      <c r="E55" s="116">
        <v>135.05000000000001</v>
      </c>
      <c r="F55" s="116">
        <v>135.15</v>
      </c>
      <c r="G55">
        <v>68324</v>
      </c>
      <c r="H55" s="116"/>
      <c r="I55" s="116"/>
      <c r="L55" s="170">
        <v>45993</v>
      </c>
      <c r="M55" s="116">
        <v>135.19</v>
      </c>
      <c r="N55" s="116">
        <v>136.05000000000001</v>
      </c>
      <c r="O55" s="116">
        <v>134.19999999999999</v>
      </c>
      <c r="P55" s="116">
        <v>135.35</v>
      </c>
      <c r="Q55" s="116">
        <v>135.19</v>
      </c>
      <c r="R55">
        <v>1959808</v>
      </c>
    </row>
    <row r="56" spans="1:18" x14ac:dyDescent="0.25">
      <c r="A56" s="170">
        <v>45994</v>
      </c>
      <c r="B56" s="116">
        <v>136.19999999999999</v>
      </c>
      <c r="C56" s="116">
        <v>130.35</v>
      </c>
      <c r="D56" s="116">
        <v>129.9</v>
      </c>
      <c r="E56" s="116">
        <v>136.19999999999999</v>
      </c>
      <c r="F56" s="116">
        <v>130.35</v>
      </c>
      <c r="G56">
        <v>173761</v>
      </c>
      <c r="H56" s="116"/>
      <c r="I56" s="116"/>
      <c r="L56" s="170">
        <v>45994</v>
      </c>
      <c r="M56" s="116">
        <v>130.25</v>
      </c>
      <c r="N56" s="116">
        <v>135.59</v>
      </c>
      <c r="O56" s="116">
        <v>129.9</v>
      </c>
      <c r="P56" s="116">
        <v>135.49</v>
      </c>
      <c r="Q56" s="116">
        <v>130.25</v>
      </c>
      <c r="R56">
        <v>3068392</v>
      </c>
    </row>
    <row r="57" spans="1:18" x14ac:dyDescent="0.25">
      <c r="A57" s="170">
        <v>45995</v>
      </c>
      <c r="B57" s="116">
        <v>132.05000000000001</v>
      </c>
      <c r="C57" s="116">
        <v>130</v>
      </c>
      <c r="D57" s="116">
        <v>129.5</v>
      </c>
      <c r="E57" s="116">
        <v>130.6</v>
      </c>
      <c r="F57" s="116">
        <v>130</v>
      </c>
      <c r="G57">
        <v>270024</v>
      </c>
      <c r="H57" s="116"/>
      <c r="I57" s="116"/>
      <c r="L57" s="170">
        <v>45995</v>
      </c>
      <c r="M57" s="116">
        <v>130</v>
      </c>
      <c r="N57" s="116">
        <v>132</v>
      </c>
      <c r="O57" s="116">
        <v>129.61000000000001</v>
      </c>
      <c r="P57" s="116">
        <v>130.94999999999999</v>
      </c>
      <c r="Q57" s="116">
        <v>130</v>
      </c>
      <c r="R57">
        <v>2655373</v>
      </c>
    </row>
    <row r="58" spans="1:18" x14ac:dyDescent="0.25">
      <c r="A58" s="170">
        <v>45996</v>
      </c>
      <c r="B58" s="116">
        <v>132.5</v>
      </c>
      <c r="C58" s="116">
        <v>129.69999999999999</v>
      </c>
      <c r="D58" s="116">
        <v>127</v>
      </c>
      <c r="E58" s="116">
        <v>130.25</v>
      </c>
      <c r="F58" s="116">
        <v>129.69999999999999</v>
      </c>
      <c r="G58">
        <v>299612</v>
      </c>
      <c r="H58" s="116"/>
      <c r="I58" s="116"/>
      <c r="L58" s="170">
        <v>45996</v>
      </c>
      <c r="M58" s="116">
        <v>130.02000000000001</v>
      </c>
      <c r="N58" s="116">
        <v>132.49</v>
      </c>
      <c r="O58" s="116">
        <v>127.61</v>
      </c>
      <c r="P58" s="116">
        <v>130.55000000000001</v>
      </c>
      <c r="Q58" s="116">
        <v>130.02000000000001</v>
      </c>
      <c r="R58">
        <v>2641475</v>
      </c>
    </row>
    <row r="59" spans="1:18" x14ac:dyDescent="0.25">
      <c r="A59" s="170">
        <v>45999</v>
      </c>
      <c r="B59" s="116">
        <v>131.44999999999999</v>
      </c>
      <c r="C59" s="116">
        <v>126.85</v>
      </c>
      <c r="D59" s="116">
        <v>125.5</v>
      </c>
      <c r="E59" s="116">
        <v>129.85</v>
      </c>
      <c r="F59" s="116">
        <v>126.85</v>
      </c>
      <c r="G59">
        <v>128551</v>
      </c>
      <c r="H59" s="116"/>
      <c r="I59" s="116"/>
      <c r="L59" s="170">
        <v>45999</v>
      </c>
      <c r="M59" s="116">
        <v>126.88</v>
      </c>
      <c r="N59" s="116">
        <v>131.4</v>
      </c>
      <c r="O59" s="116">
        <v>125.23</v>
      </c>
      <c r="P59" s="116">
        <v>130</v>
      </c>
      <c r="Q59" s="116">
        <v>126.88</v>
      </c>
      <c r="R59">
        <v>3352087</v>
      </c>
    </row>
    <row r="60" spans="1:18" x14ac:dyDescent="0.25">
      <c r="A60" s="170">
        <v>46000</v>
      </c>
      <c r="B60" s="116">
        <v>130.5</v>
      </c>
      <c r="C60" s="116">
        <v>129.5</v>
      </c>
      <c r="D60" s="116">
        <v>125.3</v>
      </c>
      <c r="E60" s="116">
        <v>126.85</v>
      </c>
      <c r="F60" s="116">
        <v>129.5</v>
      </c>
      <c r="G60">
        <v>128622</v>
      </c>
      <c r="H60" s="116"/>
      <c r="I60" s="116"/>
      <c r="L60" s="170">
        <v>46000</v>
      </c>
      <c r="M60" s="116">
        <v>129.5</v>
      </c>
      <c r="N60" s="116">
        <v>130.53</v>
      </c>
      <c r="O60" s="116">
        <v>125.28</v>
      </c>
      <c r="P60" s="116">
        <v>127.11</v>
      </c>
      <c r="Q60" s="116">
        <v>129.5</v>
      </c>
      <c r="R60">
        <v>2553485</v>
      </c>
    </row>
    <row r="61" spans="1:18" x14ac:dyDescent="0.25">
      <c r="A61" s="170">
        <v>46001</v>
      </c>
      <c r="B61" s="116">
        <v>132.30000000000001</v>
      </c>
      <c r="C61" s="116">
        <v>128.1</v>
      </c>
      <c r="D61" s="116">
        <v>127.6</v>
      </c>
      <c r="E61" s="116">
        <v>129.85</v>
      </c>
      <c r="F61" s="116">
        <v>128.1</v>
      </c>
      <c r="G61">
        <v>276599</v>
      </c>
      <c r="H61" s="116"/>
      <c r="I61" s="116"/>
      <c r="L61" s="170">
        <v>46001</v>
      </c>
      <c r="M61" s="116">
        <v>128.03</v>
      </c>
      <c r="N61" s="116">
        <v>132.16999999999999</v>
      </c>
      <c r="O61" s="116">
        <v>127.5</v>
      </c>
      <c r="P61" s="116">
        <v>129.5</v>
      </c>
      <c r="Q61" s="116">
        <v>128.03</v>
      </c>
      <c r="R61">
        <v>2335515</v>
      </c>
    </row>
    <row r="62" spans="1:18" x14ac:dyDescent="0.25">
      <c r="A62" s="170">
        <v>46002</v>
      </c>
      <c r="B62" s="116">
        <v>128.85</v>
      </c>
      <c r="C62" s="116">
        <v>126.4</v>
      </c>
      <c r="D62" s="116">
        <v>126.05</v>
      </c>
      <c r="E62" s="116">
        <v>128.75</v>
      </c>
      <c r="F62" s="116">
        <v>126.4</v>
      </c>
      <c r="G62">
        <v>109488</v>
      </c>
      <c r="H62" s="116"/>
      <c r="I62" s="116"/>
      <c r="L62" s="170">
        <v>46002</v>
      </c>
      <c r="M62" s="116">
        <v>126.42</v>
      </c>
      <c r="N62" s="116">
        <v>128.84</v>
      </c>
      <c r="O62" s="116">
        <v>126</v>
      </c>
      <c r="P62" s="116">
        <v>128.84</v>
      </c>
      <c r="Q62" s="116">
        <v>126.42</v>
      </c>
      <c r="R62">
        <v>2048935</v>
      </c>
    </row>
    <row r="63" spans="1:18" x14ac:dyDescent="0.25">
      <c r="A63" s="170">
        <v>46003</v>
      </c>
      <c r="B63" s="116">
        <v>130.55000000000001</v>
      </c>
      <c r="C63" s="116">
        <v>128.75</v>
      </c>
      <c r="D63" s="116">
        <v>125.95</v>
      </c>
      <c r="E63" s="116">
        <v>127.4</v>
      </c>
      <c r="F63" s="116">
        <v>128.75</v>
      </c>
      <c r="G63">
        <v>148386</v>
      </c>
      <c r="H63" s="116"/>
      <c r="I63" s="116"/>
      <c r="L63" s="170">
        <v>46003</v>
      </c>
      <c r="M63" s="116">
        <v>128.84</v>
      </c>
      <c r="N63" s="116">
        <v>130.6</v>
      </c>
      <c r="O63" s="116">
        <v>125.95</v>
      </c>
      <c r="P63" s="116">
        <v>127.5</v>
      </c>
      <c r="Q63" s="116">
        <v>128.84</v>
      </c>
      <c r="R63">
        <v>2427093</v>
      </c>
    </row>
    <row r="64" spans="1:18" x14ac:dyDescent="0.25">
      <c r="A64" s="170">
        <v>46006</v>
      </c>
      <c r="B64" s="116">
        <v>127.8</v>
      </c>
      <c r="C64" s="116">
        <v>123.25</v>
      </c>
      <c r="D64" s="116">
        <v>121.45</v>
      </c>
      <c r="E64" s="116">
        <v>126.1</v>
      </c>
      <c r="F64" s="116">
        <v>123.25</v>
      </c>
      <c r="G64">
        <v>383282</v>
      </c>
      <c r="H64" s="116"/>
      <c r="I64" s="116"/>
      <c r="L64" s="170">
        <v>46006</v>
      </c>
      <c r="M64" s="116">
        <v>123.28</v>
      </c>
      <c r="N64" s="116">
        <v>128</v>
      </c>
      <c r="O64" s="116">
        <v>121.4</v>
      </c>
      <c r="P64" s="116">
        <v>126</v>
      </c>
      <c r="Q64" s="116">
        <v>123.28</v>
      </c>
      <c r="R64">
        <v>11952560</v>
      </c>
    </row>
    <row r="65" spans="1:18" x14ac:dyDescent="0.25">
      <c r="A65" s="170">
        <v>46007</v>
      </c>
      <c r="B65" s="116">
        <v>127.8</v>
      </c>
      <c r="C65" s="116">
        <v>121.85</v>
      </c>
      <c r="D65" s="116">
        <v>121</v>
      </c>
      <c r="E65" s="116">
        <v>124.25</v>
      </c>
      <c r="F65" s="116">
        <v>121.85</v>
      </c>
      <c r="G65">
        <v>567700</v>
      </c>
      <c r="H65" s="116"/>
      <c r="I65" s="116"/>
      <c r="L65" s="170">
        <v>46007</v>
      </c>
      <c r="M65" s="116">
        <v>121.84</v>
      </c>
      <c r="N65" s="116">
        <v>127.77</v>
      </c>
      <c r="O65" s="116">
        <v>120.97</v>
      </c>
      <c r="P65" s="116">
        <v>124</v>
      </c>
      <c r="Q65" s="116">
        <v>121.84</v>
      </c>
      <c r="R65">
        <v>15815669</v>
      </c>
    </row>
    <row r="66" spans="1:18" x14ac:dyDescent="0.25">
      <c r="A66" s="170">
        <v>46008</v>
      </c>
      <c r="B66" s="116">
        <v>129.9</v>
      </c>
      <c r="C66" s="116">
        <v>122.6</v>
      </c>
      <c r="D66" s="116">
        <v>121.7</v>
      </c>
      <c r="E66" s="116">
        <v>122.05</v>
      </c>
      <c r="F66" s="116">
        <v>122.6</v>
      </c>
      <c r="G66">
        <v>1029887</v>
      </c>
      <c r="H66" s="116"/>
      <c r="I66" s="116"/>
      <c r="L66" s="170">
        <v>46008</v>
      </c>
      <c r="M66" s="116">
        <v>122.49</v>
      </c>
      <c r="N66" s="116">
        <v>129.94</v>
      </c>
      <c r="O66" s="116">
        <v>121.61</v>
      </c>
      <c r="P66" s="116">
        <v>122.8</v>
      </c>
      <c r="Q66" s="116">
        <v>122.49</v>
      </c>
      <c r="R66">
        <v>15975135</v>
      </c>
    </row>
    <row r="67" spans="1:18" x14ac:dyDescent="0.25">
      <c r="A67" s="170">
        <v>46009</v>
      </c>
      <c r="B67" s="116">
        <v>124</v>
      </c>
      <c r="C67" s="116">
        <v>122.75</v>
      </c>
      <c r="D67" s="116">
        <v>121.65</v>
      </c>
      <c r="E67" s="116">
        <v>123.45</v>
      </c>
      <c r="F67" s="116">
        <v>122.75</v>
      </c>
      <c r="G67">
        <v>289294</v>
      </c>
      <c r="H67" s="116"/>
      <c r="I67" s="116"/>
      <c r="L67" s="170">
        <v>46009</v>
      </c>
      <c r="M67" s="116">
        <v>122.81</v>
      </c>
      <c r="N67" s="116">
        <v>124.11</v>
      </c>
      <c r="O67" s="116">
        <v>121.75</v>
      </c>
      <c r="P67" s="116">
        <v>123.28</v>
      </c>
      <c r="Q67" s="116">
        <v>122.81</v>
      </c>
      <c r="R67">
        <v>3999945</v>
      </c>
    </row>
    <row r="68" spans="1:18" x14ac:dyDescent="0.25">
      <c r="A68" s="170">
        <v>46010</v>
      </c>
      <c r="B68" s="116">
        <v>129.75</v>
      </c>
      <c r="C68" s="116">
        <v>126.6</v>
      </c>
      <c r="D68" s="116">
        <v>123</v>
      </c>
      <c r="E68" s="116">
        <v>123.45</v>
      </c>
      <c r="F68" s="116">
        <v>126.6</v>
      </c>
      <c r="G68">
        <v>628280</v>
      </c>
      <c r="H68" s="116"/>
      <c r="I68" s="116"/>
      <c r="L68" s="170">
        <v>46010</v>
      </c>
      <c r="M68" s="116">
        <v>127.02</v>
      </c>
      <c r="N68" s="116">
        <v>129.69999999999999</v>
      </c>
      <c r="O68" s="116">
        <v>123</v>
      </c>
      <c r="P68" s="116">
        <v>123.2</v>
      </c>
      <c r="Q68" s="116">
        <v>127.02</v>
      </c>
      <c r="R68">
        <v>13605160</v>
      </c>
    </row>
    <row r="69" spans="1:18" x14ac:dyDescent="0.25">
      <c r="A69" s="170">
        <v>46013</v>
      </c>
      <c r="B69" s="116">
        <v>129.5</v>
      </c>
      <c r="C69" s="116">
        <v>124.9</v>
      </c>
      <c r="D69" s="116">
        <v>124.4</v>
      </c>
      <c r="E69" s="116">
        <v>128.19999999999999</v>
      </c>
      <c r="F69" s="116">
        <v>124.9</v>
      </c>
      <c r="G69">
        <v>466289</v>
      </c>
      <c r="H69" s="116"/>
      <c r="I69" s="116"/>
      <c r="L69" s="170">
        <v>46013</v>
      </c>
      <c r="M69" s="116">
        <v>124.88</v>
      </c>
      <c r="N69" s="116">
        <v>128.47</v>
      </c>
      <c r="O69" s="116">
        <v>124.36</v>
      </c>
      <c r="P69" s="116">
        <v>128.37</v>
      </c>
      <c r="Q69" s="116">
        <v>124.88</v>
      </c>
      <c r="R69">
        <v>5020988</v>
      </c>
    </row>
    <row r="70" spans="1:18" x14ac:dyDescent="0.25">
      <c r="A70" s="170">
        <v>46014</v>
      </c>
      <c r="B70" s="116">
        <v>126.4</v>
      </c>
      <c r="C70" s="116">
        <v>124.75</v>
      </c>
      <c r="D70" s="116">
        <v>123.1</v>
      </c>
      <c r="E70" s="116">
        <v>125.25</v>
      </c>
      <c r="F70" s="116">
        <v>124.75</v>
      </c>
      <c r="G70">
        <v>438951</v>
      </c>
      <c r="H70" s="116"/>
      <c r="I70" s="116"/>
      <c r="L70" s="170">
        <v>46014</v>
      </c>
      <c r="M70" s="116">
        <v>124.85</v>
      </c>
      <c r="N70" s="116">
        <v>126.39</v>
      </c>
      <c r="O70" s="116">
        <v>123.1</v>
      </c>
      <c r="P70" s="116">
        <v>125.35</v>
      </c>
      <c r="Q70" s="116">
        <v>124.85</v>
      </c>
      <c r="R70">
        <v>5980639</v>
      </c>
    </row>
    <row r="71" spans="1:18" x14ac:dyDescent="0.25">
      <c r="A71" s="170">
        <v>46015</v>
      </c>
      <c r="B71" s="116">
        <v>128.25</v>
      </c>
      <c r="C71" s="116">
        <v>127.05</v>
      </c>
      <c r="D71" s="116">
        <v>124.65</v>
      </c>
      <c r="E71" s="116">
        <v>125</v>
      </c>
      <c r="F71" s="116">
        <v>127.05</v>
      </c>
      <c r="G71">
        <v>203773</v>
      </c>
      <c r="H71" s="116"/>
      <c r="I71" s="116"/>
      <c r="L71" s="170">
        <v>46015</v>
      </c>
      <c r="M71" s="116">
        <v>126.95</v>
      </c>
      <c r="N71" s="116">
        <v>128.25</v>
      </c>
      <c r="O71" s="116">
        <v>124.5</v>
      </c>
      <c r="P71" s="116">
        <v>125</v>
      </c>
      <c r="Q71" s="116">
        <v>126.95</v>
      </c>
      <c r="R71">
        <v>5522144</v>
      </c>
    </row>
    <row r="72" spans="1:18" x14ac:dyDescent="0.25">
      <c r="A72" s="170">
        <v>46017</v>
      </c>
      <c r="B72" s="116">
        <v>131.35</v>
      </c>
      <c r="C72" s="116">
        <v>128.30000000000001</v>
      </c>
      <c r="D72" s="116">
        <v>126.15</v>
      </c>
      <c r="E72" s="116">
        <v>127.7</v>
      </c>
      <c r="F72" s="116">
        <v>128.30000000000001</v>
      </c>
      <c r="G72">
        <v>482600</v>
      </c>
      <c r="H72" s="116"/>
      <c r="I72" s="116"/>
      <c r="L72" s="170">
        <v>46017</v>
      </c>
      <c r="M72" s="116">
        <v>128.4</v>
      </c>
      <c r="N72" s="116">
        <v>131.33000000000001</v>
      </c>
      <c r="O72" s="116">
        <v>126.2</v>
      </c>
      <c r="P72" s="116">
        <v>127.69</v>
      </c>
      <c r="Q72" s="116">
        <v>128.4</v>
      </c>
      <c r="R72">
        <v>6602080</v>
      </c>
    </row>
    <row r="73" spans="1:18" x14ac:dyDescent="0.25">
      <c r="A73" s="170">
        <v>46020</v>
      </c>
      <c r="B73" s="116">
        <v>128.94999999999999</v>
      </c>
      <c r="C73" s="116">
        <v>128.1</v>
      </c>
      <c r="D73" s="116">
        <v>124.6</v>
      </c>
      <c r="E73" s="116">
        <v>128.94999999999999</v>
      </c>
      <c r="F73" s="116">
        <v>128.1</v>
      </c>
      <c r="G73">
        <v>215706</v>
      </c>
      <c r="H73" s="116"/>
      <c r="I73" s="116"/>
      <c r="L73" s="170">
        <v>46020</v>
      </c>
      <c r="M73" s="116">
        <v>128.11000000000001</v>
      </c>
      <c r="N73" s="116">
        <v>128.84</v>
      </c>
      <c r="O73" s="116">
        <v>124.67</v>
      </c>
      <c r="P73" s="116">
        <v>128.80000000000001</v>
      </c>
      <c r="Q73" s="116">
        <v>128.11000000000001</v>
      </c>
      <c r="R73">
        <v>4311853</v>
      </c>
    </row>
    <row r="74" spans="1:18" x14ac:dyDescent="0.25">
      <c r="A74" s="170">
        <v>46021</v>
      </c>
      <c r="B74" s="116">
        <v>132.35</v>
      </c>
      <c r="C74" s="116">
        <v>131.44999999999999</v>
      </c>
      <c r="D74" s="116">
        <v>126.25</v>
      </c>
      <c r="E74" s="116">
        <v>128</v>
      </c>
      <c r="F74" s="116">
        <v>131.44999999999999</v>
      </c>
      <c r="G74">
        <v>280616</v>
      </c>
      <c r="H74" s="116"/>
      <c r="I74" s="116"/>
      <c r="L74" s="170">
        <v>46021</v>
      </c>
      <c r="M74" s="116">
        <v>131.53</v>
      </c>
      <c r="N74" s="116">
        <v>132.51</v>
      </c>
      <c r="O74" s="116">
        <v>126.1</v>
      </c>
      <c r="P74" s="116">
        <v>128.1</v>
      </c>
      <c r="Q74" s="116">
        <v>131.53</v>
      </c>
      <c r="R74">
        <v>7585036</v>
      </c>
    </row>
    <row r="75" spans="1:18" x14ac:dyDescent="0.25">
      <c r="A75" s="170">
        <v>46022</v>
      </c>
      <c r="B75" s="116">
        <v>137.1</v>
      </c>
      <c r="C75" s="116">
        <v>133.44999999999999</v>
      </c>
      <c r="D75" s="116">
        <v>130.5</v>
      </c>
      <c r="E75" s="116">
        <v>131.85</v>
      </c>
      <c r="F75" s="116">
        <v>133.44999999999999</v>
      </c>
      <c r="G75">
        <v>377671</v>
      </c>
      <c r="H75" s="116"/>
      <c r="I75" s="116"/>
      <c r="L75" s="170">
        <v>46022</v>
      </c>
      <c r="M75" s="116">
        <v>133.55000000000001</v>
      </c>
      <c r="N75" s="116">
        <v>137.25</v>
      </c>
      <c r="O75" s="116">
        <v>130.55000000000001</v>
      </c>
      <c r="P75" s="116">
        <v>131.69999999999999</v>
      </c>
      <c r="Q75" s="116">
        <v>133.55000000000001</v>
      </c>
      <c r="R75">
        <v>7448507</v>
      </c>
    </row>
    <row r="76" spans="1:18" x14ac:dyDescent="0.25">
      <c r="A76" s="170">
        <v>46023</v>
      </c>
      <c r="B76" s="116">
        <v>135.6</v>
      </c>
      <c r="C76" s="116">
        <v>131.5</v>
      </c>
      <c r="D76" s="116">
        <v>131</v>
      </c>
      <c r="E76" s="116">
        <v>133.6</v>
      </c>
      <c r="F76" s="116">
        <v>131.5</v>
      </c>
      <c r="G76">
        <v>87799</v>
      </c>
      <c r="H76" s="116"/>
      <c r="I76" s="116"/>
      <c r="L76" s="170">
        <v>46023</v>
      </c>
      <c r="M76" s="116">
        <v>131.35</v>
      </c>
      <c r="N76" s="116">
        <v>135.5</v>
      </c>
      <c r="O76" s="116">
        <v>130.84</v>
      </c>
      <c r="P76" s="116">
        <v>133.85</v>
      </c>
      <c r="Q76" s="116">
        <v>131.35</v>
      </c>
      <c r="R76">
        <v>2493220</v>
      </c>
    </row>
    <row r="77" spans="1:18" x14ac:dyDescent="0.25">
      <c r="A77" s="170">
        <v>46024</v>
      </c>
      <c r="B77" s="116">
        <v>133.5</v>
      </c>
      <c r="C77" s="116">
        <v>132.69999999999999</v>
      </c>
      <c r="D77" s="116">
        <v>130.1</v>
      </c>
      <c r="E77" s="116">
        <v>131.5</v>
      </c>
      <c r="F77" s="116">
        <v>132.69999999999999</v>
      </c>
      <c r="G77">
        <v>184649</v>
      </c>
      <c r="H77" s="116"/>
      <c r="I77" s="116"/>
      <c r="L77" s="170">
        <v>46024</v>
      </c>
      <c r="M77" s="116">
        <v>132.69999999999999</v>
      </c>
      <c r="N77" s="116">
        <v>133.69</v>
      </c>
      <c r="O77" s="116">
        <v>130.19999999999999</v>
      </c>
      <c r="P77" s="116">
        <v>131.35</v>
      </c>
      <c r="Q77" s="116">
        <v>132.69999999999999</v>
      </c>
      <c r="R77">
        <v>2011965</v>
      </c>
    </row>
    <row r="78" spans="1:18" x14ac:dyDescent="0.25">
      <c r="A78" s="170">
        <v>46027</v>
      </c>
      <c r="B78" s="116">
        <v>139.44999999999999</v>
      </c>
      <c r="C78" s="116">
        <v>138.19999999999999</v>
      </c>
      <c r="D78" s="116">
        <v>131.5</v>
      </c>
      <c r="E78" s="116">
        <v>132.9</v>
      </c>
      <c r="F78" s="116">
        <v>138.19999999999999</v>
      </c>
      <c r="G78">
        <v>536730</v>
      </c>
      <c r="H78" s="116"/>
      <c r="I78" s="116"/>
      <c r="L78" s="170">
        <v>46027</v>
      </c>
      <c r="M78" s="116">
        <v>138.26</v>
      </c>
      <c r="N78" s="116">
        <v>139.51</v>
      </c>
      <c r="O78" s="116">
        <v>131.53</v>
      </c>
      <c r="P78" s="116">
        <v>133.05000000000001</v>
      </c>
      <c r="Q78" s="116">
        <v>138.26</v>
      </c>
      <c r="R78">
        <v>7585850</v>
      </c>
    </row>
    <row r="79" spans="1:18" x14ac:dyDescent="0.25">
      <c r="A79" s="170">
        <v>46028</v>
      </c>
      <c r="B79" s="116">
        <v>139.44999999999999</v>
      </c>
      <c r="C79" s="116">
        <v>134.35</v>
      </c>
      <c r="D79" s="116">
        <v>132.4</v>
      </c>
      <c r="E79" s="116">
        <v>139.44999999999999</v>
      </c>
      <c r="F79" s="116">
        <v>134.35</v>
      </c>
      <c r="G79">
        <v>208491</v>
      </c>
      <c r="H79" s="116"/>
      <c r="I79" s="116"/>
      <c r="L79" s="170">
        <v>46028</v>
      </c>
      <c r="M79" s="116">
        <v>134.19</v>
      </c>
      <c r="N79" s="116">
        <v>139.28</v>
      </c>
      <c r="O79" s="116">
        <v>132.4</v>
      </c>
      <c r="P79" s="116">
        <v>139</v>
      </c>
      <c r="Q79" s="116">
        <v>134.19</v>
      </c>
      <c r="R79">
        <v>6514866</v>
      </c>
    </row>
    <row r="80" spans="1:18" x14ac:dyDescent="0.25">
      <c r="A80" s="170">
        <v>46029</v>
      </c>
      <c r="B80" s="116">
        <v>137.65</v>
      </c>
      <c r="C80" s="116">
        <v>137.1</v>
      </c>
      <c r="D80" s="116">
        <v>132.69999999999999</v>
      </c>
      <c r="E80" s="116">
        <v>134.19999999999999</v>
      </c>
      <c r="F80" s="116">
        <v>137.1</v>
      </c>
      <c r="G80">
        <v>281302</v>
      </c>
      <c r="H80" s="116"/>
      <c r="I80" s="116"/>
      <c r="L80" s="170">
        <v>46029</v>
      </c>
      <c r="M80" s="116">
        <v>137.04</v>
      </c>
      <c r="N80" s="116">
        <v>137.4</v>
      </c>
      <c r="O80" s="116">
        <v>132.87</v>
      </c>
      <c r="P80" s="116">
        <v>134.19</v>
      </c>
      <c r="Q80" s="116">
        <v>137.04</v>
      </c>
      <c r="R80">
        <v>3759811</v>
      </c>
    </row>
    <row r="81" spans="1:18" x14ac:dyDescent="0.25">
      <c r="A81" s="170">
        <v>46030</v>
      </c>
      <c r="B81" s="116">
        <v>136.85</v>
      </c>
      <c r="C81" s="116">
        <v>132.9</v>
      </c>
      <c r="D81" s="116">
        <v>132</v>
      </c>
      <c r="E81" s="116">
        <v>136.85</v>
      </c>
      <c r="F81" s="116">
        <v>132.9</v>
      </c>
      <c r="G81">
        <v>266540</v>
      </c>
      <c r="H81" s="116"/>
      <c r="I81" s="116"/>
      <c r="L81" s="170">
        <v>46030</v>
      </c>
      <c r="M81" s="116">
        <v>132.96</v>
      </c>
      <c r="N81" s="116">
        <v>137</v>
      </c>
      <c r="O81" s="116">
        <v>132</v>
      </c>
      <c r="P81" s="116">
        <v>137</v>
      </c>
      <c r="Q81" s="116">
        <v>132.96</v>
      </c>
      <c r="R81">
        <v>3342436</v>
      </c>
    </row>
    <row r="82" spans="1:18" x14ac:dyDescent="0.25">
      <c r="A82" s="170">
        <v>46031</v>
      </c>
      <c r="B82" s="116">
        <v>137.19999999999999</v>
      </c>
      <c r="C82" s="116">
        <v>135.6</v>
      </c>
      <c r="D82" s="116">
        <v>133.25</v>
      </c>
      <c r="E82" s="116">
        <v>135.05000000000001</v>
      </c>
      <c r="F82" s="116">
        <v>135.6</v>
      </c>
      <c r="G82">
        <v>191433</v>
      </c>
      <c r="H82" s="116"/>
      <c r="I82" s="116"/>
      <c r="L82" s="170">
        <v>46031</v>
      </c>
      <c r="M82" s="116">
        <v>135.66</v>
      </c>
      <c r="N82" s="116">
        <v>137.30000000000001</v>
      </c>
      <c r="O82" s="116">
        <v>133.21</v>
      </c>
      <c r="P82" s="116">
        <v>135.19999999999999</v>
      </c>
      <c r="Q82" s="116">
        <v>135.66</v>
      </c>
      <c r="R82">
        <v>5309351</v>
      </c>
    </row>
    <row r="83" spans="1:18" x14ac:dyDescent="0.25">
      <c r="A83" s="170">
        <v>46034</v>
      </c>
      <c r="B83" s="116">
        <v>137.1</v>
      </c>
      <c r="C83" s="116">
        <v>135</v>
      </c>
      <c r="D83" s="116">
        <v>132.94999999999999</v>
      </c>
      <c r="E83" s="116">
        <v>136</v>
      </c>
      <c r="F83" s="116">
        <v>135</v>
      </c>
      <c r="G83">
        <v>216702</v>
      </c>
      <c r="H83" s="116"/>
      <c r="I83" s="116"/>
      <c r="L83" s="170">
        <v>46034</v>
      </c>
      <c r="M83" s="116">
        <v>135.21</v>
      </c>
      <c r="N83" s="116">
        <v>137.19999999999999</v>
      </c>
      <c r="O83" s="116">
        <v>133</v>
      </c>
      <c r="P83" s="116">
        <v>135.84</v>
      </c>
      <c r="Q83" s="116">
        <v>135.21</v>
      </c>
      <c r="R83">
        <v>3570511</v>
      </c>
    </row>
    <row r="84" spans="1:18" x14ac:dyDescent="0.25">
      <c r="A84" s="170">
        <v>46035</v>
      </c>
      <c r="B84" s="116">
        <v>138.4</v>
      </c>
      <c r="C84" s="116">
        <v>135.44999999999999</v>
      </c>
      <c r="D84" s="116">
        <v>135</v>
      </c>
      <c r="E84" s="116">
        <v>135.85</v>
      </c>
      <c r="F84" s="116">
        <v>135.44999999999999</v>
      </c>
      <c r="G84">
        <v>93528</v>
      </c>
      <c r="H84" s="116"/>
      <c r="I84" s="116"/>
      <c r="L84" s="170">
        <v>46035</v>
      </c>
      <c r="M84" s="116">
        <v>135.51</v>
      </c>
      <c r="N84" s="116">
        <v>138.5</v>
      </c>
      <c r="O84" s="116">
        <v>134.99</v>
      </c>
      <c r="P84" s="116">
        <v>135.21</v>
      </c>
      <c r="Q84" s="116">
        <v>135.51</v>
      </c>
      <c r="R84">
        <v>2289032</v>
      </c>
    </row>
    <row r="85" spans="1:18" x14ac:dyDescent="0.25">
      <c r="A85" s="170">
        <v>46036</v>
      </c>
      <c r="B85" s="116">
        <v>137.5</v>
      </c>
      <c r="C85" s="116">
        <v>136.4</v>
      </c>
      <c r="D85" s="116">
        <v>133.9</v>
      </c>
      <c r="E85" s="116">
        <v>135.55000000000001</v>
      </c>
      <c r="F85" s="116">
        <v>136.4</v>
      </c>
      <c r="G85">
        <v>120051</v>
      </c>
      <c r="H85" s="116"/>
      <c r="I85" s="116"/>
      <c r="L85" s="170">
        <v>46036</v>
      </c>
      <c r="M85" s="116">
        <v>136.31</v>
      </c>
      <c r="N85" s="116">
        <v>137.53</v>
      </c>
      <c r="O85" s="116">
        <v>133.9</v>
      </c>
      <c r="P85" s="116">
        <v>135.75</v>
      </c>
      <c r="Q85" s="116">
        <v>136.31</v>
      </c>
      <c r="R85">
        <v>2910212</v>
      </c>
    </row>
    <row r="86" spans="1:18" x14ac:dyDescent="0.25">
      <c r="A86" s="170">
        <v>46038</v>
      </c>
      <c r="B86" s="116">
        <v>136.5</v>
      </c>
      <c r="C86" s="116">
        <v>130.44999999999999</v>
      </c>
      <c r="D86" s="116">
        <v>129.80000000000001</v>
      </c>
      <c r="E86" s="116">
        <v>134.80000000000001</v>
      </c>
      <c r="F86" s="116">
        <v>130.44999999999999</v>
      </c>
      <c r="G86">
        <v>369382</v>
      </c>
      <c r="H86" s="116"/>
      <c r="I86" s="116"/>
      <c r="L86" s="170">
        <v>46038</v>
      </c>
      <c r="M86" s="116">
        <v>130.55000000000001</v>
      </c>
      <c r="N86" s="116">
        <v>136.47999999999999</v>
      </c>
      <c r="O86" s="116">
        <v>130</v>
      </c>
      <c r="P86" s="116">
        <v>135</v>
      </c>
      <c r="Q86" s="116">
        <v>130.55000000000001</v>
      </c>
      <c r="R86">
        <v>3023049</v>
      </c>
    </row>
    <row r="87" spans="1:18" x14ac:dyDescent="0.25">
      <c r="A87" s="170">
        <v>46041</v>
      </c>
      <c r="B87" s="116">
        <v>132.35</v>
      </c>
      <c r="C87" s="116">
        <v>128.9</v>
      </c>
      <c r="D87" s="116">
        <v>128</v>
      </c>
      <c r="E87" s="116">
        <v>130.05000000000001</v>
      </c>
      <c r="F87" s="116">
        <v>128.9</v>
      </c>
      <c r="G87">
        <v>124400</v>
      </c>
      <c r="H87" s="116"/>
      <c r="I87" s="116"/>
      <c r="L87" s="170">
        <v>46041</v>
      </c>
      <c r="M87" s="116">
        <v>129.36000000000001</v>
      </c>
      <c r="N87" s="116">
        <v>132.44</v>
      </c>
      <c r="O87" s="116">
        <v>128</v>
      </c>
      <c r="P87" s="116">
        <v>131</v>
      </c>
      <c r="Q87" s="116">
        <v>129.36000000000001</v>
      </c>
      <c r="R87">
        <v>2610620</v>
      </c>
    </row>
    <row r="88" spans="1:18" x14ac:dyDescent="0.25">
      <c r="A88" s="170">
        <v>46042</v>
      </c>
      <c r="B88" s="116">
        <v>130.9</v>
      </c>
      <c r="C88" s="116">
        <v>125.15</v>
      </c>
      <c r="D88" s="116">
        <v>124.5</v>
      </c>
      <c r="E88" s="116">
        <v>130.9</v>
      </c>
      <c r="F88" s="116">
        <v>125.15</v>
      </c>
      <c r="G88">
        <v>157015</v>
      </c>
      <c r="H88" s="116"/>
      <c r="I88" s="116"/>
      <c r="L88" s="170">
        <v>46042</v>
      </c>
      <c r="M88" s="116">
        <v>125.11</v>
      </c>
      <c r="N88" s="116">
        <v>129.29</v>
      </c>
      <c r="O88" s="116">
        <v>124.4</v>
      </c>
      <c r="P88" s="116">
        <v>128.51</v>
      </c>
      <c r="Q88" s="116">
        <v>125.11</v>
      </c>
      <c r="R88">
        <v>4751438</v>
      </c>
    </row>
    <row r="89" spans="1:18" x14ac:dyDescent="0.25">
      <c r="A89" s="170">
        <v>46043</v>
      </c>
      <c r="B89" s="116">
        <v>131</v>
      </c>
      <c r="C89" s="116">
        <v>127.85</v>
      </c>
      <c r="D89" s="116">
        <v>124.35</v>
      </c>
      <c r="E89" s="116">
        <v>124.35</v>
      </c>
      <c r="F89" s="116">
        <v>127.85</v>
      </c>
      <c r="G89">
        <v>355181</v>
      </c>
      <c r="H89" s="116"/>
      <c r="I89" s="116"/>
      <c r="L89" s="170">
        <v>46043</v>
      </c>
      <c r="M89" s="116">
        <v>127.69</v>
      </c>
      <c r="N89" s="116">
        <v>131.04</v>
      </c>
      <c r="O89" s="116">
        <v>124.49</v>
      </c>
      <c r="P89" s="116">
        <v>125</v>
      </c>
      <c r="Q89" s="116">
        <v>127.69</v>
      </c>
      <c r="R89">
        <v>3731281</v>
      </c>
    </row>
    <row r="90" spans="1:18" x14ac:dyDescent="0.25">
      <c r="A90" s="170">
        <v>46044</v>
      </c>
      <c r="B90" s="116">
        <v>130</v>
      </c>
      <c r="C90" s="116">
        <v>129.6</v>
      </c>
      <c r="D90" s="116">
        <v>127.35</v>
      </c>
      <c r="E90" s="116">
        <v>128.35</v>
      </c>
      <c r="F90" s="116">
        <v>129.6</v>
      </c>
      <c r="G90">
        <v>136218</v>
      </c>
      <c r="H90" s="116"/>
      <c r="I90" s="116"/>
      <c r="L90" s="170">
        <v>46044</v>
      </c>
      <c r="M90" s="116">
        <v>129.66999999999999</v>
      </c>
      <c r="N90" s="116">
        <v>130</v>
      </c>
      <c r="O90" s="116">
        <v>127.34</v>
      </c>
      <c r="P90" s="116">
        <v>129</v>
      </c>
      <c r="Q90" s="116">
        <v>129.66999999999999</v>
      </c>
      <c r="R90">
        <v>1740278</v>
      </c>
    </row>
    <row r="91" spans="1:18" x14ac:dyDescent="0.25">
      <c r="A91" s="170">
        <v>46045</v>
      </c>
      <c r="B91" s="116">
        <v>131.69999999999999</v>
      </c>
      <c r="C91" s="116">
        <v>125.2</v>
      </c>
      <c r="D91" s="116">
        <v>123.05</v>
      </c>
      <c r="E91" s="116">
        <v>131.69999999999999</v>
      </c>
      <c r="F91" s="116">
        <v>125.2</v>
      </c>
      <c r="G91">
        <v>495011</v>
      </c>
      <c r="H91" s="116"/>
      <c r="I91" s="116"/>
      <c r="L91" s="170">
        <v>46045</v>
      </c>
      <c r="M91" s="116">
        <v>124.85</v>
      </c>
      <c r="N91" s="116">
        <v>130.85</v>
      </c>
      <c r="O91" s="116">
        <v>123.05</v>
      </c>
      <c r="P91" s="116">
        <v>130.85</v>
      </c>
      <c r="Q91" s="116">
        <v>124.85</v>
      </c>
      <c r="R91">
        <v>6166599</v>
      </c>
    </row>
    <row r="92" spans="1:18" x14ac:dyDescent="0.25">
      <c r="A92" s="170">
        <v>46049</v>
      </c>
      <c r="B92" s="116">
        <v>124.95</v>
      </c>
      <c r="C92" s="116">
        <v>122.7</v>
      </c>
      <c r="D92" s="116">
        <v>116.7</v>
      </c>
      <c r="E92" s="116">
        <v>120.85</v>
      </c>
      <c r="F92" s="116">
        <v>122.7</v>
      </c>
      <c r="G92">
        <v>888022</v>
      </c>
      <c r="H92" s="116"/>
      <c r="I92" s="116"/>
      <c r="L92" s="170">
        <v>46049</v>
      </c>
      <c r="M92" s="116">
        <v>122.49</v>
      </c>
      <c r="N92" s="116">
        <v>124.9</v>
      </c>
      <c r="O92" s="116">
        <v>116.58</v>
      </c>
      <c r="P92" s="116">
        <v>122.34</v>
      </c>
      <c r="Q92" s="116">
        <v>122.49</v>
      </c>
      <c r="R92">
        <v>7469191</v>
      </c>
    </row>
    <row r="93" spans="1:18" x14ac:dyDescent="0.25">
      <c r="A93" s="170">
        <v>46050</v>
      </c>
      <c r="B93" s="116">
        <v>125.5</v>
      </c>
      <c r="C93" s="116">
        <v>124.25</v>
      </c>
      <c r="D93" s="116">
        <v>120.05</v>
      </c>
      <c r="E93" s="116">
        <v>122.6</v>
      </c>
      <c r="F93" s="116">
        <v>124.25</v>
      </c>
      <c r="G93">
        <v>518877</v>
      </c>
      <c r="H93" s="116"/>
      <c r="I93" s="116"/>
      <c r="L93" s="170">
        <v>46050</v>
      </c>
      <c r="M93" s="116">
        <v>123.69</v>
      </c>
      <c r="N93" s="116">
        <v>125.5</v>
      </c>
      <c r="O93" s="116">
        <v>120.11</v>
      </c>
      <c r="P93" s="116">
        <v>123.04</v>
      </c>
      <c r="Q93" s="116">
        <v>123.69</v>
      </c>
      <c r="R93">
        <v>4277187</v>
      </c>
    </row>
    <row r="94" spans="1:18" x14ac:dyDescent="0.25">
      <c r="A94" s="170">
        <v>46051</v>
      </c>
      <c r="B94" s="116">
        <v>125.8</v>
      </c>
      <c r="C94" s="116">
        <v>124.85</v>
      </c>
      <c r="D94" s="116">
        <v>122</v>
      </c>
      <c r="E94" s="116">
        <v>123.75</v>
      </c>
      <c r="F94" s="116">
        <v>124.85</v>
      </c>
      <c r="G94">
        <v>366516</v>
      </c>
      <c r="H94" s="116"/>
      <c r="I94" s="116"/>
      <c r="L94" s="170">
        <v>46051</v>
      </c>
      <c r="M94" s="116">
        <v>124.95</v>
      </c>
      <c r="N94" s="116">
        <v>125.85</v>
      </c>
      <c r="O94" s="116">
        <v>121.81</v>
      </c>
      <c r="P94" s="116">
        <v>123.9</v>
      </c>
      <c r="Q94" s="116">
        <v>124.95</v>
      </c>
      <c r="R94">
        <v>2529831</v>
      </c>
    </row>
    <row r="95" spans="1:18" x14ac:dyDescent="0.25">
      <c r="A95" s="170">
        <v>46052</v>
      </c>
      <c r="B95" s="116">
        <v>125.1</v>
      </c>
      <c r="C95" s="116">
        <v>124.1</v>
      </c>
      <c r="D95" s="116">
        <v>123.35</v>
      </c>
      <c r="E95" s="116">
        <v>123.35</v>
      </c>
      <c r="F95" s="116">
        <v>124.1</v>
      </c>
      <c r="G95">
        <v>69656</v>
      </c>
      <c r="H95" s="116"/>
      <c r="I95" s="116"/>
      <c r="L95" s="170">
        <v>46052</v>
      </c>
      <c r="M95" s="116">
        <v>124.28</v>
      </c>
      <c r="N95" s="116">
        <v>125</v>
      </c>
      <c r="O95" s="116">
        <v>123.32</v>
      </c>
      <c r="P95" s="116">
        <v>123.5</v>
      </c>
      <c r="Q95" s="116">
        <v>124.28</v>
      </c>
      <c r="R95">
        <v>2139501</v>
      </c>
    </row>
    <row r="96" spans="1:18" x14ac:dyDescent="0.25">
      <c r="A96" s="170">
        <v>46054</v>
      </c>
      <c r="B96" s="116">
        <v>124.3</v>
      </c>
      <c r="C96" s="116">
        <v>120.5</v>
      </c>
      <c r="D96" s="116">
        <v>119.9</v>
      </c>
      <c r="E96" s="116">
        <v>122.85</v>
      </c>
      <c r="F96" s="116">
        <v>120.5</v>
      </c>
      <c r="G96">
        <v>60856</v>
      </c>
      <c r="H96" s="116"/>
      <c r="I96" s="116"/>
      <c r="L96" s="170">
        <v>46054</v>
      </c>
      <c r="M96" s="116">
        <v>120.73</v>
      </c>
      <c r="N96" s="116">
        <v>124.9</v>
      </c>
      <c r="O96" s="116">
        <v>119.75</v>
      </c>
      <c r="P96" s="116">
        <v>123.5</v>
      </c>
      <c r="Q96" s="116">
        <v>120.73</v>
      </c>
      <c r="R96">
        <v>1045149</v>
      </c>
    </row>
    <row r="97" spans="1:18" x14ac:dyDescent="0.25">
      <c r="A97" s="170">
        <v>46055</v>
      </c>
      <c r="B97" s="116">
        <v>122.8</v>
      </c>
      <c r="C97" s="116">
        <v>121.9</v>
      </c>
      <c r="D97" s="116">
        <v>120.5</v>
      </c>
      <c r="E97" s="116">
        <v>120.9</v>
      </c>
      <c r="F97" s="116">
        <v>121.9</v>
      </c>
      <c r="G97">
        <v>97460</v>
      </c>
      <c r="H97" s="116"/>
      <c r="I97" s="116"/>
      <c r="L97" s="170">
        <v>46055</v>
      </c>
      <c r="M97" s="116">
        <v>121.95</v>
      </c>
      <c r="N97" s="116">
        <v>122.99</v>
      </c>
      <c r="O97" s="116">
        <v>120.44</v>
      </c>
      <c r="P97" s="116">
        <v>120.75</v>
      </c>
      <c r="Q97" s="116">
        <v>121.95</v>
      </c>
      <c r="R97">
        <v>1564706</v>
      </c>
    </row>
    <row r="98" spans="1:18" x14ac:dyDescent="0.25">
      <c r="A98" s="170">
        <v>46056</v>
      </c>
      <c r="B98" s="116">
        <v>128.69999999999999</v>
      </c>
      <c r="C98" s="116">
        <v>123.85</v>
      </c>
      <c r="D98" s="116">
        <v>123</v>
      </c>
      <c r="E98" s="116">
        <v>128.69999999999999</v>
      </c>
      <c r="F98" s="116">
        <v>123.85</v>
      </c>
      <c r="G98">
        <v>101111</v>
      </c>
      <c r="H98" s="116"/>
      <c r="I98" s="116"/>
      <c r="L98" s="170">
        <v>46056</v>
      </c>
      <c r="M98" s="116">
        <v>123.91</v>
      </c>
      <c r="N98" s="116">
        <v>126.68</v>
      </c>
      <c r="O98" s="116">
        <v>123</v>
      </c>
      <c r="P98" s="116">
        <v>125.1</v>
      </c>
      <c r="Q98" s="116">
        <v>123.91</v>
      </c>
      <c r="R98">
        <v>2220225</v>
      </c>
    </row>
    <row r="99" spans="1:18" x14ac:dyDescent="0.25">
      <c r="A99" s="170">
        <v>46057</v>
      </c>
      <c r="B99" s="116">
        <v>123.9</v>
      </c>
      <c r="C99" s="116">
        <v>122.9</v>
      </c>
      <c r="D99" s="116">
        <v>121</v>
      </c>
      <c r="E99" s="116">
        <v>123.65</v>
      </c>
      <c r="F99" s="116">
        <v>122.9</v>
      </c>
      <c r="G99">
        <v>100307</v>
      </c>
      <c r="H99" s="116"/>
      <c r="I99" s="116"/>
      <c r="L99" s="170">
        <v>46057</v>
      </c>
      <c r="M99" s="116">
        <v>122.76</v>
      </c>
      <c r="N99" s="116">
        <v>123.85</v>
      </c>
      <c r="O99" s="116">
        <v>120.95</v>
      </c>
      <c r="P99" s="116">
        <v>123.1</v>
      </c>
      <c r="Q99" s="116">
        <v>122.76</v>
      </c>
      <c r="R99">
        <v>2775576</v>
      </c>
    </row>
    <row r="100" spans="1:18" x14ac:dyDescent="0.25">
      <c r="A100" s="170">
        <v>46058</v>
      </c>
      <c r="B100" s="116">
        <v>123.55</v>
      </c>
      <c r="C100" s="116">
        <v>123</v>
      </c>
      <c r="D100" s="116">
        <v>121.45</v>
      </c>
      <c r="E100" s="116">
        <v>123.05</v>
      </c>
      <c r="F100" s="116">
        <v>123</v>
      </c>
      <c r="G100">
        <v>178999</v>
      </c>
      <c r="H100" s="116"/>
      <c r="I100" s="116"/>
      <c r="L100" s="170">
        <v>46058</v>
      </c>
      <c r="M100" s="116">
        <v>123.13</v>
      </c>
      <c r="N100" s="116">
        <v>123.49</v>
      </c>
      <c r="O100" s="116">
        <v>121.11</v>
      </c>
      <c r="P100" s="116">
        <v>122.81</v>
      </c>
      <c r="Q100" s="116">
        <v>123.13</v>
      </c>
      <c r="R100">
        <v>1371437</v>
      </c>
    </row>
    <row r="101" spans="1:18" x14ac:dyDescent="0.25">
      <c r="A101" s="170">
        <v>46059</v>
      </c>
      <c r="B101" s="116">
        <v>123.2</v>
      </c>
      <c r="C101" s="116">
        <v>122.25</v>
      </c>
      <c r="D101" s="116">
        <v>121</v>
      </c>
      <c r="E101" s="116">
        <v>122.65</v>
      </c>
      <c r="F101" s="116">
        <v>122.25</v>
      </c>
      <c r="G101">
        <v>120565</v>
      </c>
      <c r="H101" s="116"/>
      <c r="I101" s="116"/>
      <c r="L101" s="170">
        <v>46059</v>
      </c>
      <c r="M101" s="116">
        <v>122.13</v>
      </c>
      <c r="N101" s="116">
        <v>123.2</v>
      </c>
      <c r="O101" s="116">
        <v>120.6</v>
      </c>
      <c r="P101" s="116">
        <v>122.9</v>
      </c>
      <c r="Q101" s="116">
        <v>122.13</v>
      </c>
      <c r="R101">
        <v>1853820</v>
      </c>
    </row>
    <row r="102" spans="1:18" x14ac:dyDescent="0.25">
      <c r="A102" s="170">
        <v>46062</v>
      </c>
      <c r="B102" s="116">
        <v>126</v>
      </c>
      <c r="C102" s="116">
        <v>123.25</v>
      </c>
      <c r="D102" s="116">
        <v>122.5</v>
      </c>
      <c r="E102" s="116">
        <v>122.85</v>
      </c>
      <c r="F102" s="116">
        <v>123.25</v>
      </c>
      <c r="G102">
        <v>148161</v>
      </c>
      <c r="H102" s="116"/>
      <c r="I102" s="116"/>
      <c r="L102" s="170">
        <v>46062</v>
      </c>
      <c r="M102" s="116">
        <v>123.22</v>
      </c>
      <c r="N102" s="116">
        <v>125.99</v>
      </c>
      <c r="O102" s="116">
        <v>122.34</v>
      </c>
      <c r="P102" s="116">
        <v>123</v>
      </c>
      <c r="Q102" s="116">
        <v>123.22</v>
      </c>
      <c r="R102">
        <v>2203457</v>
      </c>
    </row>
    <row r="103" spans="1:18" x14ac:dyDescent="0.25">
      <c r="A103" s="170">
        <v>46063</v>
      </c>
      <c r="B103" s="116">
        <v>127.5</v>
      </c>
      <c r="C103" s="116">
        <v>126.95</v>
      </c>
      <c r="D103" s="116">
        <v>123.1</v>
      </c>
      <c r="E103" s="116">
        <v>123.1</v>
      </c>
      <c r="F103" s="116">
        <v>126.95</v>
      </c>
      <c r="G103">
        <v>374587</v>
      </c>
      <c r="H103" s="116"/>
      <c r="I103" s="116"/>
      <c r="L103" s="170">
        <v>46063</v>
      </c>
      <c r="M103" s="116">
        <v>127.12</v>
      </c>
      <c r="N103" s="116">
        <v>127.49</v>
      </c>
      <c r="O103" s="116">
        <v>123.26</v>
      </c>
      <c r="P103" s="116">
        <v>123.26</v>
      </c>
      <c r="Q103" s="116">
        <v>127.12</v>
      </c>
      <c r="R103">
        <v>3353115</v>
      </c>
    </row>
    <row r="104" spans="1:18" x14ac:dyDescent="0.25">
      <c r="A104" s="170">
        <v>46064</v>
      </c>
      <c r="B104" s="116">
        <v>127.95</v>
      </c>
      <c r="C104" s="116">
        <v>123.6</v>
      </c>
      <c r="D104" s="116">
        <v>123</v>
      </c>
      <c r="E104" s="116">
        <v>127.75</v>
      </c>
      <c r="F104" s="116">
        <v>123.6</v>
      </c>
      <c r="G104">
        <v>78630</v>
      </c>
      <c r="H104" s="116"/>
      <c r="I104" s="116"/>
      <c r="L104" s="170">
        <v>46064</v>
      </c>
      <c r="M104" s="116">
        <v>123.54</v>
      </c>
      <c r="N104" s="116">
        <v>127.95</v>
      </c>
      <c r="O104" s="116">
        <v>122.9</v>
      </c>
      <c r="P104" s="116">
        <v>127.75</v>
      </c>
      <c r="Q104" s="116">
        <v>123.54</v>
      </c>
      <c r="R104">
        <v>1506056</v>
      </c>
    </row>
    <row r="105" spans="1:18" x14ac:dyDescent="0.25">
      <c r="A105" s="170">
        <v>46065</v>
      </c>
      <c r="B105" s="116">
        <v>124</v>
      </c>
      <c r="C105" s="116">
        <v>121.15</v>
      </c>
      <c r="D105" s="116">
        <v>120.25</v>
      </c>
      <c r="E105" s="116">
        <v>122.35</v>
      </c>
      <c r="F105" s="116">
        <v>121.15</v>
      </c>
      <c r="G105">
        <v>157980</v>
      </c>
      <c r="H105" s="116"/>
      <c r="I105" s="116"/>
      <c r="L105" s="170">
        <v>46065</v>
      </c>
      <c r="M105" s="116">
        <v>121.08</v>
      </c>
      <c r="N105" s="116">
        <v>124.23</v>
      </c>
      <c r="O105" s="116">
        <v>120.21</v>
      </c>
      <c r="P105" s="116">
        <v>123</v>
      </c>
      <c r="Q105" s="116">
        <v>121.08</v>
      </c>
      <c r="R105">
        <v>2501043</v>
      </c>
    </row>
    <row r="106" spans="1:18" x14ac:dyDescent="0.25">
      <c r="A106" s="170">
        <v>46066</v>
      </c>
      <c r="B106" s="116">
        <v>122.55</v>
      </c>
      <c r="C106" s="116">
        <v>121.1</v>
      </c>
      <c r="D106" s="116">
        <v>118.25</v>
      </c>
      <c r="E106" s="116">
        <v>118.25</v>
      </c>
      <c r="F106" s="116">
        <v>121.1</v>
      </c>
      <c r="G106">
        <v>131529</v>
      </c>
      <c r="H106" s="116"/>
      <c r="I106" s="116"/>
      <c r="L106" s="170">
        <v>46066</v>
      </c>
      <c r="M106" s="116">
        <v>121.25</v>
      </c>
      <c r="N106" s="116">
        <v>122.89</v>
      </c>
      <c r="O106" s="116">
        <v>120.82</v>
      </c>
      <c r="P106" s="116">
        <v>121</v>
      </c>
      <c r="Q106" s="116">
        <v>121.25</v>
      </c>
      <c r="R106">
        <v>2561165</v>
      </c>
    </row>
    <row r="107" spans="1:18" x14ac:dyDescent="0.25">
      <c r="A107" s="170">
        <v>46069</v>
      </c>
      <c r="B107" s="116">
        <v>121.55</v>
      </c>
      <c r="C107" s="116">
        <v>117.15</v>
      </c>
      <c r="D107" s="116">
        <v>116.85</v>
      </c>
      <c r="E107" s="116">
        <v>121.05</v>
      </c>
      <c r="F107" s="116">
        <v>117.15</v>
      </c>
      <c r="G107">
        <v>73216</v>
      </c>
      <c r="H107" s="116"/>
      <c r="I107" s="116"/>
      <c r="L107" s="170">
        <v>46069</v>
      </c>
      <c r="M107" s="116">
        <v>117.17</v>
      </c>
      <c r="N107" s="116">
        <v>121.5</v>
      </c>
      <c r="O107" s="116">
        <v>116.82</v>
      </c>
      <c r="P107" s="116">
        <v>121</v>
      </c>
      <c r="Q107" s="116">
        <v>117.17</v>
      </c>
      <c r="R107">
        <v>2320165</v>
      </c>
    </row>
    <row r="108" spans="1:18" x14ac:dyDescent="0.25">
      <c r="A108" s="170">
        <v>46070</v>
      </c>
      <c r="B108" s="116">
        <v>120.35</v>
      </c>
      <c r="C108" s="116">
        <v>119.2</v>
      </c>
      <c r="D108" s="116">
        <v>116.8</v>
      </c>
      <c r="E108" s="116">
        <v>116.8</v>
      </c>
      <c r="F108" s="116">
        <v>119.2</v>
      </c>
      <c r="G108">
        <v>46087</v>
      </c>
      <c r="H108" s="116"/>
      <c r="I108" s="116"/>
      <c r="L108" s="170">
        <v>46070</v>
      </c>
      <c r="M108" s="116">
        <v>119.26</v>
      </c>
      <c r="N108" s="116">
        <v>120.49</v>
      </c>
      <c r="O108" s="116">
        <v>117</v>
      </c>
      <c r="P108" s="116">
        <v>117.5</v>
      </c>
      <c r="Q108" s="116">
        <v>119.26</v>
      </c>
      <c r="R108">
        <v>2859644</v>
      </c>
    </row>
    <row r="109" spans="1:18" x14ac:dyDescent="0.25">
      <c r="A109" s="170">
        <v>46071</v>
      </c>
      <c r="B109" s="116">
        <v>120.95</v>
      </c>
      <c r="C109" s="116">
        <v>120.1</v>
      </c>
      <c r="D109" s="116">
        <v>119.1</v>
      </c>
      <c r="E109" s="116">
        <v>120</v>
      </c>
      <c r="F109" s="116">
        <v>120.1</v>
      </c>
      <c r="G109">
        <v>56069</v>
      </c>
      <c r="H109" s="116"/>
      <c r="I109" s="116"/>
      <c r="L109" s="170">
        <v>46071</v>
      </c>
      <c r="M109" s="116">
        <v>119.91</v>
      </c>
      <c r="N109" s="116">
        <v>120.95</v>
      </c>
      <c r="O109" s="116">
        <v>119.14</v>
      </c>
      <c r="P109" s="116">
        <v>120</v>
      </c>
      <c r="Q109" s="116">
        <v>119.91</v>
      </c>
      <c r="R109">
        <v>1535267</v>
      </c>
    </row>
    <row r="110" spans="1:18" x14ac:dyDescent="0.25">
      <c r="A110" s="170">
        <v>46072</v>
      </c>
      <c r="B110" s="116">
        <v>120.6</v>
      </c>
      <c r="C110" s="116">
        <v>118.1</v>
      </c>
      <c r="D110" s="116">
        <v>117.5</v>
      </c>
      <c r="E110" s="116">
        <v>119.8</v>
      </c>
      <c r="F110" s="116">
        <v>118.1</v>
      </c>
      <c r="G110">
        <v>146942</v>
      </c>
      <c r="H110" s="116"/>
      <c r="I110" s="116"/>
      <c r="L110" s="170">
        <v>46072</v>
      </c>
      <c r="M110" s="116">
        <v>118.27</v>
      </c>
      <c r="N110" s="116">
        <v>120.55</v>
      </c>
      <c r="O110" s="116">
        <v>117.6</v>
      </c>
      <c r="P110" s="116">
        <v>120</v>
      </c>
      <c r="Q110" s="116">
        <v>118.27</v>
      </c>
      <c r="R110">
        <v>1566151</v>
      </c>
    </row>
    <row r="111" spans="1:18" x14ac:dyDescent="0.25">
      <c r="A111" s="170">
        <v>46073</v>
      </c>
      <c r="B111" s="116">
        <v>119.35</v>
      </c>
      <c r="C111" s="116">
        <v>117.7</v>
      </c>
      <c r="D111" s="116">
        <v>117.05</v>
      </c>
      <c r="E111" s="116">
        <v>117.9</v>
      </c>
      <c r="F111" s="116">
        <v>117.7</v>
      </c>
      <c r="G111">
        <v>57823</v>
      </c>
      <c r="H111" s="116"/>
      <c r="I111" s="116"/>
      <c r="L111" s="170">
        <v>46073</v>
      </c>
      <c r="M111" s="116">
        <v>117.77</v>
      </c>
      <c r="N111" s="116">
        <v>119.49</v>
      </c>
      <c r="O111" s="116">
        <v>117.02</v>
      </c>
      <c r="P111" s="116">
        <v>117.93</v>
      </c>
      <c r="Q111" s="116">
        <v>117.77</v>
      </c>
      <c r="R111">
        <v>1182301</v>
      </c>
    </row>
    <row r="112" spans="1:18" x14ac:dyDescent="0.25">
      <c r="A112" s="170">
        <v>46076</v>
      </c>
      <c r="B112" s="116">
        <v>119.8</v>
      </c>
      <c r="C112" s="116">
        <v>112.5</v>
      </c>
      <c r="D112" s="116">
        <v>111.75</v>
      </c>
      <c r="E112" s="116">
        <v>118.55</v>
      </c>
      <c r="F112" s="116">
        <v>112.5</v>
      </c>
      <c r="G112">
        <v>130793</v>
      </c>
      <c r="H112" s="116"/>
      <c r="I112" s="116"/>
      <c r="L112" s="170">
        <v>46076</v>
      </c>
      <c r="M112" s="116">
        <v>112.5</v>
      </c>
      <c r="N112" s="116">
        <v>119.79</v>
      </c>
      <c r="O112" s="116">
        <v>111.5</v>
      </c>
      <c r="P112" s="116">
        <v>119.19</v>
      </c>
      <c r="Q112" s="116">
        <v>112.5</v>
      </c>
      <c r="R112">
        <v>3071841</v>
      </c>
    </row>
    <row r="113" spans="1:18" x14ac:dyDescent="0.25">
      <c r="A113" s="170">
        <v>46077</v>
      </c>
      <c r="B113" s="116">
        <v>113</v>
      </c>
      <c r="C113" s="116">
        <v>109.3</v>
      </c>
      <c r="D113" s="116">
        <v>108.05</v>
      </c>
      <c r="E113" s="116">
        <v>112.5</v>
      </c>
      <c r="F113" s="116">
        <v>109.3</v>
      </c>
      <c r="G113">
        <v>198275</v>
      </c>
      <c r="H113" s="116"/>
      <c r="I113" s="116"/>
      <c r="L113" s="170">
        <v>46077</v>
      </c>
      <c r="M113" s="116">
        <v>109.21</v>
      </c>
      <c r="N113" s="116">
        <v>112.9</v>
      </c>
      <c r="O113" s="116">
        <v>108.1</v>
      </c>
      <c r="P113" s="116">
        <v>112.5</v>
      </c>
      <c r="Q113" s="116">
        <v>109.21</v>
      </c>
      <c r="R113">
        <v>3572275</v>
      </c>
    </row>
    <row r="114" spans="1:18" x14ac:dyDescent="0.25">
      <c r="A114" s="170">
        <v>46078</v>
      </c>
      <c r="B114" s="116">
        <v>112</v>
      </c>
      <c r="C114" s="116">
        <v>107.95</v>
      </c>
      <c r="D114" s="116">
        <v>107.5</v>
      </c>
      <c r="E114" s="116">
        <v>108.8</v>
      </c>
      <c r="F114" s="116">
        <v>107.95</v>
      </c>
      <c r="G114">
        <v>228268</v>
      </c>
      <c r="H114" s="116"/>
      <c r="I114" s="116"/>
      <c r="L114" s="170">
        <v>46078</v>
      </c>
      <c r="M114" s="116">
        <v>107.92</v>
      </c>
      <c r="N114" s="116">
        <v>112.09</v>
      </c>
      <c r="O114" s="116">
        <v>107.5</v>
      </c>
      <c r="P114" s="116">
        <v>109.21</v>
      </c>
      <c r="Q114" s="116">
        <v>107.92</v>
      </c>
      <c r="R114">
        <v>3307877</v>
      </c>
    </row>
    <row r="115" spans="1:18" x14ac:dyDescent="0.25">
      <c r="A115" s="170">
        <v>46079</v>
      </c>
      <c r="B115" s="116">
        <v>109.6</v>
      </c>
      <c r="C115" s="116">
        <v>107.9</v>
      </c>
      <c r="D115" s="116">
        <v>106.5</v>
      </c>
      <c r="E115" s="116">
        <v>107.15</v>
      </c>
      <c r="F115" s="116">
        <v>107.9</v>
      </c>
      <c r="G115">
        <v>798582</v>
      </c>
      <c r="H115" s="116"/>
      <c r="I115" s="116"/>
      <c r="L115" s="170">
        <v>46079</v>
      </c>
      <c r="M115" s="116">
        <v>108.07</v>
      </c>
      <c r="N115" s="116">
        <v>109.79</v>
      </c>
      <c r="O115" s="116">
        <v>106.5</v>
      </c>
      <c r="P115" s="116">
        <v>108</v>
      </c>
      <c r="Q115" s="116">
        <v>108.07</v>
      </c>
      <c r="R115">
        <v>12437473</v>
      </c>
    </row>
    <row r="116" spans="1:18" x14ac:dyDescent="0.25">
      <c r="A116" s="170">
        <v>46080</v>
      </c>
      <c r="B116" s="116">
        <v>110.45</v>
      </c>
      <c r="C116" s="116">
        <v>107.15</v>
      </c>
      <c r="D116" s="116">
        <v>106.2</v>
      </c>
      <c r="E116" s="116">
        <v>108.3</v>
      </c>
      <c r="F116" s="116">
        <v>107.15</v>
      </c>
      <c r="G116">
        <v>488547</v>
      </c>
      <c r="H116" s="116"/>
      <c r="I116" s="116"/>
      <c r="L116" s="170">
        <v>46080</v>
      </c>
      <c r="M116" s="116">
        <v>107.1</v>
      </c>
      <c r="N116" s="116">
        <v>110.39</v>
      </c>
      <c r="O116" s="116">
        <v>106.07</v>
      </c>
      <c r="P116" s="116">
        <v>108</v>
      </c>
      <c r="Q116" s="116">
        <v>107.1</v>
      </c>
      <c r="R116">
        <v>5518405</v>
      </c>
    </row>
    <row r="117" spans="1:18" x14ac:dyDescent="0.25">
      <c r="A117" s="170">
        <v>46083</v>
      </c>
      <c r="B117" s="116">
        <v>106.5</v>
      </c>
      <c r="C117" s="116">
        <v>103.4</v>
      </c>
      <c r="D117" s="116">
        <v>96.35</v>
      </c>
      <c r="E117" s="116">
        <v>96.35</v>
      </c>
      <c r="F117" s="116">
        <v>103.4</v>
      </c>
      <c r="G117">
        <v>679782</v>
      </c>
      <c r="H117" s="116"/>
      <c r="I117" s="116"/>
      <c r="L117" s="170">
        <v>46083</v>
      </c>
      <c r="M117" s="116">
        <v>103.03</v>
      </c>
      <c r="N117" s="116">
        <v>106.49</v>
      </c>
      <c r="O117" s="116">
        <v>102</v>
      </c>
      <c r="P117" s="116">
        <v>103.82</v>
      </c>
      <c r="Q117" s="116">
        <v>103.03</v>
      </c>
      <c r="R117">
        <v>6589978</v>
      </c>
    </row>
    <row r="118" spans="1:18" x14ac:dyDescent="0.25">
      <c r="A118" s="170">
        <v>46085</v>
      </c>
      <c r="B118" s="116">
        <v>107.35</v>
      </c>
      <c r="C118" s="116">
        <v>106.55</v>
      </c>
      <c r="D118" s="116">
        <v>100.75</v>
      </c>
      <c r="E118" s="116">
        <v>100.75</v>
      </c>
      <c r="F118" s="116">
        <v>106.55</v>
      </c>
      <c r="G118">
        <v>391297</v>
      </c>
      <c r="H118" s="116"/>
      <c r="I118" s="116"/>
      <c r="L118" s="170">
        <v>46085</v>
      </c>
      <c r="M118" s="116">
        <v>106.56</v>
      </c>
      <c r="N118" s="116">
        <v>107.34</v>
      </c>
      <c r="O118" s="116">
        <v>100.7</v>
      </c>
      <c r="P118" s="116">
        <v>100.7</v>
      </c>
      <c r="Q118" s="116">
        <v>106.56</v>
      </c>
      <c r="R118">
        <v>7865278</v>
      </c>
    </row>
    <row r="119" spans="1:18" x14ac:dyDescent="0.25">
      <c r="A119" s="170">
        <v>46086</v>
      </c>
      <c r="B119" s="116">
        <v>108.65</v>
      </c>
      <c r="C119" s="116">
        <v>107.95</v>
      </c>
      <c r="D119" s="116">
        <v>104.4</v>
      </c>
      <c r="E119" s="116">
        <v>107.75</v>
      </c>
      <c r="F119" s="116">
        <v>107.95</v>
      </c>
      <c r="G119">
        <v>118173</v>
      </c>
      <c r="H119" s="116"/>
      <c r="I119" s="116"/>
      <c r="L119" s="170">
        <v>46086</v>
      </c>
      <c r="M119" s="116">
        <v>108.1</v>
      </c>
      <c r="N119" s="116">
        <v>108.9</v>
      </c>
      <c r="O119" s="116">
        <v>104.5</v>
      </c>
      <c r="P119" s="116">
        <v>107.26</v>
      </c>
      <c r="Q119" s="116">
        <v>108.1</v>
      </c>
      <c r="R119">
        <v>2657956</v>
      </c>
    </row>
    <row r="120" spans="1:18" x14ac:dyDescent="0.25">
      <c r="A120" s="170">
        <v>46087</v>
      </c>
      <c r="B120" s="116">
        <v>108.15</v>
      </c>
      <c r="C120" s="116">
        <v>106.1</v>
      </c>
      <c r="D120" s="116">
        <v>105.1</v>
      </c>
      <c r="E120" s="116">
        <v>106.6</v>
      </c>
      <c r="F120" s="116">
        <v>106.1</v>
      </c>
      <c r="G120">
        <v>463311</v>
      </c>
      <c r="H120" s="116"/>
      <c r="I120" s="116"/>
      <c r="L120" s="170">
        <v>46087</v>
      </c>
      <c r="M120" s="116">
        <v>106.08</v>
      </c>
      <c r="N120" s="116">
        <v>108.2</v>
      </c>
      <c r="O120" s="116">
        <v>105</v>
      </c>
      <c r="P120" s="116">
        <v>107</v>
      </c>
      <c r="Q120" s="116">
        <v>106.08</v>
      </c>
      <c r="R120">
        <v>1098984</v>
      </c>
    </row>
    <row r="121" spans="1:18" x14ac:dyDescent="0.25">
      <c r="A121" s="170">
        <v>46090</v>
      </c>
      <c r="B121" s="116">
        <v>107.8</v>
      </c>
      <c r="C121" s="116">
        <v>107.25</v>
      </c>
      <c r="D121" s="116">
        <v>102.85</v>
      </c>
      <c r="E121" s="116">
        <v>104.55</v>
      </c>
      <c r="F121" s="116">
        <v>107.25</v>
      </c>
      <c r="G121">
        <v>315619</v>
      </c>
      <c r="H121" s="116"/>
      <c r="I121" s="116"/>
      <c r="L121" s="170">
        <v>46090</v>
      </c>
      <c r="M121" s="116">
        <v>107.41</v>
      </c>
      <c r="N121" s="116">
        <v>108</v>
      </c>
      <c r="O121" s="116">
        <v>102.75</v>
      </c>
      <c r="P121" s="116">
        <v>103.99</v>
      </c>
      <c r="Q121" s="116">
        <v>107.41</v>
      </c>
      <c r="R121">
        <v>2384957</v>
      </c>
    </row>
    <row r="122" spans="1:18" x14ac:dyDescent="0.25">
      <c r="A122" s="170">
        <v>46091</v>
      </c>
      <c r="B122" s="116">
        <v>112.95</v>
      </c>
      <c r="C122" s="116">
        <v>109.75</v>
      </c>
      <c r="D122" s="116">
        <v>108</v>
      </c>
      <c r="E122" s="116">
        <v>108</v>
      </c>
      <c r="F122" s="116">
        <v>109.75</v>
      </c>
      <c r="G122">
        <v>188131</v>
      </c>
      <c r="H122" s="116"/>
      <c r="I122" s="116"/>
      <c r="L122" s="170">
        <v>46091</v>
      </c>
      <c r="M122" s="116">
        <v>109.67</v>
      </c>
      <c r="N122" s="116">
        <v>113</v>
      </c>
      <c r="O122" s="116">
        <v>108.08</v>
      </c>
      <c r="P122" s="116">
        <v>108.49</v>
      </c>
      <c r="Q122" s="116">
        <v>109.67</v>
      </c>
      <c r="R122">
        <v>3892137</v>
      </c>
    </row>
    <row r="123" spans="1:18" x14ac:dyDescent="0.25">
      <c r="A123" s="170">
        <v>46092</v>
      </c>
      <c r="B123" s="116">
        <v>111.9</v>
      </c>
      <c r="C123" s="116">
        <v>111.1</v>
      </c>
      <c r="D123" s="116">
        <v>109.4</v>
      </c>
      <c r="E123" s="116">
        <v>110.15</v>
      </c>
      <c r="F123" s="116">
        <v>111.1</v>
      </c>
      <c r="G123">
        <v>121093</v>
      </c>
      <c r="H123" s="116"/>
      <c r="I123" s="116"/>
      <c r="L123" s="170">
        <v>46092</v>
      </c>
      <c r="M123" s="116">
        <v>111.31</v>
      </c>
      <c r="N123" s="116">
        <v>112</v>
      </c>
      <c r="O123" s="116">
        <v>109.36</v>
      </c>
      <c r="P123" s="116">
        <v>110.5</v>
      </c>
      <c r="Q123" s="116">
        <v>111.31</v>
      </c>
      <c r="R123">
        <v>2001586</v>
      </c>
    </row>
    <row r="124" spans="1:18" x14ac:dyDescent="0.25">
      <c r="A124" s="170">
        <v>46093</v>
      </c>
      <c r="B124" s="116">
        <v>115.65</v>
      </c>
      <c r="C124" s="116">
        <v>114.05</v>
      </c>
      <c r="D124" s="116">
        <v>108.65</v>
      </c>
      <c r="E124" s="116">
        <v>111.1</v>
      </c>
      <c r="F124" s="116">
        <v>114.05</v>
      </c>
      <c r="G124">
        <v>226832</v>
      </c>
      <c r="H124" s="116"/>
      <c r="I124" s="116"/>
      <c r="L124" s="170">
        <v>46093</v>
      </c>
      <c r="M124" s="116">
        <v>114.4</v>
      </c>
      <c r="N124" s="116">
        <v>115.7</v>
      </c>
      <c r="O124" s="116">
        <v>108.55</v>
      </c>
      <c r="P124" s="116">
        <v>110.84</v>
      </c>
      <c r="Q124" s="116">
        <v>114.4</v>
      </c>
      <c r="R124">
        <v>3445610</v>
      </c>
    </row>
    <row r="125" spans="1:18" x14ac:dyDescent="0.25">
      <c r="A125" s="170">
        <v>46094</v>
      </c>
      <c r="B125" s="116">
        <v>114.15</v>
      </c>
      <c r="C125" s="116">
        <v>110.05</v>
      </c>
      <c r="D125" s="116">
        <v>109.55</v>
      </c>
      <c r="E125" s="116">
        <v>114.15</v>
      </c>
      <c r="F125" s="116">
        <v>110.05</v>
      </c>
      <c r="G125">
        <v>104601</v>
      </c>
      <c r="H125" s="116"/>
      <c r="I125" s="116"/>
      <c r="L125" s="170">
        <v>46094</v>
      </c>
      <c r="M125" s="116">
        <v>110.13</v>
      </c>
      <c r="N125" s="116">
        <v>114.38</v>
      </c>
      <c r="O125" s="116">
        <v>109.53</v>
      </c>
      <c r="P125" s="116">
        <v>114</v>
      </c>
      <c r="Q125" s="116">
        <v>110.13</v>
      </c>
      <c r="R125">
        <v>1903405</v>
      </c>
    </row>
    <row r="126" spans="1:18" x14ac:dyDescent="0.25">
      <c r="A126" s="170">
        <v>46097</v>
      </c>
      <c r="B126" s="116">
        <v>113.95</v>
      </c>
      <c r="C126" s="116">
        <v>113.35</v>
      </c>
      <c r="D126" s="116">
        <v>108</v>
      </c>
      <c r="E126" s="116">
        <v>110.2</v>
      </c>
      <c r="F126" s="116">
        <v>113.35</v>
      </c>
      <c r="G126">
        <v>130801</v>
      </c>
      <c r="H126" s="116"/>
      <c r="I126" s="116"/>
      <c r="L126" s="170">
        <v>46097</v>
      </c>
      <c r="M126" s="116">
        <v>113.24</v>
      </c>
      <c r="N126" s="116">
        <v>114.01</v>
      </c>
      <c r="O126" s="116">
        <v>108.06</v>
      </c>
      <c r="P126" s="116">
        <v>110.49</v>
      </c>
      <c r="Q126" s="116">
        <v>113.24</v>
      </c>
      <c r="R126">
        <v>2849629</v>
      </c>
    </row>
    <row r="127" spans="1:18" x14ac:dyDescent="0.25">
      <c r="A127" s="170">
        <v>46098</v>
      </c>
      <c r="B127" s="116">
        <v>114.9</v>
      </c>
      <c r="C127" s="116">
        <v>109.85</v>
      </c>
      <c r="D127" s="116">
        <v>107.3</v>
      </c>
      <c r="E127" s="116">
        <v>112.15</v>
      </c>
      <c r="F127" s="116">
        <v>109.85</v>
      </c>
      <c r="G127">
        <v>45424605</v>
      </c>
      <c r="H127" s="116"/>
      <c r="I127" s="116"/>
      <c r="L127" s="170">
        <v>46098</v>
      </c>
      <c r="M127" s="116">
        <v>110.11</v>
      </c>
      <c r="N127" s="116">
        <v>114.7</v>
      </c>
      <c r="O127" s="116">
        <v>107.22</v>
      </c>
      <c r="P127" s="116">
        <v>112.9</v>
      </c>
      <c r="Q127" s="116">
        <v>110.11</v>
      </c>
      <c r="R127">
        <v>18996803</v>
      </c>
    </row>
    <row r="128" spans="1:18" x14ac:dyDescent="0.25">
      <c r="A128" s="170">
        <v>46099</v>
      </c>
      <c r="B128" s="116">
        <v>131.6</v>
      </c>
      <c r="C128" s="116">
        <v>121.2</v>
      </c>
      <c r="D128" s="116">
        <v>112.8</v>
      </c>
      <c r="E128" s="116">
        <v>113.25</v>
      </c>
      <c r="F128" s="116">
        <v>121.2</v>
      </c>
      <c r="G128">
        <v>6657562</v>
      </c>
      <c r="H128" s="116"/>
      <c r="I128" s="116"/>
      <c r="L128" s="170">
        <v>46099</v>
      </c>
      <c r="M128" s="116">
        <v>121.17</v>
      </c>
      <c r="N128" s="116">
        <v>131.44</v>
      </c>
      <c r="O128" s="116">
        <v>112.51</v>
      </c>
      <c r="P128" s="116">
        <v>112.9</v>
      </c>
      <c r="Q128" s="116">
        <v>121.17</v>
      </c>
      <c r="R128">
        <v>139325070</v>
      </c>
    </row>
    <row r="129" spans="1:18" x14ac:dyDescent="0.25">
      <c r="A129" s="170">
        <v>46100</v>
      </c>
      <c r="B129" s="116">
        <v>120.35</v>
      </c>
      <c r="C129" s="116">
        <v>113.85</v>
      </c>
      <c r="D129" s="116">
        <v>113.1</v>
      </c>
      <c r="E129" s="116">
        <v>118.05</v>
      </c>
      <c r="F129" s="116">
        <v>113.85</v>
      </c>
      <c r="G129">
        <v>1640609</v>
      </c>
      <c r="H129" s="116"/>
      <c r="I129" s="116"/>
      <c r="L129" s="170">
        <v>46100</v>
      </c>
      <c r="M129" s="116">
        <v>113.93</v>
      </c>
      <c r="N129" s="116">
        <v>120.43</v>
      </c>
      <c r="O129" s="116">
        <v>113.3</v>
      </c>
      <c r="P129" s="116">
        <v>118.48</v>
      </c>
      <c r="Q129" s="116">
        <v>113.93</v>
      </c>
      <c r="R129">
        <v>30229600</v>
      </c>
    </row>
    <row r="130" spans="1:18" x14ac:dyDescent="0.25">
      <c r="A130" s="170">
        <v>46101</v>
      </c>
      <c r="B130" s="116">
        <v>117.65</v>
      </c>
      <c r="C130" s="116">
        <v>114</v>
      </c>
      <c r="D130" s="116">
        <v>113.65</v>
      </c>
      <c r="E130" s="116">
        <v>115.75</v>
      </c>
      <c r="F130" s="116">
        <v>114</v>
      </c>
      <c r="G130">
        <v>551283</v>
      </c>
      <c r="H130" s="116"/>
      <c r="I130" s="116"/>
      <c r="L130" s="170">
        <v>46101</v>
      </c>
      <c r="M130" s="116">
        <v>114.12</v>
      </c>
      <c r="N130" s="116">
        <v>117.6</v>
      </c>
      <c r="O130" s="116">
        <v>113.68</v>
      </c>
      <c r="P130" s="116">
        <v>115.4</v>
      </c>
      <c r="Q130" s="116">
        <v>114.12</v>
      </c>
      <c r="R130">
        <v>11880742</v>
      </c>
    </row>
    <row r="131" spans="1:18" x14ac:dyDescent="0.25">
      <c r="A131" s="170">
        <v>46104</v>
      </c>
      <c r="B131" s="116">
        <v>113.25</v>
      </c>
      <c r="C131" s="116">
        <v>110.1</v>
      </c>
      <c r="D131" s="116">
        <v>109.6</v>
      </c>
      <c r="E131" s="116">
        <v>111.3</v>
      </c>
      <c r="F131" s="116">
        <v>110.1</v>
      </c>
      <c r="G131">
        <v>11967665</v>
      </c>
      <c r="H131" s="116"/>
      <c r="I131" s="116"/>
      <c r="L131" s="170">
        <v>46104</v>
      </c>
      <c r="M131" s="116">
        <v>110.13</v>
      </c>
      <c r="N131" s="116">
        <v>113.23</v>
      </c>
      <c r="O131" s="116">
        <v>109.23</v>
      </c>
      <c r="P131" s="116">
        <v>111.99</v>
      </c>
      <c r="Q131" s="116">
        <v>110.13</v>
      </c>
      <c r="R131">
        <v>20753224</v>
      </c>
    </row>
    <row r="132" spans="1:18" x14ac:dyDescent="0.25">
      <c r="A132" s="170">
        <v>46105</v>
      </c>
      <c r="B132" s="116">
        <v>115.35</v>
      </c>
      <c r="C132" s="116">
        <v>114.15</v>
      </c>
      <c r="D132" s="116">
        <v>110.5</v>
      </c>
      <c r="E132" s="116">
        <v>112.6</v>
      </c>
      <c r="F132" s="116">
        <v>114.15</v>
      </c>
      <c r="G132">
        <v>429553</v>
      </c>
      <c r="H132" s="116"/>
      <c r="I132" s="116"/>
      <c r="L132" s="170">
        <v>46105</v>
      </c>
      <c r="M132" s="116">
        <v>114.2</v>
      </c>
      <c r="N132" s="116">
        <v>115.35</v>
      </c>
      <c r="O132" s="116">
        <v>110.5</v>
      </c>
      <c r="P132" s="116">
        <v>112.7</v>
      </c>
      <c r="Q132" s="116">
        <v>114.2</v>
      </c>
      <c r="R132">
        <v>5726231</v>
      </c>
    </row>
    <row r="133" spans="1:18" x14ac:dyDescent="0.25">
      <c r="A133" s="170">
        <v>46106</v>
      </c>
      <c r="B133" s="116">
        <v>116.3</v>
      </c>
      <c r="C133" s="116">
        <v>114.05</v>
      </c>
      <c r="D133" s="116">
        <v>113</v>
      </c>
      <c r="E133" s="116">
        <v>116.3</v>
      </c>
      <c r="F133" s="116">
        <v>114.05</v>
      </c>
      <c r="G133">
        <v>250411</v>
      </c>
      <c r="H133" s="116"/>
      <c r="I133" s="116"/>
      <c r="L133" s="170">
        <v>46106</v>
      </c>
      <c r="M133" s="116">
        <v>114.08</v>
      </c>
      <c r="N133" s="116">
        <v>116.15</v>
      </c>
      <c r="O133" s="116">
        <v>112.99</v>
      </c>
      <c r="P133" s="116">
        <v>116.15</v>
      </c>
      <c r="Q133" s="116">
        <v>114.08</v>
      </c>
      <c r="R133">
        <v>5803335</v>
      </c>
    </row>
    <row r="134" spans="1:18" x14ac:dyDescent="0.25">
      <c r="A134" s="170">
        <v>46108</v>
      </c>
      <c r="B134" s="116">
        <v>116.45</v>
      </c>
      <c r="C134" s="116">
        <v>114.5</v>
      </c>
      <c r="D134" s="116">
        <v>112.25</v>
      </c>
      <c r="E134" s="116">
        <v>115.8</v>
      </c>
      <c r="F134" s="116">
        <v>114.5</v>
      </c>
      <c r="G134">
        <v>627468</v>
      </c>
      <c r="H134" s="116"/>
      <c r="I134" s="116"/>
      <c r="L134" s="170">
        <v>46108</v>
      </c>
      <c r="M134" s="116">
        <v>114.56</v>
      </c>
      <c r="N134" s="116">
        <v>116.55</v>
      </c>
      <c r="O134" s="116">
        <v>112.17</v>
      </c>
      <c r="P134" s="116">
        <v>112.3</v>
      </c>
      <c r="Q134" s="116">
        <v>114.56</v>
      </c>
      <c r="R134">
        <v>7789828</v>
      </c>
    </row>
    <row r="135" spans="1:18" x14ac:dyDescent="0.25">
      <c r="A135" s="170">
        <v>46111</v>
      </c>
      <c r="B135" s="116">
        <v>123.1</v>
      </c>
      <c r="C135" s="116">
        <v>118.5</v>
      </c>
      <c r="D135" s="116">
        <v>111.5</v>
      </c>
      <c r="E135" s="116">
        <v>113.15</v>
      </c>
      <c r="F135" s="116">
        <v>118.5</v>
      </c>
      <c r="G135">
        <v>1315902</v>
      </c>
      <c r="H135" s="116"/>
      <c r="I135" s="116"/>
      <c r="L135" s="170">
        <v>46111</v>
      </c>
      <c r="M135" s="116">
        <v>118.86</v>
      </c>
      <c r="N135" s="116">
        <v>123.29</v>
      </c>
      <c r="O135" s="116">
        <v>111.5</v>
      </c>
      <c r="P135" s="116">
        <v>114</v>
      </c>
      <c r="Q135" s="116">
        <v>118.86</v>
      </c>
      <c r="R135">
        <v>30536917</v>
      </c>
    </row>
    <row r="136" spans="1:18" x14ac:dyDescent="0.25">
      <c r="A136" s="170">
        <v>46113</v>
      </c>
      <c r="B136" s="116">
        <v>125.35</v>
      </c>
      <c r="C136" s="116">
        <v>123.85</v>
      </c>
      <c r="D136" s="116">
        <v>121.4</v>
      </c>
      <c r="E136" s="116">
        <v>123.25</v>
      </c>
      <c r="F136" s="116">
        <v>123.85</v>
      </c>
      <c r="G136">
        <v>379753</v>
      </c>
      <c r="H136" s="116"/>
      <c r="I136" s="116"/>
      <c r="L136" s="170">
        <v>46113</v>
      </c>
      <c r="M136" s="116">
        <v>123.79</v>
      </c>
      <c r="N136" s="116">
        <v>125.34</v>
      </c>
      <c r="O136" s="116">
        <v>121.24</v>
      </c>
      <c r="P136" s="116">
        <v>121.83</v>
      </c>
      <c r="Q136" s="116">
        <v>123.79</v>
      </c>
      <c r="R136">
        <v>5992568</v>
      </c>
    </row>
    <row r="137" spans="1:18" x14ac:dyDescent="0.25">
      <c r="A137" s="170">
        <v>46114</v>
      </c>
      <c r="B137" s="116">
        <v>122.4</v>
      </c>
      <c r="C137" s="116">
        <v>121.7</v>
      </c>
      <c r="D137" s="116">
        <v>119.6</v>
      </c>
      <c r="E137" s="116">
        <v>120.3</v>
      </c>
      <c r="F137" s="116">
        <v>121.7</v>
      </c>
      <c r="G137">
        <v>205015</v>
      </c>
      <c r="H137" s="116"/>
      <c r="I137" s="116"/>
      <c r="L137" s="170">
        <v>46114</v>
      </c>
      <c r="M137" s="116">
        <v>121.8</v>
      </c>
      <c r="N137" s="116">
        <v>122.36</v>
      </c>
      <c r="O137" s="116">
        <v>119.74</v>
      </c>
      <c r="P137" s="116">
        <v>120.84</v>
      </c>
      <c r="Q137" s="116">
        <v>121.8</v>
      </c>
      <c r="R137">
        <v>2566178</v>
      </c>
    </row>
    <row r="138" spans="1:18" x14ac:dyDescent="0.25">
      <c r="A138" s="170">
        <v>46118</v>
      </c>
      <c r="B138" s="116">
        <v>125.3</v>
      </c>
      <c r="C138" s="116">
        <v>123.5</v>
      </c>
      <c r="D138" s="116">
        <v>121.2</v>
      </c>
      <c r="E138" s="116">
        <v>123.6</v>
      </c>
      <c r="F138" s="116">
        <v>123.5</v>
      </c>
      <c r="G138">
        <v>242558</v>
      </c>
      <c r="H138" s="116"/>
      <c r="I138" s="116"/>
      <c r="L138" s="170">
        <v>46118</v>
      </c>
      <c r="M138" s="116">
        <v>123.4</v>
      </c>
      <c r="N138" s="116">
        <v>125.43</v>
      </c>
      <c r="O138" s="116">
        <v>121.12</v>
      </c>
      <c r="P138" s="116">
        <v>122.85</v>
      </c>
      <c r="Q138" s="116">
        <v>123.4</v>
      </c>
      <c r="R138">
        <v>3345446</v>
      </c>
    </row>
    <row r="139" spans="1:18" x14ac:dyDescent="0.25">
      <c r="A139" s="170">
        <v>46119</v>
      </c>
      <c r="B139" s="116">
        <v>125.35</v>
      </c>
      <c r="C139" s="116">
        <v>122.2</v>
      </c>
      <c r="D139" s="116">
        <v>121.2</v>
      </c>
      <c r="E139" s="116">
        <v>123.4</v>
      </c>
      <c r="F139" s="116">
        <v>122.2</v>
      </c>
      <c r="G139">
        <v>219446</v>
      </c>
      <c r="H139" s="116"/>
      <c r="I139" s="116"/>
      <c r="L139" s="170">
        <v>46119</v>
      </c>
      <c r="M139" s="116">
        <v>122.16</v>
      </c>
      <c r="N139" s="116">
        <v>125.45</v>
      </c>
      <c r="O139" s="116">
        <v>121.2</v>
      </c>
      <c r="P139" s="116">
        <v>123</v>
      </c>
      <c r="Q139" s="116">
        <v>122.16</v>
      </c>
      <c r="R139">
        <v>2712143</v>
      </c>
    </row>
    <row r="140" spans="1:18" x14ac:dyDescent="0.25">
      <c r="A140" s="170">
        <v>46120</v>
      </c>
      <c r="B140" s="116">
        <v>127.8</v>
      </c>
      <c r="C140" s="116">
        <v>124.55</v>
      </c>
      <c r="D140" s="116">
        <v>124.2</v>
      </c>
      <c r="E140" s="116">
        <v>126.05</v>
      </c>
      <c r="F140" s="116">
        <v>124.55</v>
      </c>
      <c r="G140">
        <v>362346</v>
      </c>
      <c r="H140" s="116"/>
      <c r="I140" s="116"/>
      <c r="L140" s="170">
        <v>46120</v>
      </c>
      <c r="M140" s="116">
        <v>124.56</v>
      </c>
      <c r="N140" s="116">
        <v>128</v>
      </c>
      <c r="O140" s="116">
        <v>124.15</v>
      </c>
      <c r="P140" s="116">
        <v>127.5</v>
      </c>
      <c r="Q140" s="116">
        <v>124.56</v>
      </c>
      <c r="R140">
        <v>3430120</v>
      </c>
    </row>
    <row r="141" spans="1:18" x14ac:dyDescent="0.25">
      <c r="A141" s="170">
        <v>46121</v>
      </c>
      <c r="B141" s="116">
        <v>128.05000000000001</v>
      </c>
      <c r="C141" s="116">
        <v>127.35</v>
      </c>
      <c r="D141" s="116">
        <v>123</v>
      </c>
      <c r="E141" s="116">
        <v>126.25</v>
      </c>
      <c r="F141" s="116">
        <v>127.35</v>
      </c>
      <c r="G141">
        <v>217024</v>
      </c>
      <c r="H141" s="116"/>
      <c r="I141" s="116"/>
      <c r="L141" s="170">
        <v>46121</v>
      </c>
      <c r="M141" s="116">
        <v>127.14</v>
      </c>
      <c r="N141" s="116">
        <v>128.12</v>
      </c>
      <c r="O141" s="116">
        <v>122.91</v>
      </c>
      <c r="P141" s="116">
        <v>125</v>
      </c>
      <c r="Q141" s="116">
        <v>127.14</v>
      </c>
      <c r="R141">
        <v>4506548</v>
      </c>
    </row>
    <row r="142" spans="1:18" x14ac:dyDescent="0.25">
      <c r="A142" s="170">
        <v>46122</v>
      </c>
      <c r="B142" s="116">
        <v>136.85</v>
      </c>
      <c r="C142" s="116">
        <v>134.25</v>
      </c>
      <c r="D142" s="116">
        <v>128.55000000000001</v>
      </c>
      <c r="E142" s="116">
        <v>128.69999999999999</v>
      </c>
      <c r="F142" s="116">
        <v>134.25</v>
      </c>
      <c r="G142">
        <v>908071</v>
      </c>
      <c r="H142" s="116"/>
      <c r="I142" s="116"/>
      <c r="L142" s="170">
        <v>46122</v>
      </c>
      <c r="M142" s="116">
        <v>134.52000000000001</v>
      </c>
      <c r="N142" s="116">
        <v>136.9</v>
      </c>
      <c r="O142" s="116">
        <v>128.5</v>
      </c>
      <c r="P142" s="116">
        <v>128.9</v>
      </c>
      <c r="Q142" s="116">
        <v>134.52000000000001</v>
      </c>
      <c r="R142">
        <v>15327362</v>
      </c>
    </row>
    <row r="143" spans="1:18" x14ac:dyDescent="0.25">
      <c r="A143" s="170">
        <v>46125</v>
      </c>
      <c r="B143" s="116">
        <v>136.5</v>
      </c>
      <c r="C143" s="116">
        <v>135.25</v>
      </c>
      <c r="D143" s="116">
        <v>130.15</v>
      </c>
      <c r="E143" s="116">
        <v>131.5</v>
      </c>
      <c r="F143" s="116">
        <v>135.25</v>
      </c>
      <c r="G143">
        <v>277605</v>
      </c>
      <c r="H143" s="116"/>
      <c r="I143" s="116"/>
      <c r="L143" s="170">
        <v>46125</v>
      </c>
      <c r="M143" s="116">
        <v>135.15</v>
      </c>
      <c r="N143" s="116">
        <v>136.75</v>
      </c>
      <c r="O143" s="116">
        <v>130.62</v>
      </c>
      <c r="P143" s="116">
        <v>130.91</v>
      </c>
      <c r="Q143" s="116">
        <v>135.15</v>
      </c>
      <c r="R143">
        <v>7264353</v>
      </c>
    </row>
    <row r="144" spans="1:18" x14ac:dyDescent="0.25">
      <c r="A144" s="170">
        <v>46127</v>
      </c>
      <c r="B144" s="116">
        <v>138.05000000000001</v>
      </c>
      <c r="C144" s="116">
        <v>136.25</v>
      </c>
      <c r="D144" s="116">
        <v>135.1</v>
      </c>
      <c r="E144" s="116">
        <v>137.6</v>
      </c>
      <c r="F144" s="116">
        <v>136.25</v>
      </c>
      <c r="G144">
        <v>369573</v>
      </c>
      <c r="H144" s="116"/>
      <c r="I144" s="116"/>
      <c r="L144" s="170">
        <v>46127</v>
      </c>
      <c r="M144" s="116">
        <v>136.19999999999999</v>
      </c>
      <c r="N144" s="116">
        <v>138.1</v>
      </c>
      <c r="O144" s="116">
        <v>135.1</v>
      </c>
      <c r="P144" s="116">
        <v>137.99</v>
      </c>
      <c r="Q144" s="116">
        <v>136.19999999999999</v>
      </c>
      <c r="R144">
        <v>4312510</v>
      </c>
    </row>
    <row r="145" spans="1:18" x14ac:dyDescent="0.25">
      <c r="A145" s="170">
        <v>46128</v>
      </c>
      <c r="B145" s="116">
        <v>138.05000000000001</v>
      </c>
      <c r="C145" s="116">
        <v>134.15</v>
      </c>
      <c r="D145" s="116">
        <v>132.44999999999999</v>
      </c>
      <c r="E145" s="116">
        <v>137.19999999999999</v>
      </c>
      <c r="F145" s="116">
        <v>134.15</v>
      </c>
      <c r="G145">
        <v>299757</v>
      </c>
      <c r="H145" s="116"/>
      <c r="I145" s="116"/>
      <c r="L145" s="170">
        <v>46128</v>
      </c>
      <c r="M145" s="116">
        <v>134.16999999999999</v>
      </c>
      <c r="N145" s="116">
        <v>138.21</v>
      </c>
      <c r="O145" s="116">
        <v>132.6</v>
      </c>
      <c r="P145" s="116">
        <v>137.05000000000001</v>
      </c>
      <c r="Q145" s="116">
        <v>134.16999999999999</v>
      </c>
      <c r="R145">
        <v>3725948</v>
      </c>
    </row>
    <row r="146" spans="1:18" x14ac:dyDescent="0.25">
      <c r="A146" s="170">
        <v>46129</v>
      </c>
      <c r="B146" s="116">
        <v>135.55000000000001</v>
      </c>
      <c r="C146" s="116">
        <v>133.6</v>
      </c>
      <c r="D146" s="116">
        <v>133</v>
      </c>
      <c r="E146" s="116">
        <v>134.6</v>
      </c>
      <c r="F146" s="116">
        <v>133.6</v>
      </c>
      <c r="G146">
        <v>94919</v>
      </c>
      <c r="H146" s="116"/>
      <c r="I146" s="116"/>
      <c r="L146" s="170">
        <v>46129</v>
      </c>
      <c r="M146" s="116">
        <v>133.61000000000001</v>
      </c>
      <c r="N146" s="116">
        <v>135.54</v>
      </c>
      <c r="O146" s="116">
        <v>133</v>
      </c>
      <c r="P146" s="116">
        <v>135</v>
      </c>
      <c r="Q146" s="116">
        <v>133.61000000000001</v>
      </c>
      <c r="R146">
        <v>2151674</v>
      </c>
    </row>
    <row r="147" spans="1:18" x14ac:dyDescent="0.25">
      <c r="A147" s="170">
        <v>46132</v>
      </c>
      <c r="B147" s="116">
        <v>138.9</v>
      </c>
      <c r="C147" s="116">
        <v>134.15</v>
      </c>
      <c r="D147" s="116">
        <v>130.69999999999999</v>
      </c>
      <c r="E147" s="116">
        <v>135.25</v>
      </c>
      <c r="F147" s="116">
        <v>134.15</v>
      </c>
      <c r="G147">
        <v>404772</v>
      </c>
      <c r="H147" s="116"/>
      <c r="I147" s="116"/>
      <c r="L147" s="170">
        <v>46132</v>
      </c>
      <c r="M147" s="116">
        <v>134.34</v>
      </c>
      <c r="N147" s="116">
        <v>138.96</v>
      </c>
      <c r="O147" s="116">
        <v>130.61000000000001</v>
      </c>
      <c r="P147" s="116">
        <v>135.55000000000001</v>
      </c>
      <c r="Q147" s="116">
        <v>134.34</v>
      </c>
      <c r="R147">
        <v>7703021</v>
      </c>
    </row>
    <row r="148" spans="1:18" x14ac:dyDescent="0.25">
      <c r="A148" s="170">
        <v>46133</v>
      </c>
      <c r="B148" s="116">
        <v>138</v>
      </c>
      <c r="C148" s="116">
        <v>137.30000000000001</v>
      </c>
      <c r="D148" s="116">
        <v>134.1</v>
      </c>
      <c r="E148" s="116">
        <v>135</v>
      </c>
      <c r="F148" s="116">
        <v>137.30000000000001</v>
      </c>
      <c r="G148">
        <v>198286</v>
      </c>
      <c r="H148" s="116"/>
      <c r="I148" s="116"/>
      <c r="L148" s="170">
        <v>46133</v>
      </c>
      <c r="M148" s="116">
        <v>137.24</v>
      </c>
      <c r="N148" s="116">
        <v>138.13999999999999</v>
      </c>
      <c r="O148" s="116">
        <v>134.03</v>
      </c>
      <c r="P148" s="116">
        <v>135</v>
      </c>
      <c r="Q148" s="116">
        <v>137.24</v>
      </c>
      <c r="R148">
        <v>3883412</v>
      </c>
    </row>
    <row r="149" spans="1:18" x14ac:dyDescent="0.25">
      <c r="A149" s="170">
        <v>46134</v>
      </c>
      <c r="B149" s="116">
        <v>149.30000000000001</v>
      </c>
      <c r="C149" s="116">
        <v>148.15</v>
      </c>
      <c r="D149" s="116">
        <v>137.44999999999999</v>
      </c>
      <c r="E149" s="116">
        <v>139.25</v>
      </c>
      <c r="F149" s="116">
        <v>148.15</v>
      </c>
      <c r="G149">
        <v>2023601</v>
      </c>
      <c r="H149" s="116"/>
      <c r="I149" s="116"/>
      <c r="L149" s="170">
        <v>46134</v>
      </c>
      <c r="M149" s="116">
        <v>148.18</v>
      </c>
      <c r="N149" s="116">
        <v>149.5</v>
      </c>
      <c r="O149" s="116">
        <v>137.15</v>
      </c>
      <c r="P149" s="116">
        <v>138.5</v>
      </c>
      <c r="Q149" s="116">
        <v>148.18</v>
      </c>
      <c r="R149">
        <v>42137015</v>
      </c>
    </row>
    <row r="150" spans="1:18" x14ac:dyDescent="0.25">
      <c r="A150" s="170">
        <v>46135</v>
      </c>
      <c r="B150" s="116">
        <v>150.44999999999999</v>
      </c>
      <c r="C150" s="116">
        <v>144.44999999999999</v>
      </c>
      <c r="D150" s="116">
        <v>143.9</v>
      </c>
      <c r="E150" s="116">
        <v>147.35</v>
      </c>
      <c r="F150" s="116">
        <v>144.44999999999999</v>
      </c>
      <c r="G150">
        <v>343223</v>
      </c>
      <c r="H150" s="116"/>
      <c r="I150" s="116"/>
      <c r="L150" s="170">
        <v>46135</v>
      </c>
      <c r="M150" s="116">
        <v>144.43</v>
      </c>
      <c r="N150" s="116">
        <v>150.38999999999999</v>
      </c>
      <c r="O150" s="116">
        <v>143.81</v>
      </c>
      <c r="P150" s="116">
        <v>146.81</v>
      </c>
      <c r="Q150" s="116">
        <v>144.43</v>
      </c>
      <c r="R150">
        <v>7474519</v>
      </c>
    </row>
    <row r="151" spans="1:18" x14ac:dyDescent="0.25">
      <c r="A151" s="170">
        <v>46136</v>
      </c>
      <c r="B151" s="116">
        <v>146</v>
      </c>
      <c r="C151" s="116">
        <v>142.35</v>
      </c>
      <c r="D151" s="116">
        <v>141.05000000000001</v>
      </c>
      <c r="E151" s="116">
        <v>143.55000000000001</v>
      </c>
      <c r="F151" s="116">
        <v>142.35</v>
      </c>
      <c r="G151">
        <v>314683</v>
      </c>
      <c r="H151" s="116"/>
      <c r="I151" s="116"/>
      <c r="L151" s="170">
        <v>46136</v>
      </c>
      <c r="M151" s="116">
        <v>142.41999999999999</v>
      </c>
      <c r="N151" s="116">
        <v>145.99</v>
      </c>
      <c r="O151" s="116">
        <v>141.16</v>
      </c>
      <c r="P151" s="116">
        <v>143.75</v>
      </c>
      <c r="Q151" s="116">
        <v>142.41999999999999</v>
      </c>
      <c r="R151">
        <v>2559209</v>
      </c>
    </row>
    <row r="152" spans="1:18" x14ac:dyDescent="0.25">
      <c r="A152" s="170">
        <v>46139</v>
      </c>
      <c r="B152" s="116">
        <v>146.69999999999999</v>
      </c>
      <c r="C152" s="116">
        <v>144.1</v>
      </c>
      <c r="D152" s="116">
        <v>141.94999999999999</v>
      </c>
      <c r="E152" s="116">
        <v>145</v>
      </c>
      <c r="F152" s="116">
        <v>144.1</v>
      </c>
      <c r="G152">
        <v>307859</v>
      </c>
      <c r="H152" s="116"/>
      <c r="I152" s="116"/>
      <c r="L152" s="170">
        <v>46139</v>
      </c>
      <c r="M152" s="116">
        <v>144</v>
      </c>
      <c r="N152" s="116">
        <v>146.74</v>
      </c>
      <c r="O152" s="116">
        <v>141.91</v>
      </c>
      <c r="P152" s="116">
        <v>144.05000000000001</v>
      </c>
      <c r="Q152" s="116">
        <v>144</v>
      </c>
      <c r="R152">
        <v>4461972</v>
      </c>
    </row>
    <row r="153" spans="1:18" x14ac:dyDescent="0.25">
      <c r="A153" s="170">
        <v>46140</v>
      </c>
      <c r="B153" s="116">
        <v>145.19999999999999</v>
      </c>
      <c r="C153" s="116">
        <v>142.80000000000001</v>
      </c>
      <c r="D153" s="116">
        <v>141.80000000000001</v>
      </c>
      <c r="E153" s="116">
        <v>144</v>
      </c>
      <c r="F153" s="116">
        <v>142.80000000000001</v>
      </c>
      <c r="G153">
        <v>194239</v>
      </c>
      <c r="H153" s="116"/>
      <c r="I153" s="116"/>
      <c r="L153" s="170">
        <v>46140</v>
      </c>
      <c r="M153" s="116">
        <v>142.84</v>
      </c>
      <c r="N153" s="116">
        <v>144.9</v>
      </c>
      <c r="O153" s="116">
        <v>142</v>
      </c>
      <c r="P153" s="116">
        <v>143.97999999999999</v>
      </c>
      <c r="Q153" s="116">
        <v>142.84</v>
      </c>
      <c r="R153">
        <v>1545782</v>
      </c>
    </row>
    <row r="154" spans="1:18" x14ac:dyDescent="0.25">
      <c r="A154" s="170">
        <v>46141</v>
      </c>
      <c r="B154" s="116">
        <v>148.6</v>
      </c>
      <c r="C154" s="116">
        <v>147.44999999999999</v>
      </c>
      <c r="D154" s="116">
        <v>142.05000000000001</v>
      </c>
      <c r="E154" s="116">
        <v>143.75</v>
      </c>
      <c r="F154" s="116">
        <v>147.44999999999999</v>
      </c>
      <c r="G154">
        <v>266261</v>
      </c>
      <c r="H154" s="116"/>
      <c r="I154" s="116"/>
      <c r="L154" s="170">
        <v>46141</v>
      </c>
      <c r="M154" s="116">
        <v>147.44999999999999</v>
      </c>
      <c r="N154" s="116">
        <v>148.87</v>
      </c>
      <c r="O154" s="116">
        <v>142</v>
      </c>
      <c r="P154" s="116">
        <v>143.51</v>
      </c>
      <c r="Q154" s="116">
        <v>147.44999999999999</v>
      </c>
      <c r="R154">
        <v>5177512</v>
      </c>
    </row>
    <row r="155" spans="1:18" x14ac:dyDescent="0.25">
      <c r="A155" s="170">
        <v>46142</v>
      </c>
      <c r="B155" s="116">
        <v>156</v>
      </c>
      <c r="C155" s="116">
        <v>151.65</v>
      </c>
      <c r="D155" s="116">
        <v>143.55000000000001</v>
      </c>
      <c r="E155" s="116">
        <v>148.44999999999999</v>
      </c>
      <c r="F155" s="116">
        <v>151.65</v>
      </c>
      <c r="G155">
        <v>959407</v>
      </c>
      <c r="H155" s="116"/>
      <c r="I155" s="116"/>
      <c r="L155" s="170">
        <v>46142</v>
      </c>
      <c r="M155" s="116">
        <v>151.66</v>
      </c>
      <c r="N155" s="116">
        <v>156</v>
      </c>
      <c r="O155" s="116">
        <v>143.44999999999999</v>
      </c>
      <c r="P155" s="116">
        <v>148</v>
      </c>
      <c r="Q155" s="116">
        <v>151.66</v>
      </c>
      <c r="R155">
        <v>14989665</v>
      </c>
    </row>
    <row r="156" spans="1:18" x14ac:dyDescent="0.25">
      <c r="A156" s="170">
        <v>46146</v>
      </c>
      <c r="B156" s="116">
        <v>154.30000000000001</v>
      </c>
      <c r="C156" s="116">
        <v>153.4</v>
      </c>
      <c r="D156" s="116">
        <v>151.05000000000001</v>
      </c>
      <c r="E156" s="116">
        <v>152.19999999999999</v>
      </c>
      <c r="F156" s="116">
        <v>153.4</v>
      </c>
      <c r="G156">
        <v>342167</v>
      </c>
      <c r="H156" s="116"/>
      <c r="I156" s="116"/>
      <c r="L156" s="170">
        <v>46146</v>
      </c>
      <c r="M156" s="116">
        <v>152.96</v>
      </c>
      <c r="N156" s="116">
        <v>154.4</v>
      </c>
      <c r="O156" s="116">
        <v>151.05000000000001</v>
      </c>
      <c r="P156" s="116">
        <v>151.66</v>
      </c>
      <c r="Q156" s="116">
        <v>152.96</v>
      </c>
      <c r="R156">
        <v>4869603</v>
      </c>
    </row>
    <row r="157" spans="1:18" x14ac:dyDescent="0.25">
      <c r="A157" s="170">
        <v>46147</v>
      </c>
      <c r="B157" s="116">
        <v>156.1</v>
      </c>
      <c r="C157" s="116">
        <v>146.80000000000001</v>
      </c>
      <c r="D157" s="116">
        <v>145.65</v>
      </c>
      <c r="E157" s="116">
        <v>152.94999999999999</v>
      </c>
      <c r="F157" s="116">
        <v>146.80000000000001</v>
      </c>
      <c r="G157">
        <v>646045</v>
      </c>
      <c r="H157" s="116"/>
      <c r="I157" s="116"/>
      <c r="L157" s="170">
        <v>46147</v>
      </c>
      <c r="M157" s="116">
        <v>146.69</v>
      </c>
      <c r="N157" s="116">
        <v>156.19</v>
      </c>
      <c r="O157" s="116">
        <v>145.66</v>
      </c>
      <c r="P157" s="116">
        <v>152.69999999999999</v>
      </c>
      <c r="Q157" s="116">
        <v>146.69</v>
      </c>
      <c r="R157">
        <v>6161383</v>
      </c>
    </row>
    <row r="158" spans="1:18" x14ac:dyDescent="0.25">
      <c r="A158" s="170">
        <v>46148</v>
      </c>
      <c r="B158" s="116">
        <v>148.30000000000001</v>
      </c>
      <c r="C158" s="116">
        <v>146.15</v>
      </c>
      <c r="D158" s="116">
        <v>143.19999999999999</v>
      </c>
      <c r="E158" s="116">
        <v>147.19999999999999</v>
      </c>
      <c r="F158" s="116">
        <v>146.15</v>
      </c>
      <c r="G158">
        <v>476458</v>
      </c>
      <c r="H158" s="116"/>
      <c r="I158" s="116"/>
      <c r="L158" s="170">
        <v>46148</v>
      </c>
      <c r="M158" s="116">
        <v>146.07</v>
      </c>
      <c r="N158" s="116">
        <v>148.71</v>
      </c>
      <c r="O158" s="116">
        <v>143.21</v>
      </c>
      <c r="P158" s="116">
        <v>148</v>
      </c>
      <c r="Q158" s="116">
        <v>146.07</v>
      </c>
      <c r="R158">
        <v>4313148</v>
      </c>
    </row>
    <row r="159" spans="1:18" x14ac:dyDescent="0.25">
      <c r="A159" s="170">
        <v>46149</v>
      </c>
      <c r="B159" s="116">
        <v>148.4</v>
      </c>
      <c r="C159" s="116">
        <v>146.65</v>
      </c>
      <c r="D159" s="116">
        <v>144.5</v>
      </c>
      <c r="E159" s="116">
        <v>146.65</v>
      </c>
      <c r="F159" s="116">
        <v>146.65</v>
      </c>
      <c r="G159">
        <v>230297</v>
      </c>
      <c r="H159" s="116"/>
      <c r="I159" s="116"/>
      <c r="L159" s="170">
        <v>46149</v>
      </c>
      <c r="M159" s="116">
        <v>146.62</v>
      </c>
      <c r="N159" s="116">
        <v>148.5</v>
      </c>
      <c r="O159" s="116">
        <v>144.55000000000001</v>
      </c>
      <c r="P159" s="116">
        <v>146.87</v>
      </c>
      <c r="Q159" s="116">
        <v>146.62</v>
      </c>
      <c r="R159">
        <v>2677292</v>
      </c>
    </row>
    <row r="160" spans="1:18" x14ac:dyDescent="0.25">
      <c r="A160" s="170">
        <v>46150</v>
      </c>
      <c r="B160" s="116">
        <v>147</v>
      </c>
      <c r="C160" s="116">
        <v>139.55000000000001</v>
      </c>
      <c r="D160" s="116">
        <v>137.55000000000001</v>
      </c>
      <c r="E160" s="116">
        <v>145.80000000000001</v>
      </c>
      <c r="F160" s="116">
        <v>139.55000000000001</v>
      </c>
      <c r="G160">
        <v>589265</v>
      </c>
      <c r="H160" s="116"/>
      <c r="I160" s="116"/>
      <c r="L160" s="170">
        <v>46150</v>
      </c>
      <c r="M160" s="116">
        <v>139.66999999999999</v>
      </c>
      <c r="N160" s="116">
        <v>147.44999999999999</v>
      </c>
      <c r="O160" s="116">
        <v>137.55000000000001</v>
      </c>
      <c r="P160" s="116">
        <v>145.99</v>
      </c>
      <c r="Q160" s="116">
        <v>139.66999999999999</v>
      </c>
      <c r="R160">
        <v>6734709</v>
      </c>
    </row>
    <row r="161" spans="1:18" x14ac:dyDescent="0.25">
      <c r="A161" s="170">
        <v>46153</v>
      </c>
      <c r="B161" s="116">
        <v>134.9</v>
      </c>
      <c r="C161" s="116">
        <v>126.05</v>
      </c>
      <c r="D161" s="116">
        <v>124.5</v>
      </c>
      <c r="E161" s="116">
        <v>133.05000000000001</v>
      </c>
      <c r="F161" s="116">
        <v>126.05</v>
      </c>
      <c r="G161">
        <v>1514956</v>
      </c>
      <c r="H161" s="116"/>
      <c r="I161" s="116"/>
      <c r="L161" s="170">
        <v>46153</v>
      </c>
      <c r="M161" s="116">
        <v>126.06</v>
      </c>
      <c r="N161" s="116">
        <v>135</v>
      </c>
      <c r="O161" s="116">
        <v>124.4</v>
      </c>
      <c r="P161" s="116">
        <v>132.4</v>
      </c>
      <c r="Q161" s="116">
        <v>126.06</v>
      </c>
      <c r="R161">
        <v>30174481</v>
      </c>
    </row>
    <row r="162" spans="1:18" x14ac:dyDescent="0.25">
      <c r="A162" s="170">
        <v>46154</v>
      </c>
      <c r="B162" s="116">
        <v>126.45</v>
      </c>
      <c r="C162" s="116">
        <v>122.2</v>
      </c>
      <c r="D162" s="116">
        <v>120.55</v>
      </c>
      <c r="E162" s="116">
        <v>126.2</v>
      </c>
      <c r="F162" s="116">
        <v>122.2</v>
      </c>
      <c r="G162">
        <v>291563</v>
      </c>
      <c r="H162" s="116"/>
      <c r="I162" s="116"/>
      <c r="L162" s="170">
        <v>46154</v>
      </c>
      <c r="M162" s="116">
        <v>122.1</v>
      </c>
      <c r="N162" s="116">
        <v>126.99</v>
      </c>
      <c r="O162" s="116">
        <v>120.49</v>
      </c>
      <c r="P162" s="116">
        <v>126.1</v>
      </c>
      <c r="Q162" s="116">
        <v>122.1</v>
      </c>
      <c r="R162">
        <v>7082775</v>
      </c>
    </row>
    <row r="163" spans="1:18" x14ac:dyDescent="0.25">
      <c r="A163" s="170">
        <v>46155</v>
      </c>
      <c r="B163" s="116">
        <v>127.25</v>
      </c>
      <c r="C163" s="116">
        <v>126.05</v>
      </c>
      <c r="D163" s="116">
        <v>122.9</v>
      </c>
      <c r="E163" s="116">
        <v>122.95</v>
      </c>
      <c r="F163" s="116">
        <v>126.05</v>
      </c>
      <c r="G163">
        <v>675169</v>
      </c>
      <c r="H163" s="116"/>
      <c r="I163" s="116"/>
      <c r="L163" s="170">
        <v>46155</v>
      </c>
      <c r="M163" s="116">
        <v>126.07</v>
      </c>
      <c r="N163" s="116">
        <v>127.3</v>
      </c>
      <c r="O163" s="116">
        <v>123</v>
      </c>
      <c r="P163" s="116">
        <v>123</v>
      </c>
      <c r="Q163" s="116">
        <v>126.07</v>
      </c>
      <c r="R163">
        <v>5692744</v>
      </c>
    </row>
    <row r="164" spans="1:18" x14ac:dyDescent="0.25">
      <c r="A164" s="170">
        <v>46156</v>
      </c>
      <c r="B164" s="116">
        <v>127.45</v>
      </c>
      <c r="C164" s="116">
        <v>123.85</v>
      </c>
      <c r="D164" s="116">
        <v>123.5</v>
      </c>
      <c r="E164" s="116">
        <v>126.9</v>
      </c>
      <c r="F164" s="116">
        <v>123.85</v>
      </c>
      <c r="G164">
        <v>123847</v>
      </c>
      <c r="H164" s="116"/>
      <c r="I164" s="116"/>
      <c r="L164" s="170">
        <v>46156</v>
      </c>
      <c r="M164" s="116">
        <v>123.75</v>
      </c>
      <c r="N164" s="116">
        <v>127.38</v>
      </c>
      <c r="O164" s="116">
        <v>123.45</v>
      </c>
      <c r="P164" s="116">
        <v>126.37</v>
      </c>
      <c r="Q164" s="116">
        <v>123.75</v>
      </c>
      <c r="R164">
        <v>2743460</v>
      </c>
    </row>
    <row r="165" spans="1:18" x14ac:dyDescent="0.25">
      <c r="A165" s="170">
        <v>46157</v>
      </c>
      <c r="B165" s="116">
        <v>125.05</v>
      </c>
      <c r="C165" s="116">
        <v>121.1</v>
      </c>
      <c r="D165" s="116">
        <v>120.55</v>
      </c>
      <c r="E165" s="116">
        <v>122.05</v>
      </c>
      <c r="F165" s="116">
        <v>121.1</v>
      </c>
      <c r="G165">
        <v>212299</v>
      </c>
      <c r="H165" s="116"/>
      <c r="I165" s="116"/>
      <c r="L165" s="170">
        <v>46157</v>
      </c>
      <c r="M165" s="116">
        <v>120.94</v>
      </c>
      <c r="N165" s="116">
        <v>125.11</v>
      </c>
      <c r="O165" s="116">
        <v>120.4</v>
      </c>
      <c r="P165" s="116">
        <v>123.7</v>
      </c>
      <c r="Q165" s="116">
        <v>120.94</v>
      </c>
      <c r="R165">
        <v>3405245</v>
      </c>
    </row>
    <row r="166" spans="1:18" x14ac:dyDescent="0.25">
      <c r="A166" s="170">
        <v>46160</v>
      </c>
      <c r="B166" s="116">
        <v>123.5</v>
      </c>
      <c r="C166" s="116">
        <v>122.25</v>
      </c>
      <c r="D166" s="116">
        <v>118.9</v>
      </c>
      <c r="E166" s="116">
        <v>119.55</v>
      </c>
      <c r="F166" s="116">
        <v>122.25</v>
      </c>
      <c r="G166">
        <v>280681</v>
      </c>
      <c r="H166" s="116"/>
      <c r="I166" s="116"/>
      <c r="L166" s="170">
        <v>46160</v>
      </c>
      <c r="M166" s="116">
        <v>122.26</v>
      </c>
      <c r="N166" s="116">
        <v>123.6</v>
      </c>
      <c r="O166" s="116">
        <v>118.8</v>
      </c>
      <c r="P166" s="116">
        <v>119.89</v>
      </c>
      <c r="Q166" s="116">
        <v>122.26</v>
      </c>
      <c r="R166">
        <v>3561219</v>
      </c>
    </row>
    <row r="167" spans="1:18" x14ac:dyDescent="0.25">
      <c r="A167" s="170">
        <v>46161</v>
      </c>
      <c r="B167" s="116">
        <v>125.1</v>
      </c>
      <c r="C167" s="116">
        <v>121.95</v>
      </c>
      <c r="D167" s="116">
        <v>121.2</v>
      </c>
      <c r="E167" s="116">
        <v>124.15</v>
      </c>
      <c r="F167" s="116">
        <v>121.95</v>
      </c>
      <c r="G167">
        <v>132942</v>
      </c>
      <c r="H167" s="116"/>
      <c r="I167" s="116"/>
      <c r="L167" s="170">
        <v>46161</v>
      </c>
      <c r="M167" s="116">
        <v>121.94</v>
      </c>
      <c r="N167" s="116">
        <v>125.13</v>
      </c>
      <c r="O167" s="116">
        <v>121.09</v>
      </c>
      <c r="P167" s="116">
        <v>123.79</v>
      </c>
      <c r="Q167" s="116">
        <v>121.94</v>
      </c>
      <c r="R167">
        <v>3098068</v>
      </c>
    </row>
    <row r="168" spans="1:18" x14ac:dyDescent="0.25">
      <c r="A168" s="170">
        <v>46162</v>
      </c>
      <c r="B168" s="116">
        <v>121.75</v>
      </c>
      <c r="C168" s="116">
        <v>119.55</v>
      </c>
      <c r="D168" s="116">
        <v>119.1</v>
      </c>
      <c r="E168" s="116">
        <v>119.95</v>
      </c>
      <c r="F168" s="116">
        <v>119.55</v>
      </c>
      <c r="G168">
        <v>189497</v>
      </c>
      <c r="H168" s="116"/>
      <c r="I168" s="116"/>
      <c r="L168" s="170">
        <v>46162</v>
      </c>
      <c r="M168" s="116">
        <v>119.49</v>
      </c>
      <c r="N168" s="116">
        <v>121.86</v>
      </c>
      <c r="O168" s="116">
        <v>119</v>
      </c>
      <c r="P168" s="116">
        <v>120.15</v>
      </c>
      <c r="Q168" s="116">
        <v>119.49</v>
      </c>
      <c r="R168">
        <v>2089598</v>
      </c>
    </row>
    <row r="169" spans="1:18" x14ac:dyDescent="0.25">
      <c r="A169" s="170">
        <v>46163</v>
      </c>
      <c r="B169" s="116">
        <v>121.45</v>
      </c>
      <c r="C169" s="116">
        <v>119.6</v>
      </c>
      <c r="D169" s="116">
        <v>118.35</v>
      </c>
      <c r="E169" s="116">
        <v>119.75</v>
      </c>
      <c r="F169" s="116">
        <v>119.6</v>
      </c>
      <c r="G169">
        <v>189105</v>
      </c>
      <c r="H169" s="116"/>
      <c r="I169" s="116"/>
      <c r="L169" s="170">
        <v>46163</v>
      </c>
      <c r="M169" s="116">
        <v>119.48</v>
      </c>
      <c r="N169" s="116">
        <v>121.5</v>
      </c>
      <c r="O169" s="116">
        <v>118.21</v>
      </c>
      <c r="P169" s="116">
        <v>120.07</v>
      </c>
      <c r="Q169" s="116">
        <v>119.48</v>
      </c>
      <c r="R169">
        <v>2682167</v>
      </c>
    </row>
    <row r="170" spans="1:18" x14ac:dyDescent="0.25">
      <c r="A170" s="170">
        <v>46164</v>
      </c>
      <c r="B170" s="116">
        <v>121.45</v>
      </c>
      <c r="C170" s="116">
        <v>120.05</v>
      </c>
      <c r="D170" s="116">
        <v>117.85</v>
      </c>
      <c r="E170" s="116">
        <v>119.05</v>
      </c>
      <c r="F170" s="116">
        <v>120.05</v>
      </c>
      <c r="G170">
        <v>239259</v>
      </c>
      <c r="H170" s="116"/>
      <c r="I170" s="116"/>
      <c r="L170" s="170">
        <v>46164</v>
      </c>
      <c r="M170" s="116">
        <v>120.03</v>
      </c>
      <c r="N170" s="116">
        <v>121.6</v>
      </c>
      <c r="O170" s="116">
        <v>117.8</v>
      </c>
      <c r="P170" s="116">
        <v>119.48</v>
      </c>
      <c r="Q170" s="116">
        <v>120.03</v>
      </c>
      <c r="R170">
        <v>3303303</v>
      </c>
    </row>
    <row r="171" spans="1:18" x14ac:dyDescent="0.25">
      <c r="A171" s="170">
        <v>46167</v>
      </c>
      <c r="B171" s="116">
        <v>126.75</v>
      </c>
      <c r="C171" s="116">
        <v>124.35</v>
      </c>
      <c r="D171" s="116">
        <v>120.6</v>
      </c>
      <c r="E171" s="116">
        <v>121.95</v>
      </c>
      <c r="F171" s="116">
        <v>124.35</v>
      </c>
      <c r="G171">
        <v>451731</v>
      </c>
      <c r="H171" s="116"/>
      <c r="I171" s="116"/>
      <c r="L171" s="170">
        <v>46167</v>
      </c>
      <c r="M171" s="116">
        <v>124.65</v>
      </c>
      <c r="N171" s="116">
        <v>126.89</v>
      </c>
      <c r="O171" s="116">
        <v>120.8</v>
      </c>
      <c r="P171" s="116">
        <v>121.25</v>
      </c>
      <c r="Q171" s="116">
        <v>124.65</v>
      </c>
      <c r="R171">
        <v>10262646</v>
      </c>
    </row>
    <row r="172" spans="1:18" x14ac:dyDescent="0.25">
      <c r="A172" s="170">
        <v>46168</v>
      </c>
      <c r="B172" s="116">
        <v>126.5</v>
      </c>
      <c r="C172" s="116">
        <v>123.3</v>
      </c>
      <c r="D172" s="116">
        <v>123</v>
      </c>
      <c r="E172" s="116">
        <v>125.3</v>
      </c>
      <c r="F172" s="116">
        <v>123.3</v>
      </c>
      <c r="G172">
        <v>106733</v>
      </c>
      <c r="H172" s="116"/>
      <c r="I172" s="116"/>
      <c r="L172" s="170">
        <v>46168</v>
      </c>
      <c r="M172" s="116">
        <v>123.36</v>
      </c>
      <c r="N172" s="116">
        <v>126.47</v>
      </c>
      <c r="O172" s="116">
        <v>122.9</v>
      </c>
      <c r="P172" s="116">
        <v>125.02</v>
      </c>
      <c r="Q172" s="116">
        <v>123.36</v>
      </c>
      <c r="R172">
        <v>3961104</v>
      </c>
    </row>
    <row r="173" spans="1:18" x14ac:dyDescent="0.25">
      <c r="A173" s="170">
        <v>46169</v>
      </c>
      <c r="B173" s="116">
        <v>125</v>
      </c>
      <c r="C173" s="116">
        <v>123.4</v>
      </c>
      <c r="D173" s="116">
        <v>122.25</v>
      </c>
      <c r="E173" s="116">
        <v>124.55</v>
      </c>
      <c r="F173" s="116">
        <v>123.4</v>
      </c>
      <c r="G173">
        <v>70359</v>
      </c>
      <c r="H173" s="116"/>
      <c r="I173" s="116"/>
      <c r="L173" s="170">
        <v>46169</v>
      </c>
      <c r="M173" s="116">
        <v>123.36</v>
      </c>
      <c r="N173" s="116">
        <v>125.1</v>
      </c>
      <c r="O173" s="116">
        <v>122.2</v>
      </c>
      <c r="P173" s="116">
        <v>124.15</v>
      </c>
      <c r="Q173" s="116">
        <v>123.36</v>
      </c>
      <c r="R173">
        <v>3987036</v>
      </c>
    </row>
    <row r="174" spans="1:18" x14ac:dyDescent="0.25">
      <c r="A174" s="170">
        <v>46171</v>
      </c>
      <c r="B174" s="116">
        <v>124.85</v>
      </c>
      <c r="C174" s="116">
        <v>120.05</v>
      </c>
      <c r="D174" s="116">
        <v>119.35</v>
      </c>
      <c r="E174" s="116">
        <v>123.4</v>
      </c>
      <c r="F174" s="116">
        <v>120.05</v>
      </c>
      <c r="G174">
        <v>175363</v>
      </c>
      <c r="H174" s="116"/>
      <c r="I174" s="116"/>
      <c r="L174" s="170">
        <v>46171</v>
      </c>
      <c r="M174" s="116">
        <v>120.03</v>
      </c>
      <c r="N174" s="116">
        <v>124.9</v>
      </c>
      <c r="O174" s="116">
        <v>119.45</v>
      </c>
      <c r="P174" s="116">
        <v>123.89</v>
      </c>
      <c r="Q174" s="116">
        <v>120.03</v>
      </c>
      <c r="R174">
        <v>3116664</v>
      </c>
    </row>
    <row r="175" spans="1:18" x14ac:dyDescent="0.25">
      <c r="A175" s="170">
        <v>46174</v>
      </c>
      <c r="B175" s="116">
        <v>124.2</v>
      </c>
      <c r="C175" s="116">
        <v>119.95</v>
      </c>
      <c r="D175" s="116">
        <v>119.45</v>
      </c>
      <c r="E175" s="116">
        <v>120.65</v>
      </c>
      <c r="F175" s="116">
        <v>119.95</v>
      </c>
      <c r="G175">
        <v>430990</v>
      </c>
      <c r="H175" s="116"/>
      <c r="I175" s="116"/>
      <c r="L175" s="170">
        <v>46174</v>
      </c>
      <c r="M175" s="116">
        <v>120</v>
      </c>
      <c r="N175" s="116">
        <v>124.24</v>
      </c>
      <c r="O175" s="116">
        <v>119.45</v>
      </c>
      <c r="P175" s="116">
        <v>120.5</v>
      </c>
      <c r="Q175" s="116">
        <v>120</v>
      </c>
      <c r="R175">
        <v>8038222</v>
      </c>
    </row>
    <row r="176" spans="1:18" x14ac:dyDescent="0.25">
      <c r="A176" s="170">
        <v>46175</v>
      </c>
      <c r="B176" s="116">
        <v>125.65</v>
      </c>
      <c r="C176" s="116">
        <v>121.1</v>
      </c>
      <c r="D176" s="116">
        <v>119.4</v>
      </c>
      <c r="E176" s="116">
        <v>119.4</v>
      </c>
      <c r="F176" s="116">
        <v>121.1</v>
      </c>
      <c r="G176">
        <v>168321</v>
      </c>
      <c r="H176" s="116"/>
      <c r="I176" s="116"/>
      <c r="L176" s="170">
        <v>46175</v>
      </c>
      <c r="M176" s="116">
        <v>121.16</v>
      </c>
      <c r="N176" s="116">
        <v>125.65</v>
      </c>
      <c r="O176" s="116">
        <v>119.13</v>
      </c>
      <c r="P176" s="116">
        <v>119.13</v>
      </c>
      <c r="Q176" s="116">
        <v>121.16</v>
      </c>
      <c r="R176">
        <v>5593642</v>
      </c>
    </row>
    <row r="177" spans="1:18" x14ac:dyDescent="0.25">
      <c r="A177" s="170">
        <v>46176</v>
      </c>
      <c r="B177" s="116">
        <v>124.1</v>
      </c>
      <c r="C177" s="116">
        <v>123.75</v>
      </c>
      <c r="D177" s="116">
        <v>121.25</v>
      </c>
      <c r="E177" s="116">
        <v>121.85</v>
      </c>
      <c r="F177" s="116">
        <v>123.75</v>
      </c>
      <c r="G177">
        <v>64300</v>
      </c>
      <c r="H177" s="116"/>
      <c r="I177" s="116"/>
      <c r="L177" s="170">
        <v>46176</v>
      </c>
      <c r="M177" s="116">
        <v>123.56</v>
      </c>
      <c r="N177" s="116">
        <v>124</v>
      </c>
      <c r="O177" s="116">
        <v>121.14</v>
      </c>
      <c r="P177" s="116">
        <v>121.66</v>
      </c>
      <c r="Q177" s="116">
        <v>123.56</v>
      </c>
      <c r="R177">
        <v>2315789</v>
      </c>
    </row>
    <row r="178" spans="1:18" x14ac:dyDescent="0.25">
      <c r="A178" s="170">
        <v>46177</v>
      </c>
      <c r="B178" s="116">
        <v>127.4</v>
      </c>
      <c r="C178" s="116">
        <v>123.4</v>
      </c>
      <c r="D178" s="116">
        <v>121.75</v>
      </c>
      <c r="E178" s="116">
        <v>123.15</v>
      </c>
      <c r="F178" s="116">
        <v>123.4</v>
      </c>
      <c r="G178">
        <v>400270</v>
      </c>
      <c r="H178" s="116"/>
      <c r="I178" s="116"/>
      <c r="L178" s="170">
        <v>46177</v>
      </c>
      <c r="M178" s="116">
        <v>123.36</v>
      </c>
      <c r="N178" s="116">
        <v>127.51</v>
      </c>
      <c r="O178" s="116">
        <v>122.1</v>
      </c>
      <c r="P178" s="116">
        <v>123</v>
      </c>
      <c r="Q178" s="116">
        <v>123.36</v>
      </c>
      <c r="R178">
        <v>3300266</v>
      </c>
    </row>
    <row r="179" spans="1:18" x14ac:dyDescent="0.25">
      <c r="A179" s="170">
        <v>46178</v>
      </c>
      <c r="B179" s="116">
        <v>125.8</v>
      </c>
      <c r="C179" s="116">
        <v>125.25</v>
      </c>
      <c r="D179" s="116">
        <v>122.15</v>
      </c>
      <c r="E179" s="116">
        <v>123.25</v>
      </c>
      <c r="F179" s="116">
        <v>125.25</v>
      </c>
      <c r="G179">
        <v>238325</v>
      </c>
      <c r="H179" s="116"/>
      <c r="I179" s="116"/>
      <c r="L179" s="170">
        <v>46178</v>
      </c>
      <c r="M179" s="116">
        <v>125.45</v>
      </c>
      <c r="N179" s="116">
        <v>125.95</v>
      </c>
      <c r="O179" s="116">
        <v>122.17</v>
      </c>
      <c r="P179" s="116">
        <v>123.43</v>
      </c>
      <c r="Q179" s="116">
        <v>125.45</v>
      </c>
      <c r="R179">
        <v>2833803</v>
      </c>
    </row>
    <row r="180" spans="1:18" x14ac:dyDescent="0.25">
      <c r="A180" s="170">
        <v>46181</v>
      </c>
      <c r="B180" s="116">
        <v>124.1</v>
      </c>
      <c r="C180" s="116">
        <v>120.2</v>
      </c>
      <c r="D180" s="116">
        <v>118</v>
      </c>
      <c r="E180" s="116">
        <v>123.6</v>
      </c>
      <c r="F180" s="116">
        <v>120.2</v>
      </c>
      <c r="G180">
        <v>391654</v>
      </c>
      <c r="H180" s="116"/>
      <c r="I180" s="116"/>
      <c r="L180" s="170">
        <v>46181</v>
      </c>
      <c r="M180" s="116">
        <v>120.25</v>
      </c>
      <c r="N180" s="116">
        <v>124.44</v>
      </c>
      <c r="O180" s="116">
        <v>117.93</v>
      </c>
      <c r="P180" s="116">
        <v>123.57</v>
      </c>
      <c r="Q180" s="116">
        <v>120.25</v>
      </c>
      <c r="R180">
        <v>8868208</v>
      </c>
    </row>
    <row r="181" spans="1:18" x14ac:dyDescent="0.25">
      <c r="A181" s="170">
        <v>46182</v>
      </c>
      <c r="B181" s="116">
        <v>124</v>
      </c>
      <c r="C181" s="116">
        <v>123.6</v>
      </c>
      <c r="D181" s="116">
        <v>120.5</v>
      </c>
      <c r="E181" s="116">
        <v>121.8</v>
      </c>
      <c r="F181" s="116">
        <v>123.6</v>
      </c>
      <c r="G181">
        <v>108115</v>
      </c>
      <c r="H181" s="116"/>
      <c r="I181" s="116"/>
      <c r="L181" s="170">
        <v>46182</v>
      </c>
      <c r="M181" s="116">
        <v>123.57</v>
      </c>
      <c r="N181" s="116">
        <v>123.98</v>
      </c>
      <c r="O181" s="116">
        <v>120.36</v>
      </c>
      <c r="P181" s="116">
        <v>121.36</v>
      </c>
      <c r="Q181" s="116">
        <v>123.57</v>
      </c>
      <c r="R181">
        <v>1821225</v>
      </c>
    </row>
    <row r="182" spans="1:18" x14ac:dyDescent="0.25">
      <c r="A182" s="170">
        <v>46183</v>
      </c>
      <c r="B182" s="116">
        <v>129.9</v>
      </c>
      <c r="C182" s="116">
        <v>122.6</v>
      </c>
      <c r="D182" s="116">
        <v>122.3</v>
      </c>
      <c r="E182" s="116">
        <v>122.45</v>
      </c>
      <c r="F182" s="116">
        <v>122.6</v>
      </c>
      <c r="G182">
        <v>639704</v>
      </c>
      <c r="H182" s="116"/>
      <c r="I182" s="116"/>
      <c r="L182" s="170">
        <v>46183</v>
      </c>
      <c r="M182" s="116">
        <v>122.67</v>
      </c>
      <c r="N182" s="116">
        <v>129.96</v>
      </c>
      <c r="O182" s="116">
        <v>122.26</v>
      </c>
      <c r="P182" s="116">
        <v>123</v>
      </c>
      <c r="Q182" s="116">
        <v>122.67</v>
      </c>
      <c r="R182">
        <v>9327627</v>
      </c>
    </row>
    <row r="183" spans="1:18" x14ac:dyDescent="0.25">
      <c r="A183" s="170">
        <v>46184</v>
      </c>
      <c r="B183" s="116">
        <v>123.5</v>
      </c>
      <c r="C183" s="116">
        <v>122.9</v>
      </c>
      <c r="D183" s="116">
        <v>121.25</v>
      </c>
      <c r="E183" s="116">
        <v>123.15</v>
      </c>
      <c r="F183" s="116">
        <v>122.9</v>
      </c>
      <c r="G183">
        <v>76159</v>
      </c>
      <c r="H183" s="116"/>
      <c r="I183" s="116"/>
      <c r="L183" s="170">
        <v>46184</v>
      </c>
      <c r="M183" s="116">
        <v>122.98</v>
      </c>
      <c r="N183" s="116">
        <v>123.65</v>
      </c>
      <c r="O183" s="116">
        <v>121.16</v>
      </c>
      <c r="P183" s="116">
        <v>122.5</v>
      </c>
      <c r="Q183" s="116">
        <v>122.98</v>
      </c>
      <c r="R183">
        <v>2010441</v>
      </c>
    </row>
    <row r="184" spans="1:18" x14ac:dyDescent="0.25">
      <c r="A184" s="170">
        <v>46185</v>
      </c>
      <c r="B184" s="116">
        <v>126.95</v>
      </c>
      <c r="C184" s="116">
        <v>126.25</v>
      </c>
      <c r="D184" s="116">
        <v>124</v>
      </c>
      <c r="E184" s="116">
        <v>124</v>
      </c>
      <c r="F184" s="116">
        <v>126.25</v>
      </c>
      <c r="G184">
        <v>98723</v>
      </c>
      <c r="H184" s="116"/>
      <c r="I184" s="116"/>
      <c r="L184" s="170">
        <v>46185</v>
      </c>
      <c r="M184" s="116">
        <v>126.45</v>
      </c>
      <c r="N184" s="116">
        <v>126.92</v>
      </c>
      <c r="O184" s="116">
        <v>123.8</v>
      </c>
      <c r="P184" s="116">
        <v>124</v>
      </c>
      <c r="Q184" s="116">
        <v>126.45</v>
      </c>
      <c r="R184">
        <v>2257031</v>
      </c>
    </row>
    <row r="185" spans="1:18" x14ac:dyDescent="0.25">
      <c r="A185" s="170">
        <v>46188</v>
      </c>
      <c r="B185" s="116">
        <v>130</v>
      </c>
      <c r="C185" s="116">
        <v>128.65</v>
      </c>
      <c r="D185" s="116">
        <v>127.9</v>
      </c>
      <c r="E185" s="116">
        <v>128.80000000000001</v>
      </c>
      <c r="F185" s="116">
        <v>128.65</v>
      </c>
      <c r="G185">
        <v>119419</v>
      </c>
      <c r="H185" s="116"/>
      <c r="I185" s="116"/>
      <c r="L185" s="170">
        <v>46188</v>
      </c>
      <c r="M185" s="116">
        <v>128.63999999999999</v>
      </c>
      <c r="N185" s="116">
        <v>130.05000000000001</v>
      </c>
      <c r="O185" s="116">
        <v>127.99</v>
      </c>
      <c r="P185" s="116">
        <v>128.5</v>
      </c>
      <c r="Q185" s="116">
        <v>128.63999999999999</v>
      </c>
      <c r="R185">
        <v>3588068</v>
      </c>
    </row>
    <row r="186" spans="1:18" x14ac:dyDescent="0.25">
      <c r="A186" s="170">
        <v>46189</v>
      </c>
      <c r="B186" s="116">
        <v>129.75</v>
      </c>
      <c r="C186" s="116">
        <v>128.85</v>
      </c>
      <c r="D186" s="116">
        <v>127.85</v>
      </c>
      <c r="E186" s="116">
        <v>128.30000000000001</v>
      </c>
      <c r="F186" s="116">
        <v>128.85</v>
      </c>
      <c r="G186">
        <v>131561</v>
      </c>
      <c r="H186" s="116"/>
      <c r="I186" s="116"/>
      <c r="L186" s="170">
        <v>46189</v>
      </c>
      <c r="M186" s="116">
        <v>128.86000000000001</v>
      </c>
      <c r="N186" s="116">
        <v>129.79</v>
      </c>
      <c r="O186" s="116">
        <v>127.9</v>
      </c>
      <c r="P186" s="116">
        <v>128.79</v>
      </c>
      <c r="Q186" s="116">
        <v>128.86000000000001</v>
      </c>
      <c r="R186">
        <v>1144254</v>
      </c>
    </row>
    <row r="187" spans="1:18" x14ac:dyDescent="0.25">
      <c r="A187" s="170">
        <v>46190</v>
      </c>
      <c r="B187" s="116">
        <v>132.55000000000001</v>
      </c>
      <c r="C187" s="116">
        <v>130.1</v>
      </c>
      <c r="D187" s="116">
        <v>128.5</v>
      </c>
      <c r="E187" s="116">
        <v>128.6</v>
      </c>
      <c r="F187" s="116">
        <v>130.1</v>
      </c>
      <c r="G187">
        <v>123117</v>
      </c>
      <c r="H187" s="116"/>
      <c r="I187" s="116"/>
      <c r="L187" s="170">
        <v>46190</v>
      </c>
      <c r="M187" s="116">
        <v>130.05000000000001</v>
      </c>
      <c r="N187" s="116">
        <v>132.69999999999999</v>
      </c>
      <c r="O187" s="116">
        <v>128.61000000000001</v>
      </c>
      <c r="P187" s="116">
        <v>128.75</v>
      </c>
      <c r="Q187" s="116">
        <v>130.05000000000001</v>
      </c>
      <c r="R187">
        <v>3606931</v>
      </c>
    </row>
    <row r="188" spans="1:18" x14ac:dyDescent="0.25">
      <c r="A188" s="170"/>
      <c r="B188" s="116"/>
      <c r="C188" s="116"/>
      <c r="D188" s="116"/>
      <c r="E188" s="116"/>
      <c r="F188" s="116"/>
      <c r="H188" s="116"/>
      <c r="I188" s="116"/>
      <c r="L188" s="170"/>
    </row>
    <row r="189" spans="1:18" x14ac:dyDescent="0.25">
      <c r="A189" s="170"/>
      <c r="B189" s="116"/>
      <c r="C189" s="116"/>
      <c r="D189" s="116"/>
      <c r="E189" s="116"/>
      <c r="F189" s="116"/>
      <c r="H189" s="116"/>
      <c r="I189" s="116"/>
      <c r="L189" s="170"/>
    </row>
    <row r="190" spans="1:18" x14ac:dyDescent="0.25">
      <c r="A190" s="170"/>
      <c r="B190" s="116"/>
      <c r="C190" s="116"/>
      <c r="D190" s="116"/>
      <c r="E190" s="116"/>
      <c r="F190" s="116"/>
      <c r="H190" s="116"/>
      <c r="I190" s="116"/>
      <c r="L190" s="170"/>
    </row>
    <row r="191" spans="1:18" x14ac:dyDescent="0.25">
      <c r="A191" s="170"/>
      <c r="B191" s="116"/>
      <c r="C191" s="116"/>
      <c r="D191" s="116"/>
      <c r="E191" s="116"/>
      <c r="F191" s="116"/>
      <c r="H191" s="116"/>
      <c r="I191" s="116"/>
      <c r="L191" s="170"/>
    </row>
    <row r="192" spans="1:18" x14ac:dyDescent="0.25">
      <c r="A192" s="170"/>
      <c r="B192" s="116"/>
      <c r="C192" s="116"/>
      <c r="D192" s="116"/>
      <c r="E192" s="116"/>
      <c r="F192" s="116"/>
      <c r="H192" s="116"/>
      <c r="I192" s="116"/>
      <c r="L192" s="170"/>
    </row>
    <row r="193" spans="1:12" x14ac:dyDescent="0.25">
      <c r="A193" s="170"/>
      <c r="B193" s="116"/>
      <c r="C193" s="116"/>
      <c r="D193" s="116"/>
      <c r="E193" s="116"/>
      <c r="F193" s="116"/>
      <c r="H193" s="116"/>
      <c r="I193" s="116"/>
      <c r="L193" s="170"/>
    </row>
    <row r="194" spans="1:12" x14ac:dyDescent="0.25">
      <c r="A194" s="170"/>
      <c r="B194" s="116"/>
      <c r="C194" s="116"/>
      <c r="D194" s="116"/>
      <c r="E194" s="116"/>
      <c r="F194" s="116"/>
      <c r="H194" s="116"/>
      <c r="I194" s="116"/>
      <c r="L194" s="170"/>
    </row>
    <row r="195" spans="1:12" x14ac:dyDescent="0.25">
      <c r="A195" s="170"/>
      <c r="B195" s="116"/>
      <c r="C195" s="116"/>
      <c r="D195" s="116"/>
      <c r="E195" s="116"/>
      <c r="F195" s="116"/>
      <c r="H195" s="116"/>
      <c r="I195" s="116"/>
      <c r="L195" s="170"/>
    </row>
    <row r="196" spans="1:12" x14ac:dyDescent="0.25">
      <c r="A196" s="170"/>
      <c r="B196" s="116"/>
      <c r="C196" s="116"/>
      <c r="D196" s="116"/>
      <c r="E196" s="116"/>
      <c r="F196" s="116"/>
      <c r="H196" s="116"/>
      <c r="I196" s="116"/>
      <c r="L196" s="170"/>
    </row>
    <row r="197" spans="1:12" x14ac:dyDescent="0.25">
      <c r="A197" s="170"/>
      <c r="B197" s="116"/>
      <c r="C197" s="116"/>
      <c r="D197" s="116"/>
      <c r="E197" s="116"/>
      <c r="F197" s="116"/>
      <c r="H197" s="116"/>
      <c r="I197" s="116"/>
      <c r="L197" s="170"/>
    </row>
    <row r="198" spans="1:12" x14ac:dyDescent="0.25">
      <c r="A198" s="170"/>
      <c r="B198" s="116"/>
      <c r="C198" s="116"/>
      <c r="D198" s="116"/>
      <c r="E198" s="116"/>
      <c r="F198" s="116"/>
      <c r="H198" s="116"/>
      <c r="I198" s="116"/>
      <c r="L198" s="170"/>
    </row>
    <row r="199" spans="1:12" x14ac:dyDescent="0.25">
      <c r="A199" s="170"/>
      <c r="B199" s="116"/>
      <c r="C199" s="116"/>
      <c r="D199" s="116"/>
      <c r="E199" s="116"/>
      <c r="F199" s="116"/>
      <c r="H199" s="116"/>
      <c r="I199" s="116"/>
      <c r="L199" s="170"/>
    </row>
    <row r="200" spans="1:12" x14ac:dyDescent="0.25">
      <c r="A200" s="170"/>
      <c r="B200" s="116"/>
      <c r="C200" s="116"/>
      <c r="D200" s="116"/>
      <c r="E200" s="116"/>
      <c r="F200" s="116"/>
      <c r="H200" s="116"/>
      <c r="I200" s="116"/>
      <c r="L200" s="170"/>
    </row>
    <row r="201" spans="1:12" x14ac:dyDescent="0.25">
      <c r="A201" s="170"/>
      <c r="B201" s="116"/>
      <c r="C201" s="116"/>
      <c r="D201" s="116"/>
      <c r="E201" s="116"/>
      <c r="F201" s="116"/>
      <c r="H201" s="116"/>
      <c r="I201" s="116"/>
      <c r="L201" s="170"/>
    </row>
    <row r="202" spans="1:12" x14ac:dyDescent="0.25">
      <c r="A202" s="170"/>
      <c r="B202" s="116"/>
      <c r="C202" s="116"/>
      <c r="D202" s="116"/>
      <c r="E202" s="116"/>
      <c r="F202" s="116"/>
      <c r="H202" s="116"/>
      <c r="I202" s="116"/>
      <c r="L202" s="170"/>
    </row>
    <row r="203" spans="1:12" x14ac:dyDescent="0.25">
      <c r="A203" s="170"/>
      <c r="B203" s="116"/>
      <c r="C203" s="116"/>
      <c r="D203" s="116"/>
      <c r="E203" s="116"/>
      <c r="F203" s="116"/>
      <c r="H203" s="116"/>
      <c r="I203" s="116"/>
      <c r="L203" s="170"/>
    </row>
    <row r="204" spans="1:12" x14ac:dyDescent="0.25">
      <c r="A204" s="170"/>
      <c r="B204" s="116"/>
      <c r="C204" s="116"/>
      <c r="D204" s="116"/>
      <c r="E204" s="116"/>
      <c r="F204" s="116"/>
      <c r="H204" s="116"/>
      <c r="I204" s="116"/>
      <c r="L204" s="170"/>
    </row>
    <row r="205" spans="1:12" x14ac:dyDescent="0.25">
      <c r="A205" s="170"/>
      <c r="B205" s="116"/>
      <c r="C205" s="116"/>
      <c r="D205" s="116"/>
      <c r="E205" s="116"/>
      <c r="F205" s="116"/>
      <c r="H205" s="116"/>
      <c r="I205" s="116"/>
      <c r="L205" s="170"/>
    </row>
    <row r="206" spans="1:12" x14ac:dyDescent="0.25">
      <c r="A206" s="170"/>
      <c r="B206" s="116"/>
      <c r="C206" s="116"/>
      <c r="D206" s="116"/>
      <c r="E206" s="116"/>
      <c r="F206" s="116"/>
      <c r="H206" s="116"/>
      <c r="I206" s="116"/>
      <c r="L206" s="170"/>
    </row>
    <row r="207" spans="1:12" x14ac:dyDescent="0.25">
      <c r="A207" s="170"/>
      <c r="B207" s="116"/>
      <c r="C207" s="116"/>
      <c r="D207" s="116"/>
      <c r="E207" s="116"/>
      <c r="F207" s="116"/>
      <c r="H207" s="116"/>
      <c r="I207" s="116"/>
      <c r="L207" s="170"/>
    </row>
    <row r="208" spans="1:12" x14ac:dyDescent="0.25">
      <c r="A208" s="170"/>
      <c r="B208" s="116"/>
      <c r="C208" s="116"/>
      <c r="D208" s="116"/>
      <c r="E208" s="116"/>
      <c r="F208" s="116"/>
      <c r="H208" s="116"/>
      <c r="I208" s="116"/>
      <c r="L208" s="170"/>
    </row>
    <row r="209" spans="1:12" x14ac:dyDescent="0.25">
      <c r="A209" s="170"/>
      <c r="B209" s="116"/>
      <c r="C209" s="116"/>
      <c r="D209" s="116"/>
      <c r="E209" s="116"/>
      <c r="F209" s="116"/>
      <c r="H209" s="116"/>
      <c r="I209" s="116"/>
      <c r="L209" s="170"/>
    </row>
    <row r="210" spans="1:12" x14ac:dyDescent="0.25">
      <c r="A210" s="170"/>
      <c r="B210" s="116"/>
      <c r="C210" s="116"/>
      <c r="D210" s="116"/>
      <c r="E210" s="116"/>
      <c r="F210" s="116"/>
      <c r="H210" s="116"/>
      <c r="I210" s="116"/>
      <c r="L210" s="170"/>
    </row>
    <row r="211" spans="1:12" x14ac:dyDescent="0.25">
      <c r="A211" s="170"/>
      <c r="B211" s="116"/>
      <c r="C211" s="116"/>
      <c r="D211" s="116"/>
      <c r="E211" s="116"/>
      <c r="F211" s="116"/>
      <c r="H211" s="116"/>
      <c r="I211" s="116"/>
      <c r="L211" s="170"/>
    </row>
    <row r="212" spans="1:12" x14ac:dyDescent="0.25">
      <c r="A212" s="170"/>
      <c r="B212" s="116"/>
      <c r="C212" s="116"/>
      <c r="D212" s="116"/>
      <c r="E212" s="116"/>
      <c r="F212" s="116"/>
      <c r="H212" s="116"/>
      <c r="I212" s="116"/>
      <c r="L212" s="170"/>
    </row>
    <row r="213" spans="1:12" x14ac:dyDescent="0.25">
      <c r="A213" s="170"/>
      <c r="B213" s="116"/>
      <c r="C213" s="116"/>
      <c r="D213" s="116"/>
      <c r="E213" s="116"/>
      <c r="F213" s="116"/>
      <c r="H213" s="116"/>
      <c r="I213" s="116"/>
      <c r="L213" s="170"/>
    </row>
    <row r="214" spans="1:12" x14ac:dyDescent="0.25">
      <c r="A214" s="170"/>
      <c r="B214" s="116"/>
      <c r="C214" s="116"/>
      <c r="D214" s="116"/>
      <c r="E214" s="116"/>
      <c r="F214" s="116"/>
      <c r="H214" s="116"/>
      <c r="I214" s="116"/>
      <c r="L214" s="170"/>
    </row>
    <row r="215" spans="1:12" x14ac:dyDescent="0.25">
      <c r="A215" s="170"/>
      <c r="B215" s="116"/>
      <c r="C215" s="116"/>
      <c r="D215" s="116"/>
      <c r="E215" s="116"/>
      <c r="F215" s="116"/>
      <c r="H215" s="116"/>
      <c r="I215" s="116"/>
      <c r="L215" s="170"/>
    </row>
    <row r="216" spans="1:12" x14ac:dyDescent="0.25">
      <c r="A216" s="170"/>
      <c r="B216" s="116"/>
      <c r="C216" s="116"/>
      <c r="D216" s="116"/>
      <c r="E216" s="116"/>
      <c r="F216" s="116"/>
      <c r="H216" s="116"/>
      <c r="I216" s="116"/>
      <c r="L216" s="170"/>
    </row>
    <row r="217" spans="1:12" x14ac:dyDescent="0.25">
      <c r="A217" s="170"/>
      <c r="B217" s="116"/>
      <c r="C217" s="116"/>
      <c r="D217" s="116"/>
      <c r="E217" s="116"/>
      <c r="F217" s="116"/>
      <c r="H217" s="116"/>
      <c r="I217" s="116"/>
      <c r="L217" s="170"/>
    </row>
    <row r="218" spans="1:12" x14ac:dyDescent="0.25">
      <c r="A218" s="170"/>
      <c r="B218" s="116"/>
      <c r="C218" s="116"/>
      <c r="D218" s="116"/>
      <c r="E218" s="116"/>
      <c r="F218" s="116"/>
      <c r="H218" s="116"/>
      <c r="I218" s="116"/>
      <c r="L218" s="170"/>
    </row>
    <row r="219" spans="1:12" x14ac:dyDescent="0.25">
      <c r="A219" s="170"/>
      <c r="B219" s="116"/>
      <c r="C219" s="116"/>
      <c r="D219" s="116"/>
      <c r="E219" s="116"/>
      <c r="F219" s="116"/>
      <c r="H219" s="116"/>
      <c r="I219" s="116"/>
      <c r="L219" s="170"/>
    </row>
    <row r="220" spans="1:12" x14ac:dyDescent="0.25">
      <c r="A220" s="170"/>
      <c r="B220" s="116"/>
      <c r="C220" s="116"/>
      <c r="D220" s="116"/>
      <c r="E220" s="116"/>
      <c r="F220" s="116"/>
      <c r="H220" s="116"/>
      <c r="I220" s="116"/>
      <c r="L220" s="170"/>
    </row>
    <row r="221" spans="1:12" x14ac:dyDescent="0.25">
      <c r="A221" s="170"/>
      <c r="B221" s="116"/>
      <c r="C221" s="116"/>
      <c r="D221" s="116"/>
      <c r="E221" s="116"/>
      <c r="F221" s="116"/>
      <c r="H221" s="116"/>
      <c r="I221" s="116"/>
      <c r="L221" s="170"/>
    </row>
    <row r="222" spans="1:12" x14ac:dyDescent="0.25">
      <c r="A222" s="170"/>
      <c r="B222" s="116"/>
      <c r="C222" s="116"/>
      <c r="D222" s="116"/>
      <c r="E222" s="116"/>
      <c r="F222" s="116"/>
      <c r="H222" s="116"/>
      <c r="I222" s="116"/>
      <c r="L222" s="170"/>
    </row>
    <row r="223" spans="1:12" x14ac:dyDescent="0.25">
      <c r="A223" s="170"/>
      <c r="B223" s="116"/>
      <c r="C223" s="116"/>
      <c r="D223" s="116"/>
      <c r="E223" s="116"/>
      <c r="F223" s="116"/>
      <c r="H223" s="116"/>
      <c r="I223" s="116"/>
      <c r="L223" s="170"/>
    </row>
    <row r="224" spans="1:12" x14ac:dyDescent="0.25">
      <c r="A224" s="170"/>
      <c r="B224" s="116"/>
      <c r="C224" s="116"/>
      <c r="D224" s="116"/>
      <c r="E224" s="116"/>
      <c r="F224" s="116"/>
      <c r="H224" s="116"/>
      <c r="I224" s="116"/>
      <c r="L224" s="170"/>
    </row>
    <row r="225" spans="1:12" x14ac:dyDescent="0.25">
      <c r="A225" s="170"/>
      <c r="B225" s="116"/>
      <c r="C225" s="116"/>
      <c r="D225" s="116"/>
      <c r="E225" s="116"/>
      <c r="F225" s="116"/>
      <c r="H225" s="116"/>
      <c r="I225" s="116"/>
      <c r="L225" s="170"/>
    </row>
    <row r="226" spans="1:12" x14ac:dyDescent="0.25">
      <c r="A226" s="170"/>
      <c r="B226" s="116"/>
      <c r="C226" s="116"/>
      <c r="D226" s="116"/>
      <c r="E226" s="116"/>
      <c r="F226" s="116"/>
      <c r="H226" s="116"/>
      <c r="I226" s="116"/>
      <c r="L226" s="170"/>
    </row>
    <row r="227" spans="1:12" x14ac:dyDescent="0.25">
      <c r="A227" s="170"/>
      <c r="B227" s="116"/>
      <c r="C227" s="116"/>
      <c r="D227" s="116"/>
      <c r="E227" s="116"/>
      <c r="F227" s="116"/>
      <c r="H227" s="116"/>
      <c r="I227" s="116"/>
      <c r="L227" s="170"/>
    </row>
    <row r="228" spans="1:12" x14ac:dyDescent="0.25">
      <c r="A228" s="170"/>
      <c r="B228" s="116"/>
      <c r="C228" s="116"/>
      <c r="D228" s="116"/>
      <c r="E228" s="116"/>
      <c r="F228" s="116"/>
      <c r="H228" s="116"/>
      <c r="I228" s="116"/>
      <c r="L228" s="170"/>
    </row>
    <row r="229" spans="1:12" x14ac:dyDescent="0.25">
      <c r="A229" s="170"/>
      <c r="B229" s="116"/>
      <c r="C229" s="116"/>
      <c r="D229" s="116"/>
      <c r="E229" s="116"/>
      <c r="F229" s="116"/>
      <c r="H229" s="116"/>
      <c r="I229" s="116"/>
      <c r="L229" s="170"/>
    </row>
    <row r="230" spans="1:12" x14ac:dyDescent="0.25">
      <c r="A230" s="170"/>
      <c r="B230" s="116"/>
      <c r="C230" s="116"/>
      <c r="D230" s="116"/>
      <c r="E230" s="116"/>
      <c r="F230" s="116"/>
      <c r="H230" s="116"/>
      <c r="I230" s="116"/>
      <c r="L230" s="170"/>
    </row>
    <row r="231" spans="1:12" x14ac:dyDescent="0.25">
      <c r="A231" s="170"/>
      <c r="B231" s="116"/>
      <c r="C231" s="116"/>
      <c r="D231" s="116"/>
      <c r="E231" s="116"/>
      <c r="F231" s="116"/>
      <c r="H231" s="116"/>
      <c r="I231" s="116"/>
      <c r="L231" s="170"/>
    </row>
    <row r="232" spans="1:12" x14ac:dyDescent="0.25">
      <c r="A232" s="170"/>
      <c r="B232" s="116"/>
      <c r="C232" s="116"/>
      <c r="D232" s="116"/>
      <c r="E232" s="116"/>
      <c r="F232" s="116"/>
      <c r="H232" s="116"/>
      <c r="I232" s="116"/>
      <c r="L232" s="170"/>
    </row>
    <row r="233" spans="1:12" x14ac:dyDescent="0.25">
      <c r="A233" s="170"/>
      <c r="B233" s="116"/>
      <c r="C233" s="116"/>
      <c r="D233" s="116"/>
      <c r="E233" s="116"/>
      <c r="F233" s="116"/>
      <c r="H233" s="116"/>
      <c r="I233" s="116"/>
      <c r="L233" s="170"/>
    </row>
    <row r="234" spans="1:12" x14ac:dyDescent="0.25">
      <c r="A234" s="170"/>
      <c r="B234" s="116"/>
      <c r="C234" s="116"/>
      <c r="D234" s="116"/>
      <c r="E234" s="116"/>
      <c r="F234" s="116"/>
      <c r="H234" s="116"/>
      <c r="I234" s="116"/>
      <c r="L234" s="170"/>
    </row>
    <row r="235" spans="1:12" x14ac:dyDescent="0.25">
      <c r="A235" s="170"/>
      <c r="B235" s="116"/>
      <c r="C235" s="116"/>
      <c r="D235" s="116"/>
      <c r="E235" s="116"/>
      <c r="F235" s="116"/>
      <c r="H235" s="116"/>
      <c r="I235" s="116"/>
      <c r="L235" s="170"/>
    </row>
    <row r="236" spans="1:12" x14ac:dyDescent="0.25">
      <c r="A236" s="170"/>
      <c r="B236" s="116"/>
      <c r="C236" s="116"/>
      <c r="D236" s="116"/>
      <c r="E236" s="116"/>
      <c r="F236" s="116"/>
      <c r="H236" s="116"/>
      <c r="I236" s="116"/>
      <c r="L236" s="170"/>
    </row>
    <row r="237" spans="1:12" x14ac:dyDescent="0.25">
      <c r="A237" s="170"/>
      <c r="B237" s="116"/>
      <c r="C237" s="116"/>
      <c r="D237" s="116"/>
      <c r="E237" s="116"/>
      <c r="F237" s="116"/>
      <c r="H237" s="116"/>
      <c r="I237" s="116"/>
      <c r="L237" s="170"/>
    </row>
    <row r="238" spans="1:12" x14ac:dyDescent="0.25">
      <c r="A238" s="170"/>
      <c r="B238" s="116"/>
      <c r="C238" s="116"/>
      <c r="D238" s="116"/>
      <c r="E238" s="116"/>
      <c r="F238" s="116"/>
      <c r="H238" s="116"/>
      <c r="I238" s="116"/>
      <c r="L238" s="170"/>
    </row>
    <row r="239" spans="1:12" x14ac:dyDescent="0.25">
      <c r="A239" s="170"/>
      <c r="B239" s="116"/>
      <c r="C239" s="116"/>
      <c r="D239" s="116"/>
      <c r="E239" s="116"/>
      <c r="F239" s="116"/>
      <c r="H239" s="116"/>
      <c r="I239" s="116"/>
      <c r="L239" s="170"/>
    </row>
    <row r="240" spans="1:12" x14ac:dyDescent="0.25">
      <c r="A240" s="170"/>
      <c r="B240" s="116"/>
      <c r="C240" s="116"/>
      <c r="D240" s="116"/>
      <c r="E240" s="116"/>
      <c r="F240" s="116"/>
      <c r="H240" s="116"/>
      <c r="I240" s="116"/>
      <c r="L240" s="170"/>
    </row>
    <row r="241" spans="1:12" x14ac:dyDescent="0.25">
      <c r="A241" s="170"/>
      <c r="B241" s="116"/>
      <c r="C241" s="116"/>
      <c r="D241" s="116"/>
      <c r="E241" s="116"/>
      <c r="F241" s="116"/>
      <c r="H241" s="116"/>
      <c r="I241" s="116"/>
      <c r="L241" s="170"/>
    </row>
    <row r="242" spans="1:12" x14ac:dyDescent="0.25">
      <c r="A242" s="170"/>
      <c r="B242" s="116"/>
      <c r="C242" s="116"/>
      <c r="D242" s="116"/>
      <c r="E242" s="116"/>
      <c r="F242" s="116"/>
      <c r="H242" s="116"/>
      <c r="I242" s="116"/>
      <c r="L242" s="170"/>
    </row>
    <row r="243" spans="1:12" x14ac:dyDescent="0.25">
      <c r="A243" s="170"/>
      <c r="B243" s="116"/>
      <c r="C243" s="116"/>
      <c r="D243" s="116"/>
      <c r="E243" s="116"/>
      <c r="F243" s="116"/>
      <c r="H243" s="116"/>
      <c r="I243" s="116"/>
      <c r="L243" s="170"/>
    </row>
    <row r="244" spans="1:12" x14ac:dyDescent="0.25">
      <c r="A244" s="170"/>
      <c r="B244" s="116"/>
      <c r="C244" s="116"/>
      <c r="D244" s="116"/>
      <c r="E244" s="116"/>
      <c r="F244" s="116"/>
      <c r="H244" s="116"/>
      <c r="I244" s="116"/>
      <c r="L244" s="170"/>
    </row>
    <row r="245" spans="1:12" x14ac:dyDescent="0.25">
      <c r="A245" s="170"/>
      <c r="B245" s="116"/>
      <c r="C245" s="116"/>
      <c r="D245" s="116"/>
      <c r="E245" s="116"/>
      <c r="F245" s="116"/>
      <c r="H245" s="116"/>
      <c r="I245" s="116"/>
      <c r="L245" s="170"/>
    </row>
    <row r="246" spans="1:12" x14ac:dyDescent="0.25">
      <c r="A246" s="170"/>
      <c r="B246" s="116"/>
      <c r="C246" s="116"/>
      <c r="D246" s="116"/>
      <c r="E246" s="116"/>
      <c r="F246" s="116"/>
      <c r="H246" s="116"/>
      <c r="I246" s="116"/>
      <c r="L246" s="170"/>
    </row>
    <row r="247" spans="1:12" x14ac:dyDescent="0.25">
      <c r="A247" s="170"/>
      <c r="B247" s="116"/>
      <c r="C247" s="116"/>
      <c r="D247" s="116"/>
      <c r="E247" s="116"/>
      <c r="F247" s="116"/>
      <c r="H247" s="116"/>
      <c r="I247" s="116"/>
      <c r="L247" s="170"/>
    </row>
    <row r="248" spans="1:12" x14ac:dyDescent="0.25">
      <c r="A248" s="170"/>
      <c r="B248" s="116"/>
      <c r="C248" s="116"/>
      <c r="D248" s="116"/>
      <c r="E248" s="116"/>
      <c r="F248" s="116"/>
      <c r="H248" s="116"/>
      <c r="I248" s="116"/>
      <c r="L248" s="170"/>
    </row>
    <row r="249" spans="1:12" x14ac:dyDescent="0.25">
      <c r="A249" s="170"/>
      <c r="B249" s="116"/>
      <c r="C249" s="116"/>
      <c r="D249" s="116"/>
      <c r="E249" s="116"/>
      <c r="F249" s="116"/>
      <c r="H249" s="116"/>
      <c r="I249" s="116"/>
      <c r="L249" s="170"/>
    </row>
    <row r="250" spans="1:12" x14ac:dyDescent="0.25">
      <c r="A250" s="170"/>
      <c r="B250" s="116"/>
      <c r="C250" s="116"/>
      <c r="D250" s="116"/>
      <c r="E250" s="116"/>
      <c r="F250" s="116"/>
      <c r="H250" s="116"/>
      <c r="I250" s="116"/>
      <c r="L250" s="170"/>
    </row>
    <row r="251" spans="1:12" x14ac:dyDescent="0.25">
      <c r="A251" s="170"/>
      <c r="B251" s="116"/>
      <c r="C251" s="116"/>
      <c r="D251" s="116"/>
      <c r="E251" s="116"/>
      <c r="F251" s="116"/>
      <c r="H251" s="116"/>
      <c r="I251" s="116"/>
      <c r="L251" s="170"/>
    </row>
    <row r="252" spans="1:12" x14ac:dyDescent="0.25">
      <c r="A252" s="170"/>
      <c r="B252" s="116"/>
      <c r="C252" s="116"/>
      <c r="D252" s="116"/>
      <c r="E252" s="116"/>
      <c r="F252" s="116"/>
      <c r="H252" s="116"/>
      <c r="I252" s="116"/>
      <c r="L252" s="170"/>
    </row>
    <row r="253" spans="1:12" x14ac:dyDescent="0.25">
      <c r="A253" s="170"/>
      <c r="B253" s="116"/>
      <c r="C253" s="116"/>
      <c r="D253" s="116"/>
      <c r="E253" s="116"/>
      <c r="F253" s="116"/>
      <c r="H253" s="116"/>
      <c r="I253" s="116"/>
      <c r="L253" s="170"/>
    </row>
    <row r="254" spans="1:12" x14ac:dyDescent="0.25">
      <c r="A254" s="170"/>
      <c r="B254" s="116"/>
      <c r="C254" s="116"/>
      <c r="D254" s="116"/>
      <c r="E254" s="116"/>
      <c r="F254" s="116"/>
      <c r="H254" s="116"/>
      <c r="I254" s="116"/>
      <c r="L254" s="170"/>
    </row>
    <row r="255" spans="1:12" x14ac:dyDescent="0.25">
      <c r="A255" s="170"/>
      <c r="B255" s="116"/>
      <c r="C255" s="116"/>
      <c r="D255" s="116"/>
      <c r="E255" s="116"/>
      <c r="F255" s="116"/>
      <c r="H255" s="116"/>
      <c r="I255" s="116"/>
      <c r="L255" s="170"/>
    </row>
    <row r="256" spans="1:12" x14ac:dyDescent="0.25">
      <c r="A256" s="170"/>
      <c r="B256" s="116"/>
      <c r="C256" s="116"/>
      <c r="D256" s="116"/>
      <c r="E256" s="116"/>
      <c r="F256" s="116"/>
      <c r="H256" s="116"/>
      <c r="I256" s="116"/>
      <c r="L256" s="170"/>
    </row>
    <row r="257" spans="1:12" x14ac:dyDescent="0.25">
      <c r="A257" s="170"/>
      <c r="B257" s="116"/>
      <c r="C257" s="116"/>
      <c r="D257" s="116"/>
      <c r="E257" s="116"/>
      <c r="F257" s="116"/>
      <c r="H257" s="116"/>
      <c r="I257" s="116"/>
      <c r="L257" s="170"/>
    </row>
    <row r="258" spans="1:12" x14ac:dyDescent="0.25">
      <c r="A258" s="170"/>
      <c r="B258" s="116"/>
      <c r="C258" s="116"/>
      <c r="D258" s="116"/>
      <c r="E258" s="116"/>
      <c r="F258" s="116"/>
      <c r="H258" s="116"/>
      <c r="I258" s="116"/>
      <c r="L258" s="170"/>
    </row>
    <row r="259" spans="1:12" x14ac:dyDescent="0.25">
      <c r="A259" s="170"/>
      <c r="B259" s="116"/>
      <c r="C259" s="116"/>
      <c r="D259" s="116"/>
      <c r="E259" s="116"/>
      <c r="F259" s="116"/>
      <c r="H259" s="116"/>
      <c r="I259" s="116"/>
      <c r="L259" s="170"/>
    </row>
    <row r="260" spans="1:12" x14ac:dyDescent="0.25">
      <c r="A260" s="170"/>
      <c r="B260" s="116"/>
      <c r="C260" s="116"/>
      <c r="D260" s="116"/>
      <c r="E260" s="116"/>
      <c r="F260" s="116"/>
      <c r="H260" s="116"/>
      <c r="I260" s="116"/>
      <c r="L260" s="170"/>
    </row>
    <row r="261" spans="1:12" x14ac:dyDescent="0.25">
      <c r="A261" s="170"/>
      <c r="B261" s="116"/>
      <c r="C261" s="116"/>
      <c r="D261" s="116"/>
      <c r="E261" s="116"/>
      <c r="F261" s="116"/>
      <c r="H261" s="116"/>
      <c r="I261" s="116"/>
      <c r="L261" s="170"/>
    </row>
    <row r="262" spans="1:12" x14ac:dyDescent="0.25">
      <c r="A262" s="170"/>
      <c r="B262" s="116"/>
      <c r="C262" s="116"/>
      <c r="D262" s="116"/>
      <c r="E262" s="116"/>
      <c r="F262" s="116"/>
      <c r="H262" s="116"/>
      <c r="I262" s="116"/>
      <c r="L262" s="170"/>
    </row>
    <row r="263" spans="1:12" x14ac:dyDescent="0.25">
      <c r="A263" s="170"/>
      <c r="B263" s="116"/>
      <c r="C263" s="116"/>
      <c r="D263" s="116"/>
      <c r="E263" s="116"/>
      <c r="F263" s="116"/>
      <c r="H263" s="116"/>
      <c r="I263" s="116"/>
      <c r="L263" s="170"/>
    </row>
    <row r="264" spans="1:12" x14ac:dyDescent="0.25">
      <c r="A264" s="170"/>
      <c r="B264" s="116"/>
      <c r="C264" s="116"/>
      <c r="D264" s="116"/>
      <c r="E264" s="116"/>
      <c r="F264" s="116"/>
      <c r="H264" s="116"/>
      <c r="I264" s="116"/>
      <c r="L264" s="170"/>
    </row>
    <row r="265" spans="1:12" x14ac:dyDescent="0.25">
      <c r="A265" s="170"/>
      <c r="B265" s="116"/>
      <c r="C265" s="116"/>
      <c r="D265" s="116"/>
      <c r="E265" s="116"/>
      <c r="F265" s="116"/>
      <c r="H265" s="116"/>
      <c r="I265" s="116"/>
      <c r="L265" s="170"/>
    </row>
    <row r="266" spans="1:12" x14ac:dyDescent="0.25">
      <c r="A266" s="170"/>
      <c r="B266" s="116"/>
      <c r="C266" s="116"/>
      <c r="D266" s="116"/>
      <c r="E266" s="116"/>
      <c r="F266" s="116"/>
      <c r="H266" s="116"/>
      <c r="I266" s="116"/>
      <c r="L266" s="170"/>
    </row>
    <row r="267" spans="1:12" x14ac:dyDescent="0.25">
      <c r="A267" s="170"/>
      <c r="B267" s="116"/>
      <c r="C267" s="116"/>
      <c r="D267" s="116"/>
      <c r="E267" s="116"/>
      <c r="F267" s="116"/>
      <c r="H267" s="116"/>
      <c r="I267" s="116"/>
      <c r="L267" s="170"/>
    </row>
    <row r="268" spans="1:12" x14ac:dyDescent="0.25">
      <c r="A268" s="170"/>
      <c r="B268" s="116"/>
      <c r="C268" s="116"/>
      <c r="D268" s="116"/>
      <c r="E268" s="116"/>
      <c r="F268" s="116"/>
      <c r="H268" s="116"/>
      <c r="I268" s="116"/>
      <c r="L268" s="170"/>
    </row>
    <row r="269" spans="1:12" x14ac:dyDescent="0.25">
      <c r="A269" s="170"/>
      <c r="B269" s="116"/>
      <c r="C269" s="116"/>
      <c r="D269" s="116"/>
      <c r="E269" s="116"/>
      <c r="F269" s="116"/>
      <c r="H269" s="116"/>
      <c r="I269" s="116"/>
      <c r="L269" s="170"/>
    </row>
    <row r="270" spans="1:12" x14ac:dyDescent="0.25">
      <c r="A270" s="170"/>
      <c r="B270" s="116"/>
      <c r="C270" s="116"/>
      <c r="D270" s="116"/>
      <c r="E270" s="116"/>
      <c r="F270" s="116"/>
      <c r="H270" s="116"/>
      <c r="I270" s="116"/>
      <c r="L270" s="170"/>
    </row>
    <row r="271" spans="1:12" x14ac:dyDescent="0.25">
      <c r="A271" s="170"/>
      <c r="B271" s="116"/>
      <c r="C271" s="116"/>
      <c r="D271" s="116"/>
      <c r="E271" s="116"/>
      <c r="F271" s="116"/>
      <c r="H271" s="116"/>
      <c r="I271" s="116"/>
      <c r="L271" s="170"/>
    </row>
    <row r="272" spans="1:12" x14ac:dyDescent="0.25">
      <c r="A272" s="170"/>
      <c r="B272" s="116"/>
      <c r="C272" s="116"/>
      <c r="D272" s="116"/>
      <c r="E272" s="116"/>
      <c r="F272" s="116"/>
      <c r="H272" s="116"/>
      <c r="I272" s="116"/>
      <c r="L272" s="170"/>
    </row>
    <row r="273" spans="1:12" x14ac:dyDescent="0.25">
      <c r="A273" s="170"/>
      <c r="B273" s="116"/>
      <c r="C273" s="116"/>
      <c r="D273" s="116"/>
      <c r="E273" s="116"/>
      <c r="F273" s="116"/>
      <c r="H273" s="116"/>
      <c r="I273" s="116"/>
      <c r="L273" s="170"/>
    </row>
    <row r="274" spans="1:12" x14ac:dyDescent="0.25">
      <c r="A274" s="170"/>
      <c r="B274" s="116"/>
      <c r="C274" s="116"/>
      <c r="D274" s="116"/>
      <c r="E274" s="116"/>
      <c r="F274" s="116"/>
      <c r="H274" s="116"/>
      <c r="I274" s="116"/>
      <c r="L274" s="170"/>
    </row>
    <row r="275" spans="1:12" x14ac:dyDescent="0.25">
      <c r="A275" s="170"/>
      <c r="B275" s="116"/>
      <c r="C275" s="116"/>
      <c r="D275" s="116"/>
      <c r="E275" s="116"/>
      <c r="F275" s="116"/>
      <c r="H275" s="116"/>
      <c r="I275" s="116"/>
      <c r="L275" s="170"/>
    </row>
    <row r="276" spans="1:12" x14ac:dyDescent="0.25">
      <c r="A276" s="170"/>
      <c r="B276" s="116"/>
      <c r="C276" s="116"/>
      <c r="D276" s="116"/>
      <c r="E276" s="116"/>
      <c r="F276" s="116"/>
      <c r="H276" s="116"/>
      <c r="I276" s="116"/>
      <c r="L276" s="170"/>
    </row>
    <row r="277" spans="1:12" x14ac:dyDescent="0.25">
      <c r="A277" s="170"/>
      <c r="B277" s="116"/>
      <c r="C277" s="116"/>
      <c r="D277" s="116"/>
      <c r="E277" s="116"/>
      <c r="F277" s="116"/>
      <c r="H277" s="116"/>
      <c r="I277" s="116"/>
      <c r="L277" s="170"/>
    </row>
    <row r="278" spans="1:12" x14ac:dyDescent="0.25">
      <c r="A278" s="170"/>
      <c r="B278" s="116"/>
      <c r="C278" s="116"/>
      <c r="D278" s="116"/>
      <c r="E278" s="116"/>
      <c r="F278" s="116"/>
      <c r="H278" s="116"/>
      <c r="I278" s="116"/>
      <c r="L278" s="170"/>
    </row>
    <row r="279" spans="1:12" x14ac:dyDescent="0.25">
      <c r="A279" s="170"/>
      <c r="B279" s="116"/>
      <c r="C279" s="116"/>
      <c r="D279" s="116"/>
      <c r="E279" s="116"/>
      <c r="F279" s="116"/>
      <c r="H279" s="116"/>
      <c r="I279" s="116"/>
      <c r="L279" s="170"/>
    </row>
    <row r="280" spans="1:12" x14ac:dyDescent="0.25">
      <c r="A280" s="170"/>
      <c r="B280" s="116"/>
      <c r="C280" s="116"/>
      <c r="D280" s="116"/>
      <c r="E280" s="116"/>
      <c r="F280" s="116"/>
      <c r="H280" s="116"/>
      <c r="I280" s="116"/>
      <c r="L280" s="170"/>
    </row>
    <row r="281" spans="1:12" x14ac:dyDescent="0.25">
      <c r="A281" s="170"/>
      <c r="B281" s="116"/>
      <c r="C281" s="116"/>
      <c r="D281" s="116"/>
      <c r="E281" s="116"/>
      <c r="F281" s="116"/>
      <c r="H281" s="116"/>
      <c r="I281" s="116"/>
      <c r="L281" s="170"/>
    </row>
    <row r="282" spans="1:12" x14ac:dyDescent="0.25">
      <c r="A282" s="170"/>
      <c r="B282" s="116"/>
      <c r="C282" s="116"/>
      <c r="D282" s="116"/>
      <c r="E282" s="116"/>
      <c r="F282" s="116"/>
      <c r="H282" s="116"/>
      <c r="I282" s="116"/>
      <c r="L282" s="170"/>
    </row>
    <row r="283" spans="1:12" x14ac:dyDescent="0.25">
      <c r="A283" s="170"/>
      <c r="B283" s="116"/>
      <c r="C283" s="116"/>
      <c r="D283" s="116"/>
      <c r="E283" s="116"/>
      <c r="F283" s="116"/>
      <c r="H283" s="116"/>
      <c r="I283" s="116"/>
      <c r="L283" s="170"/>
    </row>
    <row r="284" spans="1:12" x14ac:dyDescent="0.25">
      <c r="A284" s="170"/>
      <c r="B284" s="116"/>
      <c r="C284" s="116"/>
      <c r="D284" s="116"/>
      <c r="E284" s="116"/>
      <c r="F284" s="116"/>
      <c r="H284" s="116"/>
      <c r="I284" s="116"/>
      <c r="L284" s="170"/>
    </row>
    <row r="285" spans="1:12" x14ac:dyDescent="0.25">
      <c r="A285" s="170"/>
      <c r="B285" s="116"/>
      <c r="C285" s="116"/>
      <c r="D285" s="116"/>
      <c r="E285" s="116"/>
      <c r="F285" s="116"/>
      <c r="H285" s="116"/>
      <c r="I285" s="116"/>
      <c r="L285" s="170"/>
    </row>
    <row r="286" spans="1:12" x14ac:dyDescent="0.25">
      <c r="A286" s="170"/>
      <c r="B286" s="116"/>
      <c r="C286" s="116"/>
      <c r="D286" s="116"/>
      <c r="E286" s="116"/>
      <c r="F286" s="116"/>
      <c r="H286" s="116"/>
      <c r="I286" s="116"/>
      <c r="L286" s="170"/>
    </row>
    <row r="287" spans="1:12" x14ac:dyDescent="0.25">
      <c r="A287" s="170"/>
      <c r="B287" s="116"/>
      <c r="C287" s="116"/>
      <c r="D287" s="116"/>
      <c r="E287" s="116"/>
      <c r="F287" s="116"/>
      <c r="H287" s="116"/>
      <c r="I287" s="116"/>
      <c r="L287" s="170"/>
    </row>
    <row r="288" spans="1:12" x14ac:dyDescent="0.25">
      <c r="A288" s="170"/>
      <c r="B288" s="116"/>
      <c r="C288" s="116"/>
      <c r="D288" s="116"/>
      <c r="E288" s="116"/>
      <c r="F288" s="116"/>
      <c r="H288" s="116"/>
      <c r="I288" s="116"/>
      <c r="L288" s="170"/>
    </row>
    <row r="289" spans="1:12" x14ac:dyDescent="0.25">
      <c r="A289" s="170"/>
      <c r="B289" s="116"/>
      <c r="C289" s="116"/>
      <c r="D289" s="116"/>
      <c r="E289" s="116"/>
      <c r="F289" s="116"/>
      <c r="H289" s="116"/>
      <c r="I289" s="116"/>
      <c r="L289" s="170"/>
    </row>
    <row r="290" spans="1:12" x14ac:dyDescent="0.25">
      <c r="A290" s="170"/>
      <c r="B290" s="116"/>
      <c r="C290" s="116"/>
      <c r="D290" s="116"/>
      <c r="E290" s="116"/>
      <c r="F290" s="116"/>
      <c r="H290" s="116"/>
      <c r="I290" s="116"/>
      <c r="L290" s="170"/>
    </row>
    <row r="291" spans="1:12" x14ac:dyDescent="0.25">
      <c r="A291" s="170"/>
      <c r="B291" s="116"/>
      <c r="C291" s="116"/>
      <c r="D291" s="116"/>
      <c r="E291" s="116"/>
      <c r="F291" s="116"/>
      <c r="H291" s="116"/>
      <c r="I291" s="116"/>
      <c r="L291" s="170"/>
    </row>
    <row r="292" spans="1:12" x14ac:dyDescent="0.25">
      <c r="A292" s="170"/>
      <c r="B292" s="116"/>
      <c r="C292" s="116"/>
      <c r="D292" s="116"/>
      <c r="E292" s="116"/>
      <c r="F292" s="116"/>
      <c r="H292" s="116"/>
      <c r="I292" s="116"/>
      <c r="L292" s="170"/>
    </row>
    <row r="293" spans="1:12" x14ac:dyDescent="0.25">
      <c r="A293" s="170"/>
      <c r="B293" s="116"/>
      <c r="C293" s="116"/>
      <c r="D293" s="116"/>
      <c r="E293" s="116"/>
      <c r="F293" s="116"/>
      <c r="H293" s="116"/>
      <c r="I293" s="116"/>
      <c r="L293" s="170"/>
    </row>
    <row r="294" spans="1:12" x14ac:dyDescent="0.25">
      <c r="A294" s="170"/>
      <c r="B294" s="116"/>
      <c r="C294" s="116"/>
      <c r="D294" s="116"/>
      <c r="E294" s="116"/>
      <c r="F294" s="116"/>
      <c r="H294" s="116"/>
      <c r="I294" s="116"/>
      <c r="L294" s="170"/>
    </row>
    <row r="295" spans="1:12" x14ac:dyDescent="0.25">
      <c r="A295" s="170"/>
      <c r="B295" s="116"/>
      <c r="C295" s="116"/>
      <c r="D295" s="116"/>
      <c r="E295" s="116"/>
      <c r="F295" s="116"/>
      <c r="H295" s="116"/>
      <c r="I295" s="116"/>
      <c r="L295" s="170"/>
    </row>
    <row r="296" spans="1:12" x14ac:dyDescent="0.25">
      <c r="A296" s="170"/>
      <c r="B296" s="116"/>
      <c r="C296" s="116"/>
      <c r="D296" s="116"/>
      <c r="E296" s="116"/>
      <c r="F296" s="116"/>
      <c r="H296" s="116"/>
      <c r="I296" s="116"/>
      <c r="L296" s="170"/>
    </row>
    <row r="297" spans="1:12" x14ac:dyDescent="0.25">
      <c r="A297" s="170"/>
      <c r="B297" s="116"/>
      <c r="C297" s="116"/>
      <c r="D297" s="116"/>
      <c r="E297" s="116"/>
      <c r="F297" s="116"/>
      <c r="H297" s="116"/>
      <c r="I297" s="116"/>
      <c r="L297" s="170"/>
    </row>
    <row r="298" spans="1:12" x14ac:dyDescent="0.25">
      <c r="A298" s="170"/>
      <c r="B298" s="116"/>
      <c r="C298" s="116"/>
      <c r="D298" s="116"/>
      <c r="E298" s="116"/>
      <c r="F298" s="116"/>
      <c r="H298" s="116"/>
      <c r="I298" s="116"/>
      <c r="L298" s="170"/>
    </row>
    <row r="299" spans="1:12" x14ac:dyDescent="0.25">
      <c r="A299" s="170"/>
      <c r="B299" s="116"/>
      <c r="C299" s="116"/>
      <c r="D299" s="116"/>
      <c r="E299" s="116"/>
      <c r="F299" s="116"/>
      <c r="H299" s="116"/>
      <c r="I299" s="116"/>
      <c r="L299" s="170"/>
    </row>
    <row r="300" spans="1:12" x14ac:dyDescent="0.25">
      <c r="A300" s="170"/>
      <c r="B300" s="116"/>
      <c r="C300" s="116"/>
      <c r="D300" s="116"/>
      <c r="E300" s="116"/>
      <c r="F300" s="116"/>
      <c r="H300" s="116"/>
      <c r="I300" s="116"/>
      <c r="L300" s="170"/>
    </row>
    <row r="301" spans="1:12" x14ac:dyDescent="0.25">
      <c r="A301" s="170"/>
      <c r="B301" s="116"/>
      <c r="C301" s="116"/>
      <c r="D301" s="116"/>
      <c r="E301" s="116"/>
      <c r="F301" s="116"/>
      <c r="H301" s="116"/>
      <c r="I301" s="116"/>
      <c r="L301" s="170"/>
    </row>
    <row r="302" spans="1:12" x14ac:dyDescent="0.25">
      <c r="A302" s="170"/>
      <c r="B302" s="116"/>
      <c r="C302" s="116"/>
      <c r="D302" s="116"/>
      <c r="E302" s="116"/>
      <c r="F302" s="116"/>
      <c r="H302" s="116"/>
      <c r="I302" s="116"/>
      <c r="L302" s="170"/>
    </row>
    <row r="303" spans="1:12" x14ac:dyDescent="0.25">
      <c r="A303" s="170"/>
      <c r="B303" s="116"/>
      <c r="C303" s="116"/>
      <c r="D303" s="116"/>
      <c r="E303" s="116"/>
      <c r="F303" s="116"/>
      <c r="H303" s="116"/>
      <c r="I303" s="116"/>
      <c r="L303" s="170"/>
    </row>
    <row r="304" spans="1:12" x14ac:dyDescent="0.25">
      <c r="A304" s="170"/>
      <c r="B304" s="116"/>
      <c r="C304" s="116"/>
      <c r="D304" s="116"/>
      <c r="E304" s="116"/>
      <c r="F304" s="116"/>
      <c r="H304" s="116"/>
      <c r="I304" s="116"/>
      <c r="L304" s="170"/>
    </row>
    <row r="305" spans="1:12" x14ac:dyDescent="0.25">
      <c r="A305" s="170"/>
      <c r="B305" s="116"/>
      <c r="C305" s="116"/>
      <c r="D305" s="116"/>
      <c r="E305" s="116"/>
      <c r="F305" s="116"/>
      <c r="H305" s="116"/>
      <c r="I305" s="116"/>
      <c r="L305" s="170"/>
    </row>
    <row r="306" spans="1:12" x14ac:dyDescent="0.25">
      <c r="A306" s="170"/>
      <c r="B306" s="116"/>
      <c r="C306" s="116"/>
      <c r="D306" s="116"/>
      <c r="E306" s="116"/>
      <c r="F306" s="116"/>
      <c r="H306" s="116"/>
      <c r="I306" s="116"/>
      <c r="L306" s="170"/>
    </row>
    <row r="307" spans="1:12" x14ac:dyDescent="0.25">
      <c r="A307" s="170"/>
      <c r="B307" s="116"/>
      <c r="C307" s="116"/>
      <c r="D307" s="116"/>
      <c r="E307" s="116"/>
      <c r="F307" s="116"/>
      <c r="H307" s="116"/>
      <c r="I307" s="116"/>
      <c r="L307" s="170"/>
    </row>
    <row r="308" spans="1:12" x14ac:dyDescent="0.25">
      <c r="A308" s="170"/>
      <c r="B308" s="116"/>
      <c r="C308" s="116"/>
      <c r="D308" s="116"/>
      <c r="E308" s="116"/>
      <c r="F308" s="116"/>
      <c r="H308" s="116"/>
      <c r="I308" s="116"/>
      <c r="L308" s="170"/>
    </row>
    <row r="309" spans="1:12" x14ac:dyDescent="0.25">
      <c r="A309" s="170"/>
      <c r="B309" s="116"/>
      <c r="C309" s="116"/>
      <c r="D309" s="116"/>
      <c r="E309" s="116"/>
      <c r="F309" s="116"/>
      <c r="H309" s="116"/>
      <c r="I309" s="116"/>
      <c r="L309" s="170"/>
    </row>
    <row r="310" spans="1:12" x14ac:dyDescent="0.25">
      <c r="A310" s="170"/>
      <c r="B310" s="116"/>
      <c r="C310" s="116"/>
      <c r="D310" s="116"/>
      <c r="E310" s="116"/>
      <c r="F310" s="116"/>
      <c r="H310" s="116"/>
      <c r="I310" s="116"/>
      <c r="L310" s="170"/>
    </row>
    <row r="311" spans="1:12" x14ac:dyDescent="0.25">
      <c r="A311" s="170"/>
      <c r="B311" s="116"/>
      <c r="C311" s="116"/>
      <c r="D311" s="116"/>
      <c r="E311" s="116"/>
      <c r="F311" s="116"/>
      <c r="H311" s="116"/>
      <c r="I311" s="116"/>
      <c r="L311" s="170"/>
    </row>
    <row r="312" spans="1:12" x14ac:dyDescent="0.25">
      <c r="A312" s="170"/>
      <c r="B312" s="116"/>
      <c r="C312" s="116"/>
      <c r="D312" s="116"/>
      <c r="E312" s="116"/>
      <c r="F312" s="116"/>
      <c r="H312" s="116"/>
      <c r="I312" s="116"/>
      <c r="L312" s="170"/>
    </row>
    <row r="313" spans="1:12" x14ac:dyDescent="0.25">
      <c r="A313" s="170"/>
      <c r="B313" s="116"/>
      <c r="C313" s="116"/>
      <c r="D313" s="116"/>
      <c r="E313" s="116"/>
      <c r="F313" s="116"/>
      <c r="H313" s="116"/>
      <c r="I313" s="116"/>
      <c r="L313" s="170"/>
    </row>
    <row r="314" spans="1:12" x14ac:dyDescent="0.25">
      <c r="A314" s="170"/>
      <c r="B314" s="116"/>
      <c r="C314" s="116"/>
      <c r="D314" s="116"/>
      <c r="E314" s="116"/>
      <c r="F314" s="116"/>
      <c r="H314" s="116"/>
      <c r="I314" s="116"/>
      <c r="L314" s="170"/>
    </row>
    <row r="315" spans="1:12" x14ac:dyDescent="0.25">
      <c r="A315" s="170"/>
      <c r="B315" s="116"/>
      <c r="C315" s="116"/>
      <c r="D315" s="116"/>
      <c r="E315" s="116"/>
      <c r="F315" s="116"/>
      <c r="H315" s="116"/>
      <c r="I315" s="116"/>
      <c r="L315" s="170"/>
    </row>
    <row r="316" spans="1:12" x14ac:dyDescent="0.25">
      <c r="A316" s="170"/>
      <c r="B316" s="116"/>
      <c r="C316" s="116"/>
      <c r="D316" s="116"/>
      <c r="E316" s="116"/>
      <c r="F316" s="116"/>
      <c r="H316" s="116"/>
      <c r="I316" s="116"/>
      <c r="L316" s="170"/>
    </row>
    <row r="317" spans="1:12" x14ac:dyDescent="0.25">
      <c r="A317" s="170"/>
      <c r="B317" s="116"/>
      <c r="C317" s="116"/>
      <c r="D317" s="116"/>
      <c r="E317" s="116"/>
      <c r="F317" s="116"/>
      <c r="H317" s="116"/>
      <c r="I317" s="116"/>
      <c r="L317" s="170"/>
    </row>
    <row r="318" spans="1:12" x14ac:dyDescent="0.25">
      <c r="A318" s="170"/>
      <c r="B318" s="116"/>
      <c r="C318" s="116"/>
      <c r="D318" s="116"/>
      <c r="E318" s="116"/>
      <c r="F318" s="116"/>
      <c r="H318" s="116"/>
      <c r="I318" s="116"/>
      <c r="L318" s="170"/>
    </row>
    <row r="319" spans="1:12" x14ac:dyDescent="0.25">
      <c r="A319" s="170"/>
      <c r="B319" s="116"/>
      <c r="C319" s="116"/>
      <c r="D319" s="116"/>
      <c r="E319" s="116"/>
      <c r="F319" s="116"/>
      <c r="H319" s="116"/>
      <c r="I319" s="116"/>
      <c r="L319" s="170"/>
    </row>
    <row r="320" spans="1:12" x14ac:dyDescent="0.25">
      <c r="A320" s="170"/>
      <c r="B320" s="116"/>
      <c r="C320" s="116"/>
      <c r="D320" s="116"/>
      <c r="E320" s="116"/>
      <c r="F320" s="116"/>
      <c r="H320" s="116"/>
      <c r="I320" s="116"/>
      <c r="L320" s="170"/>
    </row>
    <row r="321" spans="1:12" x14ac:dyDescent="0.25">
      <c r="A321" s="170"/>
      <c r="B321" s="116"/>
      <c r="C321" s="116"/>
      <c r="D321" s="116"/>
      <c r="E321" s="116"/>
      <c r="F321" s="116"/>
      <c r="H321" s="116"/>
      <c r="I321" s="116"/>
      <c r="L321" s="170"/>
    </row>
    <row r="322" spans="1:12" x14ac:dyDescent="0.25">
      <c r="A322" s="170"/>
      <c r="B322" s="116"/>
      <c r="C322" s="116"/>
      <c r="D322" s="116"/>
      <c r="E322" s="116"/>
      <c r="F322" s="116"/>
      <c r="H322" s="116"/>
      <c r="I322" s="116"/>
      <c r="L322" s="170"/>
    </row>
    <row r="323" spans="1:12" x14ac:dyDescent="0.25">
      <c r="A323" s="170"/>
      <c r="B323" s="116"/>
      <c r="C323" s="116"/>
      <c r="D323" s="116"/>
      <c r="E323" s="116"/>
      <c r="F323" s="116"/>
      <c r="H323" s="116"/>
      <c r="I323" s="116"/>
      <c r="L323" s="170"/>
    </row>
    <row r="324" spans="1:12" x14ac:dyDescent="0.25">
      <c r="A324" s="170"/>
      <c r="B324" s="116"/>
      <c r="C324" s="116"/>
      <c r="D324" s="116"/>
      <c r="E324" s="116"/>
      <c r="F324" s="116"/>
      <c r="H324" s="116"/>
      <c r="I324" s="116"/>
      <c r="L324" s="170"/>
    </row>
    <row r="325" spans="1:12" x14ac:dyDescent="0.25">
      <c r="A325" s="170"/>
      <c r="B325" s="116"/>
      <c r="C325" s="116"/>
      <c r="D325" s="116"/>
      <c r="E325" s="116"/>
      <c r="F325" s="116"/>
      <c r="H325" s="116"/>
      <c r="I325" s="116"/>
      <c r="L325" s="170"/>
    </row>
    <row r="326" spans="1:12" x14ac:dyDescent="0.25">
      <c r="A326" s="170"/>
      <c r="B326" s="116"/>
      <c r="C326" s="116"/>
      <c r="D326" s="116"/>
      <c r="E326" s="116"/>
      <c r="F326" s="116"/>
      <c r="H326" s="116"/>
      <c r="I326" s="116"/>
      <c r="L326" s="170"/>
    </row>
    <row r="327" spans="1:12" x14ac:dyDescent="0.25">
      <c r="A327" s="170"/>
      <c r="B327" s="116"/>
      <c r="C327" s="116"/>
      <c r="D327" s="116"/>
      <c r="E327" s="116"/>
      <c r="F327" s="116"/>
      <c r="H327" s="116"/>
      <c r="I327" s="116"/>
      <c r="L327" s="170"/>
    </row>
    <row r="328" spans="1:12" x14ac:dyDescent="0.25">
      <c r="A328" s="170"/>
      <c r="B328" s="116"/>
      <c r="C328" s="116"/>
      <c r="D328" s="116"/>
      <c r="E328" s="116"/>
      <c r="F328" s="116"/>
      <c r="H328" s="116"/>
      <c r="I328" s="116"/>
      <c r="L328" s="170"/>
    </row>
    <row r="329" spans="1:12" x14ac:dyDescent="0.25">
      <c r="A329" s="170"/>
      <c r="B329" s="116"/>
      <c r="C329" s="116"/>
      <c r="D329" s="116"/>
      <c r="E329" s="116"/>
      <c r="F329" s="116"/>
      <c r="H329" s="116"/>
      <c r="I329" s="116"/>
      <c r="L329" s="170"/>
    </row>
    <row r="330" spans="1:12" x14ac:dyDescent="0.25">
      <c r="A330" s="170"/>
      <c r="B330" s="116"/>
      <c r="C330" s="116"/>
      <c r="D330" s="116"/>
      <c r="E330" s="116"/>
      <c r="F330" s="116"/>
      <c r="H330" s="116"/>
      <c r="I330" s="116"/>
      <c r="L330" s="170"/>
    </row>
    <row r="331" spans="1:12" x14ac:dyDescent="0.25">
      <c r="A331" s="170"/>
      <c r="B331" s="116"/>
      <c r="C331" s="116"/>
      <c r="D331" s="116"/>
      <c r="E331" s="116"/>
      <c r="F331" s="116"/>
      <c r="H331" s="116"/>
      <c r="I331" s="116"/>
      <c r="L331" s="170"/>
    </row>
    <row r="332" spans="1:12" x14ac:dyDescent="0.25">
      <c r="A332" s="170"/>
      <c r="B332" s="116"/>
      <c r="C332" s="116"/>
      <c r="D332" s="116"/>
      <c r="E332" s="116"/>
      <c r="F332" s="116"/>
      <c r="H332" s="116"/>
      <c r="I332" s="116"/>
      <c r="L332" s="170"/>
    </row>
    <row r="333" spans="1:12" x14ac:dyDescent="0.25">
      <c r="A333" s="170"/>
      <c r="B333" s="116"/>
      <c r="C333" s="116"/>
      <c r="D333" s="116"/>
      <c r="E333" s="116"/>
      <c r="F333" s="116"/>
      <c r="H333" s="116"/>
      <c r="I333" s="116"/>
      <c r="L333" s="170"/>
    </row>
    <row r="334" spans="1:12" x14ac:dyDescent="0.25">
      <c r="A334" s="170"/>
      <c r="B334" s="116"/>
      <c r="C334" s="116"/>
      <c r="D334" s="116"/>
      <c r="E334" s="116"/>
      <c r="F334" s="116"/>
      <c r="H334" s="116"/>
      <c r="I334" s="116"/>
      <c r="L334" s="170"/>
    </row>
    <row r="335" spans="1:12" x14ac:dyDescent="0.25">
      <c r="A335" s="170"/>
      <c r="B335" s="116"/>
      <c r="C335" s="116"/>
      <c r="D335" s="116"/>
      <c r="E335" s="116"/>
      <c r="F335" s="116"/>
      <c r="H335" s="116"/>
      <c r="I335" s="116"/>
      <c r="L335" s="170"/>
    </row>
    <row r="336" spans="1:12" x14ac:dyDescent="0.25">
      <c r="A336" s="170"/>
      <c r="B336" s="116"/>
      <c r="C336" s="116"/>
      <c r="D336" s="116"/>
      <c r="E336" s="116"/>
      <c r="F336" s="116"/>
      <c r="H336" s="116"/>
      <c r="I336" s="116"/>
      <c r="L336" s="170"/>
    </row>
    <row r="337" spans="1:18" x14ac:dyDescent="0.25">
      <c r="A337" s="170"/>
      <c r="B337" s="116"/>
      <c r="C337" s="116"/>
      <c r="D337" s="116"/>
      <c r="E337" s="116"/>
      <c r="F337" s="116"/>
      <c r="H337" s="116"/>
      <c r="I337" s="116"/>
      <c r="L337" s="170"/>
    </row>
    <row r="338" spans="1:18" x14ac:dyDescent="0.25">
      <c r="A338" s="170">
        <v>42501</v>
      </c>
      <c r="B338" s="116">
        <v>237.95999999999998</v>
      </c>
      <c r="C338" s="116">
        <v>233.55</v>
      </c>
      <c r="D338" s="116">
        <v>232.6</v>
      </c>
      <c r="E338" s="116">
        <v>235</v>
      </c>
      <c r="F338" s="116">
        <v>1167.75</v>
      </c>
      <c r="G338">
        <v>3694</v>
      </c>
      <c r="H338" s="116"/>
      <c r="I338" s="116"/>
      <c r="L338" s="170">
        <v>42501</v>
      </c>
      <c r="M338" s="116">
        <v>233.79000000000002</v>
      </c>
      <c r="N338" s="116">
        <v>238</v>
      </c>
      <c r="O338" s="116">
        <v>232</v>
      </c>
      <c r="P338" s="116">
        <v>235</v>
      </c>
      <c r="Q338" s="116">
        <v>1168.95</v>
      </c>
      <c r="R338">
        <v>37445</v>
      </c>
    </row>
    <row r="339" spans="1:18" x14ac:dyDescent="0.25">
      <c r="A339" s="170">
        <v>42502</v>
      </c>
      <c r="B339" s="116">
        <v>239.4</v>
      </c>
      <c r="C339" s="116">
        <v>237.69</v>
      </c>
      <c r="D339" s="116">
        <v>232.6</v>
      </c>
      <c r="E339" s="116">
        <v>234</v>
      </c>
      <c r="F339" s="116">
        <v>1188.45</v>
      </c>
      <c r="G339">
        <v>5113</v>
      </c>
      <c r="H339" s="116"/>
      <c r="I339" s="116"/>
      <c r="L339" s="170">
        <v>42502</v>
      </c>
      <c r="M339" s="116">
        <v>237.75</v>
      </c>
      <c r="N339" s="116">
        <v>239.4</v>
      </c>
      <c r="O339" s="116">
        <v>231.53000000000003</v>
      </c>
      <c r="P339" s="116">
        <v>235.38000000000002</v>
      </c>
      <c r="Q339" s="116">
        <v>1188.75</v>
      </c>
      <c r="R339">
        <v>32544</v>
      </c>
    </row>
    <row r="340" spans="1:18" x14ac:dyDescent="0.25">
      <c r="A340" s="170">
        <v>42503</v>
      </c>
      <c r="B340" s="116">
        <v>245</v>
      </c>
      <c r="C340" s="116">
        <v>243.75</v>
      </c>
      <c r="D340" s="116">
        <v>235.42</v>
      </c>
      <c r="E340" s="116">
        <v>235.42</v>
      </c>
      <c r="F340" s="116">
        <v>1218.75</v>
      </c>
      <c r="G340">
        <v>5686</v>
      </c>
      <c r="H340" s="116"/>
      <c r="I340" s="116"/>
      <c r="L340" s="170">
        <v>42503</v>
      </c>
      <c r="M340" s="116">
        <v>244.20999999999998</v>
      </c>
      <c r="N340" s="116">
        <v>245.2</v>
      </c>
      <c r="O340" s="116">
        <v>236.2</v>
      </c>
      <c r="P340" s="116">
        <v>237.38000000000002</v>
      </c>
      <c r="Q340" s="116">
        <v>1221.05</v>
      </c>
      <c r="R340">
        <v>36602</v>
      </c>
    </row>
    <row r="341" spans="1:18" x14ac:dyDescent="0.25">
      <c r="A341" s="170">
        <v>42506</v>
      </c>
      <c r="B341" s="116">
        <v>246</v>
      </c>
      <c r="C341" s="116">
        <v>243.57</v>
      </c>
      <c r="D341" s="116">
        <v>239.60999999999999</v>
      </c>
      <c r="E341" s="116">
        <v>243.6</v>
      </c>
      <c r="F341" s="116">
        <v>1217.8499999999999</v>
      </c>
      <c r="G341">
        <v>2211</v>
      </c>
      <c r="H341" s="116"/>
      <c r="I341" s="116"/>
      <c r="L341" s="170">
        <v>42506</v>
      </c>
      <c r="M341" s="116">
        <v>243.3</v>
      </c>
      <c r="N341" s="116">
        <v>246.55</v>
      </c>
      <c r="O341" s="116">
        <v>240.4</v>
      </c>
      <c r="P341" s="116">
        <v>245</v>
      </c>
      <c r="Q341" s="116">
        <v>1216.5</v>
      </c>
      <c r="R341">
        <v>23600</v>
      </c>
    </row>
    <row r="342" spans="1:18" x14ac:dyDescent="0.25">
      <c r="A342" s="170">
        <v>42507</v>
      </c>
      <c r="B342" s="116">
        <v>251</v>
      </c>
      <c r="C342" s="116">
        <v>242.88000000000002</v>
      </c>
      <c r="D342" s="116">
        <v>240.2</v>
      </c>
      <c r="E342" s="116">
        <v>243.8</v>
      </c>
      <c r="F342" s="116">
        <v>1214.4000000000001</v>
      </c>
      <c r="G342">
        <v>5101</v>
      </c>
      <c r="H342" s="116"/>
      <c r="I342" s="116"/>
      <c r="L342" s="170">
        <v>42507</v>
      </c>
      <c r="M342" s="116">
        <v>243.69</v>
      </c>
      <c r="N342" s="116">
        <v>251</v>
      </c>
      <c r="O342" s="116">
        <v>240.69</v>
      </c>
      <c r="P342" s="116">
        <v>243.35999999999999</v>
      </c>
      <c r="Q342" s="116">
        <v>1218.45</v>
      </c>
      <c r="R342">
        <v>26998</v>
      </c>
    </row>
    <row r="343" spans="1:18" x14ac:dyDescent="0.25">
      <c r="A343" s="170">
        <v>42508</v>
      </c>
      <c r="B343" s="116">
        <v>245.1</v>
      </c>
      <c r="C343" s="116">
        <v>243.21999999999997</v>
      </c>
      <c r="D343" s="116">
        <v>235.6</v>
      </c>
      <c r="E343" s="116">
        <v>235.6</v>
      </c>
      <c r="F343" s="116">
        <v>1216.0999999999999</v>
      </c>
      <c r="G343">
        <v>3549</v>
      </c>
      <c r="H343" s="116"/>
      <c r="I343" s="116"/>
      <c r="L343" s="170">
        <v>42508</v>
      </c>
      <c r="M343" s="116">
        <v>243.59</v>
      </c>
      <c r="N343" s="116">
        <v>246.17</v>
      </c>
      <c r="O343" s="116">
        <v>239</v>
      </c>
      <c r="P343" s="116">
        <v>246.17</v>
      </c>
      <c r="Q343" s="116">
        <v>1217.95</v>
      </c>
      <c r="R343">
        <v>22288</v>
      </c>
    </row>
    <row r="344" spans="1:18" x14ac:dyDescent="0.25">
      <c r="A344" s="170">
        <v>42509</v>
      </c>
      <c r="B344" s="116">
        <v>244.42</v>
      </c>
      <c r="C344" s="116">
        <v>239.91</v>
      </c>
      <c r="D344" s="116">
        <v>239.35</v>
      </c>
      <c r="E344" s="116">
        <v>242.94</v>
      </c>
      <c r="F344" s="116">
        <v>1199.55</v>
      </c>
      <c r="G344">
        <v>1989</v>
      </c>
      <c r="H344" s="116"/>
      <c r="I344" s="116"/>
      <c r="L344" s="170">
        <v>42509</v>
      </c>
      <c r="M344" s="116">
        <v>240.76</v>
      </c>
      <c r="N344" s="116">
        <v>246</v>
      </c>
      <c r="O344" s="116">
        <v>240</v>
      </c>
      <c r="P344" s="116">
        <v>246</v>
      </c>
      <c r="Q344" s="116">
        <v>1203.8</v>
      </c>
      <c r="R344">
        <v>16347</v>
      </c>
    </row>
    <row r="345" spans="1:18" x14ac:dyDescent="0.25">
      <c r="A345" s="170">
        <v>42510</v>
      </c>
      <c r="B345" s="116">
        <v>239.9</v>
      </c>
      <c r="C345" s="116">
        <v>236.88000000000002</v>
      </c>
      <c r="D345" s="116">
        <v>235.51</v>
      </c>
      <c r="E345" s="116">
        <v>238.6</v>
      </c>
      <c r="F345" s="116">
        <v>1184.4000000000001</v>
      </c>
      <c r="G345">
        <v>2946</v>
      </c>
      <c r="H345" s="116"/>
      <c r="I345" s="116"/>
      <c r="L345" s="170">
        <v>42510</v>
      </c>
      <c r="M345" s="116">
        <v>237.14000000000001</v>
      </c>
      <c r="N345" s="116">
        <v>240.54000000000002</v>
      </c>
      <c r="O345" s="116">
        <v>236</v>
      </c>
      <c r="P345" s="116">
        <v>238.01999999999998</v>
      </c>
      <c r="Q345" s="116">
        <v>1185.7</v>
      </c>
      <c r="R345">
        <v>16544</v>
      </c>
    </row>
    <row r="346" spans="1:18" x14ac:dyDescent="0.25">
      <c r="A346" s="170">
        <v>42513</v>
      </c>
      <c r="B346" s="116">
        <v>240.2</v>
      </c>
      <c r="C346" s="116">
        <v>233.24</v>
      </c>
      <c r="D346" s="116">
        <v>232.04000000000002</v>
      </c>
      <c r="E346" s="116">
        <v>238.71999999999997</v>
      </c>
      <c r="F346" s="116">
        <v>1166.2</v>
      </c>
      <c r="G346">
        <v>1943</v>
      </c>
      <c r="H346" s="116"/>
      <c r="I346" s="116"/>
      <c r="L346" s="170">
        <v>42513</v>
      </c>
      <c r="M346" s="116">
        <v>233.28000000000003</v>
      </c>
      <c r="N346" s="116">
        <v>240.71999999999997</v>
      </c>
      <c r="O346" s="116">
        <v>232.16</v>
      </c>
      <c r="P346" s="116">
        <v>239</v>
      </c>
      <c r="Q346" s="116">
        <v>1166.4000000000001</v>
      </c>
      <c r="R346">
        <v>16957</v>
      </c>
    </row>
    <row r="347" spans="1:18" x14ac:dyDescent="0.25">
      <c r="A347" s="170">
        <v>42514</v>
      </c>
      <c r="B347" s="116">
        <v>234.54000000000002</v>
      </c>
      <c r="C347" s="116">
        <v>227.34</v>
      </c>
      <c r="D347" s="116">
        <v>227.01999999999998</v>
      </c>
      <c r="E347" s="116">
        <v>233.99</v>
      </c>
      <c r="F347" s="116">
        <v>1136.7</v>
      </c>
      <c r="G347">
        <v>2357</v>
      </c>
      <c r="H347" s="116"/>
      <c r="I347" s="116"/>
      <c r="L347" s="170">
        <v>42514</v>
      </c>
      <c r="M347" s="116">
        <v>227.13000000000002</v>
      </c>
      <c r="N347" s="116">
        <v>236.38000000000002</v>
      </c>
      <c r="O347" s="116">
        <v>226.8</v>
      </c>
      <c r="P347" s="116">
        <v>236.38000000000002</v>
      </c>
      <c r="Q347" s="116">
        <v>1135.6500000000001</v>
      </c>
      <c r="R347">
        <v>22126</v>
      </c>
    </row>
    <row r="348" spans="1:18" x14ac:dyDescent="0.25">
      <c r="A348" s="170">
        <v>42515</v>
      </c>
      <c r="B348" s="116">
        <v>232.29000000000002</v>
      </c>
      <c r="C348" s="116">
        <v>228.85</v>
      </c>
      <c r="D348" s="116">
        <v>227.8</v>
      </c>
      <c r="E348" s="116">
        <v>230.2</v>
      </c>
      <c r="F348" s="116">
        <v>1144.25</v>
      </c>
      <c r="G348">
        <v>1710</v>
      </c>
      <c r="H348" s="116"/>
      <c r="I348" s="116"/>
      <c r="L348" s="170">
        <v>42515</v>
      </c>
      <c r="M348" s="116">
        <v>228.61999999999998</v>
      </c>
      <c r="N348" s="116">
        <v>232.98000000000002</v>
      </c>
      <c r="O348" s="116">
        <v>227</v>
      </c>
      <c r="P348" s="116">
        <v>229.98000000000002</v>
      </c>
      <c r="Q348" s="116">
        <v>1143.0999999999999</v>
      </c>
      <c r="R348">
        <v>19688</v>
      </c>
    </row>
    <row r="349" spans="1:18" x14ac:dyDescent="0.25">
      <c r="A349" s="170">
        <v>42516</v>
      </c>
      <c r="B349" s="116">
        <v>236.4</v>
      </c>
      <c r="C349" s="116">
        <v>233.14000000000001</v>
      </c>
      <c r="D349" s="116">
        <v>226.95</v>
      </c>
      <c r="E349" s="116">
        <v>230.4</v>
      </c>
      <c r="F349" s="116">
        <v>1165.7</v>
      </c>
      <c r="G349">
        <v>5331</v>
      </c>
      <c r="H349" s="116"/>
      <c r="I349" s="116"/>
      <c r="L349" s="170">
        <v>42516</v>
      </c>
      <c r="M349" s="116">
        <v>233.76999999999998</v>
      </c>
      <c r="N349" s="116">
        <v>236.8</v>
      </c>
      <c r="O349" s="116">
        <v>226.35999999999999</v>
      </c>
      <c r="P349" s="116">
        <v>229.6</v>
      </c>
      <c r="Q349" s="116">
        <v>1168.8499999999999</v>
      </c>
      <c r="R349">
        <v>36972</v>
      </c>
    </row>
    <row r="350" spans="1:18" x14ac:dyDescent="0.25">
      <c r="A350" s="170">
        <v>42517</v>
      </c>
      <c r="B350" s="116">
        <v>239.55</v>
      </c>
      <c r="C350" s="116">
        <v>234.31</v>
      </c>
      <c r="D350" s="116">
        <v>233.24</v>
      </c>
      <c r="E350" s="116">
        <v>233.51</v>
      </c>
      <c r="F350" s="116">
        <v>1171.55</v>
      </c>
      <c r="G350">
        <v>2034</v>
      </c>
      <c r="H350" s="116"/>
      <c r="I350" s="116"/>
      <c r="L350" s="170">
        <v>42517</v>
      </c>
      <c r="M350" s="116">
        <v>234.48000000000002</v>
      </c>
      <c r="N350" s="116">
        <v>239.6</v>
      </c>
      <c r="O350" s="116">
        <v>233.82</v>
      </c>
      <c r="P350" s="116">
        <v>233.98000000000002</v>
      </c>
      <c r="Q350" s="116">
        <v>1172.4000000000001</v>
      </c>
      <c r="R350">
        <v>31630</v>
      </c>
    </row>
    <row r="351" spans="1:18" x14ac:dyDescent="0.25">
      <c r="A351" s="170">
        <v>42520</v>
      </c>
      <c r="B351" s="116">
        <v>236.16</v>
      </c>
      <c r="C351" s="116">
        <v>235.26</v>
      </c>
      <c r="D351" s="116">
        <v>232</v>
      </c>
      <c r="E351" s="116">
        <v>236.16</v>
      </c>
      <c r="F351" s="116">
        <v>1176.3</v>
      </c>
      <c r="G351">
        <v>1902</v>
      </c>
      <c r="H351" s="116"/>
      <c r="I351" s="116"/>
      <c r="L351" s="170">
        <v>42520</v>
      </c>
      <c r="M351" s="116">
        <v>235.10999999999999</v>
      </c>
      <c r="N351" s="116">
        <v>237.8</v>
      </c>
      <c r="O351" s="116">
        <v>232.32</v>
      </c>
      <c r="P351" s="116">
        <v>237.8</v>
      </c>
      <c r="Q351" s="116">
        <v>1175.55</v>
      </c>
      <c r="R351">
        <v>14655</v>
      </c>
    </row>
    <row r="352" spans="1:18" x14ac:dyDescent="0.25">
      <c r="A352" s="170">
        <v>42521</v>
      </c>
      <c r="B352" s="116">
        <v>244</v>
      </c>
      <c r="C352" s="116">
        <v>241.54000000000002</v>
      </c>
      <c r="D352" s="116">
        <v>232.2</v>
      </c>
      <c r="E352" s="116">
        <v>236.01999999999998</v>
      </c>
      <c r="F352" s="116">
        <v>1207.7</v>
      </c>
      <c r="G352">
        <v>3456</v>
      </c>
      <c r="H352" s="116"/>
      <c r="I352" s="116"/>
      <c r="L352" s="170">
        <v>42521</v>
      </c>
      <c r="M352" s="116">
        <v>241.79000000000002</v>
      </c>
      <c r="N352" s="116">
        <v>244.8</v>
      </c>
      <c r="O352" s="116">
        <v>231.6</v>
      </c>
      <c r="P352" s="116">
        <v>235.98000000000002</v>
      </c>
      <c r="Q352" s="116">
        <v>1208.95</v>
      </c>
      <c r="R352">
        <v>77079</v>
      </c>
    </row>
    <row r="353" spans="1:18" x14ac:dyDescent="0.25">
      <c r="A353" s="170">
        <v>42522</v>
      </c>
      <c r="B353" s="116">
        <v>250.66</v>
      </c>
      <c r="C353" s="116">
        <v>241.49</v>
      </c>
      <c r="D353" s="116">
        <v>239.20999999999998</v>
      </c>
      <c r="E353" s="116">
        <v>240.2</v>
      </c>
      <c r="F353" s="116">
        <v>1207.45</v>
      </c>
      <c r="G353">
        <v>6146</v>
      </c>
      <c r="H353" s="116"/>
      <c r="I353" s="116"/>
      <c r="L353" s="170">
        <v>42522</v>
      </c>
      <c r="M353" s="116">
        <v>241.73000000000002</v>
      </c>
      <c r="N353" s="116">
        <v>251.4</v>
      </c>
      <c r="O353" s="116">
        <v>239.45999999999998</v>
      </c>
      <c r="P353" s="116">
        <v>242.6</v>
      </c>
      <c r="Q353" s="116">
        <v>1208.6500000000001</v>
      </c>
      <c r="R353">
        <v>61383</v>
      </c>
    </row>
    <row r="354" spans="1:18" x14ac:dyDescent="0.25">
      <c r="A354" s="170">
        <v>42523</v>
      </c>
      <c r="B354" s="116">
        <v>244.4</v>
      </c>
      <c r="C354" s="116">
        <v>239.17</v>
      </c>
      <c r="D354" s="116">
        <v>236.01999999999998</v>
      </c>
      <c r="E354" s="116">
        <v>240.8</v>
      </c>
      <c r="F354" s="116">
        <v>1195.8499999999999</v>
      </c>
      <c r="G354">
        <v>3360</v>
      </c>
      <c r="H354" s="116"/>
      <c r="I354" s="116"/>
      <c r="L354" s="170">
        <v>42523</v>
      </c>
      <c r="M354" s="116">
        <v>239.59</v>
      </c>
      <c r="N354" s="116">
        <v>244.98000000000002</v>
      </c>
      <c r="O354" s="116">
        <v>235.98000000000002</v>
      </c>
      <c r="P354" s="116">
        <v>242.59</v>
      </c>
      <c r="Q354" s="116">
        <v>1197.95</v>
      </c>
      <c r="R354">
        <v>23213</v>
      </c>
    </row>
    <row r="355" spans="1:18" x14ac:dyDescent="0.25">
      <c r="A355" s="170">
        <v>42524</v>
      </c>
      <c r="B355" s="116">
        <v>248.76</v>
      </c>
      <c r="C355" s="116">
        <v>242.96999999999997</v>
      </c>
      <c r="D355" s="116">
        <v>241.4</v>
      </c>
      <c r="E355" s="116">
        <v>241.8</v>
      </c>
      <c r="F355" s="116">
        <v>1214.8499999999999</v>
      </c>
      <c r="G355">
        <v>2800</v>
      </c>
      <c r="H355" s="116"/>
      <c r="I355" s="116"/>
      <c r="L355" s="170">
        <v>42524</v>
      </c>
      <c r="M355" s="116">
        <v>243.51999999999998</v>
      </c>
      <c r="N355" s="116">
        <v>249.6</v>
      </c>
      <c r="O355" s="116">
        <v>239.6</v>
      </c>
      <c r="P355" s="116">
        <v>239.6</v>
      </c>
      <c r="Q355" s="116">
        <v>1217.5999999999999</v>
      </c>
      <c r="R355">
        <v>31904</v>
      </c>
    </row>
    <row r="356" spans="1:18" x14ac:dyDescent="0.25">
      <c r="A356" s="170">
        <v>42527</v>
      </c>
      <c r="B356" s="116">
        <v>252</v>
      </c>
      <c r="C356" s="116">
        <v>247.9</v>
      </c>
      <c r="D356" s="116">
        <v>243.6</v>
      </c>
      <c r="E356" s="116">
        <v>245.11999999999998</v>
      </c>
      <c r="F356" s="116">
        <v>1239.5</v>
      </c>
      <c r="G356">
        <v>6730</v>
      </c>
      <c r="H356" s="116"/>
      <c r="I356" s="116"/>
      <c r="L356" s="170">
        <v>42527</v>
      </c>
      <c r="M356" s="116">
        <v>247.61999999999998</v>
      </c>
      <c r="N356" s="116">
        <v>252.2</v>
      </c>
      <c r="O356" s="116">
        <v>243.35999999999999</v>
      </c>
      <c r="P356" s="116">
        <v>243.4</v>
      </c>
      <c r="Q356" s="116">
        <v>1238.0999999999999</v>
      </c>
      <c r="R356">
        <v>62301</v>
      </c>
    </row>
    <row r="357" spans="1:18" x14ac:dyDescent="0.25">
      <c r="A357" s="170">
        <v>42528</v>
      </c>
      <c r="B357" s="116">
        <v>251.3</v>
      </c>
      <c r="C357" s="116">
        <v>244.01</v>
      </c>
      <c r="D357" s="116">
        <v>242.4</v>
      </c>
      <c r="E357" s="116">
        <v>248</v>
      </c>
      <c r="F357" s="116">
        <v>1220.05</v>
      </c>
      <c r="G357">
        <v>3147</v>
      </c>
      <c r="H357" s="116"/>
      <c r="I357" s="116"/>
      <c r="L357" s="170">
        <v>42528</v>
      </c>
      <c r="M357" s="116">
        <v>242.8</v>
      </c>
      <c r="N357" s="116">
        <v>251.01</v>
      </c>
      <c r="O357" s="116">
        <v>241.8</v>
      </c>
      <c r="P357" s="116">
        <v>248.45</v>
      </c>
      <c r="Q357" s="116">
        <v>1214</v>
      </c>
      <c r="R357">
        <v>30193</v>
      </c>
    </row>
    <row r="358" spans="1:18" x14ac:dyDescent="0.25">
      <c r="A358" s="170">
        <v>42529</v>
      </c>
      <c r="B358" s="116">
        <v>245.7</v>
      </c>
      <c r="C358" s="116">
        <v>243.11999999999998</v>
      </c>
      <c r="D358" s="116">
        <v>241.2</v>
      </c>
      <c r="E358" s="116">
        <v>244.56</v>
      </c>
      <c r="F358" s="116">
        <v>1215.5999999999999</v>
      </c>
      <c r="G358">
        <v>1591</v>
      </c>
      <c r="H358" s="116"/>
      <c r="I358" s="116"/>
      <c r="L358" s="170">
        <v>42529</v>
      </c>
      <c r="M358" s="116">
        <v>242.8</v>
      </c>
      <c r="N358" s="116">
        <v>245.66</v>
      </c>
      <c r="O358" s="116">
        <v>241.2</v>
      </c>
      <c r="P358" s="116">
        <v>243.06</v>
      </c>
      <c r="Q358" s="116">
        <v>1214</v>
      </c>
      <c r="R358">
        <v>21323</v>
      </c>
    </row>
    <row r="359" spans="1:18" x14ac:dyDescent="0.25">
      <c r="A359" s="170">
        <v>42530</v>
      </c>
      <c r="B359" s="116">
        <v>244.96999999999997</v>
      </c>
      <c r="C359" s="116">
        <v>240.10999999999999</v>
      </c>
      <c r="D359" s="116">
        <v>239.20999999999998</v>
      </c>
      <c r="E359" s="116">
        <v>244.96999999999997</v>
      </c>
      <c r="F359" s="116">
        <v>1200.55</v>
      </c>
      <c r="G359">
        <v>1519</v>
      </c>
      <c r="H359" s="116"/>
      <c r="I359" s="116"/>
      <c r="L359" s="170">
        <v>42530</v>
      </c>
      <c r="M359" s="116">
        <v>240.55</v>
      </c>
      <c r="N359" s="116">
        <v>245.8</v>
      </c>
      <c r="O359" s="116">
        <v>239.45999999999998</v>
      </c>
      <c r="P359" s="116">
        <v>245.8</v>
      </c>
      <c r="Q359" s="116">
        <v>1202.75</v>
      </c>
      <c r="R359">
        <v>17417</v>
      </c>
    </row>
    <row r="360" spans="1:18" x14ac:dyDescent="0.25">
      <c r="A360" s="170">
        <v>42531</v>
      </c>
      <c r="B360" s="116">
        <v>239.08</v>
      </c>
      <c r="C360" s="116">
        <v>235.13000000000002</v>
      </c>
      <c r="D360" s="116">
        <v>233.6</v>
      </c>
      <c r="E360" s="116">
        <v>239</v>
      </c>
      <c r="F360" s="116">
        <v>1175.6500000000001</v>
      </c>
      <c r="G360">
        <v>6691</v>
      </c>
      <c r="H360" s="116"/>
      <c r="I360" s="116"/>
      <c r="L360" s="170">
        <v>42531</v>
      </c>
      <c r="M360" s="116">
        <v>234.95999999999998</v>
      </c>
      <c r="N360" s="116">
        <v>240</v>
      </c>
      <c r="O360" s="116">
        <v>233.6</v>
      </c>
      <c r="P360" s="116">
        <v>239.99</v>
      </c>
      <c r="Q360" s="116">
        <v>1174.8</v>
      </c>
      <c r="R360">
        <v>32932</v>
      </c>
    </row>
    <row r="361" spans="1:18" x14ac:dyDescent="0.25">
      <c r="A361" s="170">
        <v>42534</v>
      </c>
      <c r="B361" s="116">
        <v>238.10999999999999</v>
      </c>
      <c r="C361" s="116">
        <v>236.96999999999997</v>
      </c>
      <c r="D361" s="116">
        <v>230</v>
      </c>
      <c r="E361" s="116">
        <v>230</v>
      </c>
      <c r="F361" s="116">
        <v>1184.8499999999999</v>
      </c>
      <c r="G361">
        <v>2134</v>
      </c>
      <c r="H361" s="116"/>
      <c r="I361" s="116"/>
      <c r="L361" s="170">
        <v>42534</v>
      </c>
      <c r="M361" s="116">
        <v>236.43</v>
      </c>
      <c r="N361" s="116">
        <v>237.6</v>
      </c>
      <c r="O361" s="116">
        <v>231.63000000000002</v>
      </c>
      <c r="P361" s="116">
        <v>233.92</v>
      </c>
      <c r="Q361" s="116">
        <v>1182.1500000000001</v>
      </c>
      <c r="R361">
        <v>13268</v>
      </c>
    </row>
    <row r="362" spans="1:18" x14ac:dyDescent="0.25">
      <c r="A362" s="170">
        <v>42535</v>
      </c>
      <c r="B362" s="116">
        <v>237.78000000000003</v>
      </c>
      <c r="C362" s="116">
        <v>236.66</v>
      </c>
      <c r="D362" s="116">
        <v>235.48000000000002</v>
      </c>
      <c r="E362" s="116">
        <v>237.23000000000002</v>
      </c>
      <c r="F362" s="116">
        <v>1183.3</v>
      </c>
      <c r="G362">
        <v>902</v>
      </c>
      <c r="H362" s="116"/>
      <c r="I362" s="116"/>
      <c r="L362" s="170">
        <v>42535</v>
      </c>
      <c r="M362" s="116">
        <v>235.53000000000003</v>
      </c>
      <c r="N362" s="116">
        <v>238.5</v>
      </c>
      <c r="O362" s="116">
        <v>234.48000000000002</v>
      </c>
      <c r="P362" s="116">
        <v>236.68</v>
      </c>
      <c r="Q362" s="116">
        <v>1177.6500000000001</v>
      </c>
      <c r="R362">
        <v>12082</v>
      </c>
    </row>
    <row r="363" spans="1:18" x14ac:dyDescent="0.25">
      <c r="A363" s="170">
        <v>42536</v>
      </c>
      <c r="B363" s="116">
        <v>240</v>
      </c>
      <c r="C363" s="116">
        <v>237.13000000000002</v>
      </c>
      <c r="D363" s="116">
        <v>235.33</v>
      </c>
      <c r="E363" s="116">
        <v>237.2</v>
      </c>
      <c r="F363" s="116">
        <v>1185.6500000000001</v>
      </c>
      <c r="G363">
        <v>1142</v>
      </c>
      <c r="H363" s="116"/>
      <c r="I363" s="116"/>
      <c r="L363" s="170">
        <v>42536</v>
      </c>
      <c r="M363" s="116">
        <v>236.1</v>
      </c>
      <c r="N363" s="116">
        <v>241</v>
      </c>
      <c r="O363" s="116">
        <v>235</v>
      </c>
      <c r="P363" s="116">
        <v>237.6</v>
      </c>
      <c r="Q363" s="116">
        <v>1180.5</v>
      </c>
      <c r="R363">
        <v>16170</v>
      </c>
    </row>
    <row r="364" spans="1:18" x14ac:dyDescent="0.25">
      <c r="A364" s="170">
        <v>42537</v>
      </c>
      <c r="B364" s="116">
        <v>238.88000000000002</v>
      </c>
      <c r="C364" s="116">
        <v>236.03000000000003</v>
      </c>
      <c r="D364" s="116">
        <v>234.71999999999997</v>
      </c>
      <c r="E364" s="116">
        <v>236.51</v>
      </c>
      <c r="F364" s="116">
        <v>1180.1500000000001</v>
      </c>
      <c r="G364">
        <v>2737</v>
      </c>
      <c r="H364" s="116"/>
      <c r="I364" s="116"/>
      <c r="L364" s="170">
        <v>42537</v>
      </c>
      <c r="M364" s="116">
        <v>235.69</v>
      </c>
      <c r="N364" s="116">
        <v>239.01</v>
      </c>
      <c r="O364" s="116">
        <v>234.66</v>
      </c>
      <c r="P364" s="116">
        <v>236.36999999999998</v>
      </c>
      <c r="Q364" s="116">
        <v>1178.45</v>
      </c>
      <c r="R364">
        <v>14444</v>
      </c>
    </row>
    <row r="365" spans="1:18" x14ac:dyDescent="0.25">
      <c r="A365" s="170">
        <v>42538</v>
      </c>
      <c r="B365" s="116">
        <v>237.98000000000002</v>
      </c>
      <c r="C365" s="116">
        <v>232.19</v>
      </c>
      <c r="D365" s="116">
        <v>231.18</v>
      </c>
      <c r="E365" s="116">
        <v>237.2</v>
      </c>
      <c r="F365" s="116">
        <v>1160.95</v>
      </c>
      <c r="G365">
        <v>3368</v>
      </c>
      <c r="H365" s="116"/>
      <c r="I365" s="116"/>
      <c r="L365" s="170">
        <v>42538</v>
      </c>
      <c r="M365" s="116">
        <v>231.94</v>
      </c>
      <c r="N365" s="116">
        <v>237.60999999999999</v>
      </c>
      <c r="O365" s="116">
        <v>230.36999999999998</v>
      </c>
      <c r="P365" s="116">
        <v>237.55</v>
      </c>
      <c r="Q365" s="116">
        <v>1159.7</v>
      </c>
      <c r="R365">
        <v>15265</v>
      </c>
    </row>
    <row r="366" spans="1:18" x14ac:dyDescent="0.25">
      <c r="A366" s="170">
        <v>42541</v>
      </c>
      <c r="B366" s="116">
        <v>233.46999999999997</v>
      </c>
      <c r="C366" s="116">
        <v>231.01</v>
      </c>
      <c r="D366" s="116">
        <v>230</v>
      </c>
      <c r="E366" s="116">
        <v>231</v>
      </c>
      <c r="F366" s="116">
        <v>1155.05</v>
      </c>
      <c r="G366">
        <v>2022</v>
      </c>
      <c r="H366" s="116"/>
      <c r="I366" s="116"/>
      <c r="L366" s="170">
        <v>42541</v>
      </c>
      <c r="M366" s="116">
        <v>231.19</v>
      </c>
      <c r="N366" s="116">
        <v>233.2</v>
      </c>
      <c r="O366" s="116">
        <v>229.11999999999998</v>
      </c>
      <c r="P366" s="116">
        <v>229.98000000000002</v>
      </c>
      <c r="Q366" s="116">
        <v>1155.95</v>
      </c>
      <c r="R366">
        <v>20170</v>
      </c>
    </row>
    <row r="367" spans="1:18" x14ac:dyDescent="0.25">
      <c r="A367" s="170">
        <v>42542</v>
      </c>
      <c r="B367" s="116">
        <v>231.2</v>
      </c>
      <c r="C367" s="116">
        <v>229.61999999999998</v>
      </c>
      <c r="D367" s="116">
        <v>229</v>
      </c>
      <c r="E367" s="116">
        <v>231.04000000000002</v>
      </c>
      <c r="F367" s="116">
        <v>1148.0999999999999</v>
      </c>
      <c r="G367">
        <v>1930</v>
      </c>
      <c r="H367" s="116"/>
      <c r="I367" s="116"/>
      <c r="L367" s="170">
        <v>42542</v>
      </c>
      <c r="M367" s="116">
        <v>229.01999999999998</v>
      </c>
      <c r="N367" s="116">
        <v>232.81</v>
      </c>
      <c r="O367" s="116">
        <v>228.2</v>
      </c>
      <c r="P367" s="116">
        <v>232.81</v>
      </c>
      <c r="Q367" s="116">
        <v>1145.0999999999999</v>
      </c>
      <c r="R367">
        <v>19580</v>
      </c>
    </row>
    <row r="368" spans="1:18" x14ac:dyDescent="0.25">
      <c r="A368" s="170">
        <v>42543</v>
      </c>
      <c r="B368" s="116">
        <v>230</v>
      </c>
      <c r="C368" s="116">
        <v>224.96999999999997</v>
      </c>
      <c r="D368" s="116">
        <v>224.4</v>
      </c>
      <c r="E368" s="116">
        <v>230</v>
      </c>
      <c r="F368" s="116">
        <v>1124.8499999999999</v>
      </c>
      <c r="G368">
        <v>2421</v>
      </c>
      <c r="H368" s="116"/>
      <c r="I368" s="116"/>
      <c r="L368" s="170">
        <v>42543</v>
      </c>
      <c r="M368" s="116">
        <v>224.55</v>
      </c>
      <c r="N368" s="116">
        <v>231.8</v>
      </c>
      <c r="O368" s="116">
        <v>223.6</v>
      </c>
      <c r="P368" s="116">
        <v>231.8</v>
      </c>
      <c r="Q368" s="116">
        <v>1122.75</v>
      </c>
      <c r="R368">
        <v>24850</v>
      </c>
    </row>
    <row r="369" spans="1:18" x14ac:dyDescent="0.25">
      <c r="A369" s="170">
        <v>42544</v>
      </c>
      <c r="B369" s="116">
        <v>232.18</v>
      </c>
      <c r="C369" s="116">
        <v>230.29000000000002</v>
      </c>
      <c r="D369" s="116">
        <v>221.59</v>
      </c>
      <c r="E369" s="116">
        <v>224.56</v>
      </c>
      <c r="F369" s="116">
        <v>1151.45</v>
      </c>
      <c r="G369">
        <v>1814</v>
      </c>
      <c r="H369" s="116"/>
      <c r="I369" s="116"/>
      <c r="L369" s="170">
        <v>42544</v>
      </c>
      <c r="M369" s="116">
        <v>230.55</v>
      </c>
      <c r="N369" s="116">
        <v>232.19</v>
      </c>
      <c r="O369" s="116">
        <v>221.3</v>
      </c>
      <c r="P369" s="116">
        <v>224.55</v>
      </c>
      <c r="Q369" s="116">
        <v>1152.75</v>
      </c>
      <c r="R369">
        <v>21203</v>
      </c>
    </row>
    <row r="370" spans="1:18" x14ac:dyDescent="0.25">
      <c r="A370" s="170">
        <v>42545</v>
      </c>
      <c r="B370" s="116">
        <v>234.70999999999998</v>
      </c>
      <c r="C370" s="116">
        <v>232.49</v>
      </c>
      <c r="D370" s="116">
        <v>215.96999999999997</v>
      </c>
      <c r="E370" s="116">
        <v>224.13000000000002</v>
      </c>
      <c r="F370" s="116">
        <v>1162.45</v>
      </c>
      <c r="G370">
        <v>5415</v>
      </c>
      <c r="H370" s="116"/>
      <c r="I370" s="116"/>
      <c r="L370" s="170">
        <v>42545</v>
      </c>
      <c r="M370" s="116">
        <v>233.14000000000001</v>
      </c>
      <c r="N370" s="116">
        <v>234.04000000000002</v>
      </c>
      <c r="O370" s="116">
        <v>216.4</v>
      </c>
      <c r="P370" s="116">
        <v>227.14000000000001</v>
      </c>
      <c r="Q370" s="116">
        <v>1165.7</v>
      </c>
      <c r="R370">
        <v>34130</v>
      </c>
    </row>
    <row r="371" spans="1:18" x14ac:dyDescent="0.25">
      <c r="A371" s="170">
        <v>42548</v>
      </c>
      <c r="B371" s="116">
        <v>236.81</v>
      </c>
      <c r="C371" s="116">
        <v>233.56</v>
      </c>
      <c r="D371" s="116">
        <v>230</v>
      </c>
      <c r="E371" s="116">
        <v>232.29000000000002</v>
      </c>
      <c r="F371" s="116">
        <v>1167.8</v>
      </c>
      <c r="G371">
        <v>3640</v>
      </c>
      <c r="H371" s="116"/>
      <c r="I371" s="116"/>
      <c r="L371" s="170">
        <v>42548</v>
      </c>
      <c r="M371" s="116">
        <v>233.42</v>
      </c>
      <c r="N371" s="116">
        <v>236</v>
      </c>
      <c r="O371" s="116">
        <v>229.28000000000003</v>
      </c>
      <c r="P371" s="116">
        <v>229.28000000000003</v>
      </c>
      <c r="Q371" s="116">
        <v>1167.0999999999999</v>
      </c>
      <c r="R371">
        <v>20324</v>
      </c>
    </row>
    <row r="372" spans="1:18" x14ac:dyDescent="0.25">
      <c r="A372" s="170">
        <v>42549</v>
      </c>
      <c r="B372" s="116">
        <v>237</v>
      </c>
      <c r="C372" s="116">
        <v>234.63000000000002</v>
      </c>
      <c r="D372" s="116">
        <v>231.69</v>
      </c>
      <c r="E372" s="116">
        <v>234.18</v>
      </c>
      <c r="F372" s="116">
        <v>1173.1500000000001</v>
      </c>
      <c r="G372">
        <v>10393</v>
      </c>
      <c r="H372" s="116"/>
      <c r="I372" s="116"/>
      <c r="L372" s="170">
        <v>42549</v>
      </c>
      <c r="M372" s="116">
        <v>234.21999999999997</v>
      </c>
      <c r="N372" s="116">
        <v>236.8</v>
      </c>
      <c r="O372" s="116">
        <v>231.5</v>
      </c>
      <c r="P372" s="116">
        <v>234.75</v>
      </c>
      <c r="Q372" s="116">
        <v>1171.0999999999999</v>
      </c>
      <c r="R372">
        <v>40802</v>
      </c>
    </row>
    <row r="373" spans="1:18" x14ac:dyDescent="0.25">
      <c r="A373" s="170">
        <v>42550</v>
      </c>
      <c r="B373" s="116">
        <v>245.8</v>
      </c>
      <c r="C373" s="116">
        <v>244.41</v>
      </c>
      <c r="D373" s="116">
        <v>233.16</v>
      </c>
      <c r="E373" s="116">
        <v>235.70999999999998</v>
      </c>
      <c r="F373" s="116">
        <v>1222.05</v>
      </c>
      <c r="G373">
        <v>6135</v>
      </c>
      <c r="H373" s="116"/>
      <c r="I373" s="116"/>
      <c r="L373" s="170">
        <v>42550</v>
      </c>
      <c r="M373" s="116">
        <v>244.2</v>
      </c>
      <c r="N373" s="116">
        <v>245.32</v>
      </c>
      <c r="O373" s="116">
        <v>233.4</v>
      </c>
      <c r="P373" s="116">
        <v>234.21999999999997</v>
      </c>
      <c r="Q373" s="116">
        <v>1221</v>
      </c>
      <c r="R373">
        <v>64242</v>
      </c>
    </row>
    <row r="374" spans="1:18" x14ac:dyDescent="0.25">
      <c r="A374" s="170">
        <v>42551</v>
      </c>
      <c r="B374" s="116">
        <v>246.70999999999998</v>
      </c>
      <c r="C374" s="116">
        <v>244.45</v>
      </c>
      <c r="D374" s="116">
        <v>243.25</v>
      </c>
      <c r="E374" s="116">
        <v>244.4</v>
      </c>
      <c r="F374" s="116">
        <v>1222.25</v>
      </c>
      <c r="G374">
        <v>3436</v>
      </c>
      <c r="H374" s="116"/>
      <c r="I374" s="116"/>
      <c r="L374" s="170">
        <v>42551</v>
      </c>
      <c r="M374" s="116">
        <v>244.45</v>
      </c>
      <c r="N374" s="116">
        <v>246.8</v>
      </c>
      <c r="O374" s="116">
        <v>242</v>
      </c>
      <c r="P374" s="116">
        <v>244.4</v>
      </c>
      <c r="Q374" s="116">
        <v>1222.25</v>
      </c>
      <c r="R374">
        <v>73943</v>
      </c>
    </row>
    <row r="375" spans="1:18" x14ac:dyDescent="0.25">
      <c r="A375" s="170">
        <v>42552</v>
      </c>
      <c r="B375" s="116">
        <v>246.41</v>
      </c>
      <c r="C375" s="116">
        <v>244.39000000000001</v>
      </c>
      <c r="D375" s="116">
        <v>243.2</v>
      </c>
      <c r="E375" s="116">
        <v>245</v>
      </c>
      <c r="F375" s="116">
        <v>1221.95</v>
      </c>
      <c r="G375">
        <v>4219</v>
      </c>
      <c r="H375" s="116"/>
      <c r="I375" s="116"/>
      <c r="L375" s="170">
        <v>42552</v>
      </c>
      <c r="M375" s="116">
        <v>243.85</v>
      </c>
      <c r="N375" s="116">
        <v>246.79000000000002</v>
      </c>
      <c r="O375" s="116">
        <v>242.2</v>
      </c>
      <c r="P375" s="116">
        <v>245.99</v>
      </c>
      <c r="Q375" s="116">
        <v>1219.25</v>
      </c>
      <c r="R375">
        <v>49432</v>
      </c>
    </row>
    <row r="376" spans="1:18" x14ac:dyDescent="0.25">
      <c r="A376" s="170">
        <v>42555</v>
      </c>
      <c r="B376" s="116">
        <v>245.48000000000002</v>
      </c>
      <c r="C376" s="116">
        <v>242.76</v>
      </c>
      <c r="D376" s="116">
        <v>241.8</v>
      </c>
      <c r="E376" s="116">
        <v>243.78000000000003</v>
      </c>
      <c r="F376" s="116">
        <v>1213.8</v>
      </c>
      <c r="G376">
        <v>2032</v>
      </c>
      <c r="H376" s="116"/>
      <c r="I376" s="116"/>
      <c r="L376" s="170">
        <v>42555</v>
      </c>
      <c r="M376" s="116">
        <v>242.51999999999998</v>
      </c>
      <c r="N376" s="116">
        <v>247.76</v>
      </c>
      <c r="O376" s="116">
        <v>241.25</v>
      </c>
      <c r="P376" s="116">
        <v>244</v>
      </c>
      <c r="Q376" s="116">
        <v>1212.5999999999999</v>
      </c>
      <c r="R376">
        <v>20915</v>
      </c>
    </row>
    <row r="377" spans="1:18" x14ac:dyDescent="0.25">
      <c r="A377" s="170">
        <v>42556</v>
      </c>
      <c r="B377" s="116">
        <v>242.3</v>
      </c>
      <c r="C377" s="116">
        <v>237.78000000000003</v>
      </c>
      <c r="D377" s="116">
        <v>237.11999999999998</v>
      </c>
      <c r="E377" s="116">
        <v>240.4</v>
      </c>
      <c r="F377" s="116">
        <v>1188.9000000000001</v>
      </c>
      <c r="G377">
        <v>7507</v>
      </c>
      <c r="H377" s="116"/>
      <c r="I377" s="116"/>
      <c r="L377" s="170">
        <v>42556</v>
      </c>
      <c r="M377" s="116">
        <v>237.9</v>
      </c>
      <c r="N377" s="116">
        <v>242.3</v>
      </c>
      <c r="O377" s="116">
        <v>237</v>
      </c>
      <c r="P377" s="116">
        <v>240</v>
      </c>
      <c r="Q377" s="116">
        <v>1189.5</v>
      </c>
      <c r="R377">
        <v>17158</v>
      </c>
    </row>
    <row r="378" spans="1:18" x14ac:dyDescent="0.25">
      <c r="A378" s="170">
        <v>42558</v>
      </c>
      <c r="B378" s="116">
        <v>243.42</v>
      </c>
      <c r="C378" s="116">
        <v>240.93</v>
      </c>
      <c r="D378" s="116">
        <v>239.01</v>
      </c>
      <c r="E378" s="116">
        <v>240</v>
      </c>
      <c r="F378" s="116">
        <v>1204.6500000000001</v>
      </c>
      <c r="G378">
        <v>1794</v>
      </c>
      <c r="H378" s="116"/>
      <c r="I378" s="116"/>
      <c r="L378" s="170">
        <v>42558</v>
      </c>
      <c r="M378" s="116">
        <v>241.55</v>
      </c>
      <c r="N378" s="116">
        <v>244.19</v>
      </c>
      <c r="O378" s="116">
        <v>238.2</v>
      </c>
      <c r="P378" s="116">
        <v>238.2</v>
      </c>
      <c r="Q378" s="116">
        <v>1207.75</v>
      </c>
      <c r="R378">
        <v>23219</v>
      </c>
    </row>
    <row r="379" spans="1:18" x14ac:dyDescent="0.25">
      <c r="A379" s="170">
        <v>42559</v>
      </c>
      <c r="B379" s="116">
        <v>244</v>
      </c>
      <c r="C379" s="116">
        <v>243.58</v>
      </c>
      <c r="D379" s="116">
        <v>240</v>
      </c>
      <c r="E379" s="116">
        <v>241</v>
      </c>
      <c r="F379" s="116">
        <v>1217.9000000000001</v>
      </c>
      <c r="G379">
        <v>2106</v>
      </c>
      <c r="H379" s="116"/>
      <c r="I379" s="116"/>
      <c r="L379" s="170">
        <v>42559</v>
      </c>
      <c r="M379" s="116">
        <v>243.3</v>
      </c>
      <c r="N379" s="116">
        <v>244.8</v>
      </c>
      <c r="O379" s="116">
        <v>240</v>
      </c>
      <c r="P379" s="116">
        <v>241</v>
      </c>
      <c r="Q379" s="116">
        <v>1216.5</v>
      </c>
      <c r="R379">
        <v>18941</v>
      </c>
    </row>
    <row r="380" spans="1:18" x14ac:dyDescent="0.25">
      <c r="A380" s="170">
        <v>42562</v>
      </c>
      <c r="B380" s="116">
        <v>245.59</v>
      </c>
      <c r="C380" s="116">
        <v>244.07</v>
      </c>
      <c r="D380" s="116">
        <v>242.75</v>
      </c>
      <c r="E380" s="116">
        <v>245.2</v>
      </c>
      <c r="F380" s="116">
        <v>1220.3499999999999</v>
      </c>
      <c r="G380">
        <v>6530</v>
      </c>
      <c r="H380" s="116"/>
      <c r="I380" s="116"/>
      <c r="L380" s="170">
        <v>42562</v>
      </c>
      <c r="M380" s="116">
        <v>243.60999999999999</v>
      </c>
      <c r="N380" s="116">
        <v>246</v>
      </c>
      <c r="O380" s="116">
        <v>242.39000000000001</v>
      </c>
      <c r="P380" s="116">
        <v>244.01</v>
      </c>
      <c r="Q380" s="116">
        <v>1218.05</v>
      </c>
      <c r="R380">
        <v>140220</v>
      </c>
    </row>
    <row r="381" spans="1:18" x14ac:dyDescent="0.25">
      <c r="A381" s="170">
        <v>42563</v>
      </c>
      <c r="B381" s="116">
        <v>246.63000000000002</v>
      </c>
      <c r="C381" s="116">
        <v>245.35</v>
      </c>
      <c r="D381" s="116">
        <v>243.8</v>
      </c>
      <c r="E381" s="116">
        <v>244.95</v>
      </c>
      <c r="F381" s="116">
        <v>1226.75</v>
      </c>
      <c r="G381">
        <v>2765</v>
      </c>
      <c r="H381" s="116"/>
      <c r="I381" s="116"/>
      <c r="L381" s="170">
        <v>42563</v>
      </c>
      <c r="M381" s="116">
        <v>244.45999999999998</v>
      </c>
      <c r="N381" s="116">
        <v>246</v>
      </c>
      <c r="O381" s="116">
        <v>243.8</v>
      </c>
      <c r="P381" s="116">
        <v>245</v>
      </c>
      <c r="Q381" s="116">
        <v>1222.3</v>
      </c>
      <c r="R381">
        <v>29936</v>
      </c>
    </row>
    <row r="382" spans="1:18" x14ac:dyDescent="0.25">
      <c r="A382" s="170">
        <v>42564</v>
      </c>
      <c r="B382" s="116">
        <v>246.2</v>
      </c>
      <c r="C382" s="116">
        <v>244.01</v>
      </c>
      <c r="D382" s="116">
        <v>240.51</v>
      </c>
      <c r="E382" s="116">
        <v>244.01999999999998</v>
      </c>
      <c r="F382" s="116">
        <v>1220.05</v>
      </c>
      <c r="G382">
        <v>4773</v>
      </c>
      <c r="H382" s="116"/>
      <c r="I382" s="116"/>
      <c r="L382" s="170">
        <v>42564</v>
      </c>
      <c r="M382" s="116">
        <v>243.71999999999997</v>
      </c>
      <c r="N382" s="116">
        <v>245.95999999999998</v>
      </c>
      <c r="O382" s="116">
        <v>240.01</v>
      </c>
      <c r="P382" s="116">
        <v>245.95999999999998</v>
      </c>
      <c r="Q382" s="116">
        <v>1218.5999999999999</v>
      </c>
      <c r="R382">
        <v>26511</v>
      </c>
    </row>
    <row r="383" spans="1:18" x14ac:dyDescent="0.25">
      <c r="A383" s="170">
        <v>42565</v>
      </c>
      <c r="B383" s="116">
        <v>255.4</v>
      </c>
      <c r="C383" s="116">
        <v>246.81</v>
      </c>
      <c r="D383" s="116">
        <v>241.4</v>
      </c>
      <c r="E383" s="116">
        <v>244.4</v>
      </c>
      <c r="F383" s="116">
        <v>1234.05</v>
      </c>
      <c r="G383">
        <v>42034</v>
      </c>
      <c r="H383" s="116"/>
      <c r="I383" s="116"/>
      <c r="L383" s="170">
        <v>42565</v>
      </c>
      <c r="M383" s="116">
        <v>246.51999999999998</v>
      </c>
      <c r="N383" s="116">
        <v>255.45999999999998</v>
      </c>
      <c r="O383" s="116">
        <v>243</v>
      </c>
      <c r="P383" s="116">
        <v>245.01999999999998</v>
      </c>
      <c r="Q383" s="116">
        <v>1232.5999999999999</v>
      </c>
      <c r="R383">
        <v>281509</v>
      </c>
    </row>
    <row r="384" spans="1:18" x14ac:dyDescent="0.25">
      <c r="A384" s="170">
        <v>42566</v>
      </c>
      <c r="B384" s="116">
        <v>251.92</v>
      </c>
      <c r="C384" s="116">
        <v>250.63000000000002</v>
      </c>
      <c r="D384" s="116">
        <v>246.46999999999997</v>
      </c>
      <c r="E384" s="116">
        <v>248</v>
      </c>
      <c r="F384" s="116">
        <v>1253.1500000000001</v>
      </c>
      <c r="G384">
        <v>13497</v>
      </c>
      <c r="H384" s="116"/>
      <c r="I384" s="116"/>
      <c r="L384" s="170">
        <v>42566</v>
      </c>
      <c r="M384" s="116">
        <v>251.29000000000002</v>
      </c>
      <c r="N384" s="116">
        <v>252</v>
      </c>
      <c r="O384" s="116">
        <v>247.18</v>
      </c>
      <c r="P384" s="116">
        <v>249.2</v>
      </c>
      <c r="Q384" s="116">
        <v>1256.45</v>
      </c>
      <c r="R384">
        <v>98764</v>
      </c>
    </row>
    <row r="385" spans="1:18" x14ac:dyDescent="0.25">
      <c r="A385" s="170">
        <v>42569</v>
      </c>
      <c r="B385" s="116">
        <v>253.1</v>
      </c>
      <c r="C385" s="116">
        <v>249.01</v>
      </c>
      <c r="D385" s="116">
        <v>248</v>
      </c>
      <c r="E385" s="116">
        <v>251.26</v>
      </c>
      <c r="F385" s="116">
        <v>1245.05</v>
      </c>
      <c r="G385">
        <v>5668</v>
      </c>
      <c r="H385" s="116"/>
      <c r="I385" s="116"/>
      <c r="L385" s="170">
        <v>42569</v>
      </c>
      <c r="M385" s="116">
        <v>249.3</v>
      </c>
      <c r="N385" s="116">
        <v>252.99</v>
      </c>
      <c r="O385" s="116">
        <v>247.42</v>
      </c>
      <c r="P385" s="116">
        <v>252</v>
      </c>
      <c r="Q385" s="116">
        <v>1246.5</v>
      </c>
      <c r="R385">
        <v>47294</v>
      </c>
    </row>
    <row r="386" spans="1:18" x14ac:dyDescent="0.25">
      <c r="A386" s="170">
        <v>42570</v>
      </c>
      <c r="B386" s="116">
        <v>250.6</v>
      </c>
      <c r="C386" s="116">
        <v>248.46999999999997</v>
      </c>
      <c r="D386" s="116">
        <v>245.51</v>
      </c>
      <c r="E386" s="116">
        <v>250</v>
      </c>
      <c r="F386" s="116">
        <v>1242.3499999999999</v>
      </c>
      <c r="G386">
        <v>3042</v>
      </c>
      <c r="H386" s="116"/>
      <c r="I386" s="116"/>
      <c r="L386" s="170">
        <v>42570</v>
      </c>
      <c r="M386" s="116">
        <v>248.93</v>
      </c>
      <c r="N386" s="116">
        <v>251.6</v>
      </c>
      <c r="O386" s="116">
        <v>246.89000000000001</v>
      </c>
      <c r="P386" s="116">
        <v>248.8</v>
      </c>
      <c r="Q386" s="116">
        <v>1244.6500000000001</v>
      </c>
      <c r="R386">
        <v>24280</v>
      </c>
    </row>
    <row r="387" spans="1:18" x14ac:dyDescent="0.25">
      <c r="A387" s="170">
        <v>42571</v>
      </c>
      <c r="B387" s="116">
        <v>255.8</v>
      </c>
      <c r="C387" s="116">
        <v>254.55</v>
      </c>
      <c r="D387" s="116">
        <v>248.9</v>
      </c>
      <c r="E387" s="116">
        <v>251.8</v>
      </c>
      <c r="F387" s="116">
        <v>1272.75</v>
      </c>
      <c r="G387">
        <v>11378</v>
      </c>
      <c r="H387" s="116"/>
      <c r="I387" s="116"/>
      <c r="L387" s="170">
        <v>42571</v>
      </c>
      <c r="M387" s="116">
        <v>253.9</v>
      </c>
      <c r="N387" s="116">
        <v>255.71999999999997</v>
      </c>
      <c r="O387" s="116">
        <v>249.2</v>
      </c>
      <c r="P387" s="116">
        <v>250.8</v>
      </c>
      <c r="Q387" s="116">
        <v>1269.5</v>
      </c>
      <c r="R387">
        <v>140305</v>
      </c>
    </row>
    <row r="388" spans="1:18" x14ac:dyDescent="0.25">
      <c r="A388" s="170">
        <v>42572</v>
      </c>
      <c r="B388" s="116">
        <v>257.5</v>
      </c>
      <c r="C388" s="116">
        <v>252.09</v>
      </c>
      <c r="D388" s="116">
        <v>246.2</v>
      </c>
      <c r="E388" s="116">
        <v>255</v>
      </c>
      <c r="F388" s="116">
        <v>1260.45</v>
      </c>
      <c r="G388">
        <v>14877</v>
      </c>
      <c r="H388" s="116"/>
      <c r="I388" s="116"/>
      <c r="L388" s="170">
        <v>42572</v>
      </c>
      <c r="M388" s="116">
        <v>254.25</v>
      </c>
      <c r="N388" s="116">
        <v>256.8</v>
      </c>
      <c r="O388" s="116">
        <v>252.78000000000003</v>
      </c>
      <c r="P388" s="116">
        <v>254.4</v>
      </c>
      <c r="Q388" s="116">
        <v>1271.25</v>
      </c>
      <c r="R388">
        <v>56246</v>
      </c>
    </row>
    <row r="389" spans="1:18" x14ac:dyDescent="0.25">
      <c r="A389" s="170">
        <v>42573</v>
      </c>
      <c r="B389" s="116">
        <v>256.2</v>
      </c>
      <c r="C389" s="116">
        <v>255.85</v>
      </c>
      <c r="D389" s="116">
        <v>252</v>
      </c>
      <c r="E389" s="116">
        <v>255.8</v>
      </c>
      <c r="F389" s="116">
        <v>1279.25</v>
      </c>
      <c r="G389">
        <v>4383</v>
      </c>
      <c r="H389" s="116"/>
      <c r="I389" s="116"/>
      <c r="L389" s="170">
        <v>42573</v>
      </c>
      <c r="M389" s="116">
        <v>255.91</v>
      </c>
      <c r="N389" s="116">
        <v>256.2</v>
      </c>
      <c r="O389" s="116">
        <v>252.13000000000002</v>
      </c>
      <c r="P389" s="116">
        <v>255</v>
      </c>
      <c r="Q389" s="116">
        <v>1279.55</v>
      </c>
      <c r="R389">
        <v>25719</v>
      </c>
    </row>
    <row r="390" spans="1:18" x14ac:dyDescent="0.25">
      <c r="A390" s="170">
        <v>42576</v>
      </c>
      <c r="B390" s="116">
        <v>260.01</v>
      </c>
      <c r="C390" s="116">
        <v>258.91999999999996</v>
      </c>
      <c r="D390" s="116">
        <v>254</v>
      </c>
      <c r="E390" s="116">
        <v>256</v>
      </c>
      <c r="F390" s="116">
        <v>1294.5999999999999</v>
      </c>
      <c r="G390">
        <v>8652</v>
      </c>
      <c r="H390" s="116"/>
      <c r="I390" s="116"/>
      <c r="L390" s="170">
        <v>42576</v>
      </c>
      <c r="M390" s="116">
        <v>258.20999999999998</v>
      </c>
      <c r="N390" s="116">
        <v>260</v>
      </c>
      <c r="O390" s="116">
        <v>253.01999999999998</v>
      </c>
      <c r="P390" s="116">
        <v>255.9</v>
      </c>
      <c r="Q390" s="116">
        <v>1291.05</v>
      </c>
      <c r="R390">
        <v>55315</v>
      </c>
    </row>
    <row r="391" spans="1:18" x14ac:dyDescent="0.25">
      <c r="A391" s="170">
        <v>42577</v>
      </c>
      <c r="B391" s="116">
        <v>263.90999999999997</v>
      </c>
      <c r="C391" s="116">
        <v>259.88</v>
      </c>
      <c r="D391" s="116">
        <v>257.2</v>
      </c>
      <c r="E391" s="116">
        <v>259.64</v>
      </c>
      <c r="F391" s="116">
        <v>1299.4000000000001</v>
      </c>
      <c r="G391">
        <v>9180</v>
      </c>
      <c r="H391" s="116"/>
      <c r="I391" s="116"/>
      <c r="L391" s="170">
        <v>42577</v>
      </c>
      <c r="M391" s="116">
        <v>259.36</v>
      </c>
      <c r="N391" s="116">
        <v>264</v>
      </c>
      <c r="O391" s="116">
        <v>256.73</v>
      </c>
      <c r="P391" s="116">
        <v>259</v>
      </c>
      <c r="Q391" s="116">
        <v>1296.8</v>
      </c>
      <c r="R391">
        <v>87609</v>
      </c>
    </row>
    <row r="392" spans="1:18" x14ac:dyDescent="0.25">
      <c r="A392" s="170">
        <v>42578</v>
      </c>
      <c r="B392" s="116">
        <v>263.5</v>
      </c>
      <c r="C392" s="116">
        <v>260.85000000000002</v>
      </c>
      <c r="D392" s="116">
        <v>258.5</v>
      </c>
      <c r="E392" s="116">
        <v>260.39999999999998</v>
      </c>
      <c r="F392" s="116">
        <v>1304.25</v>
      </c>
      <c r="G392">
        <v>4807</v>
      </c>
      <c r="H392" s="116"/>
      <c r="I392" s="116"/>
      <c r="L392" s="170">
        <v>42578</v>
      </c>
      <c r="M392" s="116">
        <v>260.41999999999996</v>
      </c>
      <c r="N392" s="116">
        <v>263.60000000000002</v>
      </c>
      <c r="O392" s="116">
        <v>258.2</v>
      </c>
      <c r="P392" s="116">
        <v>260</v>
      </c>
      <c r="Q392" s="116">
        <v>1302.0999999999999</v>
      </c>
      <c r="R392">
        <v>28988</v>
      </c>
    </row>
    <row r="393" spans="1:18" x14ac:dyDescent="0.25">
      <c r="A393" s="170">
        <v>42579</v>
      </c>
      <c r="B393" s="116">
        <v>267</v>
      </c>
      <c r="C393" s="116">
        <v>264.95999999999998</v>
      </c>
      <c r="D393" s="116">
        <v>260.8</v>
      </c>
      <c r="E393" s="116">
        <v>261.8</v>
      </c>
      <c r="F393" s="116">
        <v>1324.8</v>
      </c>
      <c r="G393">
        <v>11131</v>
      </c>
      <c r="H393" s="116"/>
      <c r="I393" s="116"/>
      <c r="L393" s="170">
        <v>42579</v>
      </c>
      <c r="M393" s="116">
        <v>264.61</v>
      </c>
      <c r="N393" s="116">
        <v>266.52</v>
      </c>
      <c r="O393" s="116">
        <v>260.39999999999998</v>
      </c>
      <c r="P393" s="116">
        <v>261</v>
      </c>
      <c r="Q393" s="116">
        <v>1323.05</v>
      </c>
      <c r="R393">
        <v>106948</v>
      </c>
    </row>
    <row r="394" spans="1:18" x14ac:dyDescent="0.25">
      <c r="A394" s="170">
        <v>42580</v>
      </c>
      <c r="B394" s="116">
        <v>271</v>
      </c>
      <c r="C394" s="116">
        <v>268.3</v>
      </c>
      <c r="D394" s="116">
        <v>266</v>
      </c>
      <c r="E394" s="116">
        <v>266.12</v>
      </c>
      <c r="F394" s="116">
        <v>1341.5</v>
      </c>
      <c r="G394">
        <v>15496</v>
      </c>
      <c r="H394" s="116"/>
      <c r="I394" s="116"/>
      <c r="L394" s="170">
        <v>42580</v>
      </c>
      <c r="M394" s="116">
        <v>267.38</v>
      </c>
      <c r="N394" s="116">
        <v>271</v>
      </c>
      <c r="O394" s="116">
        <v>265.62</v>
      </c>
      <c r="P394" s="116">
        <v>265.8</v>
      </c>
      <c r="Q394" s="116">
        <v>1336.9</v>
      </c>
      <c r="R394">
        <v>53726</v>
      </c>
    </row>
    <row r="395" spans="1:18" x14ac:dyDescent="0.25">
      <c r="A395" s="170">
        <v>42583</v>
      </c>
      <c r="B395" s="116">
        <v>282.8</v>
      </c>
      <c r="C395" s="116">
        <v>276.18</v>
      </c>
      <c r="D395" s="116">
        <v>263.60000000000002</v>
      </c>
      <c r="E395" s="116">
        <v>268.99</v>
      </c>
      <c r="F395" s="116">
        <v>1380.9</v>
      </c>
      <c r="G395">
        <v>15202</v>
      </c>
      <c r="H395" s="116"/>
      <c r="I395" s="116"/>
      <c r="L395" s="170">
        <v>42583</v>
      </c>
      <c r="M395" s="116">
        <v>276.40999999999997</v>
      </c>
      <c r="N395" s="116">
        <v>282.91999999999996</v>
      </c>
      <c r="O395" s="116">
        <v>263.38</v>
      </c>
      <c r="P395" s="116">
        <v>269.98</v>
      </c>
      <c r="Q395" s="116">
        <v>1382.05</v>
      </c>
      <c r="R395">
        <v>84693</v>
      </c>
    </row>
    <row r="396" spans="1:18" x14ac:dyDescent="0.25">
      <c r="A396" s="170">
        <v>42584</v>
      </c>
      <c r="B396" s="116">
        <v>285.99</v>
      </c>
      <c r="C396" s="116">
        <v>281.82</v>
      </c>
      <c r="D396" s="116">
        <v>278.39999999999998</v>
      </c>
      <c r="E396" s="116">
        <v>285</v>
      </c>
      <c r="F396" s="116">
        <v>1409.1</v>
      </c>
      <c r="G396">
        <v>10425</v>
      </c>
      <c r="H396" s="116"/>
      <c r="I396" s="116"/>
      <c r="L396" s="170">
        <v>42584</v>
      </c>
      <c r="M396" s="116">
        <v>281</v>
      </c>
      <c r="N396" s="116">
        <v>286</v>
      </c>
      <c r="O396" s="116">
        <v>278.02</v>
      </c>
      <c r="P396" s="116">
        <v>284.60000000000002</v>
      </c>
      <c r="Q396" s="116">
        <v>1405</v>
      </c>
      <c r="R396">
        <v>197273</v>
      </c>
    </row>
    <row r="397" spans="1:18" x14ac:dyDescent="0.25">
      <c r="A397" s="170">
        <v>42585</v>
      </c>
      <c r="B397" s="116">
        <v>279</v>
      </c>
      <c r="C397" s="116">
        <v>277.04000000000002</v>
      </c>
      <c r="D397" s="116">
        <v>270.93</v>
      </c>
      <c r="E397" s="116">
        <v>279</v>
      </c>
      <c r="F397" s="116">
        <v>1385.2</v>
      </c>
      <c r="G397">
        <v>6438</v>
      </c>
      <c r="H397" s="116"/>
      <c r="I397" s="116"/>
      <c r="L397" s="170">
        <v>42585</v>
      </c>
      <c r="M397" s="116">
        <v>277.76</v>
      </c>
      <c r="N397" s="116">
        <v>281</v>
      </c>
      <c r="O397" s="116">
        <v>270.10000000000002</v>
      </c>
      <c r="P397" s="116">
        <v>280.99</v>
      </c>
      <c r="Q397" s="116">
        <v>1388.8</v>
      </c>
      <c r="R397">
        <v>45146</v>
      </c>
    </row>
    <row r="398" spans="1:18" x14ac:dyDescent="0.25">
      <c r="A398" s="170">
        <v>42586</v>
      </c>
      <c r="B398" s="116">
        <v>279.3</v>
      </c>
      <c r="C398" s="116">
        <v>275.2</v>
      </c>
      <c r="D398" s="116">
        <v>272</v>
      </c>
      <c r="E398" s="116">
        <v>279</v>
      </c>
      <c r="F398" s="116">
        <v>1376</v>
      </c>
      <c r="G398">
        <v>4950</v>
      </c>
      <c r="H398" s="116"/>
      <c r="I398" s="116"/>
      <c r="L398" s="170">
        <v>42586</v>
      </c>
      <c r="M398" s="116">
        <v>275.29000000000002</v>
      </c>
      <c r="N398" s="116">
        <v>278.60000000000002</v>
      </c>
      <c r="O398" s="116">
        <v>272.01</v>
      </c>
      <c r="P398" s="116">
        <v>278.60000000000002</v>
      </c>
      <c r="Q398" s="116">
        <v>1376.45</v>
      </c>
      <c r="R398">
        <v>22804</v>
      </c>
    </row>
    <row r="399" spans="1:18" x14ac:dyDescent="0.25">
      <c r="A399" s="170">
        <v>42587</v>
      </c>
      <c r="B399" s="116">
        <v>286.19</v>
      </c>
      <c r="C399" s="116">
        <v>284.18</v>
      </c>
      <c r="D399" s="116">
        <v>275</v>
      </c>
      <c r="E399" s="116">
        <v>276.75</v>
      </c>
      <c r="F399" s="116">
        <v>1420.9</v>
      </c>
      <c r="G399">
        <v>10962</v>
      </c>
      <c r="H399" s="116"/>
      <c r="I399" s="116"/>
      <c r="L399" s="170">
        <v>42587</v>
      </c>
      <c r="M399" s="116">
        <v>284.29000000000002</v>
      </c>
      <c r="N399" s="116">
        <v>286</v>
      </c>
      <c r="O399" s="116">
        <v>275.2</v>
      </c>
      <c r="P399" s="116">
        <v>275.2</v>
      </c>
      <c r="Q399" s="116">
        <v>1421.45</v>
      </c>
      <c r="R399">
        <v>35706</v>
      </c>
    </row>
    <row r="400" spans="1:18" x14ac:dyDescent="0.25">
      <c r="A400" s="170">
        <v>42590</v>
      </c>
      <c r="B400" s="116">
        <v>290</v>
      </c>
      <c r="C400" s="116">
        <v>287.57</v>
      </c>
      <c r="D400" s="116">
        <v>284.28000000000003</v>
      </c>
      <c r="E400" s="116">
        <v>286</v>
      </c>
      <c r="F400" s="116">
        <v>1437.85</v>
      </c>
      <c r="G400">
        <v>4853</v>
      </c>
      <c r="H400" s="116"/>
      <c r="I400" s="116"/>
      <c r="L400" s="170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70">
        <v>42591</v>
      </c>
      <c r="B401" s="116">
        <v>288.39</v>
      </c>
      <c r="C401" s="116">
        <v>286.7</v>
      </c>
      <c r="D401" s="116">
        <v>281</v>
      </c>
      <c r="E401" s="116">
        <v>287.2</v>
      </c>
      <c r="F401" s="116">
        <v>1433.5</v>
      </c>
      <c r="G401">
        <v>5028</v>
      </c>
      <c r="H401" s="116"/>
      <c r="I401" s="116"/>
      <c r="L401" s="170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70">
        <v>42592</v>
      </c>
      <c r="B402" s="116">
        <v>287.68</v>
      </c>
      <c r="C402" s="116">
        <v>279.81</v>
      </c>
      <c r="D402" s="116">
        <v>274.39999999999998</v>
      </c>
      <c r="E402" s="116">
        <v>287.68</v>
      </c>
      <c r="F402" s="116">
        <v>1399.05</v>
      </c>
      <c r="G402">
        <v>3976</v>
      </c>
      <c r="H402" s="116"/>
      <c r="I402" s="116"/>
      <c r="L402" s="170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70">
        <v>42593</v>
      </c>
      <c r="B403" s="116">
        <v>283.93</v>
      </c>
      <c r="C403" s="116">
        <v>279.94</v>
      </c>
      <c r="D403" s="116">
        <v>276.63</v>
      </c>
      <c r="E403" s="116">
        <v>279.31</v>
      </c>
      <c r="F403" s="116">
        <v>1399.7</v>
      </c>
      <c r="G403">
        <v>2580</v>
      </c>
      <c r="H403" s="116"/>
      <c r="I403" s="116"/>
      <c r="L403" s="170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70">
        <v>42594</v>
      </c>
      <c r="B404" s="116">
        <v>289.25</v>
      </c>
      <c r="C404" s="116">
        <v>284.39</v>
      </c>
      <c r="D404" s="116">
        <v>280.66999999999996</v>
      </c>
      <c r="E404" s="116">
        <v>282.29000000000002</v>
      </c>
      <c r="F404" s="116">
        <v>1421.95</v>
      </c>
      <c r="G404">
        <v>9160</v>
      </c>
      <c r="H404" s="116"/>
      <c r="I404" s="116"/>
      <c r="L404" s="170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70">
        <v>42598</v>
      </c>
      <c r="B405" s="116">
        <v>288.89999999999998</v>
      </c>
      <c r="C405" s="116">
        <v>287.75</v>
      </c>
      <c r="D405" s="116">
        <v>285.39999999999998</v>
      </c>
      <c r="E405" s="116">
        <v>288.89999999999998</v>
      </c>
      <c r="F405" s="116">
        <v>1438.75</v>
      </c>
      <c r="G405">
        <v>2277</v>
      </c>
      <c r="H405" s="116"/>
      <c r="I405" s="116"/>
      <c r="L405" s="170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70">
        <v>42599</v>
      </c>
      <c r="B406" s="116">
        <v>289</v>
      </c>
      <c r="C406" s="116">
        <v>285.73</v>
      </c>
      <c r="D406" s="116">
        <v>283.7</v>
      </c>
      <c r="E406" s="116">
        <v>289</v>
      </c>
      <c r="F406" s="116">
        <v>1428.65</v>
      </c>
      <c r="G406">
        <v>3430</v>
      </c>
      <c r="H406" s="116"/>
      <c r="I406" s="116"/>
      <c r="L406" s="170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70">
        <v>42600</v>
      </c>
      <c r="B407" s="116">
        <v>288.82</v>
      </c>
      <c r="C407" s="116">
        <v>287.49</v>
      </c>
      <c r="D407" s="116">
        <v>285.2</v>
      </c>
      <c r="E407" s="116">
        <v>287.99</v>
      </c>
      <c r="F407" s="116">
        <v>1437.45</v>
      </c>
      <c r="G407">
        <v>1503</v>
      </c>
      <c r="H407" s="116"/>
      <c r="I407" s="116"/>
      <c r="L407" s="170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70">
        <v>42601</v>
      </c>
      <c r="B408" s="116">
        <v>287.75</v>
      </c>
      <c r="C408" s="116">
        <v>284.96999999999997</v>
      </c>
      <c r="D408" s="116">
        <v>283.39999999999998</v>
      </c>
      <c r="E408" s="116">
        <v>287.60000000000002</v>
      </c>
      <c r="F408" s="116">
        <v>1424.85</v>
      </c>
      <c r="G408">
        <v>4830</v>
      </c>
      <c r="H408" s="116"/>
      <c r="I408" s="116"/>
      <c r="L408" s="170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70">
        <v>42604</v>
      </c>
      <c r="B409" s="116">
        <v>288.93</v>
      </c>
      <c r="C409" s="116">
        <v>286.21999999999997</v>
      </c>
      <c r="D409" s="116">
        <v>281.49</v>
      </c>
      <c r="E409" s="116">
        <v>286</v>
      </c>
      <c r="F409" s="116">
        <v>1431.1</v>
      </c>
      <c r="G409">
        <v>1416</v>
      </c>
      <c r="H409" s="116"/>
      <c r="I409" s="116"/>
      <c r="L409" s="170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70">
        <v>42605</v>
      </c>
      <c r="B410" s="116">
        <v>299.95</v>
      </c>
      <c r="C410" s="116">
        <v>288.12</v>
      </c>
      <c r="D410" s="116">
        <v>284.39999999999998</v>
      </c>
      <c r="E410" s="116">
        <v>286.7</v>
      </c>
      <c r="F410" s="116">
        <v>1440.6</v>
      </c>
      <c r="G410">
        <v>9960</v>
      </c>
      <c r="H410" s="116"/>
      <c r="I410" s="116"/>
      <c r="L410" s="170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70">
        <v>42606</v>
      </c>
      <c r="B411" s="116">
        <v>298</v>
      </c>
      <c r="C411" s="116">
        <v>291.86</v>
      </c>
      <c r="D411" s="116">
        <v>288.81</v>
      </c>
      <c r="E411" s="116">
        <v>290</v>
      </c>
      <c r="F411" s="116">
        <v>1459.3</v>
      </c>
      <c r="G411">
        <v>13142</v>
      </c>
      <c r="H411" s="116"/>
      <c r="I411" s="116"/>
      <c r="L411" s="170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70">
        <v>42607</v>
      </c>
      <c r="B412" s="116">
        <v>299.8</v>
      </c>
      <c r="C412" s="116">
        <v>297.15999999999997</v>
      </c>
      <c r="D412" s="116">
        <v>293.48</v>
      </c>
      <c r="E412" s="116">
        <v>295.79000000000002</v>
      </c>
      <c r="F412" s="116">
        <v>1485.8</v>
      </c>
      <c r="G412">
        <v>8218</v>
      </c>
      <c r="H412" s="116"/>
      <c r="I412" s="116"/>
      <c r="L412" s="170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70">
        <v>42608</v>
      </c>
      <c r="B413" s="116">
        <v>301.91999999999996</v>
      </c>
      <c r="C413" s="116">
        <v>296.39999999999998</v>
      </c>
      <c r="D413" s="116">
        <v>293.60000000000002</v>
      </c>
      <c r="E413" s="116">
        <v>299.36</v>
      </c>
      <c r="F413" s="116">
        <v>1482</v>
      </c>
      <c r="G413">
        <v>5360</v>
      </c>
      <c r="H413" s="116"/>
      <c r="I413" s="116"/>
      <c r="L413" s="170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70">
        <v>42611</v>
      </c>
      <c r="B414" s="116">
        <v>300</v>
      </c>
      <c r="C414" s="116">
        <v>299.14999999999998</v>
      </c>
      <c r="D414" s="116">
        <v>287</v>
      </c>
      <c r="E414" s="116">
        <v>296.8</v>
      </c>
      <c r="F414" s="116">
        <v>1495.75</v>
      </c>
      <c r="G414">
        <v>5477</v>
      </c>
      <c r="H414" s="116"/>
      <c r="I414" s="116"/>
      <c r="L414" s="170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70">
        <v>42612</v>
      </c>
      <c r="B415" s="116">
        <v>300.45</v>
      </c>
      <c r="C415" s="116">
        <v>299.28000000000003</v>
      </c>
      <c r="D415" s="116">
        <v>296.61</v>
      </c>
      <c r="E415" s="116">
        <v>300.34000000000003</v>
      </c>
      <c r="F415" s="116">
        <v>1496.4</v>
      </c>
      <c r="G415">
        <v>2601</v>
      </c>
      <c r="H415" s="116"/>
      <c r="I415" s="116"/>
      <c r="L415" s="170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70">
        <v>42613</v>
      </c>
      <c r="B416" s="116">
        <v>301</v>
      </c>
      <c r="C416" s="116">
        <v>298.2</v>
      </c>
      <c r="D416" s="116">
        <v>296.8</v>
      </c>
      <c r="E416" s="116">
        <v>300.8</v>
      </c>
      <c r="F416" s="116">
        <v>1491</v>
      </c>
      <c r="G416">
        <v>4696</v>
      </c>
      <c r="H416" s="116"/>
      <c r="I416" s="116"/>
      <c r="L416" s="170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70">
        <v>42614</v>
      </c>
      <c r="B417" s="116">
        <v>304</v>
      </c>
      <c r="C417" s="116">
        <v>301.60000000000002</v>
      </c>
      <c r="D417" s="116">
        <v>298.2</v>
      </c>
      <c r="E417" s="116">
        <v>298.2</v>
      </c>
      <c r="F417" s="116">
        <v>1508</v>
      </c>
      <c r="G417">
        <v>18628</v>
      </c>
      <c r="H417" s="116"/>
      <c r="I417" s="116"/>
      <c r="L417" s="170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70">
        <v>42615</v>
      </c>
      <c r="B418" s="116">
        <v>308.88</v>
      </c>
      <c r="C418" s="116">
        <v>307.64999999999998</v>
      </c>
      <c r="D418" s="116">
        <v>302.01</v>
      </c>
      <c r="E418" s="116">
        <v>302.99</v>
      </c>
      <c r="F418" s="116">
        <v>1538.25</v>
      </c>
      <c r="G418">
        <v>6655</v>
      </c>
      <c r="H418" s="116"/>
      <c r="I418" s="116"/>
      <c r="L418" s="170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70">
        <v>42619</v>
      </c>
      <c r="B419" s="116">
        <v>357.27</v>
      </c>
      <c r="C419" s="116">
        <v>332.99</v>
      </c>
      <c r="D419" s="116">
        <v>307.60000000000002</v>
      </c>
      <c r="E419" s="116">
        <v>307.60000000000002</v>
      </c>
      <c r="F419" s="116">
        <v>1664.95</v>
      </c>
      <c r="G419">
        <v>51024</v>
      </c>
      <c r="H419" s="116"/>
      <c r="I419" s="116"/>
      <c r="L419" s="170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70">
        <v>42620</v>
      </c>
      <c r="B420" s="116">
        <v>335.96</v>
      </c>
      <c r="C420" s="116">
        <v>329.66999999999996</v>
      </c>
      <c r="D420" s="116">
        <v>322</v>
      </c>
      <c r="E420" s="116">
        <v>335.96</v>
      </c>
      <c r="F420" s="116">
        <v>1648.35</v>
      </c>
      <c r="G420">
        <v>14191</v>
      </c>
      <c r="H420" s="116"/>
      <c r="I420" s="116"/>
      <c r="L420" s="170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70">
        <v>42621</v>
      </c>
      <c r="B421" s="116">
        <v>340</v>
      </c>
      <c r="C421" s="116">
        <v>333.27</v>
      </c>
      <c r="D421" s="116">
        <v>329.49</v>
      </c>
      <c r="E421" s="116">
        <v>330.23</v>
      </c>
      <c r="F421" s="116">
        <v>1666.35</v>
      </c>
      <c r="G421">
        <v>9552</v>
      </c>
      <c r="H421" s="116"/>
      <c r="I421" s="116"/>
      <c r="L421" s="170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70">
        <v>42622</v>
      </c>
      <c r="B422" s="116">
        <v>339.37</v>
      </c>
      <c r="C422" s="116">
        <v>330.76</v>
      </c>
      <c r="D422" s="116">
        <v>329</v>
      </c>
      <c r="E422" s="116">
        <v>333.77</v>
      </c>
      <c r="F422" s="116">
        <v>1653.8</v>
      </c>
      <c r="G422">
        <v>7020</v>
      </c>
      <c r="H422" s="116"/>
      <c r="I422" s="116"/>
      <c r="L422" s="170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70">
        <v>42625</v>
      </c>
      <c r="B423" s="116">
        <v>334.77</v>
      </c>
      <c r="C423" s="116">
        <v>331.13</v>
      </c>
      <c r="D423" s="116">
        <v>318.66999999999996</v>
      </c>
      <c r="E423" s="116">
        <v>326</v>
      </c>
      <c r="F423" s="116">
        <v>1655.65</v>
      </c>
      <c r="G423">
        <v>5128</v>
      </c>
      <c r="H423" s="116"/>
      <c r="I423" s="116"/>
      <c r="L423" s="170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70">
        <v>42627</v>
      </c>
      <c r="B424" s="116">
        <v>334.18</v>
      </c>
      <c r="C424" s="116">
        <v>331.85</v>
      </c>
      <c r="D424" s="116">
        <v>325</v>
      </c>
      <c r="E424" s="116">
        <v>332</v>
      </c>
      <c r="F424" s="116">
        <v>1659.25</v>
      </c>
      <c r="G424">
        <v>8478</v>
      </c>
      <c r="H424" s="116"/>
      <c r="I424" s="116"/>
      <c r="L424" s="170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70">
        <v>42628</v>
      </c>
      <c r="B425" s="116">
        <v>336.1</v>
      </c>
      <c r="C425" s="116">
        <v>332.53000000000003</v>
      </c>
      <c r="D425" s="116">
        <v>330.21</v>
      </c>
      <c r="E425" s="116">
        <v>334</v>
      </c>
      <c r="F425" s="116">
        <v>1662.65</v>
      </c>
      <c r="G425">
        <v>3602</v>
      </c>
      <c r="H425" s="116"/>
      <c r="I425" s="116"/>
      <c r="L425" s="170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70">
        <v>42629</v>
      </c>
      <c r="B426" s="116">
        <v>339.96</v>
      </c>
      <c r="C426" s="116">
        <v>334.26</v>
      </c>
      <c r="D426" s="116">
        <v>330.13</v>
      </c>
      <c r="E426" s="116">
        <v>337.6</v>
      </c>
      <c r="F426" s="116">
        <v>1671.3</v>
      </c>
      <c r="G426">
        <v>4997</v>
      </c>
      <c r="H426" s="116"/>
      <c r="I426" s="116"/>
      <c r="L426" s="170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70">
        <v>42632</v>
      </c>
      <c r="B427" s="116">
        <v>338.8</v>
      </c>
      <c r="C427" s="116">
        <v>329.87</v>
      </c>
      <c r="D427" s="116">
        <v>327.20999999999998</v>
      </c>
      <c r="E427" s="116">
        <v>330.2</v>
      </c>
      <c r="F427" s="116">
        <v>1649.35</v>
      </c>
      <c r="G427">
        <v>4912</v>
      </c>
      <c r="H427" s="116"/>
      <c r="I427" s="116"/>
      <c r="L427" s="170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70">
        <v>42633</v>
      </c>
      <c r="B428" s="116">
        <v>334</v>
      </c>
      <c r="C428" s="116">
        <v>326.03000000000003</v>
      </c>
      <c r="D428" s="116">
        <v>325</v>
      </c>
      <c r="E428" s="116">
        <v>331.96999999999997</v>
      </c>
      <c r="F428" s="116">
        <v>1630.15</v>
      </c>
      <c r="G428">
        <v>10425</v>
      </c>
      <c r="H428" s="116"/>
      <c r="I428" s="116"/>
      <c r="L428" s="170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70">
        <v>42634</v>
      </c>
      <c r="B429" s="116">
        <v>329.8</v>
      </c>
      <c r="C429" s="116">
        <v>327.49</v>
      </c>
      <c r="D429" s="116">
        <v>325.10000000000002</v>
      </c>
      <c r="E429" s="116">
        <v>327.19</v>
      </c>
      <c r="F429" s="116">
        <v>1637.45</v>
      </c>
      <c r="G429">
        <v>4799</v>
      </c>
      <c r="H429" s="116"/>
      <c r="I429" s="116"/>
      <c r="L429" s="170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70">
        <v>42635</v>
      </c>
      <c r="B430" s="116">
        <v>336</v>
      </c>
      <c r="C430" s="116">
        <v>331.27</v>
      </c>
      <c r="D430" s="116">
        <v>328.68</v>
      </c>
      <c r="E430" s="116">
        <v>329.96999999999997</v>
      </c>
      <c r="F430" s="116">
        <v>1656.35</v>
      </c>
      <c r="G430">
        <v>3697</v>
      </c>
      <c r="H430" s="116"/>
      <c r="I430" s="116"/>
      <c r="L430" s="170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70">
        <v>42636</v>
      </c>
      <c r="B431" s="116">
        <v>336.2</v>
      </c>
      <c r="C431" s="116">
        <v>333.51</v>
      </c>
      <c r="D431" s="116">
        <v>330.4</v>
      </c>
      <c r="E431" s="116">
        <v>330.4</v>
      </c>
      <c r="F431" s="116">
        <v>1667.55</v>
      </c>
      <c r="G431">
        <v>5807</v>
      </c>
      <c r="H431" s="116"/>
      <c r="I431" s="116"/>
      <c r="L431" s="170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70">
        <v>42639</v>
      </c>
      <c r="B432" s="116">
        <v>332.15</v>
      </c>
      <c r="C432" s="116">
        <v>328.65999999999997</v>
      </c>
      <c r="D432" s="116">
        <v>323.8</v>
      </c>
      <c r="E432" s="116">
        <v>331.21</v>
      </c>
      <c r="F432" s="116">
        <v>1643.3</v>
      </c>
      <c r="G432">
        <v>3389</v>
      </c>
      <c r="H432" s="116"/>
      <c r="I432" s="116"/>
      <c r="L432" s="170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70">
        <v>42640</v>
      </c>
      <c r="B433" s="116">
        <v>330.71</v>
      </c>
      <c r="C433" s="116">
        <v>327.52</v>
      </c>
      <c r="D433" s="116">
        <v>324.8</v>
      </c>
      <c r="E433" s="116">
        <v>330.71</v>
      </c>
      <c r="F433" s="116">
        <v>1637.6</v>
      </c>
      <c r="G433">
        <v>2604</v>
      </c>
      <c r="H433" s="116"/>
      <c r="I433" s="116"/>
      <c r="L433" s="170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70">
        <v>42641</v>
      </c>
      <c r="B434" s="116">
        <v>330</v>
      </c>
      <c r="C434" s="116">
        <v>329</v>
      </c>
      <c r="D434" s="116">
        <v>327.85</v>
      </c>
      <c r="E434" s="116">
        <v>328.99</v>
      </c>
      <c r="F434" s="116">
        <v>1645</v>
      </c>
      <c r="G434">
        <v>1718</v>
      </c>
      <c r="H434" s="116"/>
      <c r="I434" s="116"/>
      <c r="L434" s="170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70">
        <v>42642</v>
      </c>
      <c r="B435" s="116">
        <v>339.8</v>
      </c>
      <c r="C435" s="116">
        <v>325.34000000000003</v>
      </c>
      <c r="D435" s="116">
        <v>319.10000000000002</v>
      </c>
      <c r="E435" s="116">
        <v>331</v>
      </c>
      <c r="F435" s="116">
        <v>1626.7</v>
      </c>
      <c r="G435">
        <v>9128</v>
      </c>
      <c r="H435" s="116"/>
      <c r="I435" s="116"/>
      <c r="L435" s="170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70">
        <v>42643</v>
      </c>
      <c r="B436" s="116">
        <v>330</v>
      </c>
      <c r="C436" s="116">
        <v>326.87</v>
      </c>
      <c r="D436" s="116">
        <v>320.60000000000002</v>
      </c>
      <c r="E436" s="116">
        <v>327</v>
      </c>
      <c r="F436" s="116">
        <v>1634.35</v>
      </c>
      <c r="G436">
        <v>6240</v>
      </c>
      <c r="H436" s="116"/>
      <c r="I436" s="116"/>
      <c r="L436" s="170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70">
        <v>42646</v>
      </c>
      <c r="B437" s="116">
        <v>338.88</v>
      </c>
      <c r="C437" s="116">
        <v>336.26</v>
      </c>
      <c r="D437" s="116">
        <v>328</v>
      </c>
      <c r="E437" s="116">
        <v>330.96</v>
      </c>
      <c r="F437" s="116">
        <v>1681.3</v>
      </c>
      <c r="G437">
        <v>6776</v>
      </c>
      <c r="H437" s="116"/>
      <c r="I437" s="116"/>
      <c r="L437" s="170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70">
        <v>42647</v>
      </c>
      <c r="B438" s="116">
        <v>347.2</v>
      </c>
      <c r="C438" s="116">
        <v>345.24</v>
      </c>
      <c r="D438" s="116">
        <v>338.01</v>
      </c>
      <c r="E438" s="116">
        <v>339.8</v>
      </c>
      <c r="F438" s="116">
        <v>1726.2</v>
      </c>
      <c r="G438">
        <v>6579</v>
      </c>
      <c r="H438" s="116"/>
      <c r="I438" s="116"/>
      <c r="L438" s="170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70">
        <v>42648</v>
      </c>
      <c r="B439" s="116">
        <v>351.52</v>
      </c>
      <c r="C439" s="116">
        <v>346.45</v>
      </c>
      <c r="D439" s="116">
        <v>342</v>
      </c>
      <c r="E439" s="116">
        <v>349.59000000000003</v>
      </c>
      <c r="F439" s="116">
        <v>1732.25</v>
      </c>
      <c r="G439">
        <v>13502</v>
      </c>
      <c r="H439" s="116"/>
      <c r="I439" s="116"/>
      <c r="L439" s="170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70">
        <v>42649</v>
      </c>
      <c r="B440" s="116">
        <v>348.4</v>
      </c>
      <c r="C440" s="116">
        <v>345.41999999999996</v>
      </c>
      <c r="D440" s="116">
        <v>342</v>
      </c>
      <c r="E440" s="116">
        <v>347.36</v>
      </c>
      <c r="F440" s="116">
        <v>1727.1</v>
      </c>
      <c r="G440">
        <v>7934</v>
      </c>
      <c r="H440" s="116"/>
      <c r="I440" s="116"/>
      <c r="L440" s="170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70">
        <v>42650</v>
      </c>
      <c r="B441" s="116">
        <v>349</v>
      </c>
      <c r="C441" s="116">
        <v>348.18</v>
      </c>
      <c r="D441" s="116">
        <v>340.6</v>
      </c>
      <c r="E441" s="116">
        <v>347</v>
      </c>
      <c r="F441" s="116">
        <v>1740.9</v>
      </c>
      <c r="G441">
        <v>3362</v>
      </c>
      <c r="H441" s="116"/>
      <c r="I441" s="116"/>
      <c r="L441" s="170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70">
        <v>42653</v>
      </c>
      <c r="B442" s="116">
        <v>351.33000000000004</v>
      </c>
      <c r="C442" s="116">
        <v>349.94</v>
      </c>
      <c r="D442" s="116">
        <v>347</v>
      </c>
      <c r="E442" s="116">
        <v>349.45</v>
      </c>
      <c r="F442" s="116">
        <v>1749.7</v>
      </c>
      <c r="G442">
        <v>3424</v>
      </c>
      <c r="H442" s="116"/>
      <c r="I442" s="116"/>
      <c r="L442" s="170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70">
        <v>42656</v>
      </c>
      <c r="B443" s="116">
        <v>351.6</v>
      </c>
      <c r="C443" s="116">
        <v>347.78000000000003</v>
      </c>
      <c r="D443" s="116">
        <v>340.73</v>
      </c>
      <c r="E443" s="116">
        <v>350.48</v>
      </c>
      <c r="F443" s="116">
        <v>1738.9</v>
      </c>
      <c r="G443">
        <v>4169</v>
      </c>
      <c r="H443" s="116"/>
      <c r="I443" s="116"/>
      <c r="L443" s="170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70">
        <v>42657</v>
      </c>
      <c r="B444" s="116">
        <v>372.84000000000003</v>
      </c>
      <c r="C444" s="116">
        <v>365.29</v>
      </c>
      <c r="D444" s="116">
        <v>349.21999999999997</v>
      </c>
      <c r="E444" s="116">
        <v>350</v>
      </c>
      <c r="F444" s="116">
        <v>1826.45</v>
      </c>
      <c r="G444">
        <v>18532</v>
      </c>
      <c r="H444" s="116"/>
      <c r="I444" s="116"/>
      <c r="L444" s="170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70">
        <v>42660</v>
      </c>
      <c r="B445" s="116">
        <v>375.8</v>
      </c>
      <c r="C445" s="116">
        <v>369.39</v>
      </c>
      <c r="D445" s="116">
        <v>367.6</v>
      </c>
      <c r="E445" s="116">
        <v>368</v>
      </c>
      <c r="F445" s="116">
        <v>1846.95</v>
      </c>
      <c r="G445">
        <v>13695</v>
      </c>
      <c r="H445" s="116"/>
      <c r="I445" s="116"/>
      <c r="L445" s="170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70">
        <v>42661</v>
      </c>
      <c r="B446" s="116">
        <v>377.4</v>
      </c>
      <c r="C446" s="116">
        <v>365.12</v>
      </c>
      <c r="D446" s="116">
        <v>352.3</v>
      </c>
      <c r="E446" s="116">
        <v>373.4</v>
      </c>
      <c r="F446" s="116">
        <v>1825.6</v>
      </c>
      <c r="G446">
        <v>58790</v>
      </c>
      <c r="H446" s="116"/>
      <c r="I446" s="116"/>
      <c r="L446" s="170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70">
        <v>42662</v>
      </c>
      <c r="B447" s="116">
        <v>370.6</v>
      </c>
      <c r="C447" s="116">
        <v>365.27</v>
      </c>
      <c r="D447" s="116">
        <v>361.01</v>
      </c>
      <c r="E447" s="116">
        <v>369.96</v>
      </c>
      <c r="F447" s="116">
        <v>1826.35</v>
      </c>
      <c r="G447">
        <v>17902</v>
      </c>
      <c r="H447" s="116"/>
      <c r="I447" s="116"/>
      <c r="L447" s="170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70">
        <v>42663</v>
      </c>
      <c r="B448" s="116">
        <v>368.6</v>
      </c>
      <c r="C448" s="116">
        <v>366.88</v>
      </c>
      <c r="D448" s="116">
        <v>363</v>
      </c>
      <c r="E448" s="116">
        <v>367.23</v>
      </c>
      <c r="F448" s="116">
        <v>1834.4</v>
      </c>
      <c r="G448">
        <v>5729</v>
      </c>
      <c r="H448" s="116"/>
      <c r="I448" s="116"/>
      <c r="L448" s="170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70">
        <v>42664</v>
      </c>
      <c r="B449" s="116">
        <v>368</v>
      </c>
      <c r="C449" s="116">
        <v>366.06</v>
      </c>
      <c r="D449" s="116">
        <v>362.2</v>
      </c>
      <c r="E449" s="116">
        <v>367</v>
      </c>
      <c r="F449" s="116">
        <v>1830.3</v>
      </c>
      <c r="G449">
        <v>4455</v>
      </c>
      <c r="H449" s="116"/>
      <c r="I449" s="116"/>
      <c r="L449" s="170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70">
        <v>42667</v>
      </c>
      <c r="B450" s="116">
        <v>370.6</v>
      </c>
      <c r="C450" s="116">
        <v>369.21999999999997</v>
      </c>
      <c r="D450" s="116">
        <v>363</v>
      </c>
      <c r="E450" s="116">
        <v>366.2</v>
      </c>
      <c r="F450" s="116">
        <v>1846.1</v>
      </c>
      <c r="G450">
        <v>8434</v>
      </c>
      <c r="H450" s="116"/>
      <c r="I450" s="116"/>
      <c r="L450" s="170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70">
        <v>42668</v>
      </c>
      <c r="B451" s="116">
        <v>370</v>
      </c>
      <c r="C451" s="116">
        <v>367.8</v>
      </c>
      <c r="D451" s="116">
        <v>364</v>
      </c>
      <c r="E451" s="116">
        <v>369.28000000000003</v>
      </c>
      <c r="F451" s="116">
        <v>1839</v>
      </c>
      <c r="G451">
        <v>4996</v>
      </c>
      <c r="H451" s="116"/>
      <c r="I451" s="116"/>
      <c r="L451" s="170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70">
        <v>42669</v>
      </c>
      <c r="B452" s="116">
        <v>368.98</v>
      </c>
      <c r="C452" s="116">
        <v>363.75</v>
      </c>
      <c r="D452" s="116">
        <v>362</v>
      </c>
      <c r="E452" s="116">
        <v>368.98</v>
      </c>
      <c r="F452" s="116">
        <v>1818.75</v>
      </c>
      <c r="G452">
        <v>4134</v>
      </c>
      <c r="H452" s="116"/>
      <c r="I452" s="116"/>
      <c r="L452" s="170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70">
        <v>42670</v>
      </c>
      <c r="B453" s="116">
        <v>366.79</v>
      </c>
      <c r="C453" s="116">
        <v>358.79</v>
      </c>
      <c r="D453" s="116">
        <v>347.35</v>
      </c>
      <c r="E453" s="116">
        <v>363.04</v>
      </c>
      <c r="F453" s="116">
        <v>1793.95</v>
      </c>
      <c r="G453">
        <v>4010</v>
      </c>
      <c r="H453" s="116"/>
      <c r="I453" s="116"/>
      <c r="L453" s="170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70">
        <v>42671</v>
      </c>
      <c r="B454" s="116">
        <v>366.59000000000003</v>
      </c>
      <c r="C454" s="116">
        <v>364.68</v>
      </c>
      <c r="D454" s="116">
        <v>355.4</v>
      </c>
      <c r="E454" s="116">
        <v>355.4</v>
      </c>
      <c r="F454" s="116">
        <v>1823.4</v>
      </c>
      <c r="G454">
        <v>4257</v>
      </c>
      <c r="H454" s="116"/>
      <c r="I454" s="116"/>
      <c r="L454" s="170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70">
        <v>42673</v>
      </c>
      <c r="B455" s="116">
        <v>373.2</v>
      </c>
      <c r="C455" s="116">
        <v>372.4</v>
      </c>
      <c r="D455" s="116">
        <v>367</v>
      </c>
      <c r="E455" s="116">
        <v>368</v>
      </c>
      <c r="F455" s="116">
        <v>1862</v>
      </c>
      <c r="G455">
        <v>2389</v>
      </c>
      <c r="H455" s="116"/>
      <c r="I455" s="116"/>
      <c r="L455" s="170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70">
        <v>42675</v>
      </c>
      <c r="B456" s="116">
        <v>374.4</v>
      </c>
      <c r="C456" s="116">
        <v>371.85</v>
      </c>
      <c r="D456" s="116">
        <v>367</v>
      </c>
      <c r="E456" s="116">
        <v>371</v>
      </c>
      <c r="F456" s="116">
        <v>1859.25</v>
      </c>
      <c r="G456">
        <v>3102</v>
      </c>
      <c r="H456" s="116"/>
      <c r="I456" s="116"/>
      <c r="L456" s="170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70">
        <v>42676</v>
      </c>
      <c r="B457" s="116">
        <v>371.79</v>
      </c>
      <c r="C457" s="116">
        <v>367.52</v>
      </c>
      <c r="D457" s="116">
        <v>366</v>
      </c>
      <c r="E457" s="116">
        <v>371.79</v>
      </c>
      <c r="F457" s="116">
        <v>1837.6</v>
      </c>
      <c r="G457">
        <v>3530</v>
      </c>
      <c r="H457" s="116"/>
      <c r="I457" s="116"/>
      <c r="L457" s="170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70">
        <v>42677</v>
      </c>
      <c r="B458" s="116">
        <v>371</v>
      </c>
      <c r="C458" s="116">
        <v>361.03000000000003</v>
      </c>
      <c r="D458" s="116">
        <v>360</v>
      </c>
      <c r="E458" s="116">
        <v>366</v>
      </c>
      <c r="F458" s="116">
        <v>1805.15</v>
      </c>
      <c r="G458">
        <v>3351</v>
      </c>
      <c r="H458" s="116"/>
      <c r="I458" s="116"/>
      <c r="L458" s="170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70">
        <v>42678</v>
      </c>
      <c r="B459" s="116">
        <v>360.62</v>
      </c>
      <c r="C459" s="116">
        <v>347.62</v>
      </c>
      <c r="D459" s="116">
        <v>343.6</v>
      </c>
      <c r="E459" s="116">
        <v>360.02</v>
      </c>
      <c r="F459" s="116">
        <v>1738.1</v>
      </c>
      <c r="G459">
        <v>7019</v>
      </c>
      <c r="H459" s="116"/>
      <c r="I459" s="116"/>
      <c r="L459" s="170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70">
        <v>42681</v>
      </c>
      <c r="B460" s="116">
        <v>360.1</v>
      </c>
      <c r="C460" s="116">
        <v>345.55</v>
      </c>
      <c r="D460" s="116">
        <v>342</v>
      </c>
      <c r="E460" s="116">
        <v>348</v>
      </c>
      <c r="F460" s="116">
        <v>1727.75</v>
      </c>
      <c r="G460">
        <v>6511</v>
      </c>
      <c r="H460" s="116"/>
      <c r="I460" s="116"/>
      <c r="L460" s="170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70">
        <v>42682</v>
      </c>
      <c r="B461" s="116">
        <v>349</v>
      </c>
      <c r="C461" s="116">
        <v>343.11</v>
      </c>
      <c r="D461" s="116">
        <v>341</v>
      </c>
      <c r="E461" s="116">
        <v>346.58000000000004</v>
      </c>
      <c r="F461" s="116">
        <v>1715.55</v>
      </c>
      <c r="G461">
        <v>2752</v>
      </c>
      <c r="H461" s="116"/>
      <c r="I461" s="116"/>
      <c r="L461" s="170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70">
        <v>42683</v>
      </c>
      <c r="B462" s="116">
        <v>339</v>
      </c>
      <c r="C462" s="116">
        <v>334.43</v>
      </c>
      <c r="D462" s="116">
        <v>282.91999999999996</v>
      </c>
      <c r="E462" s="116">
        <v>334</v>
      </c>
      <c r="F462" s="116">
        <v>1672.15</v>
      </c>
      <c r="G462">
        <v>11798</v>
      </c>
      <c r="H462" s="116"/>
      <c r="I462" s="116"/>
      <c r="L462" s="170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70">
        <v>42684</v>
      </c>
      <c r="B463" s="116">
        <v>344.99</v>
      </c>
      <c r="C463" s="116">
        <v>337.88</v>
      </c>
      <c r="D463" s="116">
        <v>334.71999999999997</v>
      </c>
      <c r="E463" s="116">
        <v>338</v>
      </c>
      <c r="F463" s="116">
        <v>1689.4</v>
      </c>
      <c r="G463">
        <v>5252</v>
      </c>
      <c r="H463" s="116"/>
      <c r="I463" s="116"/>
      <c r="L463" s="170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70">
        <v>42685</v>
      </c>
      <c r="B464" s="116">
        <v>338</v>
      </c>
      <c r="C464" s="116">
        <v>313.01</v>
      </c>
      <c r="D464" s="116">
        <v>305.79000000000002</v>
      </c>
      <c r="E464" s="116">
        <v>338</v>
      </c>
      <c r="F464" s="116">
        <v>1565.05</v>
      </c>
      <c r="G464">
        <v>10710</v>
      </c>
      <c r="H464" s="116"/>
      <c r="I464" s="116"/>
      <c r="L464" s="170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70">
        <v>42689</v>
      </c>
      <c r="B465" s="116">
        <v>311.98</v>
      </c>
      <c r="C465" s="116">
        <v>250.41</v>
      </c>
      <c r="D465" s="116">
        <v>250.41</v>
      </c>
      <c r="E465" s="116">
        <v>311.98</v>
      </c>
      <c r="F465" s="116">
        <v>1252.05</v>
      </c>
      <c r="G465">
        <v>99530</v>
      </c>
      <c r="H465" s="116"/>
      <c r="I465" s="116"/>
      <c r="L465" s="170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70">
        <v>42690</v>
      </c>
      <c r="B466" s="116">
        <v>291.8</v>
      </c>
      <c r="C466" s="116">
        <v>277.61</v>
      </c>
      <c r="D466" s="116">
        <v>251.8</v>
      </c>
      <c r="E466" s="116">
        <v>251.8</v>
      </c>
      <c r="F466" s="116">
        <v>1388.05</v>
      </c>
      <c r="G466">
        <v>80960</v>
      </c>
      <c r="H466" s="116"/>
      <c r="I466" s="116"/>
      <c r="L466" s="170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70">
        <v>42691</v>
      </c>
      <c r="B467" s="116">
        <v>291.8</v>
      </c>
      <c r="C467" s="116">
        <v>274.02</v>
      </c>
      <c r="D467" s="116">
        <v>268.61</v>
      </c>
      <c r="E467" s="116">
        <v>279</v>
      </c>
      <c r="F467" s="116">
        <v>1370.1</v>
      </c>
      <c r="G467">
        <v>16502</v>
      </c>
      <c r="H467" s="116"/>
      <c r="I467" s="116"/>
      <c r="L467" s="170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70">
        <v>42692</v>
      </c>
      <c r="B468" s="116">
        <v>309</v>
      </c>
      <c r="C468" s="116">
        <v>301.57</v>
      </c>
      <c r="D468" s="116">
        <v>275.07</v>
      </c>
      <c r="E468" s="116">
        <v>280.82</v>
      </c>
      <c r="F468" s="116">
        <v>1507.85</v>
      </c>
      <c r="G468">
        <v>26512</v>
      </c>
      <c r="H468" s="116"/>
      <c r="I468" s="116"/>
      <c r="L468" s="170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70">
        <v>42695</v>
      </c>
      <c r="B469" s="116">
        <v>315.63</v>
      </c>
      <c r="C469" s="116">
        <v>304.34000000000003</v>
      </c>
      <c r="D469" s="116">
        <v>295.32</v>
      </c>
      <c r="E469" s="116">
        <v>304.78000000000003</v>
      </c>
      <c r="F469" s="116">
        <v>1521.7</v>
      </c>
      <c r="G469">
        <v>27819</v>
      </c>
      <c r="H469" s="116"/>
      <c r="I469" s="116"/>
      <c r="L469" s="170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70">
        <v>42696</v>
      </c>
      <c r="B470" s="116">
        <v>313.36</v>
      </c>
      <c r="C470" s="116">
        <v>305.89999999999998</v>
      </c>
      <c r="D470" s="116">
        <v>296</v>
      </c>
      <c r="E470" s="116">
        <v>304.78000000000003</v>
      </c>
      <c r="F470" s="116">
        <v>1529.5</v>
      </c>
      <c r="G470">
        <v>18098</v>
      </c>
      <c r="H470" s="116"/>
      <c r="I470" s="116"/>
      <c r="L470" s="170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70">
        <v>42697</v>
      </c>
      <c r="B471" s="116">
        <v>312</v>
      </c>
      <c r="C471" s="116">
        <v>302.44</v>
      </c>
      <c r="D471" s="116">
        <v>295.99</v>
      </c>
      <c r="E471" s="116">
        <v>312</v>
      </c>
      <c r="F471" s="116">
        <v>1512.2</v>
      </c>
      <c r="G471">
        <v>16620</v>
      </c>
      <c r="H471" s="116"/>
      <c r="I471" s="116"/>
      <c r="L471" s="170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70">
        <v>42698</v>
      </c>
      <c r="B472" s="116">
        <v>306.2</v>
      </c>
      <c r="C472" s="116">
        <v>300.93</v>
      </c>
      <c r="D472" s="116">
        <v>296</v>
      </c>
      <c r="E472" s="116">
        <v>300</v>
      </c>
      <c r="F472" s="116">
        <v>1504.65</v>
      </c>
      <c r="G472">
        <v>10780</v>
      </c>
      <c r="H472" s="116"/>
      <c r="I472" s="116"/>
      <c r="L472" s="170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70">
        <v>42699</v>
      </c>
      <c r="B473" s="116">
        <v>307.01</v>
      </c>
      <c r="C473" s="116">
        <v>304.20999999999998</v>
      </c>
      <c r="D473" s="116">
        <v>303.2</v>
      </c>
      <c r="E473" s="116">
        <v>304.70999999999998</v>
      </c>
      <c r="F473" s="116">
        <v>1521.05</v>
      </c>
      <c r="G473">
        <v>3066</v>
      </c>
      <c r="H473" s="116"/>
      <c r="I473" s="116"/>
      <c r="L473" s="170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70">
        <v>42702</v>
      </c>
      <c r="B474" s="116">
        <v>308.71999999999997</v>
      </c>
      <c r="C474" s="116">
        <v>304.5</v>
      </c>
      <c r="D474" s="116">
        <v>302.21999999999997</v>
      </c>
      <c r="E474" s="116">
        <v>304</v>
      </c>
      <c r="F474" s="116">
        <v>1522.5</v>
      </c>
      <c r="G474">
        <v>4023</v>
      </c>
      <c r="H474" s="116"/>
      <c r="I474" s="116"/>
      <c r="L474" s="170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70">
        <v>42703</v>
      </c>
      <c r="B475" s="116">
        <v>348.86</v>
      </c>
      <c r="C475" s="116">
        <v>331.59000000000003</v>
      </c>
      <c r="D475" s="116">
        <v>307.20999999999998</v>
      </c>
      <c r="E475" s="116">
        <v>307.20999999999998</v>
      </c>
      <c r="F475" s="116">
        <v>1657.95</v>
      </c>
      <c r="G475">
        <v>59680</v>
      </c>
      <c r="H475" s="116"/>
      <c r="I475" s="116"/>
      <c r="L475" s="170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70">
        <v>42704</v>
      </c>
      <c r="B476" s="116">
        <v>345.28000000000003</v>
      </c>
      <c r="C476" s="116">
        <v>337.41999999999996</v>
      </c>
      <c r="D476" s="116">
        <v>330.04</v>
      </c>
      <c r="E476" s="116">
        <v>335.7</v>
      </c>
      <c r="F476" s="116">
        <v>1687.1</v>
      </c>
      <c r="G476">
        <v>18180</v>
      </c>
      <c r="H476" s="116"/>
      <c r="I476" s="116"/>
      <c r="L476" s="170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70">
        <v>42705</v>
      </c>
      <c r="B477" s="116">
        <v>342.76</v>
      </c>
      <c r="C477" s="116">
        <v>338.66999999999996</v>
      </c>
      <c r="D477" s="116">
        <v>329.03000000000003</v>
      </c>
      <c r="E477" s="116">
        <v>340</v>
      </c>
      <c r="F477" s="116">
        <v>1693.35</v>
      </c>
      <c r="G477">
        <v>7592</v>
      </c>
      <c r="H477" s="116"/>
      <c r="I477" s="116"/>
      <c r="L477" s="170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70">
        <v>42706</v>
      </c>
      <c r="B478" s="116">
        <v>337.6</v>
      </c>
      <c r="C478" s="116">
        <v>326</v>
      </c>
      <c r="D478" s="116">
        <v>325</v>
      </c>
      <c r="E478" s="116">
        <v>336.8</v>
      </c>
      <c r="F478" s="116">
        <v>1630</v>
      </c>
      <c r="G478">
        <v>7582</v>
      </c>
      <c r="H478" s="116"/>
      <c r="I478" s="116"/>
      <c r="L478" s="170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70">
        <v>42709</v>
      </c>
      <c r="B479" s="116">
        <v>330</v>
      </c>
      <c r="C479" s="116">
        <v>328.07</v>
      </c>
      <c r="D479" s="116">
        <v>325</v>
      </c>
      <c r="E479" s="116">
        <v>327.65999999999997</v>
      </c>
      <c r="F479" s="116">
        <v>1640.35</v>
      </c>
      <c r="G479">
        <v>2763</v>
      </c>
      <c r="H479" s="116"/>
      <c r="I479" s="116"/>
      <c r="L479" s="170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70">
        <v>42710</v>
      </c>
      <c r="B480" s="116">
        <v>344</v>
      </c>
      <c r="C480" s="116">
        <v>333.01</v>
      </c>
      <c r="D480" s="116">
        <v>330.2</v>
      </c>
      <c r="E480" s="116">
        <v>336.79</v>
      </c>
      <c r="F480" s="116">
        <v>1665.05</v>
      </c>
      <c r="G480">
        <v>17361</v>
      </c>
      <c r="H480" s="116"/>
      <c r="I480" s="116"/>
      <c r="L480" s="170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70">
        <v>42711</v>
      </c>
      <c r="B481" s="116">
        <v>339.82</v>
      </c>
      <c r="C481" s="116">
        <v>332.52</v>
      </c>
      <c r="D481" s="116">
        <v>329.4</v>
      </c>
      <c r="E481" s="116">
        <v>339</v>
      </c>
      <c r="F481" s="116">
        <v>1662.6</v>
      </c>
      <c r="G481">
        <v>4303</v>
      </c>
      <c r="H481" s="116"/>
      <c r="I481" s="116"/>
      <c r="L481" s="170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70">
        <v>42712</v>
      </c>
      <c r="B482" s="116">
        <v>339.8</v>
      </c>
      <c r="C482" s="116">
        <v>336.73</v>
      </c>
      <c r="D482" s="116">
        <v>335.01</v>
      </c>
      <c r="E482" s="116">
        <v>336.99</v>
      </c>
      <c r="F482" s="116">
        <v>1683.65</v>
      </c>
      <c r="G482">
        <v>2306</v>
      </c>
      <c r="H482" s="116"/>
      <c r="I482" s="116"/>
      <c r="L482" s="170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70">
        <v>42713</v>
      </c>
      <c r="B483" s="116">
        <v>339</v>
      </c>
      <c r="C483" s="116">
        <v>337.7</v>
      </c>
      <c r="D483" s="116">
        <v>334.93</v>
      </c>
      <c r="E483" s="116">
        <v>338.07</v>
      </c>
      <c r="F483" s="116">
        <v>1688.5</v>
      </c>
      <c r="G483">
        <v>2568</v>
      </c>
      <c r="H483" s="116"/>
      <c r="I483" s="116"/>
      <c r="L483" s="170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70">
        <v>42716</v>
      </c>
      <c r="B484" s="116">
        <v>338</v>
      </c>
      <c r="C484" s="116">
        <v>328.25</v>
      </c>
      <c r="D484" s="116">
        <v>327.01</v>
      </c>
      <c r="E484" s="116">
        <v>336.8</v>
      </c>
      <c r="F484" s="116">
        <v>1641.25</v>
      </c>
      <c r="G484">
        <v>4115</v>
      </c>
      <c r="H484" s="116"/>
      <c r="I484" s="116"/>
      <c r="L484" s="170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70">
        <v>42717</v>
      </c>
      <c r="B485" s="116">
        <v>327.83000000000004</v>
      </c>
      <c r="C485" s="116">
        <v>322.33000000000004</v>
      </c>
      <c r="D485" s="116">
        <v>321.39999999999998</v>
      </c>
      <c r="E485" s="116">
        <v>327</v>
      </c>
      <c r="F485" s="116">
        <v>1611.65</v>
      </c>
      <c r="G485">
        <v>2516</v>
      </c>
      <c r="H485" s="116"/>
      <c r="I485" s="116"/>
      <c r="L485" s="170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70">
        <v>42718</v>
      </c>
      <c r="B486" s="116">
        <v>325.2</v>
      </c>
      <c r="C486" s="116">
        <v>318.46999999999997</v>
      </c>
      <c r="D486" s="116">
        <v>315.39999999999998</v>
      </c>
      <c r="E486" s="116">
        <v>324</v>
      </c>
      <c r="F486" s="116">
        <v>1592.35</v>
      </c>
      <c r="G486">
        <v>2992</v>
      </c>
      <c r="H486" s="116"/>
      <c r="I486" s="116"/>
      <c r="L486" s="170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70">
        <v>42719</v>
      </c>
      <c r="B487" s="116">
        <v>334</v>
      </c>
      <c r="C487" s="116">
        <v>330.66999999999996</v>
      </c>
      <c r="D487" s="116">
        <v>310.99</v>
      </c>
      <c r="E487" s="116">
        <v>316</v>
      </c>
      <c r="F487" s="116">
        <v>1653.35</v>
      </c>
      <c r="G487">
        <v>14093</v>
      </c>
      <c r="H487" s="116"/>
      <c r="I487" s="116"/>
      <c r="L487" s="170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70">
        <v>42720</v>
      </c>
      <c r="B488" s="116">
        <v>339</v>
      </c>
      <c r="C488" s="116">
        <v>337.74</v>
      </c>
      <c r="D488" s="116">
        <v>328</v>
      </c>
      <c r="E488" s="116">
        <v>331.85</v>
      </c>
      <c r="F488" s="116">
        <v>1688.7</v>
      </c>
      <c r="G488">
        <v>9200</v>
      </c>
      <c r="H488" s="116"/>
      <c r="I488" s="116"/>
      <c r="L488" s="170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70">
        <v>42723</v>
      </c>
      <c r="B489" s="116">
        <v>343</v>
      </c>
      <c r="C489" s="116">
        <v>338.64</v>
      </c>
      <c r="D489" s="116">
        <v>331.2</v>
      </c>
      <c r="E489" s="116">
        <v>333.6</v>
      </c>
      <c r="F489" s="116">
        <v>1693.2</v>
      </c>
      <c r="G489">
        <v>3383</v>
      </c>
      <c r="H489" s="116"/>
      <c r="I489" s="116"/>
      <c r="L489" s="170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70">
        <v>42724</v>
      </c>
      <c r="B490" s="116">
        <v>340.4</v>
      </c>
      <c r="C490" s="116">
        <v>333.54</v>
      </c>
      <c r="D490" s="116">
        <v>331.04</v>
      </c>
      <c r="E490" s="116">
        <v>339.6</v>
      </c>
      <c r="F490" s="116">
        <v>1667.7</v>
      </c>
      <c r="G490">
        <v>4559</v>
      </c>
      <c r="H490" s="116"/>
      <c r="I490" s="116"/>
      <c r="L490" s="170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70">
        <v>42725</v>
      </c>
      <c r="B491" s="116">
        <v>337.15999999999997</v>
      </c>
      <c r="C491" s="116">
        <v>329.32</v>
      </c>
      <c r="D491" s="116">
        <v>326.24</v>
      </c>
      <c r="E491" s="116">
        <v>337</v>
      </c>
      <c r="F491" s="116">
        <v>1646.6</v>
      </c>
      <c r="G491">
        <v>2204</v>
      </c>
      <c r="H491" s="116"/>
      <c r="I491" s="116"/>
      <c r="L491" s="170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70">
        <v>42726</v>
      </c>
      <c r="B492" s="116">
        <v>328.74</v>
      </c>
      <c r="C492" s="116">
        <v>321.73</v>
      </c>
      <c r="D492" s="116">
        <v>311.37</v>
      </c>
      <c r="E492" s="116">
        <v>328.74</v>
      </c>
      <c r="F492" s="116">
        <v>1608.65</v>
      </c>
      <c r="G492">
        <v>5019</v>
      </c>
      <c r="H492" s="116"/>
      <c r="I492" s="116"/>
      <c r="L492" s="170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70">
        <v>42727</v>
      </c>
      <c r="B493" s="116">
        <v>325</v>
      </c>
      <c r="C493" s="116">
        <v>319.23</v>
      </c>
      <c r="D493" s="116">
        <v>315.32</v>
      </c>
      <c r="E493" s="116">
        <v>323.52</v>
      </c>
      <c r="F493" s="116">
        <v>1596.15</v>
      </c>
      <c r="G493">
        <v>1194</v>
      </c>
      <c r="H493" s="116"/>
      <c r="I493" s="116"/>
      <c r="L493" s="170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70">
        <v>42730</v>
      </c>
      <c r="B494" s="116">
        <v>314</v>
      </c>
      <c r="C494" s="116">
        <v>291.12</v>
      </c>
      <c r="D494" s="116">
        <v>285</v>
      </c>
      <c r="E494" s="116">
        <v>314</v>
      </c>
      <c r="F494" s="116">
        <v>1455.6</v>
      </c>
      <c r="G494">
        <v>16118</v>
      </c>
      <c r="H494" s="116"/>
      <c r="I494" s="116"/>
      <c r="L494" s="170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70">
        <v>42731</v>
      </c>
      <c r="B495" s="116">
        <v>304.88</v>
      </c>
      <c r="C495" s="116">
        <v>291.83000000000004</v>
      </c>
      <c r="D495" s="116">
        <v>278</v>
      </c>
      <c r="E495" s="116">
        <v>291.12</v>
      </c>
      <c r="F495" s="116">
        <v>1459.15</v>
      </c>
      <c r="G495">
        <v>11633</v>
      </c>
      <c r="H495" s="116"/>
      <c r="I495" s="116"/>
      <c r="L495" s="170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70">
        <v>42732</v>
      </c>
      <c r="B496" s="116">
        <v>303.19</v>
      </c>
      <c r="C496" s="116">
        <v>298.16999999999996</v>
      </c>
      <c r="D496" s="116">
        <v>296</v>
      </c>
      <c r="E496" s="116">
        <v>296</v>
      </c>
      <c r="F496" s="116">
        <v>1490.85</v>
      </c>
      <c r="G496">
        <v>8867</v>
      </c>
      <c r="H496" s="116"/>
      <c r="I496" s="116"/>
      <c r="L496" s="170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70">
        <v>42733</v>
      </c>
      <c r="B497" s="116">
        <v>300.86</v>
      </c>
      <c r="C497" s="116">
        <v>295.44</v>
      </c>
      <c r="D497" s="116">
        <v>293.20999999999998</v>
      </c>
      <c r="E497" s="116">
        <v>298.2</v>
      </c>
      <c r="F497" s="116">
        <v>1477.2</v>
      </c>
      <c r="G497">
        <v>3463</v>
      </c>
      <c r="H497" s="116"/>
      <c r="I497" s="116"/>
      <c r="L497" s="170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70">
        <v>42734</v>
      </c>
      <c r="B498" s="116">
        <v>318.78000000000003</v>
      </c>
      <c r="C498" s="116">
        <v>316.28000000000003</v>
      </c>
      <c r="D498" s="116">
        <v>296.91999999999996</v>
      </c>
      <c r="E498" s="116">
        <v>296.91999999999996</v>
      </c>
      <c r="F498" s="116">
        <v>1581.4</v>
      </c>
      <c r="G498">
        <v>15782</v>
      </c>
      <c r="H498" s="116"/>
      <c r="I498" s="116"/>
      <c r="L498" s="170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70">
        <v>42737</v>
      </c>
      <c r="B499" s="116">
        <v>346</v>
      </c>
      <c r="C499" s="116">
        <v>329.96999999999997</v>
      </c>
      <c r="D499" s="116">
        <v>321.5</v>
      </c>
      <c r="E499" s="116">
        <v>321.5</v>
      </c>
      <c r="F499" s="116">
        <v>1649.85</v>
      </c>
      <c r="G499">
        <v>24039</v>
      </c>
      <c r="H499" s="116"/>
      <c r="I499" s="116"/>
      <c r="L499" s="170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70">
        <v>42738</v>
      </c>
      <c r="B500" s="116">
        <v>338</v>
      </c>
      <c r="C500" s="116">
        <v>331.27</v>
      </c>
      <c r="D500" s="116">
        <v>330</v>
      </c>
      <c r="E500" s="116">
        <v>332</v>
      </c>
      <c r="F500" s="116">
        <v>1656.35</v>
      </c>
      <c r="G500">
        <v>5284</v>
      </c>
      <c r="H500" s="116"/>
      <c r="I500" s="116"/>
      <c r="L500" s="170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70">
        <v>42739</v>
      </c>
      <c r="B501" s="116">
        <v>336.52</v>
      </c>
      <c r="C501" s="116">
        <v>333.25</v>
      </c>
      <c r="D501" s="116">
        <v>331</v>
      </c>
      <c r="E501" s="116">
        <v>332.99</v>
      </c>
      <c r="F501" s="116">
        <v>1666.25</v>
      </c>
      <c r="G501">
        <v>4877</v>
      </c>
      <c r="H501" s="116"/>
      <c r="I501" s="116"/>
      <c r="L501" s="170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70">
        <v>42740</v>
      </c>
      <c r="B502" s="116">
        <v>339.2</v>
      </c>
      <c r="C502" s="116">
        <v>336.71</v>
      </c>
      <c r="D502" s="116">
        <v>334.06</v>
      </c>
      <c r="E502" s="116">
        <v>335</v>
      </c>
      <c r="F502" s="116">
        <v>1683.55</v>
      </c>
      <c r="G502">
        <v>5105</v>
      </c>
      <c r="H502" s="116"/>
      <c r="I502" s="116"/>
      <c r="L502" s="170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70">
        <v>42741</v>
      </c>
      <c r="B503" s="116">
        <v>349.83000000000004</v>
      </c>
      <c r="C503" s="116">
        <v>342.37</v>
      </c>
      <c r="D503" s="116">
        <v>338.4</v>
      </c>
      <c r="E503" s="116">
        <v>339</v>
      </c>
      <c r="F503" s="116">
        <v>1711.85</v>
      </c>
      <c r="G503">
        <v>12711</v>
      </c>
      <c r="H503" s="116"/>
      <c r="I503" s="116"/>
      <c r="L503" s="170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70">
        <v>42744</v>
      </c>
      <c r="B504" s="116">
        <v>350.4</v>
      </c>
      <c r="C504" s="116">
        <v>344</v>
      </c>
      <c r="D504" s="116">
        <v>342.4</v>
      </c>
      <c r="E504" s="116">
        <v>343.94</v>
      </c>
      <c r="F504" s="116">
        <v>1720</v>
      </c>
      <c r="G504">
        <v>8341</v>
      </c>
      <c r="H504" s="116"/>
      <c r="I504" s="116"/>
      <c r="L504" s="170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70">
        <v>42745</v>
      </c>
      <c r="B505" s="116">
        <v>344.2</v>
      </c>
      <c r="C505" s="116">
        <v>339.28000000000003</v>
      </c>
      <c r="D505" s="116">
        <v>338.04</v>
      </c>
      <c r="E505" s="116">
        <v>344.2</v>
      </c>
      <c r="F505" s="116">
        <v>1696.4</v>
      </c>
      <c r="G505">
        <v>4248</v>
      </c>
      <c r="H505" s="116"/>
      <c r="I505" s="116"/>
      <c r="L505" s="170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70">
        <v>42746</v>
      </c>
      <c r="B506" s="116">
        <v>342.39</v>
      </c>
      <c r="C506" s="116">
        <v>339.37</v>
      </c>
      <c r="D506" s="116">
        <v>338.1</v>
      </c>
      <c r="E506" s="116">
        <v>341.4</v>
      </c>
      <c r="F506" s="116">
        <v>1696.85</v>
      </c>
      <c r="G506">
        <v>3601</v>
      </c>
      <c r="H506" s="116"/>
      <c r="I506" s="116"/>
      <c r="L506" s="170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70">
        <v>42747</v>
      </c>
      <c r="B507" s="116">
        <v>345.03000000000003</v>
      </c>
      <c r="C507" s="116">
        <v>339.51</v>
      </c>
      <c r="D507" s="116">
        <v>338.49</v>
      </c>
      <c r="E507" s="116">
        <v>341</v>
      </c>
      <c r="F507" s="116">
        <v>1697.55</v>
      </c>
      <c r="G507">
        <v>2780</v>
      </c>
      <c r="H507" s="116"/>
      <c r="I507" s="116"/>
      <c r="L507" s="170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70">
        <v>42748</v>
      </c>
      <c r="B508" s="116">
        <v>343.53000000000003</v>
      </c>
      <c r="C508" s="116">
        <v>335.45</v>
      </c>
      <c r="D508" s="116">
        <v>330</v>
      </c>
      <c r="E508" s="116">
        <v>340</v>
      </c>
      <c r="F508" s="116">
        <v>1677.25</v>
      </c>
      <c r="G508">
        <v>5989</v>
      </c>
      <c r="H508" s="116"/>
      <c r="I508" s="116"/>
      <c r="L508" s="170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70">
        <v>42751</v>
      </c>
      <c r="B509" s="116">
        <v>349.38</v>
      </c>
      <c r="C509" s="116">
        <v>346.83000000000004</v>
      </c>
      <c r="D509" s="116">
        <v>335.1</v>
      </c>
      <c r="E509" s="116">
        <v>342</v>
      </c>
      <c r="F509" s="116">
        <v>1734.15</v>
      </c>
      <c r="G509">
        <v>10157</v>
      </c>
      <c r="H509" s="116"/>
      <c r="I509" s="116"/>
      <c r="L509" s="170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70">
        <v>42752</v>
      </c>
      <c r="B510" s="116">
        <v>357</v>
      </c>
      <c r="C510" s="116">
        <v>343.77</v>
      </c>
      <c r="D510" s="116">
        <v>340.1</v>
      </c>
      <c r="E510" s="116">
        <v>350</v>
      </c>
      <c r="F510" s="116">
        <v>1718.85</v>
      </c>
      <c r="G510">
        <v>41624</v>
      </c>
      <c r="H510" s="116"/>
      <c r="I510" s="116"/>
      <c r="L510" s="170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70">
        <v>42753</v>
      </c>
      <c r="B511" s="116">
        <v>351.38</v>
      </c>
      <c r="C511" s="116">
        <v>343.02</v>
      </c>
      <c r="D511" s="116">
        <v>340.31</v>
      </c>
      <c r="E511" s="116">
        <v>350.8</v>
      </c>
      <c r="F511" s="116">
        <v>1715.1</v>
      </c>
      <c r="G511">
        <v>13135</v>
      </c>
      <c r="H511" s="116"/>
      <c r="I511" s="116"/>
      <c r="L511" s="170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70">
        <v>42754</v>
      </c>
      <c r="B512" s="116">
        <v>343.4</v>
      </c>
      <c r="C512" s="116">
        <v>338.74</v>
      </c>
      <c r="D512" s="116">
        <v>337.4</v>
      </c>
      <c r="E512" s="116">
        <v>343.4</v>
      </c>
      <c r="F512" s="116">
        <v>1693.7</v>
      </c>
      <c r="G512">
        <v>3763</v>
      </c>
      <c r="H512" s="116"/>
      <c r="I512" s="116"/>
      <c r="L512" s="170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70">
        <v>42755</v>
      </c>
      <c r="B513" s="116">
        <v>341.2</v>
      </c>
      <c r="C513" s="116">
        <v>336.25</v>
      </c>
      <c r="D513" s="116">
        <v>335.01</v>
      </c>
      <c r="E513" s="116">
        <v>338</v>
      </c>
      <c r="F513" s="116">
        <v>1681.25</v>
      </c>
      <c r="G513">
        <v>2401</v>
      </c>
      <c r="H513" s="116"/>
      <c r="I513" s="116"/>
      <c r="L513" s="170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70">
        <v>42758</v>
      </c>
      <c r="B514" s="116">
        <v>346</v>
      </c>
      <c r="C514" s="116">
        <v>340.99</v>
      </c>
      <c r="D514" s="116">
        <v>334.41999999999996</v>
      </c>
      <c r="E514" s="116">
        <v>338.96</v>
      </c>
      <c r="F514" s="116">
        <v>1704.95</v>
      </c>
      <c r="G514">
        <v>8651</v>
      </c>
      <c r="H514" s="116"/>
      <c r="I514" s="116"/>
      <c r="L514" s="170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70">
        <v>42759</v>
      </c>
      <c r="B515" s="116">
        <v>346.98</v>
      </c>
      <c r="C515" s="116">
        <v>345.86</v>
      </c>
      <c r="D515" s="116">
        <v>340.54</v>
      </c>
      <c r="E515" s="116">
        <v>342</v>
      </c>
      <c r="F515" s="116">
        <v>1729.3</v>
      </c>
      <c r="G515">
        <v>3084</v>
      </c>
      <c r="H515" s="116"/>
      <c r="I515" s="116"/>
      <c r="L515" s="170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70">
        <v>42760</v>
      </c>
      <c r="B516" s="116">
        <v>349.4</v>
      </c>
      <c r="C516" s="116">
        <v>345.5</v>
      </c>
      <c r="D516" s="116">
        <v>341</v>
      </c>
      <c r="E516" s="116">
        <v>349.4</v>
      </c>
      <c r="F516" s="116">
        <v>1727.5</v>
      </c>
      <c r="G516">
        <v>13876</v>
      </c>
      <c r="H516" s="116"/>
      <c r="I516" s="116"/>
      <c r="L516" s="170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70">
        <v>42762</v>
      </c>
      <c r="B517" s="116">
        <v>354.16999999999996</v>
      </c>
      <c r="C517" s="116">
        <v>352.61</v>
      </c>
      <c r="D517" s="116">
        <v>347</v>
      </c>
      <c r="E517" s="116">
        <v>347</v>
      </c>
      <c r="F517" s="116">
        <v>1763.05</v>
      </c>
      <c r="G517">
        <v>11593</v>
      </c>
      <c r="H517" s="116"/>
      <c r="I517" s="116"/>
      <c r="L517" s="170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70">
        <v>42765</v>
      </c>
      <c r="B518" s="116">
        <v>368.4</v>
      </c>
      <c r="C518" s="116">
        <v>366.29</v>
      </c>
      <c r="D518" s="116">
        <v>350</v>
      </c>
      <c r="E518" s="116">
        <v>353</v>
      </c>
      <c r="F518" s="116">
        <v>1831.45</v>
      </c>
      <c r="G518">
        <v>12598</v>
      </c>
      <c r="H518" s="116"/>
      <c r="I518" s="116"/>
      <c r="L518" s="170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70">
        <v>42766</v>
      </c>
      <c r="B519" s="116">
        <v>376.87</v>
      </c>
      <c r="C519" s="116">
        <v>371.08000000000004</v>
      </c>
      <c r="D519" s="116">
        <v>367.59000000000003</v>
      </c>
      <c r="E519" s="116">
        <v>369</v>
      </c>
      <c r="F519" s="116">
        <v>1855.4</v>
      </c>
      <c r="G519">
        <v>17957</v>
      </c>
      <c r="H519" s="116"/>
      <c r="I519" s="116"/>
      <c r="L519" s="170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70">
        <v>42767</v>
      </c>
      <c r="B520" s="116">
        <v>384.96</v>
      </c>
      <c r="C520" s="116">
        <v>379.26</v>
      </c>
      <c r="D520" s="116">
        <v>373.2</v>
      </c>
      <c r="E520" s="116">
        <v>373.2</v>
      </c>
      <c r="F520" s="116">
        <v>1896.3</v>
      </c>
      <c r="G520">
        <v>24830</v>
      </c>
      <c r="H520" s="116"/>
      <c r="I520" s="116"/>
      <c r="L520" s="170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70">
        <v>42768</v>
      </c>
      <c r="B521" s="116">
        <v>403.94</v>
      </c>
      <c r="C521" s="116">
        <v>398.63</v>
      </c>
      <c r="D521" s="116">
        <v>380</v>
      </c>
      <c r="E521" s="116">
        <v>383.2</v>
      </c>
      <c r="F521" s="116">
        <v>1993.15</v>
      </c>
      <c r="G521">
        <v>25557</v>
      </c>
      <c r="H521" s="116"/>
      <c r="I521" s="116"/>
      <c r="L521" s="170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70">
        <v>42769</v>
      </c>
      <c r="B522" s="116">
        <v>402.8</v>
      </c>
      <c r="C522" s="116">
        <v>399.69</v>
      </c>
      <c r="D522" s="116">
        <v>397.71</v>
      </c>
      <c r="E522" s="116">
        <v>399.6</v>
      </c>
      <c r="F522" s="116">
        <v>1998.45</v>
      </c>
      <c r="G522">
        <v>6360</v>
      </c>
      <c r="H522" s="116"/>
      <c r="I522" s="116"/>
      <c r="L522" s="170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70">
        <v>42772</v>
      </c>
      <c r="B523" s="116">
        <v>410.8</v>
      </c>
      <c r="C523" s="116">
        <v>408.31</v>
      </c>
      <c r="D523" s="116">
        <v>399.31</v>
      </c>
      <c r="E523" s="116">
        <v>401.01</v>
      </c>
      <c r="F523" s="116">
        <v>2041.55</v>
      </c>
      <c r="G523">
        <v>9778</v>
      </c>
      <c r="H523" s="116"/>
      <c r="I523" s="116"/>
      <c r="L523" s="170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70">
        <v>42773</v>
      </c>
      <c r="B524" s="116">
        <v>415.8</v>
      </c>
      <c r="C524" s="116">
        <v>408.02</v>
      </c>
      <c r="D524" s="116">
        <v>403.4</v>
      </c>
      <c r="E524" s="116">
        <v>408.39</v>
      </c>
      <c r="F524" s="116">
        <v>2040.1</v>
      </c>
      <c r="G524">
        <v>6918</v>
      </c>
      <c r="H524" s="116"/>
      <c r="I524" s="116"/>
      <c r="L524" s="170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70">
        <v>42774</v>
      </c>
      <c r="B525" s="116">
        <v>411.18999999999994</v>
      </c>
      <c r="C525" s="116">
        <v>402.03000000000003</v>
      </c>
      <c r="D525" s="116">
        <v>400.27</v>
      </c>
      <c r="E525" s="116">
        <v>406.2</v>
      </c>
      <c r="F525" s="116">
        <v>2010.15</v>
      </c>
      <c r="G525">
        <v>5958</v>
      </c>
      <c r="H525" s="116"/>
      <c r="I525" s="116"/>
      <c r="L525" s="170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70">
        <v>42775</v>
      </c>
      <c r="B526" s="116">
        <v>403.2</v>
      </c>
      <c r="C526" s="116">
        <v>398.1</v>
      </c>
      <c r="D526" s="116">
        <v>394.51</v>
      </c>
      <c r="E526" s="116">
        <v>400.2</v>
      </c>
      <c r="F526" s="116">
        <v>1990.5</v>
      </c>
      <c r="G526">
        <v>4109</v>
      </c>
      <c r="H526" s="116"/>
      <c r="I526" s="116"/>
      <c r="L526" s="170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70">
        <v>42776</v>
      </c>
      <c r="B527" s="116">
        <v>399.4</v>
      </c>
      <c r="C527" s="116">
        <v>394.96999999999997</v>
      </c>
      <c r="D527" s="116">
        <v>393.99</v>
      </c>
      <c r="E527" s="116">
        <v>397.19</v>
      </c>
      <c r="F527" s="116">
        <v>1974.85</v>
      </c>
      <c r="G527">
        <v>1778</v>
      </c>
      <c r="H527" s="116"/>
      <c r="I527" s="116"/>
      <c r="L527" s="170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70">
        <v>42779</v>
      </c>
      <c r="B528" s="116">
        <v>396</v>
      </c>
      <c r="C528" s="116">
        <v>385.86</v>
      </c>
      <c r="D528" s="116">
        <v>384.02</v>
      </c>
      <c r="E528" s="116">
        <v>395.98</v>
      </c>
      <c r="F528" s="116">
        <v>1929.3</v>
      </c>
      <c r="G528">
        <v>2831</v>
      </c>
      <c r="H528" s="116"/>
      <c r="I528" s="116"/>
      <c r="L528" s="170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70">
        <v>42780</v>
      </c>
      <c r="B529" s="116">
        <v>386.8</v>
      </c>
      <c r="C529" s="116">
        <v>381.89</v>
      </c>
      <c r="D529" s="116">
        <v>379.96999999999997</v>
      </c>
      <c r="E529" s="116">
        <v>386.8</v>
      </c>
      <c r="F529" s="116">
        <v>1909.45</v>
      </c>
      <c r="G529">
        <v>3990</v>
      </c>
      <c r="H529" s="116"/>
      <c r="I529" s="116"/>
      <c r="L529" s="170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70">
        <v>42781</v>
      </c>
      <c r="B530" s="116">
        <v>405.28000000000003</v>
      </c>
      <c r="C530" s="116">
        <v>397.82</v>
      </c>
      <c r="D530" s="116">
        <v>380</v>
      </c>
      <c r="E530" s="116">
        <v>381.1</v>
      </c>
      <c r="F530" s="116">
        <v>1989.1</v>
      </c>
      <c r="G530">
        <v>21136</v>
      </c>
      <c r="H530" s="116"/>
      <c r="I530" s="116"/>
      <c r="L530" s="170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70">
        <v>42782</v>
      </c>
      <c r="B531" s="116">
        <v>404.65999999999997</v>
      </c>
      <c r="C531" s="116">
        <v>401.78000000000003</v>
      </c>
      <c r="D531" s="116">
        <v>400</v>
      </c>
      <c r="E531" s="116">
        <v>401.79</v>
      </c>
      <c r="F531" s="116">
        <v>2008.9</v>
      </c>
      <c r="G531">
        <v>6979</v>
      </c>
      <c r="H531" s="116"/>
      <c r="I531" s="116"/>
      <c r="L531" s="170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70">
        <v>42783</v>
      </c>
      <c r="B532" s="116">
        <v>403.9</v>
      </c>
      <c r="C532" s="116">
        <v>395.71999999999997</v>
      </c>
      <c r="D532" s="116">
        <v>392.54</v>
      </c>
      <c r="E532" s="116">
        <v>402.8</v>
      </c>
      <c r="F532" s="116">
        <v>1978.6</v>
      </c>
      <c r="G532">
        <v>2541</v>
      </c>
      <c r="H532" s="116"/>
      <c r="I532" s="116"/>
      <c r="L532" s="170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70">
        <v>42786</v>
      </c>
      <c r="B533" s="116">
        <v>397.6</v>
      </c>
      <c r="C533" s="116">
        <v>395.82</v>
      </c>
      <c r="D533" s="116">
        <v>390.74</v>
      </c>
      <c r="E533" s="116">
        <v>396.16999999999996</v>
      </c>
      <c r="F533" s="116">
        <v>1979.1</v>
      </c>
      <c r="G533">
        <v>2682</v>
      </c>
      <c r="H533" s="116"/>
      <c r="I533" s="116"/>
      <c r="L533" s="170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70">
        <v>42787</v>
      </c>
      <c r="B534" s="116">
        <v>404</v>
      </c>
      <c r="C534" s="116">
        <v>397.96999999999997</v>
      </c>
      <c r="D534" s="116">
        <v>394.40999999999997</v>
      </c>
      <c r="E534" s="116">
        <v>394.75</v>
      </c>
      <c r="F534" s="116">
        <v>1989.85</v>
      </c>
      <c r="G534">
        <v>2828</v>
      </c>
      <c r="H534" s="116"/>
      <c r="I534" s="116"/>
      <c r="L534" s="170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70">
        <v>42788</v>
      </c>
      <c r="B535" s="116">
        <v>403.8</v>
      </c>
      <c r="C535" s="116">
        <v>402.85</v>
      </c>
      <c r="D535" s="116">
        <v>397</v>
      </c>
      <c r="E535" s="116">
        <v>401.74</v>
      </c>
      <c r="F535" s="116">
        <v>2014.25</v>
      </c>
      <c r="G535">
        <v>3044</v>
      </c>
      <c r="H535" s="116"/>
      <c r="I535" s="116"/>
      <c r="L535" s="170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70">
        <v>42789</v>
      </c>
      <c r="B536" s="116">
        <v>404.8</v>
      </c>
      <c r="C536" s="116">
        <v>398.61</v>
      </c>
      <c r="D536" s="116">
        <v>398.03000000000003</v>
      </c>
      <c r="E536" s="116">
        <v>400.4</v>
      </c>
      <c r="F536" s="116">
        <v>1993.05</v>
      </c>
      <c r="G536">
        <v>7275</v>
      </c>
      <c r="H536" s="116"/>
      <c r="I536" s="116"/>
      <c r="L536" s="170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70">
        <v>42793</v>
      </c>
      <c r="B537" s="116">
        <v>399.74</v>
      </c>
      <c r="C537" s="116">
        <v>385.99</v>
      </c>
      <c r="D537" s="116">
        <v>384.4</v>
      </c>
      <c r="E537" s="116">
        <v>398.83000000000004</v>
      </c>
      <c r="F537" s="116">
        <v>1929.95</v>
      </c>
      <c r="G537">
        <v>12051</v>
      </c>
      <c r="H537" s="116"/>
      <c r="I537" s="116"/>
      <c r="L537" s="170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70">
        <v>42794</v>
      </c>
      <c r="B538" s="116">
        <v>392.6</v>
      </c>
      <c r="C538" s="116">
        <v>387.59000000000003</v>
      </c>
      <c r="D538" s="116">
        <v>386.6</v>
      </c>
      <c r="E538" s="116">
        <v>388</v>
      </c>
      <c r="F538" s="116">
        <v>1937.95</v>
      </c>
      <c r="G538">
        <v>7515</v>
      </c>
      <c r="H538" s="116"/>
      <c r="I538" s="116"/>
      <c r="L538" s="170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70">
        <v>42795</v>
      </c>
      <c r="B539" s="116">
        <v>400.76</v>
      </c>
      <c r="C539" s="116">
        <v>396.91999999999996</v>
      </c>
      <c r="D539" s="116">
        <v>390</v>
      </c>
      <c r="E539" s="116">
        <v>390</v>
      </c>
      <c r="F539" s="116">
        <v>1984.6</v>
      </c>
      <c r="G539">
        <v>6546</v>
      </c>
      <c r="H539" s="116"/>
      <c r="I539" s="116"/>
      <c r="L539" s="170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70">
        <v>42796</v>
      </c>
      <c r="B540" s="116">
        <v>407.79</v>
      </c>
      <c r="C540" s="116">
        <v>392.83000000000004</v>
      </c>
      <c r="D540" s="116">
        <v>392.05</v>
      </c>
      <c r="E540" s="116">
        <v>399</v>
      </c>
      <c r="F540" s="116">
        <v>1964.15</v>
      </c>
      <c r="G540">
        <v>7877</v>
      </c>
      <c r="H540" s="116"/>
      <c r="I540" s="116"/>
      <c r="L540" s="170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70">
        <v>42797</v>
      </c>
      <c r="B541" s="116">
        <v>396.34000000000003</v>
      </c>
      <c r="C541" s="116">
        <v>389.84000000000003</v>
      </c>
      <c r="D541" s="116">
        <v>387</v>
      </c>
      <c r="E541" s="116">
        <v>391.98</v>
      </c>
      <c r="F541" s="116">
        <v>1949.2</v>
      </c>
      <c r="G541">
        <v>3896</v>
      </c>
      <c r="H541" s="116"/>
      <c r="I541" s="116"/>
      <c r="L541" s="170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70">
        <v>42800</v>
      </c>
      <c r="B542" s="116">
        <v>394.52</v>
      </c>
      <c r="C542" s="116">
        <v>379</v>
      </c>
      <c r="D542" s="116">
        <v>376</v>
      </c>
      <c r="E542" s="116">
        <v>390.98</v>
      </c>
      <c r="F542" s="116">
        <v>1895</v>
      </c>
      <c r="G542">
        <v>7726</v>
      </c>
      <c r="H542" s="116"/>
      <c r="I542" s="116"/>
      <c r="L542" s="170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70">
        <v>42801</v>
      </c>
      <c r="B543" s="116">
        <v>393.2</v>
      </c>
      <c r="C543" s="116">
        <v>390.63</v>
      </c>
      <c r="D543" s="116">
        <v>379.8</v>
      </c>
      <c r="E543" s="116">
        <v>381.8</v>
      </c>
      <c r="F543" s="116">
        <v>1953.15</v>
      </c>
      <c r="G543">
        <v>6585</v>
      </c>
      <c r="H543" s="116"/>
      <c r="I543" s="116"/>
      <c r="L543" s="170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70">
        <v>42802</v>
      </c>
      <c r="B544" s="116">
        <v>392.88</v>
      </c>
      <c r="C544" s="116">
        <v>386.05</v>
      </c>
      <c r="D544" s="116">
        <v>382</v>
      </c>
      <c r="E544" s="116">
        <v>392.88</v>
      </c>
      <c r="F544" s="116">
        <v>1930.25</v>
      </c>
      <c r="G544">
        <v>3015</v>
      </c>
      <c r="H544" s="116"/>
      <c r="I544" s="116"/>
      <c r="L544" s="170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70">
        <v>42803</v>
      </c>
      <c r="B545" s="116">
        <v>390.16999999999996</v>
      </c>
      <c r="C545" s="116">
        <v>387.36</v>
      </c>
      <c r="D545" s="116">
        <v>382</v>
      </c>
      <c r="E545" s="116">
        <v>384</v>
      </c>
      <c r="F545" s="116">
        <v>1936.8</v>
      </c>
      <c r="G545">
        <v>1142</v>
      </c>
      <c r="H545" s="116"/>
      <c r="I545" s="116"/>
      <c r="L545" s="170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70">
        <v>42804</v>
      </c>
      <c r="B546" s="116">
        <v>397.4</v>
      </c>
      <c r="C546" s="116">
        <v>395.53000000000003</v>
      </c>
      <c r="D546" s="116">
        <v>387.36</v>
      </c>
      <c r="E546" s="116">
        <v>390.4</v>
      </c>
      <c r="F546" s="116">
        <v>1977.65</v>
      </c>
      <c r="G546">
        <v>9985</v>
      </c>
      <c r="H546" s="116"/>
      <c r="I546" s="116"/>
      <c r="L546" s="170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70">
        <v>42808</v>
      </c>
      <c r="B547" s="116">
        <v>421.77</v>
      </c>
      <c r="C547" s="116">
        <v>415.75</v>
      </c>
      <c r="D547" s="116">
        <v>398.2</v>
      </c>
      <c r="E547" s="116">
        <v>398.2</v>
      </c>
      <c r="F547" s="116">
        <v>2078.75</v>
      </c>
      <c r="G547">
        <v>39700</v>
      </c>
      <c r="H547" s="116"/>
      <c r="I547" s="116"/>
      <c r="L547" s="170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70">
        <v>42809</v>
      </c>
      <c r="B548" s="116">
        <v>424.48</v>
      </c>
      <c r="C548" s="116">
        <v>419.28000000000003</v>
      </c>
      <c r="D548" s="116">
        <v>413.82</v>
      </c>
      <c r="E548" s="116">
        <v>416</v>
      </c>
      <c r="F548" s="116">
        <v>2096.4</v>
      </c>
      <c r="G548">
        <v>15246</v>
      </c>
      <c r="H548" s="116"/>
      <c r="I548" s="116"/>
      <c r="L548" s="170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70">
        <v>42810</v>
      </c>
      <c r="B549" s="116">
        <v>424.2</v>
      </c>
      <c r="C549" s="116">
        <v>421.84</v>
      </c>
      <c r="D549" s="116">
        <v>419.01000000000005</v>
      </c>
      <c r="E549" s="116">
        <v>419.55</v>
      </c>
      <c r="F549" s="116">
        <v>2109.1999999999998</v>
      </c>
      <c r="G549">
        <v>12775</v>
      </c>
      <c r="H549" s="116"/>
      <c r="I549" s="116"/>
      <c r="L549" s="170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70">
        <v>42811</v>
      </c>
      <c r="B550" s="116">
        <v>423.8</v>
      </c>
      <c r="C550" s="116">
        <v>419.08000000000004</v>
      </c>
      <c r="D550" s="116">
        <v>415</v>
      </c>
      <c r="E550" s="116">
        <v>421.78999999999996</v>
      </c>
      <c r="F550" s="116">
        <v>2095.4</v>
      </c>
      <c r="G550">
        <v>4926</v>
      </c>
      <c r="H550" s="116"/>
      <c r="I550" s="116"/>
      <c r="L550" s="170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70">
        <v>42814</v>
      </c>
      <c r="B551" s="116">
        <v>431.4</v>
      </c>
      <c r="C551" s="116">
        <v>417.93999999999994</v>
      </c>
      <c r="D551" s="116">
        <v>415.03000000000003</v>
      </c>
      <c r="E551" s="116">
        <v>420</v>
      </c>
      <c r="F551" s="116">
        <v>2089.6999999999998</v>
      </c>
      <c r="G551">
        <v>9463</v>
      </c>
      <c r="H551" s="116"/>
      <c r="I551" s="116"/>
      <c r="L551" s="170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70">
        <v>42815</v>
      </c>
      <c r="B552" s="116">
        <v>421.98999999999995</v>
      </c>
      <c r="C552" s="116">
        <v>420.06000000000006</v>
      </c>
      <c r="D552" s="116">
        <v>407.55</v>
      </c>
      <c r="E552" s="116">
        <v>417.95</v>
      </c>
      <c r="F552" s="116">
        <v>2100.3000000000002</v>
      </c>
      <c r="G552">
        <v>12813</v>
      </c>
      <c r="H552" s="116"/>
      <c r="I552" s="116"/>
      <c r="L552" s="170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70">
        <v>42816</v>
      </c>
      <c r="B553" s="116">
        <v>421.2</v>
      </c>
      <c r="C553" s="116">
        <v>416.03000000000003</v>
      </c>
      <c r="D553" s="116">
        <v>414.2</v>
      </c>
      <c r="E553" s="116">
        <v>415.46999999999997</v>
      </c>
      <c r="F553" s="116">
        <v>2080.15</v>
      </c>
      <c r="G553">
        <v>21593</v>
      </c>
      <c r="H553" s="116"/>
      <c r="I553" s="116"/>
      <c r="L553" s="170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70">
        <v>42817</v>
      </c>
      <c r="B554" s="116">
        <v>421.8</v>
      </c>
      <c r="C554" s="116">
        <v>414.18</v>
      </c>
      <c r="D554" s="116">
        <v>412.2</v>
      </c>
      <c r="E554" s="116">
        <v>419.05</v>
      </c>
      <c r="F554" s="116">
        <v>2070.9</v>
      </c>
      <c r="G554">
        <v>26513</v>
      </c>
      <c r="H554" s="116"/>
      <c r="I554" s="116"/>
      <c r="L554" s="170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70">
        <v>42818</v>
      </c>
      <c r="B555" s="116">
        <v>421.31000000000006</v>
      </c>
      <c r="C555" s="116">
        <v>412.91999999999996</v>
      </c>
      <c r="D555" s="116">
        <v>410</v>
      </c>
      <c r="E555" s="116">
        <v>416.32</v>
      </c>
      <c r="F555" s="116">
        <v>2064.6</v>
      </c>
      <c r="G555">
        <v>29723</v>
      </c>
      <c r="H555" s="116"/>
      <c r="I555" s="116"/>
      <c r="L555" s="170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70">
        <v>42821</v>
      </c>
      <c r="B556" s="116">
        <v>418.8</v>
      </c>
      <c r="C556" s="116">
        <v>413.93</v>
      </c>
      <c r="D556" s="116">
        <v>408.88</v>
      </c>
      <c r="E556" s="116">
        <v>417.83000000000004</v>
      </c>
      <c r="F556" s="116">
        <v>2069.65</v>
      </c>
      <c r="G556">
        <v>2288</v>
      </c>
      <c r="H556" s="116"/>
      <c r="I556" s="116"/>
      <c r="L556" s="170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70">
        <v>42822</v>
      </c>
      <c r="B557" s="116">
        <v>418.6</v>
      </c>
      <c r="C557" s="116">
        <v>414.16</v>
      </c>
      <c r="D557" s="116">
        <v>412.46000000000004</v>
      </c>
      <c r="E557" s="116">
        <v>416.39</v>
      </c>
      <c r="F557" s="116">
        <v>2070.8000000000002</v>
      </c>
      <c r="G557">
        <v>2888</v>
      </c>
      <c r="H557" s="116"/>
      <c r="I557" s="116"/>
      <c r="L557" s="170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70">
        <v>42823</v>
      </c>
      <c r="B558" s="116">
        <v>417.06000000000006</v>
      </c>
      <c r="C558" s="116">
        <v>412.8</v>
      </c>
      <c r="D558" s="116">
        <v>410.91</v>
      </c>
      <c r="E558" s="116">
        <v>416.45</v>
      </c>
      <c r="F558" s="116">
        <v>2064</v>
      </c>
      <c r="G558">
        <v>1584</v>
      </c>
      <c r="H558" s="116"/>
      <c r="I558" s="116"/>
      <c r="L558" s="170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70">
        <v>42824</v>
      </c>
      <c r="B559" s="116">
        <v>419.78999999999996</v>
      </c>
      <c r="C559" s="116">
        <v>417.98999999999995</v>
      </c>
      <c r="D559" s="116">
        <v>413.87</v>
      </c>
      <c r="E559" s="116">
        <v>414.28000000000003</v>
      </c>
      <c r="F559" s="116">
        <v>2089.9499999999998</v>
      </c>
      <c r="G559">
        <v>2091</v>
      </c>
      <c r="H559" s="116"/>
      <c r="I559" s="116"/>
      <c r="L559" s="170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70">
        <v>42825</v>
      </c>
      <c r="B560" s="116">
        <v>424.98999999999995</v>
      </c>
      <c r="C560" s="116">
        <v>423.25</v>
      </c>
      <c r="D560" s="116">
        <v>413.21000000000004</v>
      </c>
      <c r="E560" s="116">
        <v>417.98999999999995</v>
      </c>
      <c r="F560" s="116">
        <v>2116.25</v>
      </c>
      <c r="G560">
        <v>3040</v>
      </c>
      <c r="H560" s="116"/>
      <c r="I560" s="116"/>
      <c r="L560" s="170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70">
        <v>42828</v>
      </c>
      <c r="B561" s="116">
        <v>474</v>
      </c>
      <c r="C561" s="116">
        <v>464.31000000000006</v>
      </c>
      <c r="D561" s="116">
        <v>422.4</v>
      </c>
      <c r="E561" s="116">
        <v>424</v>
      </c>
      <c r="F561" s="116">
        <v>2321.5500000000002</v>
      </c>
      <c r="G561">
        <v>28313</v>
      </c>
      <c r="H561" s="116"/>
      <c r="I561" s="116"/>
      <c r="L561" s="170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70">
        <v>42830</v>
      </c>
      <c r="B562" s="116">
        <v>470.8</v>
      </c>
      <c r="C562" s="116">
        <v>465.4</v>
      </c>
      <c r="D562" s="116">
        <v>462</v>
      </c>
      <c r="E562" s="116">
        <v>465</v>
      </c>
      <c r="F562" s="116">
        <v>2327</v>
      </c>
      <c r="G562">
        <v>6992</v>
      </c>
      <c r="H562" s="116"/>
      <c r="I562" s="116"/>
      <c r="L562" s="170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70">
        <v>42831</v>
      </c>
      <c r="B563" s="116">
        <v>479.91999999999996</v>
      </c>
      <c r="C563" s="116">
        <v>468.41</v>
      </c>
      <c r="D563" s="116">
        <v>463.46999999999997</v>
      </c>
      <c r="E563" s="116">
        <v>463.46999999999997</v>
      </c>
      <c r="F563" s="116">
        <v>2342.0500000000002</v>
      </c>
      <c r="G563">
        <v>15946</v>
      </c>
      <c r="H563" s="116"/>
      <c r="I563" s="116"/>
      <c r="L563" s="170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70">
        <v>42832</v>
      </c>
      <c r="B564" s="116">
        <v>477.4</v>
      </c>
      <c r="C564" s="116">
        <v>466.33000000000004</v>
      </c>
      <c r="D564" s="116">
        <v>460.2</v>
      </c>
      <c r="E564" s="116">
        <v>466.56000000000006</v>
      </c>
      <c r="F564" s="116">
        <v>2331.65</v>
      </c>
      <c r="G564">
        <v>7249</v>
      </c>
      <c r="H564" s="116"/>
      <c r="I564" s="116"/>
      <c r="L564" s="170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70">
        <v>42835</v>
      </c>
      <c r="B565" s="116">
        <v>470.2</v>
      </c>
      <c r="C565" s="116">
        <v>467.93</v>
      </c>
      <c r="D565" s="116">
        <v>464</v>
      </c>
      <c r="E565" s="116">
        <v>468</v>
      </c>
      <c r="F565" s="116">
        <v>2339.65</v>
      </c>
      <c r="G565">
        <v>2142</v>
      </c>
      <c r="H565" s="116"/>
      <c r="I565" s="116"/>
      <c r="L565" s="170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70">
        <v>42836</v>
      </c>
      <c r="B566" s="116">
        <v>477.6</v>
      </c>
      <c r="C566" s="116">
        <v>473.96999999999997</v>
      </c>
      <c r="D566" s="116">
        <v>466.4</v>
      </c>
      <c r="E566" s="116">
        <v>468.01000000000005</v>
      </c>
      <c r="F566" s="116">
        <v>2369.85</v>
      </c>
      <c r="G566">
        <v>13728</v>
      </c>
      <c r="H566" s="116"/>
      <c r="I566" s="116"/>
      <c r="L566" s="170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70">
        <v>42837</v>
      </c>
      <c r="B567" s="116">
        <v>525.6</v>
      </c>
      <c r="C567" s="116">
        <v>512.58999999999992</v>
      </c>
      <c r="D567" s="116">
        <v>476.96000000000004</v>
      </c>
      <c r="E567" s="116">
        <v>477.01000000000005</v>
      </c>
      <c r="F567" s="116">
        <v>2562.9499999999998</v>
      </c>
      <c r="G567">
        <v>51330</v>
      </c>
      <c r="H567" s="116"/>
      <c r="I567" s="116"/>
      <c r="L567" s="170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70">
        <v>42838</v>
      </c>
      <c r="B568" s="116">
        <v>533.91000000000008</v>
      </c>
      <c r="C568" s="116">
        <v>517.22</v>
      </c>
      <c r="D568" s="116">
        <v>510</v>
      </c>
      <c r="E568" s="116">
        <v>514</v>
      </c>
      <c r="F568" s="116">
        <v>2586.1</v>
      </c>
      <c r="G568">
        <v>25185</v>
      </c>
      <c r="H568" s="116"/>
      <c r="I568" s="116"/>
      <c r="L568" s="170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70">
        <v>42842</v>
      </c>
      <c r="B569" s="116">
        <v>515</v>
      </c>
      <c r="C569" s="116">
        <v>500.06000000000006</v>
      </c>
      <c r="D569" s="116">
        <v>497.2</v>
      </c>
      <c r="E569" s="116">
        <v>512.01</v>
      </c>
      <c r="F569" s="116">
        <v>2500.3000000000002</v>
      </c>
      <c r="G569">
        <v>11475</v>
      </c>
      <c r="H569" s="116"/>
      <c r="I569" s="116"/>
      <c r="L569" s="170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70">
        <v>42843</v>
      </c>
      <c r="B570" s="116">
        <v>517.15</v>
      </c>
      <c r="C570" s="116">
        <v>487.11</v>
      </c>
      <c r="D570" s="116">
        <v>480.46999999999997</v>
      </c>
      <c r="E570" s="116">
        <v>508.98999999999995</v>
      </c>
      <c r="F570" s="116">
        <v>2435.5500000000002</v>
      </c>
      <c r="G570">
        <v>7082</v>
      </c>
      <c r="H570" s="116"/>
      <c r="I570" s="116"/>
      <c r="L570" s="170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70">
        <v>42844</v>
      </c>
      <c r="B571" s="116">
        <v>501.2</v>
      </c>
      <c r="C571" s="116">
        <v>496.78000000000003</v>
      </c>
      <c r="D571" s="116">
        <v>482</v>
      </c>
      <c r="E571" s="116">
        <v>488.95</v>
      </c>
      <c r="F571" s="116">
        <v>2483.9</v>
      </c>
      <c r="G571">
        <v>13769</v>
      </c>
      <c r="H571" s="116"/>
      <c r="I571" s="116"/>
      <c r="L571" s="170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70">
        <v>42845</v>
      </c>
      <c r="B572" s="116">
        <v>509.75</v>
      </c>
      <c r="C572" s="116">
        <v>503.28000000000003</v>
      </c>
      <c r="D572" s="116">
        <v>501.31000000000006</v>
      </c>
      <c r="E572" s="116">
        <v>507.6</v>
      </c>
      <c r="F572" s="116">
        <v>2516.4</v>
      </c>
      <c r="G572">
        <v>10646</v>
      </c>
      <c r="H572" s="116"/>
      <c r="I572" s="116"/>
      <c r="L572" s="170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70">
        <v>42846</v>
      </c>
      <c r="B573" s="116">
        <v>514</v>
      </c>
      <c r="C573" s="116">
        <v>508.91</v>
      </c>
      <c r="D573" s="116">
        <v>499</v>
      </c>
      <c r="E573" s="116">
        <v>507.78999999999996</v>
      </c>
      <c r="F573" s="116">
        <v>2544.5500000000002</v>
      </c>
      <c r="G573">
        <v>9357</v>
      </c>
      <c r="H573" s="116"/>
      <c r="I573" s="116"/>
      <c r="L573" s="170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70">
        <v>42849</v>
      </c>
      <c r="B574" s="116">
        <v>520</v>
      </c>
      <c r="C574" s="116">
        <v>516.29</v>
      </c>
      <c r="D574" s="116">
        <v>511.02</v>
      </c>
      <c r="E574" s="116">
        <v>515</v>
      </c>
      <c r="F574" s="116">
        <v>2581.4499999999998</v>
      </c>
      <c r="G574">
        <v>8614</v>
      </c>
      <c r="H574" s="116"/>
      <c r="I574" s="116"/>
      <c r="L574" s="170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70">
        <v>42850</v>
      </c>
      <c r="B575" s="116">
        <v>530.79999999999995</v>
      </c>
      <c r="C575" s="116">
        <v>516.81000000000006</v>
      </c>
      <c r="D575" s="116">
        <v>511.05</v>
      </c>
      <c r="E575" s="116">
        <v>520</v>
      </c>
      <c r="F575" s="116">
        <v>2584.0500000000002</v>
      </c>
      <c r="G575">
        <v>44126</v>
      </c>
      <c r="H575" s="116"/>
      <c r="I575" s="116"/>
      <c r="L575" s="170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70">
        <v>42851</v>
      </c>
      <c r="B576" s="116">
        <v>523.93000000000006</v>
      </c>
      <c r="C576" s="116">
        <v>508.93</v>
      </c>
      <c r="D576" s="116">
        <v>500.31000000000006</v>
      </c>
      <c r="E576" s="116">
        <v>520</v>
      </c>
      <c r="F576" s="116">
        <v>2544.65</v>
      </c>
      <c r="G576">
        <v>14350</v>
      </c>
      <c r="H576" s="116"/>
      <c r="I576" s="116"/>
      <c r="L576" s="170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70">
        <v>42852</v>
      </c>
      <c r="B577" s="116">
        <v>523</v>
      </c>
      <c r="C577" s="116">
        <v>519.25</v>
      </c>
      <c r="D577" s="116">
        <v>506.41999999999996</v>
      </c>
      <c r="E577" s="116">
        <v>510.55</v>
      </c>
      <c r="F577" s="116">
        <v>2596.25</v>
      </c>
      <c r="G577">
        <v>11127</v>
      </c>
      <c r="H577" s="116"/>
      <c r="I577" s="116"/>
      <c r="L577" s="170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70">
        <v>42853</v>
      </c>
      <c r="B578" s="116">
        <v>532.77</v>
      </c>
      <c r="C578" s="116">
        <v>523.15</v>
      </c>
      <c r="D578" s="116">
        <v>520</v>
      </c>
      <c r="E578" s="116">
        <v>522</v>
      </c>
      <c r="F578" s="116">
        <v>2615.75</v>
      </c>
      <c r="G578">
        <v>20485</v>
      </c>
      <c r="H578" s="116"/>
      <c r="I578" s="116"/>
      <c r="L578" s="170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70">
        <v>42857</v>
      </c>
      <c r="B579" s="116">
        <v>571</v>
      </c>
      <c r="C579" s="116">
        <v>566.58999999999992</v>
      </c>
      <c r="D579" s="116">
        <v>521.47</v>
      </c>
      <c r="E579" s="116">
        <v>525</v>
      </c>
      <c r="F579" s="116">
        <v>2832.95</v>
      </c>
      <c r="G579">
        <v>59246</v>
      </c>
      <c r="H579" s="116"/>
      <c r="I579" s="116"/>
      <c r="L579" s="170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70">
        <v>42858</v>
      </c>
      <c r="B580" s="116">
        <v>574.79</v>
      </c>
      <c r="C580" s="116">
        <v>559.98</v>
      </c>
      <c r="D580" s="116">
        <v>554.83999999999992</v>
      </c>
      <c r="E580" s="116">
        <v>574.77</v>
      </c>
      <c r="F580" s="116">
        <v>2799.9</v>
      </c>
      <c r="G580">
        <v>19284</v>
      </c>
      <c r="H580" s="116"/>
      <c r="I580" s="116"/>
      <c r="L580" s="170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70">
        <v>42859</v>
      </c>
      <c r="B581" s="116">
        <v>579.4</v>
      </c>
      <c r="C581" s="116">
        <v>568.36</v>
      </c>
      <c r="D581" s="116">
        <v>562.31999999999994</v>
      </c>
      <c r="E581" s="116">
        <v>567.98</v>
      </c>
      <c r="F581" s="116">
        <v>2841.8</v>
      </c>
      <c r="G581">
        <v>20672</v>
      </c>
      <c r="H581" s="116"/>
      <c r="I581" s="116"/>
      <c r="L581" s="170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70">
        <v>42860</v>
      </c>
      <c r="B582" s="116">
        <v>574.43999999999994</v>
      </c>
      <c r="C582" s="116">
        <v>566.12</v>
      </c>
      <c r="D582" s="116">
        <v>558.45000000000005</v>
      </c>
      <c r="E582" s="116">
        <v>569.93999999999994</v>
      </c>
      <c r="F582" s="116">
        <v>2830.6</v>
      </c>
      <c r="G582">
        <v>11536</v>
      </c>
      <c r="H582" s="116"/>
      <c r="I582" s="116"/>
      <c r="L582" s="170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70">
        <v>42863</v>
      </c>
      <c r="B583" s="116">
        <v>574.20000000000005</v>
      </c>
      <c r="C583" s="116">
        <v>568.04</v>
      </c>
      <c r="D583" s="116">
        <v>565.08000000000004</v>
      </c>
      <c r="E583" s="116">
        <v>569.98</v>
      </c>
      <c r="F583" s="116">
        <v>2840.2</v>
      </c>
      <c r="G583">
        <v>5881</v>
      </c>
      <c r="H583" s="116"/>
      <c r="I583" s="116"/>
      <c r="L583" s="170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70">
        <v>42864</v>
      </c>
      <c r="B584" s="116">
        <v>569.98</v>
      </c>
      <c r="C584" s="116">
        <v>559.75</v>
      </c>
      <c r="D584" s="116">
        <v>556</v>
      </c>
      <c r="E584" s="116">
        <v>569</v>
      </c>
      <c r="F584" s="116">
        <v>2798.75</v>
      </c>
      <c r="G584">
        <v>22063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42865</v>
      </c>
      <c r="B585" s="116">
        <v>574.18999999999994</v>
      </c>
      <c r="C585" s="116">
        <v>561.72</v>
      </c>
      <c r="D585" s="116">
        <v>557.08999999999992</v>
      </c>
      <c r="E585" s="116">
        <v>558.20000000000005</v>
      </c>
      <c r="F585" s="116">
        <v>2808.6</v>
      </c>
      <c r="G585">
        <v>10624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42866</v>
      </c>
      <c r="B586" s="116">
        <v>566</v>
      </c>
      <c r="C586" s="116">
        <v>548.58000000000004</v>
      </c>
      <c r="D586" s="116">
        <v>544.79999999999995</v>
      </c>
      <c r="E586" s="116">
        <v>561.72</v>
      </c>
      <c r="F586" s="116">
        <v>2742.9</v>
      </c>
      <c r="G586">
        <v>8426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42867</v>
      </c>
      <c r="B587" s="116">
        <v>550.61</v>
      </c>
      <c r="C587" s="116">
        <v>532.25</v>
      </c>
      <c r="D587" s="116">
        <v>527.49</v>
      </c>
      <c r="E587" s="116">
        <v>550</v>
      </c>
      <c r="F587" s="116">
        <v>2661.25</v>
      </c>
      <c r="G587">
        <v>12356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42870</v>
      </c>
      <c r="B588" s="116">
        <v>560.70000000000005</v>
      </c>
      <c r="C588" s="116">
        <v>556.48</v>
      </c>
      <c r="D588" s="116">
        <v>538.1</v>
      </c>
      <c r="E588" s="116">
        <v>539.79999999999995</v>
      </c>
      <c r="F588" s="116">
        <v>2782.4</v>
      </c>
      <c r="G588">
        <v>12166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42871</v>
      </c>
      <c r="B589" s="116">
        <v>560.36</v>
      </c>
      <c r="C589" s="116">
        <v>551.81999999999994</v>
      </c>
      <c r="D589" s="116">
        <v>547.49</v>
      </c>
      <c r="E589" s="116">
        <v>560.08999999999992</v>
      </c>
      <c r="F589" s="116">
        <v>2759.1</v>
      </c>
      <c r="G589">
        <v>5049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42872</v>
      </c>
      <c r="B590" s="116">
        <v>558.58000000000004</v>
      </c>
      <c r="C590" s="116">
        <v>551.74</v>
      </c>
      <c r="D590" s="116">
        <v>534.79</v>
      </c>
      <c r="E590" s="116">
        <v>555.11</v>
      </c>
      <c r="F590" s="116">
        <v>2758.7</v>
      </c>
      <c r="G590">
        <v>9840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42873</v>
      </c>
      <c r="B591" s="116">
        <v>552.87</v>
      </c>
      <c r="C591" s="116">
        <v>534.72</v>
      </c>
      <c r="D591" s="116">
        <v>530</v>
      </c>
      <c r="E591" s="116">
        <v>545.79999999999995</v>
      </c>
      <c r="F591" s="116">
        <v>2673.6</v>
      </c>
      <c r="G591">
        <v>7782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42874</v>
      </c>
      <c r="B592" s="116">
        <v>542.20000000000005</v>
      </c>
      <c r="C592" s="116">
        <v>522.48</v>
      </c>
      <c r="D592" s="116">
        <v>514.79</v>
      </c>
      <c r="E592" s="116">
        <v>534.79999999999995</v>
      </c>
      <c r="F592" s="116">
        <v>2612.4</v>
      </c>
      <c r="G592">
        <v>13584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42877</v>
      </c>
      <c r="B593" s="116">
        <v>529.06999999999994</v>
      </c>
      <c r="C593" s="116">
        <v>505.63</v>
      </c>
      <c r="D593" s="116">
        <v>501.77</v>
      </c>
      <c r="E593" s="116">
        <v>528.35</v>
      </c>
      <c r="F593" s="116">
        <v>2528.15</v>
      </c>
      <c r="G593">
        <v>12369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42878</v>
      </c>
      <c r="B594" s="116">
        <v>534.16999999999996</v>
      </c>
      <c r="C594" s="116">
        <v>516.64</v>
      </c>
      <c r="D594" s="116">
        <v>489.4</v>
      </c>
      <c r="E594" s="116">
        <v>512</v>
      </c>
      <c r="F594" s="116">
        <v>2583.1999999999998</v>
      </c>
      <c r="G594">
        <v>27501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42879</v>
      </c>
      <c r="B595" s="116">
        <v>528.29</v>
      </c>
      <c r="C595" s="116">
        <v>513.22</v>
      </c>
      <c r="D595" s="116">
        <v>506</v>
      </c>
      <c r="E595" s="116">
        <v>520.1</v>
      </c>
      <c r="F595" s="116">
        <v>2566.1</v>
      </c>
      <c r="G595">
        <v>17684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42880</v>
      </c>
      <c r="B596" s="116">
        <v>531.54999999999995</v>
      </c>
      <c r="C596" s="116">
        <v>527.76</v>
      </c>
      <c r="D596" s="116">
        <v>516.91000000000008</v>
      </c>
      <c r="E596" s="116">
        <v>517.81000000000006</v>
      </c>
      <c r="F596" s="116">
        <v>2638.8</v>
      </c>
      <c r="G596">
        <v>9951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42881</v>
      </c>
      <c r="B597" s="116">
        <v>533.66000000000008</v>
      </c>
      <c r="C597" s="116">
        <v>525.9</v>
      </c>
      <c r="D597" s="116">
        <v>513.74</v>
      </c>
      <c r="E597" s="116">
        <v>528</v>
      </c>
      <c r="F597" s="116">
        <v>2629.5</v>
      </c>
      <c r="G597">
        <v>11683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42884</v>
      </c>
      <c r="B598" s="116">
        <v>532.15</v>
      </c>
      <c r="C598" s="116">
        <v>524.24</v>
      </c>
      <c r="D598" s="116">
        <v>518.31999999999994</v>
      </c>
      <c r="E598" s="116">
        <v>529.79999999999995</v>
      </c>
      <c r="F598" s="116">
        <v>2621.1999999999998</v>
      </c>
      <c r="G598">
        <v>4685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42885</v>
      </c>
      <c r="B599" s="116">
        <v>547.20000000000005</v>
      </c>
      <c r="C599" s="116">
        <v>545.5</v>
      </c>
      <c r="D599" s="116">
        <v>521.18999999999994</v>
      </c>
      <c r="E599" s="116">
        <v>521.18999999999994</v>
      </c>
      <c r="F599" s="116">
        <v>2727.5</v>
      </c>
      <c r="G599">
        <v>11759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42886</v>
      </c>
      <c r="B600" s="116">
        <v>550.4</v>
      </c>
      <c r="C600" s="116">
        <v>542.54999999999995</v>
      </c>
      <c r="D600" s="116">
        <v>534</v>
      </c>
      <c r="E600" s="116">
        <v>548</v>
      </c>
      <c r="F600" s="116">
        <v>2712.75</v>
      </c>
      <c r="G600">
        <v>15162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42887</v>
      </c>
      <c r="B601" s="116">
        <v>551.41000000000008</v>
      </c>
      <c r="C601" s="116">
        <v>547.65</v>
      </c>
      <c r="D601" s="116">
        <v>542.58000000000004</v>
      </c>
      <c r="E601" s="116">
        <v>542.79999999999995</v>
      </c>
      <c r="F601" s="116">
        <v>2738.25</v>
      </c>
      <c r="G601">
        <v>19088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42888</v>
      </c>
      <c r="B602" s="116">
        <v>551.79999999999995</v>
      </c>
      <c r="C602" s="116">
        <v>544.66000000000008</v>
      </c>
      <c r="D602" s="116">
        <v>543</v>
      </c>
      <c r="E602" s="116">
        <v>551.20000000000005</v>
      </c>
      <c r="F602" s="116">
        <v>2723.3</v>
      </c>
      <c r="G602">
        <v>4396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42891</v>
      </c>
      <c r="B603" s="116">
        <v>560.06000000000006</v>
      </c>
      <c r="C603" s="116">
        <v>555.22</v>
      </c>
      <c r="D603" s="116">
        <v>547.16999999999996</v>
      </c>
      <c r="E603" s="116">
        <v>550</v>
      </c>
      <c r="F603" s="116">
        <v>2776.1</v>
      </c>
      <c r="G603">
        <v>13894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42892</v>
      </c>
      <c r="B604" s="116">
        <v>559.46</v>
      </c>
      <c r="C604" s="116">
        <v>553.26</v>
      </c>
      <c r="D604" s="116">
        <v>547</v>
      </c>
      <c r="E604" s="116">
        <v>558.6</v>
      </c>
      <c r="F604" s="116">
        <v>2766.3</v>
      </c>
      <c r="G604">
        <v>5628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42893</v>
      </c>
      <c r="B605" s="116">
        <v>589</v>
      </c>
      <c r="C605" s="116">
        <v>582.18000000000006</v>
      </c>
      <c r="D605" s="116">
        <v>553.18999999999994</v>
      </c>
      <c r="E605" s="116">
        <v>553.9</v>
      </c>
      <c r="F605" s="116">
        <v>2910.9</v>
      </c>
      <c r="G605">
        <v>33964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42894</v>
      </c>
      <c r="B606" s="116">
        <v>588.79999999999995</v>
      </c>
      <c r="C606" s="116">
        <v>578.81000000000006</v>
      </c>
      <c r="D606" s="116">
        <v>575.20000000000005</v>
      </c>
      <c r="E606" s="116">
        <v>588.79999999999995</v>
      </c>
      <c r="F606" s="116">
        <v>2894.05</v>
      </c>
      <c r="G606">
        <v>13315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42895</v>
      </c>
      <c r="B607" s="116">
        <v>601.5</v>
      </c>
      <c r="C607" s="116">
        <v>597.65</v>
      </c>
      <c r="D607" s="116">
        <v>574.53</v>
      </c>
      <c r="E607" s="116">
        <v>578</v>
      </c>
      <c r="F607" s="116">
        <v>2988.25</v>
      </c>
      <c r="G607">
        <v>23335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42898</v>
      </c>
      <c r="B608" s="116">
        <v>615.6</v>
      </c>
      <c r="C608" s="116">
        <v>605.21</v>
      </c>
      <c r="D608" s="116">
        <v>597.81999999999994</v>
      </c>
      <c r="E608" s="116">
        <v>599</v>
      </c>
      <c r="F608" s="116">
        <v>3026.05</v>
      </c>
      <c r="G608">
        <v>39194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42899</v>
      </c>
      <c r="B609" s="116">
        <v>618.73</v>
      </c>
      <c r="C609" s="116">
        <v>610.47</v>
      </c>
      <c r="D609" s="116">
        <v>605</v>
      </c>
      <c r="E609" s="116">
        <v>616</v>
      </c>
      <c r="F609" s="116">
        <v>3052.35</v>
      </c>
      <c r="G609">
        <v>26627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42900</v>
      </c>
      <c r="B610" s="116">
        <v>616.99</v>
      </c>
      <c r="C610" s="116">
        <v>612.25</v>
      </c>
      <c r="D610" s="116">
        <v>605.33999999999992</v>
      </c>
      <c r="E610" s="116">
        <v>614.76</v>
      </c>
      <c r="F610" s="116">
        <v>3061.25</v>
      </c>
      <c r="G610">
        <v>7836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42901</v>
      </c>
      <c r="B611" s="116">
        <v>629.37</v>
      </c>
      <c r="C611" s="116">
        <v>625.88</v>
      </c>
      <c r="D611" s="116">
        <v>613</v>
      </c>
      <c r="E611" s="116">
        <v>613.56000000000006</v>
      </c>
      <c r="F611" s="116">
        <v>3129.4</v>
      </c>
      <c r="G611">
        <v>12937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42902</v>
      </c>
      <c r="B612" s="116">
        <v>632.89</v>
      </c>
      <c r="C612" s="116">
        <v>628.74</v>
      </c>
      <c r="D612" s="116">
        <v>623.73</v>
      </c>
      <c r="E612" s="116">
        <v>627</v>
      </c>
      <c r="F612" s="116">
        <v>3143.7</v>
      </c>
      <c r="G612">
        <v>13144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42905</v>
      </c>
      <c r="B613" s="116">
        <v>639</v>
      </c>
      <c r="C613" s="116">
        <v>626.54999999999995</v>
      </c>
      <c r="D613" s="116">
        <v>624.01</v>
      </c>
      <c r="E613" s="116">
        <v>639</v>
      </c>
      <c r="F613" s="116">
        <v>3132.75</v>
      </c>
      <c r="G613">
        <v>7931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42906</v>
      </c>
      <c r="B614" s="116">
        <v>643.53</v>
      </c>
      <c r="C614" s="116">
        <v>640.51</v>
      </c>
      <c r="D614" s="116">
        <v>624.47</v>
      </c>
      <c r="E614" s="116">
        <v>628.21</v>
      </c>
      <c r="F614" s="116">
        <v>3202.55</v>
      </c>
      <c r="G614">
        <v>14062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42907</v>
      </c>
      <c r="B615" s="116">
        <v>659.97</v>
      </c>
      <c r="C615" s="116">
        <v>651.91000000000008</v>
      </c>
      <c r="D615" s="116">
        <v>638.37</v>
      </c>
      <c r="E615" s="116">
        <v>645</v>
      </c>
      <c r="F615" s="116">
        <v>3259.55</v>
      </c>
      <c r="G615">
        <v>21855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42908</v>
      </c>
      <c r="B616" s="116">
        <v>666.6</v>
      </c>
      <c r="C616" s="116">
        <v>649.97</v>
      </c>
      <c r="D616" s="116">
        <v>645.81000000000006</v>
      </c>
      <c r="E616" s="116">
        <v>656.61</v>
      </c>
      <c r="F616" s="116">
        <v>3249.85</v>
      </c>
      <c r="G616">
        <v>19634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42909</v>
      </c>
      <c r="B617" s="116">
        <v>656.7</v>
      </c>
      <c r="C617" s="116">
        <v>636.46</v>
      </c>
      <c r="D617" s="116">
        <v>619.06000000000006</v>
      </c>
      <c r="E617" s="116">
        <v>656</v>
      </c>
      <c r="F617" s="116">
        <v>3182.3</v>
      </c>
      <c r="G617">
        <v>35376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42913</v>
      </c>
      <c r="B618" s="116">
        <v>642</v>
      </c>
      <c r="C618" s="116">
        <v>613.37</v>
      </c>
      <c r="D618" s="116">
        <v>609.31000000000006</v>
      </c>
      <c r="E618" s="116">
        <v>641.79999999999995</v>
      </c>
      <c r="F618" s="116">
        <v>3066.85</v>
      </c>
      <c r="G618">
        <v>18155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42914</v>
      </c>
      <c r="B619" s="116">
        <v>626.41000000000008</v>
      </c>
      <c r="C619" s="116">
        <v>621.65</v>
      </c>
      <c r="D619" s="116">
        <v>601.13</v>
      </c>
      <c r="E619" s="116">
        <v>610.20000000000005</v>
      </c>
      <c r="F619" s="116">
        <v>3108.25</v>
      </c>
      <c r="G619">
        <v>23715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42915</v>
      </c>
      <c r="B620" s="116">
        <v>640</v>
      </c>
      <c r="C620" s="116">
        <v>637.91999999999996</v>
      </c>
      <c r="D620" s="116">
        <v>625.83000000000004</v>
      </c>
      <c r="E620" s="116">
        <v>627</v>
      </c>
      <c r="F620" s="116">
        <v>3189.6</v>
      </c>
      <c r="G620">
        <v>16931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42916</v>
      </c>
      <c r="B621" s="116">
        <v>647.24</v>
      </c>
      <c r="C621" s="116">
        <v>644.85</v>
      </c>
      <c r="D621" s="116">
        <v>628.41999999999996</v>
      </c>
      <c r="E621" s="116">
        <v>633.47</v>
      </c>
      <c r="F621" s="116">
        <v>3224.25</v>
      </c>
      <c r="G621">
        <v>14830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42919</v>
      </c>
      <c r="B622" s="116">
        <v>649.33999999999992</v>
      </c>
      <c r="C622" s="116">
        <v>642.41999999999996</v>
      </c>
      <c r="D622" s="116">
        <v>640.12</v>
      </c>
      <c r="E622" s="116">
        <v>646.51</v>
      </c>
      <c r="F622" s="116">
        <v>3212.1</v>
      </c>
      <c r="G622">
        <v>13116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42920</v>
      </c>
      <c r="B623" s="116">
        <v>651.38</v>
      </c>
      <c r="C623" s="116">
        <v>638.62</v>
      </c>
      <c r="D623" s="116">
        <v>636.6</v>
      </c>
      <c r="E623" s="116">
        <v>643.01</v>
      </c>
      <c r="F623" s="116">
        <v>3193.1</v>
      </c>
      <c r="G623">
        <v>11814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42921</v>
      </c>
      <c r="B624" s="116">
        <v>655</v>
      </c>
      <c r="C624" s="116">
        <v>646.41999999999996</v>
      </c>
      <c r="D624" s="116">
        <v>637.31000000000006</v>
      </c>
      <c r="E624" s="116">
        <v>640.23</v>
      </c>
      <c r="F624" s="116">
        <v>3232.1</v>
      </c>
      <c r="G624">
        <v>10582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42922</v>
      </c>
      <c r="B625" s="116">
        <v>653.5</v>
      </c>
      <c r="C625" s="116">
        <v>643.83000000000004</v>
      </c>
      <c r="D625" s="116">
        <v>641.99</v>
      </c>
      <c r="E625" s="116">
        <v>647.79</v>
      </c>
      <c r="F625" s="116">
        <v>3219.15</v>
      </c>
      <c r="G625">
        <v>9130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42923</v>
      </c>
      <c r="B626" s="116">
        <v>656.01</v>
      </c>
      <c r="C626" s="116">
        <v>650.33000000000004</v>
      </c>
      <c r="D626" s="116">
        <v>645.76</v>
      </c>
      <c r="E626" s="116">
        <v>645.81999999999994</v>
      </c>
      <c r="F626" s="116">
        <v>3251.65</v>
      </c>
      <c r="G626">
        <v>16865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42926</v>
      </c>
      <c r="B627" s="116">
        <v>665</v>
      </c>
      <c r="C627" s="116">
        <v>646.04</v>
      </c>
      <c r="D627" s="116">
        <v>634</v>
      </c>
      <c r="E627" s="116">
        <v>660</v>
      </c>
      <c r="F627" s="116">
        <v>3230.2</v>
      </c>
      <c r="G627">
        <v>29779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42927</v>
      </c>
      <c r="B628" s="116">
        <v>653.52</v>
      </c>
      <c r="C628" s="116">
        <v>640.41999999999996</v>
      </c>
      <c r="D628" s="116">
        <v>638.51</v>
      </c>
      <c r="E628" s="116">
        <v>651.1</v>
      </c>
      <c r="F628" s="116">
        <v>3202.1</v>
      </c>
      <c r="G628">
        <v>8496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42928</v>
      </c>
      <c r="B629" s="116">
        <v>647.20000000000005</v>
      </c>
      <c r="C629" s="116">
        <v>641.03</v>
      </c>
      <c r="D629" s="116">
        <v>638.01</v>
      </c>
      <c r="E629" s="116">
        <v>638.01</v>
      </c>
      <c r="F629" s="116">
        <v>3205.15</v>
      </c>
      <c r="G629">
        <v>6488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42929</v>
      </c>
      <c r="B630" s="116">
        <v>647.52</v>
      </c>
      <c r="C630" s="116">
        <v>640.21</v>
      </c>
      <c r="D630" s="116">
        <v>637.75</v>
      </c>
      <c r="E630" s="116">
        <v>643.93000000000006</v>
      </c>
      <c r="F630" s="116">
        <v>3201.05</v>
      </c>
      <c r="G630">
        <v>5399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42930</v>
      </c>
      <c r="B631" s="116">
        <v>649</v>
      </c>
      <c r="C631" s="116">
        <v>640</v>
      </c>
      <c r="D631" s="116">
        <v>637</v>
      </c>
      <c r="E631" s="116">
        <v>640.81999999999994</v>
      </c>
      <c r="F631" s="116">
        <v>3200</v>
      </c>
      <c r="G631">
        <v>5406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42933</v>
      </c>
      <c r="B632" s="116">
        <v>645</v>
      </c>
      <c r="C632" s="116">
        <v>638.16000000000008</v>
      </c>
      <c r="D632" s="116">
        <v>636.5</v>
      </c>
      <c r="E632" s="116">
        <v>644</v>
      </c>
      <c r="F632" s="116">
        <v>3190.8</v>
      </c>
      <c r="G632">
        <v>8773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42934</v>
      </c>
      <c r="B633" s="116">
        <v>649.79999999999995</v>
      </c>
      <c r="C633" s="116">
        <v>632.43999999999994</v>
      </c>
      <c r="D633" s="116">
        <v>629.11</v>
      </c>
      <c r="E633" s="116">
        <v>638.51</v>
      </c>
      <c r="F633" s="116">
        <v>3162.2</v>
      </c>
      <c r="G633">
        <v>11758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42935</v>
      </c>
      <c r="B634" s="116">
        <v>638.6</v>
      </c>
      <c r="C634" s="116">
        <v>636.61</v>
      </c>
      <c r="D634" s="116">
        <v>624.4</v>
      </c>
      <c r="E634" s="116">
        <v>634.93999999999994</v>
      </c>
      <c r="F634" s="116">
        <v>3183.05</v>
      </c>
      <c r="G634">
        <v>6568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42936</v>
      </c>
      <c r="B635" s="116">
        <v>645.79999999999995</v>
      </c>
      <c r="C635" s="116">
        <v>643.51</v>
      </c>
      <c r="D635" s="116">
        <v>636</v>
      </c>
      <c r="E635" s="116">
        <v>637.31999999999994</v>
      </c>
      <c r="F635" s="116">
        <v>3217.55</v>
      </c>
      <c r="G635">
        <v>6543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42937</v>
      </c>
      <c r="B636" s="116">
        <v>648.79999999999995</v>
      </c>
      <c r="C636" s="116">
        <v>629.20000000000005</v>
      </c>
      <c r="D636" s="116">
        <v>625</v>
      </c>
      <c r="E636" s="116">
        <v>648.79999999999995</v>
      </c>
      <c r="F636" s="116">
        <v>3146</v>
      </c>
      <c r="G636">
        <v>33250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42940</v>
      </c>
      <c r="B637" s="116">
        <v>647.99</v>
      </c>
      <c r="C637" s="116">
        <v>612.28</v>
      </c>
      <c r="D637" s="116">
        <v>607.6</v>
      </c>
      <c r="E637" s="116">
        <v>631</v>
      </c>
      <c r="F637" s="116">
        <v>3061.4</v>
      </c>
      <c r="G637">
        <v>25265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42941</v>
      </c>
      <c r="B638" s="116">
        <v>620.20000000000005</v>
      </c>
      <c r="C638" s="116">
        <v>617.41000000000008</v>
      </c>
      <c r="D638" s="116">
        <v>609.6</v>
      </c>
      <c r="E638" s="116">
        <v>609.6</v>
      </c>
      <c r="F638" s="116">
        <v>3087.05</v>
      </c>
      <c r="G638">
        <v>10055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42942</v>
      </c>
      <c r="B639" s="116">
        <v>619.97</v>
      </c>
      <c r="C639" s="116">
        <v>608.81999999999994</v>
      </c>
      <c r="D639" s="116">
        <v>606.24</v>
      </c>
      <c r="E639" s="116">
        <v>618.20000000000005</v>
      </c>
      <c r="F639" s="116">
        <v>3044.1</v>
      </c>
      <c r="G639">
        <v>14690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42943</v>
      </c>
      <c r="B640" s="116">
        <v>630</v>
      </c>
      <c r="C640" s="116">
        <v>622.18000000000006</v>
      </c>
      <c r="D640" s="116">
        <v>608.20000000000005</v>
      </c>
      <c r="E640" s="116">
        <v>609.95000000000005</v>
      </c>
      <c r="F640" s="116">
        <v>3110.9</v>
      </c>
      <c r="G640">
        <v>12296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42944</v>
      </c>
      <c r="B641" s="116">
        <v>626.79999999999995</v>
      </c>
      <c r="C641" s="116">
        <v>620.61</v>
      </c>
      <c r="D641" s="116">
        <v>616.76</v>
      </c>
      <c r="E641" s="116">
        <v>620.66000000000008</v>
      </c>
      <c r="F641" s="116">
        <v>3103.05</v>
      </c>
      <c r="G641">
        <v>8100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42947</v>
      </c>
      <c r="B642" s="116">
        <v>622.91999999999996</v>
      </c>
      <c r="C642" s="116">
        <v>615.83000000000004</v>
      </c>
      <c r="D642" s="116">
        <v>609.5</v>
      </c>
      <c r="E642" s="116">
        <v>621.4</v>
      </c>
      <c r="F642" s="116">
        <v>3079.15</v>
      </c>
      <c r="G642">
        <v>7758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42948</v>
      </c>
      <c r="B643" s="116">
        <v>624.4</v>
      </c>
      <c r="C643" s="116">
        <v>616.43000000000006</v>
      </c>
      <c r="D643" s="116">
        <v>613</v>
      </c>
      <c r="E643" s="116">
        <v>623.46</v>
      </c>
      <c r="F643" s="116">
        <v>3082.15</v>
      </c>
      <c r="G643">
        <v>6371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42949</v>
      </c>
      <c r="B644" s="116">
        <v>621.9</v>
      </c>
      <c r="C644" s="116">
        <v>614.66000000000008</v>
      </c>
      <c r="D644" s="116">
        <v>611.6</v>
      </c>
      <c r="E644" s="116">
        <v>619.99</v>
      </c>
      <c r="F644" s="116">
        <v>3073.3</v>
      </c>
      <c r="G644">
        <v>5747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42950</v>
      </c>
      <c r="B645" s="116">
        <v>612.53</v>
      </c>
      <c r="C645" s="116">
        <v>597.83999999999992</v>
      </c>
      <c r="D645" s="116">
        <v>594.02</v>
      </c>
      <c r="E645" s="116">
        <v>611</v>
      </c>
      <c r="F645" s="116">
        <v>2989.2</v>
      </c>
      <c r="G645">
        <v>15879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42951</v>
      </c>
      <c r="B646" s="116">
        <v>601.43999999999994</v>
      </c>
      <c r="C646" s="116">
        <v>597</v>
      </c>
      <c r="D646" s="116">
        <v>586.70000000000005</v>
      </c>
      <c r="E646" s="116">
        <v>597</v>
      </c>
      <c r="F646" s="116">
        <v>2985</v>
      </c>
      <c r="G646">
        <v>8420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42954</v>
      </c>
      <c r="B647" s="116">
        <v>598.79999999999995</v>
      </c>
      <c r="C647" s="116">
        <v>588.87</v>
      </c>
      <c r="D647" s="116">
        <v>579.20000000000005</v>
      </c>
      <c r="E647" s="116">
        <v>598</v>
      </c>
      <c r="F647" s="116">
        <v>2944.35</v>
      </c>
      <c r="G647">
        <v>13642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42955</v>
      </c>
      <c r="B648" s="116">
        <v>593.87</v>
      </c>
      <c r="C648" s="116">
        <v>584.48</v>
      </c>
      <c r="D648" s="116">
        <v>580.66000000000008</v>
      </c>
      <c r="E648" s="116">
        <v>591.54</v>
      </c>
      <c r="F648" s="116">
        <v>2922.4</v>
      </c>
      <c r="G648">
        <v>6201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42956</v>
      </c>
      <c r="B649" s="116">
        <v>588</v>
      </c>
      <c r="C649" s="116">
        <v>572.81999999999994</v>
      </c>
      <c r="D649" s="116">
        <v>568</v>
      </c>
      <c r="E649" s="116">
        <v>584.95000000000005</v>
      </c>
      <c r="F649" s="116">
        <v>2864.1</v>
      </c>
      <c r="G649">
        <v>10520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42957</v>
      </c>
      <c r="B650" s="116">
        <v>580.52</v>
      </c>
      <c r="C650" s="116">
        <v>566.9</v>
      </c>
      <c r="D650" s="116">
        <v>553.6</v>
      </c>
      <c r="E650" s="116">
        <v>566.88</v>
      </c>
      <c r="F650" s="116">
        <v>2834.5</v>
      </c>
      <c r="G650">
        <v>14697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42958</v>
      </c>
      <c r="B651" s="116">
        <v>580.96</v>
      </c>
      <c r="C651" s="116">
        <v>577.21</v>
      </c>
      <c r="D651" s="116">
        <v>544</v>
      </c>
      <c r="E651" s="116">
        <v>560</v>
      </c>
      <c r="F651" s="116">
        <v>2886.05</v>
      </c>
      <c r="G651">
        <v>21439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42961</v>
      </c>
      <c r="B652" s="116">
        <v>593</v>
      </c>
      <c r="C652" s="116">
        <v>586.16000000000008</v>
      </c>
      <c r="D652" s="116">
        <v>579.36</v>
      </c>
      <c r="E652" s="116">
        <v>584.98</v>
      </c>
      <c r="F652" s="116">
        <v>2930.8</v>
      </c>
      <c r="G652">
        <v>12502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42963</v>
      </c>
      <c r="B653" s="116">
        <v>598.20000000000005</v>
      </c>
      <c r="C653" s="116">
        <v>593.95000000000005</v>
      </c>
      <c r="D653" s="116">
        <v>574.23</v>
      </c>
      <c r="E653" s="116">
        <v>590</v>
      </c>
      <c r="F653" s="116">
        <v>2969.75</v>
      </c>
      <c r="G653">
        <v>11938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42964</v>
      </c>
      <c r="B654" s="116">
        <v>603</v>
      </c>
      <c r="C654" s="116">
        <v>590.95000000000005</v>
      </c>
      <c r="D654" s="116">
        <v>587.43000000000006</v>
      </c>
      <c r="E654" s="116">
        <v>594.02</v>
      </c>
      <c r="F654" s="116">
        <v>2954.75</v>
      </c>
      <c r="G654">
        <v>9896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42965</v>
      </c>
      <c r="B655" s="116">
        <v>587</v>
      </c>
      <c r="C655" s="116">
        <v>579.79</v>
      </c>
      <c r="D655" s="116">
        <v>575.6</v>
      </c>
      <c r="E655" s="116">
        <v>582.33999999999992</v>
      </c>
      <c r="F655" s="116">
        <v>2898.95</v>
      </c>
      <c r="G655">
        <v>4879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42968</v>
      </c>
      <c r="B656" s="116">
        <v>584.43000000000006</v>
      </c>
      <c r="C656" s="116">
        <v>558.33000000000004</v>
      </c>
      <c r="D656" s="116">
        <v>554.62</v>
      </c>
      <c r="E656" s="116">
        <v>579.79</v>
      </c>
      <c r="F656" s="116">
        <v>2791.65</v>
      </c>
      <c r="G656">
        <v>8734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42969</v>
      </c>
      <c r="B657" s="116">
        <v>564</v>
      </c>
      <c r="C657" s="116">
        <v>541.38</v>
      </c>
      <c r="D657" s="116">
        <v>539</v>
      </c>
      <c r="E657" s="116">
        <v>561.65</v>
      </c>
      <c r="F657" s="116">
        <v>2706.9</v>
      </c>
      <c r="G657">
        <v>15307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42970</v>
      </c>
      <c r="B658" s="116">
        <v>561.18999999999994</v>
      </c>
      <c r="C658" s="116">
        <v>557.25</v>
      </c>
      <c r="D658" s="116">
        <v>534.75</v>
      </c>
      <c r="E658" s="116">
        <v>544.33000000000004</v>
      </c>
      <c r="F658" s="116">
        <v>2786.25</v>
      </c>
      <c r="G658">
        <v>14024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42971</v>
      </c>
      <c r="B659" s="116">
        <v>563.24</v>
      </c>
      <c r="C659" s="116">
        <v>555.68000000000006</v>
      </c>
      <c r="D659" s="116">
        <v>553.20000000000005</v>
      </c>
      <c r="E659" s="116">
        <v>562</v>
      </c>
      <c r="F659" s="116">
        <v>2778.4</v>
      </c>
      <c r="G659">
        <v>6585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42975</v>
      </c>
      <c r="B660" s="116">
        <v>557.79999999999995</v>
      </c>
      <c r="C660" s="116">
        <v>555.93000000000006</v>
      </c>
      <c r="D660" s="116">
        <v>551.4</v>
      </c>
      <c r="E660" s="116">
        <v>556</v>
      </c>
      <c r="F660" s="116">
        <v>2779.65</v>
      </c>
      <c r="G660">
        <v>3332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42976</v>
      </c>
      <c r="B661" s="116">
        <v>555.87</v>
      </c>
      <c r="C661" s="116">
        <v>539.98</v>
      </c>
      <c r="D661" s="116">
        <v>536.6</v>
      </c>
      <c r="E661" s="116">
        <v>552.75</v>
      </c>
      <c r="F661" s="116">
        <v>2699.9</v>
      </c>
      <c r="G661">
        <v>6669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42977</v>
      </c>
      <c r="B662" s="116">
        <v>563.91999999999996</v>
      </c>
      <c r="C662" s="116">
        <v>559.03</v>
      </c>
      <c r="D662" s="116">
        <v>538.20000000000005</v>
      </c>
      <c r="E662" s="116">
        <v>538.20000000000005</v>
      </c>
      <c r="F662" s="116">
        <v>2795.15</v>
      </c>
      <c r="G662">
        <v>10503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42978</v>
      </c>
      <c r="B663" s="116">
        <v>574.79999999999995</v>
      </c>
      <c r="C663" s="116">
        <v>572.23</v>
      </c>
      <c r="D663" s="116">
        <v>553.81999999999994</v>
      </c>
      <c r="E663" s="116">
        <v>561.68999999999994</v>
      </c>
      <c r="F663" s="116">
        <v>2861.15</v>
      </c>
      <c r="G663">
        <v>14262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42979</v>
      </c>
      <c r="B664" s="116">
        <v>578.20000000000005</v>
      </c>
      <c r="C664" s="116">
        <v>574.45000000000005</v>
      </c>
      <c r="D664" s="116">
        <v>568.75</v>
      </c>
      <c r="E664" s="116">
        <v>574.01</v>
      </c>
      <c r="F664" s="116">
        <v>2872.25</v>
      </c>
      <c r="G664">
        <v>5334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42982</v>
      </c>
      <c r="B665" s="116">
        <v>575.20000000000005</v>
      </c>
      <c r="C665" s="116">
        <v>561.99</v>
      </c>
      <c r="D665" s="116">
        <v>559.83000000000004</v>
      </c>
      <c r="E665" s="116">
        <v>572</v>
      </c>
      <c r="F665" s="116">
        <v>2809.95</v>
      </c>
      <c r="G665">
        <v>12040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42983</v>
      </c>
      <c r="B666" s="116">
        <v>577</v>
      </c>
      <c r="C666" s="116">
        <v>574.83999999999992</v>
      </c>
      <c r="D666" s="116">
        <v>560</v>
      </c>
      <c r="E666" s="116">
        <v>560</v>
      </c>
      <c r="F666" s="116">
        <v>2874.2</v>
      </c>
      <c r="G666">
        <v>11355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42984</v>
      </c>
      <c r="B667" s="116">
        <v>582</v>
      </c>
      <c r="C667" s="116">
        <v>578.27</v>
      </c>
      <c r="D667" s="116">
        <v>568.23</v>
      </c>
      <c r="E667" s="116">
        <v>570.4</v>
      </c>
      <c r="F667" s="116">
        <v>2891.35</v>
      </c>
      <c r="G667">
        <v>19719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42985</v>
      </c>
      <c r="B668" s="116">
        <v>585.86</v>
      </c>
      <c r="C668" s="116">
        <v>577.68000000000006</v>
      </c>
      <c r="D668" s="116">
        <v>576</v>
      </c>
      <c r="E668" s="116">
        <v>579.79999999999995</v>
      </c>
      <c r="F668" s="116">
        <v>2888.4</v>
      </c>
      <c r="G668">
        <v>6029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42986</v>
      </c>
      <c r="B669" s="116">
        <v>589.29</v>
      </c>
      <c r="C669" s="116">
        <v>573.4</v>
      </c>
      <c r="D669" s="116">
        <v>570</v>
      </c>
      <c r="E669" s="116">
        <v>581.6</v>
      </c>
      <c r="F669" s="116">
        <v>2867</v>
      </c>
      <c r="G669">
        <v>7942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42989</v>
      </c>
      <c r="B670" s="116">
        <v>582</v>
      </c>
      <c r="C670" s="116">
        <v>569.04</v>
      </c>
      <c r="D670" s="116">
        <v>567.16999999999996</v>
      </c>
      <c r="E670" s="116">
        <v>572</v>
      </c>
      <c r="F670" s="116">
        <v>2845.2</v>
      </c>
      <c r="G670">
        <v>9021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42990</v>
      </c>
      <c r="B671" s="116">
        <v>574.06999999999994</v>
      </c>
      <c r="C671" s="116">
        <v>569.29</v>
      </c>
      <c r="D671" s="116">
        <v>564.66000000000008</v>
      </c>
      <c r="E671" s="116">
        <v>572.79999999999995</v>
      </c>
      <c r="F671" s="116">
        <v>2846.45</v>
      </c>
      <c r="G671">
        <v>5536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42991</v>
      </c>
      <c r="B672" s="116">
        <v>573.03</v>
      </c>
      <c r="C672" s="116">
        <v>561.73</v>
      </c>
      <c r="D672" s="116">
        <v>560</v>
      </c>
      <c r="E672" s="116">
        <v>568.6</v>
      </c>
      <c r="F672" s="116">
        <v>2808.65</v>
      </c>
      <c r="G672">
        <v>4858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42992</v>
      </c>
      <c r="B673" s="116">
        <v>568</v>
      </c>
      <c r="C673" s="116">
        <v>560.81000000000006</v>
      </c>
      <c r="D673" s="116">
        <v>552</v>
      </c>
      <c r="E673" s="116">
        <v>568</v>
      </c>
      <c r="F673" s="116">
        <v>2804.05</v>
      </c>
      <c r="G673">
        <v>6835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42993</v>
      </c>
      <c r="B674" s="116">
        <v>563.79999999999995</v>
      </c>
      <c r="C674" s="116">
        <v>559.54999999999995</v>
      </c>
      <c r="D674" s="116">
        <v>548</v>
      </c>
      <c r="E674" s="116">
        <v>548</v>
      </c>
      <c r="F674" s="116">
        <v>2797.75</v>
      </c>
      <c r="G674">
        <v>5551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42996</v>
      </c>
      <c r="B675" s="116">
        <v>566.48</v>
      </c>
      <c r="C675" s="116">
        <v>564.1</v>
      </c>
      <c r="D675" s="116">
        <v>560.62</v>
      </c>
      <c r="E675" s="116">
        <v>563.70000000000005</v>
      </c>
      <c r="F675" s="116">
        <v>2820.5</v>
      </c>
      <c r="G675">
        <v>6369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42997</v>
      </c>
      <c r="B676" s="116">
        <v>578.4</v>
      </c>
      <c r="C676" s="116">
        <v>575.98</v>
      </c>
      <c r="D676" s="116">
        <v>561.71</v>
      </c>
      <c r="E676" s="116">
        <v>563.56000000000006</v>
      </c>
      <c r="F676" s="116">
        <v>2879.9</v>
      </c>
      <c r="G676">
        <v>10779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42998</v>
      </c>
      <c r="B677" s="116">
        <v>576.65</v>
      </c>
      <c r="C677" s="116">
        <v>564.06999999999994</v>
      </c>
      <c r="D677" s="116">
        <v>562</v>
      </c>
      <c r="E677" s="116">
        <v>576.65</v>
      </c>
      <c r="F677" s="116">
        <v>2820.35</v>
      </c>
      <c r="G677">
        <v>9310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42999</v>
      </c>
      <c r="B678" s="116">
        <v>566.08999999999992</v>
      </c>
      <c r="C678" s="116">
        <v>559.29</v>
      </c>
      <c r="D678" s="116">
        <v>552.45000000000005</v>
      </c>
      <c r="E678" s="116">
        <v>565.35</v>
      </c>
      <c r="F678" s="116">
        <v>2796.45</v>
      </c>
      <c r="G678">
        <v>4074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43000</v>
      </c>
      <c r="B679" s="116">
        <v>553.6</v>
      </c>
      <c r="C679" s="116">
        <v>533.08999999999992</v>
      </c>
      <c r="D679" s="116">
        <v>530.5</v>
      </c>
      <c r="E679" s="116">
        <v>553.6</v>
      </c>
      <c r="F679" s="116">
        <v>2665.45</v>
      </c>
      <c r="G679">
        <v>16690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43003</v>
      </c>
      <c r="B680" s="116">
        <v>532.4</v>
      </c>
      <c r="C680" s="116">
        <v>516.98</v>
      </c>
      <c r="D680" s="116">
        <v>509.08000000000004</v>
      </c>
      <c r="E680" s="116">
        <v>532.4</v>
      </c>
      <c r="F680" s="116">
        <v>2584.9</v>
      </c>
      <c r="G680">
        <v>18003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43004</v>
      </c>
      <c r="B681" s="116">
        <v>538.02</v>
      </c>
      <c r="C681" s="116">
        <v>531.1</v>
      </c>
      <c r="D681" s="116">
        <v>516.33000000000004</v>
      </c>
      <c r="E681" s="116">
        <v>518.97</v>
      </c>
      <c r="F681" s="116">
        <v>2655.5</v>
      </c>
      <c r="G681">
        <v>12044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43005</v>
      </c>
      <c r="B682" s="116">
        <v>539.79999999999995</v>
      </c>
      <c r="C682" s="116">
        <v>519.54</v>
      </c>
      <c r="D682" s="116">
        <v>516.63</v>
      </c>
      <c r="E682" s="116">
        <v>539.4</v>
      </c>
      <c r="F682" s="116">
        <v>2597.6999999999998</v>
      </c>
      <c r="G682">
        <v>11642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43006</v>
      </c>
      <c r="B683" s="116">
        <v>531.64</v>
      </c>
      <c r="C683" s="116">
        <v>527.1</v>
      </c>
      <c r="D683" s="116">
        <v>514.58999999999992</v>
      </c>
      <c r="E683" s="116">
        <v>519.79999999999995</v>
      </c>
      <c r="F683" s="116">
        <v>2635.5</v>
      </c>
      <c r="G683">
        <v>7644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43007</v>
      </c>
      <c r="B684" s="116">
        <v>536.15</v>
      </c>
      <c r="C684" s="116">
        <v>529.93000000000006</v>
      </c>
      <c r="D684" s="116">
        <v>528.20000000000005</v>
      </c>
      <c r="E684" s="116">
        <v>531.58999999999992</v>
      </c>
      <c r="F684" s="116">
        <v>2649.65</v>
      </c>
      <c r="G684">
        <v>3777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43011</v>
      </c>
      <c r="B685" s="116">
        <v>538.6</v>
      </c>
      <c r="C685" s="116">
        <v>527.20000000000005</v>
      </c>
      <c r="D685" s="116">
        <v>525.96</v>
      </c>
      <c r="E685" s="116">
        <v>535.6</v>
      </c>
      <c r="F685" s="116">
        <v>2636</v>
      </c>
      <c r="G685">
        <v>7053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43012</v>
      </c>
      <c r="B686" s="116">
        <v>534.23</v>
      </c>
      <c r="C686" s="116">
        <v>525.04999999999995</v>
      </c>
      <c r="D686" s="116">
        <v>522.01</v>
      </c>
      <c r="E686" s="116">
        <v>522.06000000000006</v>
      </c>
      <c r="F686" s="116">
        <v>2625.25</v>
      </c>
      <c r="G686">
        <v>5102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43013</v>
      </c>
      <c r="B687" s="116">
        <v>532.20000000000005</v>
      </c>
      <c r="C687" s="116">
        <v>523.81999999999994</v>
      </c>
      <c r="D687" s="116">
        <v>522.5</v>
      </c>
      <c r="E687" s="116">
        <v>528.46</v>
      </c>
      <c r="F687" s="116">
        <v>2619.1</v>
      </c>
      <c r="G687">
        <v>4329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43014</v>
      </c>
      <c r="B688" s="116">
        <v>534.15</v>
      </c>
      <c r="C688" s="116">
        <v>529.21</v>
      </c>
      <c r="D688" s="116">
        <v>524.49</v>
      </c>
      <c r="E688" s="116">
        <v>529.6</v>
      </c>
      <c r="F688" s="116">
        <v>2646.05</v>
      </c>
      <c r="G688">
        <v>5453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43017</v>
      </c>
      <c r="B689" s="116">
        <v>535.11</v>
      </c>
      <c r="C689" s="116">
        <v>532.41000000000008</v>
      </c>
      <c r="D689" s="116">
        <v>526</v>
      </c>
      <c r="E689" s="116">
        <v>526</v>
      </c>
      <c r="F689" s="116">
        <v>2662.05</v>
      </c>
      <c r="G689">
        <v>9958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43018</v>
      </c>
      <c r="B690" s="116">
        <v>537.66999999999996</v>
      </c>
      <c r="C690" s="116">
        <v>524.26</v>
      </c>
      <c r="D690" s="116">
        <v>522.58000000000004</v>
      </c>
      <c r="E690" s="116">
        <v>534.93999999999994</v>
      </c>
      <c r="F690" s="116">
        <v>2621.3000000000002</v>
      </c>
      <c r="G690">
        <v>28445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43019</v>
      </c>
      <c r="B691" s="116">
        <v>531.13</v>
      </c>
      <c r="C691" s="116">
        <v>510.3</v>
      </c>
      <c r="D691" s="116">
        <v>507.39</v>
      </c>
      <c r="E691" s="116">
        <v>527.37</v>
      </c>
      <c r="F691" s="116">
        <v>2551.5</v>
      </c>
      <c r="G691">
        <v>10672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43020</v>
      </c>
      <c r="B692" s="116">
        <v>530.9</v>
      </c>
      <c r="C692" s="116">
        <v>525.85</v>
      </c>
      <c r="D692" s="116">
        <v>510</v>
      </c>
      <c r="E692" s="116">
        <v>520</v>
      </c>
      <c r="F692" s="116">
        <v>525.85</v>
      </c>
      <c r="G692">
        <v>42947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43021</v>
      </c>
      <c r="B693" s="116">
        <v>563</v>
      </c>
      <c r="C693" s="116">
        <v>558.6</v>
      </c>
      <c r="D693" s="116">
        <v>528.29999999999995</v>
      </c>
      <c r="E693" s="116">
        <v>528.29999999999995</v>
      </c>
      <c r="F693" s="116">
        <v>558.6</v>
      </c>
      <c r="G693">
        <v>148609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43024</v>
      </c>
      <c r="B694" s="116">
        <v>565.70000000000005</v>
      </c>
      <c r="C694" s="116">
        <v>549.5</v>
      </c>
      <c r="D694" s="116">
        <v>546</v>
      </c>
      <c r="E694" s="116">
        <v>561.04999999999995</v>
      </c>
      <c r="F694" s="116">
        <v>549.5</v>
      </c>
      <c r="G694">
        <v>65865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43025</v>
      </c>
      <c r="B695" s="116">
        <v>555.20000000000005</v>
      </c>
      <c r="C695" s="116">
        <v>550.75</v>
      </c>
      <c r="D695" s="116">
        <v>547.4</v>
      </c>
      <c r="E695" s="116">
        <v>552.75</v>
      </c>
      <c r="F695" s="116">
        <v>550.75</v>
      </c>
      <c r="G695">
        <v>26267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43026</v>
      </c>
      <c r="B696" s="116">
        <v>551.54999999999995</v>
      </c>
      <c r="C696" s="116">
        <v>542.54999999999995</v>
      </c>
      <c r="D696" s="116">
        <v>539.85</v>
      </c>
      <c r="E696" s="116">
        <v>550.95000000000005</v>
      </c>
      <c r="F696" s="116">
        <v>542.54999999999995</v>
      </c>
      <c r="G696">
        <v>35989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43027</v>
      </c>
      <c r="B697" s="116">
        <v>549.85</v>
      </c>
      <c r="C697" s="116">
        <v>537.54999999999995</v>
      </c>
      <c r="D697" s="116">
        <v>534</v>
      </c>
      <c r="E697" s="116">
        <v>549.85</v>
      </c>
      <c r="F697" s="116">
        <v>537.54999999999995</v>
      </c>
      <c r="G697">
        <v>12305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43031</v>
      </c>
      <c r="B698" s="116">
        <v>545</v>
      </c>
      <c r="C698" s="116">
        <v>537.4</v>
      </c>
      <c r="D698" s="116">
        <v>530</v>
      </c>
      <c r="E698" s="116">
        <v>538.4</v>
      </c>
      <c r="F698" s="116">
        <v>537.4</v>
      </c>
      <c r="G698">
        <v>44049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43032</v>
      </c>
      <c r="B699" s="116">
        <v>558.54999999999995</v>
      </c>
      <c r="C699" s="116">
        <v>538.95000000000005</v>
      </c>
      <c r="D699" s="116">
        <v>535.45000000000005</v>
      </c>
      <c r="E699" s="116">
        <v>540.35</v>
      </c>
      <c r="F699" s="116">
        <v>538.95000000000005</v>
      </c>
      <c r="G699">
        <v>174217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43033</v>
      </c>
      <c r="B700" s="116">
        <v>539</v>
      </c>
      <c r="C700" s="116">
        <v>504.45</v>
      </c>
      <c r="D700" s="116">
        <v>498.1</v>
      </c>
      <c r="E700" s="116">
        <v>539</v>
      </c>
      <c r="F700" s="116">
        <v>504.45</v>
      </c>
      <c r="G700">
        <v>154982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43034</v>
      </c>
      <c r="B701" s="116">
        <v>506.6</v>
      </c>
      <c r="C701" s="116">
        <v>498.45</v>
      </c>
      <c r="D701" s="116">
        <v>480.6</v>
      </c>
      <c r="E701" s="116">
        <v>503</v>
      </c>
      <c r="F701" s="116">
        <v>498.45</v>
      </c>
      <c r="G701">
        <v>147385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43035</v>
      </c>
      <c r="B702" s="116">
        <v>508.95</v>
      </c>
      <c r="C702" s="116">
        <v>495.35</v>
      </c>
      <c r="D702" s="116">
        <v>492.05</v>
      </c>
      <c r="E702" s="116">
        <v>504</v>
      </c>
      <c r="F702" s="116">
        <v>495.35</v>
      </c>
      <c r="G702">
        <v>80722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43038</v>
      </c>
      <c r="B703" s="116">
        <v>502.25</v>
      </c>
      <c r="C703" s="116">
        <v>489.3</v>
      </c>
      <c r="D703" s="116">
        <v>487.25</v>
      </c>
      <c r="E703" s="116">
        <v>496.35</v>
      </c>
      <c r="F703" s="116">
        <v>489.3</v>
      </c>
      <c r="G703">
        <v>70979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43039</v>
      </c>
      <c r="B704" s="116">
        <v>494.95</v>
      </c>
      <c r="C704" s="116">
        <v>480.25</v>
      </c>
      <c r="D704" s="116">
        <v>477.25</v>
      </c>
      <c r="E704" s="116">
        <v>491.55</v>
      </c>
      <c r="F704" s="116">
        <v>480.25</v>
      </c>
      <c r="G704">
        <v>105257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43040</v>
      </c>
      <c r="B705" s="116">
        <v>493</v>
      </c>
      <c r="C705" s="116">
        <v>470.6</v>
      </c>
      <c r="D705" s="116">
        <v>468.55</v>
      </c>
      <c r="E705" s="116">
        <v>493</v>
      </c>
      <c r="F705" s="116">
        <v>470.6</v>
      </c>
      <c r="G705">
        <v>123944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43041</v>
      </c>
      <c r="B706" s="116">
        <v>482.55</v>
      </c>
      <c r="C706" s="116">
        <v>472.85</v>
      </c>
      <c r="D706" s="116">
        <v>466</v>
      </c>
      <c r="E706" s="116">
        <v>470</v>
      </c>
      <c r="F706" s="116">
        <v>472.85</v>
      </c>
      <c r="G706">
        <v>123016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43042</v>
      </c>
      <c r="B707" s="116">
        <v>477.45</v>
      </c>
      <c r="C707" s="116">
        <v>467.8</v>
      </c>
      <c r="D707" s="116">
        <v>465.5</v>
      </c>
      <c r="E707" s="116">
        <v>476.55</v>
      </c>
      <c r="F707" s="116">
        <v>467.8</v>
      </c>
      <c r="G707">
        <v>81344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43045</v>
      </c>
      <c r="B708" s="116">
        <v>469.4</v>
      </c>
      <c r="C708" s="116">
        <v>456.35</v>
      </c>
      <c r="D708" s="116">
        <v>454.15</v>
      </c>
      <c r="E708" s="116">
        <v>466</v>
      </c>
      <c r="F708" s="116">
        <v>456.35</v>
      </c>
      <c r="G708">
        <v>121449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43046</v>
      </c>
      <c r="B709" s="116">
        <v>472.5</v>
      </c>
      <c r="C709" s="116">
        <v>456.8</v>
      </c>
      <c r="D709" s="116">
        <v>453.25</v>
      </c>
      <c r="E709" s="116">
        <v>457</v>
      </c>
      <c r="F709" s="116">
        <v>456.8</v>
      </c>
      <c r="G709">
        <v>160557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43047</v>
      </c>
      <c r="B710" s="116">
        <v>463.95</v>
      </c>
      <c r="C710" s="116">
        <v>453.6</v>
      </c>
      <c r="D710" s="116">
        <v>443</v>
      </c>
      <c r="E710" s="116">
        <v>453.05</v>
      </c>
      <c r="F710" s="116">
        <v>453.6</v>
      </c>
      <c r="G710">
        <v>91942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43048</v>
      </c>
      <c r="B711" s="116">
        <v>464.8</v>
      </c>
      <c r="C711" s="116">
        <v>458.6</v>
      </c>
      <c r="D711" s="116">
        <v>449</v>
      </c>
      <c r="E711" s="116">
        <v>453</v>
      </c>
      <c r="F711" s="116">
        <v>458.6</v>
      </c>
      <c r="G711">
        <v>102637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43049</v>
      </c>
      <c r="B712" s="116">
        <v>469.75</v>
      </c>
      <c r="C712" s="116">
        <v>462.65</v>
      </c>
      <c r="D712" s="116">
        <v>458.55</v>
      </c>
      <c r="E712" s="116">
        <v>459</v>
      </c>
      <c r="F712" s="116">
        <v>462.65</v>
      </c>
      <c r="G712">
        <v>79005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43052</v>
      </c>
      <c r="B713" s="116">
        <v>466.9</v>
      </c>
      <c r="C713" s="116">
        <v>453.45</v>
      </c>
      <c r="D713" s="116">
        <v>452.5</v>
      </c>
      <c r="E713" s="116">
        <v>458</v>
      </c>
      <c r="F713" s="116">
        <v>453.45</v>
      </c>
      <c r="G713">
        <v>45245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43053</v>
      </c>
      <c r="B714" s="116">
        <v>459.95</v>
      </c>
      <c r="C714" s="116">
        <v>453.15</v>
      </c>
      <c r="D714" s="116">
        <v>450.1</v>
      </c>
      <c r="E714" s="116">
        <v>450.1</v>
      </c>
      <c r="F714" s="116">
        <v>453.15</v>
      </c>
      <c r="G714">
        <v>44696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43054</v>
      </c>
      <c r="B715" s="116">
        <v>455</v>
      </c>
      <c r="C715" s="116">
        <v>437.2</v>
      </c>
      <c r="D715" s="116">
        <v>434.8</v>
      </c>
      <c r="E715" s="116">
        <v>455</v>
      </c>
      <c r="F715" s="116">
        <v>437.2</v>
      </c>
      <c r="G715">
        <v>65319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43055</v>
      </c>
      <c r="B716" s="116">
        <v>461</v>
      </c>
      <c r="C716" s="116">
        <v>449.2</v>
      </c>
      <c r="D716" s="116">
        <v>430.85</v>
      </c>
      <c r="E716" s="116">
        <v>440</v>
      </c>
      <c r="F716" s="116">
        <v>449.2</v>
      </c>
      <c r="G716">
        <v>79124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43056</v>
      </c>
      <c r="B717" s="116">
        <v>481</v>
      </c>
      <c r="C717" s="116">
        <v>478</v>
      </c>
      <c r="D717" s="116">
        <v>461.9</v>
      </c>
      <c r="E717" s="116">
        <v>466.05</v>
      </c>
      <c r="F717" s="116">
        <v>478</v>
      </c>
      <c r="G717">
        <v>155462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43059</v>
      </c>
      <c r="B718" s="116">
        <v>483.4</v>
      </c>
      <c r="C718" s="116">
        <v>473.75</v>
      </c>
      <c r="D718" s="116">
        <v>463.1</v>
      </c>
      <c r="E718" s="116">
        <v>480</v>
      </c>
      <c r="F718" s="116">
        <v>473.75</v>
      </c>
      <c r="G718">
        <v>77046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43060</v>
      </c>
      <c r="B719" s="116">
        <v>477</v>
      </c>
      <c r="C719" s="116">
        <v>463.8</v>
      </c>
      <c r="D719" s="116">
        <v>460.1</v>
      </c>
      <c r="E719" s="116">
        <v>476.4</v>
      </c>
      <c r="F719" s="116">
        <v>463.8</v>
      </c>
      <c r="G719">
        <v>48424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43061</v>
      </c>
      <c r="B720" s="116">
        <v>469.5</v>
      </c>
      <c r="C720" s="116">
        <v>464.3</v>
      </c>
      <c r="D720" s="116">
        <v>456.3</v>
      </c>
      <c r="E720" s="116">
        <v>463.85</v>
      </c>
      <c r="F720" s="116">
        <v>464.3</v>
      </c>
      <c r="G720">
        <v>35888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43062</v>
      </c>
      <c r="B721" s="116">
        <v>466.9</v>
      </c>
      <c r="C721" s="116">
        <v>460.4</v>
      </c>
      <c r="D721" s="116">
        <v>456.9</v>
      </c>
      <c r="E721" s="116">
        <v>462.8</v>
      </c>
      <c r="F721" s="116">
        <v>460.4</v>
      </c>
      <c r="G721">
        <v>44878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43063</v>
      </c>
      <c r="B722" s="116">
        <v>463.7</v>
      </c>
      <c r="C722" s="116">
        <v>458.3</v>
      </c>
      <c r="D722" s="116">
        <v>455</v>
      </c>
      <c r="E722" s="116">
        <v>460.4</v>
      </c>
      <c r="F722" s="116">
        <v>458.3</v>
      </c>
      <c r="G722">
        <v>90303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43066</v>
      </c>
      <c r="B723" s="116">
        <v>475.7</v>
      </c>
      <c r="C723" s="116">
        <v>473.8</v>
      </c>
      <c r="D723" s="116">
        <v>456.05</v>
      </c>
      <c r="E723" s="116">
        <v>458.15</v>
      </c>
      <c r="F723" s="116">
        <v>473.8</v>
      </c>
      <c r="G723">
        <v>75223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43067</v>
      </c>
      <c r="B724" s="116">
        <v>489.55</v>
      </c>
      <c r="C724" s="116">
        <v>483.65</v>
      </c>
      <c r="D724" s="116">
        <v>472</v>
      </c>
      <c r="E724" s="116">
        <v>472</v>
      </c>
      <c r="F724" s="116">
        <v>483.65</v>
      </c>
      <c r="G724">
        <v>129692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43068</v>
      </c>
      <c r="B725" s="116">
        <v>492.3</v>
      </c>
      <c r="C725" s="116">
        <v>489.75</v>
      </c>
      <c r="D725" s="116">
        <v>478.65</v>
      </c>
      <c r="E725" s="116">
        <v>483.7</v>
      </c>
      <c r="F725" s="116">
        <v>489.75</v>
      </c>
      <c r="G725">
        <v>79292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43069</v>
      </c>
      <c r="B726" s="116">
        <v>495</v>
      </c>
      <c r="C726" s="116">
        <v>484.35</v>
      </c>
      <c r="D726" s="116">
        <v>480</v>
      </c>
      <c r="E726" s="116">
        <v>488.4</v>
      </c>
      <c r="F726" s="116">
        <v>484.35</v>
      </c>
      <c r="G726">
        <v>60902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43070</v>
      </c>
      <c r="B727" s="116">
        <v>491</v>
      </c>
      <c r="C727" s="116">
        <v>467.35</v>
      </c>
      <c r="D727" s="116">
        <v>464.85</v>
      </c>
      <c r="E727" s="116">
        <v>480</v>
      </c>
      <c r="F727" s="116">
        <v>467.35</v>
      </c>
      <c r="G727">
        <v>56521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43073</v>
      </c>
      <c r="B728" s="116">
        <v>470.9</v>
      </c>
      <c r="C728" s="116">
        <v>459.65</v>
      </c>
      <c r="D728" s="116">
        <v>453</v>
      </c>
      <c r="E728" s="116">
        <v>467.35</v>
      </c>
      <c r="F728" s="116">
        <v>459.65</v>
      </c>
      <c r="G728">
        <v>37092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43074</v>
      </c>
      <c r="B729" s="116">
        <v>468</v>
      </c>
      <c r="C729" s="116">
        <v>464.1</v>
      </c>
      <c r="D729" s="116">
        <v>451.55</v>
      </c>
      <c r="E729" s="116">
        <v>459.15</v>
      </c>
      <c r="F729" s="116">
        <v>464.1</v>
      </c>
      <c r="G729">
        <v>48355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43075</v>
      </c>
      <c r="B730" s="116">
        <v>472.5</v>
      </c>
      <c r="C730" s="116">
        <v>457.8</v>
      </c>
      <c r="D730" s="116">
        <v>455</v>
      </c>
      <c r="E730" s="116">
        <v>463</v>
      </c>
      <c r="F730" s="116">
        <v>457.8</v>
      </c>
      <c r="G730">
        <v>66942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43076</v>
      </c>
      <c r="B731" s="116">
        <v>488.25</v>
      </c>
      <c r="C731" s="116">
        <v>486.05</v>
      </c>
      <c r="D731" s="116">
        <v>458.85</v>
      </c>
      <c r="E731" s="116">
        <v>458.85</v>
      </c>
      <c r="F731" s="116">
        <v>486.05</v>
      </c>
      <c r="G731">
        <v>114708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43077</v>
      </c>
      <c r="B732" s="116">
        <v>490.6</v>
      </c>
      <c r="C732" s="116">
        <v>481.3</v>
      </c>
      <c r="D732" s="116">
        <v>478.4</v>
      </c>
      <c r="E732" s="116">
        <v>486</v>
      </c>
      <c r="F732" s="116">
        <v>481.3</v>
      </c>
      <c r="G732">
        <v>54324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43080</v>
      </c>
      <c r="B733" s="116">
        <v>491.85</v>
      </c>
      <c r="C733" s="116">
        <v>483.95</v>
      </c>
      <c r="D733" s="116">
        <v>480</v>
      </c>
      <c r="E733" s="116">
        <v>484.8</v>
      </c>
      <c r="F733" s="116">
        <v>483.95</v>
      </c>
      <c r="G733">
        <v>79919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43081</v>
      </c>
      <c r="B734" s="116">
        <v>484.5</v>
      </c>
      <c r="C734" s="116">
        <v>467.4</v>
      </c>
      <c r="D734" s="116">
        <v>465.45</v>
      </c>
      <c r="E734" s="116">
        <v>484.5</v>
      </c>
      <c r="F734" s="116">
        <v>467.4</v>
      </c>
      <c r="G734">
        <v>80378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43082</v>
      </c>
      <c r="B735" s="116">
        <v>472.6</v>
      </c>
      <c r="C735" s="116">
        <v>464.1</v>
      </c>
      <c r="D735" s="116">
        <v>461.6</v>
      </c>
      <c r="E735" s="116">
        <v>463</v>
      </c>
      <c r="F735" s="116">
        <v>464.1</v>
      </c>
      <c r="G735">
        <v>71334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43083</v>
      </c>
      <c r="B736" s="116">
        <v>466.75</v>
      </c>
      <c r="C736" s="116">
        <v>461.55</v>
      </c>
      <c r="D736" s="116">
        <v>450</v>
      </c>
      <c r="E736" s="116">
        <v>465.4</v>
      </c>
      <c r="F736" s="116">
        <v>461.55</v>
      </c>
      <c r="G736">
        <v>51847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43084</v>
      </c>
      <c r="B737" s="116">
        <v>474</v>
      </c>
      <c r="C737" s="116">
        <v>467.05</v>
      </c>
      <c r="D737" s="116">
        <v>465.5</v>
      </c>
      <c r="E737" s="116">
        <v>467</v>
      </c>
      <c r="F737" s="116">
        <v>467.05</v>
      </c>
      <c r="G737">
        <v>36246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43087</v>
      </c>
      <c r="B738" s="116">
        <v>478.5</v>
      </c>
      <c r="C738" s="116">
        <v>474.7</v>
      </c>
      <c r="D738" s="116">
        <v>451.65</v>
      </c>
      <c r="E738" s="116">
        <v>468</v>
      </c>
      <c r="F738" s="116">
        <v>474.7</v>
      </c>
      <c r="G738">
        <v>75606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43088</v>
      </c>
      <c r="B739" s="116">
        <v>482.95</v>
      </c>
      <c r="C739" s="116">
        <v>479.55</v>
      </c>
      <c r="D739" s="116">
        <v>470</v>
      </c>
      <c r="E739" s="116">
        <v>470</v>
      </c>
      <c r="F739" s="116">
        <v>479.55</v>
      </c>
      <c r="G739">
        <v>57397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43089</v>
      </c>
      <c r="B740" s="116">
        <v>485</v>
      </c>
      <c r="C740" s="116">
        <v>473.75</v>
      </c>
      <c r="D740" s="116">
        <v>472</v>
      </c>
      <c r="E740" s="116">
        <v>485</v>
      </c>
      <c r="F740" s="116">
        <v>473.75</v>
      </c>
      <c r="G740">
        <v>65241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43090</v>
      </c>
      <c r="B741" s="116">
        <v>512.79999999999995</v>
      </c>
      <c r="C741" s="116">
        <v>509.15</v>
      </c>
      <c r="D741" s="116">
        <v>472.75</v>
      </c>
      <c r="E741" s="116">
        <v>475</v>
      </c>
      <c r="F741" s="116">
        <v>509.15</v>
      </c>
      <c r="G741">
        <v>232084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43091</v>
      </c>
      <c r="B742" s="116">
        <v>511.8</v>
      </c>
      <c r="C742" s="116">
        <v>495.65</v>
      </c>
      <c r="D742" s="116">
        <v>492.2</v>
      </c>
      <c r="E742" s="116">
        <v>510</v>
      </c>
      <c r="F742" s="116">
        <v>495.65</v>
      </c>
      <c r="G742">
        <v>160913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43095</v>
      </c>
      <c r="B743" s="116">
        <v>504.45</v>
      </c>
      <c r="C743" s="116">
        <v>500.45</v>
      </c>
      <c r="D743" s="116">
        <v>495.6</v>
      </c>
      <c r="E743" s="116">
        <v>500</v>
      </c>
      <c r="F743" s="116">
        <v>500.45</v>
      </c>
      <c r="G743">
        <v>50084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43096</v>
      </c>
      <c r="B744" s="116">
        <v>504.35</v>
      </c>
      <c r="C744" s="116">
        <v>490.35</v>
      </c>
      <c r="D744" s="116">
        <v>484</v>
      </c>
      <c r="E744" s="116">
        <v>504.35</v>
      </c>
      <c r="F744" s="116">
        <v>490.35</v>
      </c>
      <c r="G744">
        <v>67146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43097</v>
      </c>
      <c r="B745" s="116">
        <v>490.85</v>
      </c>
      <c r="C745" s="116">
        <v>476.35</v>
      </c>
      <c r="D745" s="116">
        <v>474.05</v>
      </c>
      <c r="E745" s="116">
        <v>490.05</v>
      </c>
      <c r="F745" s="116">
        <v>476.35</v>
      </c>
      <c r="G745">
        <v>175565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43098</v>
      </c>
      <c r="B746" s="116">
        <v>480</v>
      </c>
      <c r="C746" s="116">
        <v>473.45</v>
      </c>
      <c r="D746" s="116">
        <v>468.85</v>
      </c>
      <c r="E746" s="116">
        <v>476.35</v>
      </c>
      <c r="F746" s="116">
        <v>473.45</v>
      </c>
      <c r="G746">
        <v>82430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43101</v>
      </c>
      <c r="B747" s="116">
        <v>486.4</v>
      </c>
      <c r="C747" s="116">
        <v>477.65</v>
      </c>
      <c r="D747" s="116">
        <v>472.9</v>
      </c>
      <c r="E747" s="116">
        <v>473.5</v>
      </c>
      <c r="F747" s="116">
        <v>477.65</v>
      </c>
      <c r="G747">
        <v>99675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43102</v>
      </c>
      <c r="B748" s="116">
        <v>480.75</v>
      </c>
      <c r="C748" s="116">
        <v>474.5</v>
      </c>
      <c r="D748" s="116">
        <v>471.15</v>
      </c>
      <c r="E748" s="116">
        <v>477</v>
      </c>
      <c r="F748" s="116">
        <v>474.5</v>
      </c>
      <c r="G748">
        <v>61031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43103</v>
      </c>
      <c r="B749" s="116">
        <v>482.05</v>
      </c>
      <c r="C749" s="116">
        <v>476.65</v>
      </c>
      <c r="D749" s="116">
        <v>474.25</v>
      </c>
      <c r="E749" s="116">
        <v>477.15</v>
      </c>
      <c r="F749" s="116">
        <v>476.65</v>
      </c>
      <c r="G749">
        <v>47232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43104</v>
      </c>
      <c r="B750" s="116">
        <v>480.3</v>
      </c>
      <c r="C750" s="116">
        <v>468.75</v>
      </c>
      <c r="D750" s="116">
        <v>467.25</v>
      </c>
      <c r="E750" s="116">
        <v>476.65</v>
      </c>
      <c r="F750" s="116">
        <v>468.75</v>
      </c>
      <c r="G750">
        <v>102300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43105</v>
      </c>
      <c r="B751" s="116">
        <v>477.85</v>
      </c>
      <c r="C751" s="116">
        <v>470.2</v>
      </c>
      <c r="D751" s="116">
        <v>469</v>
      </c>
      <c r="E751" s="116">
        <v>469</v>
      </c>
      <c r="F751" s="116">
        <v>470.2</v>
      </c>
      <c r="G751">
        <v>143083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43108</v>
      </c>
      <c r="B752" s="116">
        <v>481</v>
      </c>
      <c r="C752" s="116">
        <v>479.35</v>
      </c>
      <c r="D752" s="116">
        <v>470</v>
      </c>
      <c r="E752" s="116">
        <v>481</v>
      </c>
      <c r="F752" s="116">
        <v>479.35</v>
      </c>
      <c r="G752">
        <v>111762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43109</v>
      </c>
      <c r="B753" s="116">
        <v>484.8</v>
      </c>
      <c r="C753" s="116">
        <v>479.05</v>
      </c>
      <c r="D753" s="116">
        <v>475.05</v>
      </c>
      <c r="E753" s="116">
        <v>484.7</v>
      </c>
      <c r="F753" s="116">
        <v>479.05</v>
      </c>
      <c r="G753">
        <v>129931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43110</v>
      </c>
      <c r="B754" s="116">
        <v>481.5</v>
      </c>
      <c r="C754" s="116">
        <v>479.9</v>
      </c>
      <c r="D754" s="116">
        <v>473.8</v>
      </c>
      <c r="E754" s="116">
        <v>475.5</v>
      </c>
      <c r="F754" s="116">
        <v>479.9</v>
      </c>
      <c r="G754">
        <v>70162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43111</v>
      </c>
      <c r="B755" s="116">
        <v>493.45</v>
      </c>
      <c r="C755" s="116">
        <v>484.4</v>
      </c>
      <c r="D755" s="116">
        <v>480.7</v>
      </c>
      <c r="E755" s="116">
        <v>484.55</v>
      </c>
      <c r="F755" s="116">
        <v>484.4</v>
      </c>
      <c r="G755">
        <v>227614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43112</v>
      </c>
      <c r="B756" s="116">
        <v>494</v>
      </c>
      <c r="C756" s="116">
        <v>481.55</v>
      </c>
      <c r="D756" s="116">
        <v>474.15</v>
      </c>
      <c r="E756" s="116">
        <v>489</v>
      </c>
      <c r="F756" s="116">
        <v>481.55</v>
      </c>
      <c r="G756">
        <v>85502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43115</v>
      </c>
      <c r="B757" s="116">
        <v>486.25</v>
      </c>
      <c r="C757" s="116">
        <v>482.5</v>
      </c>
      <c r="D757" s="116">
        <v>479.15</v>
      </c>
      <c r="E757" s="116">
        <v>485</v>
      </c>
      <c r="F757" s="116">
        <v>482.5</v>
      </c>
      <c r="G757">
        <v>68529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43116</v>
      </c>
      <c r="B758" s="116">
        <v>486</v>
      </c>
      <c r="C758" s="116">
        <v>476.7</v>
      </c>
      <c r="D758" s="116">
        <v>468.45</v>
      </c>
      <c r="E758" s="116">
        <v>486</v>
      </c>
      <c r="F758" s="116">
        <v>476.7</v>
      </c>
      <c r="G758">
        <v>102679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43117</v>
      </c>
      <c r="B759" s="116">
        <v>475</v>
      </c>
      <c r="C759" s="116">
        <v>472</v>
      </c>
      <c r="D759" s="116">
        <v>464.3</v>
      </c>
      <c r="E759" s="116">
        <v>471</v>
      </c>
      <c r="F759" s="116">
        <v>472</v>
      </c>
      <c r="G759">
        <v>51172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43118</v>
      </c>
      <c r="B760" s="116">
        <v>476.6</v>
      </c>
      <c r="C760" s="116">
        <v>463.85</v>
      </c>
      <c r="D760" s="116">
        <v>458</v>
      </c>
      <c r="E760" s="116">
        <v>471</v>
      </c>
      <c r="F760" s="116">
        <v>463.85</v>
      </c>
      <c r="G760">
        <v>49706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43119</v>
      </c>
      <c r="B761" s="116">
        <v>478</v>
      </c>
      <c r="C761" s="116">
        <v>474.35</v>
      </c>
      <c r="D761" s="116">
        <v>461.35</v>
      </c>
      <c r="E761" s="116">
        <v>464</v>
      </c>
      <c r="F761" s="116">
        <v>474.35</v>
      </c>
      <c r="G761">
        <v>35834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43122</v>
      </c>
      <c r="B762" s="116">
        <v>486.6</v>
      </c>
      <c r="C762" s="116">
        <v>485.6</v>
      </c>
      <c r="D762" s="116">
        <v>472</v>
      </c>
      <c r="E762" s="116">
        <v>476.55</v>
      </c>
      <c r="F762" s="116">
        <v>485.6</v>
      </c>
      <c r="G762">
        <v>71117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43123</v>
      </c>
      <c r="B763" s="116">
        <v>505</v>
      </c>
      <c r="C763" s="116">
        <v>461.3</v>
      </c>
      <c r="D763" s="116">
        <v>458</v>
      </c>
      <c r="E763" s="116">
        <v>487.4</v>
      </c>
      <c r="F763" s="116">
        <v>461.3</v>
      </c>
      <c r="G763">
        <v>519008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43124</v>
      </c>
      <c r="B764" s="116">
        <v>464.9</v>
      </c>
      <c r="C764" s="116">
        <v>442.9</v>
      </c>
      <c r="D764" s="116">
        <v>441</v>
      </c>
      <c r="E764" s="116">
        <v>462.95</v>
      </c>
      <c r="F764" s="116">
        <v>442.9</v>
      </c>
      <c r="G764">
        <v>364888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43125</v>
      </c>
      <c r="B765" s="116">
        <v>452.9</v>
      </c>
      <c r="C765" s="116">
        <v>443.05</v>
      </c>
      <c r="D765" s="116">
        <v>438.1</v>
      </c>
      <c r="E765" s="116">
        <v>443</v>
      </c>
      <c r="F765" s="116">
        <v>443.05</v>
      </c>
      <c r="G765">
        <v>96065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43129</v>
      </c>
      <c r="B766" s="116">
        <v>469.65</v>
      </c>
      <c r="C766" s="116">
        <v>461.85</v>
      </c>
      <c r="D766" s="116">
        <v>449.05</v>
      </c>
      <c r="E766" s="116">
        <v>450</v>
      </c>
      <c r="F766" s="116">
        <v>461.85</v>
      </c>
      <c r="G766">
        <v>221169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43130</v>
      </c>
      <c r="B767" s="116">
        <v>462.95</v>
      </c>
      <c r="C767" s="116">
        <v>449.45</v>
      </c>
      <c r="D767" s="116">
        <v>448.5</v>
      </c>
      <c r="E767" s="116">
        <v>462</v>
      </c>
      <c r="F767" s="116">
        <v>449.45</v>
      </c>
      <c r="G767">
        <v>64930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43131</v>
      </c>
      <c r="B768" s="116">
        <v>453.05</v>
      </c>
      <c r="C768" s="116">
        <v>449.6</v>
      </c>
      <c r="D768" s="116">
        <v>445</v>
      </c>
      <c r="E768" s="116">
        <v>452.15</v>
      </c>
      <c r="F768" s="116">
        <v>449.6</v>
      </c>
      <c r="G768">
        <v>40155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43132</v>
      </c>
      <c r="B769" s="116">
        <v>459</v>
      </c>
      <c r="C769" s="116">
        <v>446.2</v>
      </c>
      <c r="D769" s="116">
        <v>443</v>
      </c>
      <c r="E769" s="116">
        <v>452</v>
      </c>
      <c r="F769" s="116">
        <v>446.2</v>
      </c>
      <c r="G769">
        <v>66601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43133</v>
      </c>
      <c r="B770" s="116">
        <v>451.5</v>
      </c>
      <c r="C770" s="116">
        <v>427.6</v>
      </c>
      <c r="D770" s="116">
        <v>416</v>
      </c>
      <c r="E770" s="116">
        <v>440</v>
      </c>
      <c r="F770" s="116">
        <v>427.6</v>
      </c>
      <c r="G770">
        <v>135823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43136</v>
      </c>
      <c r="B771" s="116">
        <v>461</v>
      </c>
      <c r="C771" s="116">
        <v>458.55</v>
      </c>
      <c r="D771" s="116">
        <v>403.9</v>
      </c>
      <c r="E771" s="116">
        <v>420</v>
      </c>
      <c r="F771" s="116">
        <v>458.55</v>
      </c>
      <c r="G771">
        <v>207425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43137</v>
      </c>
      <c r="B772" s="116">
        <v>470</v>
      </c>
      <c r="C772" s="116">
        <v>456.8</v>
      </c>
      <c r="D772" s="116">
        <v>415</v>
      </c>
      <c r="E772" s="116">
        <v>424.7</v>
      </c>
      <c r="F772" s="116">
        <v>456.8</v>
      </c>
      <c r="G772">
        <v>214179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43138</v>
      </c>
      <c r="B773" s="116">
        <v>478.4</v>
      </c>
      <c r="C773" s="116">
        <v>459.75</v>
      </c>
      <c r="D773" s="116">
        <v>456.15</v>
      </c>
      <c r="E773" s="116">
        <v>472</v>
      </c>
      <c r="F773" s="116">
        <v>459.75</v>
      </c>
      <c r="G773">
        <v>202972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43139</v>
      </c>
      <c r="B774" s="116">
        <v>470.45</v>
      </c>
      <c r="C774" s="116">
        <v>461.35</v>
      </c>
      <c r="D774" s="116">
        <v>453.1</v>
      </c>
      <c r="E774" s="116">
        <v>464</v>
      </c>
      <c r="F774" s="116">
        <v>461.35</v>
      </c>
      <c r="G774">
        <v>72349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43140</v>
      </c>
      <c r="B775" s="116">
        <v>467.95</v>
      </c>
      <c r="C775" s="116">
        <v>462.45</v>
      </c>
      <c r="D775" s="116">
        <v>449</v>
      </c>
      <c r="E775" s="116">
        <v>451</v>
      </c>
      <c r="F775" s="116">
        <v>462.45</v>
      </c>
      <c r="G775">
        <v>63088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43143</v>
      </c>
      <c r="B776" s="116">
        <v>494.4</v>
      </c>
      <c r="C776" s="116">
        <v>492.15</v>
      </c>
      <c r="D776" s="116">
        <v>463</v>
      </c>
      <c r="E776" s="116">
        <v>470</v>
      </c>
      <c r="F776" s="116">
        <v>492.15</v>
      </c>
      <c r="G776">
        <v>207223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43145</v>
      </c>
      <c r="B777" s="116">
        <v>525.95000000000005</v>
      </c>
      <c r="C777" s="116">
        <v>519.15</v>
      </c>
      <c r="D777" s="116">
        <v>493.15</v>
      </c>
      <c r="E777" s="116">
        <v>493.15</v>
      </c>
      <c r="F777" s="116">
        <v>519.15</v>
      </c>
      <c r="G777">
        <v>322792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43146</v>
      </c>
      <c r="B778" s="116">
        <v>538.04999999999995</v>
      </c>
      <c r="C778" s="116">
        <v>514.54999999999995</v>
      </c>
      <c r="D778" s="116">
        <v>510</v>
      </c>
      <c r="E778" s="116">
        <v>527</v>
      </c>
      <c r="F778" s="116">
        <v>514.54999999999995</v>
      </c>
      <c r="G778">
        <v>223446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43147</v>
      </c>
      <c r="B779" s="116">
        <v>527</v>
      </c>
      <c r="C779" s="116">
        <v>503.5</v>
      </c>
      <c r="D779" s="116">
        <v>497.4</v>
      </c>
      <c r="E779" s="116">
        <v>522</v>
      </c>
      <c r="F779" s="116">
        <v>503.5</v>
      </c>
      <c r="G779">
        <v>84942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43150</v>
      </c>
      <c r="B780" s="116">
        <v>511.35</v>
      </c>
      <c r="C780" s="116">
        <v>503.1</v>
      </c>
      <c r="D780" s="116">
        <v>496.15</v>
      </c>
      <c r="E780" s="116">
        <v>503.5</v>
      </c>
      <c r="F780" s="116">
        <v>503.1</v>
      </c>
      <c r="G780">
        <v>94521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43151</v>
      </c>
      <c r="B781" s="116">
        <v>523.79999999999995</v>
      </c>
      <c r="C781" s="116">
        <v>510.6</v>
      </c>
      <c r="D781" s="116">
        <v>502.2</v>
      </c>
      <c r="E781" s="116">
        <v>503.1</v>
      </c>
      <c r="F781" s="116">
        <v>510.6</v>
      </c>
      <c r="G781">
        <v>148440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43152</v>
      </c>
      <c r="B782" s="116">
        <v>521.95000000000005</v>
      </c>
      <c r="C782" s="116">
        <v>518.45000000000005</v>
      </c>
      <c r="D782" s="116">
        <v>511.75</v>
      </c>
      <c r="E782" s="116">
        <v>518.04999999999995</v>
      </c>
      <c r="F782" s="116">
        <v>518.45000000000005</v>
      </c>
      <c r="G782">
        <v>40359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43153</v>
      </c>
      <c r="B783" s="116">
        <v>525.79999999999995</v>
      </c>
      <c r="C783" s="116">
        <v>515.45000000000005</v>
      </c>
      <c r="D783" s="116">
        <v>512.29999999999995</v>
      </c>
      <c r="E783" s="116">
        <v>518.45000000000005</v>
      </c>
      <c r="F783" s="116">
        <v>515.45000000000005</v>
      </c>
      <c r="G783">
        <v>52371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43154</v>
      </c>
      <c r="B784" s="116">
        <v>526.95000000000005</v>
      </c>
      <c r="C784" s="116">
        <v>523.4</v>
      </c>
      <c r="D784" s="116">
        <v>515.5</v>
      </c>
      <c r="E784" s="116">
        <v>515.5</v>
      </c>
      <c r="F784" s="116">
        <v>523.4</v>
      </c>
      <c r="G784">
        <v>65207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2026-06-17T17:04:45Z</dcterms:modified>
  <cp:category/>
  <cp:contentStatus/>
</cp:coreProperties>
</file>