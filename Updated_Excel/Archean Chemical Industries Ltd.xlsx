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722D2B0-FB38-4141-9D56-22E41E4DF292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C17" i="2"/>
  <c r="AD33" i="2"/>
  <c r="AF63" i="2"/>
  <c r="AF95" i="2"/>
  <c r="AC18" i="2"/>
  <c r="AE64" i="2"/>
  <c r="AB8" i="2"/>
  <c r="AB43" i="2"/>
  <c r="AB108" i="2"/>
  <c r="AB94" i="2"/>
  <c r="AB60" i="2"/>
  <c r="AC77" i="2"/>
  <c r="AD46" i="2"/>
  <c r="AF110" i="2"/>
  <c r="AC110" i="2"/>
  <c r="AF11" i="2"/>
  <c r="AF35" i="2"/>
  <c r="AE34" i="2"/>
  <c r="AF24" i="2"/>
  <c r="AB59" i="2"/>
  <c r="AE29" i="2"/>
  <c r="AE94" i="2"/>
  <c r="AE59" i="2"/>
  <c r="AD95" i="2"/>
  <c r="AD69" i="2"/>
  <c r="AE46" i="2"/>
  <c r="AE35" i="2"/>
  <c r="AB7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E106" i="2"/>
  <c r="AB32" i="2"/>
  <c r="AF64" i="2"/>
  <c r="AB84" i="2"/>
  <c r="AB104" i="2"/>
  <c r="AE61" i="2"/>
  <c r="AC88" i="2"/>
  <c r="AC36" i="2"/>
  <c r="AB74" i="2"/>
  <c r="AB90" i="2"/>
  <c r="AB110" i="2"/>
  <c r="AE69" i="2"/>
  <c r="AE93" i="2"/>
  <c r="AF70" i="2"/>
  <c r="AF86" i="2"/>
  <c r="AF106" i="2"/>
  <c r="AE91" i="2"/>
  <c r="AE42" i="2"/>
  <c r="AF92" i="2"/>
  <c r="AC70" i="2"/>
  <c r="AD71" i="2"/>
  <c r="AC92" i="2"/>
  <c r="AE97" i="2"/>
  <c r="AD51" i="2"/>
  <c r="AC56" i="2"/>
  <c r="AD52" i="2"/>
  <c r="AF71" i="2"/>
  <c r="AE104" i="2"/>
  <c r="AC45" i="2"/>
  <c r="AB72" i="2"/>
  <c r="AE71" i="2"/>
  <c r="AE58" i="2"/>
  <c r="AC74" i="2"/>
  <c r="AB28" i="2"/>
  <c r="AC65" i="2"/>
  <c r="AD11" i="2"/>
  <c r="AF74" i="2"/>
  <c r="AC96" i="2"/>
  <c r="AE10" i="2"/>
  <c r="AB91" i="2"/>
  <c r="AE56" i="2"/>
  <c r="AF22" i="2"/>
  <c r="AD7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B68" i="2"/>
  <c r="AC94" i="2"/>
  <c r="AD107" i="2"/>
  <c r="AD93" i="2"/>
  <c r="AD24" i="2"/>
  <c r="AD32" i="2"/>
  <c r="AD43" i="2"/>
  <c r="AC5" i="2"/>
  <c r="AC29" i="2"/>
  <c r="AD17" i="2"/>
  <c r="AF87" i="2"/>
  <c r="AF107" i="2"/>
  <c r="AD59" i="2"/>
  <c r="AE15" i="2"/>
  <c r="AE95" i="2"/>
  <c r="AC8" i="2"/>
  <c r="AE21" i="2"/>
  <c r="AC28" i="2"/>
  <c r="AC60" i="2"/>
  <c r="AE11" i="2"/>
  <c r="AF68" i="2"/>
  <c r="AC43" i="2"/>
  <c r="AF27" i="2"/>
  <c r="AF54" i="2"/>
  <c r="AE49" i="2"/>
  <c r="AF43" i="2"/>
  <c r="AB75" i="2"/>
  <c r="AB99" i="2"/>
  <c r="AD42" i="2"/>
  <c r="AC6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D35" i="2"/>
  <c r="AD65" i="2"/>
  <c r="AE67" i="2"/>
  <c r="AF76" i="2"/>
  <c r="AD87" i="2"/>
  <c r="AC68" i="2"/>
  <c r="AC55" i="2"/>
  <c r="AD77" i="2"/>
  <c r="AE73" i="2"/>
  <c r="AC44" i="2"/>
  <c r="AF79" i="2"/>
  <c r="AF26" i="2"/>
  <c r="AE76" i="2"/>
  <c r="AE88" i="2"/>
  <c r="AB88" i="2"/>
  <c r="AB78" i="2"/>
  <c r="AC98" i="2"/>
  <c r="AE48" i="2"/>
  <c r="AC89" i="2"/>
  <c r="AF90" i="2"/>
  <c r="AC72" i="2"/>
  <c r="AF80" i="2"/>
  <c r="AF96" i="2"/>
  <c r="AE105" i="2"/>
  <c r="AF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C108" i="2"/>
  <c r="AD105" i="2"/>
  <c r="AB96" i="2"/>
  <c r="AE7" i="2"/>
  <c r="AB106" i="2"/>
  <c r="AC86" i="2"/>
  <c r="AD8" i="2"/>
  <c r="AD1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E77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C78" i="2"/>
  <c r="AC106" i="2"/>
  <c r="AE52" i="2"/>
  <c r="AC47" i="2"/>
  <c r="AB76" i="2"/>
  <c r="AB92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C67" i="2"/>
  <c r="AC79" i="2"/>
  <c r="AC91" i="2"/>
  <c r="AB16" i="2"/>
  <c r="AB51" i="2"/>
  <c r="AC16" i="2"/>
  <c r="AC76" i="2"/>
  <c r="AC104" i="2"/>
  <c r="AB66" i="2"/>
  <c r="AB82" i="2"/>
  <c r="AB98" i="2"/>
  <c r="AE27" i="2"/>
  <c r="AE81" i="2"/>
  <c r="AE109" i="2"/>
  <c r="AF6" i="2"/>
  <c r="AB36" i="2"/>
  <c r="AB64" i="2"/>
  <c r="AC26" i="2"/>
  <c r="AC53" i="2"/>
  <c r="AE80" i="2"/>
  <c r="AE92" i="2"/>
  <c r="AD54" i="2"/>
  <c r="AE50" i="2"/>
  <c r="AF78" i="2"/>
  <c r="AE19" i="2"/>
  <c r="AE79" i="2"/>
  <c r="AC82" i="2"/>
  <c r="AF19" i="2"/>
  <c r="AF46" i="2"/>
  <c r="AE22" i="2"/>
  <c r="AF8" i="2"/>
  <c r="AB67" i="2"/>
  <c r="AB83" i="2"/>
  <c r="AD7" i="2"/>
  <c r="AE5" i="2"/>
  <c r="AC81" i="2"/>
  <c r="AF57" i="2"/>
  <c r="AC32" i="2"/>
  <c r="AC80" i="2"/>
  <c r="AD85" i="2"/>
  <c r="AE85" i="2"/>
  <c r="AB80" i="2"/>
  <c r="AE83" i="2"/>
  <c r="AB86" i="2"/>
  <c r="AC62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E68" i="2"/>
  <c r="AD19" i="2"/>
  <c r="AF94" i="2"/>
  <c r="AE107" i="2"/>
  <c r="AF8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A79" i="1" l="1"/>
  <c r="AA159" i="1"/>
  <c r="AA145" i="1"/>
  <c r="AA143" i="1"/>
  <c r="AA140" i="1"/>
  <c r="AA136" i="1"/>
  <c r="AA132" i="1"/>
  <c r="AA127" i="1"/>
  <c r="AA125" i="1"/>
  <c r="AA122" i="1"/>
  <c r="AA118" i="1"/>
  <c r="AA78" i="1"/>
  <c r="AA39" i="1"/>
  <c r="AA32" i="1"/>
  <c r="AA25" i="1"/>
  <c r="AA23" i="1"/>
  <c r="AA20" i="1"/>
  <c r="AA13" i="1"/>
  <c r="AA9" i="1"/>
  <c r="AA172" i="1"/>
  <c r="AA171" i="1"/>
  <c r="AA170" i="1"/>
  <c r="AA164" i="1"/>
  <c r="AA163" i="1"/>
  <c r="AA160" i="1"/>
  <c r="AA155" i="1"/>
  <c r="AA153" i="1"/>
  <c r="AA151" i="1"/>
  <c r="AA150" i="1"/>
  <c r="AA149" i="1"/>
  <c r="AA147" i="1"/>
  <c r="AA146" i="1"/>
  <c r="AA144" i="1"/>
  <c r="AA142" i="1"/>
  <c r="AA137" i="1"/>
  <c r="AA135" i="1"/>
  <c r="AA133" i="1"/>
  <c r="AA131" i="1"/>
  <c r="AA126" i="1"/>
  <c r="AA124" i="1"/>
  <c r="AA119" i="1"/>
  <c r="AA117" i="1"/>
  <c r="AA77" i="1"/>
  <c r="AA67" i="1"/>
  <c r="AA51" i="1"/>
  <c r="AA47" i="1"/>
  <c r="AA46" i="1"/>
  <c r="AA45" i="1"/>
  <c r="AA36" i="1"/>
  <c r="AA35" i="1"/>
  <c r="AA24" i="1"/>
  <c r="AA22" i="1"/>
  <c r="AA21" i="1"/>
  <c r="AA15" i="1"/>
  <c r="AA8" i="1"/>
  <c r="AA10" i="1"/>
  <c r="AA128" i="1"/>
  <c r="AA120" i="1"/>
  <c r="AA148" i="1"/>
  <c r="AA253" i="1"/>
  <c r="AA252" i="1"/>
  <c r="AA231" i="1"/>
  <c r="AA194" i="1"/>
  <c r="AA183" i="1"/>
  <c r="AA180" i="1"/>
  <c r="AA179" i="1"/>
  <c r="AA175" i="1"/>
  <c r="AA173" i="1"/>
  <c r="AA161" i="1"/>
  <c r="AA154" i="1"/>
  <c r="AB113" i="2"/>
  <c r="AA74" i="1" s="1"/>
  <c r="AB112" i="2"/>
  <c r="AA73" i="1" s="1"/>
  <c r="AF112" i="2"/>
  <c r="AF111" i="2"/>
  <c r="AF113" i="2"/>
  <c r="AB111" i="2"/>
  <c r="B1" i="9"/>
  <c r="AE111" i="2"/>
  <c r="AC111" i="2"/>
  <c r="AD111" i="2"/>
  <c r="AC112" i="2"/>
  <c r="AC113" i="2"/>
  <c r="AE112" i="2"/>
  <c r="AE113" i="2"/>
  <c r="L1" i="9"/>
  <c r="A1" i="9"/>
  <c r="AD112" i="2"/>
  <c r="AA134" i="1" l="1"/>
  <c r="AA26" i="1"/>
  <c r="AA98" i="1"/>
  <c r="AA16" i="1"/>
  <c r="AA129" i="1"/>
  <c r="AA168" i="1"/>
  <c r="AA109" i="1" s="1"/>
  <c r="AA182" i="1"/>
  <c r="AA248" i="1"/>
  <c r="AA37" i="1"/>
  <c r="AA27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K136" i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38" i="1"/>
  <c r="AA28" i="1"/>
  <c r="AA17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4" i="1"/>
  <c r="AA34" i="1"/>
  <c r="AA232" i="1"/>
  <c r="AA233" i="1" s="1"/>
  <c r="AA29" i="1"/>
  <c r="AA112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U35" i="3"/>
  <c r="BU41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14" i="3"/>
  <c r="BS20" i="3"/>
  <c r="BU5" i="3"/>
  <c r="BU11" i="3"/>
  <c r="BU17" i="3"/>
  <c r="BU23" i="3"/>
  <c r="BU29" i="3"/>
  <c r="BS8" i="3"/>
  <c r="BS26" i="3"/>
  <c r="BS32" i="3"/>
  <c r="BO42" i="3"/>
  <c r="BQ6" i="3"/>
  <c r="BQ12" i="3"/>
  <c r="BQ18" i="3"/>
  <c r="BQ24" i="3"/>
  <c r="BQ30" i="3"/>
  <c r="BQ36" i="3"/>
  <c r="BQ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N28" i="3"/>
  <c r="BT37" i="3"/>
  <c r="BP40" i="3"/>
  <c r="BG40" i="3"/>
  <c r="BF17" i="3"/>
  <c r="BN33" i="3"/>
  <c r="BM10" i="3"/>
  <c r="BI26" i="3"/>
  <c r="BI42" i="3"/>
  <c r="BH23" i="3"/>
  <c r="BU6" i="3"/>
  <c r="BU12" i="3"/>
  <c r="BU18" i="3"/>
  <c r="BU24" i="3"/>
  <c r="BU30" i="3"/>
  <c r="BU36" i="3"/>
  <c r="BU42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BG11" i="3"/>
  <c r="BQ7" i="3"/>
  <c r="BQ13" i="3"/>
  <c r="BQ19" i="3"/>
  <c r="BQ25" i="3"/>
  <c r="BQ31" i="3"/>
  <c r="BQ37" i="3"/>
  <c r="BQ45" i="3"/>
  <c r="BV8" i="3"/>
  <c r="BS36" i="3"/>
  <c r="BT23" i="3"/>
  <c r="BP30" i="3"/>
  <c r="BM41" i="3"/>
  <c r="BF21" i="3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BH9" i="3"/>
  <c r="BJ28" i="3"/>
  <c r="BH62" i="3"/>
  <c r="BL33" i="3"/>
  <c r="BL41" i="3"/>
  <c r="BT8" i="3"/>
  <c r="BI27" i="3"/>
  <c r="BG42" i="3"/>
  <c r="BU7" i="3"/>
  <c r="BU13" i="3"/>
  <c r="BU19" i="3"/>
  <c r="BU25" i="3"/>
  <c r="BU31" i="3"/>
  <c r="BU37" i="3"/>
  <c r="BU45" i="3"/>
  <c r="BR9" i="3"/>
  <c r="BS37" i="3"/>
  <c r="BT29" i="3"/>
  <c r="BP38" i="3"/>
  <c r="BK42" i="3"/>
  <c r="BL22" i="3"/>
  <c r="BN41" i="3"/>
  <c r="BI24" i="3"/>
  <c r="BF10" i="3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Q8" i="3"/>
  <c r="BQ14" i="3"/>
  <c r="BQ20" i="3"/>
  <c r="BQ26" i="3"/>
  <c r="BQ32" i="3"/>
  <c r="BQ38" i="3"/>
  <c r="BQ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U8" i="3"/>
  <c r="BU14" i="3"/>
  <c r="BU20" i="3"/>
  <c r="BU26" i="3"/>
  <c r="BU32" i="3"/>
  <c r="BU38" i="3"/>
  <c r="BU4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6" i="3"/>
  <c r="BP41" i="3"/>
  <c r="BP13" i="3"/>
  <c r="BG8" i="3"/>
  <c r="BE13" i="3"/>
  <c r="BM17" i="3"/>
  <c r="BK22" i="3"/>
  <c r="BK36" i="3"/>
  <c r="BF15" i="3"/>
  <c r="BH34" i="3"/>
  <c r="BM14" i="3"/>
  <c r="BG35" i="3"/>
  <c r="BH15" i="3"/>
  <c r="BF14" i="3"/>
  <c r="BH33" i="3"/>
  <c r="BH1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BQ9" i="3"/>
  <c r="BQ15" i="3"/>
  <c r="BQ21" i="3"/>
  <c r="BQ27" i="3"/>
  <c r="BQ33" i="3"/>
  <c r="BQ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U9" i="3"/>
  <c r="BU15" i="3"/>
  <c r="BU21" i="3"/>
  <c r="BU27" i="3"/>
  <c r="BU33" i="3"/>
  <c r="BU39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Z20" i="2"/>
  <c r="Z70" i="2"/>
  <c r="BC13" i="3"/>
  <c r="AA82" i="2"/>
  <c r="Z83" i="2"/>
  <c r="BC33" i="3"/>
  <c r="BC5" i="3"/>
  <c r="Z8" i="2"/>
  <c r="FF8" i="4" a="1"/>
  <c r="BQ10" i="3"/>
  <c r="BQ16" i="3"/>
  <c r="BQ22" i="3"/>
  <c r="BQ28" i="3"/>
  <c r="BQ34" i="3"/>
  <c r="BQ40" i="3"/>
  <c r="BV5" i="3"/>
  <c r="BV11" i="3"/>
  <c r="BS42" i="3"/>
  <c r="BT14" i="3"/>
  <c r="BM31" i="3"/>
  <c r="BL10" i="3"/>
  <c r="BH30" i="3"/>
  <c r="BE12" i="3"/>
  <c r="BM32" i="3"/>
  <c r="BF46" i="3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Y19" i="2"/>
  <c r="Z5" i="2"/>
  <c r="AA50" i="2"/>
  <c r="Y61" i="2"/>
  <c r="BA36" i="3"/>
  <c r="BC42" i="3"/>
  <c r="AA88" i="2"/>
  <c r="AA20" i="2"/>
  <c r="Y47" i="2"/>
  <c r="Z94" i="2"/>
  <c r="AA13" i="2"/>
  <c r="AA32" i="2"/>
  <c r="AV10" i="3"/>
  <c r="BC36" i="3"/>
  <c r="BA10" i="3"/>
  <c r="Y52" i="2"/>
  <c r="BD5" i="3"/>
  <c r="Z93" i="2"/>
  <c r="Z17" i="2"/>
  <c r="AA15" i="2"/>
  <c r="FC12" i="4" a="1"/>
  <c r="EZ8" i="4" a="1"/>
  <c r="EX5" i="4" a="1"/>
  <c r="FD6" i="4" a="1"/>
  <c r="FE14" i="4" a="1"/>
  <c r="EX14" i="4" a="1"/>
  <c r="FB15" i="4" a="1"/>
  <c r="BU10" i="3"/>
  <c r="BU16" i="3"/>
  <c r="BU22" i="3"/>
  <c r="BU28" i="3"/>
  <c r="BU34" i="3"/>
  <c r="BU40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BL34" i="3"/>
  <c r="BE14" i="3"/>
  <c r="BM34" i="3"/>
  <c r="BL5" i="3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O35" i="3"/>
  <c r="BK37" i="3"/>
  <c r="BI15" i="3"/>
  <c r="BM24" i="3"/>
  <c r="BN42" i="3"/>
  <c r="BT31" i="3"/>
  <c r="BJ15" i="3"/>
  <c r="BI14" i="3"/>
  <c r="BJ16" i="3"/>
  <c r="AA54" i="2"/>
  <c r="Y36" i="2"/>
  <c r="Y68" i="2"/>
  <c r="Z9" i="2"/>
  <c r="BD26" i="3"/>
  <c r="BB30" i="3"/>
  <c r="AA62" i="2"/>
  <c r="AA10" i="2"/>
  <c r="Z44" i="2"/>
  <c r="Y106" i="2"/>
  <c r="Y78" i="2"/>
  <c r="BD30" i="3"/>
  <c r="BD45" i="3"/>
  <c r="AA42" i="2"/>
  <c r="Z106" i="2"/>
  <c r="AA84" i="2"/>
  <c r="AA89" i="2"/>
  <c r="BD41" i="3"/>
  <c r="BT17" i="3"/>
  <c r="BF18" i="3"/>
  <c r="BI17" i="3"/>
  <c r="BK33" i="3"/>
  <c r="BJ6" i="3"/>
  <c r="BT18" i="3"/>
  <c r="BJ19" i="3"/>
  <c r="BK15" i="3"/>
  <c r="BN22" i="3"/>
  <c r="Y60" i="2"/>
  <c r="Y75" i="2"/>
  <c r="C4" i="2"/>
  <c r="Y24" i="2"/>
  <c r="BA26" i="3"/>
  <c r="BD37" i="3"/>
  <c r="Z47" i="2"/>
  <c r="Y49" i="2"/>
  <c r="Y62" i="2"/>
  <c r="Y50" i="2"/>
  <c r="BA15" i="3"/>
  <c r="BA37" i="3"/>
  <c r="BA35" i="3"/>
  <c r="Y109" i="2"/>
  <c r="Z10" i="2"/>
  <c r="AA96" i="2"/>
  <c r="Y34" i="2"/>
  <c r="BA12" i="3"/>
  <c r="BC9" i="3"/>
  <c r="Z58" i="2"/>
  <c r="BA13" i="3"/>
  <c r="AA43" i="2"/>
  <c r="Z33" i="2"/>
  <c r="BA46" i="3"/>
  <c r="BD40" i="3"/>
  <c r="Z69" i="2"/>
  <c r="BB34" i="3"/>
  <c r="EX11" i="4" a="1"/>
  <c r="FF14" i="4" a="1"/>
  <c r="FB9" i="4" a="1"/>
  <c r="EX7" i="4" a="1"/>
  <c r="FC6" i="4" a="1"/>
  <c r="FD9" i="4" a="1"/>
  <c r="BA9" i="3"/>
  <c r="AA48" i="2"/>
  <c r="Z80" i="2"/>
  <c r="Z68" i="2"/>
  <c r="BA27" i="3"/>
  <c r="Z26" i="2"/>
  <c r="EZ12" i="4" a="1"/>
  <c r="FA14" i="4" a="1"/>
  <c r="BB11" i="3"/>
  <c r="FC13" i="4" a="1"/>
  <c r="BT38" i="3"/>
  <c r="BJ18" i="3"/>
  <c r="BG20" i="3"/>
  <c r="BN14" i="3"/>
  <c r="BN12" i="3"/>
  <c r="BT30" i="3"/>
  <c r="BL20" i="3"/>
  <c r="BE18" i="3"/>
  <c r="BL35" i="3"/>
  <c r="Y14" i="2"/>
  <c r="V6" i="2"/>
  <c r="Z22" i="2"/>
  <c r="AA93" i="2"/>
  <c r="BB9" i="3"/>
  <c r="BB41" i="3"/>
  <c r="AA87" i="2"/>
  <c r="Z14" i="2"/>
  <c r="Z77" i="2"/>
  <c r="Z91" i="2"/>
  <c r="BA6" i="3"/>
  <c r="BB14" i="3"/>
  <c r="BC45" i="3"/>
  <c r="Z31" i="2"/>
  <c r="C5" i="2"/>
  <c r="Y45" i="2"/>
  <c r="Y30" i="2"/>
  <c r="BD28" i="3"/>
  <c r="BB8" i="3"/>
  <c r="Z16" i="2"/>
  <c r="BB6" i="3"/>
  <c r="Z71" i="2"/>
  <c r="Y95" i="2"/>
  <c r="BD14" i="3"/>
  <c r="BC35" i="3"/>
  <c r="AA59" i="2"/>
  <c r="BC24" i="3"/>
  <c r="EY7" i="4" a="1"/>
  <c r="FF11" i="4" a="1"/>
  <c r="FB14" i="4" a="1"/>
  <c r="FA9" i="4" a="1"/>
  <c r="EY16" i="4" a="1"/>
  <c r="FE13" i="4" a="1"/>
  <c r="Z6" i="2"/>
  <c r="AA74" i="2"/>
  <c r="Y11" i="2"/>
  <c r="AA99" i="2"/>
  <c r="Y82" i="2"/>
  <c r="BC31" i="3"/>
  <c r="BD31" i="3"/>
  <c r="Z43" i="2"/>
  <c r="FF13" i="4" a="1"/>
  <c r="FC5" i="4" a="1"/>
  <c r="EZ16" i="4" a="1"/>
  <c r="FB6" i="4" a="1"/>
  <c r="EX8" i="4" a="1"/>
  <c r="FB16" i="4" a="1"/>
  <c r="Y76" i="2"/>
  <c r="Z49" i="2"/>
  <c r="Z29" i="2"/>
  <c r="AA73" i="2"/>
  <c r="FD8" i="4" a="1"/>
  <c r="FA5" i="4" a="1"/>
  <c r="FF6" i="4" a="1"/>
  <c r="Z41" i="2"/>
  <c r="EZ15" i="4" a="1"/>
  <c r="BG13" i="3"/>
  <c r="AA64" i="2"/>
  <c r="Y70" i="2"/>
  <c r="Y40" i="2"/>
  <c r="EZ7" i="4" a="1"/>
  <c r="Y67" i="2"/>
  <c r="Z52" i="2"/>
  <c r="EY5" i="4" a="1"/>
  <c r="BP36" i="3"/>
  <c r="BT12" i="3"/>
  <c r="BG22" i="3"/>
  <c r="BF42" i="3"/>
  <c r="BL25" i="3"/>
  <c r="BP8" i="3"/>
  <c r="BH22" i="3"/>
  <c r="BG25" i="3"/>
  <c r="BN16" i="3"/>
  <c r="AA55" i="2"/>
  <c r="Z89" i="2"/>
  <c r="Z30" i="2"/>
  <c r="Z13" i="2"/>
  <c r="AY29" i="3"/>
  <c r="BC10" i="3"/>
  <c r="Y20" i="2"/>
  <c r="AA36" i="2"/>
  <c r="Y91" i="2"/>
  <c r="Y15" i="2"/>
  <c r="BD10" i="3"/>
  <c r="BA40" i="3"/>
  <c r="BB7" i="3"/>
  <c r="Z32" i="2"/>
  <c r="BB35" i="3"/>
  <c r="Z34" i="2"/>
  <c r="BB36" i="3"/>
  <c r="Y110" i="2"/>
  <c r="EZ11" i="4" a="1"/>
  <c r="BA28" i="3"/>
  <c r="AA70" i="2"/>
  <c r="Z87" i="2"/>
  <c r="AA25" i="2"/>
  <c r="FB12" i="4" a="1"/>
  <c r="EY8" i="4" a="1"/>
  <c r="Y87" i="2"/>
  <c r="BL8" i="3"/>
  <c r="AA68" i="2"/>
  <c r="BA20" i="3"/>
  <c r="Y92" i="2"/>
  <c r="Y81" i="2"/>
  <c r="BB13" i="3"/>
  <c r="BC26" i="3"/>
  <c r="BB42" i="3"/>
  <c r="BA30" i="3"/>
  <c r="EX15" i="4" a="1"/>
  <c r="BE33" i="3"/>
  <c r="BT40" i="3"/>
  <c r="BE25" i="3"/>
  <c r="BN8" i="3"/>
  <c r="BJ14" i="3"/>
  <c r="BP34" i="3"/>
  <c r="BF25" i="3"/>
  <c r="BE28" i="3"/>
  <c r="BF28" i="3"/>
  <c r="Y83" i="2"/>
  <c r="AA53" i="2"/>
  <c r="Z54" i="2"/>
  <c r="BC38" i="3"/>
  <c r="BA31" i="3"/>
  <c r="BA19" i="3"/>
  <c r="Y9" i="2"/>
  <c r="AA8" i="2"/>
  <c r="Z81" i="2"/>
  <c r="Z19" i="2"/>
  <c r="BA39" i="3"/>
  <c r="BA42" i="3"/>
  <c r="Z73" i="2"/>
  <c r="AA5" i="2"/>
  <c r="Z46" i="2"/>
  <c r="Y57" i="2"/>
  <c r="Z99" i="2"/>
  <c r="BA14" i="3"/>
  <c r="BC23" i="3"/>
  <c r="AA23" i="2"/>
  <c r="BA21" i="3"/>
  <c r="BD24" i="3"/>
  <c r="AA83" i="2"/>
  <c r="BA38" i="3"/>
  <c r="Y54" i="2"/>
  <c r="BD20" i="3"/>
  <c r="FD14" i="4" a="1"/>
  <c r="EX16" i="4" a="1"/>
  <c r="FD12" i="4" a="1"/>
  <c r="FE6" i="4" a="1"/>
  <c r="FD16" i="4" a="1"/>
  <c r="FC11" i="4" a="1"/>
  <c r="EY6" i="4" a="1"/>
  <c r="FC7" i="4" a="1"/>
  <c r="FA12" i="4" a="1"/>
  <c r="FE9" i="4" a="1"/>
  <c r="FB11" i="4" a="1"/>
  <c r="EZ5" i="4" a="1"/>
  <c r="FE16" i="4" a="1"/>
  <c r="BH14" i="3"/>
  <c r="BF5" i="3"/>
  <c r="BM46" i="3"/>
  <c r="BG30" i="3"/>
  <c r="BH36" i="3"/>
  <c r="BN40" i="3"/>
  <c r="Y28" i="2"/>
  <c r="BC20" i="3"/>
  <c r="BC16" i="3"/>
  <c r="Z110" i="2"/>
  <c r="Y5" i="2"/>
  <c r="BD9" i="3"/>
  <c r="BB10" i="3"/>
  <c r="BB28" i="3"/>
  <c r="BB29" i="3"/>
  <c r="FA8" i="4" a="1"/>
  <c r="FF9" i="4" a="1"/>
  <c r="BK25" i="3"/>
  <c r="Y73" i="2"/>
  <c r="Z96" i="2"/>
  <c r="Z23" i="2"/>
  <c r="AA97" i="2"/>
  <c r="Y41" i="2"/>
  <c r="FC8" i="4" a="1"/>
  <c r="BB12" i="3"/>
  <c r="Z24" i="2"/>
  <c r="Y29" i="2"/>
  <c r="FA15" i="4" a="1"/>
  <c r="EZ6" i="4" a="1"/>
  <c r="BE41" i="3"/>
  <c r="BP33" i="3"/>
  <c r="BE35" i="3"/>
  <c r="BJ29" i="3"/>
  <c r="BF40" i="3"/>
  <c r="BE29" i="3"/>
  <c r="BH32" i="3"/>
  <c r="BM28" i="3"/>
  <c r="BJ34" i="3"/>
  <c r="Z67" i="2"/>
  <c r="AA72" i="2"/>
  <c r="AA90" i="2"/>
  <c r="BB24" i="3"/>
  <c r="BD18" i="3"/>
  <c r="BC11" i="3"/>
  <c r="AA106" i="2"/>
  <c r="AA30" i="2"/>
  <c r="AA6" i="2"/>
  <c r="AA58" i="2"/>
  <c r="BD11" i="3"/>
  <c r="BA41" i="3"/>
  <c r="AA56" i="2"/>
  <c r="Z75" i="2"/>
  <c r="Z90" i="2"/>
  <c r="Z45" i="2"/>
  <c r="AA60" i="2"/>
  <c r="BB33" i="3"/>
  <c r="Y48" i="2"/>
  <c r="Z84" i="2"/>
  <c r="BC22" i="3"/>
  <c r="BA18" i="3"/>
  <c r="Z97" i="2"/>
  <c r="BD27" i="3"/>
  <c r="Z63" i="2"/>
  <c r="BD34" i="3"/>
  <c r="FE5" i="4" a="1"/>
  <c r="BN10" i="3"/>
  <c r="BI30" i="3"/>
  <c r="AA44" i="2"/>
  <c r="BA22" i="3"/>
  <c r="AA11" i="2"/>
  <c r="BC19" i="3"/>
  <c r="Z18" i="2"/>
  <c r="AA52" i="2"/>
  <c r="Y56" i="2"/>
  <c r="BC6" i="3"/>
  <c r="Z51" i="2"/>
  <c r="FE12" i="4" a="1"/>
  <c r="FB5" i="4" a="1"/>
  <c r="EZ13" i="4" a="1"/>
  <c r="EZ9" i="4" a="1"/>
  <c r="FB8" i="4" a="1"/>
  <c r="FE7" i="4" a="1"/>
  <c r="BN34" i="3"/>
  <c r="BM12" i="3"/>
  <c r="BH13" i="3"/>
  <c r="Z62" i="2"/>
  <c r="BB5" i="3"/>
  <c r="BB31" i="3"/>
  <c r="FA16" i="4" a="1"/>
  <c r="BF23" i="3"/>
  <c r="BP45" i="3"/>
  <c r="BJ13" i="3"/>
  <c r="BJ12" i="3"/>
  <c r="BL17" i="3"/>
  <c r="BG32" i="3"/>
  <c r="BJ37" i="3"/>
  <c r="BK31" i="3"/>
  <c r="BK45" i="3"/>
  <c r="AA18" i="2"/>
  <c r="Z36" i="2"/>
  <c r="Z109" i="2"/>
  <c r="BB20" i="3"/>
  <c r="BC32" i="3"/>
  <c r="BC12" i="3"/>
  <c r="Z40" i="2"/>
  <c r="Z11" i="2"/>
  <c r="Y98" i="2"/>
  <c r="Z86" i="2"/>
  <c r="BC14" i="3"/>
  <c r="BD35" i="3"/>
  <c r="AA16" i="2"/>
  <c r="AA104" i="2"/>
  <c r="AA12" i="2"/>
  <c r="Z98" i="2"/>
  <c r="AA34" i="2"/>
  <c r="BA7" i="3"/>
  <c r="AA27" i="2"/>
  <c r="Y86" i="2"/>
  <c r="BA34" i="3"/>
  <c r="AA67" i="2"/>
  <c r="Y107" i="2"/>
  <c r="AA75" i="2"/>
  <c r="AA107" i="2"/>
  <c r="BB40" i="3"/>
  <c r="FD7" i="4" a="1"/>
  <c r="EZ14" i="4" a="1"/>
  <c r="FB7" i="4" a="1"/>
  <c r="FF12" i="4" a="1"/>
  <c r="FD13" i="4" a="1"/>
  <c r="EX12" i="4" a="1"/>
  <c r="BL38" i="3"/>
  <c r="BM5" i="3"/>
  <c r="BL24" i="3"/>
  <c r="BL23" i="3"/>
  <c r="BJ22" i="3"/>
  <c r="BK38" i="3"/>
  <c r="BF39" i="3"/>
  <c r="BI34" i="3"/>
  <c r="AA110" i="2"/>
  <c r="Z104" i="2"/>
  <c r="AA29" i="2"/>
  <c r="BD42" i="3"/>
  <c r="BC8" i="3"/>
  <c r="BC15" i="3"/>
  <c r="Y42" i="2"/>
  <c r="Y65" i="2"/>
  <c r="Z79" i="2"/>
  <c r="Y25" i="2"/>
  <c r="BD6" i="3"/>
  <c r="BB21" i="3"/>
  <c r="Y16" i="2"/>
  <c r="Z35" i="2"/>
  <c r="Y55" i="2"/>
  <c r="AA22" i="2"/>
  <c r="AA21" i="2"/>
  <c r="BB27" i="3"/>
  <c r="Y93" i="2"/>
  <c r="Y66" i="2"/>
  <c r="BD12" i="3"/>
  <c r="AA69" i="2"/>
  <c r="Z56" i="2"/>
  <c r="Z78" i="2"/>
  <c r="AA95" i="2"/>
  <c r="AA57" i="2"/>
  <c r="EY14" i="4" a="1"/>
  <c r="FA11" i="4" a="1"/>
  <c r="FC9" i="4" a="1"/>
  <c r="FE15" i="4" a="1"/>
  <c r="BP6" i="3"/>
  <c r="Y6" i="2"/>
  <c r="BG5" i="3"/>
  <c r="BG79" i="3" s="1"/>
  <c r="BM7" i="3"/>
  <c r="BL32" i="3"/>
  <c r="BF30" i="3"/>
  <c r="BH11" i="3"/>
  <c r="BM45" i="3"/>
  <c r="BH42" i="3"/>
  <c r="BM40" i="3"/>
  <c r="Z55" i="2"/>
  <c r="Y21" i="2"/>
  <c r="Y12" i="2"/>
  <c r="BD32" i="3"/>
  <c r="BB22" i="3"/>
  <c r="BD13" i="3"/>
  <c r="AA66" i="2"/>
  <c r="Z53" i="2"/>
  <c r="Z61" i="2"/>
  <c r="AA41" i="2"/>
  <c r="BA32" i="3"/>
  <c r="BB18" i="3"/>
  <c r="AA108" i="2"/>
  <c r="Z92" i="2"/>
  <c r="Z74" i="2"/>
  <c r="Y77" i="2"/>
  <c r="X6" i="2"/>
  <c r="BB26" i="3"/>
  <c r="AA31" i="2"/>
  <c r="BC34" i="3"/>
  <c r="BC30" i="3"/>
  <c r="Z28" i="2"/>
  <c r="BA25" i="3"/>
  <c r="Y89" i="2"/>
  <c r="Z7" i="2"/>
  <c r="Y97" i="2"/>
  <c r="FA6" i="4" a="1"/>
  <c r="FD15" i="4" a="1"/>
  <c r="FE8" i="4" a="1"/>
  <c r="FD11" i="4" a="1"/>
  <c r="EY9" i="4" a="1"/>
  <c r="FF7" i="4" a="1"/>
  <c r="BK17" i="3"/>
  <c r="BK10" i="3"/>
  <c r="BH46" i="3"/>
  <c r="BL31" i="3"/>
  <c r="BJ30" i="3"/>
  <c r="BJ5" i="3"/>
  <c r="BG9" i="3"/>
  <c r="BJ8" i="3"/>
  <c r="Y85" i="2"/>
  <c r="AA24" i="2"/>
  <c r="Y26" i="2"/>
  <c r="AA94" i="2"/>
  <c r="BA45" i="3"/>
  <c r="BC25" i="3"/>
  <c r="BD36" i="3"/>
  <c r="Y58" i="2"/>
  <c r="AA91" i="2"/>
  <c r="Z95" i="2"/>
  <c r="Z15" i="2"/>
  <c r="BC39" i="3"/>
  <c r="BD19" i="3"/>
  <c r="Z57" i="2"/>
  <c r="Z85" i="2"/>
  <c r="AA71" i="2"/>
  <c r="Y84" i="2"/>
  <c r="Y74" i="2"/>
  <c r="BC21" i="3"/>
  <c r="Y7" i="2"/>
  <c r="BA11" i="3"/>
  <c r="Y59" i="2"/>
  <c r="Y69" i="2"/>
  <c r="BD15" i="3"/>
  <c r="Z60" i="2"/>
  <c r="BK12" i="3"/>
  <c r="Y88" i="2"/>
  <c r="BD7" i="3"/>
  <c r="BC46" i="3"/>
  <c r="FA13" i="4" a="1"/>
  <c r="BB39" i="3"/>
  <c r="FF16" i="4" a="1"/>
  <c r="BQ56" i="3" l="1"/>
  <c r="BP57" i="3"/>
  <c r="AA52" i="1"/>
  <c r="AA193" i="1"/>
  <c r="AA195" i="1" s="1"/>
  <c r="AA54" i="1"/>
  <c r="BP60" i="3"/>
  <c r="CK39" i="1"/>
  <c r="CK46" i="1"/>
  <c r="CK32" i="1"/>
  <c r="CK36" i="1"/>
  <c r="CK25" i="1"/>
  <c r="CK64" i="1"/>
  <c r="CK51" i="1"/>
  <c r="CK23" i="1"/>
  <c r="CK45" i="1"/>
  <c r="CK9" i="1"/>
  <c r="CK14" i="1"/>
  <c r="CK35" i="1"/>
  <c r="CK63" i="1"/>
  <c r="CK47" i="1"/>
  <c r="CK21" i="1"/>
  <c r="CK13" i="1"/>
  <c r="CK22" i="1"/>
  <c r="CK8" i="1"/>
  <c r="CK15" i="1"/>
  <c r="CK24" i="1"/>
  <c r="CK2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L20" i="1" s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BB65" i="3"/>
  <c r="BB74" i="3"/>
  <c r="BB78" i="3"/>
  <c r="BG77" i="3"/>
  <c r="BH68" i="3"/>
  <c r="BF88" i="3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BQ6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BB92" i="3"/>
  <c r="BB85" i="3"/>
  <c r="BB89" i="3"/>
  <c r="BG93" i="3"/>
  <c r="BH76" i="3"/>
  <c r="BF90" i="3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BF85" i="3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BP92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P50" i="3"/>
  <c r="BK70" i="3"/>
  <c r="BF87" i="3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G59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Y111" i="2"/>
  <c r="BO83" i="3"/>
  <c r="BS81" i="3"/>
  <c r="BG48" i="3"/>
  <c r="BL73" i="3"/>
  <c r="BE69" i="3"/>
  <c r="BI87" i="3"/>
  <c r="BM63" i="3"/>
  <c r="BF56" i="3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BK84" i="3"/>
  <c r="BU5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BF66" i="3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BT4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BH59" i="3"/>
  <c r="BG86" i="3"/>
  <c r="BA67" i="3"/>
  <c r="BA70" i="3"/>
  <c r="BA63" i="3"/>
  <c r="BP56" i="3"/>
  <c r="BC49" i="3"/>
  <c r="BH64" i="3"/>
  <c r="BL64" i="3"/>
  <c r="BV81" i="3"/>
  <c r="BS75" i="3"/>
  <c r="BU80" i="3"/>
  <c r="BR95" i="3"/>
  <c r="BV74" i="3"/>
  <c r="BT56" i="3"/>
  <c r="BN50" i="3"/>
  <c r="BN83" i="3"/>
  <c r="BO73" i="3"/>
  <c r="BP65" i="3"/>
  <c r="BE81" i="3"/>
  <c r="BF57" i="3"/>
  <c r="BJ91" i="3"/>
  <c r="BK67" i="3"/>
  <c r="BK79" i="3"/>
  <c r="GM5" i="4" a="1"/>
  <c r="GF14" i="4" a="1"/>
  <c r="HC8" i="4" a="1"/>
  <c r="GO7" i="4" a="1"/>
  <c r="FQ6" i="4" a="1"/>
  <c r="GW12" i="4" a="1"/>
  <c r="FH7" i="4" a="1"/>
  <c r="FZ9" i="4" a="1"/>
  <c r="FQ5" i="4" a="1"/>
  <c r="GI8" i="4" a="1"/>
  <c r="GF11" i="4" a="1"/>
  <c r="FJ5" i="4" a="1"/>
  <c r="HA8" i="4" a="1"/>
  <c r="FT11" i="4" a="1"/>
  <c r="FR8" i="4" a="1"/>
  <c r="HA11" i="4" a="1"/>
  <c r="HC12" i="4" a="1"/>
  <c r="FN7" i="4" a="1"/>
  <c r="HB11" i="4" a="1"/>
  <c r="HA12" i="4" a="1"/>
  <c r="GX13" i="4" a="1"/>
  <c r="GW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GW16" i="4" a="1"/>
  <c r="BD47" i="3"/>
  <c r="Y113" i="2"/>
  <c r="FG16" i="4" a="1"/>
  <c r="BD72" i="3"/>
  <c r="FY13" i="4" a="1"/>
  <c r="HH13" i="4" a="1"/>
  <c r="FY11" i="4" a="1"/>
  <c r="FI16" i="4" a="1"/>
  <c r="HE16" i="4" a="1"/>
  <c r="BC96" i="3"/>
  <c r="BC87" i="3"/>
  <c r="BJ75" i="3"/>
  <c r="GI5" i="4" a="1"/>
  <c r="GT8" i="4" a="1"/>
  <c r="HF16" i="4" a="1"/>
  <c r="GI16" i="4" a="1"/>
  <c r="BC88" i="3"/>
  <c r="BD96" i="3"/>
  <c r="BC70" i="3"/>
  <c r="BV72" i="3"/>
  <c r="BT66" i="3"/>
  <c r="BS76" i="3"/>
  <c r="BM87" i="3"/>
  <c r="BJ85" i="3"/>
  <c r="GQ6" i="4" a="1"/>
  <c r="FX7" i="4" a="1"/>
  <c r="FP6" i="4" a="1"/>
  <c r="HA5" i="4" a="1"/>
  <c r="GV8" i="4" a="1"/>
  <c r="GO13" i="4" a="1"/>
  <c r="FJ16" i="4" a="1"/>
  <c r="HG9" i="4" a="1"/>
  <c r="GC13" i="4" a="1"/>
  <c r="GS15" i="4" a="1"/>
  <c r="GM16" i="4" a="1"/>
  <c r="GG9" i="4" a="1"/>
  <c r="BC77" i="3"/>
  <c r="GG11" i="4" a="1"/>
  <c r="HE11" i="4" a="1"/>
  <c r="FQ15" i="4" a="1"/>
  <c r="BC66" i="3"/>
  <c r="BR56" i="3"/>
  <c r="BF86" i="3"/>
  <c r="BL80" i="3"/>
  <c r="BT80" i="3"/>
  <c r="BS59" i="3"/>
  <c r="BU73" i="3"/>
  <c r="BR85" i="3"/>
  <c r="BV78" i="3"/>
  <c r="BT81" i="3"/>
  <c r="BN54" i="3"/>
  <c r="BP54" i="3"/>
  <c r="BO60" i="3"/>
  <c r="BG82" i="3"/>
  <c r="BI56" i="3"/>
  <c r="BF96" i="3"/>
  <c r="BJ64" i="3"/>
  <c r="BK58" i="3"/>
  <c r="BK89" i="3"/>
  <c r="GQ7" i="4" a="1"/>
  <c r="HA14" i="4" a="1"/>
  <c r="FL9" i="4" a="1"/>
  <c r="GX8" i="4" a="1"/>
  <c r="GB6" i="4" a="1"/>
  <c r="FU14" i="4" a="1"/>
  <c r="GK7" i="4" a="1"/>
  <c r="GT9" i="4" a="1"/>
  <c r="GE5" i="4" a="1"/>
  <c r="GW8" i="4" a="1"/>
  <c r="GN9" i="4" a="1"/>
  <c r="FR5" i="4" a="1"/>
  <c r="HF5" i="4" a="1"/>
  <c r="GD11" i="4" a="1"/>
  <c r="GW9" i="4" a="1"/>
  <c r="HD11" i="4" a="1"/>
  <c r="HF12" i="4" a="1"/>
  <c r="GI7" i="4" a="1"/>
  <c r="HG11" i="4" a="1"/>
  <c r="HD12" i="4" a="1"/>
  <c r="HC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N13" i="4" a="1"/>
  <c r="BC63" i="3"/>
  <c r="BC86" i="3"/>
  <c r="BD91" i="3"/>
  <c r="BD68" i="3"/>
  <c r="GK15" i="4" a="1"/>
  <c r="BC54" i="3"/>
  <c r="BN49" i="3"/>
  <c r="BD70" i="3"/>
  <c r="BL87" i="3"/>
  <c r="BO55" i="3"/>
  <c r="BS47" i="3"/>
  <c r="BU89" i="3"/>
  <c r="BR69" i="3"/>
  <c r="BV96" i="3"/>
  <c r="BT82" i="3"/>
  <c r="BN93" i="3"/>
  <c r="BP75" i="3"/>
  <c r="BO61" i="3"/>
  <c r="BG84" i="3"/>
  <c r="BI75" i="3"/>
  <c r="BF72" i="3"/>
  <c r="BJ57" i="3"/>
  <c r="BK48" i="3"/>
  <c r="GE15" i="4" a="1"/>
  <c r="FG9" i="4" a="1"/>
  <c r="FR15" i="4" a="1"/>
  <c r="FT8" i="4" a="1"/>
  <c r="GG5" i="4" a="1"/>
  <c r="GM6" i="4" a="1"/>
  <c r="GS14" i="4" a="1"/>
  <c r="HD7" i="4" a="1"/>
  <c r="HF9" i="4" a="1"/>
  <c r="FN5" i="4" a="1"/>
  <c r="GU5" i="4" a="1"/>
  <c r="HC11" i="4" a="1"/>
  <c r="GD5" i="4" a="1"/>
  <c r="GN5" i="4" a="1"/>
  <c r="GO6" i="4" a="1"/>
  <c r="HE9" i="4" a="1"/>
  <c r="FG12" i="4" a="1"/>
  <c r="FL13" i="4" a="1"/>
  <c r="GT7" i="4" a="1"/>
  <c r="FH12" i="4" a="1"/>
  <c r="FG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B93" i="3"/>
  <c r="BC84" i="3"/>
  <c r="BA65" i="3"/>
  <c r="BC83" i="3"/>
  <c r="BD90" i="3"/>
  <c r="Z112" i="2"/>
  <c r="FW12" i="4" a="1"/>
  <c r="BK92" i="3"/>
  <c r="GC6" i="4" a="1"/>
  <c r="FG7" i="4" a="1"/>
  <c r="GM7" i="4" a="1"/>
  <c r="FW11" i="4" a="1"/>
  <c r="GB13" i="4" a="1"/>
  <c r="GC12" i="4" a="1"/>
  <c r="FY14" i="4" a="1"/>
  <c r="GF16" i="4" a="1"/>
  <c r="GW11" i="4" a="1"/>
  <c r="FK16" i="4" a="1"/>
  <c r="BD71" i="3"/>
  <c r="BQ72" i="3"/>
  <c r="BK56" i="3"/>
  <c r="FW6" i="4" a="1"/>
  <c r="FP7" i="4" a="1"/>
  <c r="GH12" i="4" a="1"/>
  <c r="GK12" i="4" a="1"/>
  <c r="GG14" i="4" a="1"/>
  <c r="GL15" i="4" a="1"/>
  <c r="GL16" i="4" a="1"/>
  <c r="GO11" i="4" a="1"/>
  <c r="GA12" i="4" a="1"/>
  <c r="GV12" i="4" a="1"/>
  <c r="FN14" i="4" a="1"/>
  <c r="BG55" i="3"/>
  <c r="BU48" i="3"/>
  <c r="BE72" i="3"/>
  <c r="BO71" i="3"/>
  <c r="BS93" i="3"/>
  <c r="BU93" i="3"/>
  <c r="BR97" i="3"/>
  <c r="BV69" i="3"/>
  <c r="BT65" i="3"/>
  <c r="BN90" i="3"/>
  <c r="BP74" i="3"/>
  <c r="BO86" i="3"/>
  <c r="BH91" i="3"/>
  <c r="BI79" i="3"/>
  <c r="BJ74" i="3"/>
  <c r="BJ61" i="3"/>
  <c r="BK85" i="3"/>
  <c r="FL5" i="4" a="1"/>
  <c r="GE9" i="4" a="1"/>
  <c r="FO5" i="4" a="1"/>
  <c r="GR8" i="4" a="1"/>
  <c r="FX5" i="4" a="1"/>
  <c r="GB7" i="4" a="1"/>
  <c r="FO15" i="4" a="1"/>
  <c r="FU8" i="4" a="1"/>
  <c r="GU6" i="4" a="1"/>
  <c r="FZ5" i="4" a="1"/>
  <c r="FT6" i="4" a="1"/>
  <c r="FY12" i="4" a="1"/>
  <c r="FU6" i="4" a="1"/>
  <c r="GW6" i="4" a="1"/>
  <c r="FS9" i="4" a="1"/>
  <c r="FG11" i="4" a="1"/>
  <c r="FJ12" i="4" a="1"/>
  <c r="FQ13" i="4" a="1"/>
  <c r="FM8" i="4" a="1"/>
  <c r="FM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GU9" i="4" a="1"/>
  <c r="FG14" i="4" a="1"/>
  <c r="GI15" i="4" a="1"/>
  <c r="HG15" i="4" a="1"/>
  <c r="GC16" i="4" a="1"/>
  <c r="HA16" i="4" a="1"/>
  <c r="BC55" i="3"/>
  <c r="BC69" i="3"/>
  <c r="BD84" i="3"/>
  <c r="BD58" i="3"/>
  <c r="BD95" i="3"/>
  <c r="HC16" i="4" a="1"/>
  <c r="BD67" i="3"/>
  <c r="FO11" i="4" a="1"/>
  <c r="GA9" i="4" a="1"/>
  <c r="FW13" i="4" a="1"/>
  <c r="FT14" i="4" a="1"/>
  <c r="GF13" i="4" a="1"/>
  <c r="HF15" i="4" a="1"/>
  <c r="HD16" i="4" a="1"/>
  <c r="FV8" i="4" a="1"/>
  <c r="FW14" i="4" a="1"/>
  <c r="GG16" i="4" a="1"/>
  <c r="BC78" i="3"/>
  <c r="BD63" i="3"/>
  <c r="FR11" i="4" a="1"/>
  <c r="FL6" i="4" a="1"/>
  <c r="GG7" i="4" a="1"/>
  <c r="FL7" i="4" a="1"/>
  <c r="FZ13" i="4" a="1"/>
  <c r="HA13" i="4" a="1"/>
  <c r="HH15" i="4" a="1"/>
  <c r="FM11" i="4" a="1"/>
  <c r="GO15" i="4" a="1"/>
  <c r="BC90" i="3"/>
  <c r="GQ15" i="4" a="1"/>
  <c r="BF91" i="3"/>
  <c r="BN68" i="3"/>
  <c r="AA112" i="2"/>
  <c r="GD13" i="4" a="1"/>
  <c r="GJ8" i="4" a="1"/>
  <c r="FO16" i="4" a="1"/>
  <c r="BD79" i="3"/>
  <c r="GX12" i="4" a="1"/>
  <c r="GR16" i="4" a="1"/>
  <c r="GY15" i="4" a="1"/>
  <c r="BG83" i="3"/>
  <c r="BI69" i="3"/>
  <c r="BE70" i="3"/>
  <c r="BO89" i="3"/>
  <c r="BS92" i="3"/>
  <c r="BU94" i="3"/>
  <c r="BR73" i="3"/>
  <c r="BV97" i="3"/>
  <c r="BT83" i="3"/>
  <c r="BN62" i="3"/>
  <c r="BP79" i="3"/>
  <c r="BO93" i="3"/>
  <c r="BH89" i="3"/>
  <c r="BI77" i="3"/>
  <c r="BJ58" i="3"/>
  <c r="BJ63" i="3"/>
  <c r="BK62" i="3"/>
  <c r="FP5" i="4" a="1"/>
  <c r="GH6" i="4" a="1"/>
  <c r="GH5" i="4" a="1"/>
  <c r="FM9" i="4" a="1"/>
  <c r="GL5" i="4" a="1"/>
  <c r="FP8" i="4" a="1"/>
  <c r="FI5" i="4" a="1"/>
  <c r="GS8" i="4" a="1"/>
  <c r="FH9" i="4" a="1"/>
  <c r="FM6" i="4" a="1"/>
  <c r="FO9" i="4" a="1"/>
  <c r="GZ12" i="4" a="1"/>
  <c r="GS6" i="4" a="1"/>
  <c r="HB7" i="4" a="1"/>
  <c r="GP11" i="4" a="1"/>
  <c r="FK11" i="4" a="1"/>
  <c r="FR12" i="4" a="1"/>
  <c r="FT13" i="4" a="1"/>
  <c r="FK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E16" i="4" a="1"/>
  <c r="BC74" i="3"/>
  <c r="FX12" i="4" a="1"/>
  <c r="FN8" i="4" a="1"/>
  <c r="GF15" i="4" a="1"/>
  <c r="GD16" i="4" a="1"/>
  <c r="GD15" i="4" a="1"/>
  <c r="GM15" i="4" a="1"/>
  <c r="BD60" i="3"/>
  <c r="GQ5" i="4" a="1"/>
  <c r="GJ6" i="4" a="1"/>
  <c r="GU7" i="4" a="1"/>
  <c r="GZ9" i="4" a="1"/>
  <c r="FI12" i="4" a="1"/>
  <c r="FP14" i="4" a="1"/>
  <c r="GR12" i="4" a="1"/>
  <c r="FZ12" i="4" a="1"/>
  <c r="GH15" i="4" a="1"/>
  <c r="FK14" i="4" a="1"/>
  <c r="GH14" i="4" a="1"/>
  <c r="BC93" i="3"/>
  <c r="BC91" i="3"/>
  <c r="BC57" i="3"/>
  <c r="BE58" i="3"/>
  <c r="GO12" i="4" a="1"/>
  <c r="GT6" i="4" a="1"/>
  <c r="GL11" i="4" a="1"/>
  <c r="GH13" i="4" a="1"/>
  <c r="GX14" i="4" a="1"/>
  <c r="BC67" i="3"/>
  <c r="BD59" i="3"/>
  <c r="GU13" i="4" a="1"/>
  <c r="FH15" i="4" a="1"/>
  <c r="FP13" i="4" a="1"/>
  <c r="FU16" i="4" a="1"/>
  <c r="GZ11" i="4" a="1"/>
  <c r="BC62" i="3"/>
  <c r="BE62" i="3"/>
  <c r="BI74" i="3"/>
  <c r="BI47" i="3"/>
  <c r="BO58" i="3"/>
  <c r="BS91" i="3"/>
  <c r="BU95" i="3"/>
  <c r="BR79" i="3"/>
  <c r="BV73" i="3"/>
  <c r="BT60" i="3"/>
  <c r="BN74" i="3"/>
  <c r="BP82" i="3"/>
  <c r="BS67" i="3"/>
  <c r="BL54" i="3"/>
  <c r="BI50" i="3"/>
  <c r="BJ60" i="3"/>
  <c r="BJ65" i="3"/>
  <c r="BK57" i="3"/>
  <c r="GB5" i="4" a="1"/>
  <c r="FR9" i="4" a="1"/>
  <c r="HB5" i="4" a="1"/>
  <c r="GP9" i="4" a="1"/>
  <c r="FH6" i="4" a="1"/>
  <c r="GN8" i="4" a="1"/>
  <c r="FY5" i="4" a="1"/>
  <c r="GP5" i="4" a="1"/>
  <c r="GM11" i="4" a="1"/>
  <c r="GK6" i="4" a="1"/>
  <c r="FJ6" i="4" a="1"/>
  <c r="FV13" i="4" a="1"/>
  <c r="FR7" i="4" a="1"/>
  <c r="GM9" i="4" a="1"/>
  <c r="FL12" i="4" a="1"/>
  <c r="GF9" i="4" a="1"/>
  <c r="FV9" i="4" a="1"/>
  <c r="HG16" i="4" a="1"/>
  <c r="BC81" i="3"/>
  <c r="BT76" i="3"/>
  <c r="BJ80" i="3"/>
  <c r="BM48" i="3"/>
  <c r="BB82" i="3"/>
  <c r="BF65" i="3"/>
  <c r="BO62" i="3"/>
  <c r="BS61" i="3"/>
  <c r="BU64" i="3"/>
  <c r="BV50" i="3"/>
  <c r="BV87" i="3"/>
  <c r="BT95" i="3"/>
  <c r="BN94" i="3"/>
  <c r="BF73" i="3"/>
  <c r="BS70" i="3"/>
  <c r="BL95" i="3"/>
  <c r="BM54" i="3"/>
  <c r="BJ66" i="3"/>
  <c r="BD74" i="3"/>
  <c r="GM14" i="4" a="1"/>
  <c r="BO92" i="3"/>
  <c r="GL6" i="4" a="1"/>
  <c r="FV11" i="4" a="1"/>
  <c r="FJ15" i="4" a="1"/>
  <c r="FM14" i="4" a="1"/>
  <c r="GE11" i="4" a="1"/>
  <c r="GL9" i="4" a="1"/>
  <c r="BC68" i="3"/>
  <c r="GZ13" i="4" a="1"/>
  <c r="FR16" i="4" a="1"/>
  <c r="HB14" i="4" a="1"/>
  <c r="GS16" i="4" a="1"/>
  <c r="BC75" i="3"/>
  <c r="BD65" i="3"/>
  <c r="BF84" i="3"/>
  <c r="BA78" i="3"/>
  <c r="BF82" i="3"/>
  <c r="BO79" i="3"/>
  <c r="BF95" i="3"/>
  <c r="BR86" i="3"/>
  <c r="BV95" i="3"/>
  <c r="BT58" i="3"/>
  <c r="BT97" i="3"/>
  <c r="BN71" i="3"/>
  <c r="BF75" i="3"/>
  <c r="BS74" i="3"/>
  <c r="BE47" i="3"/>
  <c r="BM85" i="3"/>
  <c r="BJ68" i="3"/>
  <c r="BJ83" i="3"/>
  <c r="BK94" i="3"/>
  <c r="GH7" i="4" a="1"/>
  <c r="FZ11" i="4" a="1"/>
  <c r="HD6" i="4" a="1"/>
  <c r="GD7" i="4" a="1"/>
  <c r="GO5" i="4" a="1"/>
  <c r="FJ11" i="4" a="1"/>
  <c r="FT5" i="4" a="1"/>
  <c r="FW9" i="4" a="1"/>
  <c r="GG12" i="4" a="1"/>
  <c r="FV6" i="4" a="1"/>
  <c r="FX8" i="4" a="1"/>
  <c r="GN14" i="4" a="1"/>
  <c r="GA6" i="4" a="1"/>
  <c r="FK8" i="4" a="1"/>
  <c r="FN13" i="4" a="1"/>
  <c r="GA11" i="4" a="1"/>
  <c r="GE12" i="4" a="1"/>
  <c r="GJ13" i="4" a="1"/>
  <c r="GI11" i="4" a="1"/>
  <c r="GF12" i="4" a="1"/>
  <c r="GE13" i="4" a="1"/>
  <c r="GB14" i="4" a="1"/>
  <c r="FQ9" i="4" a="1"/>
  <c r="FJ14" i="4" a="1"/>
  <c r="GJ15" i="4" a="1"/>
  <c r="FH16" i="4" a="1"/>
  <c r="GH16" i="4" a="1"/>
  <c r="HE7" i="4" a="1"/>
  <c r="GQ9" i="4" a="1"/>
  <c r="FV14" i="4" a="1"/>
  <c r="GD12" i="4" a="1"/>
  <c r="HH11" i="4" a="1"/>
  <c r="FM16" i="4" a="1"/>
  <c r="GK16" i="4" a="1"/>
  <c r="GL8" i="4" a="1"/>
  <c r="BD87" i="3"/>
  <c r="BR48" i="3"/>
  <c r="FO14" i="4" a="1"/>
  <c r="GA14" i="4" a="1"/>
  <c r="GY11" i="4" a="1"/>
  <c r="BB55" i="3"/>
  <c r="BB69" i="3"/>
  <c r="BQ55" i="3"/>
  <c r="BQ81" i="3"/>
  <c r="BO95" i="3"/>
  <c r="BF97" i="3"/>
  <c r="BR49" i="3"/>
  <c r="BV67" i="3"/>
  <c r="BT77" i="3"/>
  <c r="BN57" i="3"/>
  <c r="BN69" i="3"/>
  <c r="AA111" i="2"/>
  <c r="BS49" i="3"/>
  <c r="BE91" i="3"/>
  <c r="BM58" i="3"/>
  <c r="BJ93" i="3"/>
  <c r="BK73" i="3"/>
  <c r="BK65" i="3"/>
  <c r="GY6" i="4" a="1"/>
  <c r="FZ6" i="4" a="1"/>
  <c r="FS8" i="4" a="1"/>
  <c r="FK13" i="4" a="1"/>
  <c r="GV7" i="4" a="1"/>
  <c r="GH11" i="4" a="1"/>
  <c r="GV6" i="4" a="1"/>
  <c r="HC6" i="4" a="1"/>
  <c r="HB13" i="4" a="1"/>
  <c r="FM7" i="4" a="1"/>
  <c r="GR9" i="4" a="1"/>
  <c r="GE6" i="4" a="1"/>
  <c r="GN7" i="4" a="1"/>
  <c r="HG8" i="4" a="1"/>
  <c r="GK14" i="4" a="1"/>
  <c r="GK11" i="4" a="1"/>
  <c r="GP12" i="4" a="1"/>
  <c r="GR13" i="4" a="1"/>
  <c r="GQ11" i="4" a="1"/>
  <c r="GN12" i="4" a="1"/>
  <c r="GM13" i="4" a="1"/>
  <c r="GJ14" i="4" a="1"/>
  <c r="HC9" i="4" a="1"/>
  <c r="FZ14" i="4" a="1"/>
  <c r="GN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K88" i="3"/>
  <c r="HG13" i="4" a="1"/>
  <c r="GB12" i="4" a="1"/>
  <c r="GD6" i="4" a="1"/>
  <c r="GF8" i="4" a="1"/>
  <c r="FI9" i="4" a="1"/>
  <c r="FG8" i="4" a="1"/>
  <c r="FN11" i="4" a="1"/>
  <c r="FW5" i="4" a="1"/>
  <c r="GA8" i="4" a="1"/>
  <c r="FH11" i="4" a="1"/>
  <c r="GV5" i="4" a="1"/>
  <c r="BB87" i="3"/>
  <c r="BH71" i="3"/>
  <c r="BU75" i="3"/>
  <c r="BS85" i="3"/>
  <c r="BU62" i="3"/>
  <c r="BR72" i="3"/>
  <c r="BV84" i="3"/>
  <c r="BT88" i="3"/>
  <c r="BN89" i="3"/>
  <c r="BN73" i="3"/>
  <c r="AA113" i="2"/>
  <c r="BP55" i="3"/>
  <c r="BE65" i="3"/>
  <c r="BF68" i="3"/>
  <c r="BJ97" i="3"/>
  <c r="BK81" i="3"/>
  <c r="BK63" i="3"/>
  <c r="FU7" i="4" a="1"/>
  <c r="GJ12" i="4" a="1"/>
  <c r="GE8" i="4" a="1"/>
  <c r="GI13" i="4" a="1"/>
  <c r="FQ8" i="4" a="1"/>
  <c r="HF11" i="4" a="1"/>
  <c r="FO7" i="4" a="1"/>
  <c r="GW7" i="4" a="1"/>
  <c r="FX14" i="4" a="1"/>
  <c r="GF7" i="4" a="1"/>
  <c r="HD9" i="4" a="1"/>
  <c r="FK5" i="4" a="1"/>
  <c r="FJ8" i="4" a="1"/>
  <c r="GV9" i="4" a="1"/>
  <c r="FG15" i="4" a="1"/>
  <c r="GN11" i="4" a="1"/>
  <c r="GU12" i="4" a="1"/>
  <c r="GW13" i="4" a="1"/>
  <c r="GT11" i="4" a="1"/>
  <c r="GS12" i="4" a="1"/>
  <c r="GP13" i="4" a="1"/>
  <c r="GO14" i="4" a="1"/>
  <c r="FQ11" i="4" a="1"/>
  <c r="GE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H96" i="3"/>
  <c r="BG94" i="3"/>
  <c r="BH80" i="3"/>
  <c r="BR63" i="3"/>
  <c r="BS90" i="3"/>
  <c r="BU82" i="3"/>
  <c r="BR47" i="3"/>
  <c r="BV61" i="3"/>
  <c r="BT96" i="3"/>
  <c r="BN80" i="3"/>
  <c r="BN81" i="3"/>
  <c r="BO69" i="3"/>
  <c r="BP63" i="3"/>
  <c r="BE59" i="3"/>
  <c r="BF62" i="3"/>
  <c r="BJ87" i="3"/>
  <c r="BK71" i="3"/>
  <c r="GS7" i="4" a="1"/>
  <c r="FH14" i="4" a="1"/>
  <c r="GQ8" i="4" a="1"/>
  <c r="GC8" i="4" a="1"/>
  <c r="GV11" i="4" a="1"/>
  <c r="GR14" i="4" a="1"/>
  <c r="GU14" i="4" a="1"/>
  <c r="GT15" i="4" a="1"/>
  <c r="BD80" i="3"/>
  <c r="CK65" i="1" l="1"/>
  <c r="CK10" i="1"/>
  <c r="CK16" i="1" s="1"/>
  <c r="CK17" i="1" s="1"/>
  <c r="X231" i="1"/>
  <c r="CH140" i="1"/>
  <c r="CI140" i="1" s="1"/>
  <c r="X179" i="1"/>
  <c r="CK26" i="1"/>
  <c r="CO20" i="1"/>
  <c r="CS20" i="1" s="1"/>
  <c r="CJ159" i="1"/>
  <c r="CJ140" i="1"/>
  <c r="CJ202" i="1" s="1"/>
  <c r="CJ117" i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KD9" i="4" s="1"/>
  <c r="Z74" i="1"/>
  <c r="JQ9" i="4" s="1"/>
  <c r="CJ151" i="1"/>
  <c r="KE9" i="4" s="1"/>
  <c r="CJ152" i="1"/>
  <c r="CJ150" i="1"/>
  <c r="KC16" i="4" s="1"/>
  <c r="CJ137" i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A9" i="4" s="1"/>
  <c r="KB9" i="4" s="1"/>
  <c r="JT9" i="4" s="1"/>
  <c r="JU16" i="4" s="1"/>
  <c r="CJ122" i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X16" i="4" s="1"/>
  <c r="KF16" i="4" s="1"/>
  <c r="JS9" i="4" s="1"/>
  <c r="CJ143" i="1"/>
  <c r="JS16" i="4" s="1"/>
  <c r="Z73" i="1"/>
  <c r="KB15" i="4" s="1"/>
  <c r="JY7" i="4" s="1"/>
  <c r="CJ125" i="1"/>
  <c r="JY16" i="4" s="1"/>
  <c r="JW9" i="4" s="1"/>
  <c r="CJ164" i="1"/>
  <c r="CK164" i="1" s="1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26" i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44" i="1"/>
  <c r="CJ179" i="1" s="1"/>
  <c r="CK179" i="1" s="1"/>
  <c r="CL179" i="1" s="1"/>
  <c r="CJ118" i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33" i="1"/>
  <c r="CK133" i="1" s="1"/>
  <c r="CL133" i="1" s="1"/>
  <c r="CM133" i="1" s="1"/>
  <c r="CN133" i="1" s="1"/>
  <c r="CO133" i="1" s="1"/>
  <c r="CP133" i="1" s="1"/>
  <c r="CJ134" i="1"/>
  <c r="CK33" i="1" s="1"/>
  <c r="CJ154" i="1"/>
  <c r="KD16" i="4" s="1"/>
  <c r="JR9" i="4" s="1"/>
  <c r="JY9" i="4" s="1"/>
  <c r="KA16" i="4" s="1"/>
  <c r="CJ163" i="1"/>
  <c r="CK163" i="1" s="1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G16" i="4" s="1"/>
  <c r="JQ16" i="4" s="1"/>
  <c r="CJ135" i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9" i="1"/>
  <c r="JS7" i="4" s="1"/>
  <c r="CI73" i="1"/>
  <c r="KF8" i="4" s="1"/>
  <c r="KD8" i="4" s="1"/>
  <c r="CK73" i="1"/>
  <c r="CJ127" i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L180" i="1" s="1"/>
  <c r="CH74" i="1"/>
  <c r="JU9" i="4" s="1"/>
  <c r="KF9" i="4" s="1"/>
  <c r="X73" i="1"/>
  <c r="CJ153" i="1"/>
  <c r="CJ147" i="1"/>
  <c r="Y74" i="1"/>
  <c r="CI74" i="1"/>
  <c r="CJ160" i="1"/>
  <c r="CK74" i="1"/>
  <c r="CJ142" i="1"/>
  <c r="CH73" i="1"/>
  <c r="KH16" i="4" s="1"/>
  <c r="JZ16" i="4" s="1"/>
  <c r="CJ74" i="1"/>
  <c r="CJ155" i="1"/>
  <c r="CJ124" i="1"/>
  <c r="CK124" i="1" s="1"/>
  <c r="CL124" i="1" s="1"/>
  <c r="CM124" i="1" s="1"/>
  <c r="CG73" i="1"/>
  <c r="KC9" i="4" s="1"/>
  <c r="JV9" i="4" s="1"/>
  <c r="JZ9" i="4" s="1"/>
  <c r="CJ73" i="1"/>
  <c r="CG74" i="1"/>
  <c r="Z154" i="1"/>
  <c r="CH154" i="1" s="1"/>
  <c r="CH156" i="1" s="1"/>
  <c r="CH185" i="1" s="1"/>
  <c r="CK98" i="1"/>
  <c r="X10" i="1"/>
  <c r="X98" i="1" s="1"/>
  <c r="Y183" i="1"/>
  <c r="Y148" i="1"/>
  <c r="Y182" i="1" s="1"/>
  <c r="X148" i="1"/>
  <c r="X180" i="1"/>
  <c r="CH143" i="1"/>
  <c r="Z148" i="1"/>
  <c r="AA196" i="1" s="1"/>
  <c r="Y26" i="1"/>
  <c r="Y134" i="1"/>
  <c r="X252" i="1"/>
  <c r="X183" i="1"/>
  <c r="Y161" i="1"/>
  <c r="Z209" i="1" s="1"/>
  <c r="Z252" i="1"/>
  <c r="Y17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Y252" i="1"/>
  <c r="Y10" i="1"/>
  <c r="Y231" i="1"/>
  <c r="CH117" i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I16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Q15" i="4"/>
  <c r="JZ15" i="4"/>
  <c r="KE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161" i="1" l="1"/>
  <c r="CK11" i="1"/>
  <c r="CK12" i="1"/>
  <c r="CI202" i="1"/>
  <c r="CW20" i="1"/>
  <c r="DA20" i="1" s="1"/>
  <c r="AA188" i="1"/>
  <c r="AA11" i="1"/>
  <c r="AA249" i="1"/>
  <c r="AA206" i="1"/>
  <c r="AA205" i="1" s="1"/>
  <c r="KC21" i="4"/>
  <c r="JT16" i="4" s="1"/>
  <c r="JZ21" i="4"/>
  <c r="JR16" i="4" s="1"/>
  <c r="JX9" i="4" s="1"/>
  <c r="KE7" i="4" s="1"/>
  <c r="KA7" i="4" s="1"/>
  <c r="KH9" i="4" s="1"/>
  <c r="JS21" i="4"/>
  <c r="KE21" i="4"/>
  <c r="JW16" i="4" s="1"/>
  <c r="JW21" i="4" s="1"/>
  <c r="JV16" i="4" s="1"/>
  <c r="JV21" i="4" s="1"/>
  <c r="KG9" i="4" s="1"/>
  <c r="JQ21" i="4"/>
  <c r="CK77" i="1" s="1"/>
  <c r="KA8" i="4"/>
  <c r="JZ8" i="4"/>
  <c r="KG7" i="4"/>
  <c r="CK99" i="1"/>
  <c r="CK27" i="1"/>
  <c r="CK28" i="1"/>
  <c r="CJ183" i="1"/>
  <c r="CK183" i="1" s="1"/>
  <c r="CL183" i="1" s="1"/>
  <c r="JR21" i="4"/>
  <c r="CL77" i="1" s="1"/>
  <c r="JU14" i="4"/>
  <c r="JQ14" i="4"/>
  <c r="KH8" i="4"/>
  <c r="JT8" i="4"/>
  <c r="KD15" i="4"/>
  <c r="KH15" i="4"/>
  <c r="KC8" i="4"/>
  <c r="KC14" i="4"/>
  <c r="KB21" i="4"/>
  <c r="JQ8" i="4"/>
  <c r="JX14" i="4"/>
  <c r="KB14" i="4"/>
  <c r="KE14" i="4"/>
  <c r="JS14" i="4"/>
  <c r="KB8" i="4"/>
  <c r="JT14" i="4"/>
  <c r="JW14" i="4"/>
  <c r="JQ7" i="4"/>
  <c r="JY15" i="4"/>
  <c r="JT15" i="4"/>
  <c r="KA21" i="4"/>
  <c r="JW15" i="4"/>
  <c r="KH14" i="4"/>
  <c r="JU21" i="4"/>
  <c r="JW8" i="4"/>
  <c r="CJ148" i="1"/>
  <c r="JW7" i="4"/>
  <c r="JV7" i="4"/>
  <c r="Z182" i="1"/>
  <c r="Z175" i="1"/>
  <c r="JX7" i="4"/>
  <c r="CJ120" i="1"/>
  <c r="CJ92" i="1" s="1"/>
  <c r="CJ94" i="1" s="1"/>
  <c r="KC7" i="4"/>
  <c r="KD14" i="4"/>
  <c r="CJ156" i="1"/>
  <c r="CJ185" i="1" s="1"/>
  <c r="CJ184" i="1" s="1"/>
  <c r="CK184" i="1" s="1"/>
  <c r="JU15" i="4"/>
  <c r="JV8" i="4"/>
  <c r="JR14" i="4"/>
  <c r="JV14" i="4"/>
  <c r="JU8" i="4"/>
  <c r="KA14" i="4"/>
  <c r="JU7" i="4"/>
  <c r="JR8" i="4"/>
  <c r="Z156" i="1"/>
  <c r="AA197" i="1" s="1"/>
  <c r="AA198" i="1" s="1"/>
  <c r="AA199" i="1" s="1"/>
  <c r="KH7" i="4"/>
  <c r="KG14" i="4"/>
  <c r="KG8" i="4"/>
  <c r="JY21" i="4"/>
  <c r="JX15" i="4"/>
  <c r="JV15" i="4"/>
  <c r="KF15" i="4"/>
  <c r="KF20" i="4" s="1"/>
  <c r="KC15" i="4"/>
  <c r="KF21" i="4"/>
  <c r="KA15" i="4"/>
  <c r="JZ14" i="4"/>
  <c r="KD21" i="4"/>
  <c r="JS8" i="4"/>
  <c r="X16" i="1"/>
  <c r="JR15" i="4"/>
  <c r="JT7" i="4"/>
  <c r="JZ7" i="4"/>
  <c r="JY8" i="4"/>
  <c r="KF14" i="4"/>
  <c r="X27" i="1"/>
  <c r="JY14" i="4"/>
  <c r="CJ131" i="1"/>
  <c r="CK131" i="1" s="1"/>
  <c r="CL131" i="1" s="1"/>
  <c r="CM131" i="1" s="1"/>
  <c r="CN131" i="1" s="1"/>
  <c r="CO131" i="1" s="1"/>
  <c r="CP131" i="1" s="1"/>
  <c r="KB7" i="4"/>
  <c r="KE8" i="4"/>
  <c r="KG15" i="4"/>
  <c r="KF7" i="4"/>
  <c r="JX8" i="4"/>
  <c r="JR7" i="4"/>
  <c r="KD7" i="4"/>
  <c r="JS15" i="4"/>
  <c r="CJ128" i="1"/>
  <c r="CJ249" i="1" s="1"/>
  <c r="CK140" i="1"/>
  <c r="CK125" i="1"/>
  <c r="Z196" i="1"/>
  <c r="CJ138" i="1"/>
  <c r="Z248" i="1"/>
  <c r="X157" i="1"/>
  <c r="X182" i="1"/>
  <c r="X181" i="1" s="1"/>
  <c r="Y196" i="1"/>
  <c r="CH179" i="1"/>
  <c r="CI179" i="1" s="1"/>
  <c r="CH148" i="1"/>
  <c r="Y138" i="1"/>
  <c r="Y33" i="1"/>
  <c r="Z27" i="1"/>
  <c r="Y98" i="1"/>
  <c r="Y188" i="1"/>
  <c r="Y27" i="1"/>
  <c r="Y16" i="1"/>
  <c r="Y11" i="1"/>
  <c r="CI117" i="1"/>
  <c r="CH120" i="1"/>
  <c r="CH92" i="1" s="1"/>
  <c r="CH94" i="1" s="1"/>
  <c r="Z134" i="1"/>
  <c r="CH131" i="1"/>
  <c r="AB133" i="1"/>
  <c r="CQ133" i="1"/>
  <c r="CR133" i="1" s="1"/>
  <c r="CS133" i="1" s="1"/>
  <c r="CT133" i="1" s="1"/>
  <c r="CG27" i="1"/>
  <c r="CG16" i="1"/>
  <c r="CK18" i="1" s="1"/>
  <c r="X129" i="1"/>
  <c r="CI27" i="1"/>
  <c r="Y181" i="1"/>
  <c r="Y185" i="1"/>
  <c r="Y157" i="1"/>
  <c r="X138" i="1"/>
  <c r="X24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CH168" i="1"/>
  <c r="CI24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JX21" i="4" l="1"/>
  <c r="KG21" i="4"/>
  <c r="CK209" i="1"/>
  <c r="KD19" i="4"/>
  <c r="KA19" i="4"/>
  <c r="KH19" i="4"/>
  <c r="KH21" i="4"/>
  <c r="JT21" i="4"/>
  <c r="CK102" i="1"/>
  <c r="JY19" i="4"/>
  <c r="KE20" i="4"/>
  <c r="KB19" i="4"/>
  <c r="KD20" i="4"/>
  <c r="JZ20" i="4"/>
  <c r="CQ131" i="1"/>
  <c r="CR131" i="1" s="1"/>
  <c r="CS131" i="1" s="1"/>
  <c r="CT131" i="1" s="1"/>
  <c r="AB131" i="1"/>
  <c r="KG19" i="4"/>
  <c r="JX20" i="4"/>
  <c r="JR20" i="4"/>
  <c r="CL79" i="1" s="1"/>
  <c r="JQ20" i="4"/>
  <c r="CK79" i="1" s="1"/>
  <c r="KH20" i="4"/>
  <c r="JV20" i="4"/>
  <c r="JT19" i="4"/>
  <c r="JY20" i="4"/>
  <c r="Z181" i="1"/>
  <c r="CK29" i="1"/>
  <c r="CK34" i="1"/>
  <c r="CK38" i="1" s="1"/>
  <c r="JW19" i="4"/>
  <c r="CM183" i="1"/>
  <c r="JU20" i="4"/>
  <c r="JV19" i="4"/>
  <c r="KF19" i="4"/>
  <c r="KG20" i="4"/>
  <c r="JS20" i="4"/>
  <c r="JU19" i="4"/>
  <c r="CJ244" i="1"/>
  <c r="X165" i="1"/>
  <c r="KA20" i="4"/>
  <c r="JX19" i="4"/>
  <c r="KC20" i="4"/>
  <c r="JW20" i="4"/>
  <c r="KC19" i="4"/>
  <c r="JQ19" i="4"/>
  <c r="CK78" i="1" s="1"/>
  <c r="CK202" i="1"/>
  <c r="CL140" i="1"/>
  <c r="CJ182" i="1"/>
  <c r="CJ157" i="1"/>
  <c r="JR19" i="4"/>
  <c r="CL78" i="1" s="1"/>
  <c r="JT20" i="4"/>
  <c r="KB20" i="4"/>
  <c r="CL125" i="1"/>
  <c r="CK128" i="1"/>
  <c r="JS19" i="4"/>
  <c r="KE19" i="4"/>
  <c r="CJ248" i="1"/>
  <c r="Z185" i="1"/>
  <c r="Z157" i="1"/>
  <c r="Z197" i="1"/>
  <c r="Z198" i="1" s="1"/>
  <c r="X28" i="1"/>
  <c r="X17" i="1"/>
  <c r="JZ19" i="4"/>
  <c r="CJ206" i="1"/>
  <c r="CJ129" i="1"/>
  <c r="Y18" i="1"/>
  <c r="CJ246" i="1"/>
  <c r="CH182" i="1"/>
  <c r="CH181" i="1" s="1"/>
  <c r="CI181" i="1" s="1"/>
  <c r="CH157" i="1"/>
  <c r="Y198" i="1"/>
  <c r="CL27" i="1"/>
  <c r="CM27" i="1" s="1"/>
  <c r="Y165" i="1"/>
  <c r="Y166" i="1" s="1"/>
  <c r="Y246" i="1"/>
  <c r="Y244" i="1"/>
  <c r="X244" i="1"/>
  <c r="Y203" i="1"/>
  <c r="Y201" i="1" s="1"/>
  <c r="Z18" i="1"/>
  <c r="Y28" i="1"/>
  <c r="Y17" i="1"/>
  <c r="CH248" i="1"/>
  <c r="CH129" i="1"/>
  <c r="Z138" i="1"/>
  <c r="AA203" i="1" s="1"/>
  <c r="AA201" i="1" s="1"/>
  <c r="Z33" i="1"/>
  <c r="CI131" i="1"/>
  <c r="CI134" i="1" s="1"/>
  <c r="CH134" i="1"/>
  <c r="AC133" i="1"/>
  <c r="CU133" i="1"/>
  <c r="CV133" i="1" s="1"/>
  <c r="CW133" i="1" s="1"/>
  <c r="CX133" i="1" s="1"/>
  <c r="Z17" i="1"/>
  <c r="Z28" i="1"/>
  <c r="CJ96" i="1"/>
  <c r="CJ95" i="1"/>
  <c r="CH96" i="1"/>
  <c r="CG28" i="1"/>
  <c r="CG17" i="1"/>
  <c r="CL184" i="1"/>
  <c r="CK185" i="1"/>
  <c r="Y184" i="1"/>
  <c r="Y186" i="1"/>
  <c r="CI185" i="1"/>
  <c r="CI152" i="1"/>
  <c r="CH95" i="1"/>
  <c r="CI19" i="1"/>
  <c r="CH17" i="1"/>
  <c r="X184" i="1"/>
  <c r="X186" i="1"/>
  <c r="CJ19" i="1"/>
  <c r="CJ28" i="1"/>
  <c r="CK31" i="1" s="1"/>
  <c r="CJ17" i="1"/>
  <c r="CH28" i="1"/>
  <c r="CH19" i="1"/>
  <c r="CI37" i="1"/>
  <c r="CH109" i="1"/>
  <c r="CJ108" i="1"/>
  <c r="CJ104" i="1"/>
  <c r="CH108" i="1"/>
  <c r="CI107" i="1"/>
  <c r="CH107" i="1"/>
  <c r="CI108" i="1"/>
  <c r="CJ107" i="1"/>
  <c r="CJ103" i="1"/>
  <c r="CN180" i="1"/>
  <c r="CO124" i="1"/>
  <c r="CN179" i="1"/>
  <c r="CY117" i="1"/>
  <c r="CY163" i="1"/>
  <c r="CI34" i="1"/>
  <c r="CI38" i="1" s="1"/>
  <c r="CI232" i="1"/>
  <c r="CI233" i="1" s="1"/>
  <c r="CI29" i="1"/>
  <c r="CL46" i="1"/>
  <c r="CK104" i="1" l="1"/>
  <c r="CK108" i="1"/>
  <c r="CK40" i="1"/>
  <c r="CK41" i="1"/>
  <c r="CK103" i="1"/>
  <c r="CK107" i="1"/>
  <c r="AA213" i="1"/>
  <c r="AA210" i="1"/>
  <c r="AA211" i="1" s="1"/>
  <c r="AA30" i="1"/>
  <c r="AA250" i="1"/>
  <c r="AA251" i="1" s="1"/>
  <c r="CU131" i="1"/>
  <c r="CV131" i="1" s="1"/>
  <c r="CW131" i="1" s="1"/>
  <c r="CX131" i="1" s="1"/>
  <c r="CY131" i="1" s="1"/>
  <c r="CZ131" i="1" s="1"/>
  <c r="DA131" i="1" s="1"/>
  <c r="DB131" i="1" s="1"/>
  <c r="AC131" i="1"/>
  <c r="CJ165" i="1"/>
  <c r="CJ166" i="1" s="1"/>
  <c r="CL202" i="1"/>
  <c r="CM140" i="1"/>
  <c r="CJ181" i="1"/>
  <c r="CK181" i="1" s="1"/>
  <c r="CJ186" i="1"/>
  <c r="CM125" i="1"/>
  <c r="CL128" i="1"/>
  <c r="CK206" i="1"/>
  <c r="CK249" i="1"/>
  <c r="Z186" i="1"/>
  <c r="AA189" i="1" s="1"/>
  <c r="AA190" i="1" s="1"/>
  <c r="X166" i="1"/>
  <c r="X232" i="1"/>
  <c r="X233" i="1" s="1"/>
  <c r="X34" i="1"/>
  <c r="X112" i="1"/>
  <c r="X29" i="1"/>
  <c r="CN183" i="1"/>
  <c r="Z184" i="1"/>
  <c r="CH186" i="1"/>
  <c r="CK30" i="1"/>
  <c r="CG29" i="1"/>
  <c r="CG232" i="1"/>
  <c r="CG233" i="1" s="1"/>
  <c r="CG34" i="1"/>
  <c r="CG38" i="1" s="1"/>
  <c r="CK42" i="1"/>
  <c r="CK48" i="1"/>
  <c r="CI182" i="1"/>
  <c r="CI146" i="1"/>
  <c r="CI250" i="1"/>
  <c r="CI251" i="1" s="1"/>
  <c r="CK112" i="1"/>
  <c r="Y189" i="1"/>
  <c r="Y190" i="1" s="1"/>
  <c r="Y112" i="1"/>
  <c r="Y29" i="1"/>
  <c r="Y232" i="1"/>
  <c r="Y233" i="1" s="1"/>
  <c r="Y250" i="1"/>
  <c r="Y251" i="1" s="1"/>
  <c r="Y30" i="1"/>
  <c r="Y34" i="1"/>
  <c r="Z30" i="1"/>
  <c r="CH138" i="1"/>
  <c r="CI33" i="1"/>
  <c r="Z29" i="1"/>
  <c r="Z250" i="1"/>
  <c r="Z251" i="1" s="1"/>
  <c r="Z34" i="1"/>
  <c r="Z112" i="1"/>
  <c r="Z232" i="1"/>
  <c r="Z233" i="1" s="1"/>
  <c r="Z203" i="1"/>
  <c r="Z201" i="1" s="1"/>
  <c r="Z165" i="1"/>
  <c r="Z166" i="1" s="1"/>
  <c r="Z246" i="1"/>
  <c r="Z244" i="1"/>
  <c r="CJ33" i="1"/>
  <c r="CI138" i="1"/>
  <c r="CJ203" i="1" s="1"/>
  <c r="CJ201" i="1" s="1"/>
  <c r="CL17" i="1"/>
  <c r="CM17" i="1" s="1"/>
  <c r="CY133" i="1"/>
  <c r="CZ133" i="1" s="1"/>
  <c r="DA133" i="1" s="1"/>
  <c r="DB133" i="1" s="1"/>
  <c r="AE133" i="1" s="1"/>
  <c r="AD133" i="1"/>
  <c r="CM184" i="1"/>
  <c r="CL185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H110" i="1"/>
  <c r="CH111" i="1"/>
  <c r="CN27" i="1"/>
  <c r="CO27" i="1" s="1"/>
  <c r="CP124" i="1"/>
  <c r="CO179" i="1"/>
  <c r="CO180" i="1"/>
  <c r="CZ163" i="1"/>
  <c r="CZ117" i="1"/>
  <c r="CL45" i="1"/>
  <c r="CM45" i="1" s="1"/>
  <c r="CN45" i="1" s="1"/>
  <c r="CO45" i="1" s="1"/>
  <c r="CP45" i="1" s="1"/>
  <c r="CQ45" i="1" s="1"/>
  <c r="CR45" i="1" s="1"/>
  <c r="CS45" i="1" s="1"/>
  <c r="CT45" i="1" s="1"/>
  <c r="CU45" i="1" s="1"/>
  <c r="CI41" i="1"/>
  <c r="CI40" i="1"/>
  <c r="CM46" i="1"/>
  <c r="AD131" i="1" l="1"/>
  <c r="CM202" i="1"/>
  <c r="CN140" i="1"/>
  <c r="CK182" i="1"/>
  <c r="CK186" i="1" s="1"/>
  <c r="Z189" i="1"/>
  <c r="Z190" i="1" s="1"/>
  <c r="CL181" i="1"/>
  <c r="CN125" i="1"/>
  <c r="CM128" i="1"/>
  <c r="CM249" i="1" s="1"/>
  <c r="CL249" i="1"/>
  <c r="CL206" i="1"/>
  <c r="X38" i="1"/>
  <c r="X55" i="1"/>
  <c r="CO183" i="1"/>
  <c r="CG40" i="1"/>
  <c r="CG41" i="1"/>
  <c r="CK52" i="1"/>
  <c r="CK66" i="1"/>
  <c r="CJ41" i="1"/>
  <c r="CK44" i="1" s="1"/>
  <c r="CJ40" i="1"/>
  <c r="CN202" i="1"/>
  <c r="CO140" i="1"/>
  <c r="Y55" i="1"/>
  <c r="Y38" i="1"/>
  <c r="CI203" i="1"/>
  <c r="CI201" i="1" s="1"/>
  <c r="CH246" i="1"/>
  <c r="CH165" i="1"/>
  <c r="CH166" i="1" s="1"/>
  <c r="Z38" i="1"/>
  <c r="Z55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H41" i="1"/>
  <c r="CH42" i="1" s="1"/>
  <c r="CH245" i="1" s="1"/>
  <c r="CH40" i="1"/>
  <c r="CN184" i="1"/>
  <c r="CM185" i="1"/>
  <c r="CP27" i="1"/>
  <c r="CQ27" i="1" s="1"/>
  <c r="CR27" i="1" s="1"/>
  <c r="CS27" i="1" s="1"/>
  <c r="CN17" i="1"/>
  <c r="CP180" i="1"/>
  <c r="CP179" i="1"/>
  <c r="CQ124" i="1"/>
  <c r="DA117" i="1"/>
  <c r="DA163" i="1"/>
  <c r="CE65" i="1"/>
  <c r="AB45" i="1"/>
  <c r="CI42" i="1"/>
  <c r="CI245" i="1" s="1"/>
  <c r="CI234" i="1"/>
  <c r="CI48" i="1"/>
  <c r="CI119" i="1" s="1"/>
  <c r="AC45" i="1"/>
  <c r="CV45" i="1"/>
  <c r="CW45" i="1" s="1"/>
  <c r="CX45" i="1" s="1"/>
  <c r="CY45" i="1" s="1"/>
  <c r="AB35" i="1"/>
  <c r="CN46" i="1"/>
  <c r="CO46" i="1" s="1"/>
  <c r="CP46" i="1" s="1"/>
  <c r="CQ46" i="1" s="1"/>
  <c r="CN128" i="1" l="1"/>
  <c r="CL182" i="1"/>
  <c r="CL186" i="1" s="1"/>
  <c r="CM181" i="1"/>
  <c r="CO125" i="1"/>
  <c r="CN249" i="1"/>
  <c r="CM206" i="1"/>
  <c r="X40" i="1"/>
  <c r="X41" i="1"/>
  <c r="CP183" i="1"/>
  <c r="CH48" i="1"/>
  <c r="CI44" i="1"/>
  <c r="CJ234" i="1"/>
  <c r="CJ48" i="1"/>
  <c r="CJ227" i="1"/>
  <c r="CH234" i="1"/>
  <c r="CJ44" i="1"/>
  <c r="CJ42" i="1"/>
  <c r="CJ245" i="1" s="1"/>
  <c r="CL40" i="1"/>
  <c r="CK43" i="1"/>
  <c r="CG42" i="1"/>
  <c r="CG245" i="1" s="1"/>
  <c r="CG234" i="1"/>
  <c r="CG48" i="1"/>
  <c r="CH44" i="1"/>
  <c r="Y40" i="1"/>
  <c r="Y41" i="1"/>
  <c r="Y43" i="1" s="1"/>
  <c r="Z41" i="1"/>
  <c r="AA43" i="1" s="1"/>
  <c r="Z40" i="1"/>
  <c r="CP140" i="1"/>
  <c r="CP202" i="1" s="1"/>
  <c r="CO202" i="1"/>
  <c r="CK132" i="1"/>
  <c r="CK134" i="1" s="1"/>
  <c r="CK19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X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H193" i="1"/>
  <c r="CH195" i="1" s="1"/>
  <c r="CH66" i="1"/>
  <c r="CH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X5" i="6" a="1"/>
  <c r="AW15" i="3"/>
  <c r="AX13" i="3"/>
  <c r="AT33" i="3"/>
  <c r="ES5" i="4" a="1"/>
  <c r="EL6" i="4" a="1"/>
  <c r="EU7" i="4" a="1"/>
  <c r="ER6" i="4" a="1"/>
  <c r="ES12" i="4" a="1"/>
  <c r="EM6" i="4" a="1"/>
  <c r="AF31" i="3"/>
  <c r="EO16" i="4" a="1"/>
  <c r="ER12" i="4" a="1"/>
  <c r="ES8" i="4" a="1"/>
  <c r="AF28" i="3"/>
  <c r="AY16" i="3"/>
  <c r="AX11" i="3"/>
  <c r="AF33" i="3"/>
  <c r="AV15" i="3"/>
  <c r="S6" i="6" a="1"/>
  <c r="AT16" i="3"/>
  <c r="AT34" i="3"/>
  <c r="X6" i="6" a="1"/>
  <c r="EW12" i="4" a="1"/>
  <c r="EQ5" i="4" a="1"/>
  <c r="EU16" i="4" a="1"/>
  <c r="EU15" i="4" a="1"/>
  <c r="EO13" i="4" a="1"/>
  <c r="EL7" i="4" a="1"/>
  <c r="AW36" i="3"/>
  <c r="AW9" i="3"/>
  <c r="EU9" i="4" a="1"/>
  <c r="AZ40" i="3"/>
  <c r="EW13" i="4" a="1"/>
  <c r="ET7" i="4" a="1"/>
  <c r="EL15" i="4" a="1"/>
  <c r="AS26" i="3"/>
  <c r="AW19" i="3"/>
  <c r="AC5" i="6" a="1"/>
  <c r="AS10" i="3"/>
  <c r="EQ15" i="4" a="1"/>
  <c r="ER5" i="4" a="1"/>
  <c r="EN11" i="4" a="1"/>
  <c r="C6" i="4" a="1"/>
  <c r="EP6" i="4" a="1"/>
  <c r="EV14" i="4" a="1"/>
  <c r="EU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EO12" i="4" a="1"/>
  <c r="EP11" i="4" a="1"/>
  <c r="ER7" i="4" a="1"/>
  <c r="EL12" i="4" a="1"/>
  <c r="EV11" i="4" a="1"/>
  <c r="AV20" i="3"/>
  <c r="AS25" i="3"/>
  <c r="AZ33" i="3"/>
  <c r="AF39" i="3"/>
  <c r="AU37" i="3"/>
  <c r="EM9" i="4" a="1"/>
  <c r="AS30" i="3"/>
  <c r="EW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V29" i="3"/>
  <c r="F45" i="3"/>
  <c r="AW46" i="3"/>
  <c r="AW13" i="3"/>
  <c r="AU23" i="3"/>
  <c r="AT27" i="3"/>
  <c r="AY35" i="3"/>
  <c r="AZ23" i="3"/>
  <c r="AV45" i="3"/>
  <c r="AY8" i="3"/>
  <c r="D6" i="6" a="1"/>
  <c r="EM11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U6" i="6" a="1"/>
  <c r="AI5" i="6" a="1"/>
  <c r="AY13" i="3"/>
  <c r="AS34" i="3"/>
  <c r="AX45" i="3"/>
  <c r="AV23" i="3"/>
  <c r="AF16" i="3"/>
  <c r="AX27" i="3"/>
  <c r="AZ19" i="3"/>
  <c r="EV15" i="4" a="1"/>
  <c r="ET11" i="4" a="1"/>
  <c r="EM7" i="4" a="1"/>
  <c r="EW5" i="4" a="1"/>
  <c r="ET14" i="4" a="1"/>
  <c r="ET9" i="4" a="1"/>
  <c r="EP16" i="4" a="1"/>
  <c r="ES16" i="4" a="1"/>
  <c r="EM13" i="4" a="1"/>
  <c r="EL14" i="4" a="1"/>
  <c r="EV16" i="4" a="1"/>
  <c r="AT23" i="3"/>
  <c r="AY19" i="3"/>
  <c r="AS42" i="3"/>
  <c r="EP5" i="4" a="1"/>
  <c r="ER13" i="4" a="1"/>
  <c r="EN14" i="4" a="1"/>
  <c r="EV5" i="4" a="1"/>
  <c r="ES11" i="4" a="1"/>
  <c r="AV41" i="3"/>
  <c r="AS32" i="3"/>
  <c r="AV16" i="3"/>
  <c r="AW8" i="3"/>
  <c r="AU8" i="3"/>
  <c r="AZ29" i="3"/>
  <c r="AW25" i="3"/>
  <c r="ET16" i="4" a="1"/>
  <c r="EV6" i="4" a="1"/>
  <c r="ET5" i="4" a="1"/>
  <c r="EM16" i="4" a="1"/>
  <c r="AW26" i="3"/>
  <c r="AF6" i="3"/>
  <c r="AW32" i="3"/>
  <c r="AV6" i="6" a="1"/>
  <c r="ER8" i="4" a="1"/>
  <c r="EV8" i="4" a="1"/>
  <c r="AZ13" i="3"/>
  <c r="EU11" i="4" a="1"/>
  <c r="EO9" i="4" a="1"/>
  <c r="EO7" i="4" a="1"/>
  <c r="EN16" i="4" a="1"/>
  <c r="EM8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4" i="4" a="1"/>
  <c r="ET8" i="4" a="1"/>
  <c r="EV9" i="4" a="1"/>
  <c r="E6" i="6" a="1"/>
  <c r="AY18" i="3"/>
  <c r="AF36" i="3"/>
  <c r="W5" i="6" a="1"/>
  <c r="EM15" i="4" a="1"/>
  <c r="EP9" i="4" a="1"/>
  <c r="ES14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Y11" i="3"/>
  <c r="AY28" i="3"/>
  <c r="AW38" i="3"/>
  <c r="AH5" i="6" a="1"/>
  <c r="AT6" i="3"/>
  <c r="U5" i="6" a="1"/>
  <c r="AV17" i="3"/>
  <c r="EL9" i="4" a="1"/>
  <c r="EW16" i="4" a="1"/>
  <c r="ER15" i="4" a="1"/>
  <c r="EV7" i="4" a="1"/>
  <c r="EU5" i="4" a="1"/>
  <c r="EN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X17" i="3"/>
  <c r="AS36" i="3"/>
  <c r="U6" i="6" a="1"/>
  <c r="AF9" i="3"/>
  <c r="AV36" i="3"/>
  <c r="AX8" i="3"/>
  <c r="AS27" i="3"/>
  <c r="EL11" i="4" a="1"/>
  <c r="EP14" i="4" a="1"/>
  <c r="EP8" i="4" a="1"/>
  <c r="EL16" i="4" a="1"/>
  <c r="EN15" i="4" a="1"/>
  <c r="AF7" i="3"/>
  <c r="EW15" i="4" a="1"/>
  <c r="EU13" i="4" a="1"/>
  <c r="EW11" i="4" a="1"/>
  <c r="EU6" i="4" a="1"/>
  <c r="EN9" i="4" a="1"/>
  <c r="AV21" i="3"/>
  <c r="R5" i="6" a="1"/>
  <c r="AT13" i="3"/>
  <c r="AW6" i="6" a="1"/>
  <c r="AS15" i="3"/>
  <c r="P6" i="6" a="1"/>
  <c r="AT37" i="3"/>
  <c r="AX7" i="3"/>
  <c r="AT25" i="3"/>
  <c r="AF21" i="3"/>
  <c r="AY33" i="3"/>
  <c r="AW35" i="3"/>
  <c r="AZ35" i="3"/>
  <c r="AV14" i="3"/>
  <c r="AS19" i="3"/>
  <c r="AW7" i="3"/>
  <c r="AY36" i="3"/>
  <c r="AT45" i="3"/>
  <c r="AU6" i="3"/>
  <c r="AT11" i="3"/>
  <c r="AH6" i="6" a="1"/>
  <c r="AF13" i="3"/>
  <c r="ES6" i="4" a="1"/>
  <c r="EP7" i="4" a="1"/>
  <c r="AU31" i="3"/>
  <c r="EU8" i="4" a="1"/>
  <c r="AJ6" i="6" a="1"/>
  <c r="AY38" i="3"/>
  <c r="EP13" i="4" a="1"/>
  <c r="ER9" i="4" a="1"/>
  <c r="EL8" i="4" a="1"/>
  <c r="EN13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AQ5" i="6" a="1"/>
  <c r="EQ11" i="4" a="1"/>
  <c r="EQ13" i="4" a="1"/>
  <c r="EN8" i="4" a="1"/>
  <c r="EO5" i="4" a="1"/>
  <c r="AV31" i="3"/>
  <c r="AT36" i="3"/>
  <c r="EM12" i="4" a="1"/>
  <c r="EV12" i="4" a="1"/>
  <c r="AR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CK69" i="1" l="1"/>
  <c r="Y48" i="1"/>
  <c r="Y42" i="1"/>
  <c r="Y245" i="1" s="1"/>
  <c r="Z43" i="1"/>
  <c r="Y234" i="1"/>
  <c r="CJ54" i="1"/>
  <c r="CG193" i="1"/>
  <c r="CG195" i="1" s="1"/>
  <c r="CG52" i="1"/>
  <c r="CG66" i="1"/>
  <c r="CJ69" i="1" s="1"/>
  <c r="CK85" i="1"/>
  <c r="CK87" i="1"/>
  <c r="CK86" i="1"/>
  <c r="CP184" i="1"/>
  <c r="CO185" i="1"/>
  <c r="CL32" i="1"/>
  <c r="CK138" i="1"/>
  <c r="CK203" i="1" s="1"/>
  <c r="CK201" i="1" s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AE131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2" i="3"/>
  <c r="AZ97" i="3"/>
  <c r="AS93" i="3"/>
  <c r="AT63" i="3"/>
  <c r="AU48" i="3"/>
  <c r="C74" i="3"/>
  <c r="AW55" i="3"/>
  <c r="AS89" i="3"/>
  <c r="AF76" i="3"/>
  <c r="AF66" i="3"/>
  <c r="AV67" i="3"/>
  <c r="AS94" i="3"/>
  <c r="AW81" i="3"/>
  <c r="AY96" i="3"/>
  <c r="AS96" i="3"/>
  <c r="AU94" i="3"/>
  <c r="AF65" i="3"/>
  <c r="AU90" i="3"/>
  <c r="AT50" i="3"/>
  <c r="AF96" i="3"/>
  <c r="AS62" i="3"/>
  <c r="AW83" i="3"/>
  <c r="AZ81" i="3"/>
  <c r="AF82" i="3"/>
  <c r="AV9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U77" i="3"/>
  <c r="AY50" i="3"/>
  <c r="AF60" i="3"/>
  <c r="AX62" i="3"/>
  <c r="AZ90" i="3"/>
  <c r="AZ55" i="3"/>
  <c r="AY84" i="3"/>
  <c r="AZ68" i="3"/>
  <c r="AT57" i="3"/>
  <c r="C88" i="3"/>
  <c r="AW88" i="3"/>
  <c r="AF64" i="3"/>
  <c r="AF95" i="3"/>
  <c r="AX60" i="3"/>
  <c r="AT75" i="3"/>
  <c r="AX95" i="3"/>
  <c r="C95" i="3"/>
  <c r="AF75" i="3"/>
  <c r="AF71" i="3"/>
  <c r="AV6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Y87" i="3"/>
  <c r="AX69" i="3"/>
  <c r="AV55" i="3"/>
  <c r="AF58" i="3"/>
  <c r="AF85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Y85" i="3"/>
  <c r="AX75" i="3"/>
  <c r="AV84" i="3"/>
  <c r="AU85" i="3"/>
  <c r="AV71" i="3"/>
  <c r="AW62" i="3"/>
  <c r="AW87" i="3"/>
  <c r="AU63" i="3"/>
  <c r="AT86" i="3"/>
  <c r="C61" i="3"/>
  <c r="AF55" i="3"/>
  <c r="AX70" i="3"/>
  <c r="AV66" i="3"/>
  <c r="AX9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65" i="3"/>
  <c r="AY73" i="3"/>
  <c r="AV82" i="3"/>
  <c r="C55" i="3"/>
  <c r="AV87" i="3"/>
  <c r="AY75" i="3"/>
  <c r="AV58" i="3"/>
  <c r="AX82" i="3"/>
  <c r="AW65" i="3"/>
  <c r="C84" i="3"/>
  <c r="AS48" i="3"/>
  <c r="AF59" i="3"/>
  <c r="AU69" i="3"/>
  <c r="AS70" i="3"/>
  <c r="AF61" i="3"/>
  <c r="AS65" i="3"/>
  <c r="AU71" i="3"/>
  <c r="C57" i="3"/>
  <c r="AY92" i="3"/>
  <c r="AU7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61" i="3"/>
  <c r="C56" i="3"/>
  <c r="AU47" i="3"/>
  <c r="AT84" i="3"/>
  <c r="AW54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C70" i="3"/>
  <c r="AW69" i="3"/>
  <c r="AF69" i="3"/>
  <c r="C94" i="3"/>
  <c r="AV85" i="3"/>
  <c r="AT49" i="3"/>
  <c r="AV92" i="3"/>
  <c r="AF92" i="3"/>
  <c r="AX57" i="3"/>
  <c r="AZ76" i="3"/>
  <c r="AS56" i="3"/>
  <c r="C71" i="3"/>
  <c r="AX97" i="3"/>
  <c r="AT94" i="3"/>
  <c r="AW50" i="3"/>
  <c r="AF84" i="3"/>
  <c r="AX72" i="3"/>
  <c r="AT9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AU57" i="3"/>
  <c r="AT83" i="3"/>
  <c r="AT79" i="3"/>
  <c r="AU81" i="3"/>
  <c r="AW6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S50" i="3"/>
  <c r="AZ74" i="3"/>
  <c r="AZ67" i="3"/>
  <c r="AS63" i="3"/>
  <c r="AF74" i="3"/>
  <c r="AZ50" i="3"/>
  <c r="C69" i="3"/>
  <c r="AW73" i="3"/>
  <c r="AU93" i="3"/>
  <c r="AZ57" i="3"/>
  <c r="AZ91" i="3"/>
  <c r="AY59" i="3"/>
  <c r="C59" i="3"/>
  <c r="AF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S55" i="3"/>
  <c r="AZ75" i="3"/>
  <c r="AZ66" i="3"/>
  <c r="AF83" i="3"/>
  <c r="AT62" i="3"/>
  <c r="AT91" i="3"/>
  <c r="AV94" i="3"/>
  <c r="AU61" i="3"/>
  <c r="CQ184" i="1" l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Q185" i="1" l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BM202" i="1" l="1"/>
  <c r="CF28" i="1"/>
  <c r="AA60" i="1" s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G226" i="1"/>
  <c r="CI226" i="1"/>
  <c r="CG250" i="1"/>
  <c r="CF29" i="1"/>
  <c r="CF232" i="1"/>
  <c r="CF233" i="1" s="1"/>
  <c r="CJ30" i="1"/>
  <c r="CF34" i="1"/>
  <c r="CF30" i="1"/>
  <c r="CS185" i="1"/>
  <c r="CT184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L11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L64" i="1"/>
  <c r="CF38" i="1" l="1"/>
  <c r="CI55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L8" i="1"/>
  <c r="CL98" i="1" s="1"/>
  <c r="CM11" i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41" i="1" l="1"/>
  <c r="AA61" i="1" s="1"/>
  <c r="CF40" i="1"/>
  <c r="CF234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2" i="1"/>
  <c r="CF245" i="1" s="1"/>
  <c r="BZ41" i="1"/>
  <c r="BZ40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F43" i="1" l="1"/>
  <c r="CF48" i="1"/>
  <c r="CG44" i="1"/>
  <c r="CI227" i="1"/>
  <c r="CJ43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F193" i="1" l="1"/>
  <c r="CF195" i="1" s="1"/>
  <c r="CF199" i="1" s="1"/>
  <c r="CF213" i="1" s="1"/>
  <c r="CF52" i="1"/>
  <c r="CF66" i="1"/>
  <c r="CI69" i="1" s="1"/>
  <c r="CI54" i="1"/>
  <c r="CX184" i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I87" i="1" l="1"/>
  <c r="CI86" i="1"/>
  <c r="CI85" i="1"/>
  <c r="CY184" i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L194" i="1"/>
  <c r="CL132" i="1"/>
  <c r="CL63" i="1"/>
  <c r="CM63" i="1" s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X7" i="2"/>
  <c r="G6" i="2"/>
  <c r="U15" i="2"/>
  <c r="N24" i="2"/>
  <c r="D34" i="2"/>
  <c r="R5" i="2"/>
  <c r="H22" i="2"/>
  <c r="F31" i="2"/>
  <c r="W32" i="2"/>
  <c r="X22" i="2"/>
  <c r="D35" i="2"/>
  <c r="M26" i="2"/>
  <c r="X27" i="2"/>
  <c r="U8" i="2"/>
  <c r="H26" i="2"/>
  <c r="X92" i="2"/>
  <c r="I25" i="2"/>
  <c r="J17" i="2"/>
  <c r="AR71" i="3"/>
  <c r="K18" i="2"/>
  <c r="X32" i="2"/>
  <c r="AR54" i="3"/>
  <c r="P21" i="2"/>
  <c r="M6" i="2"/>
  <c r="O14" i="2"/>
  <c r="J46" i="3"/>
  <c r="AR12" i="3"/>
  <c r="AA45" i="3"/>
  <c r="D29" i="3"/>
  <c r="E23" i="3"/>
  <c r="E35" i="3"/>
  <c r="M46" i="3"/>
  <c r="E36" i="3"/>
  <c r="AR14" i="3"/>
  <c r="E34" i="3"/>
  <c r="AB46" i="3"/>
  <c r="L45" i="3"/>
  <c r="DV16" i="4" a="1"/>
  <c r="CY15" i="4" a="1"/>
  <c r="CC11" i="4" a="1"/>
  <c r="CF7" i="4" a="1"/>
  <c r="DL15" i="4" a="1"/>
  <c r="CZ12" i="4" a="1"/>
  <c r="W11" i="4" a="1"/>
  <c r="EC7" i="4" a="1"/>
  <c r="EG14" i="4" a="1"/>
  <c r="DR5" i="4" a="1"/>
  <c r="EE14" i="4" a="1"/>
  <c r="J5" i="4" a="1"/>
  <c r="BX16" i="4" a="1"/>
  <c r="DC12" i="4" a="1"/>
  <c r="AC15" i="4" a="1"/>
  <c r="AI13" i="4" a="1"/>
  <c r="DI16" i="4" a="1"/>
  <c r="DL13" i="4" a="1"/>
  <c r="EF13" i="4" a="1"/>
  <c r="CM13" i="4" a="1"/>
  <c r="DN12" i="4" a="1"/>
  <c r="AP15" i="4" a="1"/>
  <c r="DQ14" i="4" a="1"/>
  <c r="A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M14" i="2"/>
  <c r="K26" i="2"/>
  <c r="I14" i="2"/>
  <c r="P7" i="2"/>
  <c r="D8" i="2"/>
  <c r="V28" i="2"/>
  <c r="K10" i="2"/>
  <c r="D24" i="2"/>
  <c r="R21" i="2"/>
  <c r="J19" i="2"/>
  <c r="N31" i="2"/>
  <c r="V18" i="2"/>
  <c r="M12" i="2"/>
  <c r="M32" i="2"/>
  <c r="I22" i="2"/>
  <c r="D18" i="2"/>
  <c r="M7" i="2"/>
  <c r="L11" i="2"/>
  <c r="AR69" i="3"/>
  <c r="U28" i="2"/>
  <c r="F8" i="2"/>
  <c r="AR80" i="3"/>
  <c r="C15" i="2"/>
  <c r="E22" i="2"/>
  <c r="N15" i="2"/>
  <c r="X46" i="3"/>
  <c r="AD10" i="3"/>
  <c r="AC46" i="3"/>
  <c r="F12" i="3"/>
  <c r="G14" i="3"/>
  <c r="E37" i="3"/>
  <c r="D8" i="3"/>
  <c r="E24" i="3"/>
  <c r="G16" i="3"/>
  <c r="G30" i="3"/>
  <c r="G8" i="3"/>
  <c r="D28" i="3"/>
  <c r="DO5" i="4" a="1"/>
  <c r="CI7" i="4" a="1"/>
  <c r="BL13" i="4" a="1"/>
  <c r="AT14" i="4" a="1"/>
  <c r="DE11" i="4" a="1"/>
  <c r="DG8" i="4" a="1"/>
  <c r="BZ8" i="4" a="1"/>
  <c r="Q12" i="4" a="1"/>
  <c r="BB13" i="4" a="1"/>
  <c r="CG12" i="4" a="1"/>
  <c r="CQ13" i="4" a="1"/>
  <c r="U16" i="4" a="1"/>
  <c r="DQ13" i="4" a="1"/>
  <c r="AO11" i="4" a="1"/>
  <c r="P16" i="4" a="1"/>
  <c r="CC8" i="4" a="1"/>
  <c r="J7" i="4" a="1"/>
  <c r="AL5" i="4" a="1"/>
  <c r="DL11" i="4" a="1"/>
  <c r="EK8" i="4" a="1"/>
  <c r="DR11" i="4" a="1"/>
  <c r="G12" i="4" a="1"/>
  <c r="AZ8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F13" i="2"/>
  <c r="K11" i="2"/>
  <c r="O6" i="2"/>
  <c r="V35" i="2"/>
  <c r="K87" i="2"/>
  <c r="J26" i="2"/>
  <c r="O25" i="2"/>
  <c r="R13" i="2"/>
  <c r="C34" i="2"/>
  <c r="G14" i="2"/>
  <c r="V5" i="2"/>
  <c r="J31" i="2"/>
  <c r="I30" i="2"/>
  <c r="G28" i="2"/>
  <c r="J28" i="2"/>
  <c r="H15" i="2"/>
  <c r="U26" i="2"/>
  <c r="E34" i="2"/>
  <c r="AS49" i="3"/>
  <c r="U24" i="2"/>
  <c r="R11" i="2"/>
  <c r="AR91" i="3"/>
  <c r="F14" i="2"/>
  <c r="D25" i="2"/>
  <c r="E45" i="2"/>
  <c r="W45" i="3"/>
  <c r="D24" i="3"/>
  <c r="D26" i="3"/>
  <c r="AN45" i="3"/>
  <c r="AH46" i="3"/>
  <c r="F6" i="3"/>
  <c r="D27" i="3"/>
  <c r="F37" i="3"/>
  <c r="E16" i="3"/>
  <c r="F15" i="3"/>
  <c r="D31" i="3"/>
  <c r="F41" i="3"/>
  <c r="BB8" i="4" a="1"/>
  <c r="CY6" i="4" a="1"/>
  <c r="EJ5" i="4" a="1"/>
  <c r="CT11" i="4" a="1"/>
  <c r="EG12" i="4" a="1"/>
  <c r="BH5" i="4" a="1"/>
  <c r="DS12" i="4" a="1"/>
  <c r="DF5" i="4" a="1"/>
  <c r="CT14" i="4" a="1"/>
  <c r="EK5" i="4" a="1"/>
  <c r="DN9" i="4" a="1"/>
  <c r="R14" i="4" a="1"/>
  <c r="AG15" i="4" a="1"/>
  <c r="CO9" i="4" a="1"/>
  <c r="AO5" i="4" a="1"/>
  <c r="CA8" i="4" a="1"/>
  <c r="X15" i="4" a="1"/>
  <c r="DP16" i="4" a="1"/>
  <c r="BL8" i="4" a="1"/>
  <c r="EA13" i="4" a="1"/>
  <c r="AP16" i="4" a="1"/>
  <c r="AH15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X28" i="2"/>
  <c r="O8" i="2"/>
  <c r="U12" i="2"/>
  <c r="S25" i="2"/>
  <c r="I16" i="2"/>
  <c r="X8" i="2"/>
  <c r="G31" i="2"/>
  <c r="J15" i="2"/>
  <c r="L32" i="2"/>
  <c r="S20" i="2"/>
  <c r="P8" i="2"/>
  <c r="X20" i="2"/>
  <c r="L18" i="2"/>
  <c r="V22" i="2"/>
  <c r="F36" i="2"/>
  <c r="V9" i="2"/>
  <c r="T31" i="2"/>
  <c r="R17" i="2"/>
  <c r="AR49" i="3"/>
  <c r="E18" i="2"/>
  <c r="R22" i="2"/>
  <c r="AS47" i="3"/>
  <c r="I34" i="2"/>
  <c r="U9" i="2"/>
  <c r="F18" i="2"/>
  <c r="F10" i="3"/>
  <c r="S45" i="3"/>
  <c r="G26" i="3"/>
  <c r="F14" i="3"/>
  <c r="AR30" i="3"/>
  <c r="AK46" i="3"/>
  <c r="F11" i="3"/>
  <c r="AD12" i="3"/>
  <c r="AR8" i="3"/>
  <c r="G29" i="3"/>
  <c r="D7" i="3"/>
  <c r="R45" i="3"/>
  <c r="DT7" i="4" a="1"/>
  <c r="DM5" i="4" a="1"/>
  <c r="AK9" i="4" a="1"/>
  <c r="DG12" i="4" a="1"/>
  <c r="AH13" i="4" a="1"/>
  <c r="BD15" i="4" a="1"/>
  <c r="AJ14" i="4" a="1"/>
  <c r="AM7" i="4" a="1"/>
  <c r="AZ7" i="4" a="1"/>
  <c r="BN11" i="4" a="1"/>
  <c r="AB11" i="4" a="1"/>
  <c r="DH8" i="4" a="1"/>
  <c r="CV9" i="4" a="1"/>
  <c r="V14" i="4" a="1"/>
  <c r="CJ9" i="4" a="1"/>
  <c r="DQ8" i="4" a="1"/>
  <c r="C8" i="4" a="1"/>
  <c r="AD7" i="4" a="1"/>
  <c r="BH14" i="4" a="1"/>
  <c r="CM6" i="4" a="1"/>
  <c r="X6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E33" i="2"/>
  <c r="M16" i="2"/>
  <c r="F89" i="2"/>
  <c r="O35" i="2"/>
  <c r="W13" i="2"/>
  <c r="P15" i="2"/>
  <c r="F28" i="2"/>
  <c r="P20" i="2"/>
  <c r="W20" i="2"/>
  <c r="N17" i="2"/>
  <c r="E26" i="2"/>
  <c r="T18" i="2"/>
  <c r="F9" i="2"/>
  <c r="L22" i="2"/>
  <c r="X21" i="2"/>
  <c r="C18" i="2"/>
  <c r="M17" i="2"/>
  <c r="T21" i="2"/>
  <c r="AR50" i="3"/>
  <c r="W70" i="2"/>
  <c r="C23" i="2"/>
  <c r="E27" i="2"/>
  <c r="H33" i="2"/>
  <c r="V25" i="2"/>
  <c r="AF48" i="3"/>
  <c r="F8" i="3"/>
  <c r="AR24" i="3"/>
  <c r="E14" i="3"/>
  <c r="D21" i="3"/>
  <c r="AR25" i="3"/>
  <c r="Q45" i="3"/>
  <c r="H46" i="3"/>
  <c r="G23" i="3"/>
  <c r="F16" i="3"/>
  <c r="F21" i="3"/>
  <c r="AR23" i="3"/>
  <c r="AD11" i="3"/>
  <c r="X13" i="4" a="1"/>
  <c r="CK15" i="4" a="1"/>
  <c r="CM12" i="4" a="1"/>
  <c r="DK7" i="4" a="1"/>
  <c r="DV5" i="4" a="1"/>
  <c r="AD8" i="4" a="1"/>
  <c r="BL9" i="4" a="1"/>
  <c r="BG5" i="4" a="1"/>
  <c r="DH12" i="4" a="1"/>
  <c r="AP9" i="4" a="1"/>
  <c r="AR11" i="4" a="1"/>
  <c r="R6" i="4" a="1"/>
  <c r="AE16" i="4" a="1"/>
  <c r="DL6" i="4" a="1"/>
  <c r="CD8" i="4" a="1"/>
  <c r="O7" i="4" a="1"/>
  <c r="BO12" i="4" a="1"/>
  <c r="DX13" i="4" a="1"/>
  <c r="CF14" i="4" a="1"/>
  <c r="BK12" i="4" a="1"/>
  <c r="EI6" i="4" a="1"/>
  <c r="CS15" i="4" a="1"/>
  <c r="CQ8" i="4" a="1"/>
  <c r="CA9" i="4" a="1"/>
  <c r="Q69" i="2"/>
  <c r="G23" i="2"/>
  <c r="F75" i="2"/>
  <c r="O17" i="2"/>
  <c r="O15" i="2"/>
  <c r="D20" i="2"/>
  <c r="O12" i="2"/>
  <c r="D7" i="2"/>
  <c r="R23" i="2"/>
  <c r="C59" i="2"/>
  <c r="K16" i="2"/>
  <c r="G27" i="2"/>
  <c r="K9" i="2"/>
  <c r="Q29" i="2"/>
  <c r="M36" i="2"/>
  <c r="O10" i="2"/>
  <c r="U5" i="2"/>
  <c r="N21" i="2"/>
  <c r="X24" i="2"/>
  <c r="X36" i="2"/>
  <c r="Q34" i="2"/>
  <c r="V19" i="2"/>
  <c r="N20" i="2"/>
  <c r="C12" i="2"/>
  <c r="AM46" i="3"/>
  <c r="G27" i="3"/>
  <c r="D16" i="3"/>
  <c r="I46" i="3"/>
  <c r="AR11" i="3"/>
  <c r="V46" i="3"/>
  <c r="D9" i="3"/>
  <c r="AR45" i="3"/>
  <c r="N46" i="3"/>
  <c r="AR18" i="3"/>
  <c r="E15" i="3"/>
  <c r="E19" i="3"/>
  <c r="AR35" i="3"/>
  <c r="EJ14" i="4" a="1"/>
  <c r="BN7" i="4" a="1"/>
  <c r="BC9" i="4" a="1"/>
  <c r="AN7" i="4" a="1"/>
  <c r="S11" i="4" a="1"/>
  <c r="BU7" i="4" a="1"/>
  <c r="CN11" i="4" a="1"/>
  <c r="DP9" i="4" a="1"/>
  <c r="CB13" i="4" a="1"/>
  <c r="DG15" i="4" a="1"/>
  <c r="EA5" i="4" a="1"/>
  <c r="AE6" i="4" a="1"/>
  <c r="BS7" i="4" a="1"/>
  <c r="DC7" i="4" a="1"/>
  <c r="CH7" i="4" a="1"/>
  <c r="AG9" i="4" a="1"/>
  <c r="CW7" i="4" a="1"/>
  <c r="AK6" i="4" a="1"/>
  <c r="O6" i="4" a="1"/>
  <c r="DB16" i="4" a="1"/>
  <c r="T8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U19" i="2"/>
  <c r="O7" i="2"/>
  <c r="Q46" i="2"/>
  <c r="N36" i="2"/>
  <c r="O19" i="2"/>
  <c r="N27" i="2"/>
  <c r="J22" i="2"/>
  <c r="N33" i="2"/>
  <c r="T29" i="2"/>
  <c r="M28" i="2"/>
  <c r="R8" i="2"/>
  <c r="P13" i="2"/>
  <c r="M20" i="2"/>
  <c r="K59" i="2"/>
  <c r="N6" i="2"/>
  <c r="W7" i="2"/>
  <c r="T20" i="2"/>
  <c r="O24" i="2"/>
  <c r="T8" i="2"/>
  <c r="D11" i="2"/>
  <c r="D5" i="2"/>
  <c r="V8" i="2"/>
  <c r="E9" i="2"/>
  <c r="L27" i="2"/>
  <c r="G7" i="3"/>
  <c r="F22" i="3"/>
  <c r="F19" i="3"/>
  <c r="AR33" i="3"/>
  <c r="V45" i="3"/>
  <c r="K46" i="3"/>
  <c r="AQ45" i="3"/>
  <c r="AD7" i="3"/>
  <c r="G28" i="3"/>
  <c r="E30" i="3"/>
  <c r="Y46" i="3"/>
  <c r="F40" i="3"/>
  <c r="F28" i="3"/>
  <c r="CX7" i="4" a="1"/>
  <c r="BU6" i="4" a="1"/>
  <c r="AM11" i="4" a="1"/>
  <c r="AI16" i="4" a="1"/>
  <c r="DU7" i="4" a="1"/>
  <c r="AN8" i="4" a="1"/>
  <c r="DP14" i="4" a="1"/>
  <c r="BW15" i="4" a="1"/>
  <c r="T7" i="4" a="1"/>
  <c r="EG5" i="4" a="1"/>
  <c r="DM15" i="4" a="1"/>
  <c r="X7" i="4" a="1"/>
  <c r="DO12" i="4" a="1"/>
  <c r="K14" i="4" a="1"/>
  <c r="AQ15" i="4" a="1"/>
  <c r="M14" i="4" a="1"/>
  <c r="DX6" i="4" a="1"/>
  <c r="CP14" i="4" a="1"/>
  <c r="BE7" i="4" a="1"/>
  <c r="BC5" i="4" a="1"/>
  <c r="V5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8" i="2"/>
  <c r="D16" i="2"/>
  <c r="G16" i="2"/>
  <c r="W21" i="2"/>
  <c r="Q30" i="2"/>
  <c r="I9" i="2"/>
  <c r="K23" i="2"/>
  <c r="T30" i="2"/>
  <c r="S9" i="2"/>
  <c r="Q8" i="2"/>
  <c r="P6" i="2"/>
  <c r="O11" i="2"/>
  <c r="L26" i="2"/>
  <c r="E28" i="2"/>
  <c r="C25" i="2"/>
  <c r="J20" i="2"/>
  <c r="T6" i="2"/>
  <c r="L5" i="2"/>
  <c r="E7" i="2"/>
  <c r="K22" i="2"/>
  <c r="M30" i="2"/>
  <c r="N8" i="2"/>
  <c r="N22" i="2"/>
  <c r="X12" i="2"/>
  <c r="AR34" i="3"/>
  <c r="D13" i="3"/>
  <c r="F25" i="3"/>
  <c r="F33" i="3"/>
  <c r="N45" i="3"/>
  <c r="AR15" i="3"/>
  <c r="G21" i="3"/>
  <c r="F34" i="3"/>
  <c r="AD9" i="3"/>
  <c r="E12" i="3"/>
  <c r="AR29" i="3"/>
  <c r="K45" i="3"/>
  <c r="G25" i="3"/>
  <c r="AB12" i="4" a="1"/>
  <c r="Y5" i="4" a="1"/>
  <c r="BV14" i="4" a="1"/>
  <c r="AI14" i="4" a="1"/>
  <c r="CR8" i="4" a="1"/>
  <c r="DF15" i="4" a="1"/>
  <c r="D6" i="4" a="1"/>
  <c r="CQ14" i="4" a="1"/>
  <c r="T16" i="4" a="1"/>
  <c r="BN16" i="4" a="1"/>
  <c r="AQ12" i="4" a="1"/>
  <c r="CX6" i="4" a="1"/>
  <c r="DU8" i="4" a="1"/>
  <c r="BP11" i="4" a="1"/>
  <c r="CN14" i="4" a="1"/>
  <c r="BY5" i="4" a="1"/>
  <c r="AK7" i="4" a="1"/>
  <c r="BR13" i="4" a="1"/>
  <c r="BD5" i="4" a="1"/>
  <c r="CP13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M22" i="2"/>
  <c r="U21" i="2"/>
  <c r="G19" i="2"/>
  <c r="C20" i="2"/>
  <c r="T22" i="2"/>
  <c r="U35" i="2"/>
  <c r="H49" i="2"/>
  <c r="P14" i="2"/>
  <c r="D15" i="2"/>
  <c r="S22" i="2"/>
  <c r="G30" i="2"/>
  <c r="J36" i="2"/>
  <c r="T19" i="2"/>
  <c r="T14" i="2"/>
  <c r="U16" i="2"/>
  <c r="G9" i="2"/>
  <c r="H28" i="2"/>
  <c r="Q59" i="2"/>
  <c r="J5" i="2"/>
  <c r="R16" i="2"/>
  <c r="S24" i="2"/>
  <c r="AR47" i="3"/>
  <c r="H35" i="2"/>
  <c r="J34" i="2"/>
  <c r="AA46" i="3"/>
  <c r="G11" i="3"/>
  <c r="G5" i="3"/>
  <c r="AD18" i="3"/>
  <c r="AR40" i="3"/>
  <c r="C46" i="3"/>
  <c r="G18" i="3"/>
  <c r="E13" i="3"/>
  <c r="M45" i="3"/>
  <c r="G19" i="3"/>
  <c r="AR10" i="3"/>
  <c r="D46" i="3"/>
  <c r="EH5" i="4" a="1"/>
  <c r="DO14" i="4" a="1"/>
  <c r="BK8" i="4" a="1"/>
  <c r="AV9" i="4" a="1"/>
  <c r="AX11" i="4" a="1"/>
  <c r="BV5" i="4" a="1"/>
  <c r="DR16" i="4" a="1"/>
  <c r="DY11" i="4" a="1"/>
  <c r="CS14" i="4" a="1"/>
  <c r="V15" i="4" a="1"/>
  <c r="K15" i="4" a="1"/>
  <c r="Q14" i="4" a="1"/>
  <c r="W5" i="4" a="1"/>
  <c r="AA12" i="4" a="1"/>
  <c r="P14" i="4" a="1"/>
  <c r="DY8" i="4" a="1"/>
  <c r="Y8" i="4" a="1"/>
  <c r="AF9" i="4" a="1"/>
  <c r="DD9" i="4" a="1"/>
  <c r="EC11" i="4" a="1"/>
  <c r="AH5" i="4" a="1"/>
  <c r="DK13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T26" i="2"/>
  <c r="Q6" i="2"/>
  <c r="L17" i="2"/>
  <c r="K32" i="2"/>
  <c r="R29" i="2"/>
  <c r="V24" i="2"/>
  <c r="I20" i="2"/>
  <c r="W31" i="2"/>
  <c r="G32" i="2"/>
  <c r="N19" i="2"/>
  <c r="V36" i="2"/>
  <c r="S6" i="2"/>
  <c r="E8" i="2"/>
  <c r="C35" i="2"/>
  <c r="S8" i="2"/>
  <c r="H10" i="2"/>
  <c r="Q7" i="2"/>
  <c r="E17" i="2"/>
  <c r="AR68" i="3"/>
  <c r="E5" i="2"/>
  <c r="R7" i="2"/>
  <c r="S10" i="2"/>
  <c r="Q54" i="2"/>
  <c r="AR59" i="3"/>
  <c r="E40" i="3"/>
  <c r="E11" i="3"/>
  <c r="AQ46" i="3"/>
  <c r="E10" i="3"/>
  <c r="E17" i="3"/>
  <c r="AD45" i="3"/>
  <c r="D42" i="3"/>
  <c r="AC45" i="3"/>
  <c r="AO6" i="3"/>
  <c r="G12" i="3"/>
  <c r="G20" i="3"/>
  <c r="J45" i="3"/>
  <c r="R16" i="4" a="1"/>
  <c r="AX8" i="4" a="1"/>
  <c r="V34" i="2"/>
  <c r="Q58" i="2"/>
  <c r="M18" i="2"/>
  <c r="L12" i="2"/>
  <c r="I8" i="2"/>
  <c r="G33" i="2"/>
  <c r="F35" i="2"/>
  <c r="J25" i="2"/>
  <c r="H6" i="2"/>
  <c r="P28" i="2"/>
  <c r="T24" i="2"/>
  <c r="T9" i="2"/>
  <c r="W33" i="2"/>
  <c r="P35" i="2"/>
  <c r="W15" i="2"/>
  <c r="I7" i="2"/>
  <c r="M11" i="2"/>
  <c r="AR90" i="3"/>
  <c r="F26" i="2"/>
  <c r="J23" i="2"/>
  <c r="AR87" i="3"/>
  <c r="W19" i="2"/>
  <c r="T17" i="2"/>
  <c r="G18" i="2"/>
  <c r="D33" i="3"/>
  <c r="AR41" i="3"/>
  <c r="E39" i="3"/>
  <c r="D12" i="3"/>
  <c r="D39" i="3"/>
  <c r="AG46" i="3"/>
  <c r="AL45" i="3"/>
  <c r="AN46" i="3"/>
  <c r="Z46" i="3"/>
  <c r="E46" i="3"/>
  <c r="Q46" i="3"/>
  <c r="G22" i="3"/>
  <c r="ED16" i="4" a="1"/>
  <c r="DL9" i="4" a="1"/>
  <c r="AJ12" i="4" a="1"/>
  <c r="EI16" i="4" a="1"/>
  <c r="E14" i="4" a="1"/>
  <c r="AG12" i="4" a="1"/>
  <c r="C15" i="4" a="1"/>
  <c r="AF16" i="4" a="1"/>
  <c r="DC9" i="4" a="1"/>
  <c r="DI14" i="4" a="1"/>
  <c r="BY13" i="4" a="1"/>
  <c r="AK13" i="4" a="1"/>
  <c r="BL12" i="4" a="1"/>
  <c r="AQ13" i="4" a="1"/>
  <c r="DA7" i="4" a="1"/>
  <c r="DG11" i="4" a="1"/>
  <c r="X5" i="4" a="1"/>
  <c r="AD5" i="4" a="1"/>
  <c r="BF12" i="4" a="1"/>
  <c r="AF8" i="4" a="1"/>
  <c r="DQ11" i="4" a="1"/>
  <c r="EJ7" i="4" a="1"/>
  <c r="CR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Q18" i="2"/>
  <c r="N7" i="2"/>
  <c r="F32" i="3"/>
  <c r="BO14" i="4" a="1"/>
  <c r="C9" i="4" a="1"/>
  <c r="DY16" i="4" a="1"/>
  <c r="DZ12" i="4" a="1"/>
  <c r="CN15" i="4" a="1"/>
  <c r="DU11" i="4" a="1"/>
  <c r="BB14" i="4" a="1"/>
  <c r="AW7" i="4" a="1"/>
  <c r="G14" i="4" a="1"/>
  <c r="BI14" i="4" a="1"/>
  <c r="CH13" i="4" a="1"/>
  <c r="CC14" i="4" a="1"/>
  <c r="EK16" i="4" a="1"/>
  <c r="DX9" i="4" a="1"/>
  <c r="BP14" i="4" a="1"/>
  <c r="DS8" i="4" a="1"/>
  <c r="CO14" i="4" a="1"/>
  <c r="CO7" i="4" a="1"/>
  <c r="H15" i="4" a="1"/>
  <c r="AS14" i="4" a="1"/>
  <c r="EF6" i="4" a="1"/>
  <c r="CZ5" i="4" a="1"/>
  <c r="AP5" i="4" a="1"/>
  <c r="DT14" i="4" a="1"/>
  <c r="CR12" i="4" a="1"/>
  <c r="CX12" i="4" a="1"/>
  <c r="BY16" i="4" a="1"/>
  <c r="AG13" i="4" a="1"/>
  <c r="H16" i="4" a="1"/>
  <c r="AI6" i="4" a="1"/>
  <c r="BC7" i="4" a="1"/>
  <c r="AF12" i="4" a="1"/>
  <c r="CN6" i="4" a="1"/>
  <c r="CH11" i="4" a="1"/>
  <c r="CG11" i="4" a="1"/>
  <c r="M15" i="4" a="1"/>
  <c r="CP5" i="4" a="1"/>
  <c r="BH13" i="4" a="1"/>
  <c r="EF16" i="4" a="1"/>
  <c r="BS5" i="4" a="1"/>
  <c r="DV11" i="4" a="1"/>
  <c r="CJ16" i="4" a="1"/>
  <c r="AG5" i="4" a="1"/>
  <c r="P15" i="4" a="1"/>
  <c r="BD13" i="4" a="1"/>
  <c r="BQ14" i="4" a="1"/>
  <c r="DZ5" i="4" a="1"/>
  <c r="AJ15" i="4" a="1"/>
  <c r="DM7" i="4" a="1"/>
  <c r="DS14" i="4" a="1"/>
  <c r="W46" i="2"/>
  <c r="V13" i="2"/>
  <c r="AE46" i="3"/>
  <c r="DA11" i="4" a="1"/>
  <c r="CX14" i="4" a="1"/>
  <c r="DZ16" i="4" a="1"/>
  <c r="AB9" i="4" a="1"/>
  <c r="DV15" i="4" a="1"/>
  <c r="I13" i="4" a="1"/>
  <c r="EF15" i="4" a="1"/>
  <c r="BC15" i="4" a="1"/>
  <c r="AG14" i="4" a="1"/>
  <c r="BB15" i="4" a="1"/>
  <c r="BR6" i="4" a="1"/>
  <c r="DR6" i="4" a="1"/>
  <c r="AB16" i="4" a="1"/>
  <c r="CE11" i="4" a="1"/>
  <c r="DR14" i="4" a="1"/>
  <c r="DY5" i="4" a="1"/>
  <c r="CQ12" i="4" a="1"/>
  <c r="DR7" i="4" a="1"/>
  <c r="CQ7" i="4" a="1"/>
  <c r="BT6" i="4" a="1"/>
  <c r="EE13" i="4" a="1"/>
  <c r="EK14" i="4" a="1"/>
  <c r="C11" i="4" a="1"/>
  <c r="DX15" i="4" a="1"/>
  <c r="CC5" i="4" a="1"/>
  <c r="G8" i="4" a="1"/>
  <c r="C14" i="4" a="1"/>
  <c r="R7" i="4" a="1"/>
  <c r="Y14" i="4" a="1"/>
  <c r="CC7" i="4" a="1"/>
  <c r="CZ11" i="4" a="1"/>
  <c r="AS16" i="4" a="1"/>
  <c r="BJ13" i="4" a="1"/>
  <c r="BU9" i="4" a="1"/>
  <c r="DU13" i="4" a="1"/>
  <c r="S14" i="4" a="1"/>
  <c r="CX9" i="4" a="1"/>
  <c r="CC12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R10" i="2"/>
  <c r="D31" i="2"/>
  <c r="F29" i="3"/>
  <c r="BM8" i="4" a="1"/>
  <c r="EI14" i="4" a="1"/>
  <c r="AE7" i="4" a="1"/>
  <c r="BI7" i="4" a="1"/>
  <c r="BG11" i="4" a="1"/>
  <c r="AN11" i="4" a="1"/>
  <c r="DF12" i="4" a="1"/>
  <c r="CD6" i="4" a="1"/>
  <c r="D11" i="4" a="1"/>
  <c r="BJ15" i="4" a="1"/>
  <c r="CI12" i="4" a="1"/>
  <c r="N7" i="4" a="1"/>
  <c r="DC11" i="4" a="1"/>
  <c r="CD12" i="4" a="1"/>
  <c r="W15" i="4" a="1"/>
  <c r="BR14" i="4" a="1"/>
  <c r="AY16" i="4" a="1"/>
  <c r="CT6" i="4" a="1"/>
  <c r="AH7" i="4" a="1"/>
  <c r="AK16" i="4" a="1"/>
  <c r="BN8" i="4" a="1"/>
  <c r="BD14" i="4" a="1"/>
  <c r="DT5" i="4" a="1"/>
  <c r="M11" i="4" a="1"/>
  <c r="DD11" i="4" a="1"/>
  <c r="CH5" i="4" a="1"/>
  <c r="BH8" i="4" a="1"/>
  <c r="DI15" i="4" a="1"/>
  <c r="T13" i="4" a="1"/>
  <c r="DZ8" i="4" a="1"/>
  <c r="AT9" i="4" a="1"/>
  <c r="EK7" i="4" a="1"/>
  <c r="DR15" i="4" a="1"/>
  <c r="BR8" i="4" a="1"/>
  <c r="DK15" i="4" a="1"/>
  <c r="BB7" i="4" a="1"/>
  <c r="CL7" i="4" a="1"/>
  <c r="AN5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W17" i="2"/>
  <c r="AR89" i="3"/>
  <c r="AE45" i="3"/>
  <c r="AK11" i="4" a="1"/>
  <c r="CN16" i="4" a="1"/>
  <c r="CV6" i="4" a="1"/>
  <c r="BO5" i="4" a="1"/>
  <c r="AM6" i="4" a="1"/>
  <c r="BV16" i="4" a="1"/>
  <c r="Z7" i="4" a="1"/>
  <c r="DX7" i="4" a="1"/>
  <c r="AL8" i="4" a="1"/>
  <c r="N14" i="4" a="1"/>
  <c r="AS13" i="4" a="1"/>
  <c r="G6" i="4" a="1"/>
  <c r="AU15" i="4" a="1"/>
  <c r="I8" i="4" a="1"/>
  <c r="ED5" i="4" a="1"/>
  <c r="AF11" i="4" a="1"/>
  <c r="CU5" i="4" a="1"/>
  <c r="BL11" i="4" a="1"/>
  <c r="DJ8" i="4" a="1"/>
  <c r="AT13" i="4" a="1"/>
  <c r="BZ14" i="4" a="1"/>
  <c r="EF11" i="4" a="1"/>
  <c r="CV15" i="4" a="1"/>
  <c r="BA14" i="4" a="1"/>
  <c r="S9" i="4" a="1"/>
  <c r="J15" i="4" a="1"/>
  <c r="CY12" i="4" a="1"/>
  <c r="AR15" i="4" a="1"/>
  <c r="BX14" i="4" a="1"/>
  <c r="EH6" i="4" a="1"/>
  <c r="EG9" i="4" a="1"/>
  <c r="DH9" i="4" a="1"/>
  <c r="EB12" i="4" a="1"/>
  <c r="AD13" i="4" a="1"/>
  <c r="ED15" i="4" a="1"/>
  <c r="AX7" i="4" a="1"/>
  <c r="AE14" i="4" a="1"/>
  <c r="AQ14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U15" i="4" a="1"/>
  <c r="DN13" i="4" a="1"/>
  <c r="DG6" i="4" a="1"/>
  <c r="AL11" i="4" a="1"/>
  <c r="BK7" i="4" a="1"/>
  <c r="AW6" i="4" a="1"/>
  <c r="DE9" i="4" a="1"/>
  <c r="N8" i="4" a="1"/>
  <c r="BV12" i="4" a="1"/>
  <c r="DV14" i="4" a="1"/>
  <c r="AT12" i="4" a="1"/>
  <c r="BW5" i="4" a="1"/>
  <c r="BY12" i="4" a="1"/>
  <c r="CA13" i="4" a="1"/>
  <c r="EH12" i="4" a="1"/>
  <c r="BF8" i="4" a="1"/>
  <c r="BZ12" i="4" a="1"/>
  <c r="L8" i="4" a="1"/>
  <c r="K11" i="4" a="1"/>
  <c r="DL8" i="4" a="1"/>
  <c r="AT7" i="4" a="1"/>
  <c r="EC6" i="4" a="1"/>
  <c r="DD16" i="4" a="1"/>
  <c r="DT8" i="4" a="1"/>
  <c r="DW16" i="4" a="1"/>
  <c r="W5" i="2"/>
  <c r="J32" i="2"/>
  <c r="AB45" i="3"/>
  <c r="BJ12" i="4" a="1"/>
  <c r="DM12" i="4" a="1"/>
  <c r="CU6" i="4" a="1"/>
  <c r="DG5" i="4" a="1"/>
  <c r="W12" i="4" a="1"/>
  <c r="DA14" i="4" a="1"/>
  <c r="DZ11" i="4" a="1"/>
  <c r="CG14" i="4" a="1"/>
  <c r="AH12" i="4" a="1"/>
  <c r="BZ13" i="4" a="1"/>
  <c r="CK13" i="4" a="1"/>
  <c r="BC14" i="4" a="1"/>
  <c r="BS11" i="4" a="1"/>
  <c r="CS6" i="4" a="1"/>
  <c r="DA12" i="4" a="1"/>
  <c r="BX13" i="4" a="1"/>
  <c r="G9" i="4" a="1"/>
  <c r="DW13" i="4" a="1"/>
  <c r="CW13" i="4" a="1"/>
  <c r="EH9" i="4" a="1"/>
  <c r="P5" i="4" a="1"/>
  <c r="DS16" i="4" a="1"/>
  <c r="W7" i="4" a="1"/>
  <c r="BH9" i="4" a="1"/>
  <c r="CE8" i="4" a="1"/>
  <c r="EA11" i="4" a="1"/>
  <c r="BV6" i="4" a="1"/>
  <c r="DR9" i="4" a="1"/>
  <c r="AQ8" i="4" a="1"/>
  <c r="CP6" i="4" a="1"/>
  <c r="EK9" i="4" a="1"/>
  <c r="CK8" i="4" a="1"/>
  <c r="BM12" i="4" a="1"/>
  <c r="BG13" i="4" a="1"/>
  <c r="CW16" i="4" a="1"/>
  <c r="Z13" i="4" a="1"/>
  <c r="BM11" i="4" a="1"/>
  <c r="AA15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T15" i="2"/>
  <c r="Q36" i="2"/>
  <c r="F31" i="3"/>
  <c r="BX9" i="4" a="1"/>
  <c r="AK14" i="4" a="1"/>
  <c r="AV16" i="4" a="1"/>
  <c r="EE11" i="4" a="1"/>
  <c r="CT7" i="4" a="1"/>
  <c r="U5" i="4" a="1"/>
  <c r="AD16" i="4" a="1"/>
  <c r="T6" i="4" a="1"/>
  <c r="AU5" i="4" a="1"/>
  <c r="CI8" i="4" a="1"/>
  <c r="BO15" i="4" a="1"/>
  <c r="C16" i="4" a="1"/>
  <c r="AC5" i="4" a="1"/>
  <c r="EC14" i="4" a="1"/>
  <c r="AE13" i="4" a="1"/>
  <c r="V11" i="4" a="1"/>
  <c r="K6" i="4" a="1"/>
  <c r="DN8" i="4" a="1"/>
  <c r="CD14" i="4" a="1"/>
  <c r="EB15" i="4" a="1"/>
  <c r="DK9" i="4" a="1"/>
  <c r="EE8" i="4" a="1"/>
  <c r="EB11" i="4" a="1"/>
  <c r="O12" i="4" a="1"/>
  <c r="BE13" i="4" a="1"/>
  <c r="AW15" i="4" a="1"/>
  <c r="CV11" i="4" a="1"/>
  <c r="EF9" i="4" a="1"/>
  <c r="F14" i="4" a="1"/>
  <c r="N15" i="4" a="1"/>
  <c r="DJ11" i="4" a="1"/>
  <c r="BN12" i="4" a="1"/>
  <c r="DH7" i="4" a="1"/>
  <c r="P13" i="4" a="1"/>
  <c r="CR11" i="4" a="1"/>
  <c r="F5" i="4" a="1"/>
  <c r="Q15" i="4" a="1"/>
  <c r="X12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CL5" i="4" a="1"/>
  <c r="R12" i="4" a="1"/>
  <c r="BA11" i="4" a="1"/>
  <c r="CW12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Q6" i="4" a="1"/>
  <c r="EE7" i="4" a="1"/>
  <c r="DW8" i="4" a="1"/>
  <c r="BH11" i="4" a="1"/>
  <c r="DL7" i="4" a="1"/>
  <c r="AY8" i="4" a="1"/>
  <c r="BF16" i="4" a="1"/>
  <c r="AU14" i="4" a="1"/>
  <c r="G15" i="4" a="1"/>
  <c r="CI9" i="4" a="1"/>
  <c r="BO11" i="4" a="1"/>
  <c r="DF8" i="4" a="1"/>
  <c r="EI7" i="4" a="1"/>
  <c r="DA15" i="4" a="1"/>
  <c r="W16" i="4" a="1"/>
  <c r="DN11" i="4" a="1"/>
  <c r="S6" i="4" a="1"/>
  <c r="AS12" i="4" a="1"/>
  <c r="U13" i="4" a="1"/>
  <c r="S16" i="2"/>
  <c r="O21" i="2"/>
  <c r="G6" i="3"/>
  <c r="BW11" i="4" a="1"/>
  <c r="BZ5" i="4" a="1"/>
  <c r="AM5" i="4" a="1"/>
  <c r="CF12" i="4" a="1"/>
  <c r="W8" i="4" a="1"/>
  <c r="DT9" i="4" a="1"/>
  <c r="I16" i="4" a="1"/>
  <c r="AO14" i="4" a="1"/>
  <c r="AJ16" i="4" a="1"/>
  <c r="DF6" i="4" a="1"/>
  <c r="CA6" i="4" a="1"/>
  <c r="CN9" i="4" a="1"/>
  <c r="Y7" i="4" a="1"/>
  <c r="AL7" i="4" a="1"/>
  <c r="AV12" i="4" a="1"/>
  <c r="CG6" i="4" a="1"/>
  <c r="CP7" i="4" a="1"/>
  <c r="AJ8" i="4" a="1"/>
  <c r="DF9" i="4" a="1"/>
  <c r="CV7" i="4" a="1"/>
  <c r="CI5" i="4" a="1"/>
  <c r="AY14" i="4" a="1"/>
  <c r="EJ6" i="4" a="1"/>
  <c r="X16" i="4" a="1"/>
  <c r="BD9" i="4" a="1"/>
  <c r="CJ6" i="4" a="1"/>
  <c r="CD13" i="4" a="1"/>
  <c r="AT16" i="4" a="1"/>
  <c r="CE14" i="4" a="1"/>
  <c r="DJ5" i="4" a="1"/>
  <c r="DO13" i="4" a="1"/>
  <c r="AM8" i="4" a="1"/>
  <c r="CS16" i="4" a="1"/>
  <c r="BX7" i="4" a="1"/>
  <c r="AP6" i="4" a="1"/>
  <c r="DW11" i="4" a="1"/>
  <c r="W30" i="2"/>
  <c r="Q57" i="2"/>
  <c r="G10" i="3"/>
  <c r="D14" i="4" a="1"/>
  <c r="BA5" i="4" a="1"/>
  <c r="AY7" i="4" a="1"/>
  <c r="CE5" i="4" a="1"/>
  <c r="DO6" i="4" a="1"/>
  <c r="X9" i="4" a="1"/>
  <c r="BW16" i="4" a="1"/>
  <c r="AJ5" i="4" a="1"/>
  <c r="BI15" i="4" a="1"/>
  <c r="CA11" i="4" a="1"/>
  <c r="BR11" i="4" a="1"/>
  <c r="EA6" i="4" a="1"/>
  <c r="BP9" i="4" a="1"/>
  <c r="H14" i="4" a="1"/>
  <c r="CD11" i="4" a="1"/>
  <c r="S12" i="4" a="1"/>
  <c r="DW7" i="4" a="1"/>
  <c r="BT14" i="4" a="1"/>
  <c r="AA7" i="4" a="1"/>
  <c r="E13" i="4" a="1"/>
  <c r="DK6" i="4" a="1"/>
  <c r="P12" i="4" a="1"/>
  <c r="M9" i="4" a="1"/>
  <c r="CD7" i="4" a="1"/>
  <c r="CA5" i="4" a="1"/>
  <c r="AA14" i="4" a="1"/>
  <c r="DX16" i="4" a="1"/>
  <c r="R9" i="4" a="1"/>
  <c r="BG16" i="4" a="1"/>
  <c r="V13" i="4" a="1"/>
  <c r="BT12" i="4" a="1"/>
  <c r="G13" i="4" a="1"/>
  <c r="CA7" i="4" a="1"/>
  <c r="DY7" i="4" a="1"/>
  <c r="ED8" i="4" a="1"/>
  <c r="BR9" i="4" a="1"/>
  <c r="EE9" i="4" a="1"/>
  <c r="CR15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CZ6" i="4" a="1"/>
  <c r="N5" i="4" a="1"/>
  <c r="EH14" i="4" a="1"/>
  <c r="DK11" i="4" a="1"/>
  <c r="DV8" i="4" a="1"/>
  <c r="CY7" i="4" a="1"/>
  <c r="Z11" i="4" a="1"/>
  <c r="H23" i="2"/>
  <c r="AR84" i="3"/>
  <c r="D38" i="3"/>
  <c r="DT12" i="4" a="1"/>
  <c r="M7" i="4" a="1"/>
  <c r="W13" i="4" a="1"/>
  <c r="ED6" i="4" a="1"/>
  <c r="AX16" i="4" a="1"/>
  <c r="H6" i="4" a="1"/>
  <c r="K9" i="4" a="1"/>
  <c r="CH15" i="4" a="1"/>
  <c r="DO16" i="4" a="1"/>
  <c r="CY8" i="4" a="1"/>
  <c r="DM16" i="4" a="1"/>
  <c r="J12" i="4" a="1"/>
  <c r="AV5" i="4" a="1"/>
  <c r="L13" i="4" a="1"/>
  <c r="BR7" i="4" a="1"/>
  <c r="BX6" i="4" a="1"/>
  <c r="BQ16" i="4" a="1"/>
  <c r="CY9" i="4" a="1"/>
  <c r="DM8" i="4" a="1"/>
  <c r="DB6" i="4" a="1"/>
  <c r="Q8" i="4" a="1"/>
  <c r="X11" i="4" a="1"/>
  <c r="AY13" i="4" a="1"/>
  <c r="S7" i="4" a="1"/>
  <c r="CX5" i="4" a="1"/>
  <c r="EC5" i="4" a="1"/>
  <c r="DH5" i="4" a="1"/>
  <c r="BN15" i="4" a="1"/>
  <c r="CB8" i="4" a="1"/>
  <c r="E15" i="4" a="1"/>
  <c r="AX12" i="4" a="1"/>
  <c r="CK9" i="4" a="1"/>
  <c r="BH15" i="4" a="1"/>
  <c r="CW6" i="4" a="1"/>
  <c r="EI11" i="4" a="1"/>
  <c r="O14" i="4" a="1"/>
  <c r="AM13" i="4" a="1"/>
  <c r="AR6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B6" i="4" a="1"/>
  <c r="BQ13" i="4" a="1"/>
  <c r="BX15" i="4" a="1"/>
  <c r="CC9" i="4" a="1"/>
  <c r="AN14" i="4" a="1"/>
  <c r="DR13" i="4" a="1"/>
  <c r="CM5" i="4" a="1"/>
  <c r="G5" i="4" a="1"/>
  <c r="DY13" i="4" a="1"/>
  <c r="CO12" i="4" a="1"/>
  <c r="AQ6" i="4" a="1"/>
  <c r="G16" i="4" a="1"/>
  <c r="CQ16" i="4" a="1"/>
  <c r="CO11" i="4" a="1"/>
  <c r="AR96" i="3"/>
  <c r="BD6" i="4" a="1"/>
  <c r="CN8" i="4" a="1"/>
  <c r="CP12" i="4" a="1"/>
  <c r="BI9" i="4" a="1"/>
  <c r="EF7" i="4" a="1"/>
  <c r="DD6" i="4" a="1"/>
  <c r="CM14" i="4" a="1"/>
  <c r="CM11" i="4" a="1"/>
  <c r="DX14" i="4" a="1"/>
  <c r="DD5" i="4" a="1"/>
  <c r="CG9" i="4" a="1"/>
  <c r="DQ12" i="4" a="1"/>
  <c r="S8" i="4" a="1"/>
  <c r="DZ15" i="4" a="1"/>
  <c r="BP6" i="4" a="1"/>
  <c r="CX11" i="4" a="1"/>
  <c r="BX11" i="4" a="1"/>
  <c r="BD7" i="4" a="1"/>
  <c r="E11" i="4" a="1"/>
  <c r="DP13" i="4" a="1"/>
  <c r="AJ11" i="4" a="1"/>
  <c r="CJ15" i="4" a="1"/>
  <c r="DO7" i="4" a="1"/>
  <c r="R20" i="2"/>
  <c r="I11" i="2"/>
  <c r="E7" i="3"/>
  <c r="DL14" i="4" a="1"/>
  <c r="CY16" i="4" a="1"/>
  <c r="AX6" i="4" a="1"/>
  <c r="CG8" i="4" a="1"/>
  <c r="AP11" i="4" a="1"/>
  <c r="AL15" i="4" a="1"/>
  <c r="Z16" i="4" a="1"/>
  <c r="BV8" i="4" a="1"/>
  <c r="AR5" i="4" a="1"/>
  <c r="DD12" i="4" a="1"/>
  <c r="BT15" i="4" a="1"/>
  <c r="CQ5" i="4" a="1"/>
  <c r="CF15" i="4" a="1"/>
  <c r="DZ9" i="4" a="1"/>
  <c r="CI11" i="4" a="1"/>
  <c r="CO5" i="4" a="1"/>
  <c r="CM9" i="4" a="1"/>
  <c r="DZ7" i="4" a="1"/>
  <c r="BL7" i="4" a="1"/>
  <c r="K8" i="4" a="1"/>
  <c r="BG6" i="4" a="1"/>
  <c r="BB12" i="4" a="1"/>
  <c r="AW13" i="4" a="1"/>
  <c r="W9" i="4" a="1"/>
  <c r="BL14" i="4" a="1"/>
  <c r="M13" i="4" a="1"/>
  <c r="AR7" i="4" a="1"/>
  <c r="CA16" i="4" a="1"/>
  <c r="AO13" i="4" a="1"/>
  <c r="AW11" i="4" a="1"/>
  <c r="BN13" i="4" a="1"/>
  <c r="DI9" i="4" a="1"/>
  <c r="EI8" i="4" a="1"/>
  <c r="CL13" i="4" a="1"/>
  <c r="DS9" i="4" a="1"/>
  <c r="AU9" i="4" a="1"/>
  <c r="AZ11" i="4" a="1"/>
  <c r="AR14" i="4" a="1"/>
  <c r="CV16" i="4" a="1"/>
  <c r="H11" i="4" a="1"/>
  <c r="DS15" i="4" a="1"/>
  <c r="L15" i="4" a="1"/>
  <c r="DB11" i="4" a="1"/>
  <c r="AO6" i="4" a="1"/>
  <c r="AN16" i="4" a="1"/>
  <c r="BI11" i="4" a="1"/>
  <c r="EJ9" i="4" a="1"/>
  <c r="AO15" i="4" a="1"/>
  <c r="EG13" i="4" a="1"/>
  <c r="DI6" i="4" a="1"/>
  <c r="BM7" i="4" a="1"/>
  <c r="T11" i="4" a="1"/>
  <c r="EB14" i="4" a="1"/>
  <c r="H13" i="4" a="1"/>
  <c r="BS9" i="4" a="1"/>
  <c r="AM15" i="4" a="1"/>
  <c r="BK14" i="4" a="1"/>
  <c r="CI6" i="4" a="1"/>
  <c r="CS9" i="4" a="1"/>
  <c r="E8" i="3"/>
  <c r="AD15" i="4" a="1"/>
  <c r="EF12" i="4" a="1"/>
  <c r="AL14" i="4" a="1"/>
  <c r="W14" i="4" a="1"/>
  <c r="CQ9" i="4" a="1"/>
  <c r="BY6" i="4" a="1"/>
  <c r="CK16" i="4" a="1"/>
  <c r="CG15" i="4" a="1"/>
  <c r="R9" i="2"/>
  <c r="H5" i="2"/>
  <c r="Y45" i="3"/>
  <c r="BQ7" i="4" a="1"/>
  <c r="BK6" i="4" a="1"/>
  <c r="CU9" i="4" a="1"/>
  <c r="CH8" i="4" a="1"/>
  <c r="BQ8" i="4" a="1"/>
  <c r="AC6" i="4" a="1"/>
  <c r="AT15" i="4" a="1"/>
  <c r="AW5" i="4" a="1"/>
  <c r="AX13" i="4" a="1"/>
  <c r="DV6" i="4" a="1"/>
  <c r="I15" i="4" a="1"/>
  <c r="R5" i="4" a="1"/>
  <c r="AH9" i="4" a="1"/>
  <c r="N11" i="4" a="1"/>
  <c r="AU12" i="4" a="1"/>
  <c r="DC8" i="4" a="1"/>
  <c r="DU16" i="4" a="1"/>
  <c r="ED7" i="4" a="1"/>
  <c r="AV14" i="4" a="1"/>
  <c r="Z9" i="4" a="1"/>
  <c r="CW11" i="4" a="1"/>
  <c r="DL12" i="4" a="1"/>
  <c r="M12" i="4" a="1"/>
  <c r="EC13" i="4" a="1"/>
  <c r="AH6" i="4" a="1"/>
  <c r="Y9" i="4" a="1"/>
  <c r="CH12" i="4" a="1"/>
  <c r="CX8" i="4" a="1"/>
  <c r="EF8" i="4" a="1"/>
  <c r="DM14" i="4" a="1"/>
  <c r="DY6" i="4" a="1"/>
  <c r="CR7" i="4" a="1"/>
  <c r="EC16" i="4" a="1"/>
  <c r="AB7" i="4" a="1"/>
  <c r="CT16" i="4" a="1"/>
  <c r="AL9" i="4" a="1"/>
  <c r="CP16" i="4" a="1"/>
  <c r="CK7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AM9" i="4" a="1"/>
  <c r="CE15" i="4" a="1"/>
  <c r="ED12" i="4" a="1"/>
  <c r="DA6" i="4" a="1"/>
  <c r="BA16" i="4" a="1"/>
  <c r="E10" i="2"/>
  <c r="C7" i="4" a="1"/>
  <c r="BP8" i="4" a="1"/>
  <c r="AR13" i="4" a="1"/>
  <c r="CZ8" i="4" a="1"/>
  <c r="CD15" i="4" a="1"/>
  <c r="BB11" i="4" a="1"/>
  <c r="BO9" i="4" a="1"/>
  <c r="BW13" i="4" a="1"/>
  <c r="AE9" i="4" a="1"/>
  <c r="DI5" i="4" a="1"/>
  <c r="EA14" i="4" a="1"/>
  <c r="DA9" i="4" a="1"/>
  <c r="N6" i="4" a="1"/>
  <c r="S5" i="4" a="1"/>
  <c r="L14" i="4" a="1"/>
  <c r="M8" i="4" a="1"/>
  <c r="AV6" i="4" a="1"/>
  <c r="AC13" i="4" a="1"/>
  <c r="BO7" i="4" a="1"/>
  <c r="AY15" i="4" a="1"/>
  <c r="AH16" i="4" a="1"/>
  <c r="BD8" i="4" a="1"/>
  <c r="AH14" i="4" a="1"/>
  <c r="DS11" i="4" a="1"/>
  <c r="E70" i="3"/>
  <c r="E80" i="3"/>
  <c r="AD66" i="3"/>
  <c r="G58" i="3"/>
  <c r="E69" i="3"/>
  <c r="AD77" i="3"/>
  <c r="AD90" i="3"/>
  <c r="G67" i="3"/>
  <c r="E64" i="3"/>
  <c r="AD65" i="3"/>
  <c r="E89" i="3"/>
  <c r="G56" i="3"/>
  <c r="E97" i="3"/>
  <c r="AD95" i="3"/>
  <c r="G69" i="3"/>
  <c r="G96" i="3"/>
  <c r="E66" i="3"/>
  <c r="AD91" i="3"/>
  <c r="G73" i="3"/>
  <c r="E87" i="3"/>
  <c r="AD86" i="3"/>
  <c r="E58" i="3"/>
  <c r="G79" i="3"/>
  <c r="E86" i="3"/>
  <c r="G91" i="3"/>
  <c r="E92" i="3"/>
  <c r="AD82" i="3"/>
  <c r="G70" i="3"/>
  <c r="G60" i="3"/>
  <c r="E63" i="3"/>
  <c r="AD75" i="3"/>
  <c r="G94" i="3"/>
  <c r="E71" i="3"/>
  <c r="E95" i="3"/>
  <c r="AD57" i="3"/>
  <c r="G93" i="3"/>
  <c r="G85" i="3"/>
  <c r="E72" i="3"/>
  <c r="E79" i="3"/>
  <c r="AD92" i="3"/>
  <c r="AD94" i="3"/>
  <c r="G84" i="3"/>
  <c r="G59" i="3"/>
  <c r="E90" i="3"/>
  <c r="E54" i="3"/>
  <c r="G65" i="3"/>
  <c r="E85" i="3"/>
  <c r="AD78" i="3"/>
  <c r="G90" i="3"/>
  <c r="E60" i="3"/>
  <c r="AD83" i="3"/>
  <c r="G92" i="3"/>
  <c r="AD73" i="3"/>
  <c r="G81" i="3"/>
  <c r="E77" i="3"/>
  <c r="AD71" i="3"/>
  <c r="E83" i="3"/>
  <c r="AD67" i="3"/>
  <c r="G86" i="3"/>
  <c r="G87" i="3"/>
  <c r="E76" i="3"/>
  <c r="AD74" i="3"/>
  <c r="G83" i="3"/>
  <c r="AD56" i="3"/>
  <c r="G57" i="3"/>
  <c r="AD70" i="3"/>
  <c r="G71" i="3"/>
  <c r="G82" i="3"/>
  <c r="E84" i="3"/>
  <c r="AD79" i="3"/>
  <c r="G66" i="3"/>
  <c r="G89" i="3"/>
  <c r="G78" i="3"/>
  <c r="AD76" i="3"/>
  <c r="G72" i="3"/>
  <c r="AD62" i="3"/>
  <c r="AD96" i="3"/>
  <c r="E61" i="3"/>
  <c r="E94" i="3"/>
  <c r="G88" i="3"/>
  <c r="E57" i="3"/>
  <c r="AD89" i="3"/>
  <c r="G77" i="3"/>
  <c r="E59" i="3"/>
  <c r="AD59" i="3"/>
  <c r="G97" i="3"/>
  <c r="G61" i="3"/>
  <c r="E56" i="3"/>
  <c r="G68" i="3"/>
  <c r="G64" i="3"/>
  <c r="E68" i="3"/>
  <c r="G74" i="3"/>
  <c r="G62" i="3"/>
  <c r="AD58" i="3"/>
  <c r="E67" i="3"/>
  <c r="G63" i="3"/>
  <c r="E55" i="3"/>
  <c r="G95" i="3"/>
  <c r="G75" i="3"/>
  <c r="E91" i="3"/>
  <c r="E93" i="3"/>
  <c r="AD61" i="3"/>
  <c r="G76" i="3"/>
  <c r="E74" i="3"/>
  <c r="E73" i="3"/>
  <c r="G55" i="3"/>
  <c r="AD54" i="3"/>
  <c r="AD88" i="3"/>
  <c r="AD87" i="3"/>
  <c r="G54" i="3"/>
  <c r="AD68" i="3"/>
  <c r="E78" i="3"/>
  <c r="E75" i="3"/>
  <c r="F77" i="3" l="1"/>
  <c r="F69" i="3"/>
  <c r="F59" i="3"/>
  <c r="F55" i="3"/>
  <c r="F60" i="3"/>
  <c r="F95" i="3"/>
  <c r="F81" i="3"/>
  <c r="F63" i="3"/>
  <c r="F73" i="3"/>
  <c r="F87" i="3"/>
  <c r="F96" i="3"/>
  <c r="F48" i="3"/>
  <c r="F50" i="3"/>
  <c r="F85" i="3"/>
  <c r="F93" i="3"/>
  <c r="F56" i="3"/>
  <c r="F71" i="3"/>
  <c r="F70" i="3"/>
  <c r="F75" i="3"/>
  <c r="F78" i="3"/>
  <c r="F97" i="3"/>
  <c r="F47" i="3"/>
  <c r="F94" i="3"/>
  <c r="F65" i="3"/>
  <c r="F67" i="3"/>
  <c r="F91" i="3"/>
  <c r="F80" i="3"/>
  <c r="F76" i="3"/>
  <c r="F82" i="3"/>
  <c r="F84" i="3"/>
  <c r="F74" i="3"/>
  <c r="F90" i="3"/>
  <c r="F64" i="3"/>
  <c r="F83" i="3"/>
  <c r="F86" i="3"/>
  <c r="F61" i="3"/>
  <c r="F88" i="3"/>
  <c r="F54" i="3"/>
  <c r="F49" i="3"/>
  <c r="F89" i="3"/>
  <c r="F72" i="3"/>
  <c r="F79" i="3"/>
  <c r="F58" i="3"/>
  <c r="F66" i="3"/>
  <c r="F92" i="3"/>
  <c r="F62" i="3"/>
  <c r="AD64" i="3"/>
  <c r="AD93" i="3"/>
  <c r="AD55" i="3"/>
  <c r="AD81" i="3"/>
  <c r="AD80" i="3"/>
  <c r="E96" i="3"/>
  <c r="AD69" i="3"/>
  <c r="AD63" i="3"/>
  <c r="AD97" i="3"/>
  <c r="AD60" i="3"/>
  <c r="E81" i="3"/>
  <c r="E82" i="3"/>
  <c r="E62" i="3"/>
  <c r="AD84" i="3"/>
  <c r="AD85" i="3"/>
  <c r="AD72" i="3"/>
  <c r="E65" i="3"/>
  <c r="E88" i="3"/>
  <c r="CP77" i="1"/>
  <c r="CN63" i="1"/>
  <c r="CL65" i="1"/>
  <c r="CL134" i="1"/>
  <c r="CM65" i="1"/>
  <c r="F68" i="3"/>
  <c r="F57" i="3"/>
  <c r="G80" i="3"/>
  <c r="IW9" i="4"/>
  <c r="IA9" i="4" s="1"/>
  <c r="HS16" i="4" s="1"/>
  <c r="IU9" i="4" s="1"/>
  <c r="JC9" i="4" s="1"/>
  <c r="D58" i="3"/>
  <c r="AJ119" i="1" s="1"/>
  <c r="D77" i="3"/>
  <c r="AJ140" i="1" s="1"/>
  <c r="AK140" i="1" s="1"/>
  <c r="D82" i="3"/>
  <c r="AJ145" i="1" s="1"/>
  <c r="D64" i="3"/>
  <c r="AJ149" i="1" s="1"/>
  <c r="AK149" i="1" s="1"/>
  <c r="D59" i="3"/>
  <c r="D57" i="3"/>
  <c r="AJ118" i="1" s="1"/>
  <c r="AK118" i="1" s="1"/>
  <c r="D74" i="3"/>
  <c r="AJ137" i="1" s="1"/>
  <c r="AK137" i="1" s="1"/>
  <c r="D71" i="3"/>
  <c r="D65" i="3"/>
  <c r="AJ150" i="1" s="1"/>
  <c r="AK150" i="1" s="1"/>
  <c r="D92" i="3"/>
  <c r="AJ155" i="1" s="1"/>
  <c r="AK155" i="1" s="1"/>
  <c r="D54" i="3"/>
  <c r="D70" i="3"/>
  <c r="AJ133" i="1" s="1"/>
  <c r="D60" i="3"/>
  <c r="AJ122" i="1" s="1"/>
  <c r="AK122" i="1" s="1"/>
  <c r="D69" i="3"/>
  <c r="AJ132" i="1" s="1"/>
  <c r="D90" i="3"/>
  <c r="AJ126" i="1" s="1"/>
  <c r="AK126" i="1" s="1"/>
  <c r="D61" i="3"/>
  <c r="D80" i="3"/>
  <c r="AJ159" i="1" s="1"/>
  <c r="D76" i="3"/>
  <c r="D85" i="3"/>
  <c r="AJ147" i="1" s="1"/>
  <c r="AK147" i="1" s="1"/>
  <c r="D93" i="3"/>
  <c r="D88" i="3"/>
  <c r="AJ127" i="1" s="1"/>
  <c r="AK127" i="1" s="1"/>
  <c r="D86" i="3"/>
  <c r="D81" i="3"/>
  <c r="AJ144" i="1" s="1"/>
  <c r="D63" i="3"/>
  <c r="AJ125" i="1" s="1"/>
  <c r="AK125" i="1" s="1"/>
  <c r="D96" i="3"/>
  <c r="AJ163" i="1" s="1"/>
  <c r="AK163" i="1" s="1"/>
  <c r="D68" i="3"/>
  <c r="AJ131" i="1" s="1"/>
  <c r="D72" i="3"/>
  <c r="AJ135" i="1" s="1"/>
  <c r="AK135" i="1" s="1"/>
  <c r="D84" i="3"/>
  <c r="AJ146" i="1" s="1"/>
  <c r="AK146" i="1" s="1"/>
  <c r="D62" i="3"/>
  <c r="AJ124" i="1" s="1"/>
  <c r="AK124" i="1" s="1"/>
  <c r="D83" i="3"/>
  <c r="AJ160" i="1" s="1"/>
  <c r="D66" i="3"/>
  <c r="AJ151" i="1" s="1"/>
  <c r="AK151" i="1" s="1"/>
  <c r="D87" i="3"/>
  <c r="AJ152" i="1" s="1"/>
  <c r="AK152" i="1" s="1"/>
  <c r="D79" i="3"/>
  <c r="AJ143" i="1" s="1"/>
  <c r="AK143" i="1" s="1"/>
  <c r="D94" i="3"/>
  <c r="D97" i="3"/>
  <c r="D91" i="3"/>
  <c r="AJ154" i="1" s="1"/>
  <c r="AK154" i="1" s="1"/>
  <c r="D73" i="3"/>
  <c r="D78" i="3"/>
  <c r="AJ142" i="1" s="1"/>
  <c r="AK142" i="1" s="1"/>
  <c r="D55" i="3"/>
  <c r="D67" i="3"/>
  <c r="D75" i="3"/>
  <c r="D89" i="3"/>
  <c r="AJ153" i="1" s="1"/>
  <c r="D95" i="3"/>
  <c r="AJ164" i="1" s="1"/>
  <c r="AK164" i="1" s="1"/>
  <c r="D56" i="3"/>
  <c r="AJ117" i="1" s="1"/>
  <c r="AK117" i="1" s="1"/>
  <c r="H13" i="1"/>
  <c r="BX163" i="1"/>
  <c r="BY163" i="1" s="1"/>
  <c r="IO9" i="4" s="1"/>
  <c r="IM9" i="4" s="1"/>
  <c r="IH15" i="4" s="1"/>
  <c r="IK16" i="4" s="1"/>
  <c r="BX146" i="1"/>
  <c r="BY146" i="1" s="1"/>
  <c r="G35" i="1"/>
  <c r="JD9" i="4" s="1"/>
  <c r="IG16" i="4" s="1"/>
  <c r="JG9" i="4" s="1"/>
  <c r="HT9" i="4" s="1"/>
  <c r="IM16" i="4" s="1"/>
  <c r="IM21" i="4" s="1"/>
  <c r="BG77" i="1" s="1"/>
  <c r="HV9" i="4" s="1"/>
  <c r="AM13" i="1"/>
  <c r="P155" i="1"/>
  <c r="V39" i="1"/>
  <c r="HV16" i="4" s="1"/>
  <c r="HZ16" i="4" s="1"/>
  <c r="HQ16" i="4" s="1"/>
  <c r="AM8" i="1"/>
  <c r="AM231" i="1" s="1"/>
  <c r="IQ9" i="4" s="1"/>
  <c r="IW16" i="4" s="1"/>
  <c r="JE9" i="4" s="1"/>
  <c r="HX16" i="4" s="1"/>
  <c r="ID16" i="4" s="1"/>
  <c r="S23" i="1"/>
  <c r="JI9" i="4" s="1"/>
  <c r="IH9" i="4" s="1"/>
  <c r="JC16" i="4" s="1"/>
  <c r="I45" i="1"/>
  <c r="IX16" i="4" s="1"/>
  <c r="BX153" i="1"/>
  <c r="V21" i="1"/>
  <c r="II16" i="4" s="1"/>
  <c r="JF9" i="4" s="1"/>
  <c r="IE16" i="4" s="1"/>
  <c r="AL39" i="1"/>
  <c r="IV8" i="4" s="1"/>
  <c r="IA16" i="4" s="1"/>
  <c r="JA9" i="4" s="1"/>
  <c r="IV9" i="4" s="1"/>
  <c r="IC16" i="4" s="1"/>
  <c r="HQ8" i="4" s="1"/>
  <c r="U24" i="1"/>
  <c r="JI16" i="4" s="1"/>
  <c r="JE16" i="4" s="1"/>
  <c r="JE21" i="4" s="1"/>
  <c r="BY77" i="1" s="1"/>
  <c r="M9" i="1"/>
  <c r="P25" i="1"/>
  <c r="JB7" i="4" s="1"/>
  <c r="IV16" i="4" s="1"/>
  <c r="IS16" i="4" s="1"/>
  <c r="HQ9" i="4" s="1"/>
  <c r="IG9" i="4" s="1"/>
  <c r="HP9" i="4" s="1"/>
  <c r="IQ16" i="4" s="1"/>
  <c r="JG16" i="4" s="1"/>
  <c r="AJ14" i="1"/>
  <c r="F25" i="1"/>
  <c r="S21" i="1"/>
  <c r="V22" i="1"/>
  <c r="BX152" i="1"/>
  <c r="BY152" i="1" s="1"/>
  <c r="I35" i="1"/>
  <c r="BX126" i="1"/>
  <c r="BY126" i="1" s="1"/>
  <c r="L13" i="1"/>
  <c r="H9" i="1"/>
  <c r="V23" i="1"/>
  <c r="O51" i="1"/>
  <c r="V46" i="1"/>
  <c r="G8" i="1"/>
  <c r="G231" i="1" s="1"/>
  <c r="I36" i="1"/>
  <c r="E51" i="1"/>
  <c r="F46" i="1"/>
  <c r="K15" i="1"/>
  <c r="L25" i="1"/>
  <c r="HT16" i="4" s="1"/>
  <c r="AM9" i="1"/>
  <c r="AM14" i="1"/>
  <c r="AJ51" i="1"/>
  <c r="AK21" i="1"/>
  <c r="AK13" i="1"/>
  <c r="AK15" i="1"/>
  <c r="P153" i="1"/>
  <c r="Q9" i="1"/>
  <c r="BX131" i="1"/>
  <c r="D21" i="1"/>
  <c r="P9" i="1"/>
  <c r="B51" i="1"/>
  <c r="R8" i="1"/>
  <c r="R231" i="1" s="1"/>
  <c r="M22" i="1"/>
  <c r="F45" i="1"/>
  <c r="Q47" i="1"/>
  <c r="J45" i="1"/>
  <c r="K21" i="1"/>
  <c r="P8" i="1"/>
  <c r="IA15" i="4" s="1"/>
  <c r="IO16" i="4" s="1"/>
  <c r="IX9" i="4" s="1"/>
  <c r="BX13" i="1"/>
  <c r="AM25" i="1"/>
  <c r="BJ25" i="1"/>
  <c r="AM15" i="1"/>
  <c r="G51" i="1"/>
  <c r="S20" i="1"/>
  <c r="S22" i="1"/>
  <c r="F39" i="1"/>
  <c r="C23" i="1"/>
  <c r="O20" i="1"/>
  <c r="G163" i="1"/>
  <c r="T51" i="1"/>
  <c r="F22" i="1"/>
  <c r="JC8" i="4" s="1"/>
  <c r="II9" i="4" s="1"/>
  <c r="IY9" i="4" s="1"/>
  <c r="IT16" i="4" s="1"/>
  <c r="IS15" i="4" s="1"/>
  <c r="HW16" i="4" s="1"/>
  <c r="IZ16" i="4" s="1"/>
  <c r="HZ9" i="4" s="1"/>
  <c r="IX15" i="4" s="1"/>
  <c r="IT9" i="4" s="1"/>
  <c r="IJ16" i="4" s="1"/>
  <c r="AM36" i="1"/>
  <c r="BX39" i="1"/>
  <c r="AK14" i="1"/>
  <c r="AL45" i="1"/>
  <c r="AM22" i="1"/>
  <c r="BX24" i="1"/>
  <c r="AL36" i="1"/>
  <c r="BX45" i="1"/>
  <c r="W15" i="1"/>
  <c r="L39" i="1"/>
  <c r="D9" i="1"/>
  <c r="S8" i="1"/>
  <c r="S231" i="1" s="1"/>
  <c r="B36" i="1"/>
  <c r="N13" i="1"/>
  <c r="O8" i="1"/>
  <c r="S39" i="1"/>
  <c r="J35" i="1"/>
  <c r="P39" i="1"/>
  <c r="IU16" i="4" s="1"/>
  <c r="IU21" i="4" s="1"/>
  <c r="BO77" i="1" s="1"/>
  <c r="IN16" i="4" s="1"/>
  <c r="HW9" i="4" s="1"/>
  <c r="IR16" i="4" s="1"/>
  <c r="IX8" i="4" s="1"/>
  <c r="JC15" i="4" s="1"/>
  <c r="JB14" i="4" s="1"/>
  <c r="IB8" i="4" s="1"/>
  <c r="JD7" i="4" s="1"/>
  <c r="AL32" i="1"/>
  <c r="AL194" i="1" s="1"/>
  <c r="AM32" i="1"/>
  <c r="AM194" i="1" s="1"/>
  <c r="K32" i="1"/>
  <c r="K194" i="1" s="1"/>
  <c r="C13" i="1"/>
  <c r="V9" i="1"/>
  <c r="V10" i="1" s="1"/>
  <c r="V98" i="1" s="1"/>
  <c r="M8" i="1"/>
  <c r="M231" i="1" s="1"/>
  <c r="O24" i="1"/>
  <c r="S47" i="1"/>
  <c r="M46" i="1"/>
  <c r="M32" i="1"/>
  <c r="M194" i="1" s="1"/>
  <c r="N22" i="1"/>
  <c r="N9" i="1"/>
  <c r="T22" i="1"/>
  <c r="IC9" i="4" s="1"/>
  <c r="HX15" i="4" s="1"/>
  <c r="JF15" i="4" s="1"/>
  <c r="HY9" i="4" s="1"/>
  <c r="JB9" i="4" s="1"/>
  <c r="BX46" i="1"/>
  <c r="AK24" i="1"/>
  <c r="BX25" i="1"/>
  <c r="BX15" i="1"/>
  <c r="AJ20" i="1"/>
  <c r="B15" i="1"/>
  <c r="U22" i="1"/>
  <c r="P47" i="1"/>
  <c r="F32" i="1"/>
  <c r="F194" i="1" s="1"/>
  <c r="Q35" i="1"/>
  <c r="C9" i="1"/>
  <c r="N15" i="1"/>
  <c r="N23" i="1"/>
  <c r="N21" i="1"/>
  <c r="E159" i="1"/>
  <c r="F35" i="1"/>
  <c r="IB9" i="4" s="1"/>
  <c r="BJ15" i="1"/>
  <c r="BX35" i="1"/>
  <c r="AL22" i="1"/>
  <c r="AL20" i="1"/>
  <c r="AM35" i="1"/>
  <c r="BX36" i="1"/>
  <c r="AJ22" i="1"/>
  <c r="AK23" i="1"/>
  <c r="U36" i="1"/>
  <c r="U252" i="1" s="1"/>
  <c r="G46" i="1"/>
  <c r="D32" i="1"/>
  <c r="D194" i="1" s="1"/>
  <c r="B35" i="1"/>
  <c r="BX74" i="1"/>
  <c r="L21" i="1"/>
  <c r="B25" i="1"/>
  <c r="S25" i="1"/>
  <c r="M21" i="1"/>
  <c r="O23" i="1"/>
  <c r="V24" i="1"/>
  <c r="N51" i="1"/>
  <c r="D46" i="1"/>
  <c r="IF9" i="4" s="1"/>
  <c r="HY16" i="4" s="1"/>
  <c r="HU9" i="4" s="1"/>
  <c r="AM39" i="1"/>
  <c r="BX8" i="1"/>
  <c r="BJ14" i="1"/>
  <c r="AL15" i="1"/>
  <c r="AL23" i="1"/>
  <c r="AL13" i="1"/>
  <c r="E25" i="1"/>
  <c r="D25" i="1"/>
  <c r="BX73" i="1"/>
  <c r="Q21" i="1"/>
  <c r="K25" i="1"/>
  <c r="K45" i="1"/>
  <c r="I23" i="1"/>
  <c r="R36" i="1"/>
  <c r="T15" i="1"/>
  <c r="HS9" i="4" s="1"/>
  <c r="IZ9" i="4" s="1"/>
  <c r="HR16" i="4" s="1"/>
  <c r="IL16" i="4" s="1"/>
  <c r="IB16" i="4" s="1"/>
  <c r="IB21" i="4" s="1"/>
  <c r="AV77" i="1" s="1"/>
  <c r="JB16" i="4" s="1"/>
  <c r="AL24" i="1"/>
  <c r="AK20" i="1"/>
  <c r="AL8" i="1"/>
  <c r="AJ47" i="1"/>
  <c r="D122" i="1"/>
  <c r="C36" i="1"/>
  <c r="E20" i="1"/>
  <c r="BX154" i="1"/>
  <c r="BY154" i="1" s="1"/>
  <c r="Q13" i="1"/>
  <c r="BY73" i="1"/>
  <c r="G23" i="1"/>
  <c r="H39" i="1"/>
  <c r="F20" i="1"/>
  <c r="Q24" i="1"/>
  <c r="N36" i="1"/>
  <c r="U51" i="1"/>
  <c r="N8" i="1"/>
  <c r="N231" i="1" s="1"/>
  <c r="J13" i="1"/>
  <c r="E24" i="1"/>
  <c r="IJ9" i="4" s="1"/>
  <c r="IB7" i="4" s="1"/>
  <c r="IE15" i="4" s="1"/>
  <c r="IN14" i="4" s="1"/>
  <c r="IF8" i="4" s="1"/>
  <c r="HU16" i="4" s="1"/>
  <c r="AJ32" i="1"/>
  <c r="AJ194" i="1" s="1"/>
  <c r="AM20" i="1"/>
  <c r="AM23" i="1"/>
  <c r="AL14" i="1"/>
  <c r="BJ13" i="1"/>
  <c r="M23" i="1"/>
  <c r="B23" i="1"/>
  <c r="BX159" i="1"/>
  <c r="BX132" i="1"/>
  <c r="K13" i="1"/>
  <c r="L9" i="1"/>
  <c r="C25" i="1"/>
  <c r="L45" i="1"/>
  <c r="L15" i="1"/>
  <c r="U25" i="1"/>
  <c r="I22" i="1"/>
  <c r="O9" i="1"/>
  <c r="H20" i="1"/>
  <c r="L20" i="1"/>
  <c r="JF16" i="4" s="1"/>
  <c r="AK45" i="1"/>
  <c r="BX23" i="1"/>
  <c r="AK46" i="1"/>
  <c r="AK35" i="1"/>
  <c r="AJ39" i="1"/>
  <c r="BX14" i="1"/>
  <c r="N20" i="1"/>
  <c r="L8" i="1"/>
  <c r="L231" i="1" s="1"/>
  <c r="W45" i="1"/>
  <c r="J25" i="1"/>
  <c r="I21" i="1"/>
  <c r="H36" i="1"/>
  <c r="W32" i="1"/>
  <c r="C51" i="1"/>
  <c r="V45" i="1"/>
  <c r="T23" i="1"/>
  <c r="F8" i="1"/>
  <c r="F231" i="1" s="1"/>
  <c r="W9" i="1"/>
  <c r="W10" i="1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IK9" i="4" s="1"/>
  <c r="IL9" i="4" s="1"/>
  <c r="IP9" i="4" s="1"/>
  <c r="BX20" i="1"/>
  <c r="BJ20" i="1"/>
  <c r="AJ9" i="1"/>
  <c r="AJ10" i="1" s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R9" i="4" s="1"/>
  <c r="IY16" i="4" s="1"/>
  <c r="IE9" i="4" s="1"/>
  <c r="IE21" i="4" s="1"/>
  <c r="AY77" i="1" s="1"/>
  <c r="IN9" i="4" s="1"/>
  <c r="IK7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JH16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BJ163" i="1"/>
  <c r="BK163" i="1" s="1"/>
  <c r="BJ154" i="1"/>
  <c r="BK154" i="1" s="1"/>
  <c r="BJ127" i="1"/>
  <c r="BK127" i="1" s="1"/>
  <c r="BJ160" i="1"/>
  <c r="BJ155" i="1"/>
  <c r="BK155" i="1" s="1"/>
  <c r="BJ124" i="1"/>
  <c r="BK124" i="1" s="1"/>
  <c r="BJ131" i="1"/>
  <c r="BJ145" i="1"/>
  <c r="BJ164" i="1"/>
  <c r="BJ119" i="1"/>
  <c r="BJ126" i="1"/>
  <c r="BK126" i="1" s="1"/>
  <c r="BJ140" i="1"/>
  <c r="BK140" i="1" s="1"/>
  <c r="BL202" i="1" s="1"/>
  <c r="BJ152" i="1"/>
  <c r="BK152" i="1" s="1"/>
  <c r="BJ142" i="1"/>
  <c r="BK142" i="1" s="1"/>
  <c r="BJ118" i="1"/>
  <c r="BK118" i="1" s="1"/>
  <c r="BJ153" i="1"/>
  <c r="BJ150" i="1"/>
  <c r="BK150" i="1" s="1"/>
  <c r="BJ133" i="1"/>
  <c r="BJ151" i="1"/>
  <c r="BK151" i="1" s="1"/>
  <c r="BJ117" i="1"/>
  <c r="BJ137" i="1"/>
  <c r="BK137" i="1" s="1"/>
  <c r="BJ143" i="1"/>
  <c r="IP15" i="4"/>
  <c r="IN15" i="4"/>
  <c r="IJ15" i="4"/>
  <c r="IM8" i="4"/>
  <c r="IS8" i="4"/>
  <c r="IP14" i="4"/>
  <c r="JE14" i="4"/>
  <c r="HY7" i="4"/>
  <c r="IM7" i="4"/>
  <c r="HP15" i="4"/>
  <c r="IG7" i="4"/>
  <c r="II7" i="4"/>
  <c r="HZ14" i="4"/>
  <c r="HP8" i="4"/>
  <c r="IN8" i="4"/>
  <c r="HS14" i="4"/>
  <c r="JE8" i="4"/>
  <c r="HY14" i="4"/>
  <c r="IF15" i="4"/>
  <c r="IZ8" i="4"/>
  <c r="IZ15" i="4"/>
  <c r="IG14" i="4"/>
  <c r="IY8" i="4"/>
  <c r="IH8" i="4"/>
  <c r="IC8" i="4"/>
  <c r="JC14" i="4"/>
  <c r="HS15" i="4"/>
  <c r="HW14" i="4"/>
  <c r="HU15" i="4"/>
  <c r="IP7" i="4"/>
  <c r="HZ8" i="4"/>
  <c r="HS8" i="4"/>
  <c r="IW8" i="4"/>
  <c r="IK8" i="4"/>
  <c r="HX7" i="4"/>
  <c r="IQ15" i="4"/>
  <c r="HV14" i="4"/>
  <c r="IA14" i="4"/>
  <c r="IJ7" i="4"/>
  <c r="JA14" i="4"/>
  <c r="HU8" i="4"/>
  <c r="IO14" i="4"/>
  <c r="JC7" i="4"/>
  <c r="IO7" i="4"/>
  <c r="HW7" i="4"/>
  <c r="JE7" i="4"/>
  <c r="IE14" i="4"/>
  <c r="IV7" i="4"/>
  <c r="IB14" i="4"/>
  <c r="HQ15" i="4"/>
  <c r="ID14" i="4"/>
  <c r="JI8" i="4"/>
  <c r="IU15" i="4"/>
  <c r="HY15" i="4"/>
  <c r="HT15" i="4"/>
  <c r="HU14" i="4"/>
  <c r="IV14" i="4"/>
  <c r="IS14" i="4"/>
  <c r="HQ14" i="4"/>
  <c r="IT8" i="4"/>
  <c r="IZ7" i="4"/>
  <c r="JG8" i="4"/>
  <c r="JG14" i="4"/>
  <c r="IK15" i="4"/>
  <c r="HW15" i="4"/>
  <c r="IQ14" i="4"/>
  <c r="IW14" i="4"/>
  <c r="JD8" i="4"/>
  <c r="HR8" i="4"/>
  <c r="JD14" i="4"/>
  <c r="IE7" i="4"/>
  <c r="HR15" i="4"/>
  <c r="IV15" i="4"/>
  <c r="JI15" i="4"/>
  <c r="JA15" i="4"/>
  <c r="IL8" i="4"/>
  <c r="IK14" i="4"/>
  <c r="HV7" i="4"/>
  <c r="HV8" i="4"/>
  <c r="HX14" i="4"/>
  <c r="HW8" i="4"/>
  <c r="JB8" i="4"/>
  <c r="IX7" i="4"/>
  <c r="HQ7" i="4"/>
  <c r="IU7" i="4"/>
  <c r="JI7" i="4"/>
  <c r="HY8" i="4"/>
  <c r="HP14" i="4"/>
  <c r="JH8" i="4"/>
  <c r="HR14" i="4"/>
  <c r="IH7" i="4"/>
  <c r="HT14" i="4"/>
  <c r="HV15" i="4"/>
  <c r="IU14" i="4"/>
  <c r="IT15" i="4"/>
  <c r="IM14" i="4"/>
  <c r="IU8" i="4"/>
  <c r="IY14" i="4"/>
  <c r="JI14" i="4"/>
  <c r="HS7" i="4"/>
  <c r="IR15" i="4"/>
  <c r="IL15" i="4"/>
  <c r="II8" i="4"/>
  <c r="JF8" i="4"/>
  <c r="IG15" i="4"/>
  <c r="JB15" i="4"/>
  <c r="ID8" i="4"/>
  <c r="IO8" i="4"/>
  <c r="IZ14" i="4"/>
  <c r="IB15" i="4"/>
  <c r="JH14" i="4"/>
  <c r="JG7" i="4"/>
  <c r="IW15" i="4"/>
  <c r="IY7" i="4"/>
  <c r="HT7" i="4"/>
  <c r="HR7" i="4"/>
  <c r="HZ7" i="4"/>
  <c r="IG8" i="4"/>
  <c r="IY15" i="4"/>
  <c r="JA7" i="4"/>
  <c r="JA19" i="4" s="1"/>
  <c r="BU78" i="1" s="1"/>
  <c r="BU107" i="1" s="1"/>
  <c r="JA8" i="4"/>
  <c r="JA20" i="4" s="1"/>
  <c r="BU79" i="1" s="1"/>
  <c r="BU108" i="1" s="1"/>
  <c r="IN7" i="4"/>
  <c r="IA7" i="4"/>
  <c r="IJ14" i="4"/>
  <c r="IJ19" i="4" s="1"/>
  <c r="BD78" i="1" s="1"/>
  <c r="BD107" i="1" s="1"/>
  <c r="IH14" i="4"/>
  <c r="IL7" i="4"/>
  <c r="IF7" i="4"/>
  <c r="HT8" i="4"/>
  <c r="IC14" i="4"/>
  <c r="IX14" i="4"/>
  <c r="II14" i="4"/>
  <c r="JH15" i="4"/>
  <c r="IT7" i="4"/>
  <c r="IC15" i="4"/>
  <c r="IM15" i="4"/>
  <c r="JD15" i="4"/>
  <c r="HP7" i="4"/>
  <c r="HX8" i="4"/>
  <c r="IP8" i="4"/>
  <c r="II15" i="4"/>
  <c r="JF7" i="4"/>
  <c r="IW7" i="4"/>
  <c r="IT14" i="4"/>
  <c r="IO15" i="4"/>
  <c r="IR8" i="4"/>
  <c r="JE15" i="4"/>
  <c r="IC7" i="4"/>
  <c r="JG15" i="4"/>
  <c r="IJ8" i="4"/>
  <c r="ID7" i="4"/>
  <c r="IQ8" i="4"/>
  <c r="HU7" i="4"/>
  <c r="IE8" i="4"/>
  <c r="ID15" i="4"/>
  <c r="HZ15" i="4"/>
  <c r="IS7" i="4"/>
  <c r="IR14" i="4"/>
  <c r="IA8" i="4"/>
  <c r="JH7" i="4"/>
  <c r="IR7" i="4"/>
  <c r="CL108" i="1"/>
  <c r="CL107" i="1"/>
  <c r="CL99" i="1"/>
  <c r="CL138" i="1"/>
  <c r="CL203" i="1" s="1"/>
  <c r="CL201" i="1" s="1"/>
  <c r="CM32" i="1"/>
  <c r="AB77" i="1"/>
  <c r="CQ77" i="1"/>
  <c r="AC140" i="1"/>
  <c r="CN65" i="1"/>
  <c r="CO63" i="1"/>
  <c r="JB21" i="4" l="1"/>
  <c r="BV77" i="1" s="1"/>
  <c r="IS9" i="4" s="1"/>
  <c r="IW21" i="4"/>
  <c r="BQ77" i="1" s="1"/>
  <c r="R10" i="1"/>
  <c r="R98" i="1" s="1"/>
  <c r="L252" i="1"/>
  <c r="AL155" i="1"/>
  <c r="AM155" i="1" s="1"/>
  <c r="AL74" i="1"/>
  <c r="AL145" i="1"/>
  <c r="AL150" i="1"/>
  <c r="AM150" i="1" s="1"/>
  <c r="AL142" i="1"/>
  <c r="AM142" i="1" s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HT21" i="4"/>
  <c r="AN77" i="1" s="1"/>
  <c r="IX21" i="4"/>
  <c r="BR77" i="1" s="1"/>
  <c r="ID9" i="4" s="1"/>
  <c r="HU21" i="4"/>
  <c r="AO77" i="1" s="1"/>
  <c r="IQ7" i="4" s="1"/>
  <c r="JF21" i="4"/>
  <c r="BZ77" i="1" s="1"/>
  <c r="BZ94" i="1" s="1"/>
  <c r="IL14" i="4" s="1"/>
  <c r="G252" i="1"/>
  <c r="HP21" i="4"/>
  <c r="AJ77" i="1" s="1"/>
  <c r="IF14" i="4" s="1"/>
  <c r="D252" i="1"/>
  <c r="BJ144" i="1"/>
  <c r="BJ159" i="1"/>
  <c r="BJ147" i="1"/>
  <c r="BK147" i="1" s="1"/>
  <c r="BJ149" i="1"/>
  <c r="BJ135" i="1"/>
  <c r="BK135" i="1" s="1"/>
  <c r="BJ125" i="1"/>
  <c r="BK125" i="1" s="1"/>
  <c r="BJ132" i="1"/>
  <c r="BJ146" i="1"/>
  <c r="BK146" i="1" s="1"/>
  <c r="BJ122" i="1"/>
  <c r="BK122" i="1" s="1"/>
  <c r="P252" i="1"/>
  <c r="IO21" i="4"/>
  <c r="BI77" i="1" s="1"/>
  <c r="HV21" i="4"/>
  <c r="AP77" i="1" s="1"/>
  <c r="ID21" i="4"/>
  <c r="AX77" i="1" s="1"/>
  <c r="JI21" i="4"/>
  <c r="CC77" i="1" s="1"/>
  <c r="CC85" i="1" s="1"/>
  <c r="II21" i="4"/>
  <c r="BC77" i="1" s="1"/>
  <c r="IV21" i="4"/>
  <c r="BP77" i="1" s="1"/>
  <c r="HQ21" i="4"/>
  <c r="AK77" i="1" s="1"/>
  <c r="IQ21" i="4"/>
  <c r="BK77" i="1" s="1"/>
  <c r="HY21" i="4"/>
  <c r="AS77" i="1" s="1"/>
  <c r="S252" i="1"/>
  <c r="B253" i="1"/>
  <c r="AL131" i="1"/>
  <c r="AL118" i="1"/>
  <c r="AM118" i="1" s="1"/>
  <c r="BJ183" i="1"/>
  <c r="BK183" i="1" s="1"/>
  <c r="IG21" i="4"/>
  <c r="BA77" i="1" s="1"/>
  <c r="BX161" i="1"/>
  <c r="BY209" i="1" s="1"/>
  <c r="T26" i="1"/>
  <c r="S10" i="1"/>
  <c r="N252" i="1"/>
  <c r="P253" i="1"/>
  <c r="B252" i="1"/>
  <c r="IJ21" i="4"/>
  <c r="BD77" i="1" s="1"/>
  <c r="AL253" i="1"/>
  <c r="N10" i="1"/>
  <c r="IC21" i="4"/>
  <c r="AW77" i="1" s="1"/>
  <c r="IZ21" i="4"/>
  <c r="BT77" i="1" s="1"/>
  <c r="JG21" i="4"/>
  <c r="CA77" i="1" s="1"/>
  <c r="B10" i="1"/>
  <c r="B16" i="1" s="1"/>
  <c r="B17" i="1" s="1"/>
  <c r="AL231" i="1"/>
  <c r="BX179" i="1"/>
  <c r="BY179" i="1" s="1"/>
  <c r="BX231" i="1"/>
  <c r="HW21" i="4"/>
  <c r="AQ77" i="1" s="1"/>
  <c r="IS21" i="4"/>
  <c r="BM77" i="1" s="1"/>
  <c r="P183" i="1"/>
  <c r="IL21" i="4"/>
  <c r="BF77" i="1" s="1"/>
  <c r="IT21" i="4"/>
  <c r="BN77" i="1" s="1"/>
  <c r="HS21" i="4"/>
  <c r="AM77" i="1" s="1"/>
  <c r="IN21" i="4"/>
  <c r="BH77" i="1" s="1"/>
  <c r="S253" i="1"/>
  <c r="W16" i="1"/>
  <c r="O231" i="1"/>
  <c r="O253" i="1"/>
  <c r="U98" i="1"/>
  <c r="D10" i="1"/>
  <c r="IR21" i="4"/>
  <c r="BL77" i="1" s="1"/>
  <c r="BL94" i="1" s="1"/>
  <c r="AL10" i="1"/>
  <c r="C252" i="1"/>
  <c r="IY21" i="4"/>
  <c r="BS77" i="1" s="1"/>
  <c r="BX183" i="1"/>
  <c r="BY183" i="1" s="1"/>
  <c r="V26" i="1"/>
  <c r="V27" i="1" s="1"/>
  <c r="O10" i="1"/>
  <c r="BY128" i="1"/>
  <c r="AM10" i="1"/>
  <c r="AM16" i="1" s="1"/>
  <c r="P10" i="1"/>
  <c r="S26" i="1"/>
  <c r="C10" i="1"/>
  <c r="N26" i="1"/>
  <c r="BX252" i="1"/>
  <c r="I26" i="1"/>
  <c r="H252" i="1"/>
  <c r="M26" i="1"/>
  <c r="F26" i="1"/>
  <c r="C26" i="1"/>
  <c r="U16" i="1"/>
  <c r="R26" i="1"/>
  <c r="P26" i="1"/>
  <c r="G26" i="1"/>
  <c r="HX21" i="4"/>
  <c r="AR77" i="1" s="1"/>
  <c r="AJ26" i="1"/>
  <c r="E10" i="1"/>
  <c r="L26" i="1"/>
  <c r="BY120" i="1"/>
  <c r="C253" i="1"/>
  <c r="O26" i="1"/>
  <c r="K10" i="1"/>
  <c r="M252" i="1"/>
  <c r="F253" i="1"/>
  <c r="AK10" i="1"/>
  <c r="IK21" i="4"/>
  <c r="BE77" i="1" s="1"/>
  <c r="JA16" i="4"/>
  <c r="JA21" i="4" s="1"/>
  <c r="BU77" i="1" s="1"/>
  <c r="JC21" i="4"/>
  <c r="BW77" i="1" s="1"/>
  <c r="JH9" i="4"/>
  <c r="JH21" i="4" s="1"/>
  <c r="CB77" i="1" s="1"/>
  <c r="W194" i="1"/>
  <c r="W253" i="1"/>
  <c r="W98" i="1"/>
  <c r="X188" i="1"/>
  <c r="X11" i="1"/>
  <c r="HR9" i="4"/>
  <c r="G253" i="1"/>
  <c r="G194" i="1"/>
  <c r="U194" i="1"/>
  <c r="U253" i="1"/>
  <c r="L194" i="1"/>
  <c r="L253" i="1"/>
  <c r="K26" i="1"/>
  <c r="AL26" i="1"/>
  <c r="AJ179" i="1"/>
  <c r="BX134" i="1"/>
  <c r="BY134" i="1" s="1"/>
  <c r="B26" i="1"/>
  <c r="BX10" i="1"/>
  <c r="V253" i="1"/>
  <c r="U26" i="1"/>
  <c r="W26" i="1"/>
  <c r="W27" i="1" s="1"/>
  <c r="O252" i="1"/>
  <c r="AK26" i="1"/>
  <c r="IX19" i="4"/>
  <c r="BR78" i="1" s="1"/>
  <c r="BR107" i="1" s="1"/>
  <c r="HZ21" i="4"/>
  <c r="AT77" i="1" s="1"/>
  <c r="I252" i="1"/>
  <c r="HX20" i="4"/>
  <c r="AR79" i="1" s="1"/>
  <c r="AR108" i="1" s="1"/>
  <c r="IA21" i="4"/>
  <c r="AU77" i="1" s="1"/>
  <c r="AJ16" i="1"/>
  <c r="AJ17" i="1" s="1"/>
  <c r="IP20" i="4"/>
  <c r="BJ79" i="1" s="1"/>
  <c r="BJ108" i="1" s="1"/>
  <c r="BX26" i="1"/>
  <c r="Q252" i="1"/>
  <c r="AM26" i="1"/>
  <c r="IW19" i="4"/>
  <c r="BQ78" i="1" s="1"/>
  <c r="BQ107" i="1" s="1"/>
  <c r="H26" i="1"/>
  <c r="IO20" i="4"/>
  <c r="BI79" i="1" s="1"/>
  <c r="BI108" i="1" s="1"/>
  <c r="AJ33" i="1"/>
  <c r="R252" i="1"/>
  <c r="P231" i="1"/>
  <c r="C194" i="1"/>
  <c r="F252" i="1"/>
  <c r="E26" i="1"/>
  <c r="D26" i="1"/>
  <c r="Q183" i="1"/>
  <c r="Q26" i="1"/>
  <c r="IP21" i="4"/>
  <c r="BJ77" i="1" s="1"/>
  <c r="J26" i="1"/>
  <c r="T252" i="1"/>
  <c r="AM252" i="1"/>
  <c r="AJ183" i="1"/>
  <c r="H253" i="1"/>
  <c r="V188" i="1"/>
  <c r="J253" i="1"/>
  <c r="CA98" i="1"/>
  <c r="CA99" i="1" s="1"/>
  <c r="M253" i="1"/>
  <c r="Q253" i="1"/>
  <c r="W11" i="1"/>
  <c r="R253" i="1"/>
  <c r="T10" i="1"/>
  <c r="J252" i="1"/>
  <c r="T253" i="1"/>
  <c r="BX156" i="1"/>
  <c r="BX185" i="1" s="1"/>
  <c r="BX128" i="1"/>
  <c r="V16" i="1"/>
  <c r="V17" i="1" s="1"/>
  <c r="I253" i="1"/>
  <c r="F10" i="1"/>
  <c r="G188" i="1" s="1"/>
  <c r="K252" i="1"/>
  <c r="Q10" i="1"/>
  <c r="N253" i="1"/>
  <c r="AM98" i="1"/>
  <c r="AM99" i="1" s="1"/>
  <c r="BX180" i="1"/>
  <c r="BY180" i="1" s="1"/>
  <c r="AM253" i="1"/>
  <c r="AL179" i="1"/>
  <c r="AM179" i="1" s="1"/>
  <c r="BX120" i="1"/>
  <c r="BX92" i="1" s="1"/>
  <c r="D253" i="1"/>
  <c r="I10" i="1"/>
  <c r="J10" i="1"/>
  <c r="BJ180" i="1"/>
  <c r="BK180" i="1" s="1"/>
  <c r="M10" i="1"/>
  <c r="M98" i="1" s="1"/>
  <c r="H10" i="1"/>
  <c r="H16" i="1" s="1"/>
  <c r="H17" i="1" s="1"/>
  <c r="W188" i="1"/>
  <c r="AL180" i="1"/>
  <c r="AM180" i="1" s="1"/>
  <c r="BX253" i="1"/>
  <c r="V11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P20" i="4"/>
  <c r="AJ79" i="1" s="1"/>
  <c r="S98" i="1"/>
  <c r="S16" i="1"/>
  <c r="S17" i="1" s="1"/>
  <c r="IB19" i="4"/>
  <c r="AV78" i="1" s="1"/>
  <c r="AV107" i="1" s="1"/>
  <c r="JD19" i="4"/>
  <c r="BX78" i="1" s="1"/>
  <c r="JC20" i="4"/>
  <c r="BW79" i="1" s="1"/>
  <c r="BW108" i="1" s="1"/>
  <c r="IS20" i="4"/>
  <c r="BM79" i="1" s="1"/>
  <c r="BM108" i="1" s="1"/>
  <c r="HQ20" i="4"/>
  <c r="AK79" i="1" s="1"/>
  <c r="JH19" i="4"/>
  <c r="CB78" i="1" s="1"/>
  <c r="IX20" i="4"/>
  <c r="BR79" i="1" s="1"/>
  <c r="BR108" i="1" s="1"/>
  <c r="IV20" i="4"/>
  <c r="BP79" i="1" s="1"/>
  <c r="BP108" i="1" s="1"/>
  <c r="IE19" i="4"/>
  <c r="AY78" i="1" s="1"/>
  <c r="AY107" i="1" s="1"/>
  <c r="CC94" i="1"/>
  <c r="JB19" i="4"/>
  <c r="BV78" i="1" s="1"/>
  <c r="BV107" i="1" s="1"/>
  <c r="HU19" i="4"/>
  <c r="AO78" i="1" s="1"/>
  <c r="AO107" i="1" s="1"/>
  <c r="JE19" i="4"/>
  <c r="BY78" i="1" s="1"/>
  <c r="IA20" i="4"/>
  <c r="AU79" i="1" s="1"/>
  <c r="AU108" i="1" s="1"/>
  <c r="G98" i="1"/>
  <c r="G16" i="1"/>
  <c r="AL202" i="1"/>
  <c r="AK202" i="1"/>
  <c r="BK202" i="1"/>
  <c r="AM17" i="1"/>
  <c r="P98" i="1"/>
  <c r="P16" i="1"/>
  <c r="P11" i="1"/>
  <c r="BY202" i="1"/>
  <c r="AL252" i="1"/>
  <c r="L10" i="1"/>
  <c r="AJ37" i="1"/>
  <c r="AL16" i="1"/>
  <c r="AL17" i="1" s="1"/>
  <c r="AM225" i="1"/>
  <c r="IW20" i="4"/>
  <c r="BQ79" i="1" s="1"/>
  <c r="BQ108" i="1" s="1"/>
  <c r="JC19" i="4"/>
  <c r="BW78" i="1" s="1"/>
  <c r="BW107" i="1" s="1"/>
  <c r="JE20" i="4"/>
  <c r="BY79" i="1" s="1"/>
  <c r="BY108" i="1" s="1"/>
  <c r="IH20" i="4"/>
  <c r="BB79" i="1" s="1"/>
  <c r="BB108" i="1" s="1"/>
  <c r="N98" i="1"/>
  <c r="N16" i="1"/>
  <c r="CA94" i="1"/>
  <c r="IJ20" i="4"/>
  <c r="BD79" i="1" s="1"/>
  <c r="BD108" i="1" s="1"/>
  <c r="HU20" i="4"/>
  <c r="AO79" i="1" s="1"/>
  <c r="AO108" i="1" s="1"/>
  <c r="IG19" i="4"/>
  <c r="BA78" i="1" s="1"/>
  <c r="BA107" i="1" s="1"/>
  <c r="IN20" i="4"/>
  <c r="BH79" i="1" s="1"/>
  <c r="BH108" i="1" s="1"/>
  <c r="IP19" i="4"/>
  <c r="BJ78" i="1" s="1"/>
  <c r="BJ107" i="1" s="1"/>
  <c r="IE20" i="4"/>
  <c r="AY79" i="1" s="1"/>
  <c r="AY108" i="1" s="1"/>
  <c r="IF20" i="4"/>
  <c r="AZ79" i="1" s="1"/>
  <c r="AZ108" i="1" s="1"/>
  <c r="IZ20" i="4"/>
  <c r="BT79" i="1" s="1"/>
  <c r="BT108" i="1" s="1"/>
  <c r="HZ20" i="4"/>
  <c r="AT79" i="1" s="1"/>
  <c r="AT108" i="1" s="1"/>
  <c r="HY19" i="4"/>
  <c r="AS78" i="1" s="1"/>
  <c r="AS107" i="1" s="1"/>
  <c r="HW19" i="4"/>
  <c r="AQ78" i="1" s="1"/>
  <c r="AQ107" i="1" s="1"/>
  <c r="HS20" i="4"/>
  <c r="AM79" i="1" s="1"/>
  <c r="AL27" i="1"/>
  <c r="X18" i="1"/>
  <c r="W17" i="1"/>
  <c r="AM12" i="1"/>
  <c r="D16" i="1"/>
  <c r="IH19" i="4"/>
  <c r="BB78" i="1" s="1"/>
  <c r="BB107" i="1" s="1"/>
  <c r="IK20" i="4"/>
  <c r="BE79" i="1" s="1"/>
  <c r="BE108" i="1" s="1"/>
  <c r="JG19" i="4"/>
  <c r="CA78" i="1" s="1"/>
  <c r="IY20" i="4"/>
  <c r="BS79" i="1" s="1"/>
  <c r="BS108" i="1" s="1"/>
  <c r="JG20" i="4"/>
  <c r="CA79" i="1" s="1"/>
  <c r="ID19" i="4"/>
  <c r="AX78" i="1" s="1"/>
  <c r="AX107" i="1" s="1"/>
  <c r="IQ20" i="4"/>
  <c r="BK79" i="1" s="1"/>
  <c r="BK108" i="1" s="1"/>
  <c r="IS19" i="4"/>
  <c r="BM78" i="1" s="1"/>
  <c r="BM107" i="1" s="1"/>
  <c r="IR19" i="4"/>
  <c r="BL78" i="1" s="1"/>
  <c r="IU20" i="4"/>
  <c r="BO79" i="1" s="1"/>
  <c r="BO108" i="1" s="1"/>
  <c r="IF19" i="4"/>
  <c r="AZ78" i="1" s="1"/>
  <c r="AZ107" i="1" s="1"/>
  <c r="IL20" i="4"/>
  <c r="BF79" i="1" s="1"/>
  <c r="BF108" i="1" s="1"/>
  <c r="HR20" i="4"/>
  <c r="AL79" i="1" s="1"/>
  <c r="HS19" i="4"/>
  <c r="AM78" i="1" s="1"/>
  <c r="IA19" i="4"/>
  <c r="AU78" i="1" s="1"/>
  <c r="AU107" i="1" s="1"/>
  <c r="P188" i="1"/>
  <c r="HT20" i="4"/>
  <c r="AN79" i="1" s="1"/>
  <c r="AN108" i="1" s="1"/>
  <c r="HV20" i="4"/>
  <c r="AP79" i="1" s="1"/>
  <c r="AP108" i="1" s="1"/>
  <c r="AL12" i="1"/>
  <c r="IG20" i="4"/>
  <c r="BA79" i="1" s="1"/>
  <c r="BA108" i="1" s="1"/>
  <c r="ID20" i="4"/>
  <c r="AX79" i="1" s="1"/>
  <c r="AX108" i="1" s="1"/>
  <c r="HX19" i="4"/>
  <c r="AR78" i="1" s="1"/>
  <c r="AR107" i="1" s="1"/>
  <c r="II19" i="4"/>
  <c r="BC78" i="1" s="1"/>
  <c r="BC107" i="1" s="1"/>
  <c r="II20" i="4"/>
  <c r="BC79" i="1" s="1"/>
  <c r="BC108" i="1" s="1"/>
  <c r="IC19" i="4"/>
  <c r="AW78" i="1" s="1"/>
  <c r="AW107" i="1" s="1"/>
  <c r="IY19" i="4"/>
  <c r="BS78" i="1" s="1"/>
  <c r="BS107" i="1" s="1"/>
  <c r="IU19" i="4"/>
  <c r="BO78" i="1" s="1"/>
  <c r="BO107" i="1" s="1"/>
  <c r="HY20" i="4"/>
  <c r="AS79" i="1" s="1"/>
  <c r="AS108" i="1" s="1"/>
  <c r="IN19" i="4"/>
  <c r="BH78" i="1" s="1"/>
  <c r="BH107" i="1" s="1"/>
  <c r="JI19" i="4"/>
  <c r="CC78" i="1" s="1"/>
  <c r="IM20" i="4"/>
  <c r="BG79" i="1" s="1"/>
  <c r="BG108" i="1" s="1"/>
  <c r="JB20" i="4"/>
  <c r="BV79" i="1" s="1"/>
  <c r="BV108" i="1" s="1"/>
  <c r="IV19" i="4"/>
  <c r="BP78" i="1" s="1"/>
  <c r="BP107" i="1" s="1"/>
  <c r="IC20" i="4"/>
  <c r="AW79" i="1" s="1"/>
  <c r="AW108" i="1" s="1"/>
  <c r="HT19" i="4"/>
  <c r="AN78" i="1" s="1"/>
  <c r="AN107" i="1" s="1"/>
  <c r="JI20" i="4"/>
  <c r="CC79" i="1" s="1"/>
  <c r="HR19" i="4"/>
  <c r="AL78" i="1" s="1"/>
  <c r="HZ19" i="4"/>
  <c r="AT78" i="1" s="1"/>
  <c r="AT107" i="1" s="1"/>
  <c r="HP19" i="4"/>
  <c r="AJ78" i="1" s="1"/>
  <c r="JF20" i="4"/>
  <c r="BZ79" i="1" s="1"/>
  <c r="HV19" i="4"/>
  <c r="AP78" i="1" s="1"/>
  <c r="AP107" i="1" s="1"/>
  <c r="JH20" i="4"/>
  <c r="CB79" i="1" s="1"/>
  <c r="IZ19" i="4"/>
  <c r="BT78" i="1" s="1"/>
  <c r="BT107" i="1" s="1"/>
  <c r="IT20" i="4"/>
  <c r="BN79" i="1" s="1"/>
  <c r="BN108" i="1" s="1"/>
  <c r="IO19" i="4"/>
  <c r="BI78" i="1" s="1"/>
  <c r="BI107" i="1" s="1"/>
  <c r="IB20" i="4"/>
  <c r="AV79" i="1" s="1"/>
  <c r="AV108" i="1" s="1"/>
  <c r="IM19" i="4"/>
  <c r="BG78" i="1" s="1"/>
  <c r="BG107" i="1" s="1"/>
  <c r="HW20" i="4"/>
  <c r="AQ79" i="1" s="1"/>
  <c r="AQ108" i="1" s="1"/>
  <c r="HQ19" i="4"/>
  <c r="AK78" i="1" s="1"/>
  <c r="IR20" i="4"/>
  <c r="BL79" i="1" s="1"/>
  <c r="BL96" i="1" s="1"/>
  <c r="IK19" i="4"/>
  <c r="BE78" i="1" s="1"/>
  <c r="BE107" i="1" s="1"/>
  <c r="JD20" i="4"/>
  <c r="BX79" i="1" s="1"/>
  <c r="BX108" i="1" s="1"/>
  <c r="IT19" i="4"/>
  <c r="BN78" i="1" s="1"/>
  <c r="BN107" i="1" s="1"/>
  <c r="CL10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J179" i="1" l="1"/>
  <c r="BK179" i="1" s="1"/>
  <c r="AL183" i="1"/>
  <c r="BX138" i="1"/>
  <c r="BY138" i="1"/>
  <c r="BZ203" i="1" s="1"/>
  <c r="BZ201" i="1" s="1"/>
  <c r="BZ33" i="1"/>
  <c r="I16" i="1"/>
  <c r="I98" i="1"/>
  <c r="J11" i="1"/>
  <c r="H11" i="1"/>
  <c r="H188" i="1"/>
  <c r="BX184" i="1"/>
  <c r="I188" i="1"/>
  <c r="R16" i="1"/>
  <c r="O16" i="1"/>
  <c r="O17" i="1" s="1"/>
  <c r="O98" i="1"/>
  <c r="O11" i="1"/>
  <c r="IL19" i="4"/>
  <c r="BF78" i="1" s="1"/>
  <c r="BF107" i="1" s="1"/>
  <c r="IH16" i="4"/>
  <c r="T188" i="1"/>
  <c r="CC102" i="1"/>
  <c r="U17" i="1"/>
  <c r="V18" i="1"/>
  <c r="O188" i="1"/>
  <c r="CA102" i="1"/>
  <c r="CB94" i="1"/>
  <c r="CB102" i="1"/>
  <c r="CB85" i="1"/>
  <c r="BY33" i="1"/>
  <c r="W18" i="1"/>
  <c r="AK27" i="1"/>
  <c r="E188" i="1"/>
  <c r="E98" i="1"/>
  <c r="E11" i="1"/>
  <c r="E16" i="1"/>
  <c r="K98" i="1"/>
  <c r="K16" i="1"/>
  <c r="E27" i="1"/>
  <c r="K11" i="1"/>
  <c r="B27" i="1"/>
  <c r="C27" i="1"/>
  <c r="BY129" i="1"/>
  <c r="V28" i="1"/>
  <c r="BZ249" i="1"/>
  <c r="BZ251" i="1" s="1"/>
  <c r="BZ206" i="1"/>
  <c r="B28" i="1"/>
  <c r="B29" i="1" s="1"/>
  <c r="IQ19" i="4"/>
  <c r="BK78" i="1" s="1"/>
  <c r="BK107" i="1" s="1"/>
  <c r="BX27" i="1"/>
  <c r="AL28" i="1"/>
  <c r="D11" i="1"/>
  <c r="AM19" i="1"/>
  <c r="S11" i="1"/>
  <c r="S188" i="1"/>
  <c r="C16" i="1"/>
  <c r="C188" i="1"/>
  <c r="C11" i="1"/>
  <c r="AK16" i="1"/>
  <c r="D188" i="1"/>
  <c r="AK12" i="1"/>
  <c r="N188" i="1"/>
  <c r="CA225" i="1"/>
  <c r="AJ27" i="1"/>
  <c r="BY92" i="1"/>
  <c r="BZ207" i="1"/>
  <c r="BY12" i="1"/>
  <c r="CB11" i="1"/>
  <c r="CC188" i="1"/>
  <c r="BX16" i="1"/>
  <c r="AM28" i="1"/>
  <c r="W28" i="1"/>
  <c r="X250" i="1" s="1"/>
  <c r="AJ28" i="1"/>
  <c r="H98" i="1"/>
  <c r="U188" i="1"/>
  <c r="BY206" i="1"/>
  <c r="T11" i="1"/>
  <c r="R11" i="1"/>
  <c r="BX168" i="1"/>
  <c r="BY37" i="1" s="1"/>
  <c r="U11" i="1"/>
  <c r="Q16" i="1"/>
  <c r="Q17" i="1" s="1"/>
  <c r="Q188" i="1"/>
  <c r="J16" i="1"/>
  <c r="J17" i="1" s="1"/>
  <c r="BK249" i="1"/>
  <c r="I11" i="1"/>
  <c r="T98" i="1"/>
  <c r="T16" i="1"/>
  <c r="T18" i="1" s="1"/>
  <c r="AK206" i="1"/>
  <c r="AM249" i="1"/>
  <c r="BK134" i="1"/>
  <c r="BJ138" i="1"/>
  <c r="BJ246" i="1" s="1"/>
  <c r="BL206" i="1"/>
  <c r="BL249" i="1"/>
  <c r="HR21" i="4"/>
  <c r="AL77" i="1" s="1"/>
  <c r="JF14" i="4"/>
  <c r="JF19" i="4" s="1"/>
  <c r="BZ78" i="1" s="1"/>
  <c r="Q11" i="1"/>
  <c r="Q98" i="1"/>
  <c r="L11" i="1"/>
  <c r="L98" i="1"/>
  <c r="L16" i="1"/>
  <c r="BX181" i="1"/>
  <c r="AM102" i="1"/>
  <c r="D27" i="1"/>
  <c r="L188" i="1"/>
  <c r="AM27" i="1"/>
  <c r="BY207" i="1"/>
  <c r="M16" i="1"/>
  <c r="M17" i="1" s="1"/>
  <c r="M188" i="1"/>
  <c r="AJ129" i="1"/>
  <c r="BX157" i="1"/>
  <c r="BX165" i="1" s="1"/>
  <c r="BX129" i="1"/>
  <c r="N11" i="1"/>
  <c r="F188" i="1"/>
  <c r="BX186" i="1"/>
  <c r="CB189" i="1" s="1"/>
  <c r="F11" i="1"/>
  <c r="F16" i="1"/>
  <c r="F17" i="1" s="1"/>
  <c r="BX95" i="1"/>
  <c r="G11" i="1"/>
  <c r="F98" i="1"/>
  <c r="M11" i="1"/>
  <c r="BX248" i="1"/>
  <c r="J188" i="1"/>
  <c r="K188" i="1"/>
  <c r="R188" i="1"/>
  <c r="BY249" i="1"/>
  <c r="J98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AM108" i="1"/>
  <c r="AM104" i="1"/>
  <c r="BX246" i="1"/>
  <c r="BX89" i="1"/>
  <c r="BX107" i="1"/>
  <c r="CB86" i="1"/>
  <c r="CB103" i="1"/>
  <c r="CB95" i="1"/>
  <c r="CB107" i="1"/>
  <c r="CB110" i="1" s="1"/>
  <c r="CB113" i="1" s="1"/>
  <c r="N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BX96" i="1"/>
  <c r="CB104" i="1"/>
  <c r="BL108" i="1"/>
  <c r="BL111" i="1" s="1"/>
  <c r="CB87" i="1"/>
  <c r="BY107" i="1"/>
  <c r="BY89" i="1"/>
  <c r="D17" i="1"/>
  <c r="D28" i="1"/>
  <c r="P17" i="1"/>
  <c r="G17" i="1"/>
  <c r="H18" i="1"/>
  <c r="CA103" i="1"/>
  <c r="CA107" i="1"/>
  <c r="CA95" i="1"/>
  <c r="AL108" i="1"/>
  <c r="AM103" i="1"/>
  <c r="AM107" i="1"/>
  <c r="BL107" i="1"/>
  <c r="BL110" i="1" s="1"/>
  <c r="BL95" i="1"/>
  <c r="CA96" i="1"/>
  <c r="CA108" i="1"/>
  <c r="CA104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184" i="1" l="1"/>
  <c r="AM183" i="1"/>
  <c r="AL96" i="1"/>
  <c r="S18" i="1"/>
  <c r="I17" i="1"/>
  <c r="I18" i="1"/>
  <c r="BY203" i="1"/>
  <c r="BY201" i="1" s="1"/>
  <c r="O18" i="1"/>
  <c r="P18" i="1"/>
  <c r="V29" i="1"/>
  <c r="B112" i="1"/>
  <c r="R17" i="1"/>
  <c r="K17" i="1"/>
  <c r="E28" i="1"/>
  <c r="E29" i="1" s="1"/>
  <c r="E17" i="1"/>
  <c r="IH21" i="4"/>
  <c r="BB77" i="1" s="1"/>
  <c r="IF16" i="4"/>
  <c r="V34" i="1"/>
  <c r="V38" i="1" s="1"/>
  <c r="V112" i="1"/>
  <c r="V232" i="1"/>
  <c r="V233" i="1" s="1"/>
  <c r="L18" i="1"/>
  <c r="N18" i="1"/>
  <c r="AJ166" i="1"/>
  <c r="E18" i="1"/>
  <c r="C18" i="1"/>
  <c r="C28" i="1"/>
  <c r="D18" i="1"/>
  <c r="C17" i="1"/>
  <c r="AL19" i="1"/>
  <c r="AK28" i="1"/>
  <c r="AK17" i="1"/>
  <c r="AK19" i="1"/>
  <c r="G18" i="1"/>
  <c r="F18" i="1"/>
  <c r="W34" i="1"/>
  <c r="W38" i="1" s="1"/>
  <c r="BL33" i="1"/>
  <c r="BK138" i="1"/>
  <c r="BL203" i="1" s="1"/>
  <c r="BL201" i="1" s="1"/>
  <c r="BY205" i="1"/>
  <c r="BY94" i="1"/>
  <c r="BY95" i="1"/>
  <c r="BY96" i="1"/>
  <c r="W250" i="1"/>
  <c r="AL232" i="1"/>
  <c r="AL233" i="1" s="1"/>
  <c r="AM31" i="1"/>
  <c r="AL34" i="1"/>
  <c r="AL38" i="1" s="1"/>
  <c r="AL29" i="1"/>
  <c r="AM232" i="1"/>
  <c r="AM233" i="1" s="1"/>
  <c r="BZ205" i="1"/>
  <c r="J18" i="1"/>
  <c r="AJ34" i="1"/>
  <c r="AJ38" i="1" s="1"/>
  <c r="AJ232" i="1"/>
  <c r="AJ233" i="1" s="1"/>
  <c r="BX109" i="1"/>
  <c r="CB18" i="1"/>
  <c r="BX28" i="1"/>
  <c r="AM34" i="1"/>
  <c r="AM38" i="1" s="1"/>
  <c r="AM250" i="1"/>
  <c r="W30" i="1"/>
  <c r="AJ29" i="1"/>
  <c r="BX17" i="1"/>
  <c r="BY19" i="1"/>
  <c r="Q18" i="1"/>
  <c r="AM29" i="1"/>
  <c r="W232" i="1"/>
  <c r="W233" i="1" s="1"/>
  <c r="X30" i="1"/>
  <c r="W29" i="1"/>
  <c r="W112" i="1"/>
  <c r="R18" i="1"/>
  <c r="K18" i="1"/>
  <c r="T17" i="1"/>
  <c r="U18" i="1"/>
  <c r="M18" i="1"/>
  <c r="L17" i="1"/>
  <c r="BZ95" i="1"/>
  <c r="BZ89" i="1"/>
  <c r="BZ107" i="1"/>
  <c r="BZ110" i="1" s="1"/>
  <c r="BX166" i="1"/>
  <c r="AJ198" i="1"/>
  <c r="AL165" i="1"/>
  <c r="AL166" i="1" s="1"/>
  <c r="BJ94" i="1"/>
  <c r="BJ95" i="1"/>
  <c r="BJ96" i="1"/>
  <c r="AM203" i="1"/>
  <c r="AM201" i="1" s="1"/>
  <c r="AL246" i="1"/>
  <c r="AK138" i="1"/>
  <c r="AK203" i="1" s="1"/>
  <c r="AK201" i="1" s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D29" i="1"/>
  <c r="D34" i="1"/>
  <c r="D38" i="1" s="1"/>
  <c r="D232" i="1"/>
  <c r="D233" i="1" s="1"/>
  <c r="E30" i="1"/>
  <c r="D112" i="1"/>
  <c r="CA112" i="1"/>
  <c r="BX232" i="1"/>
  <c r="BX233" i="1" s="1"/>
  <c r="BY31" i="1"/>
  <c r="BY250" i="1"/>
  <c r="BY251" i="1" s="1"/>
  <c r="AM41" i="1"/>
  <c r="AM42" i="1" s="1"/>
  <c r="AM245" i="1" s="1"/>
  <c r="AM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40" i="1" l="1"/>
  <c r="AL41" i="1"/>
  <c r="BX29" i="1"/>
  <c r="BX34" i="1"/>
  <c r="CB30" i="1"/>
  <c r="AM251" i="1"/>
  <c r="AJ41" i="1"/>
  <c r="AJ40" i="1"/>
  <c r="BX110" i="1"/>
  <c r="BX111" i="1"/>
  <c r="IF21" i="4"/>
  <c r="AZ77" i="1" s="1"/>
  <c r="JD16" i="4"/>
  <c r="JD21" i="4" s="1"/>
  <c r="BX77" i="1" s="1"/>
  <c r="BX94" i="1" s="1"/>
  <c r="AL250" i="1"/>
  <c r="AL251" i="1" s="1"/>
  <c r="AM226" i="1"/>
  <c r="V41" i="1"/>
  <c r="V40" i="1"/>
  <c r="D250" i="1"/>
  <c r="C250" i="1"/>
  <c r="C29" i="1"/>
  <c r="D30" i="1"/>
  <c r="C30" i="1"/>
  <c r="AK232" i="1"/>
  <c r="AK233" i="1" s="1"/>
  <c r="AL31" i="1"/>
  <c r="AK29" i="1"/>
  <c r="AK34" i="1"/>
  <c r="AK38" i="1" s="1"/>
  <c r="AM112" i="1"/>
  <c r="W40" i="1"/>
  <c r="AK31" i="1"/>
  <c r="W41" i="1"/>
  <c r="AL203" i="1"/>
  <c r="AL201" i="1" s="1"/>
  <c r="AL111" i="1"/>
  <c r="AL110" i="1"/>
  <c r="AJ42" i="1"/>
  <c r="AJ48" i="1"/>
  <c r="AJ234" i="1"/>
  <c r="AL234" i="1"/>
  <c r="AL48" i="1"/>
  <c r="D41" i="1"/>
  <c r="D40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42" i="1" l="1"/>
  <c r="AL245" i="1" s="1"/>
  <c r="BX38" i="1"/>
  <c r="CA55" i="1"/>
  <c r="AM44" i="1"/>
  <c r="V42" i="1"/>
  <c r="V245" i="1" s="1"/>
  <c r="V48" i="1"/>
  <c r="AK41" i="1"/>
  <c r="AK40" i="1"/>
  <c r="W42" i="1"/>
  <c r="W245" i="1" s="1"/>
  <c r="W48" i="1"/>
  <c r="W52" i="1" s="1"/>
  <c r="X43" i="1"/>
  <c r="W234" i="1"/>
  <c r="W43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BX40" i="1"/>
  <c r="AJ193" i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X41" i="1" l="1"/>
  <c r="AM227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AJ210" i="1"/>
  <c r="AJ211" i="1" s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W48" i="2"/>
  <c r="V55" i="2"/>
  <c r="D109" i="2"/>
  <c r="H91" i="2"/>
  <c r="K54" i="2"/>
  <c r="U74" i="2"/>
  <c r="P66" i="2"/>
  <c r="U84" i="2"/>
  <c r="G106" i="2"/>
  <c r="E86" i="2"/>
  <c r="J50" i="2"/>
  <c r="J93" i="2"/>
  <c r="D108" i="2"/>
  <c r="I89" i="2"/>
  <c r="T108" i="2"/>
  <c r="M48" i="2"/>
  <c r="P76" i="2"/>
  <c r="M85" i="2"/>
  <c r="L75" i="2"/>
  <c r="W108" i="2"/>
  <c r="T84" i="2"/>
  <c r="V49" i="2"/>
  <c r="L93" i="2"/>
  <c r="X49" i="2"/>
  <c r="D62" i="2"/>
  <c r="D50" i="2"/>
  <c r="M92" i="2"/>
  <c r="D45" i="2"/>
  <c r="W113" i="2"/>
  <c r="C96" i="2"/>
  <c r="C71" i="2"/>
  <c r="S53" i="2"/>
  <c r="W75" i="2"/>
  <c r="X46" i="2"/>
  <c r="P111" i="2"/>
  <c r="T85" i="2"/>
  <c r="C89" i="2"/>
  <c r="T94" i="2"/>
  <c r="D52" i="2"/>
  <c r="X113" i="2"/>
  <c r="W105" i="2"/>
  <c r="E92" i="2"/>
  <c r="Q48" i="2"/>
  <c r="G53" i="2"/>
  <c r="W54" i="2"/>
  <c r="F48" i="2"/>
  <c r="U83" i="2"/>
  <c r="W61" i="2"/>
  <c r="J76" i="2"/>
  <c r="Q105" i="2"/>
  <c r="O63" i="2"/>
  <c r="L79" i="2"/>
  <c r="N53" i="2"/>
  <c r="U77" i="2"/>
  <c r="G88" i="2"/>
  <c r="E50" i="2"/>
  <c r="W58" i="2"/>
  <c r="I42" i="2"/>
  <c r="M84" i="2"/>
  <c r="N75" i="2"/>
  <c r="L99" i="2"/>
  <c r="N109" i="2"/>
  <c r="O104" i="2"/>
  <c r="V109" i="2"/>
  <c r="J77" i="2"/>
  <c r="D43" i="2"/>
  <c r="Q86" i="2"/>
  <c r="W64" i="2"/>
  <c r="O67" i="2"/>
  <c r="V44" i="2"/>
  <c r="G94" i="2"/>
  <c r="R65" i="2"/>
  <c r="T58" i="2"/>
  <c r="N44" i="2"/>
  <c r="P77" i="2"/>
  <c r="G69" i="2"/>
  <c r="X81" i="2"/>
  <c r="N57" i="2"/>
  <c r="K111" i="2"/>
  <c r="U51" i="2"/>
  <c r="AB83" i="3"/>
  <c r="C48" i="3"/>
  <c r="AB93" i="3"/>
  <c r="AB96" i="3"/>
  <c r="AP95" i="3"/>
  <c r="AB70" i="3"/>
  <c r="AB85" i="3"/>
  <c r="W5" i="3"/>
  <c r="C37" i="3"/>
  <c r="H41" i="3"/>
  <c r="AK31" i="3"/>
  <c r="X3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O113" i="2"/>
  <c r="E106" i="2"/>
  <c r="P85" i="2"/>
  <c r="J61" i="2"/>
  <c r="R109" i="2"/>
  <c r="G109" i="2"/>
  <c r="F40" i="2"/>
  <c r="S40" i="2"/>
  <c r="K94" i="2"/>
  <c r="O41" i="2"/>
  <c r="I85" i="2"/>
  <c r="F99" i="2"/>
  <c r="L82" i="2"/>
  <c r="C58" i="2"/>
  <c r="W73" i="2"/>
  <c r="P42" i="2"/>
  <c r="H84" i="2"/>
  <c r="E70" i="2"/>
  <c r="L51" i="2"/>
  <c r="P87" i="2"/>
  <c r="S79" i="2"/>
  <c r="F106" i="2"/>
  <c r="N104" i="2"/>
  <c r="H41" i="2"/>
  <c r="T80" i="2"/>
  <c r="P98" i="2"/>
  <c r="J110" i="2"/>
  <c r="D79" i="2"/>
  <c r="O90" i="2"/>
  <c r="K109" i="2"/>
  <c r="E89" i="2"/>
  <c r="Q88" i="2"/>
  <c r="S49" i="2"/>
  <c r="F90" i="2"/>
  <c r="S93" i="2"/>
  <c r="S88" i="2"/>
  <c r="G68" i="2"/>
  <c r="Q79" i="2"/>
  <c r="J73" i="2"/>
  <c r="E98" i="2"/>
  <c r="F91" i="2"/>
  <c r="F61" i="2"/>
  <c r="J111" i="2"/>
  <c r="M83" i="2"/>
  <c r="X56" i="2"/>
  <c r="M72" i="2"/>
  <c r="F64" i="2"/>
  <c r="L64" i="2"/>
  <c r="I111" i="2"/>
  <c r="J48" i="2"/>
  <c r="G54" i="2"/>
  <c r="K112" i="2"/>
  <c r="C40" i="2"/>
  <c r="D67" i="2"/>
  <c r="W86" i="2"/>
  <c r="U43" i="2"/>
  <c r="P57" i="2"/>
  <c r="H88" i="2"/>
  <c r="J60" i="2"/>
  <c r="D41" i="2"/>
  <c r="P56" i="2"/>
  <c r="I40" i="2"/>
  <c r="H109" i="2"/>
  <c r="K63" i="2"/>
  <c r="W112" i="2"/>
  <c r="O47" i="2"/>
  <c r="S98" i="2"/>
  <c r="AP68" i="3"/>
  <c r="AP66" i="3"/>
  <c r="AB92" i="3"/>
  <c r="AP91" i="3"/>
  <c r="AP74" i="3"/>
  <c r="AP77" i="3"/>
  <c r="AB84" i="3"/>
  <c r="P32" i="3"/>
  <c r="L19" i="3"/>
  <c r="Y22" i="3"/>
  <c r="M17" i="3"/>
  <c r="M10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V67" i="2"/>
  <c r="S69" i="2"/>
  <c r="T76" i="2"/>
  <c r="O95" i="2"/>
  <c r="U42" i="2"/>
  <c r="U91" i="2"/>
  <c r="X73" i="2"/>
  <c r="D90" i="2"/>
  <c r="O68" i="2"/>
  <c r="V96" i="2"/>
  <c r="X70" i="2"/>
  <c r="X50" i="2"/>
  <c r="G92" i="2"/>
  <c r="M82" i="2"/>
  <c r="P71" i="2"/>
  <c r="F46" i="2"/>
  <c r="F71" i="2"/>
  <c r="U92" i="2"/>
  <c r="R81" i="2"/>
  <c r="W47" i="2"/>
  <c r="F111" i="2"/>
  <c r="I66" i="2"/>
  <c r="X79" i="2"/>
  <c r="R108" i="2"/>
  <c r="S92" i="2"/>
  <c r="C47" i="2"/>
  <c r="R77" i="2"/>
  <c r="U55" i="2"/>
  <c r="E85" i="2"/>
  <c r="V105" i="2"/>
  <c r="M49" i="2"/>
  <c r="N66" i="2"/>
  <c r="W111" i="2"/>
  <c r="H72" i="2"/>
  <c r="H79" i="2"/>
  <c r="C60" i="2"/>
  <c r="P108" i="2"/>
  <c r="R47" i="2"/>
  <c r="L56" i="2"/>
  <c r="K48" i="2"/>
  <c r="V63" i="2"/>
  <c r="F43" i="2"/>
  <c r="X76" i="2"/>
  <c r="J44" i="2"/>
  <c r="D64" i="2"/>
  <c r="E88" i="2"/>
  <c r="U69" i="2"/>
  <c r="V81" i="2"/>
  <c r="D59" i="2"/>
  <c r="H42" i="2"/>
  <c r="C83" i="2"/>
  <c r="G49" i="2"/>
  <c r="G80" i="2"/>
  <c r="T86" i="2"/>
  <c r="J96" i="2"/>
  <c r="O91" i="2"/>
  <c r="P52" i="2"/>
  <c r="H90" i="2"/>
  <c r="P74" i="2"/>
  <c r="T57" i="2"/>
  <c r="T70" i="2"/>
  <c r="R40" i="2"/>
  <c r="H93" i="2"/>
  <c r="Q47" i="2"/>
  <c r="D107" i="2"/>
  <c r="F97" i="2"/>
  <c r="R60" i="2"/>
  <c r="AB81" i="3"/>
  <c r="AB78" i="3"/>
  <c r="AP55" i="3"/>
  <c r="AP58" i="3"/>
  <c r="AP54" i="3"/>
  <c r="AP89" i="3"/>
  <c r="AB95" i="3"/>
  <c r="I22" i="3"/>
  <c r="N24" i="3"/>
  <c r="C23" i="3"/>
  <c r="U57" i="2"/>
  <c r="S80" i="2"/>
  <c r="I95" i="2"/>
  <c r="U79" i="2"/>
  <c r="J43" i="2"/>
  <c r="L95" i="2"/>
  <c r="N45" i="2"/>
  <c r="P64" i="2"/>
  <c r="I67" i="2"/>
  <c r="O74" i="2"/>
  <c r="V74" i="2"/>
  <c r="C46" i="2"/>
  <c r="U75" i="2"/>
  <c r="P67" i="2"/>
  <c r="D63" i="2"/>
  <c r="I76" i="2"/>
  <c r="S43" i="2"/>
  <c r="R62" i="2"/>
  <c r="L113" i="2"/>
  <c r="Q76" i="2"/>
  <c r="H95" i="2"/>
  <c r="O105" i="2"/>
  <c r="W68" i="2"/>
  <c r="R91" i="2"/>
  <c r="D44" i="2"/>
  <c r="O87" i="2"/>
  <c r="K105" i="2"/>
  <c r="L111" i="2"/>
  <c r="S84" i="2"/>
  <c r="W107" i="2"/>
  <c r="V89" i="2"/>
  <c r="V54" i="2"/>
  <c r="K72" i="2"/>
  <c r="I86" i="2"/>
  <c r="D74" i="2"/>
  <c r="X51" i="2"/>
  <c r="W80" i="2"/>
  <c r="S71" i="2"/>
  <c r="L49" i="2"/>
  <c r="N43" i="2"/>
  <c r="J42" i="2"/>
  <c r="O99" i="2"/>
  <c r="L96" i="2"/>
  <c r="R72" i="2"/>
  <c r="N106" i="2"/>
  <c r="R96" i="2"/>
  <c r="I87" i="2"/>
  <c r="M90" i="2"/>
  <c r="T71" i="2"/>
  <c r="K55" i="2"/>
  <c r="E80" i="2"/>
  <c r="D73" i="2"/>
  <c r="P60" i="2"/>
  <c r="C110" i="2"/>
  <c r="I110" i="2"/>
  <c r="H57" i="2"/>
  <c r="X104" i="2"/>
  <c r="I93" i="2"/>
  <c r="G86" i="2"/>
  <c r="N46" i="2"/>
  <c r="E48" i="2"/>
  <c r="K58" i="2"/>
  <c r="L67" i="2"/>
  <c r="S95" i="2"/>
  <c r="S64" i="2"/>
  <c r="L109" i="2"/>
  <c r="F93" i="2"/>
  <c r="AP84" i="3"/>
  <c r="AB55" i="3"/>
  <c r="AP78" i="3"/>
  <c r="AP47" i="3"/>
  <c r="AP80" i="3"/>
  <c r="O56" i="2"/>
  <c r="G98" i="2"/>
  <c r="I108" i="2"/>
  <c r="U99" i="2"/>
  <c r="O84" i="2"/>
  <c r="D61" i="2"/>
  <c r="W93" i="2"/>
  <c r="V107" i="2"/>
  <c r="H110" i="2"/>
  <c r="K49" i="2"/>
  <c r="G58" i="2"/>
  <c r="M57" i="2"/>
  <c r="H112" i="2"/>
  <c r="K108" i="2"/>
  <c r="F41" i="2"/>
  <c r="S99" i="2"/>
  <c r="I113" i="2"/>
  <c r="K82" i="2"/>
  <c r="W88" i="2"/>
  <c r="E104" i="2"/>
  <c r="G61" i="2"/>
  <c r="K47" i="2"/>
  <c r="W59" i="2"/>
  <c r="R87" i="2"/>
  <c r="N76" i="2"/>
  <c r="U78" i="2"/>
  <c r="H44" i="2"/>
  <c r="U47" i="2"/>
  <c r="R75" i="2"/>
  <c r="T68" i="2"/>
  <c r="Q82" i="2"/>
  <c r="E69" i="2"/>
  <c r="M94" i="2"/>
  <c r="F51" i="2"/>
  <c r="S107" i="2"/>
  <c r="X88" i="2"/>
  <c r="U109" i="2"/>
  <c r="N108" i="2"/>
  <c r="C82" i="2"/>
  <c r="T41" i="2"/>
  <c r="L98" i="2"/>
  <c r="T83" i="2"/>
  <c r="V104" i="2"/>
  <c r="J97" i="2"/>
  <c r="M95" i="2"/>
  <c r="D95" i="2"/>
  <c r="D60" i="2"/>
  <c r="W82" i="2"/>
  <c r="Q42" i="2"/>
  <c r="V70" i="2"/>
  <c r="C104" i="2"/>
  <c r="W110" i="2"/>
  <c r="W45" i="2"/>
  <c r="H58" i="2"/>
  <c r="H63" i="2"/>
  <c r="D56" i="2"/>
  <c r="G67" i="2"/>
  <c r="F59" i="2"/>
  <c r="X78" i="2"/>
  <c r="R59" i="2"/>
  <c r="G55" i="2"/>
  <c r="Q51" i="2"/>
  <c r="S66" i="2"/>
  <c r="W96" i="2"/>
  <c r="O109" i="2"/>
  <c r="M42" i="2"/>
  <c r="V79" i="2"/>
  <c r="AP70" i="3"/>
  <c r="AB48" i="3"/>
  <c r="C47" i="3"/>
  <c r="AP92" i="3"/>
  <c r="AB56" i="3"/>
  <c r="AP67" i="3"/>
  <c r="T23" i="3"/>
  <c r="AG39" i="3"/>
  <c r="Z19" i="3"/>
  <c r="AJ17" i="3"/>
  <c r="AL20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P50" i="2"/>
  <c r="T45" i="2"/>
  <c r="P83" i="2"/>
  <c r="G66" i="2"/>
  <c r="G40" i="2"/>
  <c r="X83" i="2"/>
  <c r="T88" i="2"/>
  <c r="C41" i="2"/>
  <c r="E52" i="2"/>
  <c r="P65" i="2"/>
  <c r="P63" i="2"/>
  <c r="R95" i="2"/>
  <c r="C67" i="2"/>
  <c r="V65" i="2"/>
  <c r="E61" i="2"/>
  <c r="T50" i="2"/>
  <c r="J80" i="2"/>
  <c r="U53" i="2"/>
  <c r="C49" i="2"/>
  <c r="S78" i="2"/>
  <c r="U81" i="2"/>
  <c r="M86" i="2"/>
  <c r="S63" i="2"/>
  <c r="E58" i="2"/>
  <c r="W81" i="2"/>
  <c r="L44" i="2"/>
  <c r="R63" i="2"/>
  <c r="Q106" i="2"/>
  <c r="E99" i="2"/>
  <c r="R74" i="2"/>
  <c r="X110" i="2"/>
  <c r="I63" i="2"/>
  <c r="X69" i="2"/>
  <c r="R112" i="2"/>
  <c r="V76" i="2"/>
  <c r="Q94" i="2"/>
  <c r="R111" i="2"/>
  <c r="D87" i="2"/>
  <c r="Q64" i="2"/>
  <c r="L60" i="2"/>
  <c r="E83" i="2"/>
  <c r="Q75" i="2"/>
  <c r="I43" i="2"/>
  <c r="U89" i="2"/>
  <c r="E91" i="2"/>
  <c r="J85" i="2"/>
  <c r="C52" i="2"/>
  <c r="L66" i="2"/>
  <c r="U106" i="2"/>
  <c r="D58" i="2"/>
  <c r="P93" i="2"/>
  <c r="X43" i="2"/>
  <c r="I81" i="2"/>
  <c r="O52" i="2"/>
  <c r="C78" i="2"/>
  <c r="Q50" i="2"/>
  <c r="F77" i="2"/>
  <c r="G42" i="2"/>
  <c r="T74" i="2"/>
  <c r="C61" i="2"/>
  <c r="N67" i="2"/>
  <c r="Q73" i="2"/>
  <c r="H97" i="2"/>
  <c r="F81" i="2"/>
  <c r="E77" i="2"/>
  <c r="F82" i="2"/>
  <c r="G83" i="2"/>
  <c r="C87" i="2"/>
  <c r="AP96" i="3"/>
  <c r="AP88" i="3"/>
  <c r="AP65" i="3"/>
  <c r="AP87" i="3"/>
  <c r="AB86" i="3"/>
  <c r="AP60" i="3"/>
  <c r="R29" i="3"/>
  <c r="O22" i="3"/>
  <c r="O39" i="3"/>
  <c r="AM16" i="3"/>
  <c r="AP10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Q83" i="2"/>
  <c r="I49" i="2"/>
  <c r="T55" i="2"/>
  <c r="T78" i="2"/>
  <c r="K52" i="2"/>
  <c r="D98" i="2"/>
  <c r="Q66" i="2"/>
  <c r="T90" i="2"/>
  <c r="J82" i="2"/>
  <c r="R58" i="2"/>
  <c r="N72" i="2"/>
  <c r="E94" i="2"/>
  <c r="P62" i="2"/>
  <c r="L62" i="2"/>
  <c r="U67" i="2"/>
  <c r="G110" i="2"/>
  <c r="I99" i="2"/>
  <c r="R113" i="2"/>
  <c r="L73" i="2"/>
  <c r="W41" i="2"/>
  <c r="G105" i="2"/>
  <c r="N69" i="2"/>
  <c r="I45" i="2"/>
  <c r="F56" i="2"/>
  <c r="H68" i="2"/>
  <c r="Q98" i="2"/>
  <c r="J51" i="2"/>
  <c r="D68" i="2"/>
  <c r="T105" i="2"/>
  <c r="O66" i="2"/>
  <c r="J67" i="2"/>
  <c r="T63" i="2"/>
  <c r="AB65" i="3"/>
  <c r="AP83" i="3"/>
  <c r="AB54" i="3"/>
  <c r="AP69" i="3"/>
  <c r="AP12" i="3"/>
  <c r="P39" i="3"/>
  <c r="Q34" i="3"/>
  <c r="AE10" i="3"/>
  <c r="P34" i="3"/>
  <c r="X12" i="3"/>
  <c r="H38" i="3"/>
  <c r="X7" i="3"/>
  <c r="AQ38" i="3"/>
  <c r="AE21" i="3"/>
  <c r="T32" i="3"/>
  <c r="AD20" i="3"/>
  <c r="V12" i="3"/>
  <c r="AN12" i="3"/>
  <c r="AB34" i="3"/>
  <c r="AJ16" i="3"/>
  <c r="T35" i="3"/>
  <c r="P8" i="3"/>
  <c r="C41" i="3"/>
  <c r="L31" i="3"/>
  <c r="AP16" i="3"/>
  <c r="AM5" i="3"/>
  <c r="J34" i="3"/>
  <c r="W7" i="3"/>
  <c r="AM9" i="3"/>
  <c r="AP9" i="3"/>
  <c r="X38" i="3"/>
  <c r="H42" i="3"/>
  <c r="L28" i="3"/>
  <c r="W16" i="3"/>
  <c r="AH35" i="3"/>
  <c r="T26" i="3"/>
  <c r="C24" i="3"/>
  <c r="AB6" i="3"/>
  <c r="AJ34" i="3"/>
  <c r="U33" i="3"/>
  <c r="AP33" i="3"/>
  <c r="AQ22" i="3"/>
  <c r="L36" i="3"/>
  <c r="W35" i="3"/>
  <c r="AC14" i="3"/>
  <c r="AP18" i="3"/>
  <c r="Z26" i="3"/>
  <c r="Y36" i="3"/>
  <c r="N28" i="3"/>
  <c r="P40" i="3"/>
  <c r="R9" i="3"/>
  <c r="AO3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D111" i="2"/>
  <c r="J87" i="2"/>
  <c r="T56" i="2"/>
  <c r="K46" i="2"/>
  <c r="W104" i="2"/>
  <c r="G64" i="2"/>
  <c r="X112" i="2"/>
  <c r="AB73" i="3"/>
  <c r="G36" i="3"/>
  <c r="N15" i="3"/>
  <c r="O38" i="3"/>
  <c r="H13" i="3"/>
  <c r="W29" i="3"/>
  <c r="L8" i="3"/>
  <c r="Y18" i="3"/>
  <c r="O41" i="3"/>
  <c r="AK30" i="3"/>
  <c r="AN6" i="3"/>
  <c r="AC7" i="3"/>
  <c r="H35" i="3"/>
  <c r="I40" i="3"/>
  <c r="N29" i="3"/>
  <c r="AK10" i="3"/>
  <c r="AL7" i="3"/>
  <c r="Q28" i="3"/>
  <c r="AC26" i="3"/>
  <c r="J9" i="3"/>
  <c r="AB36" i="3"/>
  <c r="Q6" i="3"/>
  <c r="AQ25" i="3"/>
  <c r="O14" i="3"/>
  <c r="AC35" i="3"/>
  <c r="N12" i="3"/>
  <c r="AD22" i="3"/>
  <c r="T36" i="3"/>
  <c r="AN13" i="3"/>
  <c r="AI14" i="3"/>
  <c r="AP21" i="3"/>
  <c r="W6" i="3"/>
  <c r="Y33" i="3"/>
  <c r="J20" i="3"/>
  <c r="AL29" i="3"/>
  <c r="AL26" i="3"/>
  <c r="AN21" i="3"/>
  <c r="U111" i="2"/>
  <c r="X109" i="2"/>
  <c r="AB77" i="3"/>
  <c r="AP25" i="3"/>
  <c r="S31" i="3"/>
  <c r="I9" i="3"/>
  <c r="L16" i="3"/>
  <c r="AM24" i="3"/>
  <c r="W10" i="3"/>
  <c r="AJ13" i="3"/>
  <c r="Z23" i="3"/>
  <c r="G49" i="3"/>
  <c r="AJ18" i="3"/>
  <c r="AH26" i="3"/>
  <c r="AC12" i="3"/>
  <c r="N37" i="3"/>
  <c r="AM38" i="3"/>
  <c r="AK18" i="3"/>
  <c r="W8" i="3"/>
  <c r="AN30" i="3"/>
  <c r="D99" i="2"/>
  <c r="M93" i="2"/>
  <c r="C94" i="2"/>
  <c r="F113" i="2"/>
  <c r="O49" i="2"/>
  <c r="J65" i="2"/>
  <c r="F95" i="2"/>
  <c r="C53" i="2"/>
  <c r="T66" i="2"/>
  <c r="W83" i="2"/>
  <c r="K60" i="2"/>
  <c r="U62" i="2"/>
  <c r="S55" i="2"/>
  <c r="X96" i="2"/>
  <c r="W66" i="2"/>
  <c r="U94" i="2"/>
  <c r="N52" i="2"/>
  <c r="D46" i="2"/>
  <c r="J40" i="2"/>
  <c r="P61" i="2"/>
  <c r="M43" i="2"/>
  <c r="J69" i="2"/>
  <c r="U59" i="2"/>
  <c r="N79" i="2"/>
  <c r="X111" i="2"/>
  <c r="E113" i="2"/>
  <c r="E97" i="2"/>
  <c r="I75" i="2"/>
  <c r="E87" i="2"/>
  <c r="N70" i="2"/>
  <c r="E78" i="2"/>
  <c r="U40" i="2"/>
  <c r="AB68" i="3"/>
  <c r="AP59" i="3"/>
  <c r="AP85" i="3"/>
  <c r="AP73" i="3"/>
  <c r="T8" i="3"/>
  <c r="R18" i="3"/>
  <c r="AH31" i="3"/>
  <c r="R24" i="3"/>
  <c r="W22" i="3"/>
  <c r="Z8" i="3"/>
  <c r="G41" i="3"/>
  <c r="O37" i="3"/>
  <c r="R35" i="3"/>
  <c r="S32" i="3"/>
  <c r="P30" i="3"/>
  <c r="AE14" i="3"/>
  <c r="AA30" i="3"/>
  <c r="AM8" i="3"/>
  <c r="AP23" i="3"/>
  <c r="AM14" i="3"/>
  <c r="AJ30" i="3"/>
  <c r="AM39" i="3"/>
  <c r="X16" i="3"/>
  <c r="AA42" i="3"/>
  <c r="AO14" i="3"/>
  <c r="G32" i="3"/>
  <c r="S9" i="3"/>
  <c r="AJ15" i="3"/>
  <c r="AB30" i="3"/>
  <c r="O20" i="3"/>
  <c r="O9" i="3"/>
  <c r="C15" i="3"/>
  <c r="J15" i="3"/>
  <c r="AQ19" i="3"/>
  <c r="AH40" i="3"/>
  <c r="V38" i="3"/>
  <c r="S38" i="3"/>
  <c r="AG6" i="3"/>
  <c r="K15" i="3"/>
  <c r="AL15" i="3"/>
  <c r="Q22" i="3"/>
  <c r="L38" i="3"/>
  <c r="AE5" i="3"/>
  <c r="AO29" i="3"/>
  <c r="S41" i="3"/>
  <c r="N8" i="3"/>
  <c r="AJ32" i="3"/>
  <c r="AO38" i="3"/>
  <c r="AL38" i="3"/>
  <c r="U36" i="3"/>
  <c r="Q41" i="3"/>
  <c r="AD4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V21" i="3"/>
  <c r="AC32" i="3"/>
  <c r="T18" i="3"/>
  <c r="AC11" i="3"/>
  <c r="O40" i="3"/>
  <c r="S15" i="3"/>
  <c r="AJ40" i="3"/>
  <c r="G47" i="3"/>
  <c r="AJ27" i="3"/>
  <c r="I17" i="3"/>
  <c r="AN15" i="3"/>
  <c r="L21" i="3"/>
  <c r="Y41" i="3"/>
  <c r="AQ7" i="3"/>
  <c r="AO5" i="3"/>
  <c r="M40" i="3"/>
  <c r="V20" i="3"/>
  <c r="J19" i="3"/>
  <c r="S37" i="3"/>
  <c r="T31" i="3"/>
  <c r="L35" i="3"/>
  <c r="X20" i="3"/>
  <c r="AO8" i="3"/>
  <c r="AL11" i="3"/>
  <c r="AC24" i="3"/>
  <c r="AK15" i="3"/>
  <c r="AO26" i="3"/>
  <c r="K16" i="3"/>
  <c r="V23" i="3"/>
  <c r="P55" i="2"/>
  <c r="O54" i="2"/>
  <c r="I83" i="2"/>
  <c r="X108" i="2"/>
  <c r="L41" i="2"/>
  <c r="H46" i="2"/>
  <c r="P99" i="2"/>
  <c r="V111" i="2"/>
  <c r="L76" i="2"/>
  <c r="H56" i="2"/>
  <c r="T82" i="2"/>
  <c r="F79" i="2"/>
  <c r="V46" i="2"/>
  <c r="P45" i="2"/>
  <c r="AH14" i="3"/>
  <c r="AK22" i="3"/>
  <c r="R42" i="3"/>
  <c r="I14" i="3"/>
  <c r="L13" i="3"/>
  <c r="N6" i="3"/>
  <c r="C29" i="3"/>
  <c r="Q13" i="3"/>
  <c r="K31" i="3"/>
  <c r="P26" i="3"/>
  <c r="AQ10" i="3"/>
  <c r="Y27" i="3"/>
  <c r="AE13" i="3"/>
  <c r="M21" i="3"/>
  <c r="K26" i="3"/>
  <c r="C26" i="3"/>
  <c r="AK11" i="3"/>
  <c r="AN29" i="3"/>
  <c r="AK39" i="3"/>
  <c r="O32" i="3"/>
  <c r="AE35" i="3"/>
  <c r="AM19" i="3"/>
  <c r="Z14" i="3"/>
  <c r="Z17" i="3"/>
  <c r="S14" i="3"/>
  <c r="K25" i="3"/>
  <c r="P33" i="3"/>
  <c r="H60" i="2"/>
  <c r="D85" i="2"/>
  <c r="S86" i="2"/>
  <c r="W62" i="2"/>
  <c r="W95" i="2"/>
  <c r="U50" i="2"/>
  <c r="C106" i="2"/>
  <c r="O55" i="2"/>
  <c r="D75" i="2"/>
  <c r="AP81" i="3"/>
  <c r="AD37" i="3"/>
  <c r="H6" i="3"/>
  <c r="AN32" i="3"/>
  <c r="I13" i="3"/>
  <c r="W24" i="3"/>
  <c r="K21" i="3"/>
  <c r="X13" i="3"/>
  <c r="M5" i="3"/>
  <c r="H15" i="3"/>
  <c r="AO28" i="3"/>
  <c r="AM7" i="3"/>
  <c r="W23" i="3"/>
  <c r="R34" i="3"/>
  <c r="AA29" i="3"/>
  <c r="X8" i="3"/>
  <c r="AC38" i="3"/>
  <c r="AL35" i="3"/>
  <c r="R12" i="3"/>
  <c r="AD29" i="3"/>
  <c r="H33" i="3"/>
  <c r="P88" i="2"/>
  <c r="U80" i="2"/>
  <c r="L81" i="2"/>
  <c r="N84" i="2"/>
  <c r="K61" i="2"/>
  <c r="T95" i="2"/>
  <c r="Q91" i="2"/>
  <c r="L72" i="2"/>
  <c r="H70" i="2"/>
  <c r="W99" i="2"/>
  <c r="C69" i="2"/>
  <c r="D49" i="2"/>
  <c r="L94" i="2"/>
  <c r="F68" i="2"/>
  <c r="C55" i="2"/>
  <c r="R89" i="2"/>
  <c r="M41" i="2"/>
  <c r="R83" i="2"/>
  <c r="Q112" i="2"/>
  <c r="V56" i="2"/>
  <c r="O65" i="2"/>
  <c r="X52" i="2"/>
  <c r="M75" i="2"/>
  <c r="N49" i="2"/>
  <c r="P58" i="2"/>
  <c r="T112" i="2"/>
  <c r="U110" i="2"/>
  <c r="F66" i="2"/>
  <c r="Q44" i="2"/>
  <c r="F62" i="2"/>
  <c r="H59" i="2"/>
  <c r="E96" i="2"/>
  <c r="AB88" i="3"/>
  <c r="AP61" i="3"/>
  <c r="AP76" i="3"/>
  <c r="AB74" i="3"/>
  <c r="AL33" i="3"/>
  <c r="AK5" i="3"/>
  <c r="I38" i="3"/>
  <c r="Z10" i="3"/>
  <c r="P10" i="3"/>
  <c r="AK21" i="3"/>
  <c r="K38" i="3"/>
  <c r="M29" i="3"/>
  <c r="AI11" i="3"/>
  <c r="K29" i="3"/>
  <c r="S35" i="3"/>
  <c r="Q31" i="3"/>
  <c r="W19" i="3"/>
  <c r="U24" i="3"/>
  <c r="Y39" i="3"/>
  <c r="AM40" i="3"/>
  <c r="AA36" i="3"/>
  <c r="S34" i="3"/>
  <c r="C32" i="3"/>
  <c r="C25" i="3"/>
  <c r="AI10" i="3"/>
  <c r="AH11" i="3"/>
  <c r="AO24" i="3"/>
  <c r="AJ14" i="3"/>
  <c r="J7" i="3"/>
  <c r="AC19" i="3"/>
  <c r="I25" i="3"/>
  <c r="S30" i="3"/>
  <c r="Q5" i="3"/>
  <c r="AP15" i="3"/>
  <c r="AQ12" i="3"/>
  <c r="C8" i="3"/>
  <c r="AI19" i="3"/>
  <c r="C9" i="3"/>
  <c r="Z31" i="3"/>
  <c r="L18" i="3"/>
  <c r="AN19" i="3"/>
  <c r="AQ41" i="3"/>
  <c r="W31" i="3"/>
  <c r="AK7" i="3"/>
  <c r="AO41" i="3"/>
  <c r="Z36" i="3"/>
  <c r="W41" i="3"/>
  <c r="AQ42" i="3"/>
  <c r="P29" i="3"/>
  <c r="V13" i="3"/>
  <c r="AD21" i="3"/>
  <c r="AQ30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K27" i="3"/>
  <c r="AI40" i="3"/>
  <c r="N23" i="3"/>
  <c r="AO19" i="3"/>
  <c r="AG40" i="3"/>
  <c r="N27" i="3"/>
  <c r="K8" i="3"/>
  <c r="AD49" i="3"/>
  <c r="L41" i="3"/>
  <c r="AO13" i="3"/>
  <c r="E84" i="2"/>
  <c r="P70" i="2"/>
  <c r="J79" i="2"/>
  <c r="W67" i="2"/>
  <c r="G87" i="2"/>
  <c r="AB50" i="3"/>
  <c r="C28" i="3"/>
  <c r="M35" i="3"/>
  <c r="T24" i="3"/>
  <c r="AH33" i="3"/>
  <c r="AI16" i="3"/>
  <c r="AN9" i="3"/>
  <c r="AG28" i="3"/>
  <c r="AB37" i="3"/>
  <c r="V18" i="3"/>
  <c r="AC33" i="3"/>
  <c r="P35" i="3"/>
  <c r="AE33" i="3"/>
  <c r="AQ33" i="3"/>
  <c r="AB33" i="3"/>
  <c r="R38" i="3"/>
  <c r="AD19" i="3"/>
  <c r="I6" i="3"/>
  <c r="R39" i="3"/>
  <c r="AB35" i="3"/>
  <c r="Z13" i="3"/>
  <c r="T7" i="3"/>
  <c r="AK42" i="3"/>
  <c r="U18" i="3"/>
  <c r="AD42" i="3"/>
  <c r="M19" i="3"/>
  <c r="AH30" i="3"/>
  <c r="AQ16" i="3"/>
  <c r="AA38" i="3"/>
  <c r="AE12" i="3"/>
  <c r="I5" i="3"/>
  <c r="AJ7" i="3"/>
  <c r="AA27" i="3"/>
  <c r="P6" i="3"/>
  <c r="AL21" i="3"/>
  <c r="AB27" i="3"/>
  <c r="AN38" i="3"/>
  <c r="L42" i="3"/>
  <c r="AA18" i="3"/>
  <c r="U38" i="3"/>
  <c r="AG9" i="3"/>
  <c r="Z27" i="3"/>
  <c r="W32" i="3"/>
  <c r="AD31" i="3"/>
  <c r="F108" i="2"/>
  <c r="S108" i="2"/>
  <c r="T75" i="2"/>
  <c r="D96" i="2"/>
  <c r="F107" i="2"/>
  <c r="V68" i="2"/>
  <c r="U113" i="2"/>
  <c r="Z30" i="3"/>
  <c r="Y17" i="3"/>
  <c r="Z15" i="3"/>
  <c r="Q16" i="3"/>
  <c r="L33" i="3"/>
  <c r="AM12" i="3"/>
  <c r="L23" i="3"/>
  <c r="AG38" i="3"/>
  <c r="AM20" i="3"/>
  <c r="Q40" i="3"/>
  <c r="Q24" i="3"/>
  <c r="AC30" i="3"/>
  <c r="P104" i="2"/>
  <c r="G71" i="2"/>
  <c r="N88" i="2"/>
  <c r="J71" i="2"/>
  <c r="G47" i="2"/>
  <c r="T42" i="2"/>
  <c r="O78" i="2"/>
  <c r="I77" i="2"/>
  <c r="C98" i="2"/>
  <c r="G82" i="2"/>
  <c r="K95" i="2"/>
  <c r="X82" i="2"/>
  <c r="N90" i="2"/>
  <c r="W85" i="2"/>
  <c r="D86" i="2"/>
  <c r="V94" i="2"/>
  <c r="W69" i="2"/>
  <c r="R80" i="2"/>
  <c r="E68" i="2"/>
  <c r="O60" i="2"/>
  <c r="C68" i="2"/>
  <c r="M79" i="2"/>
  <c r="X48" i="2"/>
  <c r="H67" i="2"/>
  <c r="M51" i="2"/>
  <c r="V77" i="2"/>
  <c r="S65" i="2"/>
  <c r="R104" i="2"/>
  <c r="M67" i="2"/>
  <c r="G62" i="2"/>
  <c r="U65" i="2"/>
  <c r="L40" i="2"/>
  <c r="AB58" i="3"/>
  <c r="AB94" i="3"/>
  <c r="AB49" i="3"/>
  <c r="H20" i="3"/>
  <c r="J36" i="3"/>
  <c r="N26" i="3"/>
  <c r="W26" i="3"/>
  <c r="E49" i="3"/>
  <c r="AN31" i="3"/>
  <c r="AD35" i="3"/>
  <c r="AP41" i="3"/>
  <c r="K40" i="3"/>
  <c r="N40" i="3"/>
  <c r="J37" i="3"/>
  <c r="AE25" i="3"/>
  <c r="U11" i="3"/>
  <c r="AH15" i="3"/>
  <c r="AO21" i="3"/>
  <c r="AK17" i="3"/>
  <c r="AC29" i="3"/>
  <c r="L5" i="3"/>
  <c r="AK29" i="3"/>
  <c r="AL9" i="3"/>
  <c r="O15" i="3"/>
  <c r="P20" i="3"/>
  <c r="L20" i="3"/>
  <c r="N21" i="3"/>
  <c r="R6" i="3"/>
  <c r="AB10" i="3"/>
  <c r="AP28" i="3"/>
  <c r="AI34" i="3"/>
  <c r="AB12" i="3"/>
  <c r="R26" i="3"/>
  <c r="R28" i="3"/>
  <c r="P21" i="3"/>
  <c r="AP11" i="3"/>
  <c r="AO25" i="3"/>
  <c r="T10" i="3"/>
  <c r="AK36" i="3"/>
  <c r="E48" i="3"/>
  <c r="E50" i="3"/>
  <c r="J21" i="3"/>
  <c r="AL34" i="3"/>
  <c r="AE6" i="3"/>
  <c r="AD48" i="3"/>
  <c r="Y7" i="3"/>
  <c r="V11" i="3"/>
  <c r="AA10" i="3"/>
  <c r="AE29" i="3"/>
  <c r="AG34" i="3"/>
  <c r="AE30" i="3"/>
  <c r="AO16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M106" i="2"/>
  <c r="J46" i="2"/>
  <c r="N81" i="2"/>
  <c r="F72" i="2"/>
  <c r="M58" i="2"/>
  <c r="I69" i="2"/>
  <c r="M59" i="2"/>
  <c r="C49" i="3"/>
  <c r="AK12" i="3"/>
  <c r="AM22" i="3"/>
  <c r="AJ33" i="3"/>
  <c r="AI5" i="3"/>
  <c r="AL22" i="3"/>
  <c r="L14" i="3"/>
  <c r="C30" i="3"/>
  <c r="AJ36" i="3"/>
  <c r="AJ11" i="3"/>
  <c r="M30" i="3"/>
  <c r="Y32" i="3"/>
  <c r="P11" i="3"/>
  <c r="AP39" i="3"/>
  <c r="V6" i="3"/>
  <c r="AD27" i="3"/>
  <c r="U7" i="3"/>
  <c r="K33" i="3"/>
  <c r="U8" i="3"/>
  <c r="U16" i="3"/>
  <c r="AA35" i="3"/>
  <c r="AO34" i="3"/>
  <c r="Z29" i="3"/>
  <c r="C20" i="3"/>
  <c r="AQ5" i="3"/>
  <c r="N16" i="3"/>
  <c r="R5" i="3"/>
  <c r="AJ21" i="3"/>
  <c r="Q25" i="3"/>
  <c r="J14" i="3"/>
  <c r="AC15" i="3"/>
  <c r="F70" i="2"/>
  <c r="D83" i="2"/>
  <c r="U96" i="2"/>
  <c r="W109" i="2"/>
  <c r="X89" i="2"/>
  <c r="F112" i="2"/>
  <c r="G56" i="2"/>
  <c r="Q72" i="2"/>
  <c r="T62" i="2"/>
  <c r="T110" i="2"/>
  <c r="AC18" i="3"/>
  <c r="AI21" i="3"/>
  <c r="AG15" i="3"/>
  <c r="C17" i="3"/>
  <c r="J8" i="3"/>
  <c r="O30" i="3"/>
  <c r="W42" i="3"/>
  <c r="J30" i="3"/>
  <c r="Y15" i="3"/>
  <c r="T38" i="3"/>
  <c r="Z16" i="3"/>
  <c r="I31" i="3"/>
  <c r="M16" i="3"/>
  <c r="Q32" i="3"/>
  <c r="AA24" i="3"/>
  <c r="AE15" i="3"/>
  <c r="E82" i="2"/>
  <c r="I98" i="2"/>
  <c r="J107" i="2"/>
  <c r="S109" i="2"/>
  <c r="K76" i="2"/>
  <c r="G45" i="2"/>
  <c r="M46" i="2"/>
  <c r="W71" i="2"/>
  <c r="R55" i="2"/>
  <c r="D72" i="2"/>
  <c r="W40" i="2"/>
  <c r="V113" i="2"/>
  <c r="L77" i="2"/>
  <c r="L89" i="2"/>
  <c r="R98" i="2"/>
  <c r="K67" i="2"/>
  <c r="O96" i="2"/>
  <c r="R84" i="2"/>
  <c r="M112" i="2"/>
  <c r="H71" i="2"/>
  <c r="O80" i="2"/>
  <c r="X105" i="2"/>
  <c r="W53" i="2"/>
  <c r="M109" i="2"/>
  <c r="O79" i="2"/>
  <c r="J49" i="2"/>
  <c r="I51" i="2"/>
  <c r="M56" i="2"/>
  <c r="I88" i="2"/>
  <c r="K77" i="2"/>
  <c r="W52" i="2"/>
  <c r="O61" i="2"/>
  <c r="M47" i="2"/>
  <c r="AB57" i="3"/>
  <c r="AP79" i="3"/>
  <c r="AB67" i="3"/>
  <c r="AM33" i="3"/>
  <c r="AJ38" i="3"/>
  <c r="AJ31" i="3"/>
  <c r="T25" i="3"/>
  <c r="X31" i="3"/>
  <c r="AO15" i="3"/>
  <c r="AI24" i="3"/>
  <c r="AI41" i="3"/>
  <c r="G42" i="3"/>
  <c r="L11" i="3"/>
  <c r="V31" i="3"/>
  <c r="AP13" i="3"/>
  <c r="AJ24" i="3"/>
  <c r="AL37" i="3"/>
  <c r="AC22" i="3"/>
  <c r="R32" i="3"/>
  <c r="AH22" i="3"/>
  <c r="AC42" i="3"/>
  <c r="G35" i="3"/>
  <c r="N10" i="3"/>
  <c r="M25" i="3"/>
  <c r="AC13" i="3"/>
  <c r="J18" i="3"/>
  <c r="AI38" i="3"/>
  <c r="AB21" i="3"/>
  <c r="AL10" i="3"/>
  <c r="U12" i="3"/>
  <c r="AQ9" i="3"/>
  <c r="M7" i="3"/>
  <c r="O6" i="3"/>
  <c r="AN17" i="3"/>
  <c r="AG8" i="3"/>
  <c r="AN14" i="3"/>
  <c r="H25" i="3"/>
  <c r="AP31" i="3"/>
  <c r="AO10" i="3"/>
  <c r="X25" i="3"/>
  <c r="AH29" i="3"/>
  <c r="I42" i="3"/>
  <c r="AP22" i="3"/>
  <c r="W27" i="3"/>
  <c r="X29" i="3"/>
  <c r="AK13" i="3"/>
  <c r="AE38" i="3"/>
  <c r="X22" i="3"/>
  <c r="W13" i="3"/>
  <c r="R33" i="3"/>
  <c r="S19" i="3"/>
  <c r="AN5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T97" i="2"/>
  <c r="M54" i="2"/>
  <c r="J47" i="2"/>
  <c r="T40" i="2"/>
  <c r="J94" i="2"/>
  <c r="E81" i="2"/>
  <c r="K70" i="2"/>
  <c r="U63" i="2"/>
  <c r="X42" i="2"/>
  <c r="K84" i="2"/>
  <c r="D112" i="2"/>
  <c r="G63" i="2"/>
  <c r="R71" i="2"/>
  <c r="F58" i="2"/>
  <c r="K78" i="2"/>
  <c r="T109" i="2"/>
  <c r="S90" i="2"/>
  <c r="G76" i="2"/>
  <c r="O50" i="2"/>
  <c r="I73" i="2"/>
  <c r="X45" i="2"/>
  <c r="AB63" i="3"/>
  <c r="AB69" i="3"/>
  <c r="S7" i="3"/>
  <c r="AO33" i="3"/>
  <c r="U30" i="3"/>
  <c r="E47" i="3"/>
  <c r="I16" i="3"/>
  <c r="AM11" i="3"/>
  <c r="Y34" i="3"/>
  <c r="AH24" i="3"/>
  <c r="AA17" i="3"/>
  <c r="AC37" i="3"/>
  <c r="AA31" i="3"/>
  <c r="O8" i="3"/>
  <c r="Y31" i="3"/>
  <c r="AG30" i="3"/>
  <c r="I21" i="3"/>
  <c r="AB13" i="3"/>
  <c r="D50" i="3"/>
  <c r="AH41" i="3"/>
  <c r="K18" i="3"/>
  <c r="J29" i="3"/>
  <c r="AA13" i="3"/>
  <c r="H23" i="3"/>
  <c r="AD36" i="3"/>
  <c r="T37" i="3"/>
  <c r="T9" i="3"/>
  <c r="L40" i="3"/>
  <c r="AJ19" i="3"/>
  <c r="AI13" i="3"/>
  <c r="AM15" i="3"/>
  <c r="O34" i="3"/>
  <c r="AG22" i="3"/>
  <c r="V40" i="3"/>
  <c r="AA19" i="3"/>
  <c r="W60" i="2"/>
  <c r="C93" i="2"/>
  <c r="W12" i="3"/>
  <c r="T22" i="3"/>
  <c r="AJ5" i="3"/>
  <c r="H37" i="3"/>
  <c r="G39" i="3"/>
  <c r="AI36" i="3"/>
  <c r="C6" i="3"/>
  <c r="AM23" i="3"/>
  <c r="AK35" i="3"/>
  <c r="R27" i="3"/>
  <c r="N7" i="3"/>
  <c r="V26" i="3"/>
  <c r="AG16" i="3"/>
  <c r="AQ34" i="3"/>
  <c r="U20" i="3"/>
  <c r="U13" i="3"/>
  <c r="Q62" i="2"/>
  <c r="K107" i="2"/>
  <c r="Q85" i="2"/>
  <c r="E62" i="2"/>
  <c r="O76" i="2"/>
  <c r="D53" i="2"/>
  <c r="N112" i="2"/>
  <c r="L48" i="2"/>
  <c r="H53" i="2"/>
  <c r="Q68" i="2"/>
  <c r="I107" i="2"/>
  <c r="E41" i="2"/>
  <c r="L69" i="2"/>
  <c r="T107" i="2"/>
  <c r="J63" i="2"/>
  <c r="H73" i="2"/>
  <c r="S97" i="2"/>
  <c r="J89" i="2"/>
  <c r="V99" i="2"/>
  <c r="D71" i="2"/>
  <c r="K81" i="2"/>
  <c r="H69" i="2"/>
  <c r="E56" i="2"/>
  <c r="D104" i="2"/>
  <c r="S83" i="2"/>
  <c r="X53" i="2"/>
  <c r="S56" i="2"/>
  <c r="X97" i="2"/>
  <c r="K73" i="2"/>
  <c r="G70" i="2"/>
  <c r="N55" i="2"/>
  <c r="J81" i="2"/>
  <c r="L97" i="2"/>
  <c r="AB59" i="3"/>
  <c r="AP63" i="3"/>
  <c r="AP72" i="3"/>
  <c r="C21" i="3"/>
  <c r="V16" i="3"/>
  <c r="T17" i="3"/>
  <c r="AO39" i="3"/>
  <c r="AG42" i="3"/>
  <c r="L25" i="3"/>
  <c r="AE24" i="3"/>
  <c r="AE9" i="3"/>
  <c r="H14" i="3"/>
  <c r="S33" i="3"/>
  <c r="N39" i="3"/>
  <c r="AQ18" i="3"/>
  <c r="X28" i="3"/>
  <c r="AP30" i="3"/>
  <c r="U41" i="3"/>
  <c r="AL31" i="3"/>
  <c r="Z12" i="3"/>
  <c r="AD38" i="3"/>
  <c r="C22" i="3"/>
  <c r="AP8" i="3"/>
  <c r="AN27" i="3"/>
  <c r="AK24" i="3"/>
  <c r="V33" i="3"/>
  <c r="AE19" i="3"/>
  <c r="AG26" i="3"/>
  <c r="R17" i="3"/>
  <c r="AL16" i="3"/>
  <c r="AE18" i="3"/>
  <c r="AJ20" i="3"/>
  <c r="N36" i="3"/>
  <c r="N32" i="3"/>
  <c r="L26" i="3"/>
  <c r="L22" i="3"/>
  <c r="AO31" i="3"/>
  <c r="AL42" i="3"/>
  <c r="AA32" i="3"/>
  <c r="I35" i="3"/>
  <c r="AQ14" i="3"/>
  <c r="AC16" i="3"/>
  <c r="U6" i="3"/>
  <c r="K24" i="3"/>
  <c r="AL8" i="3"/>
  <c r="O27" i="3"/>
  <c r="K6" i="3"/>
  <c r="AQ40" i="3"/>
  <c r="H10" i="3"/>
  <c r="AH34" i="3"/>
  <c r="U2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E95" i="2"/>
  <c r="U44" i="2"/>
  <c r="M62" i="2"/>
  <c r="J112" i="2"/>
  <c r="I104" i="2"/>
  <c r="O82" i="2"/>
  <c r="E67" i="2"/>
  <c r="I56" i="2"/>
  <c r="O45" i="2"/>
  <c r="M81" i="2"/>
  <c r="N113" i="2"/>
  <c r="E112" i="2"/>
  <c r="AB80" i="3"/>
  <c r="L32" i="3"/>
  <c r="AL41" i="3"/>
  <c r="I28" i="3"/>
  <c r="AJ25" i="3"/>
  <c r="I19" i="3"/>
  <c r="N14" i="3"/>
  <c r="L29" i="3"/>
  <c r="I26" i="3"/>
  <c r="AP34" i="3"/>
  <c r="H21" i="3"/>
  <c r="N35" i="3"/>
  <c r="S40" i="3"/>
  <c r="AC25" i="3"/>
  <c r="AL39" i="3"/>
  <c r="U22" i="3"/>
  <c r="AB24" i="3"/>
  <c r="O19" i="3"/>
  <c r="W11" i="3"/>
  <c r="AO23" i="3"/>
  <c r="AD30" i="3"/>
  <c r="J5" i="3"/>
  <c r="V22" i="3"/>
  <c r="Y35" i="3"/>
  <c r="J28" i="3"/>
  <c r="AK26" i="3"/>
  <c r="T27" i="3"/>
  <c r="AM42" i="3"/>
  <c r="U66" i="2"/>
  <c r="R73" i="2"/>
  <c r="U85" i="2"/>
  <c r="AB64" i="3"/>
  <c r="AE32" i="3"/>
  <c r="AG17" i="3"/>
  <c r="AB38" i="3"/>
  <c r="G40" i="3"/>
  <c r="AB11" i="3"/>
  <c r="I41" i="3"/>
  <c r="AI31" i="3"/>
  <c r="P16" i="3"/>
  <c r="N30" i="3"/>
  <c r="AM29" i="3"/>
  <c r="L9" i="3"/>
  <c r="J6" i="3"/>
  <c r="V5" i="3"/>
  <c r="AB16" i="3"/>
  <c r="AG25" i="3"/>
  <c r="AB15" i="3"/>
  <c r="X42" i="3"/>
  <c r="E90" i="2"/>
  <c r="E46" i="2"/>
  <c r="U72" i="2"/>
  <c r="F105" i="2"/>
  <c r="Q63" i="2"/>
  <c r="T43" i="2"/>
  <c r="R48" i="2"/>
  <c r="K80" i="2"/>
  <c r="J57" i="2"/>
  <c r="W87" i="2"/>
  <c r="O58" i="2"/>
  <c r="X99" i="2"/>
  <c r="T104" i="2"/>
  <c r="W42" i="2"/>
  <c r="I47" i="2"/>
  <c r="H111" i="2"/>
  <c r="W89" i="2"/>
  <c r="N62" i="2"/>
  <c r="S72" i="2"/>
  <c r="G104" i="2"/>
  <c r="E93" i="2"/>
  <c r="X107" i="2"/>
  <c r="V82" i="2"/>
  <c r="K65" i="2"/>
  <c r="C97" i="2"/>
  <c r="P49" i="2"/>
  <c r="V91" i="2"/>
  <c r="M64" i="2"/>
  <c r="S58" i="2"/>
  <c r="D113" i="2"/>
  <c r="I79" i="2"/>
  <c r="V83" i="2"/>
  <c r="V95" i="2"/>
  <c r="AB47" i="3"/>
  <c r="AP82" i="3"/>
  <c r="AP49" i="3"/>
  <c r="AI6" i="3"/>
  <c r="AH23" i="3"/>
  <c r="J16" i="3"/>
  <c r="S16" i="3"/>
  <c r="V8" i="3"/>
  <c r="I23" i="3"/>
  <c r="AB20" i="3"/>
  <c r="AB41" i="3"/>
  <c r="AD28" i="3"/>
  <c r="AA12" i="3"/>
  <c r="N34" i="3"/>
  <c r="K36" i="3"/>
  <c r="AH42" i="3"/>
  <c r="N5" i="3"/>
  <c r="H24" i="3"/>
  <c r="AB22" i="3"/>
  <c r="M39" i="3"/>
  <c r="V9" i="3"/>
  <c r="M20" i="3"/>
  <c r="M22" i="3"/>
  <c r="M9" i="3"/>
  <c r="Q29" i="3"/>
  <c r="AA6" i="3"/>
  <c r="AP26" i="3"/>
  <c r="T28" i="3"/>
  <c r="AE42" i="3"/>
  <c r="AO32" i="3"/>
  <c r="AO11" i="3"/>
  <c r="C33" i="3"/>
  <c r="AQ23" i="3"/>
  <c r="K19" i="3"/>
  <c r="AI23" i="3"/>
  <c r="AK41" i="3"/>
  <c r="AC17" i="3"/>
  <c r="W36" i="3"/>
  <c r="AI32" i="3"/>
  <c r="AA5" i="3"/>
  <c r="W9" i="3"/>
  <c r="Q9" i="3"/>
  <c r="AP17" i="3"/>
  <c r="S24" i="3"/>
  <c r="T12" i="3"/>
  <c r="S23" i="3"/>
  <c r="AA23" i="3"/>
  <c r="X21" i="3"/>
  <c r="L27" i="3"/>
  <c r="AE28" i="3"/>
  <c r="T21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75" i="2"/>
  <c r="S106" i="2"/>
  <c r="X65" i="2"/>
  <c r="M110" i="2"/>
  <c r="W98" i="2"/>
  <c r="G96" i="2"/>
  <c r="O98" i="2"/>
  <c r="T65" i="2"/>
  <c r="F42" i="2"/>
  <c r="M99" i="2"/>
  <c r="P41" i="2"/>
  <c r="F109" i="2"/>
  <c r="X72" i="2"/>
  <c r="T48" i="2"/>
  <c r="K98" i="2"/>
  <c r="E71" i="2"/>
  <c r="E57" i="2"/>
  <c r="J68" i="2"/>
  <c r="U90" i="2"/>
  <c r="J105" i="2"/>
  <c r="V47" i="2"/>
  <c r="K92" i="2"/>
  <c r="C77" i="2"/>
  <c r="P86" i="2"/>
  <c r="X91" i="2"/>
  <c r="M63" i="2"/>
  <c r="I105" i="2"/>
  <c r="N54" i="2"/>
  <c r="U70" i="2"/>
  <c r="J98" i="2"/>
  <c r="K64" i="2"/>
  <c r="L105" i="2"/>
  <c r="F88" i="2"/>
  <c r="AP90" i="3"/>
  <c r="AB87" i="3"/>
  <c r="AB76" i="3"/>
  <c r="H17" i="3"/>
  <c r="AQ13" i="3"/>
  <c r="AQ39" i="3"/>
  <c r="AQ29" i="3"/>
  <c r="R36" i="3"/>
  <c r="H5" i="3"/>
  <c r="AH16" i="3"/>
  <c r="Q27" i="3"/>
  <c r="I36" i="3"/>
  <c r="AM25" i="3"/>
  <c r="AL30" i="3"/>
  <c r="Q33" i="3"/>
  <c r="Z11" i="3"/>
  <c r="T34" i="3"/>
  <c r="AM41" i="3"/>
  <c r="M36" i="3"/>
  <c r="AH36" i="3"/>
  <c r="J25" i="3"/>
  <c r="AM26" i="3"/>
  <c r="AE11" i="3"/>
  <c r="R40" i="3"/>
  <c r="V29" i="3"/>
  <c r="Q23" i="3"/>
  <c r="AQ32" i="3"/>
  <c r="AN34" i="3"/>
  <c r="P18" i="3"/>
  <c r="Z24" i="3"/>
  <c r="M31" i="3"/>
  <c r="S27" i="3"/>
  <c r="AJ8" i="3"/>
  <c r="G50" i="3"/>
  <c r="AG32" i="3"/>
  <c r="I29" i="3"/>
  <c r="AB42" i="3"/>
  <c r="O7" i="3"/>
  <c r="AB29" i="3"/>
  <c r="T14" i="3"/>
  <c r="AG18" i="3"/>
  <c r="T11" i="3"/>
  <c r="X26" i="3"/>
  <c r="L39" i="3"/>
  <c r="AG36" i="3"/>
  <c r="AI27" i="3"/>
  <c r="S21" i="3"/>
  <c r="R37" i="3"/>
  <c r="C39" i="3"/>
  <c r="P17" i="3"/>
  <c r="Y23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V72" i="2"/>
  <c r="S76" i="2"/>
  <c r="N63" i="2"/>
  <c r="AD24" i="3"/>
  <c r="AE7" i="3"/>
  <c r="Y16" i="3"/>
  <c r="AK20" i="3"/>
  <c r="AD25" i="3"/>
  <c r="L12" i="3"/>
  <c r="AE26" i="3"/>
  <c r="AP38" i="3"/>
  <c r="Q10" i="3"/>
  <c r="AA26" i="3"/>
  <c r="Q74" i="2"/>
  <c r="P41" i="3"/>
  <c r="M38" i="3"/>
  <c r="P28" i="3"/>
  <c r="V15" i="3"/>
  <c r="L80" i="2"/>
  <c r="P27" i="3"/>
  <c r="AJ29" i="3"/>
  <c r="C90" i="2"/>
  <c r="T13" i="3"/>
  <c r="D76" i="2"/>
  <c r="I8" i="3"/>
  <c r="L30" i="3"/>
  <c r="M37" i="3"/>
  <c r="S22" i="3"/>
  <c r="AO22" i="3"/>
  <c r="M23" i="3"/>
  <c r="O86" i="2"/>
  <c r="AO35" i="3"/>
  <c r="N107" i="2"/>
  <c r="O110" i="2"/>
  <c r="P92" i="2"/>
  <c r="O28" i="3"/>
  <c r="Z28" i="3"/>
  <c r="T16" i="3"/>
  <c r="AC5" i="3"/>
  <c r="Z20" i="3"/>
  <c r="AQ31" i="3"/>
  <c r="H8" i="3"/>
  <c r="Q17" i="3"/>
  <c r="AH8" i="3"/>
  <c r="R76" i="2"/>
  <c r="AB18" i="3"/>
  <c r="AH17" i="3"/>
  <c r="C13" i="3"/>
  <c r="C72" i="2"/>
  <c r="J70" i="2"/>
  <c r="U64" i="2"/>
  <c r="X27" i="3"/>
  <c r="AH37" i="3"/>
  <c r="AG23" i="3"/>
  <c r="P19" i="3"/>
  <c r="AE36" i="3"/>
  <c r="R31" i="3"/>
  <c r="AM6" i="3"/>
  <c r="K5" i="3"/>
  <c r="N47" i="2"/>
  <c r="V27" i="3"/>
  <c r="T15" i="3"/>
  <c r="O106" i="2"/>
  <c r="Y13" i="3"/>
  <c r="AQ35" i="3"/>
  <c r="O31" i="3"/>
  <c r="I18" i="3"/>
  <c r="X32" i="3"/>
  <c r="W14" i="3"/>
  <c r="Y8" i="3"/>
  <c r="AH20" i="3"/>
  <c r="AB72" i="3"/>
  <c r="AH10" i="3"/>
  <c r="AH32" i="3"/>
  <c r="AG31" i="3"/>
  <c r="W30" i="3"/>
  <c r="AQ28" i="3"/>
  <c r="T5" i="3"/>
  <c r="AB66" i="3"/>
  <c r="M6" i="3"/>
  <c r="Z32" i="3"/>
  <c r="AE27" i="3"/>
  <c r="X87" i="2"/>
  <c r="AN24" i="3"/>
  <c r="F45" i="2"/>
  <c r="K35" i="3"/>
  <c r="O12" i="3"/>
  <c r="W72" i="2"/>
  <c r="Q61" i="2"/>
  <c r="AB62" i="3"/>
  <c r="W18" i="3"/>
  <c r="N20" i="3"/>
  <c r="C40" i="3"/>
  <c r="O26" i="3"/>
  <c r="AM34" i="3"/>
  <c r="AG41" i="3"/>
  <c r="AH18" i="3"/>
  <c r="K20" i="3"/>
  <c r="AJ12" i="3"/>
  <c r="J11" i="3"/>
  <c r="M71" i="2"/>
  <c r="K13" i="3"/>
  <c r="J40" i="3"/>
  <c r="AD23" i="3"/>
  <c r="AJ35" i="3"/>
  <c r="K41" i="3"/>
  <c r="M53" i="2"/>
  <c r="F49" i="2"/>
  <c r="T41" i="3"/>
  <c r="I34" i="3"/>
  <c r="AA37" i="3"/>
  <c r="O21" i="3"/>
  <c r="L84" i="2"/>
  <c r="K42" i="2"/>
  <c r="M68" i="2"/>
  <c r="AN33" i="3"/>
  <c r="AG37" i="3"/>
  <c r="Q38" i="3"/>
  <c r="V7" i="3"/>
  <c r="J32" i="3"/>
  <c r="Y14" i="3"/>
  <c r="V35" i="3"/>
  <c r="O33" i="3"/>
  <c r="AQ11" i="3"/>
  <c r="V28" i="3"/>
  <c r="AE22" i="3"/>
  <c r="S94" i="2"/>
  <c r="AD50" i="3"/>
  <c r="C34" i="3"/>
  <c r="C42" i="3"/>
  <c r="N97" i="2"/>
  <c r="M89" i="2"/>
  <c r="R107" i="2"/>
  <c r="AM32" i="3"/>
  <c r="AE39" i="3"/>
  <c r="AC8" i="3"/>
  <c r="AA41" i="3"/>
  <c r="AQ24" i="3"/>
  <c r="AP42" i="3"/>
  <c r="AP32" i="3"/>
  <c r="W55" i="2"/>
  <c r="J23" i="3"/>
  <c r="P48" i="2"/>
  <c r="AI33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U161" i="1" s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E120" i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V74" i="3"/>
  <c r="I67" i="3"/>
  <c r="V91" i="3"/>
  <c r="Z94" i="3"/>
  <c r="AM49" i="3"/>
  <c r="R68" i="3"/>
  <c r="AL72" i="3"/>
  <c r="AJ73" i="3"/>
  <c r="AI48" i="3"/>
  <c r="V68" i="3"/>
  <c r="P74" i="3"/>
  <c r="P63" i="3"/>
  <c r="J65" i="3"/>
  <c r="X66" i="3"/>
  <c r="U50" i="3"/>
  <c r="S50" i="3"/>
  <c r="R65" i="3"/>
  <c r="Y50" i="3"/>
  <c r="P65" i="3"/>
  <c r="P77" i="3"/>
  <c r="AE6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U71" i="3"/>
  <c r="AH54" i="3"/>
  <c r="W83" i="3"/>
  <c r="AM65" i="3"/>
  <c r="L55" i="3"/>
  <c r="AK92" i="3"/>
  <c r="AA78" i="3"/>
  <c r="T77" i="3"/>
  <c r="AH78" i="3"/>
  <c r="AM54" i="3"/>
  <c r="V58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I55" i="3"/>
  <c r="K92" i="3"/>
  <c r="K93" i="3"/>
  <c r="AG8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N59" i="3"/>
  <c r="Y67" i="3"/>
  <c r="V72" i="3"/>
  <c r="K5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I74" i="3"/>
  <c r="N66" i="3"/>
  <c r="X61" i="3"/>
  <c r="M66" i="3"/>
  <c r="W61" i="3"/>
  <c r="U92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AQ48" i="3"/>
  <c r="AG55" i="3"/>
  <c r="AH90" i="3"/>
  <c r="AN66" i="3"/>
  <c r="W47" i="3"/>
  <c r="Y92" i="3"/>
  <c r="K78" i="3"/>
  <c r="AL47" i="3"/>
  <c r="AC85" i="3"/>
  <c r="P7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Q57" i="3"/>
  <c r="U65" i="3"/>
  <c r="X88" i="3"/>
  <c r="AK81" i="3"/>
  <c r="Z60" i="3"/>
  <c r="AQ61" i="3"/>
  <c r="AQ77" i="3"/>
  <c r="O79" i="3"/>
  <c r="O56" i="3"/>
  <c r="AL84" i="3"/>
  <c r="Z59" i="3"/>
  <c r="Q65" i="3"/>
  <c r="W88" i="3"/>
  <c r="U89" i="3"/>
  <c r="M84" i="3"/>
  <c r="R67" i="3"/>
  <c r="AA49" i="3"/>
  <c r="AE63" i="3"/>
  <c r="AN47" i="3"/>
  <c r="N68" i="3"/>
  <c r="AO85" i="3"/>
  <c r="AH95" i="3"/>
  <c r="S83" i="3"/>
  <c r="AJ49" i="3"/>
  <c r="Y48" i="3"/>
  <c r="O80" i="3"/>
  <c r="AG50" i="3"/>
  <c r="AE94" i="3"/>
  <c r="Z66" i="3"/>
  <c r="S60" i="3"/>
  <c r="T56" i="3"/>
  <c r="AO87" i="3"/>
  <c r="M73" i="3"/>
  <c r="AJ78" i="3"/>
  <c r="AN87" i="3"/>
  <c r="V59" i="3"/>
  <c r="AK76" i="3"/>
  <c r="AE76" i="3"/>
  <c r="AH57" i="3"/>
  <c r="V83" i="3"/>
  <c r="I82" i="3"/>
  <c r="Q90" i="3"/>
  <c r="AM70" i="3"/>
  <c r="Z50" i="3"/>
  <c r="AE81" i="3"/>
  <c r="T92" i="3"/>
  <c r="L49" i="3"/>
  <c r="AA63" i="3"/>
  <c r="AM64" i="3"/>
  <c r="AG77" i="3"/>
  <c r="AE86" i="3"/>
  <c r="Z62" i="3"/>
  <c r="AC64" i="3"/>
  <c r="AL80" i="3"/>
  <c r="H71" i="3"/>
  <c r="N90" i="3"/>
  <c r="N70" i="3"/>
  <c r="AN97" i="3"/>
  <c r="I91" i="3"/>
  <c r="AC97" i="3"/>
  <c r="AE70" i="3"/>
  <c r="H86" i="3"/>
  <c r="L97" i="3"/>
  <c r="AO72" i="3"/>
  <c r="I69" i="3"/>
  <c r="AN73" i="3"/>
  <c r="AA66" i="3"/>
  <c r="J93" i="3"/>
  <c r="AG69" i="3"/>
  <c r="R83" i="3"/>
  <c r="J75" i="3"/>
  <c r="W54" i="3"/>
  <c r="AQ66" i="3"/>
  <c r="Q92" i="3"/>
  <c r="N75" i="3"/>
  <c r="I65" i="3"/>
  <c r="AL90" i="3"/>
  <c r="X87" i="3"/>
  <c r="AE77" i="3"/>
  <c r="AH59" i="3"/>
  <c r="AL74" i="3"/>
  <c r="K65" i="3"/>
  <c r="T89" i="3"/>
  <c r="K82" i="3"/>
  <c r="X48" i="3"/>
  <c r="AG94" i="3"/>
  <c r="AQ60" i="3"/>
  <c r="Y71" i="3"/>
  <c r="T73" i="3"/>
  <c r="P89" i="3"/>
  <c r="W95" i="3"/>
  <c r="AK88" i="3"/>
  <c r="AG89" i="3"/>
  <c r="S62" i="3"/>
  <c r="AC78" i="3"/>
  <c r="AO83" i="3"/>
  <c r="AO67" i="3"/>
  <c r="L65" i="3"/>
  <c r="W69" i="3"/>
  <c r="AQ64" i="3"/>
  <c r="AQ55" i="3"/>
  <c r="L79" i="3"/>
  <c r="V67" i="3"/>
  <c r="J59" i="3"/>
  <c r="S86" i="3"/>
  <c r="AI86" i="3"/>
  <c r="AK73" i="3"/>
  <c r="V57" i="3"/>
  <c r="K77" i="3"/>
  <c r="W64" i="3"/>
  <c r="AI80" i="3"/>
  <c r="N82" i="3"/>
  <c r="X84" i="3"/>
  <c r="N57" i="3"/>
  <c r="AA94" i="3"/>
  <c r="AJ56" i="3"/>
  <c r="AO90" i="3"/>
  <c r="AQ74" i="3"/>
  <c r="O72" i="3"/>
  <c r="AA86" i="3"/>
  <c r="S68" i="3"/>
  <c r="AA84" i="3"/>
  <c r="V75" i="3"/>
  <c r="Q49" i="3"/>
  <c r="AH97" i="3"/>
  <c r="M81" i="3"/>
  <c r="AM73" i="3"/>
  <c r="U90" i="3"/>
  <c r="J74" i="3"/>
  <c r="I73" i="3"/>
  <c r="N86" i="3"/>
  <c r="R77" i="3"/>
  <c r="M47" i="3"/>
  <c r="K59" i="3"/>
  <c r="U77" i="3"/>
  <c r="P97" i="3"/>
  <c r="AQ83" i="3"/>
  <c r="AL49" i="3"/>
  <c r="P81" i="3"/>
  <c r="AH87" i="3"/>
  <c r="P72" i="3"/>
  <c r="X75" i="3"/>
  <c r="I72" i="3"/>
  <c r="Y66" i="3"/>
  <c r="U78" i="3"/>
  <c r="H93" i="3"/>
  <c r="H49" i="3"/>
  <c r="AC56" i="3"/>
  <c r="Y70" i="3"/>
  <c r="Z81" i="3"/>
  <c r="N49" i="3"/>
  <c r="X47" i="3"/>
  <c r="R70" i="3"/>
  <c r="Y58" i="3"/>
  <c r="J47" i="3"/>
  <c r="AG60" i="3"/>
  <c r="R71" i="3"/>
  <c r="AM82" i="3"/>
  <c r="P70" i="3"/>
  <c r="AN80" i="3"/>
  <c r="Y97" i="3"/>
  <c r="AK79" i="3"/>
  <c r="AO61" i="3"/>
  <c r="U72" i="3"/>
  <c r="AL79" i="3"/>
  <c r="T72" i="3"/>
  <c r="W73" i="3"/>
  <c r="AO94" i="3"/>
  <c r="X71" i="3"/>
  <c r="X85" i="3"/>
  <c r="AG91" i="3"/>
  <c r="AQ50" i="3"/>
  <c r="AM77" i="3"/>
  <c r="AC49" i="3"/>
  <c r="AN68" i="3"/>
  <c r="T57" i="3"/>
  <c r="AK63" i="3"/>
  <c r="AI91" i="3"/>
  <c r="AC89" i="3"/>
  <c r="U59" i="3"/>
  <c r="T91" i="3"/>
  <c r="AL78" i="3"/>
  <c r="V94" i="3"/>
  <c r="AM47" i="3"/>
  <c r="AH72" i="3"/>
  <c r="K61" i="3"/>
  <c r="AE50" i="3"/>
  <c r="AE66" i="3"/>
  <c r="AA64" i="3"/>
  <c r="AI79" i="3"/>
  <c r="L91" i="3"/>
  <c r="AC60" i="3"/>
  <c r="Y57" i="3"/>
  <c r="V62" i="3"/>
  <c r="Y72" i="3"/>
  <c r="W91" i="3"/>
  <c r="AO56" i="3"/>
  <c r="AC92" i="3"/>
  <c r="R66" i="3"/>
  <c r="I83" i="3"/>
  <c r="M79" i="3"/>
  <c r="P55" i="3"/>
  <c r="J86" i="3"/>
  <c r="L92" i="3"/>
  <c r="W57" i="3"/>
  <c r="AE92" i="3"/>
  <c r="AQ84" i="3"/>
  <c r="P93" i="3"/>
  <c r="X82" i="3"/>
  <c r="AC70" i="3"/>
  <c r="AK72" i="3"/>
  <c r="J97" i="3"/>
  <c r="K94" i="3"/>
  <c r="AQ69" i="3"/>
  <c r="AM95" i="3"/>
  <c r="N60" i="3"/>
  <c r="X76" i="3"/>
  <c r="AQ63" i="3"/>
  <c r="Z95" i="3"/>
  <c r="J67" i="3"/>
  <c r="W72" i="3"/>
  <c r="S64" i="3"/>
  <c r="AL88" i="3"/>
  <c r="V93" i="3"/>
  <c r="AH58" i="3"/>
  <c r="T87" i="3"/>
  <c r="J84" i="3"/>
  <c r="AL75" i="3"/>
  <c r="AO79" i="3"/>
  <c r="W58" i="3"/>
  <c r="Q77" i="3"/>
  <c r="Q80" i="3"/>
  <c r="J78" i="3"/>
  <c r="Q85" i="3"/>
  <c r="AJ97" i="3"/>
  <c r="X70" i="3"/>
  <c r="L47" i="3"/>
  <c r="AA79" i="3"/>
  <c r="S49" i="3"/>
  <c r="AG54" i="3"/>
  <c r="L83" i="3"/>
  <c r="J96" i="3"/>
  <c r="W49" i="3"/>
  <c r="I89" i="3"/>
  <c r="P48" i="3"/>
  <c r="M88" i="3"/>
  <c r="S77" i="3"/>
  <c r="K57" i="3"/>
  <c r="U93" i="3"/>
  <c r="AO92" i="3"/>
  <c r="AO80" i="3"/>
  <c r="L95" i="3"/>
  <c r="Z91" i="3"/>
  <c r="AJ71" i="3"/>
  <c r="T71" i="3"/>
  <c r="Q95" i="3"/>
  <c r="U82" i="3"/>
  <c r="Y77" i="3"/>
  <c r="AE95" i="3"/>
  <c r="K69" i="3"/>
  <c r="AO57" i="3"/>
  <c r="AA68" i="3"/>
  <c r="Z85" i="3"/>
  <c r="AI70" i="3"/>
  <c r="AG67" i="3"/>
  <c r="AQ80" i="3"/>
  <c r="AM69" i="3"/>
  <c r="AN54" i="3"/>
  <c r="U76" i="3"/>
  <c r="V48" i="3"/>
  <c r="AM56" i="3"/>
  <c r="L58" i="3"/>
  <c r="Q89" i="3"/>
  <c r="J58" i="3"/>
  <c r="AA73" i="3"/>
  <c r="AH63" i="3"/>
  <c r="AH92" i="3"/>
  <c r="R49" i="3"/>
  <c r="AH88" i="3"/>
  <c r="O93" i="3"/>
  <c r="AG79" i="3"/>
  <c r="H94" i="3"/>
  <c r="Y60" i="3"/>
  <c r="X74" i="3"/>
  <c r="V73" i="3"/>
  <c r="K85" i="3"/>
  <c r="AO91" i="3"/>
  <c r="I78" i="3"/>
  <c r="O59" i="3"/>
  <c r="AJ80" i="3"/>
  <c r="AM63" i="3"/>
  <c r="AO93" i="3"/>
  <c r="AE83" i="3"/>
  <c r="AH94" i="3"/>
  <c r="O70" i="3"/>
  <c r="R94" i="3"/>
  <c r="J76" i="3"/>
  <c r="N61" i="3"/>
  <c r="AM76" i="3"/>
  <c r="Q202" i="1" l="1"/>
  <c r="T202" i="1"/>
  <c r="B65" i="1"/>
  <c r="L120" i="1"/>
  <c r="R134" i="1"/>
  <c r="D128" i="1"/>
  <c r="U148" i="1"/>
  <c r="U182" i="1" s="1"/>
  <c r="I161" i="1"/>
  <c r="J209" i="1" s="1"/>
  <c r="O120" i="1"/>
  <c r="O175" i="1" s="1"/>
  <c r="C120" i="1"/>
  <c r="C54" i="1" s="1"/>
  <c r="M120" i="1"/>
  <c r="O161" i="1"/>
  <c r="C202" i="1"/>
  <c r="C128" i="1"/>
  <c r="I148" i="1"/>
  <c r="I182" i="1" s="1"/>
  <c r="I181" i="1" s="1"/>
  <c r="S161" i="1"/>
  <c r="T209" i="1" s="1"/>
  <c r="F128" i="1"/>
  <c r="F37" i="1" s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U181" i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U196" i="1" s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H179" i="1"/>
  <c r="H148" i="1"/>
  <c r="R175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F138" i="1"/>
  <c r="F33" i="1"/>
  <c r="N175" i="1"/>
  <c r="N54" i="1"/>
  <c r="N248" i="1"/>
  <c r="E175" i="1"/>
  <c r="E207" i="1"/>
  <c r="R138" i="1"/>
  <c r="R33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C175" i="1" l="1"/>
  <c r="S249" i="1"/>
  <c r="S251" i="1" s="1"/>
  <c r="P196" i="1"/>
  <c r="I168" i="1"/>
  <c r="I109" i="1" s="1"/>
  <c r="D207" i="1"/>
  <c r="P197" i="1"/>
  <c r="P198" i="1" s="1"/>
  <c r="P199" i="1" s="1"/>
  <c r="O207" i="1"/>
  <c r="O54" i="1"/>
  <c r="R54" i="1"/>
  <c r="C249" i="1"/>
  <c r="C251" i="1" s="1"/>
  <c r="F248" i="1"/>
  <c r="C207" i="1"/>
  <c r="AR134" i="1"/>
  <c r="M175" i="1"/>
  <c r="M54" i="1"/>
  <c r="M207" i="1"/>
  <c r="N207" i="1"/>
  <c r="P209" i="1"/>
  <c r="O248" i="1"/>
  <c r="L33" i="1"/>
  <c r="L138" i="1"/>
  <c r="F175" i="1"/>
  <c r="F54" i="1"/>
  <c r="P138" i="1"/>
  <c r="P33" i="1"/>
  <c r="C37" i="1"/>
  <c r="D206" i="1"/>
  <c r="D205" i="1" s="1"/>
  <c r="C129" i="1"/>
  <c r="C55" i="1" s="1"/>
  <c r="D249" i="1"/>
  <c r="D251" i="1" s="1"/>
  <c r="C138" i="1"/>
  <c r="C33" i="1"/>
  <c r="V168" i="1"/>
  <c r="V109" i="1" s="1"/>
  <c r="V37" i="1"/>
  <c r="B138" i="1"/>
  <c r="B33" i="1"/>
  <c r="C107" i="1"/>
  <c r="C66" i="1"/>
  <c r="C68" i="1" s="1"/>
  <c r="C108" i="1"/>
  <c r="E196" i="1"/>
  <c r="C157" i="1"/>
  <c r="D197" i="1"/>
  <c r="R207" i="1"/>
  <c r="T185" i="1"/>
  <c r="T184" i="1" s="1"/>
  <c r="U197" i="1"/>
  <c r="U198" i="1" s="1"/>
  <c r="U199" i="1" s="1"/>
  <c r="V249" i="1"/>
  <c r="V251" i="1" s="1"/>
  <c r="R168" i="1"/>
  <c r="R109" i="1" s="1"/>
  <c r="R129" i="1"/>
  <c r="R55" i="1" s="1"/>
  <c r="S197" i="1"/>
  <c r="N33" i="1"/>
  <c r="N138" i="1"/>
  <c r="N209" i="1"/>
  <c r="M248" i="1"/>
  <c r="U209" i="1"/>
  <c r="T248" i="1"/>
  <c r="H175" i="1"/>
  <c r="H54" i="1"/>
  <c r="H207" i="1"/>
  <c r="S182" i="1"/>
  <c r="S157" i="1"/>
  <c r="T207" i="1"/>
  <c r="T54" i="1"/>
  <c r="T175" i="1"/>
  <c r="I248" i="1"/>
  <c r="I207" i="1"/>
  <c r="I54" i="1"/>
  <c r="I175" i="1"/>
  <c r="J33" i="1"/>
  <c r="J138" i="1"/>
  <c r="U33" i="1"/>
  <c r="U138" i="1"/>
  <c r="S33" i="1"/>
  <c r="S138" i="1"/>
  <c r="I209" i="1"/>
  <c r="H248" i="1"/>
  <c r="S37" i="1"/>
  <c r="S168" i="1"/>
  <c r="S109" i="1" s="1"/>
  <c r="S206" i="1"/>
  <c r="S185" i="1"/>
  <c r="S184" i="1" s="1"/>
  <c r="T197" i="1"/>
  <c r="E209" i="1"/>
  <c r="D168" i="1"/>
  <c r="D109" i="1" s="1"/>
  <c r="D110" i="1" s="1"/>
  <c r="D113" i="1" s="1"/>
  <c r="D248" i="1"/>
  <c r="G209" i="1"/>
  <c r="F168" i="1"/>
  <c r="F109" i="1" s="1"/>
  <c r="F129" i="1"/>
  <c r="F55" i="1" s="1"/>
  <c r="F207" i="1"/>
  <c r="T206" i="1"/>
  <c r="T168" i="1"/>
  <c r="T109" i="1" s="1"/>
  <c r="U249" i="1"/>
  <c r="U251" i="1" s="1"/>
  <c r="O206" i="1"/>
  <c r="O205" i="1" s="1"/>
  <c r="O129" i="1"/>
  <c r="O55" i="1" s="1"/>
  <c r="F182" i="1"/>
  <c r="G196" i="1"/>
  <c r="F157" i="1"/>
  <c r="F165" i="1" s="1"/>
  <c r="J248" i="1"/>
  <c r="K209" i="1"/>
  <c r="G54" i="1"/>
  <c r="G207" i="1"/>
  <c r="G175" i="1"/>
  <c r="J129" i="1"/>
  <c r="J55" i="1" s="1"/>
  <c r="J168" i="1"/>
  <c r="J109" i="1" s="1"/>
  <c r="J37" i="1"/>
  <c r="J249" i="1"/>
  <c r="J251" i="1" s="1"/>
  <c r="U207" i="1"/>
  <c r="U54" i="1"/>
  <c r="J196" i="1"/>
  <c r="J182" i="1"/>
  <c r="J181" i="1" s="1"/>
  <c r="K196" i="1"/>
  <c r="H206" i="1"/>
  <c r="H37" i="1"/>
  <c r="H129" i="1"/>
  <c r="H55" i="1" s="1"/>
  <c r="H168" i="1"/>
  <c r="H109" i="1" s="1"/>
  <c r="R209" i="1"/>
  <c r="Q248" i="1"/>
  <c r="E182" i="1"/>
  <c r="E181" i="1" s="1"/>
  <c r="F196" i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205" i="1" l="1"/>
  <c r="P165" i="1"/>
  <c r="P244" i="1"/>
  <c r="P246" i="1"/>
  <c r="AR138" i="1"/>
  <c r="AS33" i="1"/>
  <c r="L244" i="1"/>
  <c r="L246" i="1"/>
  <c r="C69" i="1"/>
  <c r="AS134" i="1"/>
  <c r="L165" i="1"/>
  <c r="L166" i="1" s="1"/>
  <c r="D203" i="1"/>
  <c r="D201" i="1" s="1"/>
  <c r="C165" i="1"/>
  <c r="C203" i="1"/>
  <c r="C201" i="1" s="1"/>
  <c r="BU202" i="1"/>
  <c r="M205" i="1"/>
  <c r="T205" i="1"/>
  <c r="E198" i="1"/>
  <c r="E199" i="1" s="1"/>
  <c r="K198" i="1"/>
  <c r="K199" i="1" s="1"/>
  <c r="N205" i="1"/>
  <c r="B165" i="1"/>
  <c r="K205" i="1"/>
  <c r="F166" i="1"/>
  <c r="S165" i="1"/>
  <c r="S166" i="1" s="1"/>
  <c r="H165" i="1"/>
  <c r="H166" i="1" s="1"/>
  <c r="H246" i="1"/>
  <c r="H244" i="1"/>
  <c r="H205" i="1"/>
  <c r="T198" i="1"/>
  <c r="T199" i="1" s="1"/>
  <c r="G205" i="1"/>
  <c r="D198" i="1"/>
  <c r="D199" i="1" s="1"/>
  <c r="S205" i="1"/>
  <c r="J165" i="1"/>
  <c r="J166" i="1" s="1"/>
  <c r="D111" i="1"/>
  <c r="D114" i="1" s="1"/>
  <c r="I205" i="1"/>
  <c r="V205" i="1"/>
  <c r="S198" i="1"/>
  <c r="S199" i="1" s="1"/>
  <c r="U205" i="1"/>
  <c r="R205" i="1"/>
  <c r="N165" i="1"/>
  <c r="N166" i="1" s="1"/>
  <c r="N246" i="1"/>
  <c r="N244" i="1"/>
  <c r="J246" i="1"/>
  <c r="J244" i="1"/>
  <c r="U244" i="1"/>
  <c r="U246" i="1"/>
  <c r="U203" i="1"/>
  <c r="U201" i="1" s="1"/>
  <c r="U213" i="1" s="1"/>
  <c r="S246" i="1"/>
  <c r="S203" i="1"/>
  <c r="S201" i="1" s="1"/>
  <c r="T203" i="1"/>
  <c r="T201" i="1" s="1"/>
  <c r="T210" i="1" s="1"/>
  <c r="T211" i="1" s="1"/>
  <c r="S244" i="1"/>
  <c r="F181" i="1"/>
  <c r="F186" i="1"/>
  <c r="S181" i="1"/>
  <c r="S186" i="1"/>
  <c r="J198" i="1"/>
  <c r="J199" i="1" s="1"/>
  <c r="F205" i="1"/>
  <c r="F198" i="1"/>
  <c r="F199" i="1" s="1"/>
  <c r="G198" i="1"/>
  <c r="G199" i="1" s="1"/>
  <c r="U165" i="1"/>
  <c r="U166" i="1" s="1"/>
  <c r="R166" i="1"/>
  <c r="L203" i="1"/>
  <c r="L201" i="1" s="1"/>
  <c r="K203" i="1"/>
  <c r="K201" i="1" s="1"/>
  <c r="X203" i="1"/>
  <c r="X201" i="1" s="1"/>
  <c r="W203" i="1"/>
  <c r="W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70" i="1" l="1"/>
  <c r="AS138" i="1"/>
  <c r="AT33" i="1"/>
  <c r="P166" i="1"/>
  <c r="AR246" i="1"/>
  <c r="I213" i="1"/>
  <c r="V189" i="1"/>
  <c r="V190" i="1" s="1"/>
  <c r="S210" i="1"/>
  <c r="S211" i="1" s="1"/>
  <c r="T213" i="1"/>
  <c r="S213" i="1"/>
  <c r="U210" i="1"/>
  <c r="U211" i="1" s="1"/>
  <c r="D210" i="1"/>
  <c r="D211" i="1" s="1"/>
  <c r="D213" i="1"/>
  <c r="K210" i="1"/>
  <c r="K211" i="1" s="1"/>
  <c r="K213" i="1"/>
  <c r="D166" i="1"/>
  <c r="D244" i="1"/>
  <c r="H210" i="1"/>
  <c r="H211" i="1" s="1"/>
  <c r="J213" i="1"/>
  <c r="J210" i="1"/>
  <c r="J211" i="1" s="1"/>
  <c r="H213" i="1"/>
  <c r="Q213" i="1"/>
  <c r="P210" i="1"/>
  <c r="P211" i="1" s="1"/>
  <c r="Q210" i="1"/>
  <c r="Q211" i="1" s="1"/>
  <c r="I210" i="1"/>
  <c r="I211" i="1" s="1"/>
  <c r="M213" i="1"/>
  <c r="N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BP165" i="1"/>
  <c r="BP166" i="1" s="1"/>
  <c r="BA251" i="1"/>
  <c r="BN109" i="1"/>
  <c r="BO37" i="1"/>
  <c r="AZ33" i="1"/>
  <c r="AY138" i="1"/>
  <c r="AN166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T203" i="1" l="1"/>
  <c r="AT201" i="1" s="1"/>
  <c r="AS203" i="1"/>
  <c r="AS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1" i="1" l="1"/>
  <c r="CJ114" i="1" s="1"/>
  <c r="CJ110" i="1"/>
  <c r="CJ113" i="1" s="1"/>
  <c r="CK231" i="1" l="1"/>
  <c r="CK253" i="1"/>
  <c r="CK252" i="1"/>
  <c r="CL231" i="1"/>
  <c r="CL253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L10" i="1"/>
  <c r="CP8" i="1" s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L16" i="1"/>
  <c r="CL15" i="1" s="1"/>
  <c r="CL145" i="1"/>
  <c r="CL153" i="1"/>
  <c r="CL12" i="1"/>
  <c r="CL225" i="1"/>
  <c r="CL144" i="1"/>
  <c r="CL26" i="1"/>
  <c r="CL23" i="1" s="1"/>
  <c r="CL152" i="1"/>
  <c r="CL146" i="1"/>
  <c r="CN225" i="1"/>
  <c r="CO225" i="1" l="1"/>
  <c r="CS8" i="1"/>
  <c r="CM156" i="1"/>
  <c r="CK156" i="1"/>
  <c r="CK197" i="1" s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96" i="1" s="1"/>
  <c r="CM19" i="1"/>
  <c r="CL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L156" i="1"/>
  <c r="CO144" i="1"/>
  <c r="CO16" i="1"/>
  <c r="CO152" i="1"/>
  <c r="CO153" i="1"/>
  <c r="CO26" i="1"/>
  <c r="CO23" i="1" s="1"/>
  <c r="CO145" i="1"/>
  <c r="CO146" i="1"/>
  <c r="CO12" i="1"/>
  <c r="CL148" i="1"/>
  <c r="CL18" i="1"/>
  <c r="CL28" i="1"/>
  <c r="CL112" i="1" s="1"/>
  <c r="CU8" i="1" l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L250" i="1"/>
  <c r="CL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L226" i="1"/>
  <c r="CR225" i="1"/>
  <c r="CL31" i="1"/>
  <c r="CP225" i="1"/>
  <c r="AB10" i="1"/>
  <c r="CO156" i="1"/>
  <c r="CS10" i="1"/>
  <c r="CS231" i="1"/>
  <c r="CO148" i="1"/>
  <c r="CM112" i="1"/>
  <c r="CN112" i="1"/>
  <c r="CM197" i="1"/>
  <c r="CL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L34" i="1"/>
  <c r="CL29" i="1"/>
  <c r="CL30" i="1"/>
  <c r="CL232" i="1"/>
  <c r="CL233" i="1" s="1"/>
  <c r="CO28" i="1"/>
  <c r="CO18" i="1"/>
  <c r="CO19" i="1"/>
  <c r="CM196" i="1"/>
  <c r="CL157" i="1"/>
  <c r="CL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L19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U29" i="1" l="1"/>
  <c r="CU3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L209" i="1"/>
  <c r="CK168" i="1"/>
  <c r="CK109" i="1" s="1"/>
  <c r="DB157" i="1"/>
  <c r="DB196" i="1"/>
  <c r="DB198" i="1" s="1"/>
  <c r="AE185" i="1"/>
  <c r="AE184" i="1" s="1"/>
  <c r="AE197" i="1"/>
  <c r="DB226" i="1"/>
  <c r="CK111" i="1" l="1"/>
  <c r="CK114" i="1" s="1"/>
  <c r="CK110" i="1"/>
  <c r="CK113" i="1" s="1"/>
  <c r="AE30" i="1"/>
  <c r="AE250" i="1"/>
  <c r="AE251" i="1" s="1"/>
  <c r="CK166" i="1"/>
  <c r="CL36" i="1"/>
  <c r="CL252" i="1" s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CL38" i="1"/>
  <c r="CL39" i="1" l="1"/>
  <c r="CL41" i="1" l="1"/>
  <c r="CL42" i="1" l="1"/>
  <c r="CL245" i="1" s="1"/>
  <c r="CL234" i="1"/>
  <c r="CL48" i="1"/>
  <c r="CL43" i="1"/>
  <c r="CL44" i="1"/>
  <c r="CL227" i="1"/>
  <c r="CL66" i="1" l="1"/>
  <c r="CL193" i="1"/>
  <c r="CL195" i="1" s="1"/>
  <c r="CL199" i="1" s="1"/>
  <c r="CL213" i="1" s="1"/>
  <c r="CL119" i="1"/>
  <c r="CL120" i="1" l="1"/>
  <c r="CL92" i="1" s="1"/>
  <c r="CL69" i="1"/>
  <c r="CL85" i="1" l="1"/>
  <c r="CL86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207" i="1"/>
  <c r="CL205" i="1" s="1"/>
  <c r="CL210" i="1" s="1"/>
  <c r="CL129" i="1"/>
  <c r="CL55" i="1" s="1"/>
  <c r="CL54" i="1"/>
  <c r="CH89" i="1"/>
  <c r="CL70" i="1"/>
  <c r="CL90" i="1" l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160" i="1"/>
  <c r="CL161" i="1" l="1"/>
  <c r="CL246" i="1" l="1"/>
  <c r="CL244" i="1"/>
  <c r="CL248" i="1"/>
  <c r="CM209" i="1"/>
  <c r="CL165" i="1"/>
  <c r="CL168" i="1"/>
  <c r="CL109" i="1" s="1"/>
  <c r="CL211" i="1"/>
  <c r="AB209" i="1"/>
  <c r="CL111" i="1" l="1"/>
  <c r="CL114" i="1" s="1"/>
  <c r="CL110" i="1"/>
  <c r="CL113" i="1" s="1"/>
  <c r="CM36" i="1"/>
  <c r="CM252" i="1" s="1"/>
  <c r="CL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85" i="1"/>
  <c r="AA87" i="1"/>
  <c r="AA107" i="1"/>
  <c r="AA110" i="1"/>
  <c r="AA113" i="1"/>
  <c r="AA86" i="1"/>
  <c r="AA99" i="1"/>
  <c r="AA92" i="1"/>
  <c r="AA103" i="1"/>
  <c r="AA102" i="1"/>
  <c r="AA104" i="1"/>
  <c r="AA95" i="1"/>
  <c r="AA94" i="1"/>
  <c r="AA96" i="1"/>
  <c r="AA68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M65" i="1"/>
  <c r="M66" i="1"/>
  <c r="M69" i="1"/>
  <c r="M87" i="1"/>
  <c r="L63" i="1"/>
  <c r="K63" i="1"/>
  <c r="J63" i="1"/>
  <c r="J65" i="1"/>
  <c r="J99" i="1"/>
  <c r="J103" i="1"/>
  <c r="W65" i="1"/>
  <c r="W107" i="1"/>
  <c r="W110" i="1"/>
  <c r="W113" i="1"/>
  <c r="AB65" i="1"/>
  <c r="AB66" i="1"/>
  <c r="AB69" i="1"/>
  <c r="AB86" i="1"/>
  <c r="I63" i="1"/>
  <c r="H63" i="1"/>
  <c r="G63" i="1"/>
  <c r="F63" i="1"/>
  <c r="E63" i="1"/>
  <c r="E65" i="1"/>
  <c r="E66" i="1"/>
  <c r="E69" i="1"/>
  <c r="I65" i="1"/>
  <c r="I99" i="1"/>
  <c r="I104" i="1"/>
  <c r="M107" i="1"/>
  <c r="M110" i="1"/>
  <c r="P65" i="1"/>
  <c r="P99" i="1"/>
  <c r="P103" i="1"/>
  <c r="V65" i="1"/>
  <c r="V66" i="1"/>
  <c r="V69" i="1"/>
  <c r="V86" i="1"/>
  <c r="X65" i="1"/>
  <c r="X99" i="1"/>
  <c r="X104" i="1"/>
  <c r="Y65" i="1"/>
  <c r="Y66" i="1"/>
  <c r="Y69" i="1"/>
  <c r="X89" i="1"/>
  <c r="N65" i="1"/>
  <c r="N107" i="1"/>
  <c r="N110" i="1"/>
  <c r="P108" i="1"/>
  <c r="R65" i="1"/>
  <c r="R107" i="1"/>
  <c r="Y87" i="1"/>
  <c r="X66" i="1"/>
  <c r="K65" i="1"/>
  <c r="M108" i="1"/>
  <c r="Y107" i="1"/>
  <c r="M68" i="1"/>
  <c r="N66" i="1"/>
  <c r="L89" i="1"/>
  <c r="Y108" i="1"/>
  <c r="P111" i="1"/>
  <c r="P66" i="1"/>
  <c r="S65" i="1"/>
  <c r="K108" i="1"/>
  <c r="N69" i="1"/>
  <c r="J107" i="1"/>
  <c r="AB87" i="1"/>
  <c r="V87" i="1"/>
  <c r="Y111" i="1"/>
  <c r="I102" i="1"/>
  <c r="X68" i="1"/>
  <c r="M92" i="1"/>
  <c r="S107" i="1"/>
  <c r="R66" i="1"/>
  <c r="X108" i="1"/>
  <c r="R110" i="1"/>
  <c r="N8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N68" i="1"/>
  <c r="K66" i="1"/>
  <c r="J108" i="1"/>
  <c r="X111" i="1"/>
  <c r="M95" i="1"/>
  <c r="V70" i="1"/>
  <c r="I107" i="1"/>
  <c r="N99" i="1"/>
  <c r="P102" i="1"/>
  <c r="N108" i="1"/>
  <c r="M111" i="1"/>
  <c r="P114" i="1"/>
  <c r="W108" i="1"/>
  <c r="D89" i="1"/>
  <c r="K99" i="1"/>
  <c r="AB70" i="1"/>
  <c r="O65" i="1"/>
  <c r="O66" i="1"/>
  <c r="O69" i="1"/>
  <c r="O85" i="1"/>
  <c r="U65" i="1"/>
  <c r="U66" i="1"/>
  <c r="U69" i="1"/>
  <c r="U85" i="1"/>
  <c r="E85" i="1"/>
  <c r="Q65" i="1"/>
  <c r="J66" i="1"/>
  <c r="J69" i="1"/>
  <c r="J86" i="1"/>
  <c r="G65" i="1"/>
  <c r="G107" i="1"/>
  <c r="G110" i="1"/>
  <c r="G113" i="1"/>
  <c r="R108" i="1"/>
  <c r="E87" i="1"/>
  <c r="AC63" i="1"/>
  <c r="AC65" i="1"/>
  <c r="AC92" i="1"/>
  <c r="AC95" i="1"/>
  <c r="O87" i="1"/>
  <c r="AA89" i="1"/>
  <c r="S108" i="1"/>
  <c r="G66" i="1"/>
  <c r="G68" i="1"/>
  <c r="X107" i="1"/>
  <c r="X110" i="1"/>
  <c r="X113" i="1"/>
  <c r="N113" i="1"/>
  <c r="Y110" i="1"/>
  <c r="P92" i="1"/>
  <c r="W66" i="1"/>
  <c r="G108" i="1"/>
  <c r="G111" i="1"/>
  <c r="G114" i="1"/>
  <c r="E86" i="1"/>
  <c r="AD63" i="1"/>
  <c r="AD65" i="1"/>
  <c r="AD99" i="1"/>
  <c r="AD104" i="1"/>
  <c r="F65" i="1"/>
  <c r="F66" i="1"/>
  <c r="F69" i="1"/>
  <c r="F86" i="1"/>
  <c r="AD103" i="1"/>
  <c r="W68" i="1"/>
  <c r="I66" i="1"/>
  <c r="AB85" i="1"/>
  <c r="L65" i="1"/>
  <c r="L107" i="1"/>
  <c r="L110" i="1"/>
  <c r="L113" i="1"/>
  <c r="I68" i="1"/>
  <c r="J104" i="1"/>
  <c r="AB107" i="1"/>
  <c r="AB110" i="1"/>
  <c r="AB113" i="1"/>
  <c r="K107" i="1"/>
  <c r="U89" i="1"/>
  <c r="G92" i="1"/>
  <c r="J92" i="1"/>
  <c r="AB92" i="1"/>
  <c r="AB96" i="1"/>
  <c r="T65" i="1"/>
  <c r="T108" i="1"/>
  <c r="T111" i="1"/>
  <c r="T114" i="1"/>
  <c r="Z65" i="1"/>
  <c r="Z66" i="1"/>
  <c r="Z69" i="1"/>
  <c r="Z87" i="1"/>
  <c r="R99" i="1"/>
  <c r="U70" i="1"/>
  <c r="R102" i="1"/>
  <c r="AB68" i="1"/>
  <c r="G69" i="1"/>
  <c r="G87" i="1"/>
  <c r="M85" i="1"/>
  <c r="Q92" i="1"/>
  <c r="J70" i="1"/>
  <c r="T66" i="1"/>
  <c r="X69" i="1"/>
  <c r="R111" i="1"/>
  <c r="P107" i="1"/>
  <c r="V107" i="1"/>
  <c r="AC94" i="1"/>
  <c r="L92" i="1"/>
  <c r="J95" i="1"/>
  <c r="Q66" i="1"/>
  <c r="U86" i="1"/>
  <c r="X86" i="1"/>
  <c r="I110" i="1"/>
  <c r="N92" i="1"/>
  <c r="E68" i="1"/>
  <c r="K104" i="1"/>
  <c r="I69" i="1"/>
  <c r="W92" i="1"/>
  <c r="Z108" i="1"/>
  <c r="N70" i="1"/>
  <c r="I103" i="1"/>
  <c r="S110" i="1"/>
  <c r="V108" i="1"/>
  <c r="Q108" i="1"/>
  <c r="T92" i="1"/>
  <c r="AC96" i="1"/>
  <c r="J87" i="1"/>
  <c r="Q107" i="1"/>
  <c r="J102" i="1"/>
  <c r="M89" i="1"/>
  <c r="R103" i="1"/>
  <c r="T68" i="1"/>
  <c r="Q110" i="1"/>
  <c r="L95" i="1"/>
  <c r="G85" i="1"/>
  <c r="H65" i="1"/>
  <c r="H66" i="1"/>
  <c r="H68" i="1"/>
  <c r="G70" i="1"/>
  <c r="H92" i="1"/>
  <c r="H96" i="1"/>
  <c r="N103" i="1"/>
  <c r="N104" i="1"/>
  <c r="Z68" i="1"/>
  <c r="AD107" i="1"/>
  <c r="O70" i="1"/>
  <c r="L99" i="1"/>
  <c r="G99" i="1"/>
  <c r="M70" i="1"/>
  <c r="R114" i="1"/>
  <c r="J85" i="1"/>
  <c r="M94" i="1"/>
  <c r="E92" i="1"/>
  <c r="Q96" i="1"/>
  <c r="P68" i="1"/>
  <c r="E70" i="1"/>
  <c r="P95" i="1"/>
  <c r="AD102" i="1"/>
  <c r="G96" i="1"/>
  <c r="L108" i="1"/>
  <c r="J68" i="1"/>
  <c r="R92" i="1"/>
  <c r="Y68" i="1"/>
  <c r="S66" i="1"/>
  <c r="W69" i="1"/>
  <c r="AC107" i="1"/>
  <c r="AC110" i="1"/>
  <c r="AC113" i="1"/>
  <c r="R104" i="1"/>
  <c r="AB94" i="1"/>
  <c r="O107" i="1"/>
  <c r="M113" i="1"/>
  <c r="V92" i="1"/>
  <c r="M99" i="1"/>
  <c r="M102" i="1"/>
  <c r="L66" i="1"/>
  <c r="L69" i="1"/>
  <c r="K89" i="1"/>
  <c r="K92" i="1"/>
  <c r="X102" i="1"/>
  <c r="K110" i="1"/>
  <c r="AD108" i="1"/>
  <c r="AD111" i="1"/>
  <c r="J96" i="1"/>
  <c r="U99" i="1"/>
  <c r="U102" i="1"/>
  <c r="T69" i="1"/>
  <c r="T99" i="1"/>
  <c r="T104" i="1"/>
  <c r="T89" i="1"/>
  <c r="AD66" i="1"/>
  <c r="X103" i="1"/>
  <c r="Z86" i="1"/>
  <c r="P104" i="1"/>
  <c r="AC64" i="1"/>
  <c r="AD64" i="1"/>
  <c r="AE64" i="1"/>
  <c r="K111" i="1"/>
  <c r="U87" i="1"/>
  <c r="Z99" i="1"/>
  <c r="Z92" i="1"/>
  <c r="Y70" i="1"/>
  <c r="E107" i="1"/>
  <c r="V110" i="1"/>
  <c r="V113" i="1"/>
  <c r="AB99" i="1"/>
  <c r="I92" i="1"/>
  <c r="X92" i="1"/>
  <c r="V68" i="1"/>
  <c r="T107" i="1"/>
  <c r="T110" i="1"/>
  <c r="AB108" i="1"/>
  <c r="AB111" i="1"/>
  <c r="AB114" i="1"/>
  <c r="L86" i="1"/>
  <c r="AE63" i="1"/>
  <c r="AE65" i="1"/>
  <c r="AE107" i="1"/>
  <c r="P110" i="1"/>
  <c r="P113" i="1"/>
  <c r="S69" i="1"/>
  <c r="F99" i="1"/>
  <c r="F102" i="1"/>
  <c r="T86" i="1"/>
  <c r="T113" i="1"/>
  <c r="X87" i="1"/>
  <c r="AD69" i="1"/>
  <c r="Q99" i="1"/>
  <c r="U68" i="1"/>
  <c r="M103" i="1"/>
  <c r="AE92" i="1"/>
  <c r="J110" i="1"/>
  <c r="K96" i="1"/>
  <c r="T85" i="1"/>
  <c r="S70" i="1"/>
  <c r="T70" i="1"/>
  <c r="U92" i="1"/>
  <c r="U95" i="1"/>
  <c r="Q102" i="1"/>
  <c r="L96" i="1"/>
  <c r="W87" i="1"/>
  <c r="O68" i="1"/>
  <c r="F107" i="1"/>
  <c r="T103" i="1"/>
  <c r="R96" i="1"/>
  <c r="Z102" i="1"/>
  <c r="AD85" i="1"/>
  <c r="G95" i="1"/>
  <c r="W95" i="1"/>
  <c r="P96" i="1"/>
  <c r="Z111" i="1"/>
  <c r="Q68" i="1"/>
  <c r="I108" i="1"/>
  <c r="M86" i="1"/>
  <c r="H99" i="1"/>
  <c r="V111" i="1"/>
  <c r="R69" i="1"/>
  <c r="I89" i="1"/>
  <c r="P94" i="1"/>
  <c r="AE94" i="1"/>
  <c r="U107" i="1"/>
  <c r="H69" i="1"/>
  <c r="H87" i="1"/>
  <c r="H86" i="1"/>
  <c r="Z70" i="1"/>
  <c r="W89" i="1"/>
  <c r="X85" i="1"/>
  <c r="S111" i="1"/>
  <c r="S114" i="1"/>
  <c r="N86" i="1"/>
  <c r="K103" i="1"/>
  <c r="G89" i="1"/>
  <c r="E64" i="1"/>
  <c r="H85" i="1"/>
  <c r="H70" i="1"/>
  <c r="O92" i="1"/>
  <c r="AE95" i="1"/>
  <c r="K69" i="1"/>
  <c r="AD92" i="1"/>
  <c r="AD94" i="1"/>
  <c r="AE108" i="1"/>
  <c r="AE111" i="1"/>
  <c r="F70" i="1"/>
  <c r="Q89" i="1"/>
  <c r="R68" i="1"/>
  <c r="F92" i="1"/>
  <c r="G94" i="1"/>
  <c r="O99" i="1"/>
  <c r="S99" i="1"/>
  <c r="T102" i="1"/>
  <c r="S87" i="1"/>
  <c r="R86" i="1"/>
  <c r="L70" i="1"/>
  <c r="S68" i="1"/>
  <c r="I95" i="1"/>
  <c r="U103" i="1"/>
  <c r="O104" i="1"/>
  <c r="F94" i="1"/>
  <c r="F95" i="1"/>
  <c r="H95" i="1"/>
  <c r="L87" i="1"/>
  <c r="N111" i="1"/>
  <c r="N114" i="1"/>
  <c r="S102" i="1"/>
  <c r="X114" i="1"/>
  <c r="Q95" i="1"/>
  <c r="AC66" i="1"/>
  <c r="AC69" i="1"/>
  <c r="AB89" i="1"/>
  <c r="R95" i="1"/>
  <c r="AC86" i="1"/>
  <c r="I86" i="1"/>
  <c r="N94" i="1"/>
  <c r="L104" i="1"/>
  <c r="G104" i="1"/>
  <c r="I87" i="1"/>
  <c r="E95" i="1"/>
  <c r="E96" i="1"/>
  <c r="T87" i="1"/>
  <c r="R85" i="1"/>
  <c r="S103" i="1"/>
  <c r="Z95" i="1"/>
  <c r="Y114" i="1"/>
  <c r="T96" i="1"/>
  <c r="L111" i="1"/>
  <c r="L114" i="1"/>
  <c r="AC85" i="1"/>
  <c r="N96" i="1"/>
  <c r="H89" i="1"/>
  <c r="W94" i="1"/>
  <c r="F96" i="1"/>
  <c r="O110" i="1"/>
  <c r="O113" i="1"/>
  <c r="K68" i="1"/>
  <c r="I70" i="1"/>
  <c r="O102" i="1"/>
  <c r="O103" i="1"/>
  <c r="AC87" i="1"/>
  <c r="I113" i="1"/>
  <c r="S92" i="1"/>
  <c r="Y92" i="1"/>
  <c r="P69" i="1"/>
  <c r="O89" i="1"/>
  <c r="Q69" i="1"/>
  <c r="M104" i="1"/>
  <c r="V99" i="1"/>
  <c r="V103" i="1"/>
  <c r="AD95" i="1"/>
  <c r="E94" i="1"/>
  <c r="AE114" i="1"/>
  <c r="V94" i="1"/>
  <c r="Q70" i="1"/>
  <c r="H102" i="1"/>
  <c r="O96" i="1"/>
  <c r="Z89" i="1"/>
  <c r="Y89" i="1"/>
  <c r="Y86" i="1"/>
  <c r="V85" i="1"/>
  <c r="F68" i="1"/>
  <c r="AD68" i="1"/>
  <c r="W99" i="1"/>
  <c r="AC108" i="1"/>
  <c r="AC111" i="1"/>
  <c r="F87" i="1"/>
  <c r="Q111" i="1"/>
  <c r="AC99" i="1"/>
  <c r="AC102" i="1"/>
  <c r="S95" i="1"/>
  <c r="T95" i="1"/>
  <c r="G103" i="1"/>
  <c r="Q103" i="1"/>
  <c r="F103" i="1"/>
  <c r="AC104" i="1"/>
  <c r="X95" i="1"/>
  <c r="AE110" i="1"/>
  <c r="AE113" i="1"/>
  <c r="O95" i="1"/>
  <c r="O86" i="1"/>
  <c r="E89" i="1"/>
  <c r="K85" i="1"/>
  <c r="P86" i="1"/>
  <c r="S96" i="1"/>
  <c r="L68" i="1"/>
  <c r="L103" i="1"/>
  <c r="L102" i="1"/>
  <c r="R70" i="1"/>
  <c r="T94" i="1"/>
  <c r="AB104" i="1"/>
  <c r="S85" i="1"/>
  <c r="Q114" i="1"/>
  <c r="Q86" i="1"/>
  <c r="S94" i="1"/>
  <c r="Y94" i="1"/>
  <c r="Y96" i="1"/>
  <c r="K70" i="1"/>
  <c r="F110" i="1"/>
  <c r="F113" i="1"/>
  <c r="AD96" i="1"/>
  <c r="Q87" i="1"/>
  <c r="O94" i="1"/>
  <c r="P70" i="1"/>
  <c r="P89" i="1"/>
  <c r="P85" i="1"/>
  <c r="Q85" i="1"/>
  <c r="P87" i="1"/>
  <c r="W103" i="1"/>
  <c r="Y95" i="1"/>
  <c r="W104" i="1"/>
  <c r="AC114" i="1"/>
  <c r="V104" i="1"/>
  <c r="V102" i="1"/>
  <c r="W102" i="1"/>
  <c r="E108" i="1"/>
  <c r="M96" i="1"/>
  <c r="H108" i="1"/>
  <c r="AD110" i="1"/>
  <c r="K102" i="1"/>
  <c r="Z94" i="1"/>
  <c r="V89" i="1"/>
  <c r="Y99" i="1"/>
  <c r="I111" i="1"/>
  <c r="G102" i="1"/>
  <c r="S113" i="1"/>
  <c r="H104" i="1"/>
  <c r="V114" i="1"/>
  <c r="Z103" i="1"/>
  <c r="W111" i="1"/>
  <c r="AE99" i="1"/>
  <c r="O108" i="1"/>
  <c r="Y85" i="1"/>
  <c r="AB103" i="1"/>
  <c r="Q94" i="1"/>
  <c r="Q113" i="1"/>
  <c r="R113" i="1"/>
  <c r="N87" i="1"/>
  <c r="N102" i="1"/>
  <c r="M114" i="1"/>
  <c r="F108" i="1"/>
  <c r="N89" i="1"/>
  <c r="E110" i="1"/>
  <c r="E113" i="1"/>
  <c r="Z107" i="1"/>
  <c r="Z110" i="1"/>
  <c r="F111" i="1"/>
  <c r="AD86" i="1"/>
  <c r="H107" i="1"/>
  <c r="H110" i="1"/>
  <c r="V96" i="1"/>
  <c r="F85" i="1"/>
  <c r="H111" i="1"/>
  <c r="H114" i="1"/>
  <c r="E99" i="1"/>
  <c r="X96" i="1"/>
  <c r="H94" i="1"/>
  <c r="F89" i="1"/>
  <c r="U108" i="1"/>
  <c r="U111" i="1"/>
  <c r="U114" i="1"/>
  <c r="AC103" i="1"/>
  <c r="AD87" i="1"/>
  <c r="AE66" i="1"/>
  <c r="I85" i="1"/>
  <c r="W96" i="1"/>
  <c r="Q104" i="1"/>
  <c r="E104" i="1"/>
  <c r="J111" i="1"/>
  <c r="R89" i="1"/>
  <c r="AE69" i="1"/>
  <c r="AE86" i="1"/>
  <c r="N95" i="1"/>
  <c r="E103" i="1"/>
  <c r="R94" i="1"/>
  <c r="AC68" i="1"/>
  <c r="S86" i="1"/>
  <c r="I114" i="1"/>
  <c r="J113" i="1"/>
  <c r="X70" i="1"/>
  <c r="O111" i="1"/>
  <c r="O114" i="1"/>
  <c r="J94" i="1"/>
  <c r="S89" i="1"/>
  <c r="I96" i="1"/>
  <c r="Z85" i="1"/>
  <c r="L94" i="1"/>
  <c r="AB102" i="1"/>
  <c r="I94" i="1"/>
  <c r="U96" i="1"/>
  <c r="U110" i="1"/>
  <c r="U113" i="1"/>
  <c r="U104" i="1"/>
  <c r="Z96" i="1"/>
  <c r="Z114" i="1"/>
  <c r="J89" i="1"/>
  <c r="G86" i="1"/>
  <c r="K87" i="1"/>
  <c r="AC89" i="1"/>
  <c r="Y113" i="1"/>
  <c r="X94" i="1"/>
  <c r="AD114" i="1"/>
  <c r="V95" i="1"/>
  <c r="J114" i="1"/>
  <c r="S104" i="1"/>
  <c r="AB95" i="1"/>
  <c r="AC70" i="1"/>
  <c r="E111" i="1"/>
  <c r="E114" i="1"/>
  <c r="R87" i="1"/>
  <c r="K114" i="1"/>
  <c r="AD70" i="1"/>
  <c r="K113" i="1"/>
  <c r="K86" i="1"/>
  <c r="W114" i="1"/>
  <c r="W85" i="1"/>
  <c r="F104" i="1"/>
  <c r="W70" i="1"/>
  <c r="W86" i="1"/>
  <c r="K95" i="1"/>
  <c r="L85" i="1"/>
  <c r="AE68" i="1"/>
  <c r="U94" i="1"/>
  <c r="K94" i="1"/>
  <c r="H103" i="1"/>
  <c r="AE96" i="1"/>
  <c r="E102" i="1"/>
  <c r="AE70" i="1"/>
  <c r="Z104" i="1"/>
  <c r="Z113" i="1"/>
  <c r="F114" i="1"/>
  <c r="Y102" i="1"/>
  <c r="Y104" i="1"/>
  <c r="AD113" i="1"/>
  <c r="AE103" i="1"/>
  <c r="AE104" i="1"/>
  <c r="AD89" i="1"/>
  <c r="AE85" i="1"/>
  <c r="AE102" i="1"/>
  <c r="AE87" i="1"/>
  <c r="Y103" i="1"/>
  <c r="H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<sst xmlns="http://schemas.openxmlformats.org/spreadsheetml/2006/main" count="664" uniqueCount="524">
  <si>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</si>
  <si>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</si>
  <si>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</si>
  <si>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</si>
  <si>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</si>
  <si>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</si>
  <si>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</si>
  <si>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</si>
  <si>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</si>
  <si>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</si>
  <si>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</si>
  <si>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</si>
  <si>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</si>
  <si>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</si>
  <si>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</si>
  <si>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</si>
  <si>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</si>
  <si>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</si>
  <si>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</si>
  <si>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</si>
  <si>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</si>
  <si>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</si>
  <si>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</si>
  <si>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</si>
  <si>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</si>
  <si>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</si>
  <si>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</si>
  <si>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</si>
  <si>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</si>
  <si>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</si>
  <si>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</si>
  <si>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</si>
  <si>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</si>
  <si>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</si>
  <si>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</si>
  <si>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</si>
  <si>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</si>
  <si>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</si>
  <si>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</si>
  <si>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</si>
  <si>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</si>
  <si>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</si>
  <si>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</si>
  <si>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</si>
  <si>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</si>
  <si>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</si>
  <si>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</si>
  <si>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</si>
  <si>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</si>
  <si>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</si>
  <si>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</si>
  <si>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</si>
  <si>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</si>
  <si>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</si>
  <si>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</si>
  <si>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</si>
  <si>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</si>
  <si>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</si>
  <si>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</si>
  <si>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</si>
  <si>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</si>
  <si>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</si>
  <si>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</si>
  <si>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</si>
  <si>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</si>
  <si>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</si>
  <si>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</si>
  <si>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</si>
  <si>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</si>
  <si>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</si>
  <si>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</si>
  <si>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</si>
  <si>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</si>
  <si>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</si>
  <si>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</si>
  <si>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</si>
  <si>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</si>
  <si>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</si>
  <si>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</si>
  <si>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</si>
  <si>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</si>
  <si>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</si>
  <si>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</si>
  <si>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</si>
  <si>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</si>
  <si>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</si>
  <si>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</si>
  <si>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</si>
  <si>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</si>
  <si>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</si>
  <si>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</si>
  <si>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</si>
  <si>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</si>
  <si>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</si>
  <si>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</si>
  <si>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</si>
  <si>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</si>
  <si>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</si>
  <si>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</si>
  <si>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</si>
  <si>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</si>
  <si>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</si>
  <si>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</si>
  <si>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</si>
  <si>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</si>
  <si>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</si>
  <si>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</si>
  <si>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</si>
  <si>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</si>
  <si>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</si>
  <si>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</si>
  <si>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</si>
  <si>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</si>
  <si>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</si>
  <si>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</si>
  <si>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</si>
  <si>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</si>
  <si>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</si>
  <si>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</si>
  <si>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</si>
  <si>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</si>
  <si>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</si>
  <si>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</si>
  <si>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</si>
  <si>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</si>
  <si>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</si>
  <si>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</si>
  <si>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</si>
  <si>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</si>
  <si>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</si>
  <si>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</si>
  <si>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</si>
  <si>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</si>
  <si>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</si>
  <si>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</si>
  <si>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</si>
  <si>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</si>
  <si>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</si>
  <si>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</si>
  <si>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</si>
  <si>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</si>
  <si>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</si>
  <si>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</si>
  <si>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</si>
  <si>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</si>
  <si>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</si>
  <si>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</si>
  <si>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</si>
  <si>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</si>
  <si>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</si>
  <si>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</si>
  <si>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</si>
  <si>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</si>
  <si>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</si>
  <si>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</si>
  <si>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</si>
  <si>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</si>
  <si>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</si>
  <si>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</si>
  <si>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</si>
  <si>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</si>
  <si>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</si>
  <si>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</si>
  <si>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</si>
  <si>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</si>
  <si>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</si>
  <si>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</si>
  <si>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</si>
  <si>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</si>
  <si>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</si>
  <si>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</si>
  <si>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</si>
  <si>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</si>
  <si>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</si>
  <si>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</si>
  <si>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</si>
  <si>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</si>
  <si>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</si>
  <si>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</si>
  <si>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</si>
  <si>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</si>
  <si>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</si>
  <si>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</si>
  <si>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</si>
  <si>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</si>
  <si>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</si>
  <si>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</si>
  <si>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</si>
  <si>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</si>
  <si>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</si>
  <si>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</si>
  <si>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</si>
  <si>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</si>
  <si>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</si>
  <si>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</si>
  <si>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</si>
  <si>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</si>
  <si>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</si>
  <si>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</si>
  <si>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</si>
  <si>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</si>
  <si>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</si>
  <si>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</si>
  <si>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</si>
  <si>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</si>
  <si>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</si>
  <si>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</si>
  <si>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</si>
  <si>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</si>
  <si>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</si>
  <si>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</si>
  <si>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</si>
  <si>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</si>
  <si>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</si>
  <si>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</si>
  <si>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</si>
  <si>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</si>
  <si>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</si>
  <si>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</si>
  <si>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</si>
  <si>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</si>
  <si>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</si>
  <si>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</si>
  <si>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</si>
  <si>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</si>
  <si>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</si>
  <si>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</si>
  <si>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</si>
  <si>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</si>
  <si>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</si>
  <si>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</si>
  <si>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</si>
  <si>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</si>
  <si>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</si>
  <si>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</si>
  <si>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</si>
  <si>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</si>
  <si>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</si>
  <si>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</si>
  <si>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</si>
  <si>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</si>
  <si>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</si>
  <si>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</si>
  <si>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</si>
  <si>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</si>
  <si>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</si>
  <si>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</si>
  <si>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</si>
  <si>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</si>
  <si>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</si>
  <si>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</si>
  <si>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</si>
  <si>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</si>
  <si>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</si>
  <si>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</si>
  <si>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</si>
  <si>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</si>
  <si>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</si>
  <si>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</si>
  <si>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</si>
  <si>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</si>
  <si>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</si>
  <si>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</si>
  <si>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</si>
  <si>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</si>
  <si>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</si>
  <si>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</si>
  <si>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</si>
  <si>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</si>
  <si>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</si>
  <si>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</si>
  <si>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</si>
  <si>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</si>
  <si>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</si>
  <si>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</si>
  <si>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</si>
  <si>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</si>
  <si>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</si>
  <si>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</si>
  <si>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</si>
  <si>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</si>
  <si>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</si>
  <si>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</si>
  <si>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</si>
  <si>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</si>
  <si>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</si>
  <si>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</si>
  <si>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</si>
  <si>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</si>
  <si>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</si>
  <si>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</si>
  <si>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</si>
  <si>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</si>
  <si>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</si>
  <si>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</si>
  <si>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</si>
  <si>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</si>
  <si>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</si>
  <si>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</si>
  <si>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</si>
  <si>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</si>
  <si>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</si>
  <si>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</si>
  <si>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</si>
  <si>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</si>
  <si>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</si>
  <si>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</si>
  <si>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</si>
  <si>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</si>
  <si>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</si>
  <si>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</si>
  <si>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</si>
  <si>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</si>
  <si>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</si>
  <si>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</si>
  <si>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</si>
  <si>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</si>
  <si>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</si>
  <si>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</si>
  <si>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</si>
  <si>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</si>
  <si>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</si>
  <si>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</si>
  <si>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</si>
  <si>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</si>
  <si>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</si>
  <si>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</si>
  <si>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</si>
  <si>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</si>
  <si>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</si>
  <si>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</si>
  <si>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</si>
  <si>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</si>
  <si>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</si>
  <si>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</si>
  <si>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</si>
  <si>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</si>
  <si>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</si>
  <si>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</si>
  <si>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</si>
  <si>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</si>
  <si>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</si>
  <si>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</si>
  <si>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</si>
  <si>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</si>
  <si>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</si>
  <si>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</si>
  <si>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</si>
  <si>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</si>
  <si>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</si>
  <si>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</si>
  <si>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</si>
  <si>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</si>
  <si>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</si>
  <si>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</si>
  <si>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</si>
  <si>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</si>
  <si>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</si>
  <si>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</si>
  <si>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</si>
  <si>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</si>
  <si>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</si>
  <si>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</si>
  <si>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</si>
  <si>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</si>
  <si>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</si>
  <si>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</si>
  <si>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</si>
  <si>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</si>
  <si>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</si>
  <si>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</si>
  <si>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</si>
  <si>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</si>
  <si>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</si>
  <si>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</si>
  <si>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</si>
  <si>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</si>
  <si>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</si>
  <si>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</si>
  <si>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</si>
  <si>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</si>
  <si>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</si>
  <si>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</si>
  <si>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</si>
  <si>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</si>
  <si>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</si>
  <si>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</si>
  <si>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</si>
  <si>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</si>
  <si>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</si>
  <si>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</si>
  <si>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</si>
  <si>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</si>
  <si>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</si>
  <si>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</si>
  <si>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</si>
  <si>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</si>
  <si>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</si>
  <si>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</si>
  <si>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</si>
  <si>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</si>
  <si>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</si>
  <si>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</si>
  <si>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</si>
  <si>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</si>
  <si>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</si>
  <si>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</si>
  <si>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</si>
  <si>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</si>
  <si>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</si>
  <si>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</si>
  <si>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</si>
  <si>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</si>
  <si>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</si>
  <si>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</si>
  <si>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</si>
  <si>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</si>
  <si>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</si>
  <si>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</si>
  <si>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</si>
  <si>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</si>
  <si>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</si>
  <si>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</si>
  <si>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</si>
  <si>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</si>
  <si>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</si>
  <si>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</si>
  <si>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</si>
  <si>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</si>
  <si>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</si>
  <si>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</si>
  <si>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</si>
  <si>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</si>
  <si>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</si>
  <si>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</si>
  <si>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</si>
  <si>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</si>
  <si>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</si>
  <si>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</si>
  <si>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</si>
  <si>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</si>
  <si>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</si>
  <si>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</si>
  <si>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</si>
  <si>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</si>
  <si>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</si>
  <si>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</si>
  <si>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</si>
  <si>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</si>
  <si>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</si>
  <si>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</si>
  <si>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</si>
  <si>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</si>
  <si>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</si>
  <si>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</si>
  <si>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</si>
  <si>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</si>
  <si>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</si>
  <si>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</si>
  <si>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</si>
  <si>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</si>
  <si>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</si>
  <si>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</si>
  <si>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</si>
  <si>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</si>
  <si>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</si>
  <si>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</si>
  <si>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</si>
  <si>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</si>
  <si>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</si>
  <si>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</si>
  <si>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</si>
  <si>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</si>
  <si>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</si>
  <si>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</si>
  <si>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</si>
  <si>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</si>
  <si>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</si>
  <si>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</si>
  <si>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</si>
  <si>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</si>
  <si>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</si>
  <si>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</si>
  <si>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</si>
  <si>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</si>
  <si>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</si>
  <si>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</si>
  <si>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</si>
  <si>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</si>
  <si>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</si>
  <si>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</si>
  <si>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</si>
  <si>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</si>
  <si>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</si>
  <si>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</si>
  <si>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</si>
  <si>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</si>
  <si>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</si>
  <si>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</si>
  <si>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</si>
  <si>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</si>
  <si>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</si>
  <si>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</si>
  <si>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</si>
  <si>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</si>
  <si>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</si>
  <si>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</si>
  <si>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</si>
  <si>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</si>
  <si>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</si>
  <si>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</si>
  <si>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</si>
  <si>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</si>
  <si>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</si>
  <si>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</si>
  <si>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Archean Chemical Industries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</si>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</sst>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Archean Chemical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225.976</v>
      </c>
      <c r="Q8" s="25">
        <f>'Annual Raw'!R6</f>
        <v>348.00069999999999</v>
      </c>
      <c r="R8" s="25">
        <f>'Annual Raw'!S6</f>
        <v>296.22739999999999</v>
      </c>
      <c r="S8" s="25">
        <f>'Annual Raw'!T6</f>
        <v>441.75869999999998</v>
      </c>
      <c r="T8" s="25">
        <f>'Annual Raw'!U6</f>
        <v>565.50599999999997</v>
      </c>
      <c r="U8" s="25">
        <f>'Annual Raw'!V6</f>
        <v>608.16999999999996</v>
      </c>
      <c r="V8" s="25">
        <f>'Annual Raw'!W6</f>
        <v>740.76430000000005</v>
      </c>
      <c r="W8" s="25">
        <f>'Annual Raw'!X6</f>
        <v>1130.4371000000001</v>
      </c>
      <c r="X8" s="25">
        <f>'Annual Raw'!Y6</f>
        <v>1441.0659000000001</v>
      </c>
      <c r="Y8" s="25">
        <f>'Annual Raw'!Z6</f>
        <v>1330.0895</v>
      </c>
      <c r="Z8" s="25">
        <f>'Annual Raw'!AA6</f>
        <v>1041.0179000000001</v>
      </c>
      <c r="AA8" s="25">
        <f>'Annual Raw'!AB6</f>
        <v>1081.0507</v>
      </c>
      <c r="AB8" s="17">
        <f>+SUM(CM8:CP8)</f>
        <v>1310.3950905902382</v>
      </c>
      <c r="AC8" s="17">
        <f>+SUM(CQ8:CT8)</f>
        <v>1451.819525118374</v>
      </c>
      <c r="AD8" s="17">
        <f>+SUM(CU8:CX8)</f>
        <v>1608.2275295108732</v>
      </c>
      <c r="AE8" s="17">
        <f>+SUM(CY8:DB8)</f>
        <v>1781.5820266781898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249.75</v>
      </c>
      <c r="BU8" s="25">
        <f>'QTR Raw'!AO6+'QTR Raw'!AO8</f>
        <v>307.32499999999999</v>
      </c>
      <c r="BV8" s="25">
        <f>'QTR Raw'!AP6+'QTR Raw'!AP8</f>
        <v>372.60199999999998</v>
      </c>
      <c r="BW8" s="25">
        <f>'QTR Raw'!AQ6+'QTR Raw'!AQ8</f>
        <v>400.274</v>
      </c>
      <c r="BX8" s="25">
        <f>'QTR Raw'!AR6+'QTR Raw'!AR8</f>
        <v>293.495</v>
      </c>
      <c r="BY8" s="25">
        <f>'QTR Raw'!AS6+'QTR Raw'!AS8</f>
        <v>364.923</v>
      </c>
      <c r="BZ8" s="25">
        <f>'QTR Raw'!AT6+'QTR Raw'!AT8</f>
        <v>382.375</v>
      </c>
      <c r="CA8" s="25">
        <f>'QTR Raw'!AU6+'QTR Raw'!AU8</f>
        <v>343.09399999999999</v>
      </c>
      <c r="CB8" s="25">
        <f>'QTR Raw'!AV6+'QTR Raw'!AV8</f>
        <v>290.46499999999997</v>
      </c>
      <c r="CC8" s="25">
        <f>'QTR Raw'!AW6+'QTR Raw'!AW8</f>
        <v>412.62599999999998</v>
      </c>
      <c r="CD8" s="25">
        <f>'QTR Raw'!AX6+'QTR Raw'!AX8</f>
        <v>283.90499999999997</v>
      </c>
      <c r="CE8" s="25">
        <f>'QTR Raw'!AY6+'QTR Raw'!AY8</f>
        <v>212.69200000000001</v>
      </c>
      <c r="CF8" s="25">
        <f>'QTR Raw'!AZ6+'QTR Raw'!AZ8</f>
        <v>240.45500000000001</v>
      </c>
      <c r="CG8" s="25">
        <f>'QTR Raw'!BA6+'QTR Raw'!BA8</f>
        <v>242.29400000000001</v>
      </c>
      <c r="CH8" s="25">
        <f>'QTR Raw'!BB6+'QTR Raw'!BB8</f>
        <v>345.577</v>
      </c>
      <c r="CI8" s="25">
        <f>'QTR Raw'!BC6+'QTR Raw'!BC8</f>
        <v>292.35899999999998</v>
      </c>
      <c r="CJ8" s="25">
        <f>'QTR Raw'!BD6+'QTR Raw'!BD8</f>
        <v>233.184</v>
      </c>
      <c r="CK8" s="25">
        <f>'QTR Raw'!BE6+'QTR Raw'!BE8</f>
        <v>254.565</v>
      </c>
      <c r="CL8" s="17">
        <f t="shared" ref="CL8:DB8" si="33">+CH10+(CL11*CH10)</f>
        <v>398.46749682295115</v>
      </c>
      <c r="CM8" s="17">
        <f t="shared" si="33"/>
        <v>332.41375401683632</v>
      </c>
      <c r="CN8" s="17">
        <f t="shared" si="33"/>
        <v>251.28267929215477</v>
      </c>
      <c r="CO8" s="17">
        <f t="shared" si="33"/>
        <v>281.18713515987446</v>
      </c>
      <c r="CP8" s="17">
        <f t="shared" si="33"/>
        <v>445.51152212137248</v>
      </c>
      <c r="CQ8" s="17">
        <f t="shared" si="33"/>
        <v>368.75174104390078</v>
      </c>
      <c r="CR8" s="17">
        <f t="shared" si="33"/>
        <v>277.01228529160414</v>
      </c>
      <c r="CS8" s="17">
        <f t="shared" si="33"/>
        <v>311.72053815138372</v>
      </c>
      <c r="CT8" s="17">
        <f t="shared" si="33"/>
        <v>494.33496063148544</v>
      </c>
      <c r="CU8" s="17">
        <f t="shared" si="33"/>
        <v>408.38201707929545</v>
      </c>
      <c r="CV8" s="17">
        <f t="shared" si="33"/>
        <v>306.65548101875021</v>
      </c>
      <c r="CW8" s="17">
        <f t="shared" si="33"/>
        <v>345.43770684044841</v>
      </c>
      <c r="CX8" s="17">
        <f t="shared" si="33"/>
        <v>547.75232457237894</v>
      </c>
      <c r="CY8" s="17">
        <f t="shared" si="33"/>
        <v>452.35512318277307</v>
      </c>
      <c r="CZ8" s="17">
        <f t="shared" si="33"/>
        <v>339.6907538714795</v>
      </c>
      <c r="DA8" s="17">
        <f t="shared" si="33"/>
        <v>382.71283835360384</v>
      </c>
      <c r="DB8" s="17">
        <f t="shared" si="33"/>
        <v>606.82331127033331</v>
      </c>
      <c r="DE8" s="119"/>
      <c r="DF8" s="25">
        <v>1081.0507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0.9446</v>
      </c>
      <c r="Q9" s="92">
        <f>'Annual Raw'!R7+'Annual Raw'!R8+'Annual Raw'!R9</f>
        <v>7.4659000000000004</v>
      </c>
      <c r="R9" s="92">
        <f>'Annual Raw'!S7+'Annual Raw'!S8+'Annual Raw'!S9</f>
        <v>8.5816999999999997</v>
      </c>
      <c r="S9" s="92">
        <f>'Annual Raw'!T7+'Annual Raw'!T8+'Annual Raw'!T9</f>
        <v>2.9295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225.03139999999999</v>
      </c>
      <c r="Q10" s="26">
        <f t="shared" si="34"/>
        <v>340.53480000000002</v>
      </c>
      <c r="R10" s="26">
        <f t="shared" si="34"/>
        <v>287.64569999999998</v>
      </c>
      <c r="S10" s="26">
        <f t="shared" si="34"/>
        <v>438.82919999999996</v>
      </c>
      <c r="T10" s="26">
        <f t="shared" si="34"/>
        <v>565.50599999999997</v>
      </c>
      <c r="U10" s="26">
        <f t="shared" si="34"/>
        <v>608.16999999999996</v>
      </c>
      <c r="V10" s="26">
        <f t="shared" ref="V10:AA10" si="35">+V8-V9</f>
        <v>740.76430000000005</v>
      </c>
      <c r="W10" s="26">
        <f t="shared" si="35"/>
        <v>1130.4371000000001</v>
      </c>
      <c r="X10" s="26">
        <f t="shared" si="35"/>
        <v>1441.0659000000001</v>
      </c>
      <c r="Y10" s="26">
        <f t="shared" si="35"/>
        <v>1330.0895</v>
      </c>
      <c r="Z10" s="26">
        <f t="shared" si="35"/>
        <v>1041.0179000000001</v>
      </c>
      <c r="AA10" s="26">
        <f t="shared" ref="AA10" si="36">+AA8-AA9</f>
        <v>1081.0507</v>
      </c>
      <c r="AB10" s="27">
        <f t="shared" ref="AB10:AD10" si="37">+AB8-AB9</f>
        <v>1310.3950905902382</v>
      </c>
      <c r="AC10" s="27">
        <f t="shared" si="37"/>
        <v>1451.819525118374</v>
      </c>
      <c r="AD10" s="27">
        <f t="shared" si="37"/>
        <v>1608.2275295108732</v>
      </c>
      <c r="AE10" s="27">
        <f t="shared" ref="AE10" si="38">+AE8-AE9</f>
        <v>1781.5820266781898</v>
      </c>
      <c r="AI10" s="26">
        <f t="shared" ref="AI10" si="39">+AI8-AI9</f>
        <v>0</v>
      </c>
      <c r="AJ10" s="26">
        <f t="shared" ref="AJ10" si="40">+AJ8-AJ9</f>
        <v>0</v>
      </c>
      <c r="AK10" s="26">
        <f t="shared" ref="AK10:AM10" si="41">+AK8-AK9</f>
        <v>0</v>
      </c>
      <c r="AL10" s="26">
        <f t="shared" si="41"/>
        <v>0</v>
      </c>
      <c r="AM10" s="26">
        <f t="shared" si="41"/>
        <v>0</v>
      </c>
      <c r="AN10" s="26">
        <f t="shared" ref="AN10:AO10" si="42">+AN8-AN9</f>
        <v>0</v>
      </c>
      <c r="AO10" s="26">
        <f t="shared" si="42"/>
        <v>0</v>
      </c>
      <c r="AP10" s="26">
        <f t="shared" ref="AP10:AW10" si="43">+AP8-AP9</f>
        <v>0</v>
      </c>
      <c r="AQ10" s="26">
        <f t="shared" si="43"/>
        <v>0</v>
      </c>
      <c r="AR10" s="26">
        <f t="shared" si="43"/>
        <v>0</v>
      </c>
      <c r="AS10" s="26">
        <f t="shared" si="43"/>
        <v>0</v>
      </c>
      <c r="AT10" s="26">
        <f t="shared" si="43"/>
        <v>0</v>
      </c>
      <c r="AU10" s="26">
        <f t="shared" si="43"/>
        <v>0</v>
      </c>
      <c r="AV10" s="26">
        <f t="shared" si="43"/>
        <v>0</v>
      </c>
      <c r="AW10" s="26">
        <f t="shared" si="43"/>
        <v>0</v>
      </c>
      <c r="AX10" s="26">
        <f t="shared" ref="AX10:CF10" si="44">+AX8-AX9</f>
        <v>0</v>
      </c>
      <c r="AY10" s="26">
        <f t="shared" si="44"/>
        <v>0</v>
      </c>
      <c r="AZ10" s="26">
        <f t="shared" si="44"/>
        <v>0</v>
      </c>
      <c r="BA10" s="26">
        <f t="shared" si="44"/>
        <v>0</v>
      </c>
      <c r="BB10" s="26">
        <f t="shared" si="44"/>
        <v>0</v>
      </c>
      <c r="BC10" s="26">
        <f t="shared" si="44"/>
        <v>0</v>
      </c>
      <c r="BD10" s="26">
        <f t="shared" si="44"/>
        <v>0</v>
      </c>
      <c r="BE10" s="26">
        <f t="shared" si="44"/>
        <v>0</v>
      </c>
      <c r="BF10" s="26">
        <f t="shared" si="44"/>
        <v>0</v>
      </c>
      <c r="BG10" s="26">
        <f t="shared" si="44"/>
        <v>0</v>
      </c>
      <c r="BH10" s="26">
        <f t="shared" si="44"/>
        <v>0</v>
      </c>
      <c r="BI10" s="26">
        <f t="shared" si="44"/>
        <v>0</v>
      </c>
      <c r="BJ10" s="26">
        <f t="shared" si="44"/>
        <v>0</v>
      </c>
      <c r="BK10" s="26">
        <f t="shared" si="44"/>
        <v>0</v>
      </c>
      <c r="BL10" s="26">
        <f t="shared" si="44"/>
        <v>0</v>
      </c>
      <c r="BM10" s="26">
        <f t="shared" si="44"/>
        <v>0</v>
      </c>
      <c r="BN10" s="26">
        <f t="shared" si="44"/>
        <v>0</v>
      </c>
      <c r="BO10" s="26">
        <f t="shared" si="44"/>
        <v>0</v>
      </c>
      <c r="BP10" s="26">
        <f t="shared" si="44"/>
        <v>0</v>
      </c>
      <c r="BQ10" s="26">
        <f t="shared" si="44"/>
        <v>0</v>
      </c>
      <c r="BR10" s="26">
        <f t="shared" si="44"/>
        <v>0</v>
      </c>
      <c r="BS10" s="26">
        <f t="shared" si="44"/>
        <v>0</v>
      </c>
      <c r="BT10" s="26">
        <f t="shared" si="44"/>
        <v>249.75</v>
      </c>
      <c r="BU10" s="26">
        <f t="shared" si="44"/>
        <v>307.32499999999999</v>
      </c>
      <c r="BV10" s="26">
        <f t="shared" si="44"/>
        <v>372.60199999999998</v>
      </c>
      <c r="BW10" s="26">
        <f t="shared" si="44"/>
        <v>400.274</v>
      </c>
      <c r="BX10" s="26">
        <f t="shared" si="44"/>
        <v>293.495</v>
      </c>
      <c r="BY10" s="26">
        <f t="shared" si="44"/>
        <v>364.923</v>
      </c>
      <c r="BZ10" s="26">
        <f t="shared" si="44"/>
        <v>382.375</v>
      </c>
      <c r="CA10" s="26">
        <f t="shared" si="44"/>
        <v>343.09399999999999</v>
      </c>
      <c r="CB10" s="26">
        <f t="shared" si="44"/>
        <v>290.46499999999997</v>
      </c>
      <c r="CC10" s="26">
        <f t="shared" si="44"/>
        <v>412.62599999999998</v>
      </c>
      <c r="CD10" s="26">
        <f t="shared" si="44"/>
        <v>283.90499999999997</v>
      </c>
      <c r="CE10" s="26">
        <f t="shared" si="44"/>
        <v>212.69200000000001</v>
      </c>
      <c r="CF10" s="26">
        <f t="shared" si="44"/>
        <v>240.45500000000001</v>
      </c>
      <c r="CG10" s="26">
        <f t="shared" ref="CG10:CH10" si="45">+CG8-CG9</f>
        <v>242.29400000000001</v>
      </c>
      <c r="CH10" s="26">
        <f t="shared" si="45"/>
        <v>345.577</v>
      </c>
      <c r="CI10" s="26">
        <f t="shared" ref="CI10:CJ10" si="46">+CI8-CI9</f>
        <v>292.35899999999998</v>
      </c>
      <c r="CJ10" s="26">
        <f t="shared" si="46"/>
        <v>233.184</v>
      </c>
      <c r="CK10" s="26">
        <f t="shared" ref="CK10" si="47">+CK8-CK9</f>
        <v>254.565</v>
      </c>
      <c r="CL10" s="27">
        <f t="shared" ref="CL10" si="48">+CL8-CL9</f>
        <v>398.46749682295115</v>
      </c>
      <c r="CM10" s="27">
        <f t="shared" ref="CM10:DB10" si="49">+CM8-CM9</f>
        <v>332.41375401683632</v>
      </c>
      <c r="CN10" s="27">
        <f t="shared" si="49"/>
        <v>251.28267929215477</v>
      </c>
      <c r="CO10" s="27">
        <f t="shared" si="49"/>
        <v>281.18713515987446</v>
      </c>
      <c r="CP10" s="27">
        <f t="shared" si="49"/>
        <v>445.51152212137248</v>
      </c>
      <c r="CQ10" s="27">
        <f t="shared" si="49"/>
        <v>368.75174104390078</v>
      </c>
      <c r="CR10" s="27">
        <f t="shared" si="49"/>
        <v>277.01228529160414</v>
      </c>
      <c r="CS10" s="27">
        <f t="shared" si="49"/>
        <v>311.72053815138372</v>
      </c>
      <c r="CT10" s="27">
        <f t="shared" si="49"/>
        <v>494.33496063148544</v>
      </c>
      <c r="CU10" s="27">
        <f t="shared" si="49"/>
        <v>408.38201707929545</v>
      </c>
      <c r="CV10" s="27">
        <f t="shared" si="49"/>
        <v>306.65548101875021</v>
      </c>
      <c r="CW10" s="27">
        <f t="shared" si="49"/>
        <v>345.43770684044841</v>
      </c>
      <c r="CX10" s="27">
        <f t="shared" si="49"/>
        <v>547.75232457237894</v>
      </c>
      <c r="CY10" s="27">
        <f t="shared" si="49"/>
        <v>452.35512318277307</v>
      </c>
      <c r="CZ10" s="27">
        <f t="shared" si="49"/>
        <v>339.6907538714795</v>
      </c>
      <c r="DA10" s="27">
        <f t="shared" si="49"/>
        <v>382.71283835360384</v>
      </c>
      <c r="DB10" s="27">
        <f t="shared" si="49"/>
        <v>606.82331127033331</v>
      </c>
      <c r="DE10" s="121"/>
      <c r="DF10" s="26">
        <v>1081.0507</v>
      </c>
    </row>
    <row r="11" spans="1:110" s="39" customFormat="1" x14ac:dyDescent="0.2">
      <c r="A11" s="39" t="s">
        <v>484</v>
      </c>
      <c r="C11" s="39" t="e">
        <f t="shared" ref="C11" si="50">C10/B10-1</f>
        <v>#DIV/0!</v>
      </c>
      <c r="D11" s="39" t="e">
        <f t="shared" ref="D11" si="51">D10/C10-1</f>
        <v>#DIV/0!</v>
      </c>
      <c r="E11" s="39" t="e">
        <f t="shared" ref="E11" si="52">E10/D10-1</f>
        <v>#DIV/0!</v>
      </c>
      <c r="F11" s="39" t="e">
        <f t="shared" ref="F11:R11" si="53">F10/E10-1</f>
        <v>#DIV/0!</v>
      </c>
      <c r="G11" s="39" t="e">
        <f t="shared" si="53"/>
        <v>#DIV/0!</v>
      </c>
      <c r="H11" s="39" t="e">
        <f t="shared" si="53"/>
        <v>#DIV/0!</v>
      </c>
      <c r="I11" s="39" t="e">
        <f t="shared" si="53"/>
        <v>#DIV/0!</v>
      </c>
      <c r="J11" s="39" t="e">
        <f t="shared" si="53"/>
        <v>#DIV/0!</v>
      </c>
      <c r="K11" s="39" t="e">
        <f>K10/J10-1</f>
        <v>#DIV/0!</v>
      </c>
      <c r="L11" s="39" t="e">
        <f t="shared" si="53"/>
        <v>#DIV/0!</v>
      </c>
      <c r="M11" s="39" t="e">
        <f t="shared" si="53"/>
        <v>#DIV/0!</v>
      </c>
      <c r="N11" s="39" t="e">
        <f t="shared" si="53"/>
        <v>#DIV/0!</v>
      </c>
      <c r="O11" s="39" t="e">
        <f t="shared" si="53"/>
        <v>#DIV/0!</v>
      </c>
      <c r="P11" s="39" t="e">
        <f t="shared" si="53"/>
        <v>#DIV/0!</v>
      </c>
      <c r="Q11" s="39">
        <f t="shared" si="53"/>
        <v>0.51327681381353907</v>
      </c>
      <c r="R11" s="39">
        <f t="shared" si="53"/>
        <v>-0.15531188001931095</v>
      </c>
      <c r="S11" s="39">
        <f t="shared" ref="S11:AA11" si="54">S10/R10-1</f>
        <v>0.52558929266107568</v>
      </c>
      <c r="T11" s="39">
        <f t="shared" si="54"/>
        <v>0.28866994265650514</v>
      </c>
      <c r="U11" s="39">
        <f t="shared" si="54"/>
        <v>7.5443938702683955E-2</v>
      </c>
      <c r="V11" s="39">
        <f t="shared" si="54"/>
        <v>0.21802177022871905</v>
      </c>
      <c r="W11" s="39">
        <f t="shared" si="54"/>
        <v>0.5260415492485262</v>
      </c>
      <c r="X11" s="39">
        <f t="shared" si="54"/>
        <v>0.27478645207238861</v>
      </c>
      <c r="Y11" s="39">
        <f t="shared" si="54"/>
        <v>-7.7009941044333896E-2</v>
      </c>
      <c r="Z11" s="39">
        <f t="shared" si="54"/>
        <v>-0.21733244266645213</v>
      </c>
      <c r="AA11" s="39">
        <f t="shared" si="54"/>
        <v>3.8455438662486019E-2</v>
      </c>
      <c r="AB11" s="40">
        <f t="shared" ref="AB11" si="55">AB10/AA10-1</f>
        <v>0.21214952322794689</v>
      </c>
      <c r="AC11" s="40">
        <f t="shared" ref="AC11" si="56">AC10/AB10-1</f>
        <v>0.1079250338647364</v>
      </c>
      <c r="AD11" s="40">
        <f t="shared" ref="AD11" si="57">AD10/AC10-1</f>
        <v>0.10773240178027388</v>
      </c>
      <c r="AE11" s="40">
        <f t="shared" ref="AE11" si="58">AE10/AD10-1</f>
        <v>0.1077922706745611</v>
      </c>
      <c r="AM11" s="39" t="e">
        <f t="shared" ref="AM11:CI11" si="59">+IF(AI10&lt;0,1-AM10/AI10,AM10/AI10-1)</f>
        <v>#DIV/0!</v>
      </c>
      <c r="AN11" s="39" t="e">
        <f t="shared" si="59"/>
        <v>#DIV/0!</v>
      </c>
      <c r="AO11" s="39" t="e">
        <f t="shared" si="59"/>
        <v>#DIV/0!</v>
      </c>
      <c r="AP11" s="39" t="e">
        <f t="shared" si="59"/>
        <v>#DIV/0!</v>
      </c>
      <c r="AQ11" s="39" t="e">
        <f t="shared" si="59"/>
        <v>#DIV/0!</v>
      </c>
      <c r="AR11" s="39" t="e">
        <f t="shared" si="59"/>
        <v>#DIV/0!</v>
      </c>
      <c r="AS11" s="39" t="e">
        <f t="shared" si="59"/>
        <v>#DIV/0!</v>
      </c>
      <c r="AT11" s="39" t="e">
        <f t="shared" si="59"/>
        <v>#DIV/0!</v>
      </c>
      <c r="AU11" s="39" t="e">
        <f t="shared" si="59"/>
        <v>#DIV/0!</v>
      </c>
      <c r="AV11" s="39" t="e">
        <f t="shared" si="59"/>
        <v>#DIV/0!</v>
      </c>
      <c r="AW11" s="39" t="e">
        <f t="shared" si="59"/>
        <v>#DIV/0!</v>
      </c>
      <c r="AX11" s="39" t="e">
        <f t="shared" si="59"/>
        <v>#DIV/0!</v>
      </c>
      <c r="AY11" s="39" t="e">
        <f t="shared" si="59"/>
        <v>#DIV/0!</v>
      </c>
      <c r="AZ11" s="39" t="e">
        <f t="shared" si="59"/>
        <v>#DIV/0!</v>
      </c>
      <c r="BA11" s="39" t="e">
        <f t="shared" si="59"/>
        <v>#DIV/0!</v>
      </c>
      <c r="BB11" s="39" t="e">
        <f t="shared" si="59"/>
        <v>#DIV/0!</v>
      </c>
      <c r="BC11" s="39" t="e">
        <f t="shared" si="59"/>
        <v>#DIV/0!</v>
      </c>
      <c r="BD11" s="39" t="e">
        <f t="shared" si="59"/>
        <v>#DIV/0!</v>
      </c>
      <c r="BE11" s="39" t="e">
        <f t="shared" si="59"/>
        <v>#DIV/0!</v>
      </c>
      <c r="BF11" s="39" t="e">
        <f t="shared" si="59"/>
        <v>#DIV/0!</v>
      </c>
      <c r="BG11" s="39" t="e">
        <f t="shared" si="59"/>
        <v>#DIV/0!</v>
      </c>
      <c r="BH11" s="39" t="e">
        <f t="shared" si="59"/>
        <v>#DIV/0!</v>
      </c>
      <c r="BI11" s="39" t="e">
        <f t="shared" si="59"/>
        <v>#DIV/0!</v>
      </c>
      <c r="BJ11" s="39" t="e">
        <f t="shared" si="59"/>
        <v>#DIV/0!</v>
      </c>
      <c r="BK11" s="39" t="e">
        <f t="shared" si="59"/>
        <v>#DIV/0!</v>
      </c>
      <c r="BL11" s="39" t="e">
        <f t="shared" si="59"/>
        <v>#DIV/0!</v>
      </c>
      <c r="BM11" s="39" t="e">
        <f t="shared" si="59"/>
        <v>#DIV/0!</v>
      </c>
      <c r="BN11" s="39" t="e">
        <f t="shared" si="59"/>
        <v>#DIV/0!</v>
      </c>
      <c r="BO11" s="39" t="e">
        <f t="shared" si="59"/>
        <v>#DIV/0!</v>
      </c>
      <c r="BP11" s="39" t="e">
        <f t="shared" si="59"/>
        <v>#DIV/0!</v>
      </c>
      <c r="BQ11" s="39" t="e">
        <f t="shared" si="59"/>
        <v>#DIV/0!</v>
      </c>
      <c r="BR11" s="39" t="e">
        <f t="shared" si="59"/>
        <v>#DIV/0!</v>
      </c>
      <c r="BS11" s="39" t="e">
        <f t="shared" si="59"/>
        <v>#DIV/0!</v>
      </c>
      <c r="BT11" s="39" t="e">
        <f t="shared" si="59"/>
        <v>#DIV/0!</v>
      </c>
      <c r="BU11" s="39" t="e">
        <f t="shared" si="59"/>
        <v>#DIV/0!</v>
      </c>
      <c r="BV11" s="39" t="e">
        <f t="shared" si="59"/>
        <v>#DIV/0!</v>
      </c>
      <c r="BW11" s="39" t="e">
        <f t="shared" si="59"/>
        <v>#DIV/0!</v>
      </c>
      <c r="BX11" s="39">
        <f t="shared" si="59"/>
        <v>0.17515515515515512</v>
      </c>
      <c r="BY11" s="39">
        <f t="shared" si="59"/>
        <v>0.18741722931749782</v>
      </c>
      <c r="BZ11" s="39">
        <f t="shared" si="59"/>
        <v>2.6229059425338708E-2</v>
      </c>
      <c r="CA11" s="39">
        <f t="shared" si="59"/>
        <v>-0.14285214627979836</v>
      </c>
      <c r="CB11" s="39">
        <f t="shared" si="59"/>
        <v>-1.0323855602310195E-2</v>
      </c>
      <c r="CC11" s="39">
        <f t="shared" si="59"/>
        <v>0.13072072738632534</v>
      </c>
      <c r="CD11" s="39">
        <f t="shared" si="59"/>
        <v>-0.25752206603465189</v>
      </c>
      <c r="CE11" s="39">
        <f t="shared" si="59"/>
        <v>-0.38007659708418096</v>
      </c>
      <c r="CF11" s="39">
        <f t="shared" si="59"/>
        <v>-0.17217220663418986</v>
      </c>
      <c r="CG11" s="39">
        <f t="shared" si="59"/>
        <v>-0.41279996897917237</v>
      </c>
      <c r="CH11" s="39">
        <f t="shared" si="59"/>
        <v>0.2172275937373418</v>
      </c>
      <c r="CI11" s="39">
        <f t="shared" si="59"/>
        <v>0.37456509882835265</v>
      </c>
      <c r="CJ11" s="39">
        <f>+IF(CF10&lt;0,1-CJ10/CF10,CJ10/CF10-1)</f>
        <v>-3.0238506165394807E-2</v>
      </c>
      <c r="CK11" s="39">
        <f>+IF(CG10&lt;0,1-CK10/CG10,CK10/CG10-1)</f>
        <v>5.0645084071417212E-2</v>
      </c>
      <c r="CL11" s="40">
        <f t="shared" ref="CL11" si="60">+AVERAGE(CH11:CK11)</f>
        <v>0.15304981761792921</v>
      </c>
      <c r="CM11" s="40">
        <f t="shared" ref="CM11" si="61">+AVERAGE(CI11:CL11)</f>
        <v>0.13700537358807607</v>
      </c>
      <c r="CN11" s="40">
        <f t="shared" ref="CN11" si="62">+AVERAGE(CJ11:CM11)</f>
        <v>7.761544227800693E-2</v>
      </c>
      <c r="CO11" s="40">
        <f t="shared" ref="CO11" si="63">+AVERAGE(CK11:CN11)</f>
        <v>0.10457892938885736</v>
      </c>
      <c r="CP11" s="40">
        <f t="shared" ref="CP11" si="64">+AVERAGE(CL11:CO11)</f>
        <v>0.11806239071821741</v>
      </c>
      <c r="CQ11" s="40">
        <f t="shared" ref="CQ11" si="65">+AVERAGE(CM11:CP11)</f>
        <v>0.10931553399328944</v>
      </c>
      <c r="CR11" s="40">
        <f t="shared" ref="CR11" si="66">+AVERAGE(CN11:CQ11)</f>
        <v>0.10239307409459278</v>
      </c>
      <c r="CS11" s="40">
        <f t="shared" ref="CS11" si="67">+AVERAGE(CO11:CR11)</f>
        <v>0.10858748204873925</v>
      </c>
      <c r="CT11" s="40">
        <f t="shared" ref="CT11" si="68">+AVERAGE(CP11:CS11)</f>
        <v>0.10958962021370972</v>
      </c>
      <c r="CU11" s="40">
        <f t="shared" ref="CU11" si="69">+AVERAGE(CQ11:CT11)</f>
        <v>0.1074714275875828</v>
      </c>
      <c r="CV11" s="40">
        <f t="shared" ref="CV11" si="70">+AVERAGE(CR11:CU11)</f>
        <v>0.10701040098615613</v>
      </c>
      <c r="CW11" s="40">
        <f t="shared" ref="CW11" si="71">+AVERAGE(CS11:CV11)</f>
        <v>0.10816473270904697</v>
      </c>
      <c r="CX11" s="40">
        <f t="shared" ref="CX11" si="72">+AVERAGE(CT11:CW11)</f>
        <v>0.1080590453741239</v>
      </c>
      <c r="CY11" s="40">
        <f t="shared" ref="CY11" si="73">+AVERAGE(CU11:CX11)</f>
        <v>0.10767640166422746</v>
      </c>
      <c r="CZ11" s="40">
        <f t="shared" ref="CZ11" si="74">+AVERAGE(CV11:CY11)</f>
        <v>0.10772764518338862</v>
      </c>
      <c r="DA11" s="40">
        <f t="shared" ref="DA11" si="75">+AVERAGE(CW11:CZ11)</f>
        <v>0.10790695623269675</v>
      </c>
      <c r="DB11" s="40">
        <f t="shared" ref="DB11" si="76">+AVERAGE(CX11:DA11)</f>
        <v>0.10784251211360918</v>
      </c>
      <c r="DE11" s="122"/>
      <c r="DF11" s="39">
        <v>3.8455438662486019E-2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7">+IF(AI10&lt;0,1-AJ10/AI10,AJ10/AI10-1)</f>
        <v>#DIV/0!</v>
      </c>
      <c r="AK12" s="39" t="e">
        <f t="shared" si="77"/>
        <v>#DIV/0!</v>
      </c>
      <c r="AL12" s="39" t="e">
        <f t="shared" si="77"/>
        <v>#DIV/0!</v>
      </c>
      <c r="AM12" s="39" t="e">
        <f t="shared" ref="AM12:CI12" si="78">+IF(AL10&lt;0,1-AM10/AL10,AM10/AL10-1)</f>
        <v>#DIV/0!</v>
      </c>
      <c r="AN12" s="39" t="e">
        <f t="shared" si="78"/>
        <v>#DIV/0!</v>
      </c>
      <c r="AO12" s="39" t="e">
        <f t="shared" si="78"/>
        <v>#DIV/0!</v>
      </c>
      <c r="AP12" s="39" t="e">
        <f t="shared" si="78"/>
        <v>#DIV/0!</v>
      </c>
      <c r="AQ12" s="39" t="e">
        <f t="shared" si="78"/>
        <v>#DIV/0!</v>
      </c>
      <c r="AR12" s="39" t="e">
        <f t="shared" si="78"/>
        <v>#DIV/0!</v>
      </c>
      <c r="AS12" s="39" t="e">
        <f t="shared" si="78"/>
        <v>#DIV/0!</v>
      </c>
      <c r="AT12" s="39" t="e">
        <f t="shared" si="78"/>
        <v>#DIV/0!</v>
      </c>
      <c r="AU12" s="39" t="e">
        <f t="shared" si="78"/>
        <v>#DIV/0!</v>
      </c>
      <c r="AV12" s="39" t="e">
        <f t="shared" si="78"/>
        <v>#DIV/0!</v>
      </c>
      <c r="AW12" s="39" t="e">
        <f t="shared" si="78"/>
        <v>#DIV/0!</v>
      </c>
      <c r="AX12" s="39" t="e">
        <f t="shared" si="78"/>
        <v>#DIV/0!</v>
      </c>
      <c r="AY12" s="39" t="e">
        <f t="shared" si="78"/>
        <v>#DIV/0!</v>
      </c>
      <c r="AZ12" s="39" t="e">
        <f t="shared" si="78"/>
        <v>#DIV/0!</v>
      </c>
      <c r="BA12" s="39" t="e">
        <f t="shared" si="78"/>
        <v>#DIV/0!</v>
      </c>
      <c r="BB12" s="39" t="e">
        <f t="shared" si="78"/>
        <v>#DIV/0!</v>
      </c>
      <c r="BC12" s="39" t="e">
        <f t="shared" si="78"/>
        <v>#DIV/0!</v>
      </c>
      <c r="BD12" s="39" t="e">
        <f t="shared" si="78"/>
        <v>#DIV/0!</v>
      </c>
      <c r="BE12" s="39" t="e">
        <f t="shared" si="78"/>
        <v>#DIV/0!</v>
      </c>
      <c r="BF12" s="39" t="e">
        <f t="shared" si="78"/>
        <v>#DIV/0!</v>
      </c>
      <c r="BG12" s="39" t="e">
        <f t="shared" si="78"/>
        <v>#DIV/0!</v>
      </c>
      <c r="BH12" s="39" t="e">
        <f t="shared" si="78"/>
        <v>#DIV/0!</v>
      </c>
      <c r="BI12" s="39" t="e">
        <f t="shared" si="78"/>
        <v>#DIV/0!</v>
      </c>
      <c r="BJ12" s="39" t="e">
        <f t="shared" si="78"/>
        <v>#DIV/0!</v>
      </c>
      <c r="BK12" s="39" t="e">
        <f t="shared" si="78"/>
        <v>#DIV/0!</v>
      </c>
      <c r="BL12" s="39" t="e">
        <f t="shared" si="78"/>
        <v>#DIV/0!</v>
      </c>
      <c r="BM12" s="39" t="e">
        <f t="shared" si="78"/>
        <v>#DIV/0!</v>
      </c>
      <c r="BN12" s="39" t="e">
        <f t="shared" si="78"/>
        <v>#DIV/0!</v>
      </c>
      <c r="BO12" s="39" t="e">
        <f t="shared" si="78"/>
        <v>#DIV/0!</v>
      </c>
      <c r="BP12" s="39" t="e">
        <f t="shared" si="78"/>
        <v>#DIV/0!</v>
      </c>
      <c r="BQ12" s="39" t="e">
        <f t="shared" si="78"/>
        <v>#DIV/0!</v>
      </c>
      <c r="BR12" s="39" t="e">
        <f t="shared" si="78"/>
        <v>#DIV/0!</v>
      </c>
      <c r="BS12" s="39" t="e">
        <f t="shared" si="78"/>
        <v>#DIV/0!</v>
      </c>
      <c r="BT12" s="39" t="e">
        <f t="shared" si="78"/>
        <v>#DIV/0!</v>
      </c>
      <c r="BU12" s="39">
        <f t="shared" si="78"/>
        <v>0.23053053053053052</v>
      </c>
      <c r="BV12" s="39">
        <f t="shared" si="78"/>
        <v>0.21240380704465944</v>
      </c>
      <c r="BW12" s="39">
        <f t="shared" si="78"/>
        <v>7.4266912147546327E-2</v>
      </c>
      <c r="BX12" s="39">
        <f t="shared" si="78"/>
        <v>-0.2667647661351974</v>
      </c>
      <c r="BY12" s="39">
        <f t="shared" si="78"/>
        <v>0.24337041516891267</v>
      </c>
      <c r="BZ12" s="39">
        <f t="shared" si="78"/>
        <v>4.7823787483934899E-2</v>
      </c>
      <c r="CA12" s="39">
        <f t="shared" si="78"/>
        <v>-0.10272899640405364</v>
      </c>
      <c r="CB12" s="39">
        <f t="shared" si="78"/>
        <v>-0.15339527942779541</v>
      </c>
      <c r="CC12" s="39">
        <f t="shared" si="78"/>
        <v>0.4205704645998658</v>
      </c>
      <c r="CD12" s="39">
        <f t="shared" si="78"/>
        <v>-0.311955620828547</v>
      </c>
      <c r="CE12" s="39">
        <f t="shared" si="78"/>
        <v>-0.2508339057078951</v>
      </c>
      <c r="CF12" s="39">
        <f t="shared" si="78"/>
        <v>0.13053147273992449</v>
      </c>
      <c r="CG12" s="39">
        <f t="shared" si="78"/>
        <v>7.6480006654051635E-3</v>
      </c>
      <c r="CH12" s="39">
        <f t="shared" si="78"/>
        <v>0.4262713893039034</v>
      </c>
      <c r="CI12" s="39">
        <f t="shared" si="78"/>
        <v>-0.15399751719587829</v>
      </c>
      <c r="CJ12" s="39">
        <f>+IF(CI10&lt;0,1-CJ10/CI10,CJ10/CI10-1)</f>
        <v>-0.20240526202374476</v>
      </c>
      <c r="CK12" s="39">
        <f>+IF(CJ10&lt;0,1-CK10/CJ10,CK10/CJ10-1)</f>
        <v>9.1691539728283145E-2</v>
      </c>
      <c r="CL12" s="40">
        <f t="shared" ref="CL12" si="79">+CL10/CK10-1</f>
        <v>0.56528783148881878</v>
      </c>
      <c r="CM12" s="40">
        <f t="shared" ref="CM12" si="80">+CM10/CL10-1</f>
        <v>-0.16576946258546177</v>
      </c>
      <c r="CN12" s="40">
        <f t="shared" ref="CN12" si="81">+CN10/CM10-1</f>
        <v>-0.24406653979959081</v>
      </c>
      <c r="CO12" s="40">
        <f t="shared" ref="CO12" si="82">+CO10/CN10-1</f>
        <v>0.11900723102745636</v>
      </c>
      <c r="CP12" s="40">
        <f t="shared" ref="CP12" si="83">+CP10/CO10-1</f>
        <v>0.58439511063714988</v>
      </c>
      <c r="CQ12" s="40">
        <f t="shared" ref="CQ12" si="84">+CQ10/CP10-1</f>
        <v>-0.17229583807836901</v>
      </c>
      <c r="CR12" s="40">
        <f t="shared" ref="CR12" si="85">+CR10/CQ10-1</f>
        <v>-0.24878379012554908</v>
      </c>
      <c r="CS12" s="40">
        <f t="shared" ref="CS12" si="86">+CS10/CR10-1</f>
        <v>0.12529499485282036</v>
      </c>
      <c r="CT12" s="40">
        <f t="shared" ref="CT12" si="87">+CT10/CS10-1</f>
        <v>0.58582736820317249</v>
      </c>
      <c r="CU12" s="40">
        <f t="shared" ref="CU12" si="88">+CU10/CT10-1</f>
        <v>-0.17387591491079224</v>
      </c>
      <c r="CV12" s="40">
        <f t="shared" ref="CV12" si="89">+CV10/CU10-1</f>
        <v>-0.24909651210423656</v>
      </c>
      <c r="CW12" s="40">
        <f t="shared" ref="CW12" si="90">+CW10/CV10-1</f>
        <v>0.1264683927802579</v>
      </c>
      <c r="CX12" s="40">
        <f t="shared" ref="CX12" si="91">+CX10/CW10-1</f>
        <v>0.58567612546529579</v>
      </c>
      <c r="CY12" s="40">
        <f t="shared" ref="CY12" si="92">+CY10/CX10-1</f>
        <v>-0.17416119861121693</v>
      </c>
      <c r="CZ12" s="40">
        <f t="shared" ref="CZ12" si="93">+CZ10/CY10-1</f>
        <v>-0.2490617736759263</v>
      </c>
      <c r="DA12" s="40">
        <f t="shared" ref="DA12" si="94">+DA10/CZ10-1</f>
        <v>0.12665073744810118</v>
      </c>
      <c r="DB12" s="40">
        <f t="shared" ref="DB12" si="95">+DB10/DA10-1</f>
        <v>0.58558389073340877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-77.917400000000001</v>
      </c>
      <c r="Q13" s="23">
        <f>'Annual Raw'!R11</f>
        <v>-13.864599999999999</v>
      </c>
      <c r="R13" s="23">
        <f>'Annual Raw'!S11</f>
        <v>-15.6655</v>
      </c>
      <c r="S13" s="23">
        <f>'Annual Raw'!T11</f>
        <v>18.197299999999998</v>
      </c>
      <c r="T13" s="23">
        <f>'Annual Raw'!U11</f>
        <v>52.377000000000002</v>
      </c>
      <c r="U13" s="23">
        <f>'Annual Raw'!V11</f>
        <v>-35.779000000000003</v>
      </c>
      <c r="V13" s="23">
        <f>'Annual Raw'!W11</f>
        <v>-7.8516000000000004</v>
      </c>
      <c r="W13" s="23">
        <f>'Annual Raw'!X11</f>
        <v>-5.5620000000000003</v>
      </c>
      <c r="X13" s="23">
        <f>'Annual Raw'!Y11</f>
        <v>-47.401800000000001</v>
      </c>
      <c r="Y13" s="23">
        <f>'Annual Raw'!Z11</f>
        <v>40.089500000000001</v>
      </c>
      <c r="Z13" s="23">
        <f>'Annual Raw'!AA11</f>
        <v>-70.731899999999996</v>
      </c>
      <c r="AA13" s="23">
        <f>'Annual Raw'!AB11</f>
        <v>-39.934699999999999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4.54</v>
      </c>
      <c r="BU13" s="23">
        <f>'QTR Raw'!AO10</f>
        <v>-1.679</v>
      </c>
      <c r="BV13" s="23">
        <f>'QTR Raw'!AP10</f>
        <v>2.2759999999999998</v>
      </c>
      <c r="BW13" s="23">
        <f>'QTR Raw'!AQ10</f>
        <v>-14.353999999999999</v>
      </c>
      <c r="BX13" s="23">
        <f>'QTR Raw'!AR10</f>
        <v>20.844000000000001</v>
      </c>
      <c r="BY13" s="23">
        <f>'QTR Raw'!AS10</f>
        <v>-15.472</v>
      </c>
      <c r="BZ13" s="23">
        <f>'QTR Raw'!AT10</f>
        <v>-38.42</v>
      </c>
      <c r="CA13" s="23">
        <f>'QTR Raw'!AU10</f>
        <v>16.341999999999999</v>
      </c>
      <c r="CB13" s="23">
        <f>'QTR Raw'!AV10</f>
        <v>6.8239999999999998</v>
      </c>
      <c r="CC13" s="23">
        <f>'QTR Raw'!AW10</f>
        <v>37.017000000000003</v>
      </c>
      <c r="CD13" s="23">
        <f>'QTR Raw'!AX10</f>
        <v>-20.094000000000001</v>
      </c>
      <c r="CE13" s="23">
        <f>'QTR Raw'!AY10</f>
        <v>-31.663</v>
      </c>
      <c r="CF13" s="23">
        <f>'QTR Raw'!AZ10</f>
        <v>-1.0660000000000001</v>
      </c>
      <c r="CG13" s="23">
        <f>'QTR Raw'!BA10</f>
        <v>-27.484000000000002</v>
      </c>
      <c r="CH13" s="23">
        <f>'QTR Raw'!BB10</f>
        <v>-10.52</v>
      </c>
      <c r="CI13" s="23">
        <f>'QTR Raw'!BC10</f>
        <v>-24.788</v>
      </c>
      <c r="CJ13" s="23">
        <f>'QTR Raw'!BD10</f>
        <v>-12.537000000000001</v>
      </c>
      <c r="CK13" s="23">
        <f>'QTR Raw'!BE10</f>
        <v>-16.359000000000002</v>
      </c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-39.934699999999999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4.4279999999999999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16.524000000000001</v>
      </c>
      <c r="CJ14" s="23">
        <f>'QTR Raw'!BD12</f>
        <v>0</v>
      </c>
      <c r="CK14" s="23">
        <f>'QTR Raw'!BE12</f>
        <v>0</v>
      </c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44.543900000000001</v>
      </c>
      <c r="S15" s="23">
        <f>'Annual Raw'!T12</f>
        <v>31.2822</v>
      </c>
      <c r="T15" s="23">
        <f>'Annual Raw'!U12</f>
        <v>43.658999999999999</v>
      </c>
      <c r="U15" s="23">
        <f>'Annual Raw'!V12</f>
        <v>36.116</v>
      </c>
      <c r="V15" s="23">
        <f>'Annual Raw'!W12</f>
        <v>16.7455</v>
      </c>
      <c r="W15" s="23">
        <f>'Annual Raw'!X12</f>
        <v>44.882899999999999</v>
      </c>
      <c r="X15" s="23">
        <f>'Annual Raw'!Y12</f>
        <v>50.132199999999997</v>
      </c>
      <c r="Y15" s="23">
        <f>'Annual Raw'!Z12</f>
        <v>47.584699999999998</v>
      </c>
      <c r="Z15" s="23">
        <f>'Annual Raw'!AA12</f>
        <v>62.937899999999999</v>
      </c>
      <c r="AA15" s="23">
        <f>'Annual Raw'!AB12</f>
        <v>104.2016</v>
      </c>
      <c r="AB15" s="24">
        <f>+SUM(CM15:CP15)</f>
        <v>28.040135747839713</v>
      </c>
      <c r="AC15" s="24">
        <f>+SUM(CQ15:CT15)</f>
        <v>29.076109263977457</v>
      </c>
      <c r="AD15" s="24">
        <f>+SUM(CU15:CX15)</f>
        <v>32.019503251276603</v>
      </c>
      <c r="AE15" s="24">
        <f>+SUM(CY15:DB15)</f>
        <v>35.477518859138513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10.86</v>
      </c>
      <c r="BU15" s="23">
        <f>'QTR Raw'!AO11</f>
        <v>12.647</v>
      </c>
      <c r="BV15" s="23">
        <f>'QTR Raw'!AP11</f>
        <v>10.667</v>
      </c>
      <c r="BW15" s="23">
        <f>'QTR Raw'!AQ11</f>
        <v>14.846</v>
      </c>
      <c r="BX15" s="23">
        <f>'QTR Raw'!AR11</f>
        <v>8.4730000000000008</v>
      </c>
      <c r="BY15" s="23">
        <f>'QTR Raw'!AS11</f>
        <v>9.0299999999999994</v>
      </c>
      <c r="BZ15" s="23">
        <f>'QTR Raw'!AT11</f>
        <v>13.355</v>
      </c>
      <c r="CA15" s="23">
        <f>'QTR Raw'!AU11</f>
        <v>13.52</v>
      </c>
      <c r="CB15" s="23">
        <f>'QTR Raw'!AV11</f>
        <v>11.944000000000001</v>
      </c>
      <c r="CC15" s="23">
        <f>'QTR Raw'!AW11</f>
        <v>9.9359999999999999</v>
      </c>
      <c r="CD15" s="23">
        <f>'QTR Raw'!AX11</f>
        <v>12.185</v>
      </c>
      <c r="CE15" s="23">
        <f>'QTR Raw'!AY11</f>
        <v>13.632</v>
      </c>
      <c r="CF15" s="23">
        <f>'QTR Raw'!AZ11</f>
        <v>14.756</v>
      </c>
      <c r="CG15" s="23">
        <f>'QTR Raw'!BA11</f>
        <v>11.680999999999999</v>
      </c>
      <c r="CH15" s="23">
        <f>'QTR Raw'!BB11</f>
        <v>22.87</v>
      </c>
      <c r="CI15" s="23">
        <f>'QTR Raw'!BC11</f>
        <v>34.061</v>
      </c>
      <c r="CJ15" s="23">
        <f>'QTR Raw'!BD11</f>
        <v>12.666</v>
      </c>
      <c r="CK15" s="23">
        <f>'QTR Raw'!BE11</f>
        <v>15.425000000000001</v>
      </c>
      <c r="CL15" s="24">
        <f t="shared" ref="CL15" si="96">+CL10-CL16</f>
        <v>12.03959042201285</v>
      </c>
      <c r="CM15" s="24">
        <f t="shared" ref="CM15:DB15" si="97">+CM10-CM16</f>
        <v>9.5848473081679231</v>
      </c>
      <c r="CN15" s="24">
        <f t="shared" si="97"/>
        <v>3.5137504934670574</v>
      </c>
      <c r="CO15" s="24">
        <f t="shared" si="97"/>
        <v>4.8760012947922178</v>
      </c>
      <c r="CP15" s="24">
        <f t="shared" si="97"/>
        <v>10.065536651412515</v>
      </c>
      <c r="CQ15" s="24">
        <f t="shared" si="97"/>
        <v>7.6286740501549843</v>
      </c>
      <c r="CR15" s="24">
        <f t="shared" si="97"/>
        <v>5.1666303816873551</v>
      </c>
      <c r="CS15" s="24">
        <f t="shared" si="97"/>
        <v>6.1777619717690868</v>
      </c>
      <c r="CT15" s="24">
        <f t="shared" si="97"/>
        <v>10.103042860366031</v>
      </c>
      <c r="CU15" s="24">
        <f t="shared" si="97"/>
        <v>8.1262933394048673</v>
      </c>
      <c r="CV15" s="24">
        <f t="shared" si="97"/>
        <v>6.0415682507783686</v>
      </c>
      <c r="CW15" s="24">
        <f t="shared" si="97"/>
        <v>6.896331781824415</v>
      </c>
      <c r="CX15" s="24">
        <f t="shared" si="97"/>
        <v>10.955309879268952</v>
      </c>
      <c r="CY15" s="24">
        <f t="shared" si="97"/>
        <v>8.9978815220641764</v>
      </c>
      <c r="CZ15" s="24">
        <f t="shared" si="97"/>
        <v>6.7562107926755175</v>
      </c>
      <c r="DA15" s="24">
        <f t="shared" si="97"/>
        <v>7.6298595627794725</v>
      </c>
      <c r="DB15" s="24">
        <f t="shared" si="97"/>
        <v>12.093566981619347</v>
      </c>
      <c r="DE15" s="123"/>
      <c r="DF15" s="23">
        <v>104.2016</v>
      </c>
    </row>
    <row r="16" spans="1:110" s="31" customFormat="1" x14ac:dyDescent="0.2">
      <c r="A16" s="31" t="s">
        <v>5</v>
      </c>
      <c r="B16" s="31">
        <f t="shared" ref="B16:T16" si="98">B10-B13-B15-B14</f>
        <v>0</v>
      </c>
      <c r="C16" s="31">
        <f t="shared" si="98"/>
        <v>0</v>
      </c>
      <c r="D16" s="31">
        <f t="shared" si="98"/>
        <v>0</v>
      </c>
      <c r="E16" s="31">
        <f t="shared" si="98"/>
        <v>0</v>
      </c>
      <c r="F16" s="31">
        <f t="shared" si="98"/>
        <v>0</v>
      </c>
      <c r="G16" s="31">
        <f t="shared" si="98"/>
        <v>0</v>
      </c>
      <c r="H16" s="31">
        <f t="shared" si="98"/>
        <v>0</v>
      </c>
      <c r="I16" s="31">
        <f t="shared" si="98"/>
        <v>0</v>
      </c>
      <c r="J16" s="31">
        <f t="shared" si="98"/>
        <v>0</v>
      </c>
      <c r="K16" s="31">
        <f t="shared" si="98"/>
        <v>0</v>
      </c>
      <c r="L16" s="31">
        <f t="shared" si="98"/>
        <v>0</v>
      </c>
      <c r="M16" s="31">
        <f t="shared" si="98"/>
        <v>0</v>
      </c>
      <c r="N16" s="31">
        <f t="shared" si="98"/>
        <v>0</v>
      </c>
      <c r="O16" s="31">
        <f t="shared" si="98"/>
        <v>0</v>
      </c>
      <c r="P16" s="31">
        <f t="shared" si="98"/>
        <v>302.94880000000001</v>
      </c>
      <c r="Q16" s="31">
        <f t="shared" si="98"/>
        <v>354.39940000000001</v>
      </c>
      <c r="R16" s="31">
        <f t="shared" si="98"/>
        <v>258.76729999999998</v>
      </c>
      <c r="S16" s="31">
        <f t="shared" si="98"/>
        <v>389.34969999999998</v>
      </c>
      <c r="T16" s="31">
        <f t="shared" si="98"/>
        <v>469.47</v>
      </c>
      <c r="U16" s="31">
        <f t="shared" ref="U16:Z16" si="99">U10-U13-U15-U14</f>
        <v>607.83299999999997</v>
      </c>
      <c r="V16" s="31">
        <f t="shared" si="99"/>
        <v>731.87040000000002</v>
      </c>
      <c r="W16" s="31">
        <f t="shared" si="99"/>
        <v>1091.1161999999999</v>
      </c>
      <c r="X16" s="31">
        <f t="shared" si="99"/>
        <v>1438.3355000000001</v>
      </c>
      <c r="Y16" s="31">
        <f t="shared" si="99"/>
        <v>1242.4153000000001</v>
      </c>
      <c r="Z16" s="31">
        <f t="shared" si="99"/>
        <v>1048.8119000000002</v>
      </c>
      <c r="AA16" s="31">
        <f t="shared" ref="AA16" si="100">AA10-AA13-AA15-AA14</f>
        <v>1016.7838</v>
      </c>
      <c r="AB16" s="32">
        <f t="shared" ref="AB16:AD16" si="101">AB10-AB13-AB15-AB14</f>
        <v>1282.3549548423985</v>
      </c>
      <c r="AC16" s="32">
        <f t="shared" si="101"/>
        <v>1422.7434158543965</v>
      </c>
      <c r="AD16" s="32">
        <f t="shared" si="101"/>
        <v>1576.2080262595966</v>
      </c>
      <c r="AE16" s="32">
        <f t="shared" ref="AE16" si="102">AE10-AE13-AE15-AE14</f>
        <v>1746.1045078190514</v>
      </c>
      <c r="AI16" s="31">
        <f t="shared" ref="AI16" si="103">AI10-AI13-AI15-AI14</f>
        <v>0</v>
      </c>
      <c r="AJ16" s="31">
        <f t="shared" ref="AJ16" si="104">AJ10-AJ13-AJ15-AJ14</f>
        <v>0</v>
      </c>
      <c r="AK16" s="31">
        <f t="shared" ref="AK16:AM16" si="105">AK10-AK13-AK15-AK14</f>
        <v>0</v>
      </c>
      <c r="AL16" s="31">
        <f t="shared" si="105"/>
        <v>0</v>
      </c>
      <c r="AM16" s="31">
        <f t="shared" si="105"/>
        <v>0</v>
      </c>
      <c r="AN16" s="31">
        <f t="shared" ref="AN16:AO16" si="106">AN10-AN13-AN15-AN14</f>
        <v>0</v>
      </c>
      <c r="AO16" s="31">
        <f t="shared" si="106"/>
        <v>0</v>
      </c>
      <c r="AP16" s="31">
        <f t="shared" ref="AP16:CD16" si="107">AP10-AP13-AP15-AP14</f>
        <v>0</v>
      </c>
      <c r="AQ16" s="31">
        <f t="shared" si="107"/>
        <v>0</v>
      </c>
      <c r="AR16" s="31">
        <f t="shared" si="107"/>
        <v>0</v>
      </c>
      <c r="AS16" s="31">
        <f t="shared" si="107"/>
        <v>0</v>
      </c>
      <c r="AT16" s="31">
        <f t="shared" si="107"/>
        <v>0</v>
      </c>
      <c r="AU16" s="31">
        <f t="shared" si="107"/>
        <v>0</v>
      </c>
      <c r="AV16" s="31">
        <f t="shared" si="107"/>
        <v>0</v>
      </c>
      <c r="AW16" s="31">
        <f t="shared" si="107"/>
        <v>0</v>
      </c>
      <c r="AX16" s="31">
        <f t="shared" si="107"/>
        <v>0</v>
      </c>
      <c r="AY16" s="31">
        <f t="shared" si="107"/>
        <v>0</v>
      </c>
      <c r="AZ16" s="31">
        <f t="shared" si="107"/>
        <v>0</v>
      </c>
      <c r="BA16" s="31">
        <f t="shared" si="107"/>
        <v>0</v>
      </c>
      <c r="BB16" s="31">
        <f t="shared" si="107"/>
        <v>0</v>
      </c>
      <c r="BC16" s="31">
        <f t="shared" si="107"/>
        <v>0</v>
      </c>
      <c r="BD16" s="31">
        <f t="shared" si="107"/>
        <v>0</v>
      </c>
      <c r="BE16" s="31">
        <f t="shared" si="107"/>
        <v>0</v>
      </c>
      <c r="BF16" s="31">
        <f t="shared" si="107"/>
        <v>0</v>
      </c>
      <c r="BG16" s="31">
        <f t="shared" si="107"/>
        <v>0</v>
      </c>
      <c r="BH16" s="31">
        <f t="shared" si="107"/>
        <v>0</v>
      </c>
      <c r="BI16" s="31">
        <f t="shared" si="107"/>
        <v>0</v>
      </c>
      <c r="BJ16" s="31">
        <f t="shared" si="107"/>
        <v>0</v>
      </c>
      <c r="BK16" s="31">
        <f t="shared" si="107"/>
        <v>0</v>
      </c>
      <c r="BL16" s="31">
        <f t="shared" si="107"/>
        <v>0</v>
      </c>
      <c r="BM16" s="31">
        <f t="shared" si="107"/>
        <v>0</v>
      </c>
      <c r="BN16" s="31">
        <f t="shared" si="107"/>
        <v>0</v>
      </c>
      <c r="BO16" s="31">
        <f t="shared" si="107"/>
        <v>0</v>
      </c>
      <c r="BP16" s="31">
        <f t="shared" si="107"/>
        <v>0</v>
      </c>
      <c r="BQ16" s="31">
        <f t="shared" si="107"/>
        <v>0</v>
      </c>
      <c r="BR16" s="31">
        <f t="shared" si="107"/>
        <v>0</v>
      </c>
      <c r="BS16" s="31">
        <f t="shared" si="107"/>
        <v>0</v>
      </c>
      <c r="BT16" s="31">
        <f t="shared" si="107"/>
        <v>234.35000000000002</v>
      </c>
      <c r="BU16" s="31">
        <f t="shared" si="107"/>
        <v>296.35699999999997</v>
      </c>
      <c r="BV16" s="31">
        <f t="shared" si="107"/>
        <v>359.65899999999999</v>
      </c>
      <c r="BW16" s="31">
        <f t="shared" si="107"/>
        <v>395.35399999999998</v>
      </c>
      <c r="BX16" s="31">
        <f t="shared" si="107"/>
        <v>264.178</v>
      </c>
      <c r="BY16" s="31">
        <f t="shared" si="107"/>
        <v>371.36500000000001</v>
      </c>
      <c r="BZ16" s="31">
        <f t="shared" si="107"/>
        <v>407.44</v>
      </c>
      <c r="CA16" s="31">
        <f t="shared" si="107"/>
        <v>313.23200000000003</v>
      </c>
      <c r="CB16" s="31">
        <f t="shared" si="107"/>
        <v>271.69699999999995</v>
      </c>
      <c r="CC16" s="31">
        <f t="shared" si="107"/>
        <v>365.673</v>
      </c>
      <c r="CD16" s="31">
        <f t="shared" si="107"/>
        <v>291.81399999999996</v>
      </c>
      <c r="CE16" s="31">
        <f t="shared" ref="CE16:CF16" si="108">CE10-CE13-CE15-CE14</f>
        <v>230.72300000000001</v>
      </c>
      <c r="CF16" s="31">
        <f t="shared" si="108"/>
        <v>226.76500000000001</v>
      </c>
      <c r="CG16" s="31">
        <f t="shared" ref="CG16:CH16" si="109">CG10-CG13-CG15-CG14</f>
        <v>258.09700000000004</v>
      </c>
      <c r="CH16" s="31">
        <f t="shared" si="109"/>
        <v>333.22699999999998</v>
      </c>
      <c r="CI16" s="31">
        <f t="shared" ref="CI16:CJ16" si="110">CI10-CI13-CI15-CI14</f>
        <v>266.56200000000001</v>
      </c>
      <c r="CJ16" s="31">
        <f t="shared" si="110"/>
        <v>233.05500000000001</v>
      </c>
      <c r="CK16" s="31">
        <f t="shared" ref="CK16" si="111">CK10-CK13-CK15-CK14</f>
        <v>255.49899999999997</v>
      </c>
      <c r="CL16" s="32">
        <f t="shared" ref="CL16" si="112">+CL17*CL10</f>
        <v>386.4279064009383</v>
      </c>
      <c r="CM16" s="32">
        <f t="shared" ref="CM16:DB16" si="113">+CM17*CM10</f>
        <v>322.8289067086684</v>
      </c>
      <c r="CN16" s="32">
        <f t="shared" si="113"/>
        <v>247.76892879868771</v>
      </c>
      <c r="CO16" s="32">
        <f t="shared" si="113"/>
        <v>276.31113386508224</v>
      </c>
      <c r="CP16" s="32">
        <f t="shared" si="113"/>
        <v>435.44598546995996</v>
      </c>
      <c r="CQ16" s="32">
        <f t="shared" si="113"/>
        <v>361.12306699374579</v>
      </c>
      <c r="CR16" s="32">
        <f t="shared" si="113"/>
        <v>271.84565490991679</v>
      </c>
      <c r="CS16" s="32">
        <f t="shared" si="113"/>
        <v>305.54277617961463</v>
      </c>
      <c r="CT16" s="32">
        <f t="shared" si="113"/>
        <v>484.23191777111941</v>
      </c>
      <c r="CU16" s="32">
        <f t="shared" si="113"/>
        <v>400.25572373989058</v>
      </c>
      <c r="CV16" s="32">
        <f t="shared" si="113"/>
        <v>300.61391276797184</v>
      </c>
      <c r="CW16" s="32">
        <f t="shared" si="113"/>
        <v>338.541375058624</v>
      </c>
      <c r="CX16" s="32">
        <f t="shared" si="113"/>
        <v>536.79701469310999</v>
      </c>
      <c r="CY16" s="32">
        <f t="shared" si="113"/>
        <v>443.35724166070889</v>
      </c>
      <c r="CZ16" s="32">
        <f t="shared" si="113"/>
        <v>332.93454307880398</v>
      </c>
      <c r="DA16" s="32">
        <f t="shared" si="113"/>
        <v>375.08297879082437</v>
      </c>
      <c r="DB16" s="32">
        <f t="shared" si="113"/>
        <v>594.72974428871396</v>
      </c>
      <c r="DE16" s="124"/>
      <c r="DF16" s="31">
        <v>1016.7838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14">C16/C10</f>
        <v>#DIV/0!</v>
      </c>
      <c r="D17" s="41" t="e">
        <f t="shared" si="114"/>
        <v>#DIV/0!</v>
      </c>
      <c r="E17" s="41" t="e">
        <f t="shared" si="114"/>
        <v>#DIV/0!</v>
      </c>
      <c r="F17" s="41" t="e">
        <f t="shared" si="114"/>
        <v>#DIV/0!</v>
      </c>
      <c r="G17" s="41" t="e">
        <f t="shared" si="114"/>
        <v>#DIV/0!</v>
      </c>
      <c r="H17" s="41" t="e">
        <f t="shared" si="114"/>
        <v>#DIV/0!</v>
      </c>
      <c r="I17" s="41" t="e">
        <f t="shared" si="114"/>
        <v>#DIV/0!</v>
      </c>
      <c r="J17" s="41" t="e">
        <f t="shared" si="114"/>
        <v>#DIV/0!</v>
      </c>
      <c r="K17" s="41" t="e">
        <f t="shared" si="114"/>
        <v>#DIV/0!</v>
      </c>
      <c r="L17" s="41" t="e">
        <f t="shared" si="114"/>
        <v>#DIV/0!</v>
      </c>
      <c r="M17" s="41" t="e">
        <f t="shared" si="114"/>
        <v>#DIV/0!</v>
      </c>
      <c r="N17" s="41" t="e">
        <f t="shared" si="114"/>
        <v>#DIV/0!</v>
      </c>
      <c r="O17" s="41" t="e">
        <f t="shared" si="114"/>
        <v>#DIV/0!</v>
      </c>
      <c r="P17" s="41">
        <f t="shared" si="114"/>
        <v>1.3462512342721951</v>
      </c>
      <c r="Q17" s="41">
        <f t="shared" si="114"/>
        <v>1.0407141942614968</v>
      </c>
      <c r="R17" s="41">
        <f t="shared" si="114"/>
        <v>0.89960427011424127</v>
      </c>
      <c r="S17" s="41">
        <f t="shared" si="114"/>
        <v>0.88724656426691761</v>
      </c>
      <c r="T17" s="41">
        <f t="shared" si="114"/>
        <v>0.83017686814994018</v>
      </c>
      <c r="U17" s="41">
        <f t="shared" si="114"/>
        <v>0.99944587861946499</v>
      </c>
      <c r="V17" s="41">
        <f t="shared" ref="V17:AA17" si="115">V16/V10</f>
        <v>0.98799361686301568</v>
      </c>
      <c r="W17" s="41">
        <f t="shared" si="115"/>
        <v>0.96521619822987037</v>
      </c>
      <c r="X17" s="41">
        <f t="shared" si="115"/>
        <v>0.99810529136800763</v>
      </c>
      <c r="Y17" s="41">
        <f t="shared" si="115"/>
        <v>0.93408398457397046</v>
      </c>
      <c r="Z17" s="41">
        <f t="shared" si="115"/>
        <v>1.0074869029629558</v>
      </c>
      <c r="AA17" s="41">
        <f t="shared" ref="AA17" si="116">AA16/AA10</f>
        <v>0.94055144684703507</v>
      </c>
      <c r="AB17" s="42">
        <f t="shared" ref="AB17:AD17" si="117">AB16/AB10</f>
        <v>0.97860176984087321</v>
      </c>
      <c r="AC17" s="42">
        <f t="shared" si="117"/>
        <v>0.97997264208055967</v>
      </c>
      <c r="AD17" s="42">
        <f t="shared" si="117"/>
        <v>0.98009019080713355</v>
      </c>
      <c r="AE17" s="42">
        <f t="shared" ref="AE17" si="118">AE16/AE10</f>
        <v>0.98008650832356725</v>
      </c>
      <c r="AI17" s="41" t="e">
        <f t="shared" ref="AI17" si="119">AI16/AI10</f>
        <v>#DIV/0!</v>
      </c>
      <c r="AJ17" s="41" t="e">
        <f t="shared" ref="AJ17" si="120">AJ16/AJ10</f>
        <v>#DIV/0!</v>
      </c>
      <c r="AK17" s="41" t="e">
        <f t="shared" ref="AK17:AM17" si="121">AK16/AK10</f>
        <v>#DIV/0!</v>
      </c>
      <c r="AL17" s="41" t="e">
        <f t="shared" si="121"/>
        <v>#DIV/0!</v>
      </c>
      <c r="AM17" s="41" t="e">
        <f t="shared" si="121"/>
        <v>#DIV/0!</v>
      </c>
      <c r="AN17" s="41" t="e">
        <f t="shared" ref="AN17:AO17" si="122">AN16/AN10</f>
        <v>#DIV/0!</v>
      </c>
      <c r="AO17" s="41" t="e">
        <f t="shared" si="122"/>
        <v>#DIV/0!</v>
      </c>
      <c r="AP17" s="41" t="e">
        <f t="shared" ref="AP17:CD17" si="123">AP16/AP10</f>
        <v>#DIV/0!</v>
      </c>
      <c r="AQ17" s="41" t="e">
        <f t="shared" si="123"/>
        <v>#DIV/0!</v>
      </c>
      <c r="AR17" s="41" t="e">
        <f t="shared" si="123"/>
        <v>#DIV/0!</v>
      </c>
      <c r="AS17" s="41" t="e">
        <f t="shared" si="123"/>
        <v>#DIV/0!</v>
      </c>
      <c r="AT17" s="41" t="e">
        <f t="shared" si="123"/>
        <v>#DIV/0!</v>
      </c>
      <c r="AU17" s="41" t="e">
        <f t="shared" si="123"/>
        <v>#DIV/0!</v>
      </c>
      <c r="AV17" s="41" t="e">
        <f t="shared" si="123"/>
        <v>#DIV/0!</v>
      </c>
      <c r="AW17" s="41" t="e">
        <f t="shared" si="123"/>
        <v>#DIV/0!</v>
      </c>
      <c r="AX17" s="41" t="e">
        <f t="shared" si="123"/>
        <v>#DIV/0!</v>
      </c>
      <c r="AY17" s="41" t="e">
        <f t="shared" si="123"/>
        <v>#DIV/0!</v>
      </c>
      <c r="AZ17" s="41" t="e">
        <f t="shared" si="123"/>
        <v>#DIV/0!</v>
      </c>
      <c r="BA17" s="41" t="e">
        <f t="shared" si="123"/>
        <v>#DIV/0!</v>
      </c>
      <c r="BB17" s="41" t="e">
        <f t="shared" si="123"/>
        <v>#DIV/0!</v>
      </c>
      <c r="BC17" s="41" t="e">
        <f t="shared" si="123"/>
        <v>#DIV/0!</v>
      </c>
      <c r="BD17" s="41" t="e">
        <f t="shared" si="123"/>
        <v>#DIV/0!</v>
      </c>
      <c r="BE17" s="41" t="e">
        <f t="shared" si="123"/>
        <v>#DIV/0!</v>
      </c>
      <c r="BF17" s="41" t="e">
        <f t="shared" si="123"/>
        <v>#DIV/0!</v>
      </c>
      <c r="BG17" s="41" t="e">
        <f t="shared" si="123"/>
        <v>#DIV/0!</v>
      </c>
      <c r="BH17" s="41" t="e">
        <f t="shared" si="123"/>
        <v>#DIV/0!</v>
      </c>
      <c r="BI17" s="41" t="e">
        <f t="shared" si="123"/>
        <v>#DIV/0!</v>
      </c>
      <c r="BJ17" s="41" t="e">
        <f t="shared" si="123"/>
        <v>#DIV/0!</v>
      </c>
      <c r="BK17" s="41" t="e">
        <f t="shared" si="123"/>
        <v>#DIV/0!</v>
      </c>
      <c r="BL17" s="41" t="e">
        <f t="shared" si="123"/>
        <v>#DIV/0!</v>
      </c>
      <c r="BM17" s="41" t="e">
        <f t="shared" si="123"/>
        <v>#DIV/0!</v>
      </c>
      <c r="BN17" s="41" t="e">
        <f t="shared" si="123"/>
        <v>#DIV/0!</v>
      </c>
      <c r="BO17" s="41" t="e">
        <f t="shared" si="123"/>
        <v>#DIV/0!</v>
      </c>
      <c r="BP17" s="41" t="e">
        <f t="shared" si="123"/>
        <v>#DIV/0!</v>
      </c>
      <c r="BQ17" s="41" t="e">
        <f t="shared" si="123"/>
        <v>#DIV/0!</v>
      </c>
      <c r="BR17" s="41" t="e">
        <f t="shared" si="123"/>
        <v>#DIV/0!</v>
      </c>
      <c r="BS17" s="41" t="e">
        <f t="shared" si="123"/>
        <v>#DIV/0!</v>
      </c>
      <c r="BT17" s="41">
        <f t="shared" si="123"/>
        <v>0.93833833833833846</v>
      </c>
      <c r="BU17" s="41">
        <f t="shared" si="123"/>
        <v>0.96431139672984623</v>
      </c>
      <c r="BV17" s="41">
        <f t="shared" si="123"/>
        <v>0.96526320309606506</v>
      </c>
      <c r="BW17" s="41">
        <f t="shared" si="123"/>
        <v>0.98770841973248324</v>
      </c>
      <c r="BX17" s="41">
        <f t="shared" si="123"/>
        <v>0.90011073442477718</v>
      </c>
      <c r="BY17" s="41">
        <f t="shared" si="123"/>
        <v>1.0176530391342831</v>
      </c>
      <c r="BZ17" s="41">
        <f t="shared" si="123"/>
        <v>1.0655508336057535</v>
      </c>
      <c r="CA17" s="41">
        <f t="shared" si="123"/>
        <v>0.912962628317604</v>
      </c>
      <c r="CB17" s="41">
        <f t="shared" si="123"/>
        <v>0.93538636324514135</v>
      </c>
      <c r="CC17" s="41">
        <f t="shared" si="123"/>
        <v>0.88620930334007075</v>
      </c>
      <c r="CD17" s="41">
        <f t="shared" si="123"/>
        <v>1.0278579102164456</v>
      </c>
      <c r="CE17" s="41">
        <f t="shared" ref="CE17:CF17" si="124">CE16/CE10</f>
        <v>1.0847751678483442</v>
      </c>
      <c r="CF17" s="41">
        <f t="shared" si="124"/>
        <v>0.94306627019608658</v>
      </c>
      <c r="CG17" s="41">
        <f t="shared" ref="CG17:CH17" si="125">CG16/CG10</f>
        <v>1.065222415742858</v>
      </c>
      <c r="CH17" s="41">
        <f t="shared" si="125"/>
        <v>0.96426266794375781</v>
      </c>
      <c r="CI17" s="41">
        <f t="shared" ref="CI17:CJ17" si="126">CI16/CI10</f>
        <v>0.91176259325007958</v>
      </c>
      <c r="CJ17" s="41">
        <f t="shared" si="126"/>
        <v>0.99944678880197613</v>
      </c>
      <c r="CK17" s="41">
        <f t="shared" ref="CK17" si="127">CK16/CK10</f>
        <v>1.0036690039871936</v>
      </c>
      <c r="CL17" s="42">
        <f t="shared" ref="CL17:DB17" si="128">AVERAGE(CH17:CK17)</f>
        <v>0.96978526349575178</v>
      </c>
      <c r="CM17" s="42">
        <f t="shared" si="128"/>
        <v>0.97116591238375027</v>
      </c>
      <c r="CN17" s="42">
        <f t="shared" si="128"/>
        <v>0.98601674216716795</v>
      </c>
      <c r="CO17" s="42">
        <f t="shared" si="128"/>
        <v>0.98265923050846593</v>
      </c>
      <c r="CP17" s="42">
        <f t="shared" si="128"/>
        <v>0.97740678713878404</v>
      </c>
      <c r="CQ17" s="42">
        <f t="shared" si="128"/>
        <v>0.97931216804954213</v>
      </c>
      <c r="CR17" s="42">
        <f t="shared" si="128"/>
        <v>0.98134873196599004</v>
      </c>
      <c r="CS17" s="42">
        <f t="shared" si="128"/>
        <v>0.98018172941569559</v>
      </c>
      <c r="CT17" s="42">
        <f t="shared" si="128"/>
        <v>0.97956235414250292</v>
      </c>
      <c r="CU17" s="42">
        <f t="shared" si="128"/>
        <v>0.98010124589343273</v>
      </c>
      <c r="CV17" s="42">
        <f t="shared" si="128"/>
        <v>0.98029851535440526</v>
      </c>
      <c r="CW17" s="42">
        <f t="shared" si="128"/>
        <v>0.98003596120150915</v>
      </c>
      <c r="CX17" s="42">
        <f t="shared" si="128"/>
        <v>0.97999951914796246</v>
      </c>
      <c r="CY17" s="42">
        <f t="shared" si="128"/>
        <v>0.9801088103993274</v>
      </c>
      <c r="CZ17" s="42">
        <f t="shared" si="128"/>
        <v>0.98011070152580104</v>
      </c>
      <c r="DA17" s="42">
        <f t="shared" si="128"/>
        <v>0.98006374806865004</v>
      </c>
      <c r="DB17" s="42">
        <f t="shared" si="128"/>
        <v>0.98007069478543518</v>
      </c>
      <c r="DE17" s="125"/>
      <c r="DF17" s="41">
        <v>0.94055144684703507</v>
      </c>
    </row>
    <row r="18" spans="1:110" s="39" customFormat="1" x14ac:dyDescent="0.2">
      <c r="A18" s="39" t="s">
        <v>447</v>
      </c>
      <c r="C18" s="39" t="e">
        <f t="shared" ref="C18:AE18" si="129">+IF(B16&lt;0,1-C16/B16,C16/B16-1)</f>
        <v>#DIV/0!</v>
      </c>
      <c r="D18" s="39" t="e">
        <f t="shared" si="129"/>
        <v>#DIV/0!</v>
      </c>
      <c r="E18" s="39" t="e">
        <f t="shared" si="129"/>
        <v>#DIV/0!</v>
      </c>
      <c r="F18" s="39" t="e">
        <f t="shared" si="129"/>
        <v>#DIV/0!</v>
      </c>
      <c r="G18" s="39" t="e">
        <f t="shared" si="129"/>
        <v>#DIV/0!</v>
      </c>
      <c r="H18" s="39" t="e">
        <f t="shared" si="129"/>
        <v>#DIV/0!</v>
      </c>
      <c r="I18" s="39" t="e">
        <f t="shared" si="129"/>
        <v>#DIV/0!</v>
      </c>
      <c r="J18" s="39" t="e">
        <f t="shared" si="129"/>
        <v>#DIV/0!</v>
      </c>
      <c r="K18" s="39" t="e">
        <f t="shared" si="129"/>
        <v>#DIV/0!</v>
      </c>
      <c r="L18" s="39" t="e">
        <f t="shared" si="129"/>
        <v>#DIV/0!</v>
      </c>
      <c r="M18" s="39" t="e">
        <f t="shared" si="129"/>
        <v>#DIV/0!</v>
      </c>
      <c r="N18" s="39" t="e">
        <f t="shared" si="129"/>
        <v>#DIV/0!</v>
      </c>
      <c r="O18" s="39" t="e">
        <f t="shared" si="129"/>
        <v>#DIV/0!</v>
      </c>
      <c r="P18" s="39" t="e">
        <f t="shared" si="129"/>
        <v>#DIV/0!</v>
      </c>
      <c r="Q18" s="39">
        <f t="shared" si="129"/>
        <v>0.16983265819174731</v>
      </c>
      <c r="R18" s="39">
        <f t="shared" si="129"/>
        <v>-0.26984272546736832</v>
      </c>
      <c r="S18" s="39">
        <f t="shared" si="129"/>
        <v>0.50463254051033513</v>
      </c>
      <c r="T18" s="39">
        <f t="shared" si="129"/>
        <v>0.20577979127761004</v>
      </c>
      <c r="U18" s="39">
        <f t="shared" si="129"/>
        <v>0.29472170745734538</v>
      </c>
      <c r="V18" s="39">
        <f t="shared" si="129"/>
        <v>0.20406493230870981</v>
      </c>
      <c r="W18" s="39">
        <f t="shared" si="129"/>
        <v>0.4908598571550371</v>
      </c>
      <c r="X18" s="39">
        <f t="shared" si="129"/>
        <v>0.31822394351765682</v>
      </c>
      <c r="Y18" s="39">
        <f t="shared" si="129"/>
        <v>-0.1362131435954963</v>
      </c>
      <c r="Z18" s="39">
        <f t="shared" si="129"/>
        <v>-0.15582824841258791</v>
      </c>
      <c r="AA18" s="39">
        <f t="shared" si="129"/>
        <v>-3.0537506296410388E-2</v>
      </c>
      <c r="AB18" s="40">
        <f t="shared" si="129"/>
        <v>0.2611874371350118</v>
      </c>
      <c r="AC18" s="40">
        <f t="shared" si="129"/>
        <v>0.10947706832797466</v>
      </c>
      <c r="AD18" s="40">
        <f t="shared" si="129"/>
        <v>0.10786527542145774</v>
      </c>
      <c r="AE18" s="40">
        <f t="shared" si="129"/>
        <v>0.10778810837718278</v>
      </c>
      <c r="AM18" s="39" t="e">
        <f>+IF(AI16&lt;0,1-AM16/AI16,AM16/AI16-1)</f>
        <v>#DIV/0!</v>
      </c>
      <c r="AN18" s="39" t="e">
        <f t="shared" ref="AN18" si="130">+IF(AJ16&lt;0,1-AN16/AJ16,AN16/AJ16-1)</f>
        <v>#DIV/0!</v>
      </c>
      <c r="AO18" s="39" t="e">
        <f t="shared" ref="AO18" si="131">+IF(AK16&lt;0,1-AO16/AK16,AO16/AK16-1)</f>
        <v>#DIV/0!</v>
      </c>
      <c r="AP18" s="39" t="e">
        <f t="shared" ref="AP18" si="132">+IF(AL16&lt;0,1-AP16/AL16,AP16/AL16-1)</f>
        <v>#DIV/0!</v>
      </c>
      <c r="AQ18" s="39" t="e">
        <f t="shared" ref="AQ18" si="133">+IF(AM16&lt;0,1-AQ16/AM16,AQ16/AM16-1)</f>
        <v>#DIV/0!</v>
      </c>
      <c r="AR18" s="39" t="e">
        <f t="shared" ref="AR18" si="134">+IF(AN16&lt;0,1-AR16/AN16,AR16/AN16-1)</f>
        <v>#DIV/0!</v>
      </c>
      <c r="AS18" s="39" t="e">
        <f t="shared" ref="AS18" si="135">+IF(AO16&lt;0,1-AS16/AO16,AS16/AO16-1)</f>
        <v>#DIV/0!</v>
      </c>
      <c r="AT18" s="39" t="e">
        <f t="shared" ref="AT18" si="136">+IF(AP16&lt;0,1-AT16/AP16,AT16/AP16-1)</f>
        <v>#DIV/0!</v>
      </c>
      <c r="AU18" s="39" t="e">
        <f t="shared" ref="AU18" si="137">+IF(AQ16&lt;0,1-AU16/AQ16,AU16/AQ16-1)</f>
        <v>#DIV/0!</v>
      </c>
      <c r="AV18" s="39" t="e">
        <f t="shared" ref="AV18" si="138">+IF(AR16&lt;0,1-AV16/AR16,AV16/AR16-1)</f>
        <v>#DIV/0!</v>
      </c>
      <c r="AW18" s="39" t="e">
        <f t="shared" ref="AW18" si="139">+IF(AS16&lt;0,1-AW16/AS16,AW16/AS16-1)</f>
        <v>#DIV/0!</v>
      </c>
      <c r="AX18" s="39" t="e">
        <f t="shared" ref="AX18" si="140">+IF(AT16&lt;0,1-AX16/AT16,AX16/AT16-1)</f>
        <v>#DIV/0!</v>
      </c>
      <c r="AY18" s="39" t="e">
        <f t="shared" ref="AY18" si="141">+IF(AU16&lt;0,1-AY16/AU16,AY16/AU16-1)</f>
        <v>#DIV/0!</v>
      </c>
      <c r="AZ18" s="39" t="e">
        <f t="shared" ref="AZ18" si="142">+IF(AV16&lt;0,1-AZ16/AV16,AZ16/AV16-1)</f>
        <v>#DIV/0!</v>
      </c>
      <c r="BA18" s="39" t="e">
        <f t="shared" ref="BA18" si="143">+IF(AW16&lt;0,1-BA16/AW16,BA16/AW16-1)</f>
        <v>#DIV/0!</v>
      </c>
      <c r="BB18" s="39" t="e">
        <f t="shared" ref="BB18" si="144">+IF(AX16&lt;0,1-BB16/AX16,BB16/AX16-1)</f>
        <v>#DIV/0!</v>
      </c>
      <c r="BC18" s="39" t="e">
        <f t="shared" ref="BC18" si="145">+IF(AY16&lt;0,1-BC16/AY16,BC16/AY16-1)</f>
        <v>#DIV/0!</v>
      </c>
      <c r="BD18" s="39" t="e">
        <f t="shared" ref="BD18" si="146">+IF(AZ16&lt;0,1-BD16/AZ16,BD16/AZ16-1)</f>
        <v>#DIV/0!</v>
      </c>
      <c r="BE18" s="39" t="e">
        <f t="shared" ref="BE18" si="147">+IF(BA16&lt;0,1-BE16/BA16,BE16/BA16-1)</f>
        <v>#DIV/0!</v>
      </c>
      <c r="BF18" s="39" t="e">
        <f t="shared" ref="BF18" si="148">+IF(BB16&lt;0,1-BF16/BB16,BF16/BB16-1)</f>
        <v>#DIV/0!</v>
      </c>
      <c r="BG18" s="39" t="e">
        <f t="shared" ref="BG18" si="149">+IF(BC16&lt;0,1-BG16/BC16,BG16/BC16-1)</f>
        <v>#DIV/0!</v>
      </c>
      <c r="BH18" s="39" t="e">
        <f t="shared" ref="BH18" si="150">+IF(BD16&lt;0,1-BH16/BD16,BH16/BD16-1)</f>
        <v>#DIV/0!</v>
      </c>
      <c r="BI18" s="39" t="e">
        <f t="shared" ref="BI18" si="151">+IF(BE16&lt;0,1-BI16/BE16,BI16/BE16-1)</f>
        <v>#DIV/0!</v>
      </c>
      <c r="BJ18" s="39" t="e">
        <f t="shared" ref="BJ18" si="152">+IF(BF16&lt;0,1-BJ16/BF16,BJ16/BF16-1)</f>
        <v>#DIV/0!</v>
      </c>
      <c r="BK18" s="39" t="e">
        <f t="shared" ref="BK18" si="153">+IF(BG16&lt;0,1-BK16/BG16,BK16/BG16-1)</f>
        <v>#DIV/0!</v>
      </c>
      <c r="BL18" s="39" t="e">
        <f t="shared" ref="BL18" si="154">+IF(BH16&lt;0,1-BL16/BH16,BL16/BH16-1)</f>
        <v>#DIV/0!</v>
      </c>
      <c r="BM18" s="39" t="e">
        <f t="shared" ref="BM18" si="155">+IF(BI16&lt;0,1-BM16/BI16,BM16/BI16-1)</f>
        <v>#DIV/0!</v>
      </c>
      <c r="BN18" s="39" t="e">
        <f t="shared" ref="BN18" si="156">+IF(BJ16&lt;0,1-BN16/BJ16,BN16/BJ16-1)</f>
        <v>#DIV/0!</v>
      </c>
      <c r="BO18" s="39" t="e">
        <f t="shared" ref="BO18" si="157">+IF(BK16&lt;0,1-BO16/BK16,BO16/BK16-1)</f>
        <v>#DIV/0!</v>
      </c>
      <c r="BP18" s="39" t="e">
        <f t="shared" ref="BP18" si="158">+IF(BL16&lt;0,1-BP16/BL16,BP16/BL16-1)</f>
        <v>#DIV/0!</v>
      </c>
      <c r="BQ18" s="39" t="e">
        <f t="shared" ref="BQ18" si="159">+IF(BM16&lt;0,1-BQ16/BM16,BQ16/BM16-1)</f>
        <v>#DIV/0!</v>
      </c>
      <c r="BR18" s="39" t="e">
        <f t="shared" ref="BR18" si="160">+IF(BN16&lt;0,1-BR16/BN16,BR16/BN16-1)</f>
        <v>#DIV/0!</v>
      </c>
      <c r="BS18" s="39" t="e">
        <f t="shared" ref="BS18" si="161">+IF(BO16&lt;0,1-BS16/BO16,BS16/BO16-1)</f>
        <v>#DIV/0!</v>
      </c>
      <c r="BT18" s="39" t="e">
        <f t="shared" ref="BT18" si="162">+IF(BP16&lt;0,1-BT16/BP16,BT16/BP16-1)</f>
        <v>#DIV/0!</v>
      </c>
      <c r="BU18" s="39" t="e">
        <f t="shared" ref="BU18" si="163">+IF(BQ16&lt;0,1-BU16/BQ16,BU16/BQ16-1)</f>
        <v>#DIV/0!</v>
      </c>
      <c r="BV18" s="39" t="e">
        <f t="shared" ref="BV18" si="164">+IF(BR16&lt;0,1-BV16/BR16,BV16/BR16-1)</f>
        <v>#DIV/0!</v>
      </c>
      <c r="BW18" s="39" t="e">
        <f t="shared" ref="BW18" si="165">+IF(BS16&lt;0,1-BW16/BS16,BW16/BS16-1)</f>
        <v>#DIV/0!</v>
      </c>
      <c r="BX18" s="39">
        <f t="shared" ref="BX18" si="166">+IF(BT16&lt;0,1-BX16/BT16,BX16/BT16-1)</f>
        <v>0.12727970983571568</v>
      </c>
      <c r="BY18" s="39">
        <f t="shared" ref="BY18" si="167">+IF(BU16&lt;0,1-BY16/BU16,BY16/BU16-1)</f>
        <v>0.25310014610756637</v>
      </c>
      <c r="BZ18" s="39">
        <f t="shared" ref="BZ18" si="168">+IF(BV16&lt;0,1-BZ16/BV16,BZ16/BV16-1)</f>
        <v>0.13285083926719476</v>
      </c>
      <c r="CA18" s="39">
        <f t="shared" ref="CA18" si="169">+IF(BW16&lt;0,1-CA16/BW16,CA16/BW16-1)</f>
        <v>-0.20771764039316654</v>
      </c>
      <c r="CB18" s="39">
        <f t="shared" ref="CB18" si="170">+IF(BX16&lt;0,1-CB16/BX16,CB16/BX16-1)</f>
        <v>2.8461870405559697E-2</v>
      </c>
      <c r="CC18" s="39">
        <f t="shared" ref="CC18" si="171">+IF(BY16&lt;0,1-CC16/BY16,CC16/BY16-1)</f>
        <v>-1.5327238700469925E-2</v>
      </c>
      <c r="CD18" s="39">
        <f t="shared" ref="CD18" si="172">+IF(BZ16&lt;0,1-CD16/BZ16,CD16/BZ16-1)</f>
        <v>-0.2837865698016887</v>
      </c>
      <c r="CE18" s="39">
        <f t="shared" ref="CE18" si="173">+IF(CA16&lt;0,1-CE16/CA16,CE16/CA16-1)</f>
        <v>-0.26341178423660416</v>
      </c>
      <c r="CF18" s="39">
        <f t="shared" ref="CF18" si="174">+IF(CB16&lt;0,1-CF16/CB16,CF16/CB16-1)</f>
        <v>-0.16537539980198512</v>
      </c>
      <c r="CG18" s="39">
        <f t="shared" ref="CG18" si="175">+IF(CC16&lt;0,1-CG16/CC16,CG16/CC16-1)</f>
        <v>-0.29418633587932375</v>
      </c>
      <c r="CH18" s="39">
        <f t="shared" ref="CH18:CK18" si="176">+IF(CD16&lt;0,1-CH16/CD16,CH16/CD16-1)</f>
        <v>0.14191574084862291</v>
      </c>
      <c r="CI18" s="39">
        <f t="shared" si="176"/>
        <v>0.15533345180151081</v>
      </c>
      <c r="CJ18" s="39">
        <f t="shared" si="176"/>
        <v>2.7737966617423337E-2</v>
      </c>
      <c r="CK18" s="39">
        <f t="shared" si="176"/>
        <v>-1.0065982944397089E-2</v>
      </c>
      <c r="CL18" s="40">
        <f t="shared" ref="CL18" si="177">+IF(CH16&lt;0,1-CL16/CH16,CL16/CH16-1)</f>
        <v>0.15965364871675569</v>
      </c>
      <c r="CM18" s="40">
        <f t="shared" ref="CM18" si="178">+CM16/CI16-1</f>
        <v>0.21108375052958928</v>
      </c>
      <c r="CN18" s="40">
        <f t="shared" ref="CN18" si="179">+CN16/CJ16-1</f>
        <v>6.3135005894264129E-2</v>
      </c>
      <c r="CO18" s="40">
        <f t="shared" ref="CO18" si="180">+CO16/CK16-1</f>
        <v>8.1456811435983267E-2</v>
      </c>
      <c r="CP18" s="40">
        <f t="shared" ref="CP18" si="181">+CP16/CL16-1</f>
        <v>0.12684922143837851</v>
      </c>
      <c r="CQ18" s="40">
        <f t="shared" ref="CQ18" si="182">+CQ16/CM16-1</f>
        <v>0.11862060518525785</v>
      </c>
      <c r="CR18" s="40">
        <f t="shared" ref="CR18" si="183">+CR16/CN16-1</f>
        <v>9.7174113913175209E-2</v>
      </c>
      <c r="CS18" s="40">
        <f t="shared" ref="CS18" si="184">+CS16/CO16-1</f>
        <v>0.10579248800305563</v>
      </c>
      <c r="CT18" s="40">
        <f t="shared" ref="CT18" si="185">+CT16/CP16-1</f>
        <v>0.1120367024362543</v>
      </c>
      <c r="CU18" s="40">
        <f t="shared" ref="CU18" si="186">+CU16/CQ16-1</f>
        <v>0.10836376937068515</v>
      </c>
      <c r="CV18" s="40">
        <f t="shared" ref="CV18" si="187">+CV16/CR16-1</f>
        <v>0.10582570417610015</v>
      </c>
      <c r="CW18" s="40">
        <f t="shared" ref="CW18" si="188">+CW16/CS16-1</f>
        <v>0.10799993143876851</v>
      </c>
      <c r="CX18" s="40">
        <f t="shared" ref="CX18" si="189">+CX16/CT16-1</f>
        <v>0.10855355665926258</v>
      </c>
      <c r="CY18" s="40">
        <f t="shared" ref="CY18" si="190">+CY16/CU16-1</f>
        <v>0.10768495080617058</v>
      </c>
      <c r="CZ18" s="40">
        <f t="shared" ref="CZ18" si="191">+CZ16/CV16-1</f>
        <v>0.10751541741109882</v>
      </c>
      <c r="DA18" s="40">
        <f t="shared" ref="DA18" si="192">+DA16/CW16-1</f>
        <v>0.10793836861409511</v>
      </c>
      <c r="DB18" s="40">
        <f t="shared" ref="DB18" si="193">+DB16/CX16-1</f>
        <v>0.10792297276229168</v>
      </c>
      <c r="DE18" s="122"/>
      <c r="DF18" s="39">
        <v>-3.0537506296410388E-2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94">+IF(AJ16&lt;0,1-AK16/AJ16,AK16/AJ16-1)</f>
        <v>#DIV/0!</v>
      </c>
      <c r="AL19" s="39" t="e">
        <f t="shared" ref="AL19" si="195">+IF(AK16&lt;0,1-AL16/AK16,AL16/AK16-1)</f>
        <v>#DIV/0!</v>
      </c>
      <c r="AM19" s="39" t="e">
        <f t="shared" ref="AM19" si="196">+IF(AL16&lt;0,1-AM16/AL16,AM16/AL16-1)</f>
        <v>#DIV/0!</v>
      </c>
      <c r="AN19" s="39" t="e">
        <f t="shared" ref="AN19" si="197">+IF(AM16&lt;0,1-AN16/AM16,AN16/AM16-1)</f>
        <v>#DIV/0!</v>
      </c>
      <c r="AO19" s="39" t="e">
        <f t="shared" ref="AO19" si="198">+IF(AN16&lt;0,1-AO16/AN16,AO16/AN16-1)</f>
        <v>#DIV/0!</v>
      </c>
      <c r="AP19" s="39" t="e">
        <f t="shared" ref="AP19" si="199">+IF(AO16&lt;0,1-AP16/AO16,AP16/AO16-1)</f>
        <v>#DIV/0!</v>
      </c>
      <c r="AQ19" s="39" t="e">
        <f t="shared" ref="AQ19" si="200">+IF(AP16&lt;0,1-AQ16/AP16,AQ16/AP16-1)</f>
        <v>#DIV/0!</v>
      </c>
      <c r="AR19" s="39" t="e">
        <f t="shared" ref="AR19" si="201">+IF(AQ16&lt;0,1-AR16/AQ16,AR16/AQ16-1)</f>
        <v>#DIV/0!</v>
      </c>
      <c r="AS19" s="39" t="e">
        <f t="shared" ref="AS19" si="202">+IF(AR16&lt;0,1-AS16/AR16,AS16/AR16-1)</f>
        <v>#DIV/0!</v>
      </c>
      <c r="AT19" s="39" t="e">
        <f t="shared" ref="AT19" si="203">+IF(AS16&lt;0,1-AT16/AS16,AT16/AS16-1)</f>
        <v>#DIV/0!</v>
      </c>
      <c r="AU19" s="39" t="e">
        <f t="shared" ref="AU19" si="204">+IF(AT16&lt;0,1-AU16/AT16,AU16/AT16-1)</f>
        <v>#DIV/0!</v>
      </c>
      <c r="AV19" s="39" t="e">
        <f t="shared" ref="AV19" si="205">+IF(AU16&lt;0,1-AV16/AU16,AV16/AU16-1)</f>
        <v>#DIV/0!</v>
      </c>
      <c r="AW19" s="39" t="e">
        <f t="shared" ref="AW19" si="206">+IF(AV16&lt;0,1-AW16/AV16,AW16/AV16-1)</f>
        <v>#DIV/0!</v>
      </c>
      <c r="AX19" s="39" t="e">
        <f t="shared" ref="AX19" si="207">+IF(AW16&lt;0,1-AX16/AW16,AX16/AW16-1)</f>
        <v>#DIV/0!</v>
      </c>
      <c r="AY19" s="39" t="e">
        <f t="shared" ref="AY19" si="208">+IF(AX16&lt;0,1-AY16/AX16,AY16/AX16-1)</f>
        <v>#DIV/0!</v>
      </c>
      <c r="AZ19" s="39" t="e">
        <f t="shared" ref="AZ19" si="209">+IF(AY16&lt;0,1-AZ16/AY16,AZ16/AY16-1)</f>
        <v>#DIV/0!</v>
      </c>
      <c r="BA19" s="39" t="e">
        <f t="shared" ref="BA19" si="210">+IF(AZ16&lt;0,1-BA16/AZ16,BA16/AZ16-1)</f>
        <v>#DIV/0!</v>
      </c>
      <c r="BB19" s="39" t="e">
        <f t="shared" ref="BB19" si="211">+IF(BA16&lt;0,1-BB16/BA16,BB16/BA16-1)</f>
        <v>#DIV/0!</v>
      </c>
      <c r="BC19" s="39" t="e">
        <f t="shared" ref="BC19" si="212">+IF(BB16&lt;0,1-BC16/BB16,BC16/BB16-1)</f>
        <v>#DIV/0!</v>
      </c>
      <c r="BD19" s="39" t="e">
        <f t="shared" ref="BD19" si="213">+IF(BC16&lt;0,1-BD16/BC16,BD16/BC16-1)</f>
        <v>#DIV/0!</v>
      </c>
      <c r="BE19" s="39" t="e">
        <f t="shared" ref="BE19" si="214">+IF(BD16&lt;0,1-BE16/BD16,BE16/BD16-1)</f>
        <v>#DIV/0!</v>
      </c>
      <c r="BF19" s="39" t="e">
        <f t="shared" ref="BF19" si="215">+IF(BE16&lt;0,1-BF16/BE16,BF16/BE16-1)</f>
        <v>#DIV/0!</v>
      </c>
      <c r="BG19" s="39" t="e">
        <f t="shared" ref="BG19" si="216">+IF(BF16&lt;0,1-BG16/BF16,BG16/BF16-1)</f>
        <v>#DIV/0!</v>
      </c>
      <c r="BH19" s="39" t="e">
        <f t="shared" ref="BH19" si="217">+IF(BG16&lt;0,1-BH16/BG16,BH16/BG16-1)</f>
        <v>#DIV/0!</v>
      </c>
      <c r="BI19" s="39" t="e">
        <f t="shared" ref="BI19" si="218">+IF(BH16&lt;0,1-BI16/BH16,BI16/BH16-1)</f>
        <v>#DIV/0!</v>
      </c>
      <c r="BJ19" s="39" t="e">
        <f t="shared" ref="BJ19" si="219">+IF(BI16&lt;0,1-BJ16/BI16,BJ16/BI16-1)</f>
        <v>#DIV/0!</v>
      </c>
      <c r="BK19" s="39" t="e">
        <f t="shared" ref="BK19" si="220">+IF(BJ16&lt;0,1-BK16/BJ16,BK16/BJ16-1)</f>
        <v>#DIV/0!</v>
      </c>
      <c r="BL19" s="39" t="e">
        <f t="shared" ref="BL19" si="221">+IF(BK16&lt;0,1-BL16/BK16,BL16/BK16-1)</f>
        <v>#DIV/0!</v>
      </c>
      <c r="BM19" s="39" t="e">
        <f t="shared" ref="BM19" si="222">+IF(BL16&lt;0,1-BM16/BL16,BM16/BL16-1)</f>
        <v>#DIV/0!</v>
      </c>
      <c r="BN19" s="39" t="e">
        <f t="shared" ref="BN19" si="223">+IF(BM16&lt;0,1-BN16/BM16,BN16/BM16-1)</f>
        <v>#DIV/0!</v>
      </c>
      <c r="BO19" s="39" t="e">
        <f t="shared" ref="BO19" si="224">+IF(BN16&lt;0,1-BO16/BN16,BO16/BN16-1)</f>
        <v>#DIV/0!</v>
      </c>
      <c r="BP19" s="39" t="e">
        <f t="shared" ref="BP19" si="225">+IF(BO16&lt;0,1-BP16/BO16,BP16/BO16-1)</f>
        <v>#DIV/0!</v>
      </c>
      <c r="BQ19" s="39" t="e">
        <f t="shared" ref="BQ19" si="226">+IF(BP16&lt;0,1-BQ16/BP16,BQ16/BP16-1)</f>
        <v>#DIV/0!</v>
      </c>
      <c r="BR19" s="39" t="e">
        <f t="shared" ref="BR19" si="227">+IF(BQ16&lt;0,1-BR16/BQ16,BR16/BQ16-1)</f>
        <v>#DIV/0!</v>
      </c>
      <c r="BS19" s="39" t="e">
        <f t="shared" ref="BS19" si="228">+IF(BR16&lt;0,1-BS16/BR16,BS16/BR16-1)</f>
        <v>#DIV/0!</v>
      </c>
      <c r="BT19" s="39" t="e">
        <f t="shared" ref="BT19" si="229">+IF(BS16&lt;0,1-BT16/BS16,BT16/BS16-1)</f>
        <v>#DIV/0!</v>
      </c>
      <c r="BU19" s="39">
        <f t="shared" ref="BU19" si="230">+IF(BT16&lt;0,1-BU16/BT16,BU16/BT16-1)</f>
        <v>0.26459142308512873</v>
      </c>
      <c r="BV19" s="39">
        <f t="shared" ref="BV19" si="231">+IF(BU16&lt;0,1-BV16/BU16,BV16/BU16-1)</f>
        <v>0.21360048859989811</v>
      </c>
      <c r="BW19" s="39">
        <f t="shared" ref="BW19" si="232">+IF(BV16&lt;0,1-BW16/BV16,BW16/BV16-1)</f>
        <v>9.9246786539472165E-2</v>
      </c>
      <c r="BX19" s="39">
        <f t="shared" ref="BX19" si="233">+IF(BW16&lt;0,1-BX16/BW16,BX16/BW16-1)</f>
        <v>-0.33179378481057475</v>
      </c>
      <c r="BY19" s="39">
        <f t="shared" ref="BY19" si="234">+IF(BX16&lt;0,1-BY16/BX16,BY16/BX16-1)</f>
        <v>0.40573779799983356</v>
      </c>
      <c r="BZ19" s="39">
        <f t="shared" ref="BZ19" si="235">+IF(BY16&lt;0,1-BZ16/BY16,BZ16/BY16-1)</f>
        <v>9.7141626162939421E-2</v>
      </c>
      <c r="CA19" s="39">
        <f t="shared" ref="CA19" si="236">+IF(BZ16&lt;0,1-CA16/BZ16,CA16/BZ16-1)</f>
        <v>-0.23121932063616724</v>
      </c>
      <c r="CB19" s="39">
        <f t="shared" ref="CB19" si="237">+IF(CA16&lt;0,1-CB16/CA16,CB16/CA16-1)</f>
        <v>-0.13260139449353858</v>
      </c>
      <c r="CC19" s="39">
        <f t="shared" ref="CC19" si="238">+IF(CB16&lt;0,1-CC16/CB16,CC16/CB16-1)</f>
        <v>0.3458853060578515</v>
      </c>
      <c r="CD19" s="39">
        <f t="shared" ref="CD19" si="239">+IF(CC16&lt;0,1-CD16/CC16,CD16/CC16-1)</f>
        <v>-0.20198100488687987</v>
      </c>
      <c r="CE19" s="39">
        <f t="shared" ref="CE19" si="240">+IF(CD16&lt;0,1-CE16/CD16,CE16/CD16-1)</f>
        <v>-0.20934910593734346</v>
      </c>
      <c r="CF19" s="39">
        <f t="shared" ref="CF19" si="241">+IF(CE16&lt;0,1-CF16/CE16,CF16/CE16-1)</f>
        <v>-1.7154770005591069E-2</v>
      </c>
      <c r="CG19" s="39">
        <f t="shared" ref="CG19" si="242">+IF(CF16&lt;0,1-CG16/CF16,CG16/CF16-1)</f>
        <v>0.13816947059731444</v>
      </c>
      <c r="CH19" s="39">
        <f t="shared" ref="CH19:CK19" si="243">+IF(CG16&lt;0,1-CH16/CG16,CH16/CG16-1)</f>
        <v>0.29109210878080694</v>
      </c>
      <c r="CI19" s="39">
        <f t="shared" si="243"/>
        <v>-0.20005881876318532</v>
      </c>
      <c r="CJ19" s="39">
        <f t="shared" si="243"/>
        <v>-0.1257005874805861</v>
      </c>
      <c r="CK19" s="39">
        <f t="shared" si="243"/>
        <v>9.6303447684022991E-2</v>
      </c>
      <c r="CL19" s="40">
        <f t="shared" ref="CL19" si="244">+IF(CK16&lt;0,1-CL16/CK16,CL16/CK16-1)</f>
        <v>0.51244390937318096</v>
      </c>
      <c r="CM19" s="40">
        <f t="shared" ref="CM19" si="245">+CM16/CL16-1</f>
        <v>-0.16458179815378748</v>
      </c>
      <c r="CN19" s="40">
        <f t="shared" ref="CN19" si="246">+CN16/CM16-1</f>
        <v>-0.23250699162983357</v>
      </c>
      <c r="CO19" s="40">
        <f t="shared" ref="CO19" si="247">+CO16/CN16-1</f>
        <v>0.11519686994161038</v>
      </c>
      <c r="CP19" s="40">
        <f t="shared" ref="CP19" si="248">+CP16/CO16-1</f>
        <v>0.57592630951520185</v>
      </c>
      <c r="CQ19" s="40">
        <f t="shared" ref="CQ19" si="249">+CQ16/CP16-1</f>
        <v>-0.17068229115948863</v>
      </c>
      <c r="CR19" s="40">
        <f t="shared" ref="CR19" si="250">+CR16/CQ16-1</f>
        <v>-0.24722157138019429</v>
      </c>
      <c r="CS19" s="40">
        <f t="shared" ref="CS19" si="251">+CS16/CR16-1</f>
        <v>0.12395681395336</v>
      </c>
      <c r="CT19" s="40">
        <f t="shared" ref="CT19" si="252">+CT16/CS16-1</f>
        <v>0.58482528641574438</v>
      </c>
      <c r="CU19" s="40">
        <f t="shared" ref="CU19" si="253">+CU16/CT16-1</f>
        <v>-0.17342143495572226</v>
      </c>
      <c r="CV19" s="40">
        <f t="shared" ref="CV19" si="254">+CV16/CU16-1</f>
        <v>-0.2489453743244201</v>
      </c>
      <c r="CW19" s="40">
        <f t="shared" ref="CW19" si="255">+CW16/CV16-1</f>
        <v>0.12616668982957679</v>
      </c>
      <c r="CX19" s="40">
        <f t="shared" ref="CX19" si="256">+CX16/CW16-1</f>
        <v>0.5856171630429361</v>
      </c>
      <c r="CY19" s="40">
        <f t="shared" ref="CY19" si="257">+CY16/CX16-1</f>
        <v>-0.17406909963130324</v>
      </c>
      <c r="CZ19" s="40">
        <f t="shared" ref="CZ19" si="258">+CZ16/CY16-1</f>
        <v>-0.24906032473562001</v>
      </c>
      <c r="DA19" s="40">
        <f t="shared" ref="DA19" si="259">+DA16/CZ16-1</f>
        <v>0.12659676380304008</v>
      </c>
      <c r="DB19" s="40">
        <f t="shared" ref="DB19" si="260">+DB16/DA16-1</f>
        <v>0.58559512939237335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15.931900000000001</v>
      </c>
      <c r="Q20" s="23">
        <f>'Annual Raw'!R14</f>
        <v>25.7774</v>
      </c>
      <c r="R20" s="23">
        <f>'Annual Raw'!S14</f>
        <v>19.313800000000001</v>
      </c>
      <c r="S20" s="23">
        <f>'Annual Raw'!T14</f>
        <v>26.0639</v>
      </c>
      <c r="T20" s="23">
        <f>'Annual Raw'!U14</f>
        <v>30.385999999999999</v>
      </c>
      <c r="U20" s="23">
        <f>'Annual Raw'!V14</f>
        <v>34.469000000000001</v>
      </c>
      <c r="V20" s="23">
        <f>'Annual Raw'!W14</f>
        <v>35.320799999999998</v>
      </c>
      <c r="W20" s="23">
        <f>'Annual Raw'!X14</f>
        <v>37.841900000000003</v>
      </c>
      <c r="X20" s="23">
        <f>'Annual Raw'!Y14</f>
        <v>72.046999999999997</v>
      </c>
      <c r="Y20" s="23">
        <f>'Annual Raw'!Z14</f>
        <v>72.428100000000001</v>
      </c>
      <c r="Z20" s="23">
        <f>'Annual Raw'!AA14</f>
        <v>61.053600000000003</v>
      </c>
      <c r="AA20" s="23">
        <f>'Annual Raw'!AB14</f>
        <v>74.186700000000002</v>
      </c>
      <c r="AB20" s="76">
        <f t="shared" ref="AB20:AB25" si="261">+SUM(CM20:CP20)</f>
        <v>79.018975699999999</v>
      </c>
      <c r="AC20" s="76">
        <f t="shared" ref="AC20:AC25" si="262">+SUM(CQ20:CT20)</f>
        <v>84.550303999000008</v>
      </c>
      <c r="AD20" s="76">
        <f t="shared" ref="AD20:AD25" si="263">+SUM(CU20:CX20)</f>
        <v>90.468825278930012</v>
      </c>
      <c r="AE20" s="76">
        <f t="shared" ref="AE20:AE25" si="264">+SUM(CY20:DB20)</f>
        <v>96.801643048455119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9.9260000000000002</v>
      </c>
      <c r="BU20" s="23">
        <f>'QTR Raw'!AO16</f>
        <v>9.7829999999999995</v>
      </c>
      <c r="BV20" s="23">
        <f>'QTR Raw'!AP16</f>
        <v>9.6229999999999993</v>
      </c>
      <c r="BW20" s="23">
        <f>'QTR Raw'!AQ16</f>
        <v>9.7690000000000001</v>
      </c>
      <c r="BX20" s="23">
        <f>'QTR Raw'!AR16</f>
        <v>11.468999999999999</v>
      </c>
      <c r="BY20" s="23">
        <f>'QTR Raw'!AS16</f>
        <v>26.457999999999998</v>
      </c>
      <c r="BZ20" s="23">
        <f>'QTR Raw'!AT16</f>
        <v>24.350999999999999</v>
      </c>
      <c r="CA20" s="23">
        <f>'QTR Raw'!AU16</f>
        <v>20.338000000000001</v>
      </c>
      <c r="CB20" s="23">
        <f>'QTR Raw'!AV16</f>
        <v>19.2</v>
      </c>
      <c r="CC20" s="23">
        <f>'QTR Raw'!AW16</f>
        <v>18.218</v>
      </c>
      <c r="CD20" s="23">
        <f>'QTR Raw'!AX16</f>
        <v>14.672000000000001</v>
      </c>
      <c r="CE20" s="23">
        <f>'QTR Raw'!AY16</f>
        <v>14.715999999999999</v>
      </c>
      <c r="CF20" s="23">
        <f>'QTR Raw'!AZ16</f>
        <v>12.843</v>
      </c>
      <c r="CG20" s="23">
        <f>'QTR Raw'!BA16</f>
        <v>13.901</v>
      </c>
      <c r="CH20" s="23">
        <f>'QTR Raw'!BB16</f>
        <v>19.593</v>
      </c>
      <c r="CI20" s="23">
        <f>'QTR Raw'!BC16</f>
        <v>18.73</v>
      </c>
      <c r="CJ20" s="23">
        <f>'QTR Raw'!BD16</f>
        <v>16.853999999999999</v>
      </c>
      <c r="CK20" s="23">
        <f>'QTR Raw'!BE16</f>
        <v>17.300999999999998</v>
      </c>
      <c r="CL20" s="24">
        <f t="shared" ref="CL20:DB20" si="265">CH20*107%</f>
        <v>20.964510000000001</v>
      </c>
      <c r="CM20" s="24">
        <f t="shared" si="265"/>
        <v>20.0411</v>
      </c>
      <c r="CN20" s="24">
        <f t="shared" si="265"/>
        <v>18.03378</v>
      </c>
      <c r="CO20" s="24">
        <f t="shared" si="265"/>
        <v>18.512069999999998</v>
      </c>
      <c r="CP20" s="24">
        <f t="shared" si="265"/>
        <v>22.432025700000001</v>
      </c>
      <c r="CQ20" s="24">
        <f t="shared" si="265"/>
        <v>21.443977</v>
      </c>
      <c r="CR20" s="24">
        <f t="shared" si="265"/>
        <v>19.296144600000002</v>
      </c>
      <c r="CS20" s="24">
        <f t="shared" si="265"/>
        <v>19.8079149</v>
      </c>
      <c r="CT20" s="24">
        <f t="shared" si="265"/>
        <v>24.002267499000002</v>
      </c>
      <c r="CU20" s="24">
        <f t="shared" si="265"/>
        <v>22.94505539</v>
      </c>
      <c r="CV20" s="24">
        <f t="shared" si="265"/>
        <v>20.646874722000003</v>
      </c>
      <c r="CW20" s="24">
        <f t="shared" si="265"/>
        <v>21.194468943</v>
      </c>
      <c r="CX20" s="24">
        <f t="shared" si="265"/>
        <v>25.682426223930005</v>
      </c>
      <c r="CY20" s="24">
        <f t="shared" si="265"/>
        <v>24.551209267300003</v>
      </c>
      <c r="CZ20" s="24">
        <f t="shared" si="265"/>
        <v>22.092155952540004</v>
      </c>
      <c r="DA20" s="24">
        <f t="shared" si="265"/>
        <v>22.678081769010003</v>
      </c>
      <c r="DB20" s="24">
        <f t="shared" si="265"/>
        <v>27.480196059605106</v>
      </c>
      <c r="DE20" s="123"/>
      <c r="DF20" s="23">
        <v>74.186700000000002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23.190300000000001</v>
      </c>
      <c r="Q21" s="23">
        <f>'Annual Raw'!R17</f>
        <v>23.954699999999999</v>
      </c>
      <c r="R21" s="23">
        <f>'Annual Raw'!S17</f>
        <v>28.616299999999999</v>
      </c>
      <c r="S21" s="23">
        <f>'Annual Raw'!T17</f>
        <v>17.840499999999999</v>
      </c>
      <c r="T21" s="23">
        <f>'Annual Raw'!U17</f>
        <v>24.917000000000002</v>
      </c>
      <c r="U21" s="23">
        <f>'Annual Raw'!V17</f>
        <v>29.9</v>
      </c>
      <c r="V21" s="23">
        <f>'Annual Raw'!W17</f>
        <v>23.0275</v>
      </c>
      <c r="W21" s="23">
        <f>'Annual Raw'!X17</f>
        <v>32.472499999999997</v>
      </c>
      <c r="X21" s="23">
        <f>'Annual Raw'!Y17</f>
        <v>28.6615</v>
      </c>
      <c r="Y21" s="23">
        <f>'Annual Raw'!Z17</f>
        <v>35.823300000000003</v>
      </c>
      <c r="Z21" s="23">
        <f>'Annual Raw'!AA17</f>
        <v>51.3628</v>
      </c>
      <c r="AA21" s="23">
        <f>'Annual Raw'!AB17</f>
        <v>58.066699999999997</v>
      </c>
      <c r="AB21" s="76">
        <f t="shared" si="261"/>
        <v>0</v>
      </c>
      <c r="AC21" s="76">
        <f t="shared" si="262"/>
        <v>0</v>
      </c>
      <c r="AD21" s="76">
        <f t="shared" si="263"/>
        <v>0</v>
      </c>
      <c r="AE21" s="76">
        <f t="shared" si="264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58.066699999999997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0.77280000000000004</v>
      </c>
      <c r="Q22" s="23">
        <f>'Annual Raw'!R19-'Annual Raw'!R20</f>
        <v>16.084099999999999</v>
      </c>
      <c r="R22" s="23">
        <f>'Annual Raw'!S19-'Annual Raw'!S20</f>
        <v>1.9771000000000001</v>
      </c>
      <c r="S22" s="23">
        <f>'Annual Raw'!T19-'Annual Raw'!T20</f>
        <v>15.145899999999999</v>
      </c>
      <c r="T22" s="23">
        <f>'Annual Raw'!U19-'Annual Raw'!U20</f>
        <v>20.562999999999999</v>
      </c>
      <c r="U22" s="23">
        <f>'Annual Raw'!V19-'Annual Raw'!V20</f>
        <v>18.271999999999998</v>
      </c>
      <c r="V22" s="23">
        <f>'Annual Raw'!W19-'Annual Raw'!W20</f>
        <v>5.6576000000000004</v>
      </c>
      <c r="W22" s="23">
        <f>'Annual Raw'!X19-'Annual Raw'!X20</f>
        <v>1.0279</v>
      </c>
      <c r="X22" s="23">
        <f>'Annual Raw'!Y19-'Annual Raw'!Y20</f>
        <v>4.1055000000000001</v>
      </c>
      <c r="Y22" s="23">
        <f>'Annual Raw'!Z19-'Annual Raw'!Z20</f>
        <v>10.7469</v>
      </c>
      <c r="Z22" s="23">
        <f>'Annual Raw'!AA19-'Annual Raw'!AA20</f>
        <v>20.926400000000001</v>
      </c>
      <c r="AA22" s="23">
        <f>'Annual Raw'!AB19-'Annual Raw'!AB20</f>
        <v>12.6905</v>
      </c>
      <c r="AB22" s="76">
        <f t="shared" si="261"/>
        <v>0</v>
      </c>
      <c r="AC22" s="76">
        <f t="shared" si="262"/>
        <v>0</v>
      </c>
      <c r="AD22" s="76">
        <f t="shared" si="263"/>
        <v>0</v>
      </c>
      <c r="AE22" s="76">
        <f t="shared" si="264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12.6905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45.856699999999996</v>
      </c>
      <c r="Q23" s="23">
        <f>'Annual Raw'!R15+'Annual Raw'!R16</f>
        <v>56.507199999999997</v>
      </c>
      <c r="R23" s="23">
        <f>'Annual Raw'!S15+'Annual Raw'!S16</f>
        <v>11.5619</v>
      </c>
      <c r="S23" s="23">
        <f>'Annual Raw'!T15+'Annual Raw'!T16</f>
        <v>28.671099999999999</v>
      </c>
      <c r="T23" s="23">
        <f>'Annual Raw'!U15+'Annual Raw'!U16</f>
        <v>27.6</v>
      </c>
      <c r="U23" s="23">
        <f>'Annual Raw'!V15+'Annual Raw'!V16</f>
        <v>37.527000000000001</v>
      </c>
      <c r="V23" s="23">
        <f>'Annual Raw'!W15+'Annual Raw'!W16</f>
        <v>35.597499999999997</v>
      </c>
      <c r="W23" s="23">
        <f>'Annual Raw'!X15+'Annual Raw'!X16</f>
        <v>45.566800000000001</v>
      </c>
      <c r="X23" s="23">
        <f>'Annual Raw'!Y15+'Annual Raw'!Y16</f>
        <v>49.4465</v>
      </c>
      <c r="Y23" s="23">
        <f>'Annual Raw'!Z15+'Annual Raw'!Z16</f>
        <v>58.723599999999998</v>
      </c>
      <c r="Z23" s="23">
        <f>'Annual Raw'!AA15+'Annual Raw'!AA16</f>
        <v>43.008299999999998</v>
      </c>
      <c r="AA23" s="23">
        <f>'Annual Raw'!AB15+'Annual Raw'!AB16</f>
        <v>48.125599999999999</v>
      </c>
      <c r="AB23" s="76">
        <f t="shared" si="261"/>
        <v>880.90293284488621</v>
      </c>
      <c r="AC23" s="76">
        <f t="shared" si="262"/>
        <v>982.30867980610094</v>
      </c>
      <c r="AD23" s="76">
        <f t="shared" si="263"/>
        <v>1091.7356959946976</v>
      </c>
      <c r="AE23" s="76">
        <f t="shared" si="264"/>
        <v>1212.8513620099848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120.34</v>
      </c>
      <c r="BU23" s="23">
        <f>'QTR Raw'!AO14</f>
        <v>169.334</v>
      </c>
      <c r="BV23" s="23">
        <f>'QTR Raw'!AP14</f>
        <v>189.98699999999999</v>
      </c>
      <c r="BW23" s="23">
        <f>'QTR Raw'!AQ14</f>
        <v>224.52199999999999</v>
      </c>
      <c r="BX23" s="23">
        <f>'QTR Raw'!AR14</f>
        <v>134.11699999999999</v>
      </c>
      <c r="BY23" s="23">
        <f>'QTR Raw'!AS14</f>
        <v>184.964</v>
      </c>
      <c r="BZ23" s="23">
        <f>'QTR Raw'!AT14</f>
        <v>188.68799999999999</v>
      </c>
      <c r="CA23" s="23">
        <f>'QTR Raw'!AU14</f>
        <v>158.25899999999999</v>
      </c>
      <c r="CB23" s="23">
        <f>'QTR Raw'!AV14</f>
        <v>157.03899999999999</v>
      </c>
      <c r="CC23" s="23">
        <f>'QTR Raw'!AW14</f>
        <v>202.01300000000001</v>
      </c>
      <c r="CD23" s="23">
        <f>'QTR Raw'!AX14</f>
        <v>190.017</v>
      </c>
      <c r="CE23" s="23">
        <f>'QTR Raw'!AY14</f>
        <v>144.809</v>
      </c>
      <c r="CF23" s="23">
        <f>'QTR Raw'!AZ14</f>
        <v>139.20500000000001</v>
      </c>
      <c r="CG23" s="23">
        <f>'QTR Raw'!BA14</f>
        <v>164.25</v>
      </c>
      <c r="CH23" s="23">
        <f>'QTR Raw'!BB14</f>
        <v>225.34</v>
      </c>
      <c r="CI23" s="23">
        <f>'QTR Raw'!BC14</f>
        <v>169.739</v>
      </c>
      <c r="CJ23" s="23">
        <f>'QTR Raw'!BD14</f>
        <v>153.601</v>
      </c>
      <c r="CK23" s="23">
        <f>'QTR Raw'!BE14</f>
        <v>183.803</v>
      </c>
      <c r="CL23" s="24">
        <f t="shared" ref="CL23:DB23" si="266">CL26-CL20-CL21-CL22-CL24-CL25</f>
        <v>265.37369389820219</v>
      </c>
      <c r="CM23" s="24">
        <f t="shared" si="266"/>
        <v>219.64815528001975</v>
      </c>
      <c r="CN23" s="24">
        <f t="shared" si="266"/>
        <v>167.95533462603834</v>
      </c>
      <c r="CO23" s="24">
        <f t="shared" si="266"/>
        <v>190.2556911162267</v>
      </c>
      <c r="CP23" s="24">
        <f t="shared" si="266"/>
        <v>303.04375182260134</v>
      </c>
      <c r="CQ23" s="24">
        <f t="shared" si="266"/>
        <v>249.05696707138722</v>
      </c>
      <c r="CR23" s="24">
        <f t="shared" si="266"/>
        <v>184.77431288169268</v>
      </c>
      <c r="CS23" s="24">
        <f t="shared" si="266"/>
        <v>209.56073197410109</v>
      </c>
      <c r="CT23" s="24">
        <f t="shared" si="266"/>
        <v>338.91666787891995</v>
      </c>
      <c r="CU23" s="24">
        <f t="shared" si="266"/>
        <v>277.23748484762211</v>
      </c>
      <c r="CV23" s="24">
        <f t="shared" si="266"/>
        <v>204.87584342603515</v>
      </c>
      <c r="CW23" s="24">
        <f t="shared" si="266"/>
        <v>232.74120944458826</v>
      </c>
      <c r="CX23" s="24">
        <f t="shared" si="266"/>
        <v>376.88115827645214</v>
      </c>
      <c r="CY23" s="24">
        <f t="shared" si="266"/>
        <v>307.98977851568571</v>
      </c>
      <c r="CZ23" s="24">
        <f t="shared" si="266"/>
        <v>227.63231796413351</v>
      </c>
      <c r="DA23" s="24">
        <f t="shared" si="266"/>
        <v>258.64790867419401</v>
      </c>
      <c r="DB23" s="24">
        <f t="shared" si="266"/>
        <v>418.58135685597142</v>
      </c>
      <c r="DE23" s="123"/>
      <c r="DF23" s="23">
        <v>48.125599999999999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14.5685</v>
      </c>
      <c r="Q24" s="23">
        <f>'Annual Raw'!R13</f>
        <v>15.1731</v>
      </c>
      <c r="R24" s="23">
        <f>'Annual Raw'!S13</f>
        <v>29.143000000000001</v>
      </c>
      <c r="S24" s="23">
        <f>'Annual Raw'!T13</f>
        <v>49.291899999999998</v>
      </c>
      <c r="T24" s="23">
        <f>'Annual Raw'!U13</f>
        <v>46.162999999999997</v>
      </c>
      <c r="U24" s="23">
        <f>'Annual Raw'!V13</f>
        <v>44.438000000000002</v>
      </c>
      <c r="V24" s="23">
        <f>'Annual Raw'!W13</f>
        <v>53.520499999999998</v>
      </c>
      <c r="W24" s="23">
        <f>'Annual Raw'!X13</f>
        <v>102.26949999999999</v>
      </c>
      <c r="X24" s="23">
        <f>'Annual Raw'!Y13</f>
        <v>134.19390000000001</v>
      </c>
      <c r="Y24" s="23">
        <f>'Annual Raw'!Z13</f>
        <v>98.697299999999998</v>
      </c>
      <c r="Z24" s="23">
        <f>'Annual Raw'!AA13</f>
        <v>97.4084</v>
      </c>
      <c r="AA24" s="23">
        <f>'Annual Raw'!AB13</f>
        <v>96.343900000000005</v>
      </c>
      <c r="AB24" s="76">
        <f t="shared" si="261"/>
        <v>0</v>
      </c>
      <c r="AC24" s="76">
        <f t="shared" si="262"/>
        <v>0</v>
      </c>
      <c r="AD24" s="76">
        <f t="shared" si="263"/>
        <v>0</v>
      </c>
      <c r="AE24" s="76">
        <f t="shared" si="264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96.343900000000005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111.67400000000001</v>
      </c>
      <c r="Q25" s="23">
        <f>'Annual Raw'!R18</f>
        <v>111.67400000000001</v>
      </c>
      <c r="R25" s="23">
        <f>'Annual Raw'!S18</f>
        <v>98.655900000000003</v>
      </c>
      <c r="S25" s="23">
        <f>'Annual Raw'!T18</f>
        <v>169.5437</v>
      </c>
      <c r="T25" s="23">
        <f>'Annual Raw'!U18</f>
        <v>247.161</v>
      </c>
      <c r="U25" s="23">
        <f>'Annual Raw'!V18</f>
        <v>295.24099999999999</v>
      </c>
      <c r="V25" s="23">
        <f>'Annual Raw'!W18</f>
        <v>316.52019999999999</v>
      </c>
      <c r="W25" s="23">
        <f>'Annual Raw'!X18</f>
        <v>404.7842</v>
      </c>
      <c r="X25" s="23">
        <f>'Annual Raw'!Y18</f>
        <v>515.88400000000001</v>
      </c>
      <c r="Y25" s="23">
        <f>'Annual Raw'!Z18</f>
        <v>503.33710000000002</v>
      </c>
      <c r="Z25" s="23">
        <f>'Annual Raw'!AA18</f>
        <v>460.89800000000002</v>
      </c>
      <c r="AA25" s="23">
        <f>'Annual Raw'!AB18</f>
        <v>488.58819999999997</v>
      </c>
      <c r="AB25" s="76">
        <f t="shared" si="261"/>
        <v>0</v>
      </c>
      <c r="AC25" s="76">
        <f t="shared" si="262"/>
        <v>0</v>
      </c>
      <c r="AD25" s="76">
        <f t="shared" si="263"/>
        <v>0</v>
      </c>
      <c r="AE25" s="76">
        <f t="shared" si="264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488.58819999999997</v>
      </c>
    </row>
    <row r="26" spans="1:110" s="22" customFormat="1" x14ac:dyDescent="0.2">
      <c r="A26" s="33" t="s">
        <v>348</v>
      </c>
      <c r="B26" s="22">
        <f t="shared" ref="B26:E26" si="267">+SUM(B20:B25)</f>
        <v>0</v>
      </c>
      <c r="C26" s="22">
        <f t="shared" si="267"/>
        <v>0</v>
      </c>
      <c r="D26" s="22">
        <f t="shared" si="267"/>
        <v>0</v>
      </c>
      <c r="E26" s="22">
        <f t="shared" si="267"/>
        <v>0</v>
      </c>
      <c r="F26" s="22">
        <f t="shared" ref="F26:AE26" si="268">+SUM(F20:F25)</f>
        <v>0</v>
      </c>
      <c r="G26" s="22">
        <f t="shared" si="268"/>
        <v>0</v>
      </c>
      <c r="H26" s="22">
        <f t="shared" si="268"/>
        <v>0</v>
      </c>
      <c r="I26" s="22">
        <f t="shared" si="268"/>
        <v>0</v>
      </c>
      <c r="J26" s="22">
        <f t="shared" si="268"/>
        <v>0</v>
      </c>
      <c r="K26" s="22">
        <f t="shared" si="268"/>
        <v>0</v>
      </c>
      <c r="L26" s="22">
        <f t="shared" si="268"/>
        <v>0</v>
      </c>
      <c r="M26" s="22">
        <f t="shared" si="268"/>
        <v>0</v>
      </c>
      <c r="N26" s="22">
        <f t="shared" si="268"/>
        <v>0</v>
      </c>
      <c r="O26" s="22">
        <f t="shared" si="268"/>
        <v>0</v>
      </c>
      <c r="P26" s="22">
        <f t="shared" si="268"/>
        <v>211.99420000000001</v>
      </c>
      <c r="Q26" s="22">
        <f t="shared" si="268"/>
        <v>249.1705</v>
      </c>
      <c r="R26" s="22">
        <f t="shared" si="268"/>
        <v>189.268</v>
      </c>
      <c r="S26" s="22">
        <f t="shared" si="268"/>
        <v>306.55700000000002</v>
      </c>
      <c r="T26" s="22">
        <f t="shared" si="268"/>
        <v>396.79</v>
      </c>
      <c r="U26" s="22">
        <f t="shared" si="268"/>
        <v>459.84699999999998</v>
      </c>
      <c r="V26" s="22">
        <f t="shared" si="268"/>
        <v>469.64409999999998</v>
      </c>
      <c r="W26" s="22">
        <f t="shared" si="268"/>
        <v>623.96280000000002</v>
      </c>
      <c r="X26" s="22">
        <f t="shared" si="268"/>
        <v>804.33840000000009</v>
      </c>
      <c r="Y26" s="22">
        <f t="shared" si="268"/>
        <v>779.75630000000001</v>
      </c>
      <c r="Z26" s="22">
        <f t="shared" ref="Z26:AA26" si="269">+SUM(Z20:Z25)</f>
        <v>734.65750000000003</v>
      </c>
      <c r="AA26" s="22">
        <f t="shared" si="269"/>
        <v>778.00159999999994</v>
      </c>
      <c r="AB26" s="21">
        <f t="shared" si="268"/>
        <v>959.92190854488626</v>
      </c>
      <c r="AC26" s="21">
        <f t="shared" si="268"/>
        <v>1066.8589838051009</v>
      </c>
      <c r="AD26" s="21">
        <f t="shared" si="268"/>
        <v>1182.2045212736275</v>
      </c>
      <c r="AE26" s="21">
        <f t="shared" si="268"/>
        <v>1309.6530050584399</v>
      </c>
      <c r="AI26" s="22">
        <f t="shared" ref="AI26:BN26" si="270">+SUM(AI20:AI25)</f>
        <v>0</v>
      </c>
      <c r="AJ26" s="22">
        <f t="shared" si="270"/>
        <v>0</v>
      </c>
      <c r="AK26" s="22">
        <f t="shared" si="270"/>
        <v>0</v>
      </c>
      <c r="AL26" s="22">
        <f t="shared" si="270"/>
        <v>0</v>
      </c>
      <c r="AM26" s="22">
        <f t="shared" si="270"/>
        <v>0</v>
      </c>
      <c r="AN26" s="22">
        <f t="shared" si="270"/>
        <v>0</v>
      </c>
      <c r="AO26" s="22">
        <f t="shared" si="270"/>
        <v>0</v>
      </c>
      <c r="AP26" s="22">
        <f t="shared" si="270"/>
        <v>0</v>
      </c>
      <c r="AQ26" s="22">
        <f t="shared" si="270"/>
        <v>0</v>
      </c>
      <c r="AR26" s="22">
        <f t="shared" si="270"/>
        <v>0</v>
      </c>
      <c r="AS26" s="22">
        <f t="shared" si="270"/>
        <v>0</v>
      </c>
      <c r="AT26" s="22">
        <f t="shared" si="270"/>
        <v>0</v>
      </c>
      <c r="AU26" s="22">
        <f t="shared" si="270"/>
        <v>0</v>
      </c>
      <c r="AV26" s="22">
        <f t="shared" si="270"/>
        <v>0</v>
      </c>
      <c r="AW26" s="22">
        <f t="shared" si="270"/>
        <v>0</v>
      </c>
      <c r="AX26" s="22">
        <f t="shared" si="270"/>
        <v>0</v>
      </c>
      <c r="AY26" s="22">
        <f t="shared" si="270"/>
        <v>0</v>
      </c>
      <c r="AZ26" s="22">
        <f t="shared" si="270"/>
        <v>0</v>
      </c>
      <c r="BA26" s="22">
        <f t="shared" si="270"/>
        <v>0</v>
      </c>
      <c r="BB26" s="22">
        <f t="shared" si="270"/>
        <v>0</v>
      </c>
      <c r="BC26" s="22">
        <f t="shared" si="270"/>
        <v>0</v>
      </c>
      <c r="BD26" s="22">
        <f t="shared" si="270"/>
        <v>0</v>
      </c>
      <c r="BE26" s="22">
        <f t="shared" si="270"/>
        <v>0</v>
      </c>
      <c r="BF26" s="22">
        <f t="shared" si="270"/>
        <v>0</v>
      </c>
      <c r="BG26" s="22">
        <f t="shared" si="270"/>
        <v>0</v>
      </c>
      <c r="BH26" s="22">
        <f t="shared" si="270"/>
        <v>0</v>
      </c>
      <c r="BI26" s="22">
        <f t="shared" si="270"/>
        <v>0</v>
      </c>
      <c r="BJ26" s="22">
        <f t="shared" si="270"/>
        <v>0</v>
      </c>
      <c r="BK26" s="22">
        <f t="shared" si="270"/>
        <v>0</v>
      </c>
      <c r="BL26" s="22">
        <f t="shared" si="270"/>
        <v>0</v>
      </c>
      <c r="BM26" s="22">
        <f t="shared" si="270"/>
        <v>0</v>
      </c>
      <c r="BN26" s="22">
        <f t="shared" si="270"/>
        <v>0</v>
      </c>
      <c r="BO26" s="22">
        <f t="shared" ref="BO26:CH26" si="271">+SUM(BO20:BO25)</f>
        <v>0</v>
      </c>
      <c r="BP26" s="22">
        <f t="shared" si="271"/>
        <v>0</v>
      </c>
      <c r="BQ26" s="22">
        <f t="shared" si="271"/>
        <v>0</v>
      </c>
      <c r="BR26" s="22">
        <f t="shared" si="271"/>
        <v>0</v>
      </c>
      <c r="BS26" s="22">
        <f t="shared" si="271"/>
        <v>0</v>
      </c>
      <c r="BT26" s="22">
        <f t="shared" si="271"/>
        <v>130.26599999999999</v>
      </c>
      <c r="BU26" s="22">
        <f t="shared" si="271"/>
        <v>179.11699999999999</v>
      </c>
      <c r="BV26" s="22">
        <f t="shared" si="271"/>
        <v>199.60999999999999</v>
      </c>
      <c r="BW26" s="22">
        <f t="shared" si="271"/>
        <v>234.291</v>
      </c>
      <c r="BX26" s="22">
        <f t="shared" si="271"/>
        <v>145.58599999999998</v>
      </c>
      <c r="BY26" s="22">
        <f t="shared" si="271"/>
        <v>211.422</v>
      </c>
      <c r="BZ26" s="22">
        <f t="shared" si="271"/>
        <v>213.03899999999999</v>
      </c>
      <c r="CA26" s="22">
        <f t="shared" si="271"/>
        <v>178.59699999999998</v>
      </c>
      <c r="CB26" s="22">
        <f t="shared" si="271"/>
        <v>176.23899999999998</v>
      </c>
      <c r="CC26" s="22">
        <f t="shared" si="271"/>
        <v>220.23099999999999</v>
      </c>
      <c r="CD26" s="22">
        <f t="shared" si="271"/>
        <v>204.68899999999999</v>
      </c>
      <c r="CE26" s="22">
        <f t="shared" si="271"/>
        <v>159.52500000000001</v>
      </c>
      <c r="CF26" s="22">
        <f t="shared" si="271"/>
        <v>152.048</v>
      </c>
      <c r="CG26" s="22">
        <f t="shared" si="271"/>
        <v>178.15100000000001</v>
      </c>
      <c r="CH26" s="22">
        <f t="shared" si="271"/>
        <v>244.93299999999999</v>
      </c>
      <c r="CI26" s="22">
        <f t="shared" ref="CI26:CJ26" si="272">+SUM(CI20:CI25)</f>
        <v>188.46899999999999</v>
      </c>
      <c r="CJ26" s="22">
        <f t="shared" si="272"/>
        <v>170.45499999999998</v>
      </c>
      <c r="CK26" s="22">
        <f t="shared" ref="CK26" si="273">+SUM(CK20:CK25)</f>
        <v>201.10399999999998</v>
      </c>
      <c r="CL26" s="21">
        <f t="shared" ref="CL26:DB26" si="274">CL27*CL10</f>
        <v>286.33820389820221</v>
      </c>
      <c r="CM26" s="21">
        <f t="shared" si="274"/>
        <v>239.68925528001975</v>
      </c>
      <c r="CN26" s="21">
        <f t="shared" si="274"/>
        <v>185.98911462603834</v>
      </c>
      <c r="CO26" s="21">
        <f t="shared" si="274"/>
        <v>208.76776111622669</v>
      </c>
      <c r="CP26" s="21">
        <f t="shared" si="274"/>
        <v>325.47577752260133</v>
      </c>
      <c r="CQ26" s="21">
        <f t="shared" si="274"/>
        <v>270.50094407138721</v>
      </c>
      <c r="CR26" s="21">
        <f t="shared" si="274"/>
        <v>204.07045748169267</v>
      </c>
      <c r="CS26" s="21">
        <f t="shared" si="274"/>
        <v>229.36864687410107</v>
      </c>
      <c r="CT26" s="21">
        <f t="shared" si="274"/>
        <v>362.91893537791998</v>
      </c>
      <c r="CU26" s="21">
        <f t="shared" si="274"/>
        <v>300.18254023762211</v>
      </c>
      <c r="CV26" s="21">
        <f t="shared" si="274"/>
        <v>225.52271814803515</v>
      </c>
      <c r="CW26" s="21">
        <f t="shared" si="274"/>
        <v>253.93567838758827</v>
      </c>
      <c r="CX26" s="21">
        <f t="shared" si="274"/>
        <v>402.56358450038215</v>
      </c>
      <c r="CY26" s="21">
        <f t="shared" si="274"/>
        <v>332.54098778298572</v>
      </c>
      <c r="CZ26" s="21">
        <f t="shared" si="274"/>
        <v>249.7244739166735</v>
      </c>
      <c r="DA26" s="21">
        <f t="shared" si="274"/>
        <v>281.32599044320403</v>
      </c>
      <c r="DB26" s="21">
        <f t="shared" si="274"/>
        <v>446.0615529155765</v>
      </c>
      <c r="DE26" s="126"/>
      <c r="DF26" s="22">
        <v>778.00159999999994</v>
      </c>
    </row>
    <row r="27" spans="1:110" s="44" customFormat="1" x14ac:dyDescent="0.2">
      <c r="A27" s="43" t="s">
        <v>349</v>
      </c>
      <c r="B27" s="44" t="e">
        <f t="shared" ref="B27:E27" si="275">B26/B10</f>
        <v>#DIV/0!</v>
      </c>
      <c r="C27" s="44" t="e">
        <f t="shared" si="275"/>
        <v>#DIV/0!</v>
      </c>
      <c r="D27" s="44" t="e">
        <f t="shared" si="275"/>
        <v>#DIV/0!</v>
      </c>
      <c r="E27" s="44" t="e">
        <f t="shared" si="275"/>
        <v>#DIV/0!</v>
      </c>
      <c r="F27" s="44" t="e">
        <f t="shared" ref="F27:AE27" si="276">F26/F10</f>
        <v>#DIV/0!</v>
      </c>
      <c r="G27" s="44" t="e">
        <f t="shared" si="276"/>
        <v>#DIV/0!</v>
      </c>
      <c r="H27" s="44" t="e">
        <f t="shared" si="276"/>
        <v>#DIV/0!</v>
      </c>
      <c r="I27" s="44" t="e">
        <f t="shared" si="276"/>
        <v>#DIV/0!</v>
      </c>
      <c r="J27" s="44" t="e">
        <f t="shared" si="276"/>
        <v>#DIV/0!</v>
      </c>
      <c r="K27" s="44" t="e">
        <f t="shared" si="276"/>
        <v>#DIV/0!</v>
      </c>
      <c r="L27" s="44" t="e">
        <f t="shared" si="276"/>
        <v>#DIV/0!</v>
      </c>
      <c r="M27" s="44" t="e">
        <f t="shared" si="276"/>
        <v>#DIV/0!</v>
      </c>
      <c r="N27" s="44" t="e">
        <f t="shared" si="276"/>
        <v>#DIV/0!</v>
      </c>
      <c r="O27" s="44" t="e">
        <f t="shared" si="276"/>
        <v>#DIV/0!</v>
      </c>
      <c r="P27" s="44">
        <f t="shared" si="276"/>
        <v>0.94206497404362244</v>
      </c>
      <c r="Q27" s="44">
        <f t="shared" si="276"/>
        <v>0.73170348522383022</v>
      </c>
      <c r="R27" s="44">
        <f t="shared" si="276"/>
        <v>0.65799002036185494</v>
      </c>
      <c r="S27" s="44">
        <f t="shared" si="276"/>
        <v>0.69857931058370781</v>
      </c>
      <c r="T27" s="44">
        <f t="shared" si="276"/>
        <v>0.70165480118690171</v>
      </c>
      <c r="U27" s="44">
        <f t="shared" si="276"/>
        <v>0.75611588864955526</v>
      </c>
      <c r="V27" s="44">
        <f t="shared" si="276"/>
        <v>0.63399937065001644</v>
      </c>
      <c r="W27" s="44">
        <f t="shared" si="276"/>
        <v>0.55196596077747273</v>
      </c>
      <c r="X27" s="44">
        <f t="shared" si="276"/>
        <v>0.55815518221616378</v>
      </c>
      <c r="Y27" s="44">
        <f t="shared" si="276"/>
        <v>0.58624348211154209</v>
      </c>
      <c r="Z27" s="44">
        <f t="shared" ref="Z27:AA27" si="277">Z26/Z10</f>
        <v>0.70571072793272815</v>
      </c>
      <c r="AA27" s="44">
        <f t="shared" si="277"/>
        <v>0.7196717045740777</v>
      </c>
      <c r="AB27" s="52">
        <f t="shared" si="276"/>
        <v>0.73254388347296917</v>
      </c>
      <c r="AC27" s="52">
        <f t="shared" si="276"/>
        <v>0.73484270279263164</v>
      </c>
      <c r="AD27" s="52">
        <f t="shared" si="276"/>
        <v>0.73509780151144632</v>
      </c>
      <c r="AE27" s="52">
        <f t="shared" si="276"/>
        <v>0.73510676771943251</v>
      </c>
      <c r="AI27" s="44" t="e">
        <f t="shared" ref="AI27:BN27" si="278">AI26/AI10</f>
        <v>#DIV/0!</v>
      </c>
      <c r="AJ27" s="44" t="e">
        <f t="shared" si="278"/>
        <v>#DIV/0!</v>
      </c>
      <c r="AK27" s="44" t="e">
        <f t="shared" si="278"/>
        <v>#DIV/0!</v>
      </c>
      <c r="AL27" s="44" t="e">
        <f t="shared" si="278"/>
        <v>#DIV/0!</v>
      </c>
      <c r="AM27" s="44" t="e">
        <f t="shared" si="278"/>
        <v>#DIV/0!</v>
      </c>
      <c r="AN27" s="44" t="e">
        <f t="shared" si="278"/>
        <v>#DIV/0!</v>
      </c>
      <c r="AO27" s="44" t="e">
        <f t="shared" si="278"/>
        <v>#DIV/0!</v>
      </c>
      <c r="AP27" s="44" t="e">
        <f t="shared" si="278"/>
        <v>#DIV/0!</v>
      </c>
      <c r="AQ27" s="44" t="e">
        <f t="shared" si="278"/>
        <v>#DIV/0!</v>
      </c>
      <c r="AR27" s="44" t="e">
        <f t="shared" si="278"/>
        <v>#DIV/0!</v>
      </c>
      <c r="AS27" s="44" t="e">
        <f t="shared" si="278"/>
        <v>#DIV/0!</v>
      </c>
      <c r="AT27" s="44" t="e">
        <f t="shared" si="278"/>
        <v>#DIV/0!</v>
      </c>
      <c r="AU27" s="44" t="e">
        <f t="shared" si="278"/>
        <v>#DIV/0!</v>
      </c>
      <c r="AV27" s="44" t="e">
        <f t="shared" si="278"/>
        <v>#DIV/0!</v>
      </c>
      <c r="AW27" s="44" t="e">
        <f t="shared" si="278"/>
        <v>#DIV/0!</v>
      </c>
      <c r="AX27" s="44" t="e">
        <f t="shared" si="278"/>
        <v>#DIV/0!</v>
      </c>
      <c r="AY27" s="44" t="e">
        <f t="shared" si="278"/>
        <v>#DIV/0!</v>
      </c>
      <c r="AZ27" s="44" t="e">
        <f t="shared" si="278"/>
        <v>#DIV/0!</v>
      </c>
      <c r="BA27" s="44" t="e">
        <f t="shared" si="278"/>
        <v>#DIV/0!</v>
      </c>
      <c r="BB27" s="44" t="e">
        <f t="shared" si="278"/>
        <v>#DIV/0!</v>
      </c>
      <c r="BC27" s="44" t="e">
        <f t="shared" si="278"/>
        <v>#DIV/0!</v>
      </c>
      <c r="BD27" s="44" t="e">
        <f t="shared" si="278"/>
        <v>#DIV/0!</v>
      </c>
      <c r="BE27" s="44" t="e">
        <f t="shared" si="278"/>
        <v>#DIV/0!</v>
      </c>
      <c r="BF27" s="44" t="e">
        <f t="shared" si="278"/>
        <v>#DIV/0!</v>
      </c>
      <c r="BG27" s="44" t="e">
        <f t="shared" si="278"/>
        <v>#DIV/0!</v>
      </c>
      <c r="BH27" s="44" t="e">
        <f t="shared" si="278"/>
        <v>#DIV/0!</v>
      </c>
      <c r="BI27" s="44" t="e">
        <f t="shared" si="278"/>
        <v>#DIV/0!</v>
      </c>
      <c r="BJ27" s="44" t="e">
        <f t="shared" si="278"/>
        <v>#DIV/0!</v>
      </c>
      <c r="BK27" s="44" t="e">
        <f t="shared" si="278"/>
        <v>#DIV/0!</v>
      </c>
      <c r="BL27" s="44" t="e">
        <f t="shared" si="278"/>
        <v>#DIV/0!</v>
      </c>
      <c r="BM27" s="44" t="e">
        <f t="shared" si="278"/>
        <v>#DIV/0!</v>
      </c>
      <c r="BN27" s="44" t="e">
        <f t="shared" si="278"/>
        <v>#DIV/0!</v>
      </c>
      <c r="BO27" s="44" t="e">
        <f t="shared" ref="BO27:CH27" si="279">BO26/BO10</f>
        <v>#DIV/0!</v>
      </c>
      <c r="BP27" s="44" t="e">
        <f t="shared" si="279"/>
        <v>#DIV/0!</v>
      </c>
      <c r="BQ27" s="44" t="e">
        <f t="shared" si="279"/>
        <v>#DIV/0!</v>
      </c>
      <c r="BR27" s="44" t="e">
        <f t="shared" si="279"/>
        <v>#DIV/0!</v>
      </c>
      <c r="BS27" s="44" t="e">
        <f t="shared" si="279"/>
        <v>#DIV/0!</v>
      </c>
      <c r="BT27" s="44">
        <f t="shared" si="279"/>
        <v>0.52158558558558554</v>
      </c>
      <c r="BU27" s="44">
        <f t="shared" si="279"/>
        <v>0.58282599853575201</v>
      </c>
      <c r="BV27" s="44">
        <f t="shared" si="279"/>
        <v>0.53571907826581711</v>
      </c>
      <c r="BW27" s="44">
        <f t="shared" si="279"/>
        <v>0.58532655131235101</v>
      </c>
      <c r="BX27" s="44">
        <f t="shared" si="279"/>
        <v>0.49604252201911442</v>
      </c>
      <c r="BY27" s="44">
        <f t="shared" si="279"/>
        <v>0.57936057743688396</v>
      </c>
      <c r="BZ27" s="44">
        <f t="shared" si="279"/>
        <v>0.55714677999346185</v>
      </c>
      <c r="CA27" s="44">
        <f t="shared" si="279"/>
        <v>0.52054830454627588</v>
      </c>
      <c r="CB27" s="44">
        <f t="shared" si="279"/>
        <v>0.60674780093987224</v>
      </c>
      <c r="CC27" s="44">
        <f t="shared" si="279"/>
        <v>0.53373030298623936</v>
      </c>
      <c r="CD27" s="44">
        <f t="shared" si="279"/>
        <v>0.72097708740599853</v>
      </c>
      <c r="CE27" s="44">
        <f t="shared" si="279"/>
        <v>0.75002820980572849</v>
      </c>
      <c r="CF27" s="44">
        <f t="shared" si="279"/>
        <v>0.63233453244889892</v>
      </c>
      <c r="CG27" s="44">
        <f t="shared" si="279"/>
        <v>0.73526789767802758</v>
      </c>
      <c r="CH27" s="44">
        <f t="shared" si="279"/>
        <v>0.7087653402859565</v>
      </c>
      <c r="CI27" s="44">
        <f t="shared" ref="CI27:CJ27" si="280">CI26/CI10</f>
        <v>0.64464921551927601</v>
      </c>
      <c r="CJ27" s="44">
        <f t="shared" si="280"/>
        <v>0.73098926169891587</v>
      </c>
      <c r="CK27" s="44">
        <f t="shared" ref="CK27" si="281">CK26/CK10</f>
        <v>0.78999076856598505</v>
      </c>
      <c r="CL27" s="52">
        <f t="shared" ref="CL27:DB27" si="282">AVERAGE(CH27:CK27)</f>
        <v>0.71859864651753336</v>
      </c>
      <c r="CM27" s="52">
        <f t="shared" si="282"/>
        <v>0.7210569730754276</v>
      </c>
      <c r="CN27" s="52">
        <f t="shared" si="282"/>
        <v>0.74015891246446552</v>
      </c>
      <c r="CO27" s="52">
        <f t="shared" si="282"/>
        <v>0.74245132515585288</v>
      </c>
      <c r="CP27" s="52">
        <f t="shared" si="282"/>
        <v>0.73056646430331984</v>
      </c>
      <c r="CQ27" s="52">
        <f t="shared" si="282"/>
        <v>0.73355841874976646</v>
      </c>
      <c r="CR27" s="52">
        <f t="shared" si="282"/>
        <v>0.73668378016835112</v>
      </c>
      <c r="CS27" s="52">
        <f t="shared" si="282"/>
        <v>0.73581499709432252</v>
      </c>
      <c r="CT27" s="52">
        <f t="shared" si="282"/>
        <v>0.73415591507893996</v>
      </c>
      <c r="CU27" s="52">
        <f t="shared" si="282"/>
        <v>0.73505327777284502</v>
      </c>
      <c r="CV27" s="52">
        <f t="shared" si="282"/>
        <v>0.73542699252861465</v>
      </c>
      <c r="CW27" s="52">
        <f t="shared" si="282"/>
        <v>0.73511279561868059</v>
      </c>
      <c r="CX27" s="52">
        <f t="shared" si="282"/>
        <v>0.73493724524977011</v>
      </c>
      <c r="CY27" s="52">
        <f t="shared" si="282"/>
        <v>0.73513257779247765</v>
      </c>
      <c r="CZ27" s="52">
        <f t="shared" si="282"/>
        <v>0.7351524027973857</v>
      </c>
      <c r="DA27" s="52">
        <f t="shared" si="282"/>
        <v>0.73508375536457859</v>
      </c>
      <c r="DB27" s="52">
        <f t="shared" si="282"/>
        <v>0.7350764953010529</v>
      </c>
      <c r="DE27" s="128"/>
      <c r="DF27" s="44">
        <v>0.7196717045740777</v>
      </c>
    </row>
    <row r="28" spans="1:110" s="26" customFormat="1" x14ac:dyDescent="0.2">
      <c r="A28" s="34" t="s">
        <v>13</v>
      </c>
      <c r="B28" s="26">
        <f t="shared" ref="B28:E28" si="283">B16-B26</f>
        <v>0</v>
      </c>
      <c r="C28" s="26">
        <f t="shared" si="283"/>
        <v>0</v>
      </c>
      <c r="D28" s="26">
        <f t="shared" si="283"/>
        <v>0</v>
      </c>
      <c r="E28" s="26">
        <f t="shared" si="283"/>
        <v>0</v>
      </c>
      <c r="F28" s="26">
        <f t="shared" ref="F28:AE28" si="284">F16-F26</f>
        <v>0</v>
      </c>
      <c r="G28" s="26">
        <f t="shared" si="284"/>
        <v>0</v>
      </c>
      <c r="H28" s="26">
        <f t="shared" si="284"/>
        <v>0</v>
      </c>
      <c r="I28" s="26">
        <f t="shared" si="284"/>
        <v>0</v>
      </c>
      <c r="J28" s="26">
        <f t="shared" si="284"/>
        <v>0</v>
      </c>
      <c r="K28" s="26">
        <f t="shared" si="284"/>
        <v>0</v>
      </c>
      <c r="L28" s="26">
        <f t="shared" si="284"/>
        <v>0</v>
      </c>
      <c r="M28" s="26">
        <f t="shared" si="284"/>
        <v>0</v>
      </c>
      <c r="N28" s="26">
        <f t="shared" si="284"/>
        <v>0</v>
      </c>
      <c r="O28" s="26">
        <f t="shared" si="284"/>
        <v>0</v>
      </c>
      <c r="P28" s="26">
        <f t="shared" si="284"/>
        <v>90.954599999999999</v>
      </c>
      <c r="Q28" s="26">
        <f t="shared" si="284"/>
        <v>105.22890000000001</v>
      </c>
      <c r="R28" s="26">
        <f t="shared" si="284"/>
        <v>69.499299999999977</v>
      </c>
      <c r="S28" s="26">
        <f t="shared" si="284"/>
        <v>82.792699999999968</v>
      </c>
      <c r="T28" s="26">
        <f t="shared" si="284"/>
        <v>72.680000000000007</v>
      </c>
      <c r="U28" s="26">
        <f t="shared" si="284"/>
        <v>147.98599999999999</v>
      </c>
      <c r="V28" s="26">
        <f t="shared" si="284"/>
        <v>262.22630000000004</v>
      </c>
      <c r="W28" s="26">
        <f t="shared" si="284"/>
        <v>467.15339999999992</v>
      </c>
      <c r="X28" s="26">
        <f t="shared" si="284"/>
        <v>633.99710000000005</v>
      </c>
      <c r="Y28" s="26">
        <f t="shared" si="284"/>
        <v>462.65900000000011</v>
      </c>
      <c r="Z28" s="26">
        <f t="shared" ref="Z28:AA28" si="285">Z16-Z26</f>
        <v>314.15440000000012</v>
      </c>
      <c r="AA28" s="26">
        <f t="shared" si="285"/>
        <v>238.7822000000001</v>
      </c>
      <c r="AB28" s="27">
        <f t="shared" si="284"/>
        <v>322.43304629751219</v>
      </c>
      <c r="AC28" s="27">
        <f t="shared" si="284"/>
        <v>355.88443204929558</v>
      </c>
      <c r="AD28" s="27">
        <f t="shared" si="284"/>
        <v>394.00350498596913</v>
      </c>
      <c r="AE28" s="27">
        <f t="shared" si="284"/>
        <v>436.45150276061145</v>
      </c>
      <c r="AI28" s="26">
        <f t="shared" ref="AI28:BN28" si="286">AI16-AI26</f>
        <v>0</v>
      </c>
      <c r="AJ28" s="26">
        <f t="shared" si="286"/>
        <v>0</v>
      </c>
      <c r="AK28" s="26">
        <f t="shared" si="286"/>
        <v>0</v>
      </c>
      <c r="AL28" s="26">
        <f t="shared" si="286"/>
        <v>0</v>
      </c>
      <c r="AM28" s="26">
        <f t="shared" si="286"/>
        <v>0</v>
      </c>
      <c r="AN28" s="26">
        <f t="shared" si="286"/>
        <v>0</v>
      </c>
      <c r="AO28" s="26">
        <f t="shared" si="286"/>
        <v>0</v>
      </c>
      <c r="AP28" s="26">
        <f t="shared" si="286"/>
        <v>0</v>
      </c>
      <c r="AQ28" s="26">
        <f t="shared" si="286"/>
        <v>0</v>
      </c>
      <c r="AR28" s="26">
        <f t="shared" si="286"/>
        <v>0</v>
      </c>
      <c r="AS28" s="26">
        <f t="shared" si="286"/>
        <v>0</v>
      </c>
      <c r="AT28" s="26">
        <f t="shared" si="286"/>
        <v>0</v>
      </c>
      <c r="AU28" s="26">
        <f t="shared" si="286"/>
        <v>0</v>
      </c>
      <c r="AV28" s="26">
        <f t="shared" si="286"/>
        <v>0</v>
      </c>
      <c r="AW28" s="26">
        <f t="shared" si="286"/>
        <v>0</v>
      </c>
      <c r="AX28" s="26">
        <f t="shared" si="286"/>
        <v>0</v>
      </c>
      <c r="AY28" s="26">
        <f t="shared" si="286"/>
        <v>0</v>
      </c>
      <c r="AZ28" s="26">
        <f t="shared" si="286"/>
        <v>0</v>
      </c>
      <c r="BA28" s="26">
        <f t="shared" si="286"/>
        <v>0</v>
      </c>
      <c r="BB28" s="26">
        <f t="shared" si="286"/>
        <v>0</v>
      </c>
      <c r="BC28" s="26">
        <f t="shared" si="286"/>
        <v>0</v>
      </c>
      <c r="BD28" s="26">
        <f t="shared" si="286"/>
        <v>0</v>
      </c>
      <c r="BE28" s="26">
        <f t="shared" si="286"/>
        <v>0</v>
      </c>
      <c r="BF28" s="26">
        <f t="shared" si="286"/>
        <v>0</v>
      </c>
      <c r="BG28" s="26">
        <f t="shared" si="286"/>
        <v>0</v>
      </c>
      <c r="BH28" s="26">
        <f t="shared" si="286"/>
        <v>0</v>
      </c>
      <c r="BI28" s="26">
        <f t="shared" si="286"/>
        <v>0</v>
      </c>
      <c r="BJ28" s="26">
        <f t="shared" si="286"/>
        <v>0</v>
      </c>
      <c r="BK28" s="26">
        <f t="shared" si="286"/>
        <v>0</v>
      </c>
      <c r="BL28" s="26">
        <f t="shared" si="286"/>
        <v>0</v>
      </c>
      <c r="BM28" s="26">
        <f t="shared" si="286"/>
        <v>0</v>
      </c>
      <c r="BN28" s="26">
        <f t="shared" si="286"/>
        <v>0</v>
      </c>
      <c r="BO28" s="26">
        <f t="shared" ref="BO28:CT28" si="287">BO16-BO26</f>
        <v>0</v>
      </c>
      <c r="BP28" s="26">
        <f t="shared" si="287"/>
        <v>0</v>
      </c>
      <c r="BQ28" s="26">
        <f t="shared" si="287"/>
        <v>0</v>
      </c>
      <c r="BR28" s="26">
        <f t="shared" si="287"/>
        <v>0</v>
      </c>
      <c r="BS28" s="26">
        <f t="shared" si="287"/>
        <v>0</v>
      </c>
      <c r="BT28" s="26">
        <f t="shared" si="287"/>
        <v>104.08400000000003</v>
      </c>
      <c r="BU28" s="26">
        <f t="shared" si="287"/>
        <v>117.23999999999998</v>
      </c>
      <c r="BV28" s="26">
        <f t="shared" si="287"/>
        <v>160.04900000000001</v>
      </c>
      <c r="BW28" s="26">
        <f t="shared" si="287"/>
        <v>161.06299999999999</v>
      </c>
      <c r="BX28" s="26">
        <f t="shared" si="287"/>
        <v>118.59200000000001</v>
      </c>
      <c r="BY28" s="26">
        <f t="shared" si="287"/>
        <v>159.94300000000001</v>
      </c>
      <c r="BZ28" s="26">
        <f t="shared" si="287"/>
        <v>194.40100000000001</v>
      </c>
      <c r="CA28" s="26">
        <f t="shared" si="287"/>
        <v>134.63500000000005</v>
      </c>
      <c r="CB28" s="26">
        <f t="shared" si="287"/>
        <v>95.45799999999997</v>
      </c>
      <c r="CC28" s="26">
        <f t="shared" si="287"/>
        <v>145.44200000000001</v>
      </c>
      <c r="CD28" s="26">
        <f t="shared" si="287"/>
        <v>87.124999999999972</v>
      </c>
      <c r="CE28" s="26">
        <f t="shared" si="287"/>
        <v>71.198000000000008</v>
      </c>
      <c r="CF28" s="26">
        <f t="shared" si="287"/>
        <v>74.717000000000013</v>
      </c>
      <c r="CG28" s="26">
        <f t="shared" si="287"/>
        <v>79.946000000000026</v>
      </c>
      <c r="CH28" s="26">
        <f t="shared" si="287"/>
        <v>88.293999999999983</v>
      </c>
      <c r="CI28" s="26">
        <f t="shared" ref="CI28:CJ28" si="288">CI16-CI26</f>
        <v>78.093000000000018</v>
      </c>
      <c r="CJ28" s="26">
        <f t="shared" si="288"/>
        <v>62.600000000000023</v>
      </c>
      <c r="CK28" s="26">
        <f t="shared" ref="CK28" si="289">CK16-CK26</f>
        <v>54.394999999999982</v>
      </c>
      <c r="CL28" s="27">
        <f t="shared" si="287"/>
        <v>100.08970250273609</v>
      </c>
      <c r="CM28" s="27">
        <f t="shared" si="287"/>
        <v>83.139651428648648</v>
      </c>
      <c r="CN28" s="27">
        <f t="shared" si="287"/>
        <v>61.779814172649367</v>
      </c>
      <c r="CO28" s="27">
        <f t="shared" si="287"/>
        <v>67.543372748855546</v>
      </c>
      <c r="CP28" s="27">
        <f t="shared" si="287"/>
        <v>109.97020794735863</v>
      </c>
      <c r="CQ28" s="27">
        <f t="shared" si="287"/>
        <v>90.622122922358585</v>
      </c>
      <c r="CR28" s="27">
        <f t="shared" si="287"/>
        <v>67.775197428224118</v>
      </c>
      <c r="CS28" s="27">
        <f t="shared" si="287"/>
        <v>76.17412930551356</v>
      </c>
      <c r="CT28" s="27">
        <f t="shared" si="287"/>
        <v>121.31298239319943</v>
      </c>
      <c r="CU28" s="27">
        <f t="shared" ref="CU28:DB28" si="290">CU16-CU26</f>
        <v>100.07318350226848</v>
      </c>
      <c r="CV28" s="27">
        <f t="shared" si="290"/>
        <v>75.091194619936687</v>
      </c>
      <c r="CW28" s="27">
        <f t="shared" si="290"/>
        <v>84.60569667103573</v>
      </c>
      <c r="CX28" s="27">
        <f t="shared" si="290"/>
        <v>134.23343019272784</v>
      </c>
      <c r="CY28" s="27">
        <f t="shared" si="290"/>
        <v>110.81625387772317</v>
      </c>
      <c r="CZ28" s="27">
        <f t="shared" si="290"/>
        <v>83.21006916213048</v>
      </c>
      <c r="DA28" s="27">
        <f t="shared" si="290"/>
        <v>93.756988347620336</v>
      </c>
      <c r="DB28" s="27">
        <f t="shared" si="290"/>
        <v>148.66819137313746</v>
      </c>
      <c r="DE28" s="121"/>
      <c r="DF28" s="26">
        <v>238.7822000000001</v>
      </c>
    </row>
    <row r="29" spans="1:110" s="168" customFormat="1" x14ac:dyDescent="0.2">
      <c r="A29" s="165" t="s">
        <v>14</v>
      </c>
      <c r="B29" s="166" t="e">
        <f t="shared" ref="B29:E29" si="291">B28/B10</f>
        <v>#DIV/0!</v>
      </c>
      <c r="C29" s="166" t="e">
        <f t="shared" si="291"/>
        <v>#DIV/0!</v>
      </c>
      <c r="D29" s="166" t="e">
        <f t="shared" si="291"/>
        <v>#DIV/0!</v>
      </c>
      <c r="E29" s="166" t="e">
        <f t="shared" si="291"/>
        <v>#DIV/0!</v>
      </c>
      <c r="F29" s="166" t="e">
        <f t="shared" ref="F29:AE29" si="292">F28/F10</f>
        <v>#DIV/0!</v>
      </c>
      <c r="G29" s="166" t="e">
        <f t="shared" si="292"/>
        <v>#DIV/0!</v>
      </c>
      <c r="H29" s="166" t="e">
        <f t="shared" si="292"/>
        <v>#DIV/0!</v>
      </c>
      <c r="I29" s="166" t="e">
        <f t="shared" si="292"/>
        <v>#DIV/0!</v>
      </c>
      <c r="J29" s="166" t="e">
        <f t="shared" si="292"/>
        <v>#DIV/0!</v>
      </c>
      <c r="K29" s="166" t="e">
        <f t="shared" si="292"/>
        <v>#DIV/0!</v>
      </c>
      <c r="L29" s="166" t="e">
        <f t="shared" si="292"/>
        <v>#DIV/0!</v>
      </c>
      <c r="M29" s="166" t="e">
        <f t="shared" si="292"/>
        <v>#DIV/0!</v>
      </c>
      <c r="N29" s="166" t="e">
        <f t="shared" si="292"/>
        <v>#DIV/0!</v>
      </c>
      <c r="O29" s="166" t="e">
        <f t="shared" si="292"/>
        <v>#DIV/0!</v>
      </c>
      <c r="P29" s="166">
        <f t="shared" si="292"/>
        <v>0.40418626022857257</v>
      </c>
      <c r="Q29" s="166">
        <f t="shared" si="292"/>
        <v>0.30901070903766664</v>
      </c>
      <c r="R29" s="166">
        <f t="shared" si="292"/>
        <v>0.2416142497523863</v>
      </c>
      <c r="S29" s="166">
        <f t="shared" si="292"/>
        <v>0.18866725368320972</v>
      </c>
      <c r="T29" s="166">
        <f t="shared" si="292"/>
        <v>0.12852206696303842</v>
      </c>
      <c r="U29" s="166">
        <f t="shared" si="292"/>
        <v>0.24332998996990973</v>
      </c>
      <c r="V29" s="166">
        <f t="shared" si="292"/>
        <v>0.35399424621299924</v>
      </c>
      <c r="W29" s="166">
        <f t="shared" si="292"/>
        <v>0.41325023745239775</v>
      </c>
      <c r="X29" s="166">
        <f t="shared" si="292"/>
        <v>0.43995010915184379</v>
      </c>
      <c r="Y29" s="166">
        <f t="shared" si="292"/>
        <v>0.34784050246242837</v>
      </c>
      <c r="Z29" s="166">
        <f t="shared" ref="Z29:AA29" si="293">Z28/Z10</f>
        <v>0.30177617503022774</v>
      </c>
      <c r="AA29" s="166">
        <f t="shared" si="293"/>
        <v>0.22087974227295731</v>
      </c>
      <c r="AB29" s="167">
        <f t="shared" si="292"/>
        <v>0.24605788636790407</v>
      </c>
      <c r="AC29" s="167">
        <f t="shared" si="292"/>
        <v>0.24512993928792806</v>
      </c>
      <c r="AD29" s="167">
        <f t="shared" si="292"/>
        <v>0.2449923892956872</v>
      </c>
      <c r="AE29" s="167">
        <f t="shared" si="292"/>
        <v>0.24497974060413466</v>
      </c>
      <c r="AI29" s="166" t="e">
        <f t="shared" ref="AI29:BN29" si="294">AI28/AI10</f>
        <v>#DIV/0!</v>
      </c>
      <c r="AJ29" s="166" t="e">
        <f t="shared" si="294"/>
        <v>#DIV/0!</v>
      </c>
      <c r="AK29" s="166" t="e">
        <f t="shared" si="294"/>
        <v>#DIV/0!</v>
      </c>
      <c r="AL29" s="166" t="e">
        <f t="shared" si="294"/>
        <v>#DIV/0!</v>
      </c>
      <c r="AM29" s="166" t="e">
        <f t="shared" si="294"/>
        <v>#DIV/0!</v>
      </c>
      <c r="AN29" s="166" t="e">
        <f t="shared" si="294"/>
        <v>#DIV/0!</v>
      </c>
      <c r="AO29" s="166" t="e">
        <f t="shared" si="294"/>
        <v>#DIV/0!</v>
      </c>
      <c r="AP29" s="166" t="e">
        <f t="shared" si="294"/>
        <v>#DIV/0!</v>
      </c>
      <c r="AQ29" s="166" t="e">
        <f t="shared" si="294"/>
        <v>#DIV/0!</v>
      </c>
      <c r="AR29" s="166" t="e">
        <f t="shared" si="294"/>
        <v>#DIV/0!</v>
      </c>
      <c r="AS29" s="166" t="e">
        <f t="shared" si="294"/>
        <v>#DIV/0!</v>
      </c>
      <c r="AT29" s="166" t="e">
        <f t="shared" si="294"/>
        <v>#DIV/0!</v>
      </c>
      <c r="AU29" s="166" t="e">
        <f t="shared" si="294"/>
        <v>#DIV/0!</v>
      </c>
      <c r="AV29" s="166" t="e">
        <f t="shared" si="294"/>
        <v>#DIV/0!</v>
      </c>
      <c r="AW29" s="166" t="e">
        <f t="shared" si="294"/>
        <v>#DIV/0!</v>
      </c>
      <c r="AX29" s="166" t="e">
        <f t="shared" si="294"/>
        <v>#DIV/0!</v>
      </c>
      <c r="AY29" s="166" t="e">
        <f t="shared" si="294"/>
        <v>#DIV/0!</v>
      </c>
      <c r="AZ29" s="166" t="e">
        <f t="shared" si="294"/>
        <v>#DIV/0!</v>
      </c>
      <c r="BA29" s="166" t="e">
        <f t="shared" si="294"/>
        <v>#DIV/0!</v>
      </c>
      <c r="BB29" s="166" t="e">
        <f t="shared" si="294"/>
        <v>#DIV/0!</v>
      </c>
      <c r="BC29" s="166" t="e">
        <f t="shared" si="294"/>
        <v>#DIV/0!</v>
      </c>
      <c r="BD29" s="166" t="e">
        <f t="shared" si="294"/>
        <v>#DIV/0!</v>
      </c>
      <c r="BE29" s="166" t="e">
        <f t="shared" si="294"/>
        <v>#DIV/0!</v>
      </c>
      <c r="BF29" s="166" t="e">
        <f t="shared" si="294"/>
        <v>#DIV/0!</v>
      </c>
      <c r="BG29" s="166" t="e">
        <f t="shared" si="294"/>
        <v>#DIV/0!</v>
      </c>
      <c r="BH29" s="166" t="e">
        <f t="shared" si="294"/>
        <v>#DIV/0!</v>
      </c>
      <c r="BI29" s="166" t="e">
        <f t="shared" si="294"/>
        <v>#DIV/0!</v>
      </c>
      <c r="BJ29" s="166" t="e">
        <f t="shared" si="294"/>
        <v>#DIV/0!</v>
      </c>
      <c r="BK29" s="166" t="e">
        <f t="shared" si="294"/>
        <v>#DIV/0!</v>
      </c>
      <c r="BL29" s="166" t="e">
        <f t="shared" si="294"/>
        <v>#DIV/0!</v>
      </c>
      <c r="BM29" s="166" t="e">
        <f t="shared" si="294"/>
        <v>#DIV/0!</v>
      </c>
      <c r="BN29" s="166" t="e">
        <f t="shared" si="294"/>
        <v>#DIV/0!</v>
      </c>
      <c r="BO29" s="166" t="e">
        <f t="shared" ref="BO29:CT29" si="295">BO28/BO10</f>
        <v>#DIV/0!</v>
      </c>
      <c r="BP29" s="166" t="e">
        <f t="shared" si="295"/>
        <v>#DIV/0!</v>
      </c>
      <c r="BQ29" s="166" t="e">
        <f t="shared" si="295"/>
        <v>#DIV/0!</v>
      </c>
      <c r="BR29" s="166" t="e">
        <f t="shared" si="295"/>
        <v>#DIV/0!</v>
      </c>
      <c r="BS29" s="166" t="e">
        <f t="shared" si="295"/>
        <v>#DIV/0!</v>
      </c>
      <c r="BT29" s="166">
        <f t="shared" si="295"/>
        <v>0.41675275275275286</v>
      </c>
      <c r="BU29" s="166">
        <f t="shared" si="295"/>
        <v>0.38148539819409416</v>
      </c>
      <c r="BV29" s="166">
        <f t="shared" si="295"/>
        <v>0.4295441248302479</v>
      </c>
      <c r="BW29" s="166">
        <f t="shared" si="295"/>
        <v>0.40238186842013218</v>
      </c>
      <c r="BX29" s="166">
        <f t="shared" si="295"/>
        <v>0.40406821240566282</v>
      </c>
      <c r="BY29" s="166">
        <f t="shared" si="295"/>
        <v>0.43829246169739922</v>
      </c>
      <c r="BZ29" s="166">
        <f t="shared" si="295"/>
        <v>0.50840405361229157</v>
      </c>
      <c r="CA29" s="166">
        <f t="shared" si="295"/>
        <v>0.39241432377132812</v>
      </c>
      <c r="CB29" s="166">
        <f t="shared" si="295"/>
        <v>0.32863856230526906</v>
      </c>
      <c r="CC29" s="166">
        <f t="shared" si="295"/>
        <v>0.35247900035383134</v>
      </c>
      <c r="CD29" s="166">
        <f t="shared" si="295"/>
        <v>0.3068808228104471</v>
      </c>
      <c r="CE29" s="166">
        <f t="shared" si="295"/>
        <v>0.33474695804261562</v>
      </c>
      <c r="CF29" s="166">
        <f t="shared" si="295"/>
        <v>0.31073173774718765</v>
      </c>
      <c r="CG29" s="166">
        <f t="shared" si="295"/>
        <v>0.32995451806483045</v>
      </c>
      <c r="CH29" s="166">
        <f t="shared" si="295"/>
        <v>0.25549732765780125</v>
      </c>
      <c r="CI29" s="166">
        <f t="shared" ref="CI29:CJ29" si="296">CI28/CI10</f>
        <v>0.26711337773080363</v>
      </c>
      <c r="CJ29" s="166">
        <f t="shared" si="296"/>
        <v>0.26845752710306037</v>
      </c>
      <c r="CK29" s="166">
        <f t="shared" ref="CK29" si="297">CK28/CK10</f>
        <v>0.21367823542120865</v>
      </c>
      <c r="CL29" s="167">
        <f t="shared" si="295"/>
        <v>0.25118661697821842</v>
      </c>
      <c r="CM29" s="167">
        <f t="shared" si="295"/>
        <v>0.25010893930832279</v>
      </c>
      <c r="CN29" s="167">
        <f t="shared" si="295"/>
        <v>0.2458578297027024</v>
      </c>
      <c r="CO29" s="167">
        <f t="shared" si="295"/>
        <v>0.24020790535261308</v>
      </c>
      <c r="CP29" s="167">
        <f t="shared" si="295"/>
        <v>0.2468403228354642</v>
      </c>
      <c r="CQ29" s="167">
        <f t="shared" si="295"/>
        <v>0.24575374929977564</v>
      </c>
      <c r="CR29" s="167">
        <f t="shared" si="295"/>
        <v>0.24466495179763889</v>
      </c>
      <c r="CS29" s="167">
        <f t="shared" si="295"/>
        <v>0.2443667323213731</v>
      </c>
      <c r="CT29" s="167">
        <f t="shared" si="295"/>
        <v>0.24540643906356296</v>
      </c>
      <c r="CU29" s="167">
        <f t="shared" ref="CU29:DB29" si="298">CU28/CU10</f>
        <v>0.24504796812058766</v>
      </c>
      <c r="CV29" s="167">
        <f t="shared" si="298"/>
        <v>0.24487152282579058</v>
      </c>
      <c r="CW29" s="167">
        <f t="shared" si="298"/>
        <v>0.24492316558282853</v>
      </c>
      <c r="CX29" s="167">
        <f t="shared" si="298"/>
        <v>0.24506227389819227</v>
      </c>
      <c r="CY29" s="167">
        <f t="shared" si="298"/>
        <v>0.24497623260684973</v>
      </c>
      <c r="CZ29" s="167">
        <f t="shared" si="298"/>
        <v>0.24495829872841532</v>
      </c>
      <c r="DA29" s="167">
        <f t="shared" si="298"/>
        <v>0.24497999270407142</v>
      </c>
      <c r="DB29" s="167">
        <f t="shared" si="298"/>
        <v>0.24499419948438231</v>
      </c>
      <c r="DE29" s="169"/>
      <c r="DF29" s="168">
        <v>0.22087974227295731</v>
      </c>
    </row>
    <row r="30" spans="1:110" s="38" customFormat="1" x14ac:dyDescent="0.2">
      <c r="A30" s="39" t="s">
        <v>449</v>
      </c>
      <c r="B30" s="39"/>
      <c r="C30" s="39" t="e">
        <f t="shared" ref="C30:E30" si="299">+IF(B28&lt;0,1-C28/B28,C28/B28-1)</f>
        <v>#DIV/0!</v>
      </c>
      <c r="D30" s="39" t="e">
        <f t="shared" si="299"/>
        <v>#DIV/0!</v>
      </c>
      <c r="E30" s="39" t="e">
        <f t="shared" si="299"/>
        <v>#DIV/0!</v>
      </c>
      <c r="F30" s="39" t="e">
        <f t="shared" ref="F30:Y30" si="300">+IF(E28&lt;0,1-F28/E28,F28/E28-1)</f>
        <v>#DIV/0!</v>
      </c>
      <c r="G30" s="39" t="e">
        <f t="shared" si="300"/>
        <v>#DIV/0!</v>
      </c>
      <c r="H30" s="39" t="e">
        <f t="shared" si="300"/>
        <v>#DIV/0!</v>
      </c>
      <c r="I30" s="39" t="e">
        <f t="shared" si="300"/>
        <v>#DIV/0!</v>
      </c>
      <c r="J30" s="39" t="e">
        <f t="shared" si="300"/>
        <v>#DIV/0!</v>
      </c>
      <c r="K30" s="39" t="e">
        <f t="shared" si="300"/>
        <v>#DIV/0!</v>
      </c>
      <c r="L30" s="39" t="e">
        <f t="shared" si="300"/>
        <v>#DIV/0!</v>
      </c>
      <c r="M30" s="39" t="e">
        <f t="shared" si="300"/>
        <v>#DIV/0!</v>
      </c>
      <c r="N30" s="39" t="e">
        <f t="shared" si="300"/>
        <v>#DIV/0!</v>
      </c>
      <c r="O30" s="39" t="e">
        <f t="shared" si="300"/>
        <v>#DIV/0!</v>
      </c>
      <c r="P30" s="39" t="e">
        <f t="shared" si="300"/>
        <v>#DIV/0!</v>
      </c>
      <c r="Q30" s="39">
        <f t="shared" si="300"/>
        <v>0.15693873646852396</v>
      </c>
      <c r="R30" s="39">
        <f t="shared" si="300"/>
        <v>-0.33954170384751747</v>
      </c>
      <c r="S30" s="39">
        <f t="shared" si="300"/>
        <v>0.19127386894544252</v>
      </c>
      <c r="T30" s="39">
        <f t="shared" si="300"/>
        <v>-0.12214482677820582</v>
      </c>
      <c r="U30" s="39">
        <f t="shared" si="300"/>
        <v>1.0361309851403409</v>
      </c>
      <c r="V30" s="39">
        <f t="shared" si="300"/>
        <v>0.77196694281891576</v>
      </c>
      <c r="W30" s="39">
        <f t="shared" si="300"/>
        <v>0.78148949971837256</v>
      </c>
      <c r="X30" s="39">
        <f t="shared" si="300"/>
        <v>0.35714970714116645</v>
      </c>
      <c r="Y30" s="39">
        <f t="shared" si="300"/>
        <v>-0.27025060524724787</v>
      </c>
      <c r="Z30" s="39">
        <f t="shared" ref="Z30:AE30" si="301">+IF(Y28&lt;0,1-Z28/Y28,Z28/Y28-1)</f>
        <v>-0.32098067907465311</v>
      </c>
      <c r="AA30" s="39">
        <f t="shared" si="301"/>
        <v>-0.23992087966936004</v>
      </c>
      <c r="AB30" s="40">
        <f t="shared" si="301"/>
        <v>0.35032278912545434</v>
      </c>
      <c r="AC30" s="40">
        <f t="shared" si="301"/>
        <v>0.1037467658352782</v>
      </c>
      <c r="AD30" s="40">
        <f t="shared" si="301"/>
        <v>0.1071108188609764</v>
      </c>
      <c r="AE30" s="40">
        <f t="shared" si="301"/>
        <v>0.10773507656017922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302">+IF(AJ28&lt;0,1-AN28/AJ28,AN28/AJ28-1)</f>
        <v>#DIV/0!</v>
      </c>
      <c r="AO30" s="39" t="e">
        <f t="shared" ref="AO30" si="303">+IF(AK28&lt;0,1-AO28/AK28,AO28/AK28-1)</f>
        <v>#DIV/0!</v>
      </c>
      <c r="AP30" s="39" t="e">
        <f t="shared" ref="AP30" si="304">+IF(AL28&lt;0,1-AP28/AL28,AP28/AL28-1)</f>
        <v>#DIV/0!</v>
      </c>
      <c r="AQ30" s="39" t="e">
        <f t="shared" ref="AQ30" si="305">+IF(AM28&lt;0,1-AQ28/AM28,AQ28/AM28-1)</f>
        <v>#DIV/0!</v>
      </c>
      <c r="AR30" s="39" t="e">
        <f t="shared" ref="AR30" si="306">+IF(AN28&lt;0,1-AR28/AN28,AR28/AN28-1)</f>
        <v>#DIV/0!</v>
      </c>
      <c r="AS30" s="39" t="e">
        <f t="shared" ref="AS30" si="307">+IF(AO28&lt;0,1-AS28/AO28,AS28/AO28-1)</f>
        <v>#DIV/0!</v>
      </c>
      <c r="AT30" s="39" t="e">
        <f t="shared" ref="AT30" si="308">+IF(AP28&lt;0,1-AT28/AP28,AT28/AP28-1)</f>
        <v>#DIV/0!</v>
      </c>
      <c r="AU30" s="39" t="e">
        <f t="shared" ref="AU30" si="309">+IF(AQ28&lt;0,1-AU28/AQ28,AU28/AQ28-1)</f>
        <v>#DIV/0!</v>
      </c>
      <c r="AV30" s="39" t="e">
        <f t="shared" ref="AV30" si="310">+IF(AR28&lt;0,1-AV28/AR28,AV28/AR28-1)</f>
        <v>#DIV/0!</v>
      </c>
      <c r="AW30" s="39" t="e">
        <f t="shared" ref="AW30" si="311">+IF(AS28&lt;0,1-AW28/AS28,AW28/AS28-1)</f>
        <v>#DIV/0!</v>
      </c>
      <c r="AX30" s="39" t="e">
        <f t="shared" ref="AX30" si="312">+IF(AT28&lt;0,1-AX28/AT28,AX28/AT28-1)</f>
        <v>#DIV/0!</v>
      </c>
      <c r="AY30" s="39" t="e">
        <f t="shared" ref="AY30" si="313">+IF(AU28&lt;0,1-AY28/AU28,AY28/AU28-1)</f>
        <v>#DIV/0!</v>
      </c>
      <c r="AZ30" s="39" t="e">
        <f t="shared" ref="AZ30" si="314">+IF(AV28&lt;0,1-AZ28/AV28,AZ28/AV28-1)</f>
        <v>#DIV/0!</v>
      </c>
      <c r="BA30" s="39" t="e">
        <f t="shared" ref="BA30" si="315">+IF(AW28&lt;0,1-BA28/AW28,BA28/AW28-1)</f>
        <v>#DIV/0!</v>
      </c>
      <c r="BB30" s="39" t="e">
        <f t="shared" ref="BB30" si="316">+IF(AX28&lt;0,1-BB28/AX28,BB28/AX28-1)</f>
        <v>#DIV/0!</v>
      </c>
      <c r="BC30" s="39" t="e">
        <f t="shared" ref="BC30" si="317">+IF(AY28&lt;0,1-BC28/AY28,BC28/AY28-1)</f>
        <v>#DIV/0!</v>
      </c>
      <c r="BD30" s="39" t="e">
        <f t="shared" ref="BD30" si="318">+IF(AZ28&lt;0,1-BD28/AZ28,BD28/AZ28-1)</f>
        <v>#DIV/0!</v>
      </c>
      <c r="BE30" s="39" t="e">
        <f t="shared" ref="BE30" si="319">+IF(BA28&lt;0,1-BE28/BA28,BE28/BA28-1)</f>
        <v>#DIV/0!</v>
      </c>
      <c r="BF30" s="39" t="e">
        <f t="shared" ref="BF30" si="320">+IF(BB28&lt;0,1-BF28/BB28,BF28/BB28-1)</f>
        <v>#DIV/0!</v>
      </c>
      <c r="BG30" s="39" t="e">
        <f t="shared" ref="BG30" si="321">+IF(BC28&lt;0,1-BG28/BC28,BG28/BC28-1)</f>
        <v>#DIV/0!</v>
      </c>
      <c r="BH30" s="39" t="e">
        <f t="shared" ref="BH30" si="322">+IF(BD28&lt;0,1-BH28/BD28,BH28/BD28-1)</f>
        <v>#DIV/0!</v>
      </c>
      <c r="BI30" s="39" t="e">
        <f t="shared" ref="BI30" si="323">+IF(BE28&lt;0,1-BI28/BE28,BI28/BE28-1)</f>
        <v>#DIV/0!</v>
      </c>
      <c r="BJ30" s="39" t="e">
        <f t="shared" ref="BJ30" si="324">+IF(BF28&lt;0,1-BJ28/BF28,BJ28/BF28-1)</f>
        <v>#DIV/0!</v>
      </c>
      <c r="BK30" s="39" t="e">
        <f t="shared" ref="BK30" si="325">+IF(BG28&lt;0,1-BK28/BG28,BK28/BG28-1)</f>
        <v>#DIV/0!</v>
      </c>
      <c r="BL30" s="39" t="e">
        <f t="shared" ref="BL30" si="326">+IF(BH28&lt;0,1-BL28/BH28,BL28/BH28-1)</f>
        <v>#DIV/0!</v>
      </c>
      <c r="BM30" s="39" t="e">
        <f t="shared" ref="BM30" si="327">+IF(BI28&lt;0,1-BM28/BI28,BM28/BI28-1)</f>
        <v>#DIV/0!</v>
      </c>
      <c r="BN30" s="39" t="e">
        <f t="shared" ref="BN30" si="328">+IF(BJ28&lt;0,1-BN28/BJ28,BN28/BJ28-1)</f>
        <v>#DIV/0!</v>
      </c>
      <c r="BO30" s="39" t="e">
        <f t="shared" ref="BO30" si="329">+IF(BK28&lt;0,1-BO28/BK28,BO28/BK28-1)</f>
        <v>#DIV/0!</v>
      </c>
      <c r="BP30" s="39" t="e">
        <f t="shared" ref="BP30" si="330">+IF(BL28&lt;0,1-BP28/BL28,BP28/BL28-1)</f>
        <v>#DIV/0!</v>
      </c>
      <c r="BQ30" s="39" t="e">
        <f t="shared" ref="BQ30" si="331">+IF(BM28&lt;0,1-BQ28/BM28,BQ28/BM28-1)</f>
        <v>#DIV/0!</v>
      </c>
      <c r="BR30" s="39" t="e">
        <f t="shared" ref="BR30" si="332">+IF(BN28&lt;0,1-BR28/BN28,BR28/BN28-1)</f>
        <v>#DIV/0!</v>
      </c>
      <c r="BS30" s="39" t="e">
        <f t="shared" ref="BS30" si="333">+IF(BO28&lt;0,1-BS28/BO28,BS28/BO28-1)</f>
        <v>#DIV/0!</v>
      </c>
      <c r="BT30" s="39" t="e">
        <f t="shared" ref="BT30" si="334">+IF(BP28&lt;0,1-BT28/BP28,BT28/BP28-1)</f>
        <v>#DIV/0!</v>
      </c>
      <c r="BU30" s="39" t="e">
        <f t="shared" ref="BU30" si="335">+IF(BQ28&lt;0,1-BU28/BQ28,BU28/BQ28-1)</f>
        <v>#DIV/0!</v>
      </c>
      <c r="BV30" s="39" t="e">
        <f t="shared" ref="BV30" si="336">+IF(BR28&lt;0,1-BV28/BR28,BV28/BR28-1)</f>
        <v>#DIV/0!</v>
      </c>
      <c r="BW30" s="39" t="e">
        <f t="shared" ref="BW30" si="337">+IF(BS28&lt;0,1-BW28/BS28,BW28/BS28-1)</f>
        <v>#DIV/0!</v>
      </c>
      <c r="BX30" s="39">
        <f t="shared" ref="BX30" si="338">+IF(BT28&lt;0,1-BX28/BT28,BX28/BT28-1)</f>
        <v>0.13938741785480935</v>
      </c>
      <c r="BY30" s="39">
        <f t="shared" ref="BY30" si="339">+IF(BU28&lt;0,1-BY28/BU28,BY28/BU28-1)</f>
        <v>0.36423575571477351</v>
      </c>
      <c r="BZ30" s="39">
        <f t="shared" ref="BZ30" si="340">+IF(BV28&lt;0,1-BZ28/BV28,BZ28/BV28-1)</f>
        <v>0.21463426825534682</v>
      </c>
      <c r="CA30" s="39">
        <f t="shared" ref="CA30" si="341">+IF(BW28&lt;0,1-CA28/BW28,CA28/BW28-1)</f>
        <v>-0.16408486120337973</v>
      </c>
      <c r="CB30" s="39">
        <f t="shared" ref="CB30" si="342">+IF(BX28&lt;0,1-CB28/BX28,CB28/BX28-1)</f>
        <v>-0.19507218024824646</v>
      </c>
      <c r="CC30" s="39">
        <f t="shared" ref="CC30" si="343">+IF(BY28&lt;0,1-CC28/BY28,CC28/BY28-1)</f>
        <v>-9.0663548889291845E-2</v>
      </c>
      <c r="CD30" s="39">
        <f t="shared" ref="CD30" si="344">+IF(BZ28&lt;0,1-CD28/BZ28,CD28/BZ28-1)</f>
        <v>-0.55182843709651719</v>
      </c>
      <c r="CE30" s="39">
        <f t="shared" ref="CE30" si="345">+IF(CA28&lt;0,1-CE28/CA28,CE28/CA28-1)</f>
        <v>-0.4711776284027186</v>
      </c>
      <c r="CF30" s="39">
        <f t="shared" ref="CF30" si="346">+IF(CB28&lt;0,1-CF28/CB28,CF28/CB28-1)</f>
        <v>-0.21727880324331084</v>
      </c>
      <c r="CG30" s="39">
        <f t="shared" ref="CG30" si="347">+IF(CC28&lt;0,1-CG28/CC28,CG28/CC28-1)</f>
        <v>-0.45032384043123708</v>
      </c>
      <c r="CH30" s="39">
        <f t="shared" ref="CH30:CK30" si="348">+IF(CD28&lt;0,1-CH28/CD28,CH28/CD28-1)</f>
        <v>1.3417503586800716E-2</v>
      </c>
      <c r="CI30" s="39">
        <f t="shared" si="348"/>
        <v>9.6842607938425473E-2</v>
      </c>
      <c r="CJ30" s="39">
        <f t="shared" si="348"/>
        <v>-0.16217192874446229</v>
      </c>
      <c r="CK30" s="39">
        <f t="shared" si="348"/>
        <v>-0.31960323218172315</v>
      </c>
      <c r="CL30" s="40">
        <f t="shared" ref="CL30" si="349">+IF(CH28&lt;0,1-CL28/CH28,CL28/CH28-1)</f>
        <v>0.133595742663557</v>
      </c>
      <c r="CM30" s="40">
        <f t="shared" ref="CM30" si="350">+CM28/CI28-1</f>
        <v>6.4623608116586961E-2</v>
      </c>
      <c r="CN30" s="40">
        <f t="shared" ref="CN30" si="351">+CN28/CJ28-1</f>
        <v>-1.3102010021575961E-2</v>
      </c>
      <c r="CO30" s="40">
        <f t="shared" ref="CO30" si="352">+CO28/CK28-1</f>
        <v>0.24172024540593018</v>
      </c>
      <c r="CP30" s="40">
        <f t="shared" ref="CP30" si="353">+CP28/CL28-1</f>
        <v>9.8716503272176626E-2</v>
      </c>
      <c r="CQ30" s="40">
        <f t="shared" ref="CQ30" si="354">+CQ28/CM28-1</f>
        <v>8.9998831666157297E-2</v>
      </c>
      <c r="CR30" s="40">
        <f t="shared" ref="CR30" si="355">+CR28/CN28-1</f>
        <v>9.7044371788171713E-2</v>
      </c>
      <c r="CS30" s="40">
        <f t="shared" ref="CS30" si="356">+CS28/CO28-1</f>
        <v>0.1277809532661256</v>
      </c>
      <c r="CT30" s="40">
        <f t="shared" ref="CT30" si="357">+CT28/CP28-1</f>
        <v>0.10314406653909791</v>
      </c>
      <c r="CU30" s="40">
        <f t="shared" ref="CU30" si="358">+CU28/CQ28-1</f>
        <v>0.10429087594877018</v>
      </c>
      <c r="CV30" s="40">
        <f t="shared" ref="CV30" si="359">+CV28/CR28-1</f>
        <v>0.10794505171984814</v>
      </c>
      <c r="CW30" s="40">
        <f t="shared" ref="CW30" si="360">+CW28/CS28-1</f>
        <v>0.11068807011505788</v>
      </c>
      <c r="CX30" s="40">
        <f t="shared" ref="CX30" si="361">+CX28/CT28-1</f>
        <v>0.10650507097130513</v>
      </c>
      <c r="CY30" s="40">
        <f t="shared" ref="CY30" si="362">+CY28/CU28-1</f>
        <v>0.10735213969895518</v>
      </c>
      <c r="CZ30" s="40">
        <f t="shared" ref="CZ30" si="363">+CZ28/CV28-1</f>
        <v>0.10812019416239571</v>
      </c>
      <c r="DA30" s="40">
        <f t="shared" ref="DA30" si="364">+DA28/CW28-1</f>
        <v>0.10816401302345757</v>
      </c>
      <c r="DB30" s="40">
        <f t="shared" ref="DB30" si="365">+DB28/CX28-1</f>
        <v>0.10753477103047038</v>
      </c>
      <c r="DE30" s="122"/>
      <c r="DF30" s="38">
        <v>-0.23992087966936004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6">+IF(AJ28&lt;0,1-AK28/AJ28,AK28/AJ28-1)</f>
        <v>#DIV/0!</v>
      </c>
      <c r="AL31" s="39" t="e">
        <f t="shared" si="366"/>
        <v>#DIV/0!</v>
      </c>
      <c r="AM31" s="39" t="e">
        <f t="shared" si="366"/>
        <v>#DIV/0!</v>
      </c>
      <c r="AN31" s="39" t="e">
        <f t="shared" ref="AN31" si="367">+IF(AM28&lt;0,1-AN28/AM28,AN28/AM28-1)</f>
        <v>#DIV/0!</v>
      </c>
      <c r="AO31" s="39" t="e">
        <f t="shared" ref="AO31" si="368">+IF(AN28&lt;0,1-AO28/AN28,AO28/AN28-1)</f>
        <v>#DIV/0!</v>
      </c>
      <c r="AP31" s="39" t="e">
        <f t="shared" ref="AP31" si="369">+IF(AO28&lt;0,1-AP28/AO28,AP28/AO28-1)</f>
        <v>#DIV/0!</v>
      </c>
      <c r="AQ31" s="39" t="e">
        <f t="shared" ref="AQ31" si="370">+IF(AP28&lt;0,1-AQ28/AP28,AQ28/AP28-1)</f>
        <v>#DIV/0!</v>
      </c>
      <c r="AR31" s="39" t="e">
        <f t="shared" ref="AR31" si="371">+IF(AQ28&lt;0,1-AR28/AQ28,AR28/AQ28-1)</f>
        <v>#DIV/0!</v>
      </c>
      <c r="AS31" s="39" t="e">
        <f t="shared" ref="AS31" si="372">+IF(AR28&lt;0,1-AS28/AR28,AS28/AR28-1)</f>
        <v>#DIV/0!</v>
      </c>
      <c r="AT31" s="39" t="e">
        <f t="shared" ref="AT31" si="373">+IF(AS28&lt;0,1-AT28/AS28,AT28/AS28-1)</f>
        <v>#DIV/0!</v>
      </c>
      <c r="AU31" s="39" t="e">
        <f t="shared" ref="AU31" si="374">+IF(AT28&lt;0,1-AU28/AT28,AU28/AT28-1)</f>
        <v>#DIV/0!</v>
      </c>
      <c r="AV31" s="39" t="e">
        <f t="shared" ref="AV31" si="375">+IF(AU28&lt;0,1-AV28/AU28,AV28/AU28-1)</f>
        <v>#DIV/0!</v>
      </c>
      <c r="AW31" s="39" t="e">
        <f t="shared" ref="AW31" si="376">+IF(AV28&lt;0,1-AW28/AV28,AW28/AV28-1)</f>
        <v>#DIV/0!</v>
      </c>
      <c r="AX31" s="39" t="e">
        <f t="shared" ref="AX31" si="377">+IF(AW28&lt;0,1-AX28/AW28,AX28/AW28-1)</f>
        <v>#DIV/0!</v>
      </c>
      <c r="AY31" s="39" t="e">
        <f t="shared" ref="AY31" si="378">+IF(AX28&lt;0,1-AY28/AX28,AY28/AX28-1)</f>
        <v>#DIV/0!</v>
      </c>
      <c r="AZ31" s="39" t="e">
        <f t="shared" ref="AZ31" si="379">+IF(AY28&lt;0,1-AZ28/AY28,AZ28/AY28-1)</f>
        <v>#DIV/0!</v>
      </c>
      <c r="BA31" s="39" t="e">
        <f t="shared" ref="BA31" si="380">+IF(AZ28&lt;0,1-BA28/AZ28,BA28/AZ28-1)</f>
        <v>#DIV/0!</v>
      </c>
      <c r="BB31" s="39" t="e">
        <f t="shared" ref="BB31" si="381">+IF(BA28&lt;0,1-BB28/BA28,BB28/BA28-1)</f>
        <v>#DIV/0!</v>
      </c>
      <c r="BC31" s="39" t="e">
        <f t="shared" ref="BC31" si="382">+IF(BB28&lt;0,1-BC28/BB28,BC28/BB28-1)</f>
        <v>#DIV/0!</v>
      </c>
      <c r="BD31" s="39" t="e">
        <f t="shared" ref="BD31" si="383">+IF(BC28&lt;0,1-BD28/BC28,BD28/BC28-1)</f>
        <v>#DIV/0!</v>
      </c>
      <c r="BE31" s="39" t="e">
        <f t="shared" ref="BE31" si="384">+IF(BD28&lt;0,1-BE28/BD28,BE28/BD28-1)</f>
        <v>#DIV/0!</v>
      </c>
      <c r="BF31" s="39" t="e">
        <f t="shared" ref="BF31" si="385">+IF(BE28&lt;0,1-BF28/BE28,BF28/BE28-1)</f>
        <v>#DIV/0!</v>
      </c>
      <c r="BG31" s="39" t="e">
        <f t="shared" ref="BG31" si="386">+IF(BF28&lt;0,1-BG28/BF28,BG28/BF28-1)</f>
        <v>#DIV/0!</v>
      </c>
      <c r="BH31" s="39" t="e">
        <f t="shared" ref="BH31" si="387">+IF(BG28&lt;0,1-BH28/BG28,BH28/BG28-1)</f>
        <v>#DIV/0!</v>
      </c>
      <c r="BI31" s="39" t="e">
        <f t="shared" ref="BI31" si="388">+IF(BH28&lt;0,1-BI28/BH28,BI28/BH28-1)</f>
        <v>#DIV/0!</v>
      </c>
      <c r="BJ31" s="39" t="e">
        <f t="shared" ref="BJ31" si="389">+IF(BI28&lt;0,1-BJ28/BI28,BJ28/BI28-1)</f>
        <v>#DIV/0!</v>
      </c>
      <c r="BK31" s="39" t="e">
        <f t="shared" ref="BK31" si="390">+IF(BJ28&lt;0,1-BK28/BJ28,BK28/BJ28-1)</f>
        <v>#DIV/0!</v>
      </c>
      <c r="BL31" s="39" t="e">
        <f t="shared" ref="BL31" si="391">+IF(BK28&lt;0,1-BL28/BK28,BL28/BK28-1)</f>
        <v>#DIV/0!</v>
      </c>
      <c r="BM31" s="39" t="e">
        <f t="shared" ref="BM31" si="392">+IF(BL28&lt;0,1-BM28/BL28,BM28/BL28-1)</f>
        <v>#DIV/0!</v>
      </c>
      <c r="BN31" s="39" t="e">
        <f t="shared" ref="BN31" si="393">+IF(BM28&lt;0,1-BN28/BM28,BN28/BM28-1)</f>
        <v>#DIV/0!</v>
      </c>
      <c r="BO31" s="39" t="e">
        <f t="shared" ref="BO31" si="394">+IF(BN28&lt;0,1-BO28/BN28,BO28/BN28-1)</f>
        <v>#DIV/0!</v>
      </c>
      <c r="BP31" s="39" t="e">
        <f t="shared" ref="BP31" si="395">+IF(BO28&lt;0,1-BP28/BO28,BP28/BO28-1)</f>
        <v>#DIV/0!</v>
      </c>
      <c r="BQ31" s="39" t="e">
        <f t="shared" ref="BQ31" si="396">+IF(BP28&lt;0,1-BQ28/BP28,BQ28/BP28-1)</f>
        <v>#DIV/0!</v>
      </c>
      <c r="BR31" s="39" t="e">
        <f t="shared" ref="BR31" si="397">+IF(BQ28&lt;0,1-BR28/BQ28,BR28/BQ28-1)</f>
        <v>#DIV/0!</v>
      </c>
      <c r="BS31" s="39" t="e">
        <f t="shared" ref="BS31" si="398">+IF(BR28&lt;0,1-BS28/BR28,BS28/BR28-1)</f>
        <v>#DIV/0!</v>
      </c>
      <c r="BT31" s="39" t="e">
        <f t="shared" ref="BT31" si="399">+IF(BS28&lt;0,1-BT28/BS28,BT28/BS28-1)</f>
        <v>#DIV/0!</v>
      </c>
      <c r="BU31" s="39">
        <f t="shared" ref="BU31" si="400">+IF(BT28&lt;0,1-BU28/BT28,BU28/BT28-1)</f>
        <v>0.12639790938088424</v>
      </c>
      <c r="BV31" s="39">
        <f t="shared" ref="BV31" si="401">+IF(BU28&lt;0,1-BV28/BU28,BV28/BU28-1)</f>
        <v>0.36513988399863551</v>
      </c>
      <c r="BW31" s="39">
        <f t="shared" ref="BW31" si="402">+IF(BV28&lt;0,1-BW28/BV28,BW28/BV28-1)</f>
        <v>6.335559734831131E-3</v>
      </c>
      <c r="BX31" s="39">
        <f t="shared" ref="BX31" si="403">+IF(BW28&lt;0,1-BX28/BW28,BX28/BW28-1)</f>
        <v>-0.26369184728956974</v>
      </c>
      <c r="BY31" s="39">
        <f t="shared" ref="BY31" si="404">+IF(BX28&lt;0,1-BY28/BX28,BY28/BX28-1)</f>
        <v>0.34868287911494877</v>
      </c>
      <c r="BZ31" s="39">
        <f t="shared" ref="BZ31" si="405">+IF(BY28&lt;0,1-BZ28/BY28,BZ28/BY28-1)</f>
        <v>0.21543925023289545</v>
      </c>
      <c r="CA31" s="39">
        <f t="shared" ref="CA31" si="406">+IF(BZ28&lt;0,1-CA28/BZ28,CA28/BZ28-1)</f>
        <v>-0.30743669014048258</v>
      </c>
      <c r="CB31" s="39">
        <f t="shared" ref="CB31" si="407">+IF(CA28&lt;0,1-CB28/CA28,CB28/CA28-1)</f>
        <v>-0.29098674193189045</v>
      </c>
      <c r="CC31" s="39">
        <f t="shared" ref="CC31" si="408">+IF(CB28&lt;0,1-CC28/CB28,CC28/CB28-1)</f>
        <v>0.52362295459783414</v>
      </c>
      <c r="CD31" s="39">
        <f t="shared" ref="CD31" si="409">+IF(CC28&lt;0,1-CD28/CC28,CD28/CC28-1)</f>
        <v>-0.40096395814138996</v>
      </c>
      <c r="CE31" s="39">
        <f t="shared" ref="CE31" si="410">+IF(CD28&lt;0,1-CE28/CD28,CE28/CD28-1)</f>
        <v>-0.18280631276900972</v>
      </c>
      <c r="CF31" s="39">
        <f t="shared" ref="CF31" si="411">+IF(CE28&lt;0,1-CF28/CE28,CF28/CE28-1)</f>
        <v>4.9425545661395009E-2</v>
      </c>
      <c r="CG31" s="39">
        <f t="shared" ref="CG31" si="412">+IF(CF28&lt;0,1-CG28/CF28,CG28/CF28-1)</f>
        <v>6.9984073236345257E-2</v>
      </c>
      <c r="CH31" s="39">
        <f t="shared" ref="CH31:CI31" si="413">+IF(CG28&lt;0,1-CH28/CG28,CH28/CG28-1)</f>
        <v>0.10442048382658231</v>
      </c>
      <c r="CI31" s="39">
        <f t="shared" si="413"/>
        <v>-0.11553446440301685</v>
      </c>
      <c r="CJ31" s="39">
        <f>+IF(CI28&gt;1,CJ28/CI28-1,1-CJ28/CI28)</f>
        <v>-0.19839166122443741</v>
      </c>
      <c r="CK31" s="39">
        <f>+IF(CJ28&gt;1,CK28/CJ28-1,1-CK28/CJ28)</f>
        <v>-0.13107028753993666</v>
      </c>
      <c r="CL31" s="40">
        <f t="shared" ref="CL31" si="414">+IF(CK28&lt;0,1-CL28/CK28,CL28/CK28-1)</f>
        <v>0.84005335973409534</v>
      </c>
      <c r="CM31" s="40">
        <f t="shared" ref="CM31" si="415">+CM28/CL28-1</f>
        <v>-0.16934860080760139</v>
      </c>
      <c r="CN31" s="40">
        <f t="shared" ref="CN31" si="416">+CN28/CM28-1</f>
        <v>-0.25691516489373933</v>
      </c>
      <c r="CO31" s="40">
        <f t="shared" ref="CO31" si="417">+CO28/CN28-1</f>
        <v>9.329193772094202E-2</v>
      </c>
      <c r="CP31" s="40">
        <f t="shared" ref="CP31" si="418">+CP28/CO28-1</f>
        <v>0.62814208814027528</v>
      </c>
      <c r="CQ31" s="40">
        <f t="shared" ref="CQ31" si="419">+CQ28/CP28-1</f>
        <v>-0.17593933289879504</v>
      </c>
      <c r="CR31" s="40">
        <f t="shared" ref="CR31" si="420">+CR28/CQ28-1</f>
        <v>-0.25211200926851829</v>
      </c>
      <c r="CS31" s="40">
        <f t="shared" ref="CS31" si="421">+CS28/CR28-1</f>
        <v>0.1239233848958412</v>
      </c>
      <c r="CT31" s="40">
        <f t="shared" ref="CT31" si="422">+CT28/CS28-1</f>
        <v>0.59257458535097007</v>
      </c>
      <c r="CU31" s="40">
        <f t="shared" ref="CU31" si="423">+CU28/CT28-1</f>
        <v>-0.17508265374342669</v>
      </c>
      <c r="CV31" s="40">
        <f t="shared" ref="CV31" si="424">+CV28/CU28-1</f>
        <v>-0.24963719558062725</v>
      </c>
      <c r="CW31" s="40">
        <f t="shared" ref="CW31" si="425">+CW28/CV28-1</f>
        <v>0.12670596198735851</v>
      </c>
      <c r="CX31" s="40">
        <f t="shared" ref="CX31" si="426">+CX28/CW28-1</f>
        <v>0.58657673743477212</v>
      </c>
      <c r="CY31" s="40">
        <f t="shared" ref="CY31" si="427">+CY28/CX28-1</f>
        <v>-0.17445115036830294</v>
      </c>
      <c r="CZ31" s="40">
        <f t="shared" ref="CZ31" si="428">+CZ28/CY28-1</f>
        <v>-0.24911674731446798</v>
      </c>
      <c r="DA31" s="40">
        <f t="shared" ref="DA31" si="429">+DA28/CZ28-1</f>
        <v>0.12675051579322361</v>
      </c>
      <c r="DB31" s="40">
        <f t="shared" ref="DB31" si="430">+DB28/DA28-1</f>
        <v>0.58567584127088534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35.683999999999997</v>
      </c>
      <c r="Q32" s="23">
        <f>'Annual Raw'!R27</f>
        <v>72.391900000000007</v>
      </c>
      <c r="R32" s="23">
        <f>'Annual Raw'!S27</f>
        <v>81.361900000000006</v>
      </c>
      <c r="S32" s="23">
        <f>'Annual Raw'!T27</f>
        <v>72.765699999999995</v>
      </c>
      <c r="T32" s="23">
        <f>'Annual Raw'!U27</f>
        <v>49.317</v>
      </c>
      <c r="U32" s="23">
        <f>'Annual Raw'!V27</f>
        <v>51.761000000000003</v>
      </c>
      <c r="V32" s="23">
        <f>'Annual Raw'!W27</f>
        <v>55.383499999999998</v>
      </c>
      <c r="W32" s="23">
        <f>'Annual Raw'!X27</f>
        <v>66.861900000000006</v>
      </c>
      <c r="X32" s="23">
        <f>'Annual Raw'!Y27</f>
        <v>68.633399999999995</v>
      </c>
      <c r="Y32" s="23">
        <f>'Annual Raw'!Z27</f>
        <v>70.337100000000007</v>
      </c>
      <c r="Z32" s="23">
        <f>'Annual Raw'!AA27</f>
        <v>79.384500000000003</v>
      </c>
      <c r="AA32" s="23">
        <f>'Annual Raw'!AB27</f>
        <v>92.8887</v>
      </c>
      <c r="AB32" s="76">
        <f>+SUM(CM32:CP32)</f>
        <v>88.613346672602759</v>
      </c>
      <c r="AC32" s="76">
        <f>+SUM(CQ32:CT32)</f>
        <v>82.417752826453508</v>
      </c>
      <c r="AD32" s="76">
        <f>+SUM(CU32:CX32)</f>
        <v>76.65533732812429</v>
      </c>
      <c r="AE32" s="76">
        <f>+SUM(CY32:DB32)</f>
        <v>71.295813576252954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16.617000000000001</v>
      </c>
      <c r="BU32" s="23">
        <f>'QTR Raw'!AO28</f>
        <v>16.821000000000002</v>
      </c>
      <c r="BV32" s="23">
        <f>'QTR Raw'!AP28</f>
        <v>17.288</v>
      </c>
      <c r="BW32" s="23">
        <f>'QTR Raw'!AQ28</f>
        <v>17.623999999999999</v>
      </c>
      <c r="BX32" s="23">
        <f>'QTR Raw'!AR28</f>
        <v>16.895</v>
      </c>
      <c r="BY32" s="23">
        <f>'QTR Raw'!AS28</f>
        <v>16.818000000000001</v>
      </c>
      <c r="BZ32" s="23">
        <f>'QTR Raw'!AT28</f>
        <v>17.297000000000001</v>
      </c>
      <c r="CA32" s="23">
        <f>'QTR Raw'!AU28</f>
        <v>17.507999999999999</v>
      </c>
      <c r="CB32" s="23">
        <f>'QTR Raw'!AV28</f>
        <v>17.503</v>
      </c>
      <c r="CC32" s="23">
        <f>'QTR Raw'!AW28</f>
        <v>17.66</v>
      </c>
      <c r="CD32" s="23">
        <f>'QTR Raw'!AX28</f>
        <v>17.667000000000002</v>
      </c>
      <c r="CE32" s="23">
        <f>'QTR Raw'!AY28</f>
        <v>18.64</v>
      </c>
      <c r="CF32" s="23">
        <f>'QTR Raw'!AZ28</f>
        <v>19.460999999999999</v>
      </c>
      <c r="CG32" s="23">
        <f>'QTR Raw'!BA28</f>
        <v>20.145</v>
      </c>
      <c r="CH32" s="23">
        <f>'QTR Raw'!BB28</f>
        <v>21.138999999999999</v>
      </c>
      <c r="CI32" s="23">
        <f>'QTR Raw'!BC28</f>
        <v>22.937000000000001</v>
      </c>
      <c r="CJ32" s="23">
        <f>'QTR Raw'!BD28</f>
        <v>23.55</v>
      </c>
      <c r="CK32" s="23">
        <f>'QTR Raw'!BE28</f>
        <v>23.599</v>
      </c>
      <c r="CL32" s="24">
        <f t="shared" ref="CL32:DB32" si="431">CL33*CK134</f>
        <v>23.175227590761992</v>
      </c>
      <c r="CM32" s="24">
        <f t="shared" si="431"/>
        <v>22.759064955447936</v>
      </c>
      <c r="CN32" s="24">
        <f t="shared" si="431"/>
        <v>22.350375443681568</v>
      </c>
      <c r="CO32" s="24">
        <f t="shared" si="431"/>
        <v>21.94902485894734</v>
      </c>
      <c r="CP32" s="24">
        <f t="shared" si="431"/>
        <v>21.554881414525919</v>
      </c>
      <c r="CQ32" s="24">
        <f t="shared" si="431"/>
        <v>21.167815690220941</v>
      </c>
      <c r="CR32" s="24">
        <f t="shared" si="431"/>
        <v>20.787700589862826</v>
      </c>
      <c r="CS32" s="24">
        <f t="shared" si="431"/>
        <v>20.414411299575754</v>
      </c>
      <c r="CT32" s="24">
        <f t="shared" si="431"/>
        <v>20.047825246793987</v>
      </c>
      <c r="CU32" s="24">
        <f t="shared" si="431"/>
        <v>19.687822060014188</v>
      </c>
      <c r="CV32" s="24">
        <f t="shared" si="431"/>
        <v>19.334283529270451</v>
      </c>
      <c r="CW32" s="24">
        <f t="shared" si="431"/>
        <v>18.987093567319103</v>
      </c>
      <c r="CX32" s="24">
        <f t="shared" si="431"/>
        <v>18.646138171520544</v>
      </c>
      <c r="CY32" s="24">
        <f t="shared" si="431"/>
        <v>18.31130538640549</v>
      </c>
      <c r="CZ32" s="24">
        <f t="shared" si="431"/>
        <v>17.98248526691356</v>
      </c>
      <c r="DA32" s="24">
        <f t="shared" si="431"/>
        <v>17.65956984229188</v>
      </c>
      <c r="DB32" s="24">
        <f t="shared" si="431"/>
        <v>17.342453080642027</v>
      </c>
      <c r="DE32" s="123"/>
      <c r="DF32" s="23">
        <v>92.8887</v>
      </c>
    </row>
    <row r="33" spans="1:110" s="46" customFormat="1" x14ac:dyDescent="0.2">
      <c r="A33" s="46" t="s">
        <v>483</v>
      </c>
      <c r="B33" s="46" t="e">
        <f t="shared" ref="B33:D33" si="432">+B32/B134</f>
        <v>#DIV/0!</v>
      </c>
      <c r="C33" s="46" t="e">
        <f t="shared" si="432"/>
        <v>#DIV/0!</v>
      </c>
      <c r="D33" s="46" t="e">
        <f t="shared" si="432"/>
        <v>#DIV/0!</v>
      </c>
      <c r="E33" s="46" t="e">
        <f t="shared" ref="E33:AE33" si="433">+E32/E134</f>
        <v>#DIV/0!</v>
      </c>
      <c r="F33" s="46" t="e">
        <f t="shared" si="433"/>
        <v>#DIV/0!</v>
      </c>
      <c r="G33" s="46" t="e">
        <f t="shared" si="433"/>
        <v>#DIV/0!</v>
      </c>
      <c r="H33" s="46" t="e">
        <f t="shared" si="433"/>
        <v>#DIV/0!</v>
      </c>
      <c r="I33" s="46" t="e">
        <f t="shared" si="433"/>
        <v>#DIV/0!</v>
      </c>
      <c r="J33" s="46" t="e">
        <f t="shared" si="433"/>
        <v>#DIV/0!</v>
      </c>
      <c r="K33" s="46" t="e">
        <f t="shared" si="433"/>
        <v>#DIV/0!</v>
      </c>
      <c r="L33" s="46" t="e">
        <f t="shared" si="433"/>
        <v>#DIV/0!</v>
      </c>
      <c r="M33" s="46" t="e">
        <f t="shared" si="433"/>
        <v>#DIV/0!</v>
      </c>
      <c r="N33" s="46" t="e">
        <f t="shared" si="433"/>
        <v>#DIV/0!</v>
      </c>
      <c r="O33" s="46" t="e">
        <f t="shared" si="433"/>
        <v>#DIV/0!</v>
      </c>
      <c r="P33" s="46">
        <f t="shared" si="433"/>
        <v>4.623943693728131E-2</v>
      </c>
      <c r="Q33" s="46">
        <f t="shared" si="433"/>
        <v>7.1432581855455798E-2</v>
      </c>
      <c r="R33" s="46">
        <f t="shared" si="433"/>
        <v>8.1873296987644228E-2</v>
      </c>
      <c r="S33" s="46">
        <f t="shared" si="433"/>
        <v>7.7409092132475765E-2</v>
      </c>
      <c r="T33" s="46">
        <f t="shared" si="433"/>
        <v>5.2675033377837119E-2</v>
      </c>
      <c r="U33" s="46">
        <f t="shared" si="433"/>
        <v>5.6537700720798077E-2</v>
      </c>
      <c r="V33" s="46">
        <f t="shared" si="433"/>
        <v>5.3135863597018822E-2</v>
      </c>
      <c r="W33" s="46">
        <f t="shared" si="433"/>
        <v>6.1556130856918752E-2</v>
      </c>
      <c r="X33" s="46">
        <f t="shared" si="433"/>
        <v>6.1827268771794529E-2</v>
      </c>
      <c r="Y33" s="46">
        <f t="shared" si="433"/>
        <v>6.065009162559639E-2</v>
      </c>
      <c r="Z33" s="46">
        <f t="shared" si="433"/>
        <v>5.7605756591813426E-2</v>
      </c>
      <c r="AA33" s="46">
        <f t="shared" ref="AA33" si="434">+AA32/AA134</f>
        <v>6.7155469509623741E-2</v>
      </c>
      <c r="AB33" s="110">
        <f t="shared" si="433"/>
        <v>7.517304990340222E-2</v>
      </c>
      <c r="AC33" s="110">
        <f t="shared" si="433"/>
        <v>7.5173049903402234E-2</v>
      </c>
      <c r="AD33" s="110">
        <f t="shared" si="433"/>
        <v>7.5173049903402234E-2</v>
      </c>
      <c r="AE33" s="110">
        <f t="shared" si="433"/>
        <v>7.5173049903402234E-2</v>
      </c>
      <c r="AI33" s="46" t="e">
        <f t="shared" ref="AI33:BN33" si="435">+AI32/AH134</f>
        <v>#DIV/0!</v>
      </c>
      <c r="AJ33" s="46" t="e">
        <f t="shared" si="435"/>
        <v>#DIV/0!</v>
      </c>
      <c r="AK33" s="46" t="e">
        <f t="shared" si="435"/>
        <v>#DIV/0!</v>
      </c>
      <c r="AL33" s="46" t="e">
        <f t="shared" si="435"/>
        <v>#DIV/0!</v>
      </c>
      <c r="AM33" s="46" t="e">
        <f t="shared" si="435"/>
        <v>#DIV/0!</v>
      </c>
      <c r="AN33" s="46" t="e">
        <f t="shared" si="435"/>
        <v>#DIV/0!</v>
      </c>
      <c r="AO33" s="46" t="e">
        <f t="shared" si="435"/>
        <v>#DIV/0!</v>
      </c>
      <c r="AP33" s="46" t="e">
        <f t="shared" si="435"/>
        <v>#DIV/0!</v>
      </c>
      <c r="AQ33" s="46" t="e">
        <f t="shared" si="435"/>
        <v>#DIV/0!</v>
      </c>
      <c r="AR33" s="46" t="e">
        <f t="shared" si="435"/>
        <v>#DIV/0!</v>
      </c>
      <c r="AS33" s="46" t="e">
        <f t="shared" si="435"/>
        <v>#DIV/0!</v>
      </c>
      <c r="AT33" s="46" t="e">
        <f t="shared" si="435"/>
        <v>#DIV/0!</v>
      </c>
      <c r="AU33" s="46" t="e">
        <f t="shared" si="435"/>
        <v>#DIV/0!</v>
      </c>
      <c r="AV33" s="46" t="e">
        <f t="shared" si="435"/>
        <v>#DIV/0!</v>
      </c>
      <c r="AW33" s="46" t="e">
        <f t="shared" si="435"/>
        <v>#DIV/0!</v>
      </c>
      <c r="AX33" s="46" t="e">
        <f t="shared" si="435"/>
        <v>#DIV/0!</v>
      </c>
      <c r="AY33" s="46" t="e">
        <f t="shared" si="435"/>
        <v>#DIV/0!</v>
      </c>
      <c r="AZ33" s="46" t="e">
        <f t="shared" si="435"/>
        <v>#DIV/0!</v>
      </c>
      <c r="BA33" s="46" t="e">
        <f t="shared" si="435"/>
        <v>#DIV/0!</v>
      </c>
      <c r="BB33" s="46" t="e">
        <f t="shared" si="435"/>
        <v>#DIV/0!</v>
      </c>
      <c r="BC33" s="46" t="e">
        <f t="shared" si="435"/>
        <v>#DIV/0!</v>
      </c>
      <c r="BD33" s="46" t="e">
        <f t="shared" si="435"/>
        <v>#DIV/0!</v>
      </c>
      <c r="BE33" s="46" t="e">
        <f t="shared" si="435"/>
        <v>#DIV/0!</v>
      </c>
      <c r="BF33" s="46" t="e">
        <f t="shared" si="435"/>
        <v>#DIV/0!</v>
      </c>
      <c r="BG33" s="46" t="e">
        <f t="shared" si="435"/>
        <v>#DIV/0!</v>
      </c>
      <c r="BH33" s="46" t="e">
        <f t="shared" si="435"/>
        <v>#DIV/0!</v>
      </c>
      <c r="BI33" s="46" t="e">
        <f t="shared" si="435"/>
        <v>#DIV/0!</v>
      </c>
      <c r="BJ33" s="46" t="e">
        <f t="shared" si="435"/>
        <v>#DIV/0!</v>
      </c>
      <c r="BK33" s="46" t="e">
        <f t="shared" si="435"/>
        <v>#DIV/0!</v>
      </c>
      <c r="BL33" s="46" t="e">
        <f t="shared" si="435"/>
        <v>#DIV/0!</v>
      </c>
      <c r="BM33" s="46" t="e">
        <f t="shared" si="435"/>
        <v>#DIV/0!</v>
      </c>
      <c r="BN33" s="46" t="e">
        <f t="shared" si="435"/>
        <v>#DIV/0!</v>
      </c>
      <c r="BO33" s="46" t="e">
        <f t="shared" ref="BO33:CK33" si="436">+BO32/BN134</f>
        <v>#DIV/0!</v>
      </c>
      <c r="BP33" s="46" t="e">
        <f t="shared" si="436"/>
        <v>#DIV/0!</v>
      </c>
      <c r="BQ33" s="46" t="e">
        <f t="shared" si="436"/>
        <v>#DIV/0!</v>
      </c>
      <c r="BR33" s="46" t="e">
        <f t="shared" si="436"/>
        <v>#DIV/0!</v>
      </c>
      <c r="BS33" s="46" t="e">
        <f t="shared" si="436"/>
        <v>#DIV/0!</v>
      </c>
      <c r="BT33" s="46" t="e">
        <f t="shared" si="436"/>
        <v>#DIV/0!</v>
      </c>
      <c r="BU33" s="46" t="e">
        <f t="shared" si="436"/>
        <v>#DIV/0!</v>
      </c>
      <c r="BV33" s="46" t="e">
        <f t="shared" si="436"/>
        <v>#DIV/0!</v>
      </c>
      <c r="BW33" s="46">
        <f t="shared" si="436"/>
        <v>1.6854185095751546E-2</v>
      </c>
      <c r="BX33" s="46">
        <f t="shared" si="436"/>
        <v>1.6157027757190332E-2</v>
      </c>
      <c r="BY33" s="46">
        <f t="shared" si="436"/>
        <v>1.6467408865258645E-2</v>
      </c>
      <c r="BZ33" s="46">
        <f t="shared" si="436"/>
        <v>1.6936423542774335E-2</v>
      </c>
      <c r="CA33" s="46">
        <f t="shared" si="436"/>
        <v>1.6438525940816424E-2</v>
      </c>
      <c r="CB33" s="46">
        <f t="shared" si="436"/>
        <v>1.6433831365210753E-2</v>
      </c>
      <c r="CC33" s="46">
        <f t="shared" si="436"/>
        <v>1.6778730726074397E-2</v>
      </c>
      <c r="CD33" s="46">
        <f t="shared" si="436"/>
        <v>1.6785381412092661E-2</v>
      </c>
      <c r="CE33" s="46">
        <f t="shared" si="436"/>
        <v>1.6640806757738779E-2</v>
      </c>
      <c r="CF33" s="46">
        <f t="shared" si="436"/>
        <v>1.7373752162679956E-2</v>
      </c>
      <c r="CG33" s="46">
        <f t="shared" si="436"/>
        <v>1.697321526367673E-2</v>
      </c>
      <c r="CH33" s="46">
        <f t="shared" si="436"/>
        <v>1.7810712209424789E-2</v>
      </c>
      <c r="CI33" s="46">
        <f t="shared" si="436"/>
        <v>1.6644347938784328E-2</v>
      </c>
      <c r="CJ33" s="46">
        <f t="shared" si="436"/>
        <v>1.737842701842866E-2</v>
      </c>
      <c r="CK33" s="46">
        <f t="shared" si="436"/>
        <v>1.7957218917666468E-2</v>
      </c>
      <c r="CL33" s="47">
        <f t="shared" ref="CL33" si="437">CK33</f>
        <v>1.7957218917666468E-2</v>
      </c>
      <c r="CM33" s="47">
        <f t="shared" ref="CM33" si="438">CL33</f>
        <v>1.7957218917666468E-2</v>
      </c>
      <c r="CN33" s="47">
        <f t="shared" ref="CN33" si="439">CM33</f>
        <v>1.7957218917666468E-2</v>
      </c>
      <c r="CO33" s="47">
        <f t="shared" ref="CO33" si="440">CN33</f>
        <v>1.7957218917666468E-2</v>
      </c>
      <c r="CP33" s="47">
        <f t="shared" ref="CP33" si="441">CO33</f>
        <v>1.7957218917666468E-2</v>
      </c>
      <c r="CQ33" s="47">
        <f t="shared" ref="CQ33" si="442">CP33</f>
        <v>1.7957218917666468E-2</v>
      </c>
      <c r="CR33" s="47">
        <f t="shared" ref="CR33" si="443">CQ33</f>
        <v>1.7957218917666468E-2</v>
      </c>
      <c r="CS33" s="47">
        <f t="shared" ref="CS33" si="444">CR33</f>
        <v>1.7957218917666468E-2</v>
      </c>
      <c r="CT33" s="47">
        <f t="shared" ref="CT33" si="445">CS33</f>
        <v>1.7957218917666468E-2</v>
      </c>
      <c r="CU33" s="47">
        <f t="shared" ref="CU33" si="446">CT33</f>
        <v>1.7957218917666468E-2</v>
      </c>
      <c r="CV33" s="47">
        <f t="shared" ref="CV33" si="447">CU33</f>
        <v>1.7957218917666468E-2</v>
      </c>
      <c r="CW33" s="47">
        <f t="shared" ref="CW33" si="448">CV33</f>
        <v>1.7957218917666468E-2</v>
      </c>
      <c r="CX33" s="47">
        <f t="shared" ref="CX33" si="449">CW33</f>
        <v>1.7957218917666468E-2</v>
      </c>
      <c r="CY33" s="47">
        <f t="shared" ref="CY33" si="450">CX33</f>
        <v>1.7957218917666468E-2</v>
      </c>
      <c r="CZ33" s="47">
        <f t="shared" ref="CZ33" si="451">CY33</f>
        <v>1.7957218917666468E-2</v>
      </c>
      <c r="DA33" s="47">
        <f t="shared" ref="DA33" si="452">CZ33</f>
        <v>1.7957218917666468E-2</v>
      </c>
      <c r="DB33" s="47">
        <f t="shared" ref="DB33" si="453">DA33</f>
        <v>1.7957218917666468E-2</v>
      </c>
      <c r="DE33" s="130"/>
      <c r="DF33" s="46">
        <v>6.7155469509623741E-2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54">C28-C32</f>
        <v>0</v>
      </c>
      <c r="D34" s="26">
        <f>D28-D32</f>
        <v>0</v>
      </c>
      <c r="E34" s="26">
        <f t="shared" si="454"/>
        <v>0</v>
      </c>
      <c r="F34" s="26">
        <f t="shared" si="454"/>
        <v>0</v>
      </c>
      <c r="G34" s="26">
        <f t="shared" si="454"/>
        <v>0</v>
      </c>
      <c r="H34" s="26">
        <f t="shared" si="454"/>
        <v>0</v>
      </c>
      <c r="I34" s="26">
        <f t="shared" si="454"/>
        <v>0</v>
      </c>
      <c r="J34" s="26">
        <f t="shared" si="454"/>
        <v>0</v>
      </c>
      <c r="K34" s="26">
        <f t="shared" si="454"/>
        <v>0</v>
      </c>
      <c r="L34" s="26">
        <f t="shared" si="454"/>
        <v>0</v>
      </c>
      <c r="M34" s="26">
        <f t="shared" si="454"/>
        <v>0</v>
      </c>
      <c r="N34" s="26">
        <f t="shared" si="454"/>
        <v>0</v>
      </c>
      <c r="O34" s="26">
        <f t="shared" si="454"/>
        <v>0</v>
      </c>
      <c r="P34" s="26">
        <f t="shared" si="454"/>
        <v>55.270600000000002</v>
      </c>
      <c r="Q34" s="26">
        <f t="shared" si="454"/>
        <v>32.837000000000003</v>
      </c>
      <c r="R34" s="26">
        <f t="shared" si="454"/>
        <v>-11.862600000000029</v>
      </c>
      <c r="S34" s="26">
        <f t="shared" si="454"/>
        <v>10.026999999999973</v>
      </c>
      <c r="T34" s="26">
        <f t="shared" si="454"/>
        <v>23.363000000000007</v>
      </c>
      <c r="U34" s="26">
        <f t="shared" ref="U34:Z34" si="455">U28-U32</f>
        <v>96.224999999999994</v>
      </c>
      <c r="V34" s="26">
        <f t="shared" si="455"/>
        <v>206.84280000000004</v>
      </c>
      <c r="W34" s="26">
        <f t="shared" si="455"/>
        <v>400.29149999999993</v>
      </c>
      <c r="X34" s="26">
        <f t="shared" si="455"/>
        <v>565.36370000000011</v>
      </c>
      <c r="Y34" s="26">
        <f t="shared" si="455"/>
        <v>392.32190000000008</v>
      </c>
      <c r="Z34" s="26">
        <f t="shared" si="455"/>
        <v>234.76990000000012</v>
      </c>
      <c r="AA34" s="26">
        <f t="shared" ref="AA34" si="456">AA28-AA32</f>
        <v>145.8935000000001</v>
      </c>
      <c r="AB34" s="27">
        <f t="shared" ref="AB34:AD34" si="457">AB28-AB32</f>
        <v>233.81969962490945</v>
      </c>
      <c r="AC34" s="27">
        <f t="shared" si="457"/>
        <v>273.46667922284206</v>
      </c>
      <c r="AD34" s="27">
        <f t="shared" si="457"/>
        <v>317.34816765784484</v>
      </c>
      <c r="AE34" s="27">
        <f t="shared" ref="AE34" si="458">AE28-AE32</f>
        <v>365.15568918435849</v>
      </c>
      <c r="AI34" s="26">
        <f t="shared" ref="AI34" si="459">AI28-AI32</f>
        <v>0</v>
      </c>
      <c r="AJ34" s="26">
        <f t="shared" ref="AJ34" si="460">AJ28-AJ32</f>
        <v>0</v>
      </c>
      <c r="AK34" s="26">
        <f t="shared" ref="AK34:AM34" si="461">AK28-AK32</f>
        <v>0</v>
      </c>
      <c r="AL34" s="26">
        <f t="shared" si="461"/>
        <v>0</v>
      </c>
      <c r="AM34" s="26">
        <f t="shared" si="461"/>
        <v>0</v>
      </c>
      <c r="AN34" s="26">
        <f t="shared" ref="AN34:AO34" si="462">AN28-AN32</f>
        <v>0</v>
      </c>
      <c r="AO34" s="26">
        <f t="shared" si="462"/>
        <v>0</v>
      </c>
      <c r="AP34" s="26">
        <f t="shared" ref="AP34:CD34" si="463">AP28-AP32</f>
        <v>0</v>
      </c>
      <c r="AQ34" s="26">
        <f t="shared" si="463"/>
        <v>0</v>
      </c>
      <c r="AR34" s="26">
        <f t="shared" si="463"/>
        <v>0</v>
      </c>
      <c r="AS34" s="26">
        <f t="shared" si="463"/>
        <v>0</v>
      </c>
      <c r="AT34" s="26">
        <f t="shared" si="463"/>
        <v>0</v>
      </c>
      <c r="AU34" s="26">
        <f t="shared" si="463"/>
        <v>0</v>
      </c>
      <c r="AV34" s="26">
        <f t="shared" si="463"/>
        <v>0</v>
      </c>
      <c r="AW34" s="26">
        <f t="shared" si="463"/>
        <v>0</v>
      </c>
      <c r="AX34" s="26">
        <f t="shared" si="463"/>
        <v>0</v>
      </c>
      <c r="AY34" s="26">
        <f t="shared" si="463"/>
        <v>0</v>
      </c>
      <c r="AZ34" s="26">
        <f t="shared" si="463"/>
        <v>0</v>
      </c>
      <c r="BA34" s="26">
        <f t="shared" si="463"/>
        <v>0</v>
      </c>
      <c r="BB34" s="26">
        <f t="shared" si="463"/>
        <v>0</v>
      </c>
      <c r="BC34" s="26">
        <f t="shared" si="463"/>
        <v>0</v>
      </c>
      <c r="BD34" s="26">
        <f t="shared" si="463"/>
        <v>0</v>
      </c>
      <c r="BE34" s="26">
        <f t="shared" si="463"/>
        <v>0</v>
      </c>
      <c r="BF34" s="26">
        <f t="shared" si="463"/>
        <v>0</v>
      </c>
      <c r="BG34" s="26">
        <f t="shared" si="463"/>
        <v>0</v>
      </c>
      <c r="BH34" s="26">
        <f t="shared" si="463"/>
        <v>0</v>
      </c>
      <c r="BI34" s="26">
        <f t="shared" si="463"/>
        <v>0</v>
      </c>
      <c r="BJ34" s="26">
        <f t="shared" si="463"/>
        <v>0</v>
      </c>
      <c r="BK34" s="26">
        <f t="shared" si="463"/>
        <v>0</v>
      </c>
      <c r="BL34" s="26">
        <f t="shared" si="463"/>
        <v>0</v>
      </c>
      <c r="BM34" s="26">
        <f t="shared" si="463"/>
        <v>0</v>
      </c>
      <c r="BN34" s="26">
        <f t="shared" si="463"/>
        <v>0</v>
      </c>
      <c r="BO34" s="26">
        <f t="shared" si="463"/>
        <v>0</v>
      </c>
      <c r="BP34" s="26">
        <f t="shared" si="463"/>
        <v>0</v>
      </c>
      <c r="BQ34" s="26">
        <f t="shared" si="463"/>
        <v>0</v>
      </c>
      <c r="BR34" s="26">
        <f t="shared" si="463"/>
        <v>0</v>
      </c>
      <c r="BS34" s="26">
        <f t="shared" si="463"/>
        <v>0</v>
      </c>
      <c r="BT34" s="26">
        <f t="shared" si="463"/>
        <v>87.467000000000027</v>
      </c>
      <c r="BU34" s="26">
        <f t="shared" si="463"/>
        <v>100.41899999999998</v>
      </c>
      <c r="BV34" s="26">
        <f t="shared" si="463"/>
        <v>142.761</v>
      </c>
      <c r="BW34" s="26">
        <f t="shared" si="463"/>
        <v>143.43899999999999</v>
      </c>
      <c r="BX34" s="26">
        <f t="shared" si="463"/>
        <v>101.69700000000002</v>
      </c>
      <c r="BY34" s="26">
        <f t="shared" si="463"/>
        <v>143.125</v>
      </c>
      <c r="BZ34" s="26">
        <f t="shared" si="463"/>
        <v>177.10400000000001</v>
      </c>
      <c r="CA34" s="26">
        <f t="shared" si="463"/>
        <v>117.12700000000005</v>
      </c>
      <c r="CB34" s="26">
        <f t="shared" si="463"/>
        <v>77.95499999999997</v>
      </c>
      <c r="CC34" s="26">
        <f t="shared" si="463"/>
        <v>127.78200000000001</v>
      </c>
      <c r="CD34" s="26">
        <f t="shared" si="463"/>
        <v>69.45799999999997</v>
      </c>
      <c r="CE34" s="26">
        <f t="shared" ref="CE34:CF34" si="464">CE28-CE32</f>
        <v>52.558000000000007</v>
      </c>
      <c r="CF34" s="26">
        <f t="shared" si="464"/>
        <v>55.256000000000014</v>
      </c>
      <c r="CG34" s="26">
        <f t="shared" ref="CG34:CH34" si="465">CG28-CG32</f>
        <v>59.80100000000003</v>
      </c>
      <c r="CH34" s="26">
        <f t="shared" si="465"/>
        <v>67.154999999999987</v>
      </c>
      <c r="CI34" s="26">
        <f t="shared" ref="CI34:CJ34" si="466">CI28-CI32</f>
        <v>55.15600000000002</v>
      </c>
      <c r="CJ34" s="26">
        <f t="shared" si="466"/>
        <v>39.050000000000026</v>
      </c>
      <c r="CK34" s="26">
        <f t="shared" ref="CK34" si="467">CK28-CK32</f>
        <v>30.795999999999982</v>
      </c>
      <c r="CL34" s="27">
        <f t="shared" ref="CL34" si="468">CL28-CL32</f>
        <v>76.914474911974096</v>
      </c>
      <c r="CM34" s="27">
        <f t="shared" ref="CM34:DB34" si="469">CM28-CM32</f>
        <v>60.380586473200708</v>
      </c>
      <c r="CN34" s="27">
        <f t="shared" si="469"/>
        <v>39.429438728967796</v>
      </c>
      <c r="CO34" s="27">
        <f t="shared" si="469"/>
        <v>45.594347889908207</v>
      </c>
      <c r="CP34" s="27">
        <f t="shared" si="469"/>
        <v>88.415326532832708</v>
      </c>
      <c r="CQ34" s="27">
        <f t="shared" si="469"/>
        <v>69.454307232137637</v>
      </c>
      <c r="CR34" s="27">
        <f t="shared" si="469"/>
        <v>46.987496838361295</v>
      </c>
      <c r="CS34" s="27">
        <f t="shared" si="469"/>
        <v>55.759718005937806</v>
      </c>
      <c r="CT34" s="27">
        <f t="shared" si="469"/>
        <v>101.26515714640544</v>
      </c>
      <c r="CU34" s="27">
        <f t="shared" si="469"/>
        <v>80.385361442254293</v>
      </c>
      <c r="CV34" s="27">
        <f t="shared" si="469"/>
        <v>55.756911090666236</v>
      </c>
      <c r="CW34" s="27">
        <f t="shared" si="469"/>
        <v>65.618603103716623</v>
      </c>
      <c r="CX34" s="27">
        <f t="shared" si="469"/>
        <v>115.58729202120729</v>
      </c>
      <c r="CY34" s="27">
        <f t="shared" si="469"/>
        <v>92.504948491317677</v>
      </c>
      <c r="CZ34" s="27">
        <f t="shared" si="469"/>
        <v>65.227583895216924</v>
      </c>
      <c r="DA34" s="27">
        <f t="shared" si="469"/>
        <v>76.097418505328449</v>
      </c>
      <c r="DB34" s="27">
        <f t="shared" si="469"/>
        <v>131.32573829249543</v>
      </c>
      <c r="DE34" s="121"/>
      <c r="DF34" s="26">
        <v>145.8935000000001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2.8128000000000002</v>
      </c>
      <c r="Q35" s="23">
        <f>'Annual Raw'!R23</f>
        <v>1.3129</v>
      </c>
      <c r="R35" s="23">
        <f>'Annual Raw'!S23</f>
        <v>4.343</v>
      </c>
      <c r="S35" s="23">
        <f>'Annual Raw'!T23</f>
        <v>6.0739999999999998</v>
      </c>
      <c r="T35" s="23">
        <f>'Annual Raw'!U23</f>
        <v>7.4</v>
      </c>
      <c r="U35" s="23">
        <f>'Annual Raw'!V23</f>
        <v>8.827</v>
      </c>
      <c r="V35" s="23">
        <f>'Annual Raw'!W23</f>
        <v>14.025600000000001</v>
      </c>
      <c r="W35" s="23">
        <f>'Annual Raw'!X23</f>
        <v>12.3901</v>
      </c>
      <c r="X35" s="23">
        <f>'Annual Raw'!Y23</f>
        <v>43.271299999999997</v>
      </c>
      <c r="Y35" s="23">
        <f>'Annual Raw'!Z23</f>
        <v>43.323700000000002</v>
      </c>
      <c r="Z35" s="23">
        <f>'Annual Raw'!AA23</f>
        <v>37.283000000000001</v>
      </c>
      <c r="AA35" s="23">
        <f>'Annual Raw'!AB23</f>
        <v>26.949100000000001</v>
      </c>
      <c r="AB35" s="76">
        <f t="shared" ref="AB35:AB36" si="470">+SUM(CM35:CP35)</f>
        <v>0</v>
      </c>
      <c r="AC35" s="76">
        <f t="shared" ref="AC35:AC36" si="471">+SUM(CQ35:CT35)</f>
        <v>0</v>
      </c>
      <c r="AD35" s="76">
        <f t="shared" ref="AD35:AD36" si="472">+SUM(CU35:CX35)</f>
        <v>0</v>
      </c>
      <c r="AE35" s="76">
        <f t="shared" ref="AE35:AE36" si="473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7.5720000000000001</v>
      </c>
      <c r="BU35" s="23">
        <f>'QTR Raw'!AO23</f>
        <v>6.0430000000000001</v>
      </c>
      <c r="BV35" s="23">
        <f>'QTR Raw'!AP23</f>
        <v>3.5419999999999998</v>
      </c>
      <c r="BW35" s="23">
        <f>'QTR Raw'!AQ23</f>
        <v>8.548</v>
      </c>
      <c r="BX35" s="23">
        <f>'QTR Raw'!AR23</f>
        <v>18.917999999999999</v>
      </c>
      <c r="BY35" s="23">
        <f>'QTR Raw'!AS23</f>
        <v>7.4740000000000002</v>
      </c>
      <c r="BZ35" s="23">
        <f>'QTR Raw'!AT23</f>
        <v>8.3309999999999995</v>
      </c>
      <c r="CA35" s="23">
        <f>'QTR Raw'!AU23</f>
        <v>10.93</v>
      </c>
      <c r="CB35" s="23">
        <f>'QTR Raw'!AV23</f>
        <v>11.192</v>
      </c>
      <c r="CC35" s="23">
        <f>'QTR Raw'!AW23</f>
        <v>9.2390000000000008</v>
      </c>
      <c r="CD35" s="23">
        <f>'QTR Raw'!AX23</f>
        <v>11.962999999999999</v>
      </c>
      <c r="CE35" s="23">
        <f>'QTR Raw'!AY23</f>
        <v>9.7029999999999994</v>
      </c>
      <c r="CF35" s="23">
        <f>'QTR Raw'!AZ23</f>
        <v>10.920999999999999</v>
      </c>
      <c r="CG35" s="23">
        <f>'QTR Raw'!BA23</f>
        <v>8.8539999999999992</v>
      </c>
      <c r="CH35" s="23">
        <f>'QTR Raw'!BB23</f>
        <v>7.806</v>
      </c>
      <c r="CI35" s="23">
        <f>'QTR Raw'!BC23</f>
        <v>8.23</v>
      </c>
      <c r="CJ35" s="23">
        <f>'QTR Raw'!BD23</f>
        <v>6.3780000000000001</v>
      </c>
      <c r="CK35" s="23">
        <f>'QTR Raw'!BE23</f>
        <v>6.9530000000000003</v>
      </c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26.949100000000001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51.023499999999999</v>
      </c>
      <c r="Q36" s="23">
        <f>'Annual Raw'!R25</f>
        <v>106.3052</v>
      </c>
      <c r="R36" s="23">
        <f>'Annual Raw'!S25</f>
        <v>105.7106</v>
      </c>
      <c r="S36" s="23">
        <f>'Annual Raw'!T25</f>
        <v>101.5304</v>
      </c>
      <c r="T36" s="23">
        <f>'Annual Raw'!U25</f>
        <v>117.64</v>
      </c>
      <c r="U36" s="23">
        <f>'Annual Raw'!V25</f>
        <v>121.758</v>
      </c>
      <c r="V36" s="23">
        <f>'Annual Raw'!W25</f>
        <v>130.39250000000001</v>
      </c>
      <c r="W36" s="23">
        <f>'Annual Raw'!X25</f>
        <v>161.6688</v>
      </c>
      <c r="X36" s="23">
        <f>'Annual Raw'!Y25</f>
        <v>96.959000000000003</v>
      </c>
      <c r="Y36" s="23">
        <f>'Annual Raw'!Z25</f>
        <v>8.4614999999999991</v>
      </c>
      <c r="Z36" s="23">
        <f>'Annual Raw'!AA25</f>
        <v>8.1033000000000008</v>
      </c>
      <c r="AA36" s="23">
        <f>'Annual Raw'!AB25</f>
        <v>25.7468</v>
      </c>
      <c r="AB36" s="76">
        <f t="shared" si="470"/>
        <v>11.982463641040086</v>
      </c>
      <c r="AC36" s="76">
        <f t="shared" si="471"/>
        <v>67.100295860494015</v>
      </c>
      <c r="AD36" s="76">
        <f t="shared" si="472"/>
        <v>116.08885811873134</v>
      </c>
      <c r="AE36" s="76">
        <f t="shared" si="473"/>
        <v>160.63756132652972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41.642000000000003</v>
      </c>
      <c r="BU36" s="23">
        <f>'QTR Raw'!AO25</f>
        <v>40.534999999999997</v>
      </c>
      <c r="BV36" s="23">
        <f>'QTR Raw'!AP25</f>
        <v>39.396000000000001</v>
      </c>
      <c r="BW36" s="23">
        <f>'QTR Raw'!AQ25</f>
        <v>39.15</v>
      </c>
      <c r="BX36" s="23">
        <f>'QTR Raw'!AR25</f>
        <v>34.972999999999999</v>
      </c>
      <c r="BY36" s="23">
        <f>'QTR Raw'!AS25</f>
        <v>19.419</v>
      </c>
      <c r="BZ36" s="23">
        <f>'QTR Raw'!AT25</f>
        <v>3.4169999999999998</v>
      </c>
      <c r="CA36" s="23">
        <f>'QTR Raw'!AU25</f>
        <v>3.012</v>
      </c>
      <c r="CB36" s="23">
        <f>'QTR Raw'!AV25</f>
        <v>1.853</v>
      </c>
      <c r="CC36" s="23">
        <f>'QTR Raw'!AW25</f>
        <v>1.895</v>
      </c>
      <c r="CD36" s="23">
        <f>'QTR Raw'!AX25</f>
        <v>1.7010000000000001</v>
      </c>
      <c r="CE36" s="23">
        <f>'QTR Raw'!AY25</f>
        <v>1.7010000000000001</v>
      </c>
      <c r="CF36" s="23">
        <f>'QTR Raw'!AZ25</f>
        <v>3.21</v>
      </c>
      <c r="CG36" s="23">
        <f>'QTR Raw'!BA25</f>
        <v>2.9049999999999998</v>
      </c>
      <c r="CH36" s="23">
        <f>'QTR Raw'!BB25</f>
        <v>0.28799999999999998</v>
      </c>
      <c r="CI36" s="23">
        <f>'QTR Raw'!BC25</f>
        <v>5.38</v>
      </c>
      <c r="CJ36" s="23">
        <f>'QTR Raw'!BD25</f>
        <v>5.52</v>
      </c>
      <c r="CK36" s="23">
        <f>'QTR Raw'!BE25</f>
        <v>4.42</v>
      </c>
      <c r="CL36" s="24">
        <f t="shared" ref="CL36:DB36" si="474">CL37*CK168</f>
        <v>-1.873073873966558</v>
      </c>
      <c r="CM36" s="24">
        <f t="shared" si="474"/>
        <v>-16.197837806593203</v>
      </c>
      <c r="CN36" s="24">
        <f t="shared" si="474"/>
        <v>-0.71232344321825347</v>
      </c>
      <c r="CO36" s="24">
        <f t="shared" si="474"/>
        <v>14.867013767477085</v>
      </c>
      <c r="CP36" s="24">
        <f t="shared" si="474"/>
        <v>14.025611123374457</v>
      </c>
      <c r="CQ36" s="24">
        <f t="shared" si="474"/>
        <v>-3.5817767909167797</v>
      </c>
      <c r="CR36" s="24">
        <f t="shared" si="474"/>
        <v>13.12440802021043</v>
      </c>
      <c r="CS36" s="24">
        <f t="shared" si="474"/>
        <v>29.735498694690985</v>
      </c>
      <c r="CT36" s="24">
        <f t="shared" si="474"/>
        <v>27.822165936509379</v>
      </c>
      <c r="CU36" s="24">
        <f t="shared" si="474"/>
        <v>7.4345483573731528</v>
      </c>
      <c r="CV36" s="24">
        <f t="shared" si="474"/>
        <v>25.333597504036689</v>
      </c>
      <c r="CW36" s="24">
        <f t="shared" si="474"/>
        <v>43.061534000038769</v>
      </c>
      <c r="CX36" s="24">
        <f t="shared" si="474"/>
        <v>40.259178257282727</v>
      </c>
      <c r="CY36" s="24">
        <f t="shared" si="474"/>
        <v>17.055643386575504</v>
      </c>
      <c r="CZ36" s="24">
        <f t="shared" si="474"/>
        <v>36.335585934871979</v>
      </c>
      <c r="DA36" s="24">
        <f t="shared" si="474"/>
        <v>55.43243062627122</v>
      </c>
      <c r="DB36" s="24">
        <f t="shared" si="474"/>
        <v>51.813901378811018</v>
      </c>
      <c r="DE36" s="123"/>
      <c r="DF36" s="23">
        <v>25.7468</v>
      </c>
    </row>
    <row r="37" spans="1:110" s="46" customFormat="1" x14ac:dyDescent="0.2">
      <c r="A37" s="46" t="s">
        <v>482</v>
      </c>
      <c r="B37" s="46" t="e">
        <f t="shared" ref="B37:D37" si="475">+B36/B128</f>
        <v>#DIV/0!</v>
      </c>
      <c r="C37" s="46" t="e">
        <f t="shared" si="475"/>
        <v>#DIV/0!</v>
      </c>
      <c r="D37" s="46" t="e">
        <f t="shared" si="475"/>
        <v>#DIV/0!</v>
      </c>
      <c r="E37" s="46" t="e">
        <f t="shared" ref="E37:AE37" si="476">+E36/E128</f>
        <v>#DIV/0!</v>
      </c>
      <c r="F37" s="46" t="e">
        <f t="shared" si="476"/>
        <v>#DIV/0!</v>
      </c>
      <c r="G37" s="46" t="e">
        <f t="shared" si="476"/>
        <v>#DIV/0!</v>
      </c>
      <c r="H37" s="46" t="e">
        <f t="shared" si="476"/>
        <v>#DIV/0!</v>
      </c>
      <c r="I37" s="46" t="e">
        <f t="shared" si="476"/>
        <v>#DIV/0!</v>
      </c>
      <c r="J37" s="46" t="e">
        <f t="shared" si="476"/>
        <v>#DIV/0!</v>
      </c>
      <c r="K37" s="46" t="e">
        <f t="shared" si="476"/>
        <v>#DIV/0!</v>
      </c>
      <c r="L37" s="46" t="e">
        <f t="shared" si="476"/>
        <v>#DIV/0!</v>
      </c>
      <c r="M37" s="46" t="e">
        <f t="shared" si="476"/>
        <v>#DIV/0!</v>
      </c>
      <c r="N37" s="46" t="e">
        <f t="shared" si="476"/>
        <v>#DIV/0!</v>
      </c>
      <c r="O37" s="46" t="e">
        <f t="shared" si="476"/>
        <v>#DIV/0!</v>
      </c>
      <c r="P37" s="46">
        <f t="shared" si="476"/>
        <v>5.0505330461068573E-2</v>
      </c>
      <c r="Q37" s="46">
        <f t="shared" si="476"/>
        <v>0.10747454453949865</v>
      </c>
      <c r="R37" s="46">
        <f t="shared" si="476"/>
        <v>0.10876464600091819</v>
      </c>
      <c r="S37" s="46">
        <f t="shared" si="476"/>
        <v>0.10484423262956932</v>
      </c>
      <c r="T37" s="46">
        <f t="shared" si="476"/>
        <v>0.15600280603483141</v>
      </c>
      <c r="U37" s="46">
        <f t="shared" si="476"/>
        <v>0.14202777845822206</v>
      </c>
      <c r="V37" s="46">
        <f t="shared" si="476"/>
        <v>0.15189597230022289</v>
      </c>
      <c r="W37" s="46">
        <f t="shared" si="476"/>
        <v>0.1913503145225042</v>
      </c>
      <c r="X37" s="46">
        <f t="shared" si="476"/>
        <v>4.5113785995784497</v>
      </c>
      <c r="Y37" s="46">
        <f t="shared" si="476"/>
        <v>0.14210356606644431</v>
      </c>
      <c r="Z37" s="46">
        <f t="shared" si="476"/>
        <v>4.5507820507132563E-2</v>
      </c>
      <c r="AA37" s="46">
        <f t="shared" ref="AA37" si="477">+AA36/AA128</f>
        <v>6.3569488976050956E-2</v>
      </c>
      <c r="AB37" s="110">
        <f t="shared" si="476"/>
        <v>5.6869514815022643E-2</v>
      </c>
      <c r="AC37" s="110">
        <f t="shared" si="476"/>
        <v>0.318462161358959</v>
      </c>
      <c r="AD37" s="110">
        <f t="shared" si="476"/>
        <v>0.55096491292747229</v>
      </c>
      <c r="AE37" s="110">
        <f t="shared" si="476"/>
        <v>0.76239581837072312</v>
      </c>
      <c r="AI37" s="46" t="e">
        <f t="shared" ref="AI37:BN37" si="478">(AI36-AI35)/AH168</f>
        <v>#DIV/0!</v>
      </c>
      <c r="AJ37" s="46" t="e">
        <f t="shared" si="478"/>
        <v>#DIV/0!</v>
      </c>
      <c r="AK37" s="46" t="e">
        <f t="shared" si="478"/>
        <v>#DIV/0!</v>
      </c>
      <c r="AL37" s="46" t="e">
        <f t="shared" si="478"/>
        <v>#DIV/0!</v>
      </c>
      <c r="AM37" s="46" t="e">
        <f t="shared" si="478"/>
        <v>#DIV/0!</v>
      </c>
      <c r="AN37" s="46" t="e">
        <f t="shared" si="478"/>
        <v>#DIV/0!</v>
      </c>
      <c r="AO37" s="46" t="e">
        <f t="shared" si="478"/>
        <v>#DIV/0!</v>
      </c>
      <c r="AP37" s="46" t="e">
        <f t="shared" si="478"/>
        <v>#DIV/0!</v>
      </c>
      <c r="AQ37" s="46" t="e">
        <f t="shared" si="478"/>
        <v>#DIV/0!</v>
      </c>
      <c r="AR37" s="46" t="e">
        <f t="shared" si="478"/>
        <v>#DIV/0!</v>
      </c>
      <c r="AS37" s="46" t="e">
        <f t="shared" si="478"/>
        <v>#DIV/0!</v>
      </c>
      <c r="AT37" s="46" t="e">
        <f t="shared" si="478"/>
        <v>#DIV/0!</v>
      </c>
      <c r="AU37" s="46" t="e">
        <f t="shared" si="478"/>
        <v>#DIV/0!</v>
      </c>
      <c r="AV37" s="46" t="e">
        <f t="shared" si="478"/>
        <v>#DIV/0!</v>
      </c>
      <c r="AW37" s="46" t="e">
        <f t="shared" si="478"/>
        <v>#DIV/0!</v>
      </c>
      <c r="AX37" s="46" t="e">
        <f t="shared" si="478"/>
        <v>#DIV/0!</v>
      </c>
      <c r="AY37" s="46" t="e">
        <f t="shared" si="478"/>
        <v>#DIV/0!</v>
      </c>
      <c r="AZ37" s="46" t="e">
        <f t="shared" si="478"/>
        <v>#DIV/0!</v>
      </c>
      <c r="BA37" s="46" t="e">
        <f t="shared" si="478"/>
        <v>#DIV/0!</v>
      </c>
      <c r="BB37" s="46" t="e">
        <f t="shared" si="478"/>
        <v>#DIV/0!</v>
      </c>
      <c r="BC37" s="46" t="e">
        <f t="shared" si="478"/>
        <v>#DIV/0!</v>
      </c>
      <c r="BD37" s="46" t="e">
        <f t="shared" si="478"/>
        <v>#DIV/0!</v>
      </c>
      <c r="BE37" s="46" t="e">
        <f t="shared" si="478"/>
        <v>#DIV/0!</v>
      </c>
      <c r="BF37" s="46" t="e">
        <f t="shared" si="478"/>
        <v>#DIV/0!</v>
      </c>
      <c r="BG37" s="46" t="e">
        <f t="shared" si="478"/>
        <v>#DIV/0!</v>
      </c>
      <c r="BH37" s="46" t="e">
        <f t="shared" si="478"/>
        <v>#DIV/0!</v>
      </c>
      <c r="BI37" s="46" t="e">
        <f t="shared" si="478"/>
        <v>#DIV/0!</v>
      </c>
      <c r="BJ37" s="46" t="e">
        <f t="shared" si="478"/>
        <v>#DIV/0!</v>
      </c>
      <c r="BK37" s="46" t="e">
        <f t="shared" si="478"/>
        <v>#DIV/0!</v>
      </c>
      <c r="BL37" s="46" t="e">
        <f t="shared" si="478"/>
        <v>#DIV/0!</v>
      </c>
      <c r="BM37" s="46" t="e">
        <f t="shared" si="478"/>
        <v>#DIV/0!</v>
      </c>
      <c r="BN37" s="46" t="e">
        <f t="shared" si="478"/>
        <v>#DIV/0!</v>
      </c>
      <c r="BO37" s="46" t="e">
        <f t="shared" ref="BO37:CK37" si="479">(BO36-BO35)/BN168</f>
        <v>#DIV/0!</v>
      </c>
      <c r="BP37" s="46" t="e">
        <f t="shared" si="479"/>
        <v>#DIV/0!</v>
      </c>
      <c r="BQ37" s="46" t="e">
        <f t="shared" si="479"/>
        <v>#DIV/0!</v>
      </c>
      <c r="BR37" s="46" t="e">
        <f t="shared" si="479"/>
        <v>#DIV/0!</v>
      </c>
      <c r="BS37" s="46" t="e">
        <f t="shared" si="479"/>
        <v>#DIV/0!</v>
      </c>
      <c r="BT37" s="46" t="e">
        <f t="shared" si="479"/>
        <v>#DIV/0!</v>
      </c>
      <c r="BU37" s="46" t="e">
        <f t="shared" si="479"/>
        <v>#DIV/0!</v>
      </c>
      <c r="BV37" s="46">
        <f t="shared" si="479"/>
        <v>-0.7314157486740106</v>
      </c>
      <c r="BW37" s="46">
        <f t="shared" si="479"/>
        <v>3.9482987299178908E-2</v>
      </c>
      <c r="BX37" s="46">
        <f t="shared" si="479"/>
        <v>2.2848867193923626E-2</v>
      </c>
      <c r="BY37" s="46">
        <f t="shared" si="479"/>
        <v>1.7320455247394683E-2</v>
      </c>
      <c r="BZ37" s="46">
        <f t="shared" si="479"/>
        <v>-7.9318344207640196E-3</v>
      </c>
      <c r="CA37" s="46">
        <f t="shared" si="479"/>
        <v>3.5786276654403454E-2</v>
      </c>
      <c r="CB37" s="46">
        <f t="shared" si="479"/>
        <v>2.7908554752700519E-2</v>
      </c>
      <c r="CC37" s="46">
        <f t="shared" si="479"/>
        <v>2.03658306618895E-2</v>
      </c>
      <c r="CD37" s="46">
        <f t="shared" si="479"/>
        <v>2.6022601820514149E-2</v>
      </c>
      <c r="CE37" s="46">
        <f t="shared" si="479"/>
        <v>2.3829021854685248E-2</v>
      </c>
      <c r="CF37" s="46">
        <f t="shared" si="479"/>
        <v>1.8067663389382409E-2</v>
      </c>
      <c r="CG37" s="46">
        <f t="shared" si="479"/>
        <v>1.7100970176068989E-2</v>
      </c>
      <c r="CH37" s="46">
        <f t="shared" si="479"/>
        <v>1.904195689203134E-2</v>
      </c>
      <c r="CI37" s="46">
        <f t="shared" si="479"/>
        <v>3.7037325827101973E-2</v>
      </c>
      <c r="CJ37" s="46">
        <f t="shared" si="479"/>
        <v>4.5236715364197454E-3</v>
      </c>
      <c r="CK37" s="46">
        <f t="shared" si="479"/>
        <v>-7.858893611740253E-2</v>
      </c>
      <c r="CL37" s="47">
        <f t="shared" ref="CL37" si="480">+CK37</f>
        <v>-7.858893611740253E-2</v>
      </c>
      <c r="CM37" s="47">
        <f t="shared" ref="CM37" si="481">+CL37</f>
        <v>-7.858893611740253E-2</v>
      </c>
      <c r="CN37" s="47">
        <f t="shared" ref="CN37" si="482">+CM37</f>
        <v>-7.858893611740253E-2</v>
      </c>
      <c r="CO37" s="47">
        <f t="shared" ref="CO37" si="483">+CN37</f>
        <v>-7.858893611740253E-2</v>
      </c>
      <c r="CP37" s="47">
        <f t="shared" ref="CP37" si="484">+CO37</f>
        <v>-7.858893611740253E-2</v>
      </c>
      <c r="CQ37" s="47">
        <f t="shared" ref="CQ37" si="485">+CP37</f>
        <v>-7.858893611740253E-2</v>
      </c>
      <c r="CR37" s="47">
        <f t="shared" ref="CR37" si="486">+CQ37</f>
        <v>-7.858893611740253E-2</v>
      </c>
      <c r="CS37" s="47">
        <f t="shared" ref="CS37" si="487">+CR37</f>
        <v>-7.858893611740253E-2</v>
      </c>
      <c r="CT37" s="47">
        <f t="shared" ref="CT37" si="488">+CS37</f>
        <v>-7.858893611740253E-2</v>
      </c>
      <c r="CU37" s="47">
        <f t="shared" ref="CU37" si="489">+CT37</f>
        <v>-7.858893611740253E-2</v>
      </c>
      <c r="CV37" s="47">
        <f t="shared" ref="CV37" si="490">+CU37</f>
        <v>-7.858893611740253E-2</v>
      </c>
      <c r="CW37" s="47">
        <f t="shared" ref="CW37" si="491">+CV37</f>
        <v>-7.858893611740253E-2</v>
      </c>
      <c r="CX37" s="47">
        <f t="shared" ref="CX37" si="492">+CW37</f>
        <v>-7.858893611740253E-2</v>
      </c>
      <c r="CY37" s="47">
        <f t="shared" ref="CY37" si="493">+CX37</f>
        <v>-7.858893611740253E-2</v>
      </c>
      <c r="CZ37" s="47">
        <f t="shared" ref="CZ37" si="494">+CY37</f>
        <v>-7.858893611740253E-2</v>
      </c>
      <c r="DA37" s="47">
        <f t="shared" ref="DA37" si="495">+CZ37</f>
        <v>-7.858893611740253E-2</v>
      </c>
      <c r="DB37" s="47">
        <f t="shared" ref="DB37" si="496">+DA37</f>
        <v>-7.858893611740253E-2</v>
      </c>
      <c r="DE37" s="130"/>
      <c r="DF37" s="46">
        <v>6.3569488976050956E-2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97">C34+C35-C36</f>
        <v>0</v>
      </c>
      <c r="D38" s="26">
        <f>D34+D35-D36</f>
        <v>0</v>
      </c>
      <c r="E38" s="26">
        <f t="shared" si="497"/>
        <v>0</v>
      </c>
      <c r="F38" s="26">
        <f t="shared" si="497"/>
        <v>0</v>
      </c>
      <c r="G38" s="26">
        <f t="shared" si="497"/>
        <v>0</v>
      </c>
      <c r="H38" s="26">
        <f t="shared" si="497"/>
        <v>0</v>
      </c>
      <c r="I38" s="26">
        <f t="shared" si="497"/>
        <v>0</v>
      </c>
      <c r="J38" s="26">
        <f t="shared" si="497"/>
        <v>0</v>
      </c>
      <c r="K38" s="26">
        <f t="shared" si="497"/>
        <v>0</v>
      </c>
      <c r="L38" s="26">
        <f t="shared" si="497"/>
        <v>0</v>
      </c>
      <c r="M38" s="26">
        <f t="shared" si="497"/>
        <v>0</v>
      </c>
      <c r="N38" s="26">
        <f t="shared" si="497"/>
        <v>0</v>
      </c>
      <c r="O38" s="26">
        <f t="shared" si="497"/>
        <v>0</v>
      </c>
      <c r="P38" s="26">
        <f t="shared" si="497"/>
        <v>7.0599000000000061</v>
      </c>
      <c r="Q38" s="26">
        <f t="shared" si="497"/>
        <v>-72.155299999999997</v>
      </c>
      <c r="R38" s="26">
        <f t="shared" si="497"/>
        <v>-113.23020000000002</v>
      </c>
      <c r="S38" s="26">
        <f t="shared" si="497"/>
        <v>-85.42940000000003</v>
      </c>
      <c r="T38" s="26">
        <f t="shared" si="497"/>
        <v>-86.876999999999995</v>
      </c>
      <c r="U38" s="26">
        <f t="shared" ref="U38:Z38" si="498">U34+U35-U36</f>
        <v>-16.706000000000003</v>
      </c>
      <c r="V38" s="26">
        <f t="shared" si="498"/>
        <v>90.475900000000024</v>
      </c>
      <c r="W38" s="26">
        <f t="shared" si="498"/>
        <v>251.01279999999994</v>
      </c>
      <c r="X38" s="26">
        <f t="shared" si="498"/>
        <v>511.6760000000001</v>
      </c>
      <c r="Y38" s="26">
        <f t="shared" si="498"/>
        <v>427.18410000000006</v>
      </c>
      <c r="Z38" s="26">
        <f t="shared" si="498"/>
        <v>263.94960000000015</v>
      </c>
      <c r="AA38" s="26">
        <f t="shared" ref="AA38" si="499">AA34+AA35-AA36</f>
        <v>147.09580000000011</v>
      </c>
      <c r="AB38" s="27">
        <f t="shared" ref="AB38:AD38" si="500">AB34+AB35-AB36</f>
        <v>221.83723598386936</v>
      </c>
      <c r="AC38" s="27">
        <f t="shared" si="500"/>
        <v>206.36638336234805</v>
      </c>
      <c r="AD38" s="27">
        <f t="shared" si="500"/>
        <v>201.2593095391135</v>
      </c>
      <c r="AE38" s="27">
        <f t="shared" ref="AE38" si="501">AE34+AE35-AE36</f>
        <v>204.51812785782877</v>
      </c>
      <c r="AI38" s="26">
        <f>AI34+AI35-AI36</f>
        <v>0</v>
      </c>
      <c r="AJ38" s="26">
        <f t="shared" ref="AJ38" si="502">AJ34+AJ35-AJ36</f>
        <v>0</v>
      </c>
      <c r="AK38" s="26">
        <f t="shared" ref="AK38:AM38" si="503">AK34+AK35-AK36</f>
        <v>0</v>
      </c>
      <c r="AL38" s="26">
        <f t="shared" si="503"/>
        <v>0</v>
      </c>
      <c r="AM38" s="26">
        <f t="shared" si="503"/>
        <v>0</v>
      </c>
      <c r="AN38" s="26">
        <f t="shared" ref="AN38:AO38" si="504">AN34+AN35-AN36</f>
        <v>0</v>
      </c>
      <c r="AO38" s="26">
        <f t="shared" si="504"/>
        <v>0</v>
      </c>
      <c r="AP38" s="26">
        <f t="shared" ref="AP38:CD38" si="505">AP34+AP35-AP36</f>
        <v>0</v>
      </c>
      <c r="AQ38" s="26">
        <f t="shared" si="505"/>
        <v>0</v>
      </c>
      <c r="AR38" s="26">
        <f t="shared" si="505"/>
        <v>0</v>
      </c>
      <c r="AS38" s="26">
        <f t="shared" si="505"/>
        <v>0</v>
      </c>
      <c r="AT38" s="26">
        <f t="shared" si="505"/>
        <v>0</v>
      </c>
      <c r="AU38" s="26">
        <f t="shared" si="505"/>
        <v>0</v>
      </c>
      <c r="AV38" s="26">
        <f t="shared" si="505"/>
        <v>0</v>
      </c>
      <c r="AW38" s="26">
        <f t="shared" si="505"/>
        <v>0</v>
      </c>
      <c r="AX38" s="26">
        <f t="shared" si="505"/>
        <v>0</v>
      </c>
      <c r="AY38" s="26">
        <f t="shared" si="505"/>
        <v>0</v>
      </c>
      <c r="AZ38" s="26">
        <f t="shared" si="505"/>
        <v>0</v>
      </c>
      <c r="BA38" s="26">
        <f t="shared" si="505"/>
        <v>0</v>
      </c>
      <c r="BB38" s="26">
        <f t="shared" si="505"/>
        <v>0</v>
      </c>
      <c r="BC38" s="26">
        <f t="shared" si="505"/>
        <v>0</v>
      </c>
      <c r="BD38" s="26">
        <f t="shared" si="505"/>
        <v>0</v>
      </c>
      <c r="BE38" s="26">
        <f t="shared" si="505"/>
        <v>0</v>
      </c>
      <c r="BF38" s="26">
        <f t="shared" si="505"/>
        <v>0</v>
      </c>
      <c r="BG38" s="26">
        <f t="shared" si="505"/>
        <v>0</v>
      </c>
      <c r="BH38" s="26">
        <f t="shared" si="505"/>
        <v>0</v>
      </c>
      <c r="BI38" s="26">
        <f t="shared" si="505"/>
        <v>0</v>
      </c>
      <c r="BJ38" s="26">
        <f t="shared" si="505"/>
        <v>0</v>
      </c>
      <c r="BK38" s="26">
        <f t="shared" si="505"/>
        <v>0</v>
      </c>
      <c r="BL38" s="26">
        <f t="shared" si="505"/>
        <v>0</v>
      </c>
      <c r="BM38" s="26">
        <f t="shared" si="505"/>
        <v>0</v>
      </c>
      <c r="BN38" s="26">
        <f t="shared" si="505"/>
        <v>0</v>
      </c>
      <c r="BO38" s="26">
        <f t="shared" si="505"/>
        <v>0</v>
      </c>
      <c r="BP38" s="26">
        <f t="shared" si="505"/>
        <v>0</v>
      </c>
      <c r="BQ38" s="26">
        <f t="shared" si="505"/>
        <v>0</v>
      </c>
      <c r="BR38" s="26">
        <f t="shared" si="505"/>
        <v>0</v>
      </c>
      <c r="BS38" s="26">
        <f t="shared" si="505"/>
        <v>0</v>
      </c>
      <c r="BT38" s="26">
        <f t="shared" si="505"/>
        <v>53.397000000000027</v>
      </c>
      <c r="BU38" s="26">
        <f t="shared" si="505"/>
        <v>65.926999999999992</v>
      </c>
      <c r="BV38" s="26">
        <f t="shared" si="505"/>
        <v>106.907</v>
      </c>
      <c r="BW38" s="26">
        <f t="shared" si="505"/>
        <v>112.83699999999999</v>
      </c>
      <c r="BX38" s="26">
        <f t="shared" si="505"/>
        <v>85.64200000000001</v>
      </c>
      <c r="BY38" s="26">
        <f t="shared" si="505"/>
        <v>131.17999999999998</v>
      </c>
      <c r="BZ38" s="26">
        <f t="shared" si="505"/>
        <v>182.018</v>
      </c>
      <c r="CA38" s="26">
        <f t="shared" si="505"/>
        <v>125.04500000000004</v>
      </c>
      <c r="CB38" s="26">
        <f t="shared" si="505"/>
        <v>87.293999999999969</v>
      </c>
      <c r="CC38" s="26">
        <f t="shared" si="505"/>
        <v>135.126</v>
      </c>
      <c r="CD38" s="26">
        <f t="shared" si="505"/>
        <v>79.71999999999997</v>
      </c>
      <c r="CE38" s="26">
        <f t="shared" ref="CE38:CF38" si="506">CE34+CE35-CE36</f>
        <v>60.560000000000009</v>
      </c>
      <c r="CF38" s="26">
        <f t="shared" si="506"/>
        <v>62.96700000000002</v>
      </c>
      <c r="CG38" s="26">
        <f t="shared" ref="CG38:CH38" si="507">CG34+CG35-CG36</f>
        <v>65.750000000000028</v>
      </c>
      <c r="CH38" s="26">
        <f t="shared" si="507"/>
        <v>74.672999999999988</v>
      </c>
      <c r="CI38" s="26">
        <f t="shared" ref="CI38:CJ38" si="508">CI34+CI35-CI36</f>
        <v>58.006000000000022</v>
      </c>
      <c r="CJ38" s="26">
        <f t="shared" si="508"/>
        <v>39.90800000000003</v>
      </c>
      <c r="CK38" s="26">
        <f t="shared" ref="CK38" si="509">CK34+CK35-CK36</f>
        <v>33.328999999999979</v>
      </c>
      <c r="CL38" s="27">
        <f t="shared" ref="CL38" si="510">CL34+CL35-CL36</f>
        <v>78.787548785940658</v>
      </c>
      <c r="CM38" s="27">
        <f t="shared" ref="CM38:DB38" si="511">CM34+CM35-CM36</f>
        <v>76.578424279793907</v>
      </c>
      <c r="CN38" s="27">
        <f t="shared" si="511"/>
        <v>40.141762172186048</v>
      </c>
      <c r="CO38" s="27">
        <f t="shared" si="511"/>
        <v>30.727334122431124</v>
      </c>
      <c r="CP38" s="27">
        <f t="shared" si="511"/>
        <v>74.389715409458248</v>
      </c>
      <c r="CQ38" s="27">
        <f t="shared" si="511"/>
        <v>73.036084023054414</v>
      </c>
      <c r="CR38" s="27">
        <f t="shared" si="511"/>
        <v>33.863088818150864</v>
      </c>
      <c r="CS38" s="27">
        <f t="shared" si="511"/>
        <v>26.024219311246821</v>
      </c>
      <c r="CT38" s="27">
        <f t="shared" si="511"/>
        <v>73.442991209896064</v>
      </c>
      <c r="CU38" s="27">
        <f t="shared" si="511"/>
        <v>72.950813084881133</v>
      </c>
      <c r="CV38" s="27">
        <f t="shared" si="511"/>
        <v>30.423313586629547</v>
      </c>
      <c r="CW38" s="27">
        <f t="shared" si="511"/>
        <v>22.557069103677854</v>
      </c>
      <c r="CX38" s="27">
        <f t="shared" si="511"/>
        <v>75.328113763924563</v>
      </c>
      <c r="CY38" s="27">
        <f t="shared" si="511"/>
        <v>75.449305104742166</v>
      </c>
      <c r="CZ38" s="27">
        <f t="shared" si="511"/>
        <v>28.891997960344945</v>
      </c>
      <c r="DA38" s="27">
        <f t="shared" si="511"/>
        <v>20.664987879057229</v>
      </c>
      <c r="DB38" s="27">
        <f t="shared" si="511"/>
        <v>79.511836913684419</v>
      </c>
      <c r="DE38" s="121"/>
      <c r="DF38" s="26">
        <v>147.09580000000011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-53.2697</v>
      </c>
      <c r="Q39" s="23">
        <f>'Annual Raw'!R30</f>
        <v>14.476800000000001</v>
      </c>
      <c r="R39" s="23">
        <f>'Annual Raw'!S30</f>
        <v>-39.606400000000001</v>
      </c>
      <c r="S39" s="23">
        <f>'Annual Raw'!T30</f>
        <v>-6.2190000000000003</v>
      </c>
      <c r="T39" s="23">
        <f>'Annual Raw'!U30</f>
        <v>-12.587999999999999</v>
      </c>
      <c r="U39" s="23">
        <f>'Annual Raw'!V30</f>
        <v>19.529</v>
      </c>
      <c r="V39" s="23">
        <f>'Annual Raw'!W30</f>
        <v>23.889299999999999</v>
      </c>
      <c r="W39" s="23">
        <f>'Annual Raw'!X30</f>
        <v>62.803600000000003</v>
      </c>
      <c r="X39" s="23">
        <f>'Annual Raw'!Y30</f>
        <v>129.11680000000001</v>
      </c>
      <c r="Y39" s="23">
        <f>'Annual Raw'!Z30</f>
        <v>108.21339999999999</v>
      </c>
      <c r="Z39" s="23">
        <f>'Annual Raw'!AA30</f>
        <v>61.622</v>
      </c>
      <c r="AA39" s="23">
        <f>'Annual Raw'!AB30</f>
        <v>41.687800000000003</v>
      </c>
      <c r="AB39" s="24">
        <f>+SUM(CM39:CP39)</f>
        <v>63.017936571709768</v>
      </c>
      <c r="AC39" s="24">
        <f>+SUM(CQ39:CT39)</f>
        <v>58.474739790513468</v>
      </c>
      <c r="AD39" s="24">
        <f>+SUM(CU39:CX39)</f>
        <v>57.013425247428444</v>
      </c>
      <c r="AE39" s="24">
        <f>+SUM(CY39:DB39)</f>
        <v>57.936448996763374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14.019</v>
      </c>
      <c r="BU39" s="23">
        <f>'QTR Raw'!AO29</f>
        <v>16.907</v>
      </c>
      <c r="BV39" s="23">
        <f>'QTR Raw'!AP29</f>
        <v>25.341999999999999</v>
      </c>
      <c r="BW39" s="23">
        <f>'QTR Raw'!AQ29</f>
        <v>28.437999999999999</v>
      </c>
      <c r="BX39" s="23">
        <f>'QTR Raw'!AR29</f>
        <v>22.052</v>
      </c>
      <c r="BY39" s="23">
        <f>'QTR Raw'!AS29</f>
        <v>33.119</v>
      </c>
      <c r="BZ39" s="23">
        <f>'QTR Raw'!AT29</f>
        <v>45.508000000000003</v>
      </c>
      <c r="CA39" s="23">
        <f>'QTR Raw'!AU29</f>
        <v>31.187999999999999</v>
      </c>
      <c r="CB39" s="23">
        <f>'QTR Raw'!AV29</f>
        <v>21.292999999999999</v>
      </c>
      <c r="CC39" s="23">
        <f>'QTR Raw'!AW29</f>
        <v>33.597999999999999</v>
      </c>
      <c r="CD39" s="23">
        <f>'QTR Raw'!AX29</f>
        <v>22.134</v>
      </c>
      <c r="CE39" s="23">
        <f>'QTR Raw'!AY29</f>
        <v>15.718</v>
      </c>
      <c r="CF39" s="23">
        <f>'QTR Raw'!AZ29</f>
        <v>7.05</v>
      </c>
      <c r="CG39" s="23">
        <f>'QTR Raw'!BA29</f>
        <v>17.927</v>
      </c>
      <c r="CH39" s="23">
        <f>'QTR Raw'!BB29</f>
        <v>20.928000000000001</v>
      </c>
      <c r="CI39" s="23">
        <f>'QTR Raw'!BC29</f>
        <v>17.861999999999998</v>
      </c>
      <c r="CJ39" s="23">
        <f>'QTR Raw'!BD29</f>
        <v>10.868</v>
      </c>
      <c r="CK39" s="23">
        <f>'QTR Raw'!BE29</f>
        <v>9.33</v>
      </c>
      <c r="CL39" s="24">
        <f t="shared" ref="CL39" si="512">+CL38*CL40</f>
        <v>22.463479402112679</v>
      </c>
      <c r="CM39" s="24">
        <f t="shared" ref="CM39:DB39" si="513">+CM38*CM40</f>
        <v>21.926527749936636</v>
      </c>
      <c r="CN39" s="24">
        <f t="shared" si="513"/>
        <v>11.276875485070065</v>
      </c>
      <c r="CO39" s="24">
        <f t="shared" si="513"/>
        <v>8.6981784794598731</v>
      </c>
      <c r="CP39" s="24">
        <f t="shared" si="513"/>
        <v>21.116354857243195</v>
      </c>
      <c r="CQ39" s="24">
        <f t="shared" si="513"/>
        <v>20.709226036324125</v>
      </c>
      <c r="CR39" s="24">
        <f t="shared" si="513"/>
        <v>9.5782728817653453</v>
      </c>
      <c r="CS39" s="24">
        <f t="shared" si="513"/>
        <v>7.3735606745485649</v>
      </c>
      <c r="CT39" s="24">
        <f t="shared" si="513"/>
        <v>20.813680197875435</v>
      </c>
      <c r="CU39" s="24">
        <f t="shared" si="513"/>
        <v>20.665770104112291</v>
      </c>
      <c r="CV39" s="24">
        <f t="shared" si="513"/>
        <v>8.6164164064773718</v>
      </c>
      <c r="CW39" s="24">
        <f t="shared" si="513"/>
        <v>6.3906142689348666</v>
      </c>
      <c r="CX39" s="24">
        <f t="shared" si="513"/>
        <v>21.340624467903915</v>
      </c>
      <c r="CY39" s="24">
        <f t="shared" si="513"/>
        <v>21.373130854831462</v>
      </c>
      <c r="CZ39" s="24">
        <f t="shared" si="513"/>
        <v>8.1844280816444162</v>
      </c>
      <c r="DA39" s="24">
        <f t="shared" si="513"/>
        <v>5.8542135727713855</v>
      </c>
      <c r="DB39" s="24">
        <f t="shared" si="513"/>
        <v>22.524676487516107</v>
      </c>
      <c r="DE39" s="123"/>
      <c r="DF39" s="23">
        <v>41.687800000000003</v>
      </c>
    </row>
    <row r="40" spans="1:110" s="90" customFormat="1" x14ac:dyDescent="0.2">
      <c r="A40" s="90" t="s">
        <v>106</v>
      </c>
      <c r="B40" s="90" t="e">
        <f t="shared" ref="B40:E40" si="514">B39/B38</f>
        <v>#DIV/0!</v>
      </c>
      <c r="C40" s="90" t="e">
        <f t="shared" si="514"/>
        <v>#DIV/0!</v>
      </c>
      <c r="D40" s="90" t="e">
        <f t="shared" si="514"/>
        <v>#DIV/0!</v>
      </c>
      <c r="E40" s="90" t="e">
        <f t="shared" si="514"/>
        <v>#DIV/0!</v>
      </c>
      <c r="F40" s="90" t="e">
        <f t="shared" ref="F40:T40" si="515">F39/F38</f>
        <v>#DIV/0!</v>
      </c>
      <c r="G40" s="90" t="e">
        <f t="shared" si="515"/>
        <v>#DIV/0!</v>
      </c>
      <c r="H40" s="90" t="e">
        <f t="shared" si="515"/>
        <v>#DIV/0!</v>
      </c>
      <c r="I40" s="90" t="e">
        <f t="shared" si="515"/>
        <v>#DIV/0!</v>
      </c>
      <c r="J40" s="90" t="e">
        <f t="shared" si="515"/>
        <v>#DIV/0!</v>
      </c>
      <c r="K40" s="90" t="e">
        <f t="shared" si="515"/>
        <v>#DIV/0!</v>
      </c>
      <c r="L40" s="90" t="e">
        <f t="shared" si="515"/>
        <v>#DIV/0!</v>
      </c>
      <c r="M40" s="90" t="e">
        <f t="shared" si="515"/>
        <v>#DIV/0!</v>
      </c>
      <c r="N40" s="90" t="e">
        <f t="shared" si="515"/>
        <v>#DIV/0!</v>
      </c>
      <c r="O40" s="90" t="e">
        <f t="shared" si="515"/>
        <v>#DIV/0!</v>
      </c>
      <c r="P40" s="90">
        <f t="shared" si="515"/>
        <v>-7.5453901613337235</v>
      </c>
      <c r="Q40" s="90">
        <f t="shared" si="515"/>
        <v>-0.20063391046811532</v>
      </c>
      <c r="R40" s="90">
        <f t="shared" si="515"/>
        <v>0.34978654104646989</v>
      </c>
      <c r="S40" s="90">
        <f t="shared" si="515"/>
        <v>7.2796952805474435E-2</v>
      </c>
      <c r="T40" s="90">
        <f t="shared" si="515"/>
        <v>0.14489450602576057</v>
      </c>
      <c r="U40" s="90">
        <f t="shared" ref="U40:Z40" si="516">U39/U38</f>
        <v>-1.1689812043577155</v>
      </c>
      <c r="V40" s="90">
        <f t="shared" si="516"/>
        <v>0.26404047928785446</v>
      </c>
      <c r="W40" s="90">
        <f t="shared" si="516"/>
        <v>0.25020078657343375</v>
      </c>
      <c r="X40" s="90">
        <f t="shared" si="516"/>
        <v>0.25234093449761175</v>
      </c>
      <c r="Y40" s="90">
        <f t="shared" si="516"/>
        <v>0.25331794886560616</v>
      </c>
      <c r="Z40" s="90">
        <f t="shared" si="516"/>
        <v>0.23346123653909673</v>
      </c>
      <c r="AA40" s="90">
        <f t="shared" ref="AA40" si="517">AA39/AA38</f>
        <v>0.2834057804505633</v>
      </c>
      <c r="AB40" s="91">
        <f t="shared" ref="AB40:AD40" si="518">AB39/AB38</f>
        <v>0.28407285319896453</v>
      </c>
      <c r="AC40" s="91">
        <f t="shared" si="518"/>
        <v>0.28335399805810763</v>
      </c>
      <c r="AD40" s="91">
        <f t="shared" si="518"/>
        <v>0.2832834186800598</v>
      </c>
      <c r="AE40" s="91">
        <f t="shared" ref="AE40" si="519">AE39/AE38</f>
        <v>0.28328270752134999</v>
      </c>
      <c r="AI40" s="90" t="e">
        <f t="shared" ref="AI40" si="520">AI39/AI38</f>
        <v>#DIV/0!</v>
      </c>
      <c r="AJ40" s="90" t="e">
        <f t="shared" ref="AJ40" si="521">AJ39/AJ38</f>
        <v>#DIV/0!</v>
      </c>
      <c r="AK40" s="90" t="e">
        <f t="shared" ref="AK40:AM40" si="522">AK39/AK38</f>
        <v>#DIV/0!</v>
      </c>
      <c r="AL40" s="90" t="e">
        <f t="shared" si="522"/>
        <v>#DIV/0!</v>
      </c>
      <c r="AM40" s="90" t="e">
        <f t="shared" si="522"/>
        <v>#DIV/0!</v>
      </c>
      <c r="AN40" s="90" t="e">
        <f t="shared" ref="AN40:AO40" si="523">AN39/AN38</f>
        <v>#DIV/0!</v>
      </c>
      <c r="AO40" s="90" t="e">
        <f t="shared" si="523"/>
        <v>#DIV/0!</v>
      </c>
      <c r="AP40" s="90" t="e">
        <f t="shared" ref="AP40:CD40" si="524">AP39/AP38</f>
        <v>#DIV/0!</v>
      </c>
      <c r="AQ40" s="90" t="e">
        <f t="shared" si="524"/>
        <v>#DIV/0!</v>
      </c>
      <c r="AR40" s="90" t="e">
        <f t="shared" si="524"/>
        <v>#DIV/0!</v>
      </c>
      <c r="AS40" s="90" t="e">
        <f t="shared" si="524"/>
        <v>#DIV/0!</v>
      </c>
      <c r="AT40" s="90" t="e">
        <f t="shared" si="524"/>
        <v>#DIV/0!</v>
      </c>
      <c r="AU40" s="90" t="e">
        <f t="shared" si="524"/>
        <v>#DIV/0!</v>
      </c>
      <c r="AV40" s="90" t="e">
        <f t="shared" si="524"/>
        <v>#DIV/0!</v>
      </c>
      <c r="AW40" s="90" t="e">
        <f t="shared" si="524"/>
        <v>#DIV/0!</v>
      </c>
      <c r="AX40" s="90" t="e">
        <f t="shared" si="524"/>
        <v>#DIV/0!</v>
      </c>
      <c r="AY40" s="90" t="e">
        <f t="shared" si="524"/>
        <v>#DIV/0!</v>
      </c>
      <c r="AZ40" s="90" t="e">
        <f t="shared" si="524"/>
        <v>#DIV/0!</v>
      </c>
      <c r="BA40" s="90" t="e">
        <f t="shared" si="524"/>
        <v>#DIV/0!</v>
      </c>
      <c r="BB40" s="90" t="e">
        <f t="shared" si="524"/>
        <v>#DIV/0!</v>
      </c>
      <c r="BC40" s="90" t="e">
        <f t="shared" si="524"/>
        <v>#DIV/0!</v>
      </c>
      <c r="BD40" s="90" t="e">
        <f t="shared" si="524"/>
        <v>#DIV/0!</v>
      </c>
      <c r="BE40" s="90" t="e">
        <f t="shared" si="524"/>
        <v>#DIV/0!</v>
      </c>
      <c r="BF40" s="90" t="e">
        <f t="shared" si="524"/>
        <v>#DIV/0!</v>
      </c>
      <c r="BG40" s="90" t="e">
        <f t="shared" si="524"/>
        <v>#DIV/0!</v>
      </c>
      <c r="BH40" s="90" t="e">
        <f t="shared" si="524"/>
        <v>#DIV/0!</v>
      </c>
      <c r="BI40" s="90" t="e">
        <f t="shared" si="524"/>
        <v>#DIV/0!</v>
      </c>
      <c r="BJ40" s="90" t="e">
        <f t="shared" si="524"/>
        <v>#DIV/0!</v>
      </c>
      <c r="BK40" s="90" t="e">
        <f t="shared" si="524"/>
        <v>#DIV/0!</v>
      </c>
      <c r="BL40" s="90" t="e">
        <f t="shared" si="524"/>
        <v>#DIV/0!</v>
      </c>
      <c r="BM40" s="90" t="e">
        <f t="shared" si="524"/>
        <v>#DIV/0!</v>
      </c>
      <c r="BN40" s="90" t="e">
        <f t="shared" si="524"/>
        <v>#DIV/0!</v>
      </c>
      <c r="BO40" s="90" t="e">
        <f t="shared" si="524"/>
        <v>#DIV/0!</v>
      </c>
      <c r="BP40" s="90" t="e">
        <f t="shared" si="524"/>
        <v>#DIV/0!</v>
      </c>
      <c r="BQ40" s="90" t="e">
        <f t="shared" si="524"/>
        <v>#DIV/0!</v>
      </c>
      <c r="BR40" s="90" t="e">
        <f t="shared" si="524"/>
        <v>#DIV/0!</v>
      </c>
      <c r="BS40" s="90" t="e">
        <f t="shared" si="524"/>
        <v>#DIV/0!</v>
      </c>
      <c r="BT40" s="90">
        <f t="shared" si="524"/>
        <v>0.26254283948536422</v>
      </c>
      <c r="BU40" s="90">
        <f t="shared" si="524"/>
        <v>0.25645031625889242</v>
      </c>
      <c r="BV40" s="90">
        <f t="shared" si="524"/>
        <v>0.23704715313309699</v>
      </c>
      <c r="BW40" s="90">
        <f t="shared" si="524"/>
        <v>0.25202726056169522</v>
      </c>
      <c r="BX40" s="90">
        <f t="shared" si="524"/>
        <v>0.25749048364120403</v>
      </c>
      <c r="BY40" s="90">
        <f t="shared" si="524"/>
        <v>0.25246988870254616</v>
      </c>
      <c r="BZ40" s="90">
        <f t="shared" si="524"/>
        <v>0.25001922886747469</v>
      </c>
      <c r="CA40" s="90">
        <f t="shared" si="524"/>
        <v>0.24941421088408164</v>
      </c>
      <c r="CB40" s="90">
        <f t="shared" si="524"/>
        <v>0.2439228354755196</v>
      </c>
      <c r="CC40" s="90">
        <f t="shared" si="524"/>
        <v>0.24864200819975429</v>
      </c>
      <c r="CD40" s="90">
        <f t="shared" si="524"/>
        <v>0.27764676367285512</v>
      </c>
      <c r="CE40" s="90">
        <f t="shared" ref="CE40:CF40" si="525">CE39/CE38</f>
        <v>0.25954425363276085</v>
      </c>
      <c r="CF40" s="90">
        <f t="shared" si="525"/>
        <v>0.11196340940492636</v>
      </c>
      <c r="CG40" s="90">
        <f t="shared" ref="CG40:CH40" si="526">CG39/CG38</f>
        <v>0.27265399239543714</v>
      </c>
      <c r="CH40" s="90">
        <f t="shared" si="526"/>
        <v>0.280261942067414</v>
      </c>
      <c r="CI40" s="90">
        <f t="shared" ref="CI40:CJ40" si="527">CI39/CI38</f>
        <v>0.30793366203496175</v>
      </c>
      <c r="CJ40" s="90">
        <f t="shared" si="527"/>
        <v>0.27232635060639454</v>
      </c>
      <c r="CK40" s="90">
        <f t="shared" ref="CK40" si="528">CK39/CK38</f>
        <v>0.27993639173092522</v>
      </c>
      <c r="CL40" s="91">
        <f t="shared" ref="CL40:DB40" si="529">AVERAGE(CH40:CK40)</f>
        <v>0.28511458660992384</v>
      </c>
      <c r="CM40" s="91">
        <f t="shared" si="529"/>
        <v>0.28632774774555136</v>
      </c>
      <c r="CN40" s="91">
        <f t="shared" si="529"/>
        <v>0.28092626917319874</v>
      </c>
      <c r="CO40" s="91">
        <f t="shared" si="529"/>
        <v>0.28307624881489979</v>
      </c>
      <c r="CP40" s="91">
        <f t="shared" si="529"/>
        <v>0.2838612130858934</v>
      </c>
      <c r="CQ40" s="91">
        <f t="shared" si="529"/>
        <v>0.28354786970488582</v>
      </c>
      <c r="CR40" s="91">
        <f t="shared" si="529"/>
        <v>0.28285290019471943</v>
      </c>
      <c r="CS40" s="91">
        <f t="shared" si="529"/>
        <v>0.28333455795009965</v>
      </c>
      <c r="CT40" s="91">
        <f t="shared" si="529"/>
        <v>0.28339913523389959</v>
      </c>
      <c r="CU40" s="91">
        <f t="shared" si="529"/>
        <v>0.28328361577090111</v>
      </c>
      <c r="CV40" s="91">
        <f t="shared" si="529"/>
        <v>0.28321755228740497</v>
      </c>
      <c r="CW40" s="91">
        <f t="shared" si="529"/>
        <v>0.28330871531057633</v>
      </c>
      <c r="CX40" s="91">
        <f t="shared" si="529"/>
        <v>0.28330225465069547</v>
      </c>
      <c r="CY40" s="91">
        <f t="shared" si="529"/>
        <v>0.28327803450489447</v>
      </c>
      <c r="CZ40" s="91">
        <f t="shared" si="529"/>
        <v>0.2832766391883928</v>
      </c>
      <c r="DA40" s="91">
        <f t="shared" si="529"/>
        <v>0.28329141091363974</v>
      </c>
      <c r="DB40" s="91">
        <f t="shared" si="529"/>
        <v>0.28328708481440562</v>
      </c>
      <c r="DE40" s="127"/>
      <c r="DF40" s="90">
        <v>0.2834057804505633</v>
      </c>
    </row>
    <row r="41" spans="1:110" s="26" customFormat="1" x14ac:dyDescent="0.2">
      <c r="A41" s="26" t="s">
        <v>22</v>
      </c>
      <c r="B41" s="26">
        <f t="shared" ref="B41:E41" si="530">B38-B39</f>
        <v>0</v>
      </c>
      <c r="C41" s="26">
        <f t="shared" si="530"/>
        <v>0</v>
      </c>
      <c r="D41" s="26">
        <f t="shared" si="530"/>
        <v>0</v>
      </c>
      <c r="E41" s="26">
        <f t="shared" si="530"/>
        <v>0</v>
      </c>
      <c r="F41" s="26">
        <f t="shared" ref="F41:T41" si="531">F38-F39</f>
        <v>0</v>
      </c>
      <c r="G41" s="26">
        <f t="shared" si="531"/>
        <v>0</v>
      </c>
      <c r="H41" s="26">
        <f t="shared" si="531"/>
        <v>0</v>
      </c>
      <c r="I41" s="26">
        <f t="shared" si="531"/>
        <v>0</v>
      </c>
      <c r="J41" s="26">
        <f t="shared" si="531"/>
        <v>0</v>
      </c>
      <c r="K41" s="26">
        <f t="shared" si="531"/>
        <v>0</v>
      </c>
      <c r="L41" s="26">
        <f t="shared" si="531"/>
        <v>0</v>
      </c>
      <c r="M41" s="26">
        <f t="shared" si="531"/>
        <v>0</v>
      </c>
      <c r="N41" s="26">
        <f t="shared" si="531"/>
        <v>0</v>
      </c>
      <c r="O41" s="26">
        <f t="shared" si="531"/>
        <v>0</v>
      </c>
      <c r="P41" s="26">
        <f t="shared" si="531"/>
        <v>60.329600000000006</v>
      </c>
      <c r="Q41" s="26">
        <f t="shared" si="531"/>
        <v>-86.632099999999994</v>
      </c>
      <c r="R41" s="26">
        <f t="shared" si="531"/>
        <v>-73.623800000000017</v>
      </c>
      <c r="S41" s="26">
        <f t="shared" si="531"/>
        <v>-79.210400000000035</v>
      </c>
      <c r="T41" s="26">
        <f t="shared" si="531"/>
        <v>-74.289000000000001</v>
      </c>
      <c r="U41" s="26">
        <f t="shared" ref="U41:Z41" si="532">U38-U39</f>
        <v>-36.234999999999999</v>
      </c>
      <c r="V41" s="26">
        <f t="shared" si="532"/>
        <v>66.586600000000033</v>
      </c>
      <c r="W41" s="26">
        <f t="shared" si="532"/>
        <v>188.20919999999995</v>
      </c>
      <c r="X41" s="26">
        <f t="shared" si="532"/>
        <v>382.55920000000009</v>
      </c>
      <c r="Y41" s="26">
        <f t="shared" si="532"/>
        <v>318.97070000000008</v>
      </c>
      <c r="Z41" s="26">
        <f t="shared" si="532"/>
        <v>202.32760000000013</v>
      </c>
      <c r="AA41" s="26">
        <f t="shared" ref="AA41" si="533">AA38-AA39</f>
        <v>105.4080000000001</v>
      </c>
      <c r="AB41" s="27">
        <f t="shared" ref="AB41:AD41" si="534">AB38-AB39</f>
        <v>158.81929941215958</v>
      </c>
      <c r="AC41" s="27">
        <f t="shared" si="534"/>
        <v>147.89164357183458</v>
      </c>
      <c r="AD41" s="27">
        <f t="shared" si="534"/>
        <v>144.24588429168506</v>
      </c>
      <c r="AE41" s="27">
        <f t="shared" ref="AE41" si="535">AE38-AE39</f>
        <v>146.5816788610654</v>
      </c>
      <c r="AI41" s="26">
        <f>AI38-AI39</f>
        <v>0</v>
      </c>
      <c r="AJ41" s="26">
        <f t="shared" ref="AJ41" si="536">AJ38-AJ39</f>
        <v>0</v>
      </c>
      <c r="AK41" s="26">
        <f t="shared" ref="AK41:AM41" si="537">AK38-AK39</f>
        <v>0</v>
      </c>
      <c r="AL41" s="26">
        <f t="shared" si="537"/>
        <v>0</v>
      </c>
      <c r="AM41" s="26">
        <f t="shared" si="537"/>
        <v>0</v>
      </c>
      <c r="AN41" s="26">
        <f t="shared" ref="AN41:AO41" si="538">AN38-AN39</f>
        <v>0</v>
      </c>
      <c r="AO41" s="26">
        <f t="shared" si="538"/>
        <v>0</v>
      </c>
      <c r="AP41" s="26">
        <f t="shared" ref="AP41:CD41" si="539">AP38-AP39</f>
        <v>0</v>
      </c>
      <c r="AQ41" s="26">
        <f t="shared" si="539"/>
        <v>0</v>
      </c>
      <c r="AR41" s="26">
        <f t="shared" si="539"/>
        <v>0</v>
      </c>
      <c r="AS41" s="26">
        <f t="shared" si="539"/>
        <v>0</v>
      </c>
      <c r="AT41" s="26">
        <f t="shared" si="539"/>
        <v>0</v>
      </c>
      <c r="AU41" s="26">
        <f t="shared" si="539"/>
        <v>0</v>
      </c>
      <c r="AV41" s="26">
        <f t="shared" si="539"/>
        <v>0</v>
      </c>
      <c r="AW41" s="26">
        <f t="shared" si="539"/>
        <v>0</v>
      </c>
      <c r="AX41" s="26">
        <f t="shared" si="539"/>
        <v>0</v>
      </c>
      <c r="AY41" s="26">
        <f t="shared" si="539"/>
        <v>0</v>
      </c>
      <c r="AZ41" s="26">
        <f t="shared" si="539"/>
        <v>0</v>
      </c>
      <c r="BA41" s="26">
        <f t="shared" si="539"/>
        <v>0</v>
      </c>
      <c r="BB41" s="26">
        <f t="shared" si="539"/>
        <v>0</v>
      </c>
      <c r="BC41" s="26">
        <f t="shared" si="539"/>
        <v>0</v>
      </c>
      <c r="BD41" s="26">
        <f t="shared" si="539"/>
        <v>0</v>
      </c>
      <c r="BE41" s="26">
        <f t="shared" si="539"/>
        <v>0</v>
      </c>
      <c r="BF41" s="26">
        <f t="shared" si="539"/>
        <v>0</v>
      </c>
      <c r="BG41" s="26">
        <f t="shared" si="539"/>
        <v>0</v>
      </c>
      <c r="BH41" s="26">
        <f t="shared" si="539"/>
        <v>0</v>
      </c>
      <c r="BI41" s="26">
        <f t="shared" si="539"/>
        <v>0</v>
      </c>
      <c r="BJ41" s="26">
        <f t="shared" si="539"/>
        <v>0</v>
      </c>
      <c r="BK41" s="26">
        <f t="shared" si="539"/>
        <v>0</v>
      </c>
      <c r="BL41" s="26">
        <f t="shared" si="539"/>
        <v>0</v>
      </c>
      <c r="BM41" s="26">
        <f t="shared" si="539"/>
        <v>0</v>
      </c>
      <c r="BN41" s="26">
        <f t="shared" si="539"/>
        <v>0</v>
      </c>
      <c r="BO41" s="26">
        <f t="shared" si="539"/>
        <v>0</v>
      </c>
      <c r="BP41" s="26">
        <f t="shared" si="539"/>
        <v>0</v>
      </c>
      <c r="BQ41" s="26">
        <f t="shared" si="539"/>
        <v>0</v>
      </c>
      <c r="BR41" s="26">
        <f t="shared" si="539"/>
        <v>0</v>
      </c>
      <c r="BS41" s="26">
        <f t="shared" si="539"/>
        <v>0</v>
      </c>
      <c r="BT41" s="26">
        <f t="shared" si="539"/>
        <v>39.378000000000029</v>
      </c>
      <c r="BU41" s="26">
        <f t="shared" si="539"/>
        <v>49.019999999999996</v>
      </c>
      <c r="BV41" s="26">
        <f t="shared" si="539"/>
        <v>81.564999999999998</v>
      </c>
      <c r="BW41" s="26">
        <f t="shared" si="539"/>
        <v>84.398999999999987</v>
      </c>
      <c r="BX41" s="26">
        <f t="shared" si="539"/>
        <v>63.590000000000011</v>
      </c>
      <c r="BY41" s="26">
        <f t="shared" si="539"/>
        <v>98.060999999999979</v>
      </c>
      <c r="BZ41" s="26">
        <f t="shared" si="539"/>
        <v>136.51</v>
      </c>
      <c r="CA41" s="26">
        <f t="shared" si="539"/>
        <v>93.857000000000042</v>
      </c>
      <c r="CB41" s="26">
        <f t="shared" si="539"/>
        <v>66.000999999999976</v>
      </c>
      <c r="CC41" s="26">
        <f t="shared" si="539"/>
        <v>101.52800000000001</v>
      </c>
      <c r="CD41" s="26">
        <f t="shared" si="539"/>
        <v>57.58599999999997</v>
      </c>
      <c r="CE41" s="26">
        <f t="shared" ref="CE41:CF41" si="540">CE38-CE39</f>
        <v>44.842000000000013</v>
      </c>
      <c r="CF41" s="26">
        <f t="shared" si="540"/>
        <v>55.917000000000023</v>
      </c>
      <c r="CG41" s="26">
        <f t="shared" ref="CG41:CH41" si="541">CG38-CG39</f>
        <v>47.823000000000029</v>
      </c>
      <c r="CH41" s="26">
        <f t="shared" si="541"/>
        <v>53.74499999999999</v>
      </c>
      <c r="CI41" s="26">
        <f t="shared" ref="CI41:CJ41" si="542">CI38-CI39</f>
        <v>40.14400000000002</v>
      </c>
      <c r="CJ41" s="26">
        <f t="shared" si="542"/>
        <v>29.040000000000028</v>
      </c>
      <c r="CK41" s="26">
        <f t="shared" ref="CK41" si="543">CK38-CK39</f>
        <v>23.998999999999981</v>
      </c>
      <c r="CL41" s="27">
        <f t="shared" ref="CL41" si="544">CL38-CL39</f>
        <v>56.324069383827975</v>
      </c>
      <c r="CM41" s="27">
        <f t="shared" ref="CM41:DB41" si="545">CM38-CM39</f>
        <v>54.651896529857268</v>
      </c>
      <c r="CN41" s="27">
        <f t="shared" si="545"/>
        <v>28.864886687115984</v>
      </c>
      <c r="CO41" s="27">
        <f t="shared" si="545"/>
        <v>22.029155642971251</v>
      </c>
      <c r="CP41" s="27">
        <f t="shared" si="545"/>
        <v>53.273360552215053</v>
      </c>
      <c r="CQ41" s="27">
        <f t="shared" si="545"/>
        <v>52.326857986730289</v>
      </c>
      <c r="CR41" s="27">
        <f t="shared" si="545"/>
        <v>24.28481593638552</v>
      </c>
      <c r="CS41" s="27">
        <f t="shared" si="545"/>
        <v>18.650658636698257</v>
      </c>
      <c r="CT41" s="27">
        <f t="shared" si="545"/>
        <v>52.629311012020629</v>
      </c>
      <c r="CU41" s="27">
        <f t="shared" si="545"/>
        <v>52.285042980768843</v>
      </c>
      <c r="CV41" s="27">
        <f t="shared" si="545"/>
        <v>21.806897180152177</v>
      </c>
      <c r="CW41" s="27">
        <f t="shared" si="545"/>
        <v>16.166454834742986</v>
      </c>
      <c r="CX41" s="27">
        <f t="shared" si="545"/>
        <v>53.987489296020648</v>
      </c>
      <c r="CY41" s="27">
        <f t="shared" si="545"/>
        <v>54.076174249910707</v>
      </c>
      <c r="CZ41" s="27">
        <f t="shared" si="545"/>
        <v>20.707569878700529</v>
      </c>
      <c r="DA41" s="27">
        <f t="shared" si="545"/>
        <v>14.810774306285843</v>
      </c>
      <c r="DB41" s="27">
        <f t="shared" si="545"/>
        <v>56.987160426168316</v>
      </c>
      <c r="DE41" s="121"/>
      <c r="DF41" s="26">
        <v>105.4080000000001</v>
      </c>
    </row>
    <row r="42" spans="1:110" s="45" customFormat="1" x14ac:dyDescent="0.2">
      <c r="A42" s="45" t="s">
        <v>107</v>
      </c>
      <c r="B42" s="45" t="e">
        <f t="shared" ref="B42:E42" si="546">+B41/B10</f>
        <v>#DIV/0!</v>
      </c>
      <c r="C42" s="45" t="e">
        <f t="shared" si="546"/>
        <v>#DIV/0!</v>
      </c>
      <c r="D42" s="45" t="e">
        <f t="shared" si="546"/>
        <v>#DIV/0!</v>
      </c>
      <c r="E42" s="45" t="e">
        <f t="shared" si="546"/>
        <v>#DIV/0!</v>
      </c>
      <c r="F42" s="45" t="e">
        <f t="shared" ref="F42:AE42" si="547">+F41/F10</f>
        <v>#DIV/0!</v>
      </c>
      <c r="G42" s="45" t="e">
        <f t="shared" si="547"/>
        <v>#DIV/0!</v>
      </c>
      <c r="H42" s="45" t="e">
        <f t="shared" si="547"/>
        <v>#DIV/0!</v>
      </c>
      <c r="I42" s="45" t="e">
        <f t="shared" si="547"/>
        <v>#DIV/0!</v>
      </c>
      <c r="J42" s="45" t="e">
        <f t="shared" si="547"/>
        <v>#DIV/0!</v>
      </c>
      <c r="K42" s="45" t="e">
        <f t="shared" si="547"/>
        <v>#DIV/0!</v>
      </c>
      <c r="L42" s="45" t="e">
        <f t="shared" si="547"/>
        <v>#DIV/0!</v>
      </c>
      <c r="M42" s="45" t="e">
        <f t="shared" si="547"/>
        <v>#DIV/0!</v>
      </c>
      <c r="N42" s="45" t="e">
        <f t="shared" si="547"/>
        <v>#DIV/0!</v>
      </c>
      <c r="O42" s="45" t="e">
        <f t="shared" si="547"/>
        <v>#DIV/0!</v>
      </c>
      <c r="P42" s="45">
        <f t="shared" si="547"/>
        <v>0.26809414152869337</v>
      </c>
      <c r="Q42" s="45">
        <f t="shared" si="547"/>
        <v>-0.25440013766581271</v>
      </c>
      <c r="R42" s="45">
        <f t="shared" si="547"/>
        <v>-0.25595307004415507</v>
      </c>
      <c r="S42" s="45">
        <f t="shared" si="547"/>
        <v>-0.18050394094103137</v>
      </c>
      <c r="T42" s="45">
        <f t="shared" si="547"/>
        <v>-0.13136730644767697</v>
      </c>
      <c r="U42" s="45">
        <f t="shared" si="547"/>
        <v>-5.958038048571946E-2</v>
      </c>
      <c r="V42" s="45">
        <f t="shared" si="547"/>
        <v>8.9889051078730478E-2</v>
      </c>
      <c r="W42" s="45">
        <f t="shared" si="547"/>
        <v>0.1664924125367081</v>
      </c>
      <c r="X42" s="45">
        <f t="shared" si="547"/>
        <v>0.26546960829480459</v>
      </c>
      <c r="Y42" s="45">
        <f t="shared" si="547"/>
        <v>0.23981145629673797</v>
      </c>
      <c r="Z42" s="45">
        <f t="shared" ref="Z42:AA42" si="548">+Z41/Z10</f>
        <v>0.19435554374233155</v>
      </c>
      <c r="AA42" s="45">
        <f t="shared" si="548"/>
        <v>9.750514013820083E-2</v>
      </c>
      <c r="AB42" s="48">
        <f t="shared" si="547"/>
        <v>0.12119955313677418</v>
      </c>
      <c r="AC42" s="48">
        <f t="shared" si="547"/>
        <v>0.10186641039958202</v>
      </c>
      <c r="AD42" s="48">
        <f t="shared" si="547"/>
        <v>8.9692460578358613E-2</v>
      </c>
      <c r="AE42" s="48">
        <f t="shared" si="547"/>
        <v>8.2276132485671227E-2</v>
      </c>
      <c r="AI42" s="45" t="e">
        <f t="shared" ref="AI42:BN42" si="549">+AI41/AI10</f>
        <v>#DIV/0!</v>
      </c>
      <c r="AJ42" s="45" t="e">
        <f t="shared" si="549"/>
        <v>#DIV/0!</v>
      </c>
      <c r="AK42" s="45" t="e">
        <f t="shared" si="549"/>
        <v>#DIV/0!</v>
      </c>
      <c r="AL42" s="45" t="e">
        <f t="shared" si="549"/>
        <v>#DIV/0!</v>
      </c>
      <c r="AM42" s="45" t="e">
        <f t="shared" si="549"/>
        <v>#DIV/0!</v>
      </c>
      <c r="AN42" s="45" t="e">
        <f t="shared" si="549"/>
        <v>#DIV/0!</v>
      </c>
      <c r="AO42" s="45" t="e">
        <f t="shared" si="549"/>
        <v>#DIV/0!</v>
      </c>
      <c r="AP42" s="45" t="e">
        <f t="shared" si="549"/>
        <v>#DIV/0!</v>
      </c>
      <c r="AQ42" s="45" t="e">
        <f t="shared" si="549"/>
        <v>#DIV/0!</v>
      </c>
      <c r="AR42" s="45" t="e">
        <f t="shared" si="549"/>
        <v>#DIV/0!</v>
      </c>
      <c r="AS42" s="45" t="e">
        <f t="shared" si="549"/>
        <v>#DIV/0!</v>
      </c>
      <c r="AT42" s="45" t="e">
        <f t="shared" si="549"/>
        <v>#DIV/0!</v>
      </c>
      <c r="AU42" s="45" t="e">
        <f t="shared" si="549"/>
        <v>#DIV/0!</v>
      </c>
      <c r="AV42" s="45" t="e">
        <f t="shared" si="549"/>
        <v>#DIV/0!</v>
      </c>
      <c r="AW42" s="45" t="e">
        <f t="shared" si="549"/>
        <v>#DIV/0!</v>
      </c>
      <c r="AX42" s="45" t="e">
        <f t="shared" si="549"/>
        <v>#DIV/0!</v>
      </c>
      <c r="AY42" s="45" t="e">
        <f t="shared" si="549"/>
        <v>#DIV/0!</v>
      </c>
      <c r="AZ42" s="45" t="e">
        <f t="shared" si="549"/>
        <v>#DIV/0!</v>
      </c>
      <c r="BA42" s="45" t="e">
        <f t="shared" si="549"/>
        <v>#DIV/0!</v>
      </c>
      <c r="BB42" s="45" t="e">
        <f t="shared" si="549"/>
        <v>#DIV/0!</v>
      </c>
      <c r="BC42" s="45" t="e">
        <f t="shared" si="549"/>
        <v>#DIV/0!</v>
      </c>
      <c r="BD42" s="45" t="e">
        <f t="shared" si="549"/>
        <v>#DIV/0!</v>
      </c>
      <c r="BE42" s="45" t="e">
        <f t="shared" si="549"/>
        <v>#DIV/0!</v>
      </c>
      <c r="BF42" s="45" t="e">
        <f t="shared" si="549"/>
        <v>#DIV/0!</v>
      </c>
      <c r="BG42" s="45" t="e">
        <f t="shared" si="549"/>
        <v>#DIV/0!</v>
      </c>
      <c r="BH42" s="45" t="e">
        <f t="shared" si="549"/>
        <v>#DIV/0!</v>
      </c>
      <c r="BI42" s="45" t="e">
        <f t="shared" si="549"/>
        <v>#DIV/0!</v>
      </c>
      <c r="BJ42" s="45" t="e">
        <f t="shared" si="549"/>
        <v>#DIV/0!</v>
      </c>
      <c r="BK42" s="45" t="e">
        <f t="shared" si="549"/>
        <v>#DIV/0!</v>
      </c>
      <c r="BL42" s="45" t="e">
        <f t="shared" si="549"/>
        <v>#DIV/0!</v>
      </c>
      <c r="BM42" s="45" t="e">
        <f t="shared" si="549"/>
        <v>#DIV/0!</v>
      </c>
      <c r="BN42" s="45" t="e">
        <f t="shared" si="549"/>
        <v>#DIV/0!</v>
      </c>
      <c r="BO42" s="45" t="e">
        <f t="shared" ref="BO42:CT42" si="550">+BO41/BO10</f>
        <v>#DIV/0!</v>
      </c>
      <c r="BP42" s="45" t="e">
        <f t="shared" si="550"/>
        <v>#DIV/0!</v>
      </c>
      <c r="BQ42" s="45" t="e">
        <f t="shared" si="550"/>
        <v>#DIV/0!</v>
      </c>
      <c r="BR42" s="45" t="e">
        <f t="shared" si="550"/>
        <v>#DIV/0!</v>
      </c>
      <c r="BS42" s="45" t="e">
        <f t="shared" si="550"/>
        <v>#DIV/0!</v>
      </c>
      <c r="BT42" s="45">
        <f t="shared" si="550"/>
        <v>0.15766966966966978</v>
      </c>
      <c r="BU42" s="45">
        <f t="shared" si="550"/>
        <v>0.15950540958268933</v>
      </c>
      <c r="BV42" s="45">
        <f t="shared" si="550"/>
        <v>0.21890650077025889</v>
      </c>
      <c r="BW42" s="45">
        <f t="shared" si="550"/>
        <v>0.2108530656500297</v>
      </c>
      <c r="BX42" s="45">
        <f t="shared" si="550"/>
        <v>0.21666467912570916</v>
      </c>
      <c r="BY42" s="45">
        <f t="shared" si="550"/>
        <v>0.26871696220846586</v>
      </c>
      <c r="BZ42" s="45">
        <f t="shared" si="550"/>
        <v>0.3570055573716901</v>
      </c>
      <c r="CA42" s="45">
        <f t="shared" si="550"/>
        <v>0.27356059855316633</v>
      </c>
      <c r="CB42" s="45">
        <f t="shared" si="550"/>
        <v>0.22722531113903563</v>
      </c>
      <c r="CC42" s="45">
        <f t="shared" si="550"/>
        <v>0.24605332674140751</v>
      </c>
      <c r="CD42" s="45">
        <f t="shared" si="550"/>
        <v>0.20283545552209356</v>
      </c>
      <c r="CE42" s="45">
        <f t="shared" si="550"/>
        <v>0.21083068474601777</v>
      </c>
      <c r="CF42" s="45">
        <f t="shared" si="550"/>
        <v>0.23254663034663459</v>
      </c>
      <c r="CG42" s="45">
        <f t="shared" si="550"/>
        <v>0.19737591521044692</v>
      </c>
      <c r="CH42" s="45">
        <f t="shared" si="550"/>
        <v>0.15552250294435102</v>
      </c>
      <c r="CI42" s="45">
        <f t="shared" ref="CI42:CJ42" si="551">+CI41/CI10</f>
        <v>0.13731063521218784</v>
      </c>
      <c r="CJ42" s="45">
        <f t="shared" si="551"/>
        <v>0.12453684643886385</v>
      </c>
      <c r="CK42" s="45">
        <f t="shared" ref="CK42" si="552">+CK41/CK10</f>
        <v>9.4274546775872492E-2</v>
      </c>
      <c r="CL42" s="48">
        <f t="shared" si="550"/>
        <v>0.1413517283916739</v>
      </c>
      <c r="CM42" s="48">
        <f t="shared" si="550"/>
        <v>0.16440925163129447</v>
      </c>
      <c r="CN42" s="48">
        <f t="shared" si="550"/>
        <v>0.11487018034202076</v>
      </c>
      <c r="CO42" s="48">
        <f t="shared" si="550"/>
        <v>7.834339800235221E-2</v>
      </c>
      <c r="CP42" s="48">
        <f t="shared" si="550"/>
        <v>0.11957796354748729</v>
      </c>
      <c r="CQ42" s="48">
        <f t="shared" si="550"/>
        <v>0.14190267370290369</v>
      </c>
      <c r="CR42" s="48">
        <f t="shared" si="550"/>
        <v>8.7666927518472618E-2</v>
      </c>
      <c r="CS42" s="48">
        <f t="shared" si="550"/>
        <v>5.9831343636526015E-2</v>
      </c>
      <c r="CT42" s="48">
        <f t="shared" si="550"/>
        <v>0.10646487746848737</v>
      </c>
      <c r="CU42" s="48">
        <f t="shared" ref="CU42:DB42" si="553">+CU41/CU10</f>
        <v>0.12802973880854471</v>
      </c>
      <c r="CV42" s="48">
        <f t="shared" si="553"/>
        <v>7.1112041133935613E-2</v>
      </c>
      <c r="CW42" s="48">
        <f t="shared" si="553"/>
        <v>4.6799913601238634E-2</v>
      </c>
      <c r="CX42" s="48">
        <f t="shared" si="553"/>
        <v>9.8561862495367372E-2</v>
      </c>
      <c r="CY42" s="48">
        <f t="shared" si="553"/>
        <v>0.11954363171446021</v>
      </c>
      <c r="CZ42" s="48">
        <f t="shared" si="553"/>
        <v>6.0960063359673154E-2</v>
      </c>
      <c r="DA42" s="48">
        <f t="shared" si="553"/>
        <v>3.869944465411837E-2</v>
      </c>
      <c r="DB42" s="48">
        <f t="shared" si="553"/>
        <v>9.391063159203708E-2</v>
      </c>
      <c r="DE42" s="129"/>
      <c r="DF42" s="45">
        <v>9.750514013820083E-2</v>
      </c>
    </row>
    <row r="43" spans="1:110" s="39" customFormat="1" x14ac:dyDescent="0.2">
      <c r="A43" s="39" t="s">
        <v>451</v>
      </c>
      <c r="C43" s="39" t="e">
        <f t="shared" ref="C43:E43" si="554">+IF(B41&lt;0,1-C41/B41,C41/B41-1)</f>
        <v>#DIV/0!</v>
      </c>
      <c r="D43" s="39" t="e">
        <f t="shared" si="554"/>
        <v>#DIV/0!</v>
      </c>
      <c r="E43" s="39" t="e">
        <f t="shared" si="554"/>
        <v>#DIV/0!</v>
      </c>
      <c r="F43" s="39" t="e">
        <f t="shared" ref="F43:AE43" si="555">+IF(E41&lt;0,1-F41/E41,F41/E41-1)</f>
        <v>#DIV/0!</v>
      </c>
      <c r="G43" s="39" t="e">
        <f t="shared" si="555"/>
        <v>#DIV/0!</v>
      </c>
      <c r="H43" s="39" t="e">
        <f t="shared" si="555"/>
        <v>#DIV/0!</v>
      </c>
      <c r="I43" s="39" t="e">
        <f t="shared" si="555"/>
        <v>#DIV/0!</v>
      </c>
      <c r="J43" s="39" t="e">
        <f t="shared" si="555"/>
        <v>#DIV/0!</v>
      </c>
      <c r="K43" s="39" t="e">
        <f t="shared" si="555"/>
        <v>#DIV/0!</v>
      </c>
      <c r="L43" s="39" t="e">
        <f t="shared" si="555"/>
        <v>#DIV/0!</v>
      </c>
      <c r="M43" s="39" t="e">
        <f t="shared" si="555"/>
        <v>#DIV/0!</v>
      </c>
      <c r="N43" s="39" t="e">
        <f t="shared" si="555"/>
        <v>#DIV/0!</v>
      </c>
      <c r="O43" s="39" t="e">
        <f t="shared" si="555"/>
        <v>#DIV/0!</v>
      </c>
      <c r="P43" s="39" t="e">
        <f t="shared" si="555"/>
        <v>#DIV/0!</v>
      </c>
      <c r="Q43" s="39">
        <f t="shared" si="555"/>
        <v>-2.4359800164430059</v>
      </c>
      <c r="R43" s="39">
        <f t="shared" si="555"/>
        <v>0.15015565823753529</v>
      </c>
      <c r="S43" s="39">
        <f t="shared" si="555"/>
        <v>-7.5880353907296527E-2</v>
      </c>
      <c r="T43" s="39">
        <f t="shared" si="555"/>
        <v>6.2130730308141757E-2</v>
      </c>
      <c r="U43" s="39">
        <f t="shared" si="555"/>
        <v>0.51224272772550439</v>
      </c>
      <c r="V43" s="39">
        <f t="shared" si="555"/>
        <v>2.8376321236373681</v>
      </c>
      <c r="W43" s="39">
        <f t="shared" si="555"/>
        <v>1.8265326657315413</v>
      </c>
      <c r="X43" s="39">
        <f t="shared" si="555"/>
        <v>1.0326275229903756</v>
      </c>
      <c r="Y43" s="39">
        <f t="shared" si="555"/>
        <v>-0.16621871856695647</v>
      </c>
      <c r="Z43" s="39">
        <f t="shared" ref="Z43:AA43" si="556">+IF(Y41&lt;0,1-Z41/Y41,Z41/Y41-1)</f>
        <v>-0.36568593917873937</v>
      </c>
      <c r="AA43" s="39">
        <f t="shared" si="556"/>
        <v>-0.47902312882671449</v>
      </c>
      <c r="AB43" s="40">
        <f t="shared" si="555"/>
        <v>0.50671011130236243</v>
      </c>
      <c r="AC43" s="40">
        <f t="shared" si="555"/>
        <v>-6.8805591516721942E-2</v>
      </c>
      <c r="AD43" s="40">
        <f t="shared" si="555"/>
        <v>-2.4651556991985735E-2</v>
      </c>
      <c r="AE43" s="40">
        <f t="shared" si="555"/>
        <v>1.619314534241445E-2</v>
      </c>
      <c r="AM43" s="39" t="e">
        <f>+IF(AI41&lt;0,1-AM41/AI41,AM41/AI41-1)</f>
        <v>#DIV/0!</v>
      </c>
      <c r="AN43" s="39" t="e">
        <f t="shared" ref="AN43" si="557">+IF(AJ41&lt;0,1-AN41/AJ41,AN41/AJ41-1)</f>
        <v>#DIV/0!</v>
      </c>
      <c r="AO43" s="39" t="e">
        <f t="shared" ref="AO43" si="558">+IF(AK41&lt;0,1-AO41/AK41,AO41/AK41-1)</f>
        <v>#DIV/0!</v>
      </c>
      <c r="AP43" s="39" t="e">
        <f t="shared" ref="AP43" si="559">+IF(AL41&lt;0,1-AP41/AL41,AP41/AL41-1)</f>
        <v>#DIV/0!</v>
      </c>
      <c r="AQ43" s="39" t="e">
        <f t="shared" ref="AQ43" si="560">+IF(AM41&lt;0,1-AQ41/AM41,AQ41/AM41-1)</f>
        <v>#DIV/0!</v>
      </c>
      <c r="AR43" s="39" t="e">
        <f t="shared" ref="AR43" si="561">+IF(AN41&lt;0,1-AR41/AN41,AR41/AN41-1)</f>
        <v>#DIV/0!</v>
      </c>
      <c r="AS43" s="39" t="e">
        <f t="shared" ref="AS43" si="562">+IF(AO41&lt;0,1-AS41/AO41,AS41/AO41-1)</f>
        <v>#DIV/0!</v>
      </c>
      <c r="AT43" s="39" t="e">
        <f t="shared" ref="AT43" si="563">+IF(AP41&lt;0,1-AT41/AP41,AT41/AP41-1)</f>
        <v>#DIV/0!</v>
      </c>
      <c r="AU43" s="39" t="e">
        <f t="shared" ref="AU43" si="564">+IF(AQ41&lt;0,1-AU41/AQ41,AU41/AQ41-1)</f>
        <v>#DIV/0!</v>
      </c>
      <c r="AV43" s="39" t="e">
        <f t="shared" ref="AV43" si="565">+IF(AR41&lt;0,1-AV41/AR41,AV41/AR41-1)</f>
        <v>#DIV/0!</v>
      </c>
      <c r="AW43" s="39" t="e">
        <f t="shared" ref="AW43" si="566">+IF(AS41&lt;0,1-AW41/AS41,AW41/AS41-1)</f>
        <v>#DIV/0!</v>
      </c>
      <c r="AX43" s="39" t="e">
        <f t="shared" ref="AX43" si="567">+IF(AT41&lt;0,1-AX41/AT41,AX41/AT41-1)</f>
        <v>#DIV/0!</v>
      </c>
      <c r="AY43" s="39" t="e">
        <f t="shared" ref="AY43" si="568">+IF(AU41&lt;0,1-AY41/AU41,AY41/AU41-1)</f>
        <v>#DIV/0!</v>
      </c>
      <c r="AZ43" s="39" t="e">
        <f t="shared" ref="AZ43" si="569">+IF(AV41&lt;0,1-AZ41/AV41,AZ41/AV41-1)</f>
        <v>#DIV/0!</v>
      </c>
      <c r="BA43" s="39" t="e">
        <f t="shared" ref="BA43" si="570">+IF(AW41&lt;0,1-BA41/AW41,BA41/AW41-1)</f>
        <v>#DIV/0!</v>
      </c>
      <c r="BB43" s="39" t="e">
        <f t="shared" ref="BB43" si="571">+IF(AX41&lt;0,1-BB41/AX41,BB41/AX41-1)</f>
        <v>#DIV/0!</v>
      </c>
      <c r="BC43" s="39" t="e">
        <f t="shared" ref="BC43" si="572">+IF(AY41&lt;0,1-BC41/AY41,BC41/AY41-1)</f>
        <v>#DIV/0!</v>
      </c>
      <c r="BD43" s="39" t="e">
        <f t="shared" ref="BD43" si="573">+IF(AZ41&lt;0,1-BD41/AZ41,BD41/AZ41-1)</f>
        <v>#DIV/0!</v>
      </c>
      <c r="BE43" s="39" t="e">
        <f t="shared" ref="BE43" si="574">+IF(BA41&lt;0,1-BE41/BA41,BE41/BA41-1)</f>
        <v>#DIV/0!</v>
      </c>
      <c r="BF43" s="39" t="e">
        <f t="shared" ref="BF43" si="575">+IF(BB41&lt;0,1-BF41/BB41,BF41/BB41-1)</f>
        <v>#DIV/0!</v>
      </c>
      <c r="BG43" s="39" t="e">
        <f t="shared" ref="BG43" si="576">+IF(BC41&lt;0,1-BG41/BC41,BG41/BC41-1)</f>
        <v>#DIV/0!</v>
      </c>
      <c r="BH43" s="39" t="e">
        <f t="shared" ref="BH43" si="577">+IF(BD41&lt;0,1-BH41/BD41,BH41/BD41-1)</f>
        <v>#DIV/0!</v>
      </c>
      <c r="BI43" s="39" t="e">
        <f t="shared" ref="BI43" si="578">+IF(BE41&lt;0,1-BI41/BE41,BI41/BE41-1)</f>
        <v>#DIV/0!</v>
      </c>
      <c r="BJ43" s="39" t="e">
        <f t="shared" ref="BJ43" si="579">+IF(BF41&lt;0,1-BJ41/BF41,BJ41/BF41-1)</f>
        <v>#DIV/0!</v>
      </c>
      <c r="BK43" s="39" t="e">
        <f t="shared" ref="BK43" si="580">+IF(BG41&lt;0,1-BK41/BG41,BK41/BG41-1)</f>
        <v>#DIV/0!</v>
      </c>
      <c r="BL43" s="39" t="e">
        <f t="shared" ref="BL43" si="581">+IF(BH41&lt;0,1-BL41/BH41,BL41/BH41-1)</f>
        <v>#DIV/0!</v>
      </c>
      <c r="BM43" s="39" t="e">
        <f t="shared" ref="BM43" si="582">+IF(BI41&lt;0,1-BM41/BI41,BM41/BI41-1)</f>
        <v>#DIV/0!</v>
      </c>
      <c r="BN43" s="39" t="e">
        <f t="shared" ref="BN43" si="583">+IF(BJ41&lt;0,1-BN41/BJ41,BN41/BJ41-1)</f>
        <v>#DIV/0!</v>
      </c>
      <c r="BO43" s="39" t="e">
        <f t="shared" ref="BO43" si="584">+IF(BK41&lt;0,1-BO41/BK41,BO41/BK41-1)</f>
        <v>#DIV/0!</v>
      </c>
      <c r="BP43" s="39" t="e">
        <f t="shared" ref="BP43" si="585">+IF(BL41&lt;0,1-BP41/BL41,BP41/BL41-1)</f>
        <v>#DIV/0!</v>
      </c>
      <c r="BQ43" s="39" t="e">
        <f t="shared" ref="BQ43" si="586">+IF(BM41&lt;0,1-BQ41/BM41,BQ41/BM41-1)</f>
        <v>#DIV/0!</v>
      </c>
      <c r="BR43" s="39" t="e">
        <f t="shared" ref="BR43" si="587">+IF(BN41&lt;0,1-BR41/BN41,BR41/BN41-1)</f>
        <v>#DIV/0!</v>
      </c>
      <c r="BS43" s="39" t="e">
        <f t="shared" ref="BS43" si="588">+IF(BO41&lt;0,1-BS41/BO41,BS41/BO41-1)</f>
        <v>#DIV/0!</v>
      </c>
      <c r="BT43" s="39" t="e">
        <f t="shared" ref="BT43" si="589">+IF(BP41&lt;0,1-BT41/BP41,BT41/BP41-1)</f>
        <v>#DIV/0!</v>
      </c>
      <c r="BU43" s="39" t="e">
        <f t="shared" ref="BU43" si="590">+IF(BQ41&lt;0,1-BU41/BQ41,BU41/BQ41-1)</f>
        <v>#DIV/0!</v>
      </c>
      <c r="BV43" s="39" t="e">
        <f t="shared" ref="BV43" si="591">+IF(BR41&lt;0,1-BV41/BR41,BV41/BR41-1)</f>
        <v>#DIV/0!</v>
      </c>
      <c r="BW43" s="39" t="e">
        <f t="shared" ref="BW43" si="592">+IF(BS41&lt;0,1-BW41/BS41,BW41/BS41-1)</f>
        <v>#DIV/0!</v>
      </c>
      <c r="BX43" s="39">
        <f t="shared" ref="BX43" si="593">+IF(BT41&lt;0,1-BX41/BT41,BX41/BT41-1)</f>
        <v>0.61486108994870148</v>
      </c>
      <c r="BY43" s="39">
        <f t="shared" ref="BY43" si="594">+IF(BU41&lt;0,1-BY41/BU41,BY41/BU41-1)</f>
        <v>1.0004283965728273</v>
      </c>
      <c r="BZ43" s="39">
        <f t="shared" ref="BZ43" si="595">+IF(BV41&lt;0,1-BZ41/BV41,BZ41/BV41-1)</f>
        <v>0.67363452461227236</v>
      </c>
      <c r="CA43" s="39">
        <f t="shared" ref="CA43" si="596">+IF(BW41&lt;0,1-CA41/BW41,CA41/BW41-1)</f>
        <v>0.11206293913435061</v>
      </c>
      <c r="CB43" s="39">
        <f t="shared" ref="CB43" si="597">+IF(BX41&lt;0,1-CB41/BX41,CB41/BX41-1)</f>
        <v>3.79147664727153E-2</v>
      </c>
      <c r="CC43" s="39">
        <f t="shared" ref="CC43" si="598">+IF(BY41&lt;0,1-CC41/BY41,CC41/BY41-1)</f>
        <v>3.5355543998123906E-2</v>
      </c>
      <c r="CD43" s="39">
        <f t="shared" ref="CD43" si="599">+IF(BZ41&lt;0,1-CD41/BZ41,CD41/BZ41-1)</f>
        <v>-0.578155446487437</v>
      </c>
      <c r="CE43" s="39">
        <f t="shared" ref="CE43" si="600">+IF(CA41&lt;0,1-CE41/CA41,CE41/CA41-1)</f>
        <v>-0.52223062744387749</v>
      </c>
      <c r="CF43" s="39">
        <f t="shared" ref="CF43" si="601">+IF(CB41&lt;0,1-CF41/CB41,CF41/CB41-1)</f>
        <v>-0.15278556385509245</v>
      </c>
      <c r="CG43" s="39">
        <f t="shared" ref="CG43" si="602">+IF(CC41&lt;0,1-CG41/CC41,CG41/CC41-1)</f>
        <v>-0.52896737845717412</v>
      </c>
      <c r="CH43" s="39">
        <f t="shared" ref="CH43:CK43" si="603">+IF(CD41&lt;0,1-CH41/CD41,CH41/CD41-1)</f>
        <v>-6.6700239641579229E-2</v>
      </c>
      <c r="CI43" s="39">
        <f t="shared" si="603"/>
        <v>-0.1047678515677265</v>
      </c>
      <c r="CJ43" s="39">
        <f t="shared" si="603"/>
        <v>-0.48065883362841322</v>
      </c>
      <c r="CK43" s="39">
        <f t="shared" si="603"/>
        <v>-0.49817033644898967</v>
      </c>
      <c r="CL43" s="40">
        <f t="shared" ref="CL43" si="604">+IF(CH41&lt;0,1-CL41/CH41,CL41/CH41-1)</f>
        <v>4.7987150131695744E-2</v>
      </c>
      <c r="CM43" s="40">
        <f t="shared" ref="CM43" si="605">+CM41/CI41-1</f>
        <v>0.36139638625590975</v>
      </c>
      <c r="CN43" s="40">
        <f t="shared" ref="CN43" si="606">+CN41/CJ41-1</f>
        <v>-6.0300727577149438E-3</v>
      </c>
      <c r="CO43" s="40">
        <f t="shared" ref="CO43" si="607">+CO41/CK41-1</f>
        <v>-8.2080268220706354E-2</v>
      </c>
      <c r="CP43" s="40">
        <f t="shared" ref="CP43" si="608">+CP41/CL41-1</f>
        <v>-5.4163501767307554E-2</v>
      </c>
      <c r="CQ43" s="40">
        <f t="shared" ref="CQ43" si="609">+CQ41/CM41-1</f>
        <v>-4.2542687276310165E-2</v>
      </c>
      <c r="CR43" s="40">
        <f t="shared" ref="CR43" si="610">+CR41/CN41-1</f>
        <v>-0.15867274312823842</v>
      </c>
      <c r="CS43" s="40">
        <f t="shared" ref="CS43" si="611">+CS41/CO41-1</f>
        <v>-0.1533647980444024</v>
      </c>
      <c r="CT43" s="40">
        <f t="shared" ref="CT43" si="612">+CT41/CP41-1</f>
        <v>-1.2089523422558757E-2</v>
      </c>
      <c r="CU43" s="40">
        <f t="shared" ref="CU43" si="613">+CU41/CQ41-1</f>
        <v>-7.9911172904845174E-4</v>
      </c>
      <c r="CV43" s="40">
        <f t="shared" ref="CV43" si="614">+CV41/CR41-1</f>
        <v>-0.10203572317469045</v>
      </c>
      <c r="CW43" s="40">
        <f t="shared" ref="CW43" si="615">+CW41/CS41-1</f>
        <v>-0.13319657232196558</v>
      </c>
      <c r="CX43" s="40">
        <f t="shared" ref="CX43" si="616">+CX41/CT41-1</f>
        <v>2.580649941797275E-2</v>
      </c>
      <c r="CY43" s="40">
        <f t="shared" ref="CY43" si="617">+CY41/CU41-1</f>
        <v>3.4257048804581913E-2</v>
      </c>
      <c r="CZ43" s="40">
        <f t="shared" ref="CZ43" si="618">+CZ41/CV41-1</f>
        <v>-5.041190832285003E-2</v>
      </c>
      <c r="DA43" s="40">
        <f t="shared" ref="DA43" si="619">+DA41/CW41-1</f>
        <v>-8.3857626320377854E-2</v>
      </c>
      <c r="DB43" s="40">
        <f t="shared" ref="DB43" si="620">+DB41/CX41-1</f>
        <v>5.5562338039097714E-2</v>
      </c>
      <c r="DE43" s="122"/>
      <c r="DF43" s="39">
        <v>-0.47902312882671449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21">+IF(AJ41&lt;0,1-AK41/AJ41,AK41/AJ41-1)</f>
        <v>#DIV/0!</v>
      </c>
      <c r="AL44" s="39" t="e">
        <f t="shared" si="621"/>
        <v>#DIV/0!</v>
      </c>
      <c r="AM44" s="39" t="e">
        <f t="shared" si="621"/>
        <v>#DIV/0!</v>
      </c>
      <c r="AN44" s="39" t="e">
        <f t="shared" ref="AN44" si="622">+IF(AM41&lt;0,1-AN41/AM41,AN41/AM41-1)</f>
        <v>#DIV/0!</v>
      </c>
      <c r="AO44" s="39" t="e">
        <f t="shared" ref="AO44" si="623">+IF(AN41&lt;0,1-AO41/AN41,AO41/AN41-1)</f>
        <v>#DIV/0!</v>
      </c>
      <c r="AP44" s="39" t="e">
        <f t="shared" ref="AP44" si="624">+IF(AO41&lt;0,1-AP41/AO41,AP41/AO41-1)</f>
        <v>#DIV/0!</v>
      </c>
      <c r="AQ44" s="39" t="e">
        <f t="shared" ref="AQ44" si="625">+IF(AP41&lt;0,1-AQ41/AP41,AQ41/AP41-1)</f>
        <v>#DIV/0!</v>
      </c>
      <c r="AR44" s="39" t="e">
        <f t="shared" ref="AR44" si="626">+IF(AQ41&lt;0,1-AR41/AQ41,AR41/AQ41-1)</f>
        <v>#DIV/0!</v>
      </c>
      <c r="AS44" s="39" t="e">
        <f t="shared" ref="AS44" si="627">+IF(AR41&lt;0,1-AS41/AR41,AS41/AR41-1)</f>
        <v>#DIV/0!</v>
      </c>
      <c r="AT44" s="39" t="e">
        <f t="shared" ref="AT44" si="628">+IF(AS41&lt;0,1-AT41/AS41,AT41/AS41-1)</f>
        <v>#DIV/0!</v>
      </c>
      <c r="AU44" s="39" t="e">
        <f t="shared" ref="AU44" si="629">+IF(AT41&lt;0,1-AU41/AT41,AU41/AT41-1)</f>
        <v>#DIV/0!</v>
      </c>
      <c r="AV44" s="39" t="e">
        <f t="shared" ref="AV44" si="630">+IF(AU41&lt;0,1-AV41/AU41,AV41/AU41-1)</f>
        <v>#DIV/0!</v>
      </c>
      <c r="AW44" s="39" t="e">
        <f t="shared" ref="AW44" si="631">+IF(AV41&lt;0,1-AW41/AV41,AW41/AV41-1)</f>
        <v>#DIV/0!</v>
      </c>
      <c r="AX44" s="39" t="e">
        <f t="shared" ref="AX44" si="632">+IF(AW41&lt;0,1-AX41/AW41,AX41/AW41-1)</f>
        <v>#DIV/0!</v>
      </c>
      <c r="AY44" s="39" t="e">
        <f t="shared" ref="AY44" si="633">+IF(AX41&lt;0,1-AY41/AX41,AY41/AX41-1)</f>
        <v>#DIV/0!</v>
      </c>
      <c r="AZ44" s="39" t="e">
        <f t="shared" ref="AZ44" si="634">+IF(AY41&lt;0,1-AZ41/AY41,AZ41/AY41-1)</f>
        <v>#DIV/0!</v>
      </c>
      <c r="BA44" s="39" t="e">
        <f t="shared" ref="BA44" si="635">+IF(AZ41&lt;0,1-BA41/AZ41,BA41/AZ41-1)</f>
        <v>#DIV/0!</v>
      </c>
      <c r="BB44" s="39" t="e">
        <f t="shared" ref="BB44" si="636">+IF(BA41&lt;0,1-BB41/BA41,BB41/BA41-1)</f>
        <v>#DIV/0!</v>
      </c>
      <c r="BC44" s="39" t="e">
        <f t="shared" ref="BC44" si="637">+IF(BB41&lt;0,1-BC41/BB41,BC41/BB41-1)</f>
        <v>#DIV/0!</v>
      </c>
      <c r="BD44" s="39" t="e">
        <f t="shared" ref="BD44" si="638">+IF(BC41&lt;0,1-BD41/BC41,BD41/BC41-1)</f>
        <v>#DIV/0!</v>
      </c>
      <c r="BE44" s="39" t="e">
        <f t="shared" ref="BE44" si="639">+IF(BD41&lt;0,1-BE41/BD41,BE41/BD41-1)</f>
        <v>#DIV/0!</v>
      </c>
      <c r="BF44" s="39" t="e">
        <f t="shared" ref="BF44" si="640">+IF(BE41&lt;0,1-BF41/BE41,BF41/BE41-1)</f>
        <v>#DIV/0!</v>
      </c>
      <c r="BG44" s="39" t="e">
        <f t="shared" ref="BG44" si="641">+IF(BF41&lt;0,1-BG41/BF41,BG41/BF41-1)</f>
        <v>#DIV/0!</v>
      </c>
      <c r="BH44" s="39" t="e">
        <f t="shared" ref="BH44" si="642">+IF(BG41&lt;0,1-BH41/BG41,BH41/BG41-1)</f>
        <v>#DIV/0!</v>
      </c>
      <c r="BI44" s="39" t="e">
        <f t="shared" ref="BI44" si="643">+IF(BH41&lt;0,1-BI41/BH41,BI41/BH41-1)</f>
        <v>#DIV/0!</v>
      </c>
      <c r="BJ44" s="39" t="e">
        <f t="shared" ref="BJ44" si="644">+IF(BI41&lt;0,1-BJ41/BI41,BJ41/BI41-1)</f>
        <v>#DIV/0!</v>
      </c>
      <c r="BK44" s="39" t="e">
        <f t="shared" ref="BK44" si="645">+IF(BJ41&lt;0,1-BK41/BJ41,BK41/BJ41-1)</f>
        <v>#DIV/0!</v>
      </c>
      <c r="BL44" s="39" t="e">
        <f t="shared" ref="BL44" si="646">+IF(BK41&lt;0,1-BL41/BK41,BL41/BK41-1)</f>
        <v>#DIV/0!</v>
      </c>
      <c r="BM44" s="39" t="e">
        <f t="shared" ref="BM44" si="647">+IF(BL41&lt;0,1-BM41/BL41,BM41/BL41-1)</f>
        <v>#DIV/0!</v>
      </c>
      <c r="BN44" s="39" t="e">
        <f t="shared" ref="BN44" si="648">+IF(BM41&lt;0,1-BN41/BM41,BN41/BM41-1)</f>
        <v>#DIV/0!</v>
      </c>
      <c r="BO44" s="39" t="e">
        <f t="shared" ref="BO44" si="649">+IF(BN41&lt;0,1-BO41/BN41,BO41/BN41-1)</f>
        <v>#DIV/0!</v>
      </c>
      <c r="BP44" s="39" t="e">
        <f t="shared" ref="BP44" si="650">+IF(BO41&lt;0,1-BP41/BO41,BP41/BO41-1)</f>
        <v>#DIV/0!</v>
      </c>
      <c r="BQ44" s="39" t="e">
        <f t="shared" ref="BQ44" si="651">+IF(BP41&lt;0,1-BQ41/BP41,BQ41/BP41-1)</f>
        <v>#DIV/0!</v>
      </c>
      <c r="BR44" s="39" t="e">
        <f t="shared" ref="BR44" si="652">+IF(BQ41&lt;0,1-BR41/BQ41,BR41/BQ41-1)</f>
        <v>#DIV/0!</v>
      </c>
      <c r="BS44" s="39" t="e">
        <f t="shared" ref="BS44" si="653">+IF(BR41&lt;0,1-BS41/BR41,BS41/BR41-1)</f>
        <v>#DIV/0!</v>
      </c>
      <c r="BT44" s="39" t="e">
        <f t="shared" ref="BT44" si="654">+IF(BS41&lt;0,1-BT41/BS41,BT41/BS41-1)</f>
        <v>#DIV/0!</v>
      </c>
      <c r="BU44" s="39">
        <f t="shared" ref="BU44" si="655">+IF(BT41&lt;0,1-BU41/BT41,BU41/BT41-1)</f>
        <v>0.24485753466402449</v>
      </c>
      <c r="BV44" s="39">
        <f t="shared" ref="BV44" si="656">+IF(BU41&lt;0,1-BV41/BU41,BV41/BU41-1)</f>
        <v>0.66391268869849052</v>
      </c>
      <c r="BW44" s="39">
        <f t="shared" ref="BW44" si="657">+IF(BV41&lt;0,1-BW41/BV41,BW41/BV41-1)</f>
        <v>3.4745295163366441E-2</v>
      </c>
      <c r="BX44" s="39">
        <f t="shared" ref="BX44" si="658">+IF(BW41&lt;0,1-BX41/BW41,BX41/BW41-1)</f>
        <v>-0.24655505396983357</v>
      </c>
      <c r="BY44" s="39">
        <f t="shared" ref="BY44" si="659">+IF(BX41&lt;0,1-BY41/BX41,BY41/BX41-1)</f>
        <v>0.54208208837867522</v>
      </c>
      <c r="BZ44" s="39">
        <f t="shared" ref="BZ44" si="660">+IF(BY41&lt;0,1-BZ41/BY41,BZ41/BY41-1)</f>
        <v>0.39209267700716932</v>
      </c>
      <c r="CA44" s="39">
        <f t="shared" ref="CA44" si="661">+IF(BZ41&lt;0,1-CA41/BZ41,CA41/BZ41-1)</f>
        <v>-0.31245330012453265</v>
      </c>
      <c r="CB44" s="39">
        <f t="shared" ref="CB44" si="662">+IF(CA41&lt;0,1-CB41/CA41,CB41/CA41-1)</f>
        <v>-0.29679192814600996</v>
      </c>
      <c r="CC44" s="39">
        <f t="shared" ref="CC44" si="663">+IF(CB41&lt;0,1-CC41/CB41,CC41/CB41-1)</f>
        <v>0.53827972303450022</v>
      </c>
      <c r="CD44" s="39">
        <f t="shared" ref="CD44" si="664">+IF(CC41&lt;0,1-CD41/CC41,CD41/CC41-1)</f>
        <v>-0.4328067134189586</v>
      </c>
      <c r="CE44" s="39">
        <f t="shared" ref="CE44" si="665">+IF(CD41&lt;0,1-CE41/CD41,CE41/CD41-1)</f>
        <v>-0.22130378911540938</v>
      </c>
      <c r="CF44" s="39">
        <f t="shared" ref="CF44" si="666">+IF(CE41&lt;0,1-CF41/CE41,CF41/CE41-1)</f>
        <v>0.24697827929173566</v>
      </c>
      <c r="CG44" s="39">
        <f t="shared" ref="CG44" si="667">+IF(CF41&lt;0,1-CG41/CF41,CG41/CF41-1)</f>
        <v>-0.14475025484199777</v>
      </c>
      <c r="CH44" s="39">
        <f t="shared" ref="CH44:CK44" si="668">+IF(CG41&lt;0,1-CH41/CG41,CH41/CG41-1)</f>
        <v>0.12383162913242485</v>
      </c>
      <c r="CI44" s="39">
        <f t="shared" si="668"/>
        <v>-0.25306540143269096</v>
      </c>
      <c r="CJ44" s="39">
        <f t="shared" si="668"/>
        <v>-0.27660422479075297</v>
      </c>
      <c r="CK44" s="39">
        <f t="shared" si="668"/>
        <v>-0.17358815426997387</v>
      </c>
      <c r="CL44" s="40">
        <f t="shared" ref="CL44" si="669">+IF(CK41&lt;0,1-CL41/CK41,CL41/CK41-1)</f>
        <v>1.346934013243386</v>
      </c>
      <c r="CM44" s="40">
        <f t="shared" ref="CM44" si="670">+CM41/CL41-1</f>
        <v>-2.9688424012396131E-2</v>
      </c>
      <c r="CN44" s="40">
        <f t="shared" ref="CN44" si="671">+CN41/CM41-1</f>
        <v>-0.4718410792689216</v>
      </c>
      <c r="CO44" s="40">
        <f t="shared" ref="CO44" si="672">+CO41/CN41-1</f>
        <v>-0.23681821855881047</v>
      </c>
      <c r="CP44" s="40">
        <f t="shared" ref="CP44" si="673">+CP41/CO41-1</f>
        <v>1.4183115056982567</v>
      </c>
      <c r="CQ44" s="40">
        <f t="shared" ref="CQ44" si="674">+CQ41/CP41-1</f>
        <v>-1.7766901799954327E-2</v>
      </c>
      <c r="CR44" s="40">
        <f t="shared" ref="CR44" si="675">+CR41/CQ41-1</f>
        <v>-0.53590150697479344</v>
      </c>
      <c r="CS44" s="40">
        <f t="shared" ref="CS44" si="676">+CS41/CR41-1</f>
        <v>-0.23200329434021782</v>
      </c>
      <c r="CT44" s="40">
        <f t="shared" ref="CT44" si="677">+CT41/CS41-1</f>
        <v>1.8218473158081268</v>
      </c>
      <c r="CU44" s="40">
        <f t="shared" ref="CU44" si="678">+CU41/CT41-1</f>
        <v>-6.541374466657035E-3</v>
      </c>
      <c r="CV44" s="40">
        <f t="shared" ref="CV44" si="679">+CV41/CU41-1</f>
        <v>-0.58292284108529757</v>
      </c>
      <c r="CW44" s="40">
        <f t="shared" ref="CW44" si="680">+CW41/CV41-1</f>
        <v>-0.25865405329387769</v>
      </c>
      <c r="CX44" s="40">
        <f t="shared" ref="CX44" si="681">+CX41/CW41-1</f>
        <v>2.3394760847627074</v>
      </c>
      <c r="CY44" s="40">
        <f t="shared" ref="CY44" si="682">+CY41/CX41-1</f>
        <v>1.6426945399106163E-3</v>
      </c>
      <c r="CZ44" s="40">
        <f t="shared" ref="CZ44" si="683">+CZ41/CY41-1</f>
        <v>-0.61706666261186705</v>
      </c>
      <c r="DA44" s="40">
        <f t="shared" ref="DA44" si="684">+DA41/CZ41-1</f>
        <v>-0.28476521421666356</v>
      </c>
      <c r="DB44" s="40">
        <f t="shared" ref="DB44" si="685">+DB41/DA41-1</f>
        <v>2.8476827239195988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6.7999999999999996E-3</v>
      </c>
      <c r="Z45" s="75">
        <f>'Annual Raw'!AA32</f>
        <v>3.8E-3</v>
      </c>
      <c r="AA45" s="75">
        <f>'Annual Raw'!AB32</f>
        <v>1.4514</v>
      </c>
      <c r="AB45" s="76">
        <f t="shared" ref="AB45:AB46" si="686">+SUM(CM45:CP45)</f>
        <v>-1.44</v>
      </c>
      <c r="AC45" s="76">
        <f t="shared" ref="AC45:AC46" si="687">+SUM(CQ45:CT45)</f>
        <v>-1.44</v>
      </c>
      <c r="AD45" s="76">
        <f t="shared" ref="AD45:AD46" si="688">+SUM(CU45:CX45)</f>
        <v>-1.44</v>
      </c>
      <c r="AE45" s="76">
        <f t="shared" ref="AE45:AE46" si="689">+SUM(CY45:DB45)</f>
        <v>-1.44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7.0000000000000001E-3</v>
      </c>
      <c r="CE45" s="75">
        <f>'QTR Raw'!AY34</f>
        <v>1.4999999999999999E-2</v>
      </c>
      <c r="CF45" s="75">
        <f>'QTR Raw'!AZ34</f>
        <v>4.7E-2</v>
      </c>
      <c r="CG45" s="75">
        <f>'QTR Raw'!BA34</f>
        <v>0.14899999999999999</v>
      </c>
      <c r="CH45" s="75">
        <f>'QTR Raw'!BB34</f>
        <v>-0.20699999999999999</v>
      </c>
      <c r="CI45" s="75">
        <f>'QTR Raw'!BC34</f>
        <v>4.7E-2</v>
      </c>
      <c r="CJ45" s="75">
        <f>'QTR Raw'!BD34</f>
        <v>5.2999999999999999E-2</v>
      </c>
      <c r="CK45" s="75">
        <f>'QTR Raw'!BE34</f>
        <v>-0.36</v>
      </c>
      <c r="CL45" s="76">
        <f t="shared" ref="CL45" si="690">+CK45</f>
        <v>-0.36</v>
      </c>
      <c r="CM45" s="76">
        <f t="shared" ref="CM45:CM46" si="691">+CL45</f>
        <v>-0.36</v>
      </c>
      <c r="CN45" s="76">
        <f t="shared" ref="CN45:CN46" si="692">+CM45</f>
        <v>-0.36</v>
      </c>
      <c r="CO45" s="76">
        <f t="shared" ref="CO45:CO46" si="693">+CN45</f>
        <v>-0.36</v>
      </c>
      <c r="CP45" s="76">
        <f t="shared" ref="CP45:CP46" si="694">+CO45</f>
        <v>-0.36</v>
      </c>
      <c r="CQ45" s="76">
        <f t="shared" ref="CQ45:CQ46" si="695">+CP45</f>
        <v>-0.36</v>
      </c>
      <c r="CR45" s="76">
        <f t="shared" ref="CR45:CR46" si="696">+CQ45</f>
        <v>-0.36</v>
      </c>
      <c r="CS45" s="76">
        <f t="shared" ref="CS45:CS46" si="697">+CR45</f>
        <v>-0.36</v>
      </c>
      <c r="CT45" s="76">
        <f t="shared" ref="CT45:CT46" si="698">+CS45</f>
        <v>-0.36</v>
      </c>
      <c r="CU45" s="76">
        <f t="shared" ref="CU45:CU46" si="699">+CT45</f>
        <v>-0.36</v>
      </c>
      <c r="CV45" s="76">
        <f t="shared" ref="CV45:CV46" si="700">+CU45</f>
        <v>-0.36</v>
      </c>
      <c r="CW45" s="76">
        <f t="shared" ref="CW45:CW46" si="701">+CV45</f>
        <v>-0.36</v>
      </c>
      <c r="CX45" s="76">
        <f t="shared" ref="CX45:CX46" si="702">+CW45</f>
        <v>-0.36</v>
      </c>
      <c r="CY45" s="76">
        <f t="shared" ref="CY45:CY46" si="703">+CX45</f>
        <v>-0.36</v>
      </c>
      <c r="CZ45" s="76">
        <f t="shared" ref="CZ45:CZ46" si="704">+CY45</f>
        <v>-0.36</v>
      </c>
      <c r="DA45" s="76">
        <f t="shared" ref="DA45:DA46" si="705">+CZ45</f>
        <v>-0.36</v>
      </c>
      <c r="DB45" s="76">
        <f t="shared" ref="DB45:DB46" si="706">+DA45</f>
        <v>-0.36</v>
      </c>
      <c r="DE45" s="131"/>
      <c r="DF45" s="75">
        <v>1.4514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86"/>
        <v>0</v>
      </c>
      <c r="AC46" s="76">
        <f t="shared" si="687"/>
        <v>0</v>
      </c>
      <c r="AD46" s="76">
        <f t="shared" si="688"/>
        <v>0</v>
      </c>
      <c r="AE46" s="76">
        <f t="shared" si="689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6">
        <f t="shared" ref="CL46" si="707">+CK46</f>
        <v>0</v>
      </c>
      <c r="CM46" s="76">
        <f t="shared" si="691"/>
        <v>0</v>
      </c>
      <c r="CN46" s="76">
        <f t="shared" si="692"/>
        <v>0</v>
      </c>
      <c r="CO46" s="76">
        <f t="shared" si="693"/>
        <v>0</v>
      </c>
      <c r="CP46" s="76">
        <f t="shared" si="694"/>
        <v>0</v>
      </c>
      <c r="CQ46" s="76">
        <f t="shared" si="695"/>
        <v>0</v>
      </c>
      <c r="CR46" s="76">
        <f t="shared" si="696"/>
        <v>0</v>
      </c>
      <c r="CS46" s="76">
        <f t="shared" si="697"/>
        <v>0</v>
      </c>
      <c r="CT46" s="76">
        <f t="shared" si="698"/>
        <v>0</v>
      </c>
      <c r="CU46" s="76">
        <f t="shared" si="699"/>
        <v>0</v>
      </c>
      <c r="CV46" s="76">
        <f t="shared" si="700"/>
        <v>0</v>
      </c>
      <c r="CW46" s="76">
        <f t="shared" si="701"/>
        <v>0</v>
      </c>
      <c r="CX46" s="76">
        <f t="shared" si="702"/>
        <v>0</v>
      </c>
      <c r="CY46" s="76">
        <f t="shared" si="703"/>
        <v>0</v>
      </c>
      <c r="CZ46" s="76">
        <f t="shared" si="704"/>
        <v>0</v>
      </c>
      <c r="DA46" s="76">
        <f t="shared" si="705"/>
        <v>0</v>
      </c>
      <c r="DB46" s="76">
        <f t="shared" si="706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114.261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9.8699999999999996E-2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-40.182699999999997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-40.183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708">E41+E45+E46+E47</f>
        <v>0</v>
      </c>
      <c r="F48" s="26">
        <f t="shared" si="708"/>
        <v>0</v>
      </c>
      <c r="G48" s="26">
        <f t="shared" si="708"/>
        <v>0</v>
      </c>
      <c r="H48" s="26">
        <f t="shared" si="708"/>
        <v>0</v>
      </c>
      <c r="I48" s="26">
        <f t="shared" si="708"/>
        <v>0</v>
      </c>
      <c r="J48" s="26">
        <f t="shared" si="708"/>
        <v>0</v>
      </c>
      <c r="K48" s="26">
        <f t="shared" si="708"/>
        <v>0</v>
      </c>
      <c r="L48" s="26">
        <f t="shared" si="708"/>
        <v>0</v>
      </c>
      <c r="M48" s="26">
        <f t="shared" si="708"/>
        <v>0</v>
      </c>
      <c r="N48" s="26">
        <f t="shared" si="708"/>
        <v>0</v>
      </c>
      <c r="O48" s="26">
        <f t="shared" si="708"/>
        <v>0</v>
      </c>
      <c r="P48" s="26">
        <f t="shared" si="708"/>
        <v>60.329600000000006</v>
      </c>
      <c r="Q48" s="26">
        <f t="shared" si="708"/>
        <v>-86.632099999999994</v>
      </c>
      <c r="R48" s="26">
        <f t="shared" si="708"/>
        <v>-73.623800000000017</v>
      </c>
      <c r="S48" s="26">
        <f t="shared" si="708"/>
        <v>-79.210400000000035</v>
      </c>
      <c r="T48" s="26">
        <f t="shared" si="708"/>
        <v>39.971999999999994</v>
      </c>
      <c r="U48" s="26">
        <f t="shared" si="708"/>
        <v>-36.234999999999999</v>
      </c>
      <c r="V48" s="26">
        <f t="shared" ref="V48:AA48" si="709">V41+V45+V46+V47</f>
        <v>66.586600000000033</v>
      </c>
      <c r="W48" s="26">
        <f t="shared" si="709"/>
        <v>188.30789999999996</v>
      </c>
      <c r="X48" s="26">
        <f t="shared" si="709"/>
        <v>382.55920000000009</v>
      </c>
      <c r="Y48" s="26">
        <f t="shared" si="709"/>
        <v>318.97750000000008</v>
      </c>
      <c r="Z48" s="26">
        <f t="shared" si="709"/>
        <v>162.14870000000013</v>
      </c>
      <c r="AA48" s="26">
        <f t="shared" ref="AA48" si="710">AA41+AA45+AA46+AA47</f>
        <v>106.85940000000011</v>
      </c>
      <c r="AB48" s="27">
        <f t="shared" ref="AB48:AD48" si="711">AB41+AB45+AB46+AB47</f>
        <v>157.37929941215958</v>
      </c>
      <c r="AC48" s="27">
        <f t="shared" si="711"/>
        <v>146.45164357183458</v>
      </c>
      <c r="AD48" s="27">
        <f t="shared" si="711"/>
        <v>142.80588429168506</v>
      </c>
      <c r="AE48" s="27">
        <f t="shared" ref="AE48" si="712">AE41+AE45+AE46+AE47</f>
        <v>145.1416788610654</v>
      </c>
      <c r="AI48" s="26">
        <f t="shared" ref="AI48" si="713">AI41+AI45+AI46+AI47</f>
        <v>0</v>
      </c>
      <c r="AJ48" s="26">
        <f t="shared" ref="AJ48" si="714">AJ41+AJ45+AJ46+AJ47</f>
        <v>0</v>
      </c>
      <c r="AK48" s="26">
        <f t="shared" ref="AK48:AM48" si="715">AK41+AK45+AK46+AK47</f>
        <v>0</v>
      </c>
      <c r="AL48" s="26">
        <f t="shared" si="715"/>
        <v>0</v>
      </c>
      <c r="AM48" s="26">
        <f t="shared" si="715"/>
        <v>0</v>
      </c>
      <c r="AN48" s="26">
        <f t="shared" ref="AN48:AO48" si="716">AN41+AN45+AN46+AN47</f>
        <v>0</v>
      </c>
      <c r="AO48" s="26">
        <f t="shared" si="716"/>
        <v>0</v>
      </c>
      <c r="AP48" s="26">
        <f t="shared" ref="AP48:CD48" si="717">AP41+AP45+AP46+AP47</f>
        <v>0</v>
      </c>
      <c r="AQ48" s="26">
        <f t="shared" si="717"/>
        <v>0</v>
      </c>
      <c r="AR48" s="26">
        <f t="shared" si="717"/>
        <v>0</v>
      </c>
      <c r="AS48" s="26">
        <f t="shared" si="717"/>
        <v>0</v>
      </c>
      <c r="AT48" s="26">
        <f t="shared" si="717"/>
        <v>0</v>
      </c>
      <c r="AU48" s="26">
        <f t="shared" si="717"/>
        <v>0</v>
      </c>
      <c r="AV48" s="26">
        <f t="shared" si="717"/>
        <v>0</v>
      </c>
      <c r="AW48" s="26">
        <f t="shared" si="717"/>
        <v>0</v>
      </c>
      <c r="AX48" s="26">
        <f t="shared" si="717"/>
        <v>0</v>
      </c>
      <c r="AY48" s="26">
        <f t="shared" si="717"/>
        <v>0</v>
      </c>
      <c r="AZ48" s="26">
        <f t="shared" si="717"/>
        <v>0</v>
      </c>
      <c r="BA48" s="26">
        <f t="shared" si="717"/>
        <v>0</v>
      </c>
      <c r="BB48" s="26">
        <f t="shared" si="717"/>
        <v>0</v>
      </c>
      <c r="BC48" s="26">
        <f t="shared" si="717"/>
        <v>0</v>
      </c>
      <c r="BD48" s="26">
        <f t="shared" si="717"/>
        <v>0</v>
      </c>
      <c r="BE48" s="26">
        <f t="shared" si="717"/>
        <v>0</v>
      </c>
      <c r="BF48" s="26">
        <f t="shared" si="717"/>
        <v>0</v>
      </c>
      <c r="BG48" s="26">
        <f t="shared" si="717"/>
        <v>0</v>
      </c>
      <c r="BH48" s="26">
        <f t="shared" si="717"/>
        <v>0</v>
      </c>
      <c r="BI48" s="26">
        <f t="shared" si="717"/>
        <v>0</v>
      </c>
      <c r="BJ48" s="26">
        <f t="shared" si="717"/>
        <v>0</v>
      </c>
      <c r="BK48" s="26">
        <f t="shared" si="717"/>
        <v>0</v>
      </c>
      <c r="BL48" s="26">
        <f t="shared" si="717"/>
        <v>0</v>
      </c>
      <c r="BM48" s="26">
        <f t="shared" si="717"/>
        <v>0</v>
      </c>
      <c r="BN48" s="26">
        <f t="shared" si="717"/>
        <v>0</v>
      </c>
      <c r="BO48" s="26">
        <f t="shared" si="717"/>
        <v>0</v>
      </c>
      <c r="BP48" s="26">
        <f t="shared" si="717"/>
        <v>0</v>
      </c>
      <c r="BQ48" s="26">
        <f t="shared" si="717"/>
        <v>0</v>
      </c>
      <c r="BR48" s="26">
        <f t="shared" si="717"/>
        <v>0</v>
      </c>
      <c r="BS48" s="26">
        <f t="shared" si="717"/>
        <v>0</v>
      </c>
      <c r="BT48" s="26">
        <f t="shared" si="717"/>
        <v>39.378000000000029</v>
      </c>
      <c r="BU48" s="26">
        <f t="shared" si="717"/>
        <v>49.019999999999996</v>
      </c>
      <c r="BV48" s="26">
        <f t="shared" si="717"/>
        <v>81.564999999999998</v>
      </c>
      <c r="BW48" s="26">
        <f t="shared" si="717"/>
        <v>84.398999999999987</v>
      </c>
      <c r="BX48" s="26">
        <f t="shared" si="717"/>
        <v>63.590000000000011</v>
      </c>
      <c r="BY48" s="26">
        <f t="shared" si="717"/>
        <v>98.060999999999979</v>
      </c>
      <c r="BZ48" s="26">
        <f t="shared" si="717"/>
        <v>136.51</v>
      </c>
      <c r="CA48" s="26">
        <f t="shared" si="717"/>
        <v>93.857000000000042</v>
      </c>
      <c r="CB48" s="26">
        <f t="shared" si="717"/>
        <v>66.000999999999976</v>
      </c>
      <c r="CC48" s="26">
        <f t="shared" si="717"/>
        <v>101.52800000000001</v>
      </c>
      <c r="CD48" s="26">
        <f t="shared" si="717"/>
        <v>57.592999999999968</v>
      </c>
      <c r="CE48" s="26">
        <f t="shared" ref="CE48:CF48" si="718">CE41+CE45+CE46+CE47</f>
        <v>44.857000000000014</v>
      </c>
      <c r="CF48" s="26">
        <f t="shared" si="718"/>
        <v>15.78100000000002</v>
      </c>
      <c r="CG48" s="26">
        <f t="shared" ref="CG48:CH48" si="719">CG41+CG45+CG46+CG47</f>
        <v>47.97200000000003</v>
      </c>
      <c r="CH48" s="26">
        <f t="shared" si="719"/>
        <v>53.53799999999999</v>
      </c>
      <c r="CI48" s="26">
        <f t="shared" ref="CI48:CJ48" si="720">CI41+CI45+CI46+CI47</f>
        <v>40.191000000000017</v>
      </c>
      <c r="CJ48" s="26">
        <f t="shared" si="720"/>
        <v>29.093000000000028</v>
      </c>
      <c r="CK48" s="26">
        <f t="shared" ref="CK48" si="721">CK41+CK45+CK46+CK47</f>
        <v>23.638999999999982</v>
      </c>
      <c r="CL48" s="27">
        <f t="shared" ref="CL48" si="722">CL41+CL45+CL46+CL47</f>
        <v>55.964069383827976</v>
      </c>
      <c r="CM48" s="27">
        <f t="shared" ref="CM48:DB48" si="723">CM41+CM45+CM46+CM47</f>
        <v>54.291896529857269</v>
      </c>
      <c r="CN48" s="27">
        <f t="shared" si="723"/>
        <v>28.504886687115985</v>
      </c>
      <c r="CO48" s="27">
        <f t="shared" si="723"/>
        <v>21.669155642971251</v>
      </c>
      <c r="CP48" s="27">
        <f t="shared" si="723"/>
        <v>52.913360552215053</v>
      </c>
      <c r="CQ48" s="27">
        <f t="shared" si="723"/>
        <v>51.96685798673029</v>
      </c>
      <c r="CR48" s="27">
        <f t="shared" si="723"/>
        <v>23.924815936385521</v>
      </c>
      <c r="CS48" s="27">
        <f t="shared" si="723"/>
        <v>18.290658636698257</v>
      </c>
      <c r="CT48" s="27">
        <f t="shared" si="723"/>
        <v>52.26931101202063</v>
      </c>
      <c r="CU48" s="27">
        <f t="shared" si="723"/>
        <v>51.925042980768843</v>
      </c>
      <c r="CV48" s="27">
        <f t="shared" si="723"/>
        <v>21.446897180152177</v>
      </c>
      <c r="CW48" s="27">
        <f t="shared" si="723"/>
        <v>15.806454834742986</v>
      </c>
      <c r="CX48" s="27">
        <f t="shared" si="723"/>
        <v>53.627489296020649</v>
      </c>
      <c r="CY48" s="27">
        <f t="shared" si="723"/>
        <v>53.716174249910708</v>
      </c>
      <c r="CZ48" s="27">
        <f t="shared" si="723"/>
        <v>20.347569878700529</v>
      </c>
      <c r="DA48" s="27">
        <f t="shared" si="723"/>
        <v>14.450774306285844</v>
      </c>
      <c r="DB48" s="27">
        <f t="shared" si="723"/>
        <v>56.627160426168317</v>
      </c>
      <c r="DE48" s="121"/>
      <c r="DF48" s="26">
        <v>106.85940000000011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60.329599999999999</v>
      </c>
      <c r="Q51" s="22">
        <f>'Annual Raw'!R35</f>
        <v>-86.632099999999994</v>
      </c>
      <c r="R51" s="22">
        <f>'Annual Raw'!S35</f>
        <v>-73.623800000000003</v>
      </c>
      <c r="S51" s="22">
        <f>'Annual Raw'!T35</f>
        <v>-79.210400000000007</v>
      </c>
      <c r="T51" s="22">
        <f>'Annual Raw'!U35</f>
        <v>39.972000000000001</v>
      </c>
      <c r="U51" s="22">
        <f>'Annual Raw'!V35</f>
        <v>-36.234999999999999</v>
      </c>
      <c r="V51" s="22">
        <f>'Annual Raw'!W35</f>
        <v>66.586600000000004</v>
      </c>
      <c r="W51" s="22">
        <f>'Annual Raw'!X35</f>
        <v>188.30789999999999</v>
      </c>
      <c r="X51" s="22">
        <f>'Annual Raw'!Y35</f>
        <v>382.55919999999998</v>
      </c>
      <c r="Y51" s="22">
        <f>'Annual Raw'!Z35</f>
        <v>318.97750000000002</v>
      </c>
      <c r="Z51" s="22">
        <f>'Annual Raw'!AA35</f>
        <v>162.14869999999999</v>
      </c>
      <c r="AA51" s="22">
        <f>'Annual Raw'!AB35</f>
        <v>106.85939999999999</v>
      </c>
      <c r="AB51" s="21">
        <f t="shared" ref="AB51:AD51" si="724">+AB48</f>
        <v>157.37929941215958</v>
      </c>
      <c r="AC51" s="21">
        <f t="shared" si="724"/>
        <v>146.45164357183458</v>
      </c>
      <c r="AD51" s="21">
        <f t="shared" si="724"/>
        <v>142.80588429168506</v>
      </c>
      <c r="AE51" s="21">
        <f t="shared" ref="AE51" si="725">+AE48</f>
        <v>145.1416788610654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39.378</v>
      </c>
      <c r="BU51" s="22">
        <f>'QTR Raw'!AO42</f>
        <v>49.02</v>
      </c>
      <c r="BV51" s="22">
        <f>'QTR Raw'!AP42</f>
        <v>81.564999999999998</v>
      </c>
      <c r="BW51" s="22">
        <f>'QTR Raw'!AQ42</f>
        <v>84.399000000000001</v>
      </c>
      <c r="BX51" s="22">
        <f>'QTR Raw'!AR42</f>
        <v>63.59</v>
      </c>
      <c r="BY51" s="22">
        <f>'QTR Raw'!AS42</f>
        <v>98.061000000000007</v>
      </c>
      <c r="BZ51" s="22">
        <f>'QTR Raw'!AT42</f>
        <v>136.51</v>
      </c>
      <c r="CA51" s="22">
        <f>'QTR Raw'!AU42</f>
        <v>93.855999999999995</v>
      </c>
      <c r="CB51" s="22">
        <f>'QTR Raw'!AV42</f>
        <v>66.001000000000005</v>
      </c>
      <c r="CC51" s="22">
        <f>'QTR Raw'!AW42</f>
        <v>101.52800000000001</v>
      </c>
      <c r="CD51" s="22">
        <f>'QTR Raw'!AX42</f>
        <v>57.593000000000004</v>
      </c>
      <c r="CE51" s="22">
        <f>'QTR Raw'!AY42</f>
        <v>44.856000000000002</v>
      </c>
      <c r="CF51" s="22">
        <f>'QTR Raw'!AZ42</f>
        <v>15.782</v>
      </c>
      <c r="CG51" s="22">
        <f>'QTR Raw'!BA42</f>
        <v>47.972000000000001</v>
      </c>
      <c r="CH51" s="22">
        <f>'QTR Raw'!BB42</f>
        <v>53.539000000000001</v>
      </c>
      <c r="CI51" s="22">
        <f>'QTR Raw'!BC42</f>
        <v>40.19</v>
      </c>
      <c r="CJ51" s="22">
        <f>'QTR Raw'!BD42</f>
        <v>29.091999999999999</v>
      </c>
      <c r="CK51" s="22">
        <f>'QTR Raw'!BE42</f>
        <v>23.638000000000002</v>
      </c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106.85939999999999</v>
      </c>
    </row>
    <row r="52" spans="1:110" s="25" customFormat="1" x14ac:dyDescent="0.2">
      <c r="A52" s="36" t="s">
        <v>435</v>
      </c>
      <c r="B52" s="25">
        <f t="shared" ref="B52:V52" si="726">B51-B48</f>
        <v>0</v>
      </c>
      <c r="C52" s="25">
        <f>C51-C48</f>
        <v>0</v>
      </c>
      <c r="D52" s="25">
        <f t="shared" si="726"/>
        <v>0</v>
      </c>
      <c r="E52" s="25">
        <f t="shared" si="726"/>
        <v>0</v>
      </c>
      <c r="F52" s="25">
        <f t="shared" si="726"/>
        <v>0</v>
      </c>
      <c r="G52" s="25">
        <f t="shared" si="726"/>
        <v>0</v>
      </c>
      <c r="H52" s="25">
        <f t="shared" si="726"/>
        <v>0</v>
      </c>
      <c r="I52" s="25">
        <f t="shared" si="726"/>
        <v>0</v>
      </c>
      <c r="J52" s="25">
        <f t="shared" si="726"/>
        <v>0</v>
      </c>
      <c r="K52" s="25">
        <f t="shared" si="726"/>
        <v>0</v>
      </c>
      <c r="L52" s="25">
        <f t="shared" si="726"/>
        <v>0</v>
      </c>
      <c r="M52" s="25">
        <f t="shared" si="726"/>
        <v>0</v>
      </c>
      <c r="N52" s="25">
        <f t="shared" si="726"/>
        <v>0</v>
      </c>
      <c r="O52" s="25">
        <f t="shared" si="726"/>
        <v>0</v>
      </c>
      <c r="P52" s="25">
        <f t="shared" si="726"/>
        <v>0</v>
      </c>
      <c r="Q52" s="25">
        <f t="shared" si="726"/>
        <v>0</v>
      </c>
      <c r="R52" s="25">
        <f t="shared" si="726"/>
        <v>0</v>
      </c>
      <c r="S52" s="25">
        <f t="shared" si="726"/>
        <v>0</v>
      </c>
      <c r="T52" s="25">
        <f t="shared" si="726"/>
        <v>0</v>
      </c>
      <c r="U52" s="25">
        <f t="shared" si="726"/>
        <v>0</v>
      </c>
      <c r="V52" s="25">
        <f t="shared" si="726"/>
        <v>0</v>
      </c>
      <c r="W52" s="25">
        <f t="shared" ref="W52" si="727">W51-W48</f>
        <v>0</v>
      </c>
      <c r="X52" s="25">
        <f t="shared" ref="X52:Y52" si="728">X51-X48</f>
        <v>0</v>
      </c>
      <c r="Y52" s="25">
        <f t="shared" si="728"/>
        <v>0</v>
      </c>
      <c r="Z52" s="25">
        <f t="shared" ref="Z52:AA52" si="729">Z51-Z48</f>
        <v>0</v>
      </c>
      <c r="AA52" s="25">
        <f t="shared" si="729"/>
        <v>-1.1368683772161603E-13</v>
      </c>
      <c r="AB52" s="17">
        <f t="shared" ref="AB52:AD52" si="730">AB51-AB48</f>
        <v>0</v>
      </c>
      <c r="AC52" s="17">
        <f t="shared" si="730"/>
        <v>0</v>
      </c>
      <c r="AD52" s="17">
        <f t="shared" si="730"/>
        <v>0</v>
      </c>
      <c r="AE52" s="17">
        <f t="shared" ref="AE52" si="731">AE51-AE48</f>
        <v>0</v>
      </c>
      <c r="AI52" s="25">
        <f t="shared" ref="AI52" si="732">AI51-AI48</f>
        <v>0</v>
      </c>
      <c r="AJ52" s="25">
        <f t="shared" ref="AJ52" si="733">AJ51-AJ48</f>
        <v>0</v>
      </c>
      <c r="AK52" s="25">
        <f t="shared" ref="AK52:AM52" si="734">AK51-AK48</f>
        <v>0</v>
      </c>
      <c r="AL52" s="25">
        <f t="shared" si="734"/>
        <v>0</v>
      </c>
      <c r="AM52" s="25">
        <f t="shared" si="734"/>
        <v>0</v>
      </c>
      <c r="AN52" s="25">
        <f t="shared" ref="AN52:AO52" si="735">AN51-AN48</f>
        <v>0</v>
      </c>
      <c r="AO52" s="25">
        <f t="shared" si="735"/>
        <v>0</v>
      </c>
      <c r="AP52" s="25">
        <f t="shared" ref="AP52:CD52" si="736">AP51-AP48</f>
        <v>0</v>
      </c>
      <c r="AQ52" s="25">
        <f t="shared" si="736"/>
        <v>0</v>
      </c>
      <c r="AR52" s="25">
        <f t="shared" si="736"/>
        <v>0</v>
      </c>
      <c r="AS52" s="25">
        <f t="shared" si="736"/>
        <v>0</v>
      </c>
      <c r="AT52" s="25">
        <f t="shared" si="736"/>
        <v>0</v>
      </c>
      <c r="AU52" s="25">
        <f t="shared" si="736"/>
        <v>0</v>
      </c>
      <c r="AV52" s="25">
        <f t="shared" si="736"/>
        <v>0</v>
      </c>
      <c r="AW52" s="25">
        <f t="shared" si="736"/>
        <v>0</v>
      </c>
      <c r="AX52" s="25">
        <f t="shared" si="736"/>
        <v>0</v>
      </c>
      <c r="AY52" s="25">
        <f t="shared" si="736"/>
        <v>0</v>
      </c>
      <c r="AZ52" s="25">
        <f t="shared" si="736"/>
        <v>0</v>
      </c>
      <c r="BA52" s="25">
        <f t="shared" si="736"/>
        <v>0</v>
      </c>
      <c r="BB52" s="25">
        <f t="shared" si="736"/>
        <v>0</v>
      </c>
      <c r="BC52" s="25">
        <f t="shared" si="736"/>
        <v>0</v>
      </c>
      <c r="BD52" s="25">
        <f t="shared" si="736"/>
        <v>0</v>
      </c>
      <c r="BE52" s="25">
        <f t="shared" si="736"/>
        <v>0</v>
      </c>
      <c r="BF52" s="25">
        <f t="shared" si="736"/>
        <v>0</v>
      </c>
      <c r="BG52" s="25">
        <f t="shared" si="736"/>
        <v>0</v>
      </c>
      <c r="BH52" s="25">
        <f t="shared" si="736"/>
        <v>0</v>
      </c>
      <c r="BI52" s="25">
        <f t="shared" si="736"/>
        <v>0</v>
      </c>
      <c r="BJ52" s="25">
        <f t="shared" si="736"/>
        <v>0</v>
      </c>
      <c r="BK52" s="25">
        <f t="shared" si="736"/>
        <v>0</v>
      </c>
      <c r="BL52" s="25">
        <f t="shared" si="736"/>
        <v>0</v>
      </c>
      <c r="BM52" s="25">
        <f t="shared" si="736"/>
        <v>0</v>
      </c>
      <c r="BN52" s="25">
        <f t="shared" si="736"/>
        <v>0</v>
      </c>
      <c r="BO52" s="25">
        <f t="shared" si="736"/>
        <v>0</v>
      </c>
      <c r="BP52" s="25">
        <f t="shared" si="736"/>
        <v>0</v>
      </c>
      <c r="BQ52" s="25">
        <f t="shared" si="736"/>
        <v>0</v>
      </c>
      <c r="BR52" s="25">
        <f t="shared" si="736"/>
        <v>0</v>
      </c>
      <c r="BS52" s="25">
        <f t="shared" si="736"/>
        <v>0</v>
      </c>
      <c r="BT52" s="25">
        <f t="shared" si="736"/>
        <v>0</v>
      </c>
      <c r="BU52" s="25">
        <f t="shared" si="736"/>
        <v>0</v>
      </c>
      <c r="BV52" s="25">
        <f t="shared" si="736"/>
        <v>0</v>
      </c>
      <c r="BW52" s="25">
        <f t="shared" si="736"/>
        <v>0</v>
      </c>
      <c r="BX52" s="25">
        <f t="shared" si="736"/>
        <v>0</v>
      </c>
      <c r="BY52" s="25">
        <f t="shared" si="736"/>
        <v>0</v>
      </c>
      <c r="BZ52" s="25">
        <f t="shared" si="736"/>
        <v>0</v>
      </c>
      <c r="CA52" s="25">
        <f t="shared" si="736"/>
        <v>-1.0000000000474074E-3</v>
      </c>
      <c r="CB52" s="25">
        <f t="shared" si="736"/>
        <v>0</v>
      </c>
      <c r="CC52" s="25">
        <f t="shared" si="736"/>
        <v>0</v>
      </c>
      <c r="CD52" s="25">
        <f t="shared" si="736"/>
        <v>0</v>
      </c>
      <c r="CE52" s="25">
        <f t="shared" ref="CE52:CF52" si="737">CE51-CE48</f>
        <v>-1.0000000000118803E-3</v>
      </c>
      <c r="CF52" s="25">
        <f t="shared" si="737"/>
        <v>9.9999999997990585E-4</v>
      </c>
      <c r="CG52" s="25">
        <f t="shared" ref="CG52:CH52" si="738">CG51-CG48</f>
        <v>0</v>
      </c>
      <c r="CH52" s="25">
        <f t="shared" si="738"/>
        <v>1.0000000000118803E-3</v>
      </c>
      <c r="CI52" s="25">
        <f t="shared" ref="CI52:CJ52" si="739">CI51-CI48</f>
        <v>-1.0000000000189857E-3</v>
      </c>
      <c r="CJ52" s="25">
        <f t="shared" si="739"/>
        <v>-1.0000000000296438E-3</v>
      </c>
      <c r="CK52" s="25">
        <f t="shared" ref="CK52" si="740">CK51-CK48</f>
        <v>-9.9999999997990585E-4</v>
      </c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-1.1368683772161603E-13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41">(B48-B47)/B120</f>
        <v>#DIV/0!</v>
      </c>
      <c r="C54" s="39" t="e">
        <f t="shared" si="741"/>
        <v>#DIV/0!</v>
      </c>
      <c r="D54" s="39" t="e">
        <f t="shared" si="741"/>
        <v>#DIV/0!</v>
      </c>
      <c r="E54" s="39" t="e">
        <f t="shared" si="741"/>
        <v>#DIV/0!</v>
      </c>
      <c r="F54" s="39" t="e">
        <f t="shared" si="741"/>
        <v>#DIV/0!</v>
      </c>
      <c r="G54" s="39" t="e">
        <f t="shared" si="741"/>
        <v>#DIV/0!</v>
      </c>
      <c r="H54" s="39" t="e">
        <f t="shared" si="741"/>
        <v>#DIV/0!</v>
      </c>
      <c r="I54" s="39" t="e">
        <f t="shared" si="741"/>
        <v>#DIV/0!</v>
      </c>
      <c r="J54" s="39" t="e">
        <f t="shared" si="741"/>
        <v>#DIV/0!</v>
      </c>
      <c r="K54" s="39" t="e">
        <f t="shared" si="741"/>
        <v>#DIV/0!</v>
      </c>
      <c r="L54" s="39" t="e">
        <f t="shared" si="741"/>
        <v>#DIV/0!</v>
      </c>
      <c r="M54" s="39" t="e">
        <f t="shared" si="741"/>
        <v>#DIV/0!</v>
      </c>
      <c r="N54" s="39" t="e">
        <f t="shared" si="741"/>
        <v>#DIV/0!</v>
      </c>
      <c r="O54" s="39" t="e">
        <f t="shared" si="741"/>
        <v>#DIV/0!</v>
      </c>
      <c r="P54" s="39">
        <f t="shared" si="741"/>
        <v>0.30059112161639678</v>
      </c>
      <c r="Q54" s="39">
        <f t="shared" si="741"/>
        <v>-0.75945570884175073</v>
      </c>
      <c r="R54" s="39">
        <f t="shared" si="741"/>
        <v>-1.8196912962345067</v>
      </c>
      <c r="S54" s="39">
        <f t="shared" si="741"/>
        <v>2.8131190624167641</v>
      </c>
      <c r="T54" s="39">
        <f t="shared" si="741"/>
        <v>-1.7533396270946422</v>
      </c>
      <c r="U54" s="39">
        <f t="shared" si="741"/>
        <v>-6.0695142378559472</v>
      </c>
      <c r="V54" s="39">
        <f t="shared" si="741"/>
        <v>0.9000901623056683</v>
      </c>
      <c r="W54" s="39">
        <f t="shared" si="741"/>
        <v>0.71757351528257729</v>
      </c>
      <c r="X54" s="39">
        <f t="shared" si="741"/>
        <v>0.26733326820495429</v>
      </c>
      <c r="Y54" s="39">
        <f t="shared" si="741"/>
        <v>0.18746284638628125</v>
      </c>
      <c r="Z54" s="39">
        <f t="shared" si="741"/>
        <v>0.10854611973777875</v>
      </c>
      <c r="AA54" s="39">
        <f t="shared" ref="AA54" si="742">(AA48-AA47)/AA120</f>
        <v>5.5241919453975642E-2</v>
      </c>
      <c r="AB54" s="40">
        <f t="shared" si="741"/>
        <v>7.3519385372903201E-2</v>
      </c>
      <c r="AC54" s="40">
        <f t="shared" si="741"/>
        <v>6.4033717245613408E-2</v>
      </c>
      <c r="AD54" s="40">
        <f t="shared" si="741"/>
        <v>5.8770081157399463E-2</v>
      </c>
      <c r="AE54" s="40">
        <f t="shared" si="741"/>
        <v>5.636461536152116E-2</v>
      </c>
      <c r="AF54" s="39"/>
      <c r="AG54" s="39"/>
      <c r="AH54" s="39"/>
      <c r="AI54" s="39"/>
      <c r="AJ54" s="39"/>
      <c r="AK54" s="39"/>
      <c r="AL54" s="39" t="e">
        <f t="shared" ref="AL54:BQ54" si="743">(SUM(AI48:AL48)-SUM(AI47:AL47))/AL120</f>
        <v>#DIV/0!</v>
      </c>
      <c r="AM54" s="39" t="e">
        <f t="shared" si="743"/>
        <v>#DIV/0!</v>
      </c>
      <c r="AN54" s="39" t="e">
        <f t="shared" si="743"/>
        <v>#DIV/0!</v>
      </c>
      <c r="AO54" s="39" t="e">
        <f t="shared" si="743"/>
        <v>#DIV/0!</v>
      </c>
      <c r="AP54" s="39" t="e">
        <f t="shared" si="743"/>
        <v>#DIV/0!</v>
      </c>
      <c r="AQ54" s="39" t="e">
        <f t="shared" si="743"/>
        <v>#DIV/0!</v>
      </c>
      <c r="AR54" s="39" t="e">
        <f t="shared" si="743"/>
        <v>#DIV/0!</v>
      </c>
      <c r="AS54" s="39" t="e">
        <f t="shared" si="743"/>
        <v>#DIV/0!</v>
      </c>
      <c r="AT54" s="39" t="e">
        <f t="shared" si="743"/>
        <v>#DIV/0!</v>
      </c>
      <c r="AU54" s="39" t="e">
        <f t="shared" si="743"/>
        <v>#DIV/0!</v>
      </c>
      <c r="AV54" s="39" t="e">
        <f t="shared" si="743"/>
        <v>#DIV/0!</v>
      </c>
      <c r="AW54" s="39" t="e">
        <f t="shared" si="743"/>
        <v>#DIV/0!</v>
      </c>
      <c r="AX54" s="39" t="e">
        <f t="shared" si="743"/>
        <v>#DIV/0!</v>
      </c>
      <c r="AY54" s="39" t="e">
        <f t="shared" si="743"/>
        <v>#DIV/0!</v>
      </c>
      <c r="AZ54" s="39" t="e">
        <f t="shared" si="743"/>
        <v>#DIV/0!</v>
      </c>
      <c r="BA54" s="39" t="e">
        <f t="shared" si="743"/>
        <v>#DIV/0!</v>
      </c>
      <c r="BB54" s="39" t="e">
        <f t="shared" si="743"/>
        <v>#DIV/0!</v>
      </c>
      <c r="BC54" s="39" t="e">
        <f t="shared" si="743"/>
        <v>#DIV/0!</v>
      </c>
      <c r="BD54" s="39" t="e">
        <f t="shared" si="743"/>
        <v>#DIV/0!</v>
      </c>
      <c r="BE54" s="39" t="e">
        <f t="shared" si="743"/>
        <v>#DIV/0!</v>
      </c>
      <c r="BF54" s="39" t="e">
        <f t="shared" si="743"/>
        <v>#DIV/0!</v>
      </c>
      <c r="BG54" s="39" t="e">
        <f t="shared" si="743"/>
        <v>#DIV/0!</v>
      </c>
      <c r="BH54" s="39" t="e">
        <f t="shared" si="743"/>
        <v>#DIV/0!</v>
      </c>
      <c r="BI54" s="39" t="e">
        <f t="shared" si="743"/>
        <v>#DIV/0!</v>
      </c>
      <c r="BJ54" s="39" t="e">
        <f t="shared" si="743"/>
        <v>#DIV/0!</v>
      </c>
      <c r="BK54" s="39" t="e">
        <f t="shared" si="743"/>
        <v>#DIV/0!</v>
      </c>
      <c r="BL54" s="39" t="e">
        <f t="shared" si="743"/>
        <v>#DIV/0!</v>
      </c>
      <c r="BM54" s="39" t="e">
        <f t="shared" si="743"/>
        <v>#DIV/0!</v>
      </c>
      <c r="BN54" s="39" t="e">
        <f t="shared" si="743"/>
        <v>#DIV/0!</v>
      </c>
      <c r="BO54" s="39" t="e">
        <f t="shared" si="743"/>
        <v>#DIV/0!</v>
      </c>
      <c r="BP54" s="39" t="e">
        <f t="shared" si="743"/>
        <v>#DIV/0!</v>
      </c>
      <c r="BQ54" s="39" t="e">
        <f t="shared" si="743"/>
        <v>#DIV/0!</v>
      </c>
      <c r="BR54" s="39" t="e">
        <f t="shared" ref="BR54:CW54" si="744">(SUM(BO48:BR48)-SUM(BO47:BR47))/BR120</f>
        <v>#DIV/0!</v>
      </c>
      <c r="BS54" s="39" t="e">
        <f t="shared" si="744"/>
        <v>#DIV/0!</v>
      </c>
      <c r="BT54" s="39" t="e">
        <f t="shared" si="744"/>
        <v>#DIV/0!</v>
      </c>
      <c r="BU54" s="39">
        <f t="shared" si="744"/>
        <v>1.8033047735618122</v>
      </c>
      <c r="BV54" s="39">
        <f t="shared" si="744"/>
        <v>0.64800637472072475</v>
      </c>
      <c r="BW54" s="39">
        <f t="shared" si="744"/>
        <v>0.73369773713890141</v>
      </c>
      <c r="BX54" s="39">
        <f t="shared" si="744"/>
        <v>0.67749561021640048</v>
      </c>
      <c r="BY54" s="39">
        <f t="shared" si="744"/>
        <v>0.64333726727711527</v>
      </c>
      <c r="BZ54" s="39">
        <f t="shared" si="744"/>
        <v>0.26733378988413853</v>
      </c>
      <c r="CA54" s="39">
        <f t="shared" si="744"/>
        <v>0.25708171872223134</v>
      </c>
      <c r="CB54" s="39">
        <f t="shared" si="744"/>
        <v>0.25158986213327922</v>
      </c>
      <c r="CC54" s="39">
        <f t="shared" si="744"/>
        <v>0.23836470225978479</v>
      </c>
      <c r="CD54" s="39">
        <f t="shared" si="744"/>
        <v>0.18746378302136285</v>
      </c>
      <c r="CE54" s="39">
        <f t="shared" si="744"/>
        <v>0.15459111192293662</v>
      </c>
      <c r="CF54" s="39">
        <f t="shared" si="744"/>
        <v>0.14739575802422933</v>
      </c>
      <c r="CG54" s="39">
        <f t="shared" si="744"/>
        <v>0.11392866941166535</v>
      </c>
      <c r="CH54" s="39">
        <f t="shared" si="744"/>
        <v>0.10854590514702366</v>
      </c>
      <c r="CI54" s="39">
        <f t="shared" si="744"/>
        <v>0.10380451844397783</v>
      </c>
      <c r="CJ54" s="39">
        <f t="shared" si="744"/>
        <v>8.9718375262913513E-2</v>
      </c>
      <c r="CK54" s="39">
        <f t="shared" si="744"/>
        <v>7.5992563717145231E-2</v>
      </c>
      <c r="CL54" s="40">
        <f t="shared" si="744"/>
        <v>7.5071467376411113E-2</v>
      </c>
      <c r="CM54" s="40">
        <f t="shared" si="744"/>
        <v>7.9991621677614325E-2</v>
      </c>
      <c r="CN54" s="40">
        <f t="shared" si="744"/>
        <v>7.8603349060569094E-2</v>
      </c>
      <c r="CO54" s="40">
        <f t="shared" si="744"/>
        <v>7.684397393459437E-2</v>
      </c>
      <c r="CP54" s="40">
        <f t="shared" si="744"/>
        <v>7.3519385372903187E-2</v>
      </c>
      <c r="CQ54" s="40">
        <f t="shared" si="744"/>
        <v>7.0716520409970327E-2</v>
      </c>
      <c r="CR54" s="40">
        <f t="shared" si="744"/>
        <v>6.7886909978802201E-2</v>
      </c>
      <c r="CS54" s="40">
        <f t="shared" si="744"/>
        <v>6.5819554646211711E-2</v>
      </c>
      <c r="CT54" s="40">
        <f t="shared" si="744"/>
        <v>6.4033717245613464E-2</v>
      </c>
      <c r="CU54" s="40">
        <f t="shared" si="744"/>
        <v>6.2594328796275259E-2</v>
      </c>
      <c r="CV54" s="40">
        <f t="shared" si="744"/>
        <v>6.0975851758689227E-2</v>
      </c>
      <c r="CW54" s="40">
        <f t="shared" si="744"/>
        <v>5.9524837880821767E-2</v>
      </c>
      <c r="CX54" s="40">
        <f t="shared" ref="CX54:DB54" si="745">(SUM(CU48:CX48)-SUM(CU47:CX47))/CX120</f>
        <v>5.8770081157399304E-2</v>
      </c>
      <c r="CY54" s="40">
        <f t="shared" si="745"/>
        <v>5.8220169974387496E-2</v>
      </c>
      <c r="CZ54" s="40">
        <f t="shared" si="745"/>
        <v>5.7308032535947323E-2</v>
      </c>
      <c r="DA54" s="40">
        <f t="shared" si="745"/>
        <v>5.6440892075521602E-2</v>
      </c>
      <c r="DB54" s="40">
        <f t="shared" si="745"/>
        <v>5.6364615361521146E-2</v>
      </c>
      <c r="DE54" s="122"/>
      <c r="DF54" s="38">
        <v>5.5241919453975642E-2</v>
      </c>
    </row>
    <row r="55" spans="1:110" s="38" customFormat="1" x14ac:dyDescent="0.2">
      <c r="A55" s="38" t="s">
        <v>351</v>
      </c>
      <c r="B55" s="39" t="e">
        <f t="shared" ref="B55:AE55" si="746">+B34/B129</f>
        <v>#DIV/0!</v>
      </c>
      <c r="C55" s="39" t="e">
        <f t="shared" si="746"/>
        <v>#DIV/0!</v>
      </c>
      <c r="D55" s="39" t="e">
        <f t="shared" si="746"/>
        <v>#DIV/0!</v>
      </c>
      <c r="E55" s="39" t="e">
        <f t="shared" si="746"/>
        <v>#DIV/0!</v>
      </c>
      <c r="F55" s="39" t="e">
        <f t="shared" si="746"/>
        <v>#DIV/0!</v>
      </c>
      <c r="G55" s="39" t="e">
        <f t="shared" si="746"/>
        <v>#DIV/0!</v>
      </c>
      <c r="H55" s="39" t="e">
        <f t="shared" si="746"/>
        <v>#DIV/0!</v>
      </c>
      <c r="I55" s="39" t="e">
        <f t="shared" si="746"/>
        <v>#DIV/0!</v>
      </c>
      <c r="J55" s="39" t="e">
        <f t="shared" si="746"/>
        <v>#DIV/0!</v>
      </c>
      <c r="K55" s="39" t="e">
        <f t="shared" si="746"/>
        <v>#DIV/0!</v>
      </c>
      <c r="L55" s="39" t="e">
        <f t="shared" si="746"/>
        <v>#DIV/0!</v>
      </c>
      <c r="M55" s="39" t="e">
        <f t="shared" si="746"/>
        <v>#DIV/0!</v>
      </c>
      <c r="N55" s="39" t="e">
        <f t="shared" si="746"/>
        <v>#DIV/0!</v>
      </c>
      <c r="O55" s="39" t="e">
        <f t="shared" si="746"/>
        <v>#DIV/0!</v>
      </c>
      <c r="P55" s="39">
        <f t="shared" si="746"/>
        <v>4.5641860704403084E-2</v>
      </c>
      <c r="Q55" s="39">
        <f t="shared" si="746"/>
        <v>2.9765468557532784E-2</v>
      </c>
      <c r="R55" s="39">
        <f t="shared" si="746"/>
        <v>-1.1717535735836795E-2</v>
      </c>
      <c r="S55" s="39">
        <f t="shared" si="746"/>
        <v>1.0664351785132906E-2</v>
      </c>
      <c r="T55" s="39">
        <f t="shared" si="746"/>
        <v>2.9333587792968633E-2</v>
      </c>
      <c r="U55" s="39">
        <f t="shared" si="746"/>
        <v>0.11146790106724215</v>
      </c>
      <c r="V55" s="39">
        <f t="shared" si="746"/>
        <v>0.22183660288718299</v>
      </c>
      <c r="W55" s="39">
        <f t="shared" si="746"/>
        <v>0.36154491249984755</v>
      </c>
      <c r="X55" s="39">
        <f t="shared" si="746"/>
        <v>0.38923171644927668</v>
      </c>
      <c r="Y55" s="39">
        <f t="shared" si="746"/>
        <v>0.22277052118407822</v>
      </c>
      <c r="Z55" s="39">
        <f t="shared" si="746"/>
        <v>0.11496598519530128</v>
      </c>
      <c r="AA55" s="39">
        <f t="shared" ref="AA55" si="747">+AA34/AA129</f>
        <v>6.2402030008373147E-2</v>
      </c>
      <c r="AB55" s="40">
        <f t="shared" si="746"/>
        <v>9.9444578961264837E-2</v>
      </c>
      <c r="AC55" s="40">
        <f t="shared" si="746"/>
        <v>0.10948704887389785</v>
      </c>
      <c r="AD55" s="40">
        <f t="shared" si="746"/>
        <v>0.12018424446064058</v>
      </c>
      <c r="AE55" s="40">
        <f t="shared" si="746"/>
        <v>0.13108429211178399</v>
      </c>
      <c r="AF55" s="39"/>
      <c r="AG55" s="39"/>
      <c r="AH55" s="39"/>
      <c r="AI55" s="39"/>
      <c r="AJ55" s="39"/>
      <c r="AK55" s="39"/>
      <c r="AL55" s="39" t="e">
        <f t="shared" ref="AL55:BQ55" si="748">+SUM(AI34:AL34)/AL129</f>
        <v>#DIV/0!</v>
      </c>
      <c r="AM55" s="39" t="e">
        <f t="shared" si="748"/>
        <v>#DIV/0!</v>
      </c>
      <c r="AN55" s="39" t="e">
        <f t="shared" si="748"/>
        <v>#DIV/0!</v>
      </c>
      <c r="AO55" s="39" t="e">
        <f t="shared" si="748"/>
        <v>#DIV/0!</v>
      </c>
      <c r="AP55" s="39" t="e">
        <f t="shared" si="748"/>
        <v>#DIV/0!</v>
      </c>
      <c r="AQ55" s="39" t="e">
        <f t="shared" si="748"/>
        <v>#DIV/0!</v>
      </c>
      <c r="AR55" s="39" t="e">
        <f t="shared" si="748"/>
        <v>#DIV/0!</v>
      </c>
      <c r="AS55" s="39" t="e">
        <f t="shared" si="748"/>
        <v>#DIV/0!</v>
      </c>
      <c r="AT55" s="39" t="e">
        <f t="shared" si="748"/>
        <v>#DIV/0!</v>
      </c>
      <c r="AU55" s="39" t="e">
        <f t="shared" si="748"/>
        <v>#DIV/0!</v>
      </c>
      <c r="AV55" s="39" t="e">
        <f t="shared" si="748"/>
        <v>#DIV/0!</v>
      </c>
      <c r="AW55" s="39" t="e">
        <f t="shared" si="748"/>
        <v>#DIV/0!</v>
      </c>
      <c r="AX55" s="39" t="e">
        <f t="shared" si="748"/>
        <v>#DIV/0!</v>
      </c>
      <c r="AY55" s="39" t="e">
        <f t="shared" si="748"/>
        <v>#DIV/0!</v>
      </c>
      <c r="AZ55" s="39" t="e">
        <f t="shared" si="748"/>
        <v>#DIV/0!</v>
      </c>
      <c r="BA55" s="39" t="e">
        <f t="shared" si="748"/>
        <v>#DIV/0!</v>
      </c>
      <c r="BB55" s="39" t="e">
        <f t="shared" si="748"/>
        <v>#DIV/0!</v>
      </c>
      <c r="BC55" s="39" t="e">
        <f t="shared" si="748"/>
        <v>#DIV/0!</v>
      </c>
      <c r="BD55" s="39" t="e">
        <f t="shared" si="748"/>
        <v>#DIV/0!</v>
      </c>
      <c r="BE55" s="39" t="e">
        <f t="shared" si="748"/>
        <v>#DIV/0!</v>
      </c>
      <c r="BF55" s="39" t="e">
        <f t="shared" si="748"/>
        <v>#DIV/0!</v>
      </c>
      <c r="BG55" s="39" t="e">
        <f t="shared" si="748"/>
        <v>#DIV/0!</v>
      </c>
      <c r="BH55" s="39" t="e">
        <f t="shared" si="748"/>
        <v>#DIV/0!</v>
      </c>
      <c r="BI55" s="39" t="e">
        <f t="shared" si="748"/>
        <v>#DIV/0!</v>
      </c>
      <c r="BJ55" s="39" t="e">
        <f t="shared" si="748"/>
        <v>#DIV/0!</v>
      </c>
      <c r="BK55" s="39" t="e">
        <f t="shared" si="748"/>
        <v>#DIV/0!</v>
      </c>
      <c r="BL55" s="39" t="e">
        <f t="shared" si="748"/>
        <v>#DIV/0!</v>
      </c>
      <c r="BM55" s="39" t="e">
        <f t="shared" si="748"/>
        <v>#DIV/0!</v>
      </c>
      <c r="BN55" s="39" t="e">
        <f t="shared" si="748"/>
        <v>#DIV/0!</v>
      </c>
      <c r="BO55" s="39" t="e">
        <f t="shared" si="748"/>
        <v>#DIV/0!</v>
      </c>
      <c r="BP55" s="39" t="e">
        <f t="shared" si="748"/>
        <v>#DIV/0!</v>
      </c>
      <c r="BQ55" s="39" t="e">
        <f t="shared" si="748"/>
        <v>#DIV/0!</v>
      </c>
      <c r="BR55" s="39" t="e">
        <f t="shared" ref="BR55:CW55" si="749">+SUM(BO34:BR34)/BR129</f>
        <v>#DIV/0!</v>
      </c>
      <c r="BS55" s="39" t="e">
        <f t="shared" si="749"/>
        <v>#DIV/0!</v>
      </c>
      <c r="BT55" s="39" t="e">
        <f t="shared" si="749"/>
        <v>#DIV/0!</v>
      </c>
      <c r="BU55" s="39">
        <f t="shared" si="749"/>
        <v>3.8328437372501027</v>
      </c>
      <c r="BV55" s="39">
        <f t="shared" si="749"/>
        <v>0.29864158169025534</v>
      </c>
      <c r="BW55" s="39">
        <f t="shared" si="749"/>
        <v>0.39786701399583241</v>
      </c>
      <c r="BX55" s="39">
        <f t="shared" si="749"/>
        <v>0.39569875046594166</v>
      </c>
      <c r="BY55" s="39">
        <f t="shared" si="749"/>
        <v>0.39862895337585696</v>
      </c>
      <c r="BZ55" s="39">
        <f t="shared" si="749"/>
        <v>0.38923258465334531</v>
      </c>
      <c r="CA55" s="39">
        <f t="shared" si="749"/>
        <v>0.34859273562778359</v>
      </c>
      <c r="CB55" s="39">
        <f t="shared" si="749"/>
        <v>0.32335876808774988</v>
      </c>
      <c r="CC55" s="39">
        <f t="shared" si="749"/>
        <v>0.29494061875423266</v>
      </c>
      <c r="CD55" s="39">
        <f t="shared" si="749"/>
        <v>0.22277074241014996</v>
      </c>
      <c r="CE55" s="39">
        <f t="shared" si="749"/>
        <v>0.18148418651807702</v>
      </c>
      <c r="CF55" s="39">
        <f t="shared" si="749"/>
        <v>0.16230765956541171</v>
      </c>
      <c r="CG55" s="39">
        <f t="shared" si="749"/>
        <v>0.12299813432448643</v>
      </c>
      <c r="CH55" s="39">
        <f t="shared" si="749"/>
        <v>0.11496603416494565</v>
      </c>
      <c r="CI55" s="39">
        <f t="shared" si="749"/>
        <v>0.11399469156869198</v>
      </c>
      <c r="CJ55" s="39">
        <f t="shared" si="749"/>
        <v>0.10460422821261579</v>
      </c>
      <c r="CK55" s="39">
        <f t="shared" si="749"/>
        <v>8.988064528350781E-2</v>
      </c>
      <c r="CL55" s="40">
        <f t="shared" si="749"/>
        <v>9.2036366909420492E-2</v>
      </c>
      <c r="CM55" s="40">
        <f t="shared" si="749"/>
        <v>9.2137674937163794E-2</v>
      </c>
      <c r="CN55" s="40">
        <f t="shared" si="749"/>
        <v>9.1150737237605486E-2</v>
      </c>
      <c r="CO55" s="40">
        <f t="shared" si="749"/>
        <v>9.6730056047609161E-2</v>
      </c>
      <c r="CP55" s="40">
        <f t="shared" si="749"/>
        <v>9.944457896126481E-2</v>
      </c>
      <c r="CQ55" s="40">
        <f t="shared" si="749"/>
        <v>0.10106985388494957</v>
      </c>
      <c r="CR55" s="40">
        <f t="shared" si="749"/>
        <v>0.10318755761295145</v>
      </c>
      <c r="CS55" s="40">
        <f t="shared" si="749"/>
        <v>0.106572636012008</v>
      </c>
      <c r="CT55" s="40">
        <f t="shared" si="749"/>
        <v>0.10948704887389789</v>
      </c>
      <c r="CU55" s="40">
        <f t="shared" si="749"/>
        <v>0.11154457416385956</v>
      </c>
      <c r="CV55" s="40">
        <f t="shared" si="749"/>
        <v>0.11402490513642877</v>
      </c>
      <c r="CW55" s="40">
        <f t="shared" si="749"/>
        <v>0.11713928834311742</v>
      </c>
      <c r="CX55" s="40">
        <f t="shared" ref="CX55:DB55" si="750">+SUM(CU34:CX34)/CX129</f>
        <v>0.12018424446064042</v>
      </c>
      <c r="CY55" s="40">
        <f t="shared" si="750"/>
        <v>0.12228642173669244</v>
      </c>
      <c r="CZ55" s="40">
        <f t="shared" si="750"/>
        <v>0.12485862346271118</v>
      </c>
      <c r="DA55" s="40">
        <f t="shared" si="750"/>
        <v>0.12803723148517787</v>
      </c>
      <c r="DB55" s="40">
        <f t="shared" si="750"/>
        <v>0.13108429211178399</v>
      </c>
      <c r="DE55" s="122"/>
      <c r="DF55" s="38">
        <v>6.2402030008373147E-2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225.03139999999999</v>
      </c>
      <c r="Q58" s="9">
        <f>Q10-SUM(AU10:AX10)</f>
        <v>340.53480000000002</v>
      </c>
      <c r="R58" s="9">
        <f>R10-SUM(AY10:BB10)</f>
        <v>287.64569999999998</v>
      </c>
      <c r="S58" s="9">
        <f>S10-SUM(BC10:BF10)</f>
        <v>438.82919999999996</v>
      </c>
      <c r="T58" s="9">
        <f>T10-SUM(BG10:BJ10)</f>
        <v>565.50599999999997</v>
      </c>
      <c r="U58" s="9">
        <f>U10-SUM(BK10:BN10)</f>
        <v>608.16999999999996</v>
      </c>
      <c r="V58" s="9">
        <f>V10-SUM(BO10:BR10)</f>
        <v>740.76430000000005</v>
      </c>
      <c r="W58" s="9">
        <f>W10-SUM(BS10:BV10)</f>
        <v>200.76010000000008</v>
      </c>
      <c r="X58" s="9">
        <f>X10-SUM(BW10:BZ10)</f>
        <v>-1.0999999999512511E-3</v>
      </c>
      <c r="Y58" s="9">
        <f>Y10-SUM(CA10:CD10)</f>
        <v>-4.9999999987448973E-4</v>
      </c>
      <c r="Z58" s="9">
        <f>Z10-SUM(CE10:CH10)</f>
        <v>-9.9999999974897946E-5</v>
      </c>
      <c r="AA58" s="9">
        <f>AA10-SUM(CF10:CI10)</f>
        <v>-39.634299999999939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-39.634299999999939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302.94880000000001</v>
      </c>
      <c r="Q59" s="9">
        <f>Q16-SUM(AU16:AX16)</f>
        <v>354.39940000000001</v>
      </c>
      <c r="R59" s="9">
        <f>R16-SUM(AY16:BB16)</f>
        <v>258.76729999999998</v>
      </c>
      <c r="S59" s="9">
        <f>S16-SUM(BC16:BF16)</f>
        <v>389.34969999999998</v>
      </c>
      <c r="T59" s="9">
        <f>T16-SUM(BG16:BJ16)</f>
        <v>469.47</v>
      </c>
      <c r="U59" s="9">
        <f>U16-SUM(BK16:BN16)</f>
        <v>607.83299999999997</v>
      </c>
      <c r="V59" s="9">
        <f>V16-SUM(BO16:BR16)</f>
        <v>731.87040000000002</v>
      </c>
      <c r="W59" s="9">
        <f>W16-SUM(BS16:BV16)</f>
        <v>200.75019999999995</v>
      </c>
      <c r="X59" s="9">
        <f>X16-SUM(BW16:BZ16)</f>
        <v>-1.4999999998508429E-3</v>
      </c>
      <c r="Y59" s="9">
        <f>Y16-SUM(CA16:CD16)</f>
        <v>-6.9999999982428562E-4</v>
      </c>
      <c r="Z59" s="9">
        <f>Z16-SUM(CE16:CH16)</f>
        <v>-9.9999999747524271E-5</v>
      </c>
      <c r="AA59" s="9">
        <f>AA16-SUM(CF16:CI16)</f>
        <v>-67.867200000000025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-67.867200000000025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90.954599999999999</v>
      </c>
      <c r="Q60" s="9">
        <f>Q28-SUM(AU28:AX28)</f>
        <v>105.22890000000001</v>
      </c>
      <c r="R60" s="9">
        <f>R28-SUM(AY28:BB28)</f>
        <v>69.499299999999977</v>
      </c>
      <c r="S60" s="9">
        <f>S28-SUM(BC28:BF28)</f>
        <v>82.792699999999968</v>
      </c>
      <c r="T60" s="9">
        <f>T28-SUM(BG28:BJ28)</f>
        <v>72.680000000000007</v>
      </c>
      <c r="U60" s="9">
        <f>U28-SUM(BK28:BN28)</f>
        <v>147.98599999999999</v>
      </c>
      <c r="V60" s="9">
        <f>V28-SUM(BO28:BR28)</f>
        <v>262.22630000000004</v>
      </c>
      <c r="W60" s="9">
        <f>W28-SUM(BS28:BV28)</f>
        <v>85.780399999999872</v>
      </c>
      <c r="X60" s="9">
        <f>X28-SUM(BW28:BZ28)</f>
        <v>-1.8999999999778083E-3</v>
      </c>
      <c r="Y60" s="9">
        <f>Y28-SUM(CA28:CD28)</f>
        <v>-9.999999998626663E-4</v>
      </c>
      <c r="Z60" s="9">
        <f>Z28-SUM(CE28:CH28)</f>
        <v>-5.999999999062311E-4</v>
      </c>
      <c r="AA60" s="9">
        <f>AA28-SUM(CF28:CI28)</f>
        <v>-82.267799999999966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-82.267799999999966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60.329600000000006</v>
      </c>
      <c r="Q61" s="9">
        <f>Q48-SUM(AU48:AX48)</f>
        <v>-86.632099999999994</v>
      </c>
      <c r="R61" s="9">
        <f>R48-SUM(AY48:BB48)</f>
        <v>-73.623800000000017</v>
      </c>
      <c r="S61" s="9">
        <f>S48-SUM(BC48:BF48)</f>
        <v>-79.210400000000035</v>
      </c>
      <c r="T61" s="9">
        <f>T48-SUM(BG48:BJ48)</f>
        <v>39.971999999999994</v>
      </c>
      <c r="U61" s="9">
        <f>U48-SUM(BK48:BN48)</f>
        <v>-36.234999999999999</v>
      </c>
      <c r="V61" s="9">
        <f>V48-SUM(BO48:BR48)</f>
        <v>66.586600000000033</v>
      </c>
      <c r="W61" s="9">
        <f>W41-SUM(BS41:BV41)</f>
        <v>18.246199999999931</v>
      </c>
      <c r="X61" s="9">
        <f>X41-SUM(BW41:BZ41)</f>
        <v>-7.9999999985602699E-4</v>
      </c>
      <c r="Y61" s="9">
        <f>Y41-SUM(CA41:CD41)</f>
        <v>-1.299999999901047E-3</v>
      </c>
      <c r="Z61" s="9">
        <f>Z41-SUM(CE41:CH41)</f>
        <v>6.0000000007676135E-4</v>
      </c>
      <c r="AA61" s="9">
        <f>AA41-SUM(CF41:CI41)</f>
        <v>-92.220999999999975</v>
      </c>
      <c r="AB61" s="15">
        <f>AB41-SUM(CM41:CP41)</f>
        <v>0</v>
      </c>
      <c r="AC61" s="15">
        <f>AC41-SUM(CQ41:CT41)</f>
        <v>0</v>
      </c>
      <c r="AD61" s="15">
        <f>AD41-SUM(CU41:CX41)</f>
        <v>4.2632564145606011E-13</v>
      </c>
      <c r="AE61" s="15">
        <f>AE41-SUM(CY41:DB41)</f>
        <v>0</v>
      </c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-92.220999999999975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51">+F63</f>
        <v>24.692</v>
      </c>
      <c r="F63" s="3">
        <f t="shared" ca="1" si="751"/>
        <v>24.692</v>
      </c>
      <c r="G63" s="3">
        <f t="shared" ca="1" si="751"/>
        <v>24.692</v>
      </c>
      <c r="H63" s="3">
        <f t="shared" ca="1" si="751"/>
        <v>24.692</v>
      </c>
      <c r="I63" s="3">
        <f t="shared" ca="1" si="751"/>
        <v>24.692</v>
      </c>
      <c r="J63" s="3">
        <f t="shared" ca="1" si="751"/>
        <v>24.692</v>
      </c>
      <c r="K63" s="3">
        <f t="shared" ca="1" si="751"/>
        <v>24.692</v>
      </c>
      <c r="L63" s="3">
        <f t="shared" ca="1" si="751"/>
        <v>24.692</v>
      </c>
      <c r="M63" s="3">
        <f t="shared" ca="1" si="751"/>
        <v>24.692</v>
      </c>
      <c r="N63" s="3">
        <f t="shared" ca="1" si="751"/>
        <v>24.692</v>
      </c>
      <c r="O63" s="3">
        <f t="shared" ca="1" si="751"/>
        <v>24.692</v>
      </c>
      <c r="P63" s="3">
        <f t="shared" ca="1" si="751"/>
        <v>24.692</v>
      </c>
      <c r="Q63" s="3">
        <f t="shared" ca="1" si="751"/>
        <v>24.692</v>
      </c>
      <c r="R63" s="3">
        <f t="shared" ca="1" si="751"/>
        <v>24.692</v>
      </c>
      <c r="S63" s="3">
        <f t="shared" ca="1" si="751"/>
        <v>24.692</v>
      </c>
      <c r="T63" s="3">
        <f t="shared" ca="1" si="751"/>
        <v>24.692</v>
      </c>
      <c r="U63" s="3">
        <f t="shared" ca="1" si="751"/>
        <v>24.692</v>
      </c>
      <c r="V63" s="3">
        <f t="shared" ca="1" si="751"/>
        <v>24.692</v>
      </c>
      <c r="W63" s="3">
        <f t="shared" ca="1" si="751"/>
        <v>24.692</v>
      </c>
      <c r="X63" s="3">
        <f t="shared" ca="1" si="751"/>
        <v>24.692</v>
      </c>
      <c r="Y63" s="3">
        <f t="shared" ca="1" si="751"/>
        <v>24.692</v>
      </c>
      <c r="Z63" s="3">
        <f ca="1">+AA63</f>
        <v>24.692</v>
      </c>
      <c r="AA63" s="3">
        <f ca="1">+AB63</f>
        <v>24.692</v>
      </c>
      <c r="AB63" s="37">
        <f t="shared" ref="AB63:AB64" ca="1" si="752">AA63</f>
        <v>24.692</v>
      </c>
      <c r="AC63" s="37">
        <f t="shared" ref="AC63:AC64" ca="1" si="753">AB63</f>
        <v>24.692</v>
      </c>
      <c r="AD63" s="37">
        <f t="shared" ref="AD63:AD64" ca="1" si="754">AC63</f>
        <v>24.692</v>
      </c>
      <c r="AE63" s="37">
        <f t="shared" ref="AE63:AE64" ca="1" si="755">AD63</f>
        <v>24.692</v>
      </c>
      <c r="AI63" s="3">
        <f t="shared" ref="AI63:CH63" si="756">+AJ63</f>
        <v>24.686</v>
      </c>
      <c r="AJ63" s="3">
        <f t="shared" si="756"/>
        <v>24.686</v>
      </c>
      <c r="AK63" s="3">
        <f t="shared" si="756"/>
        <v>24.686</v>
      </c>
      <c r="AL63" s="3">
        <f t="shared" si="756"/>
        <v>24.686</v>
      </c>
      <c r="AM63" s="3">
        <f t="shared" si="756"/>
        <v>24.686</v>
      </c>
      <c r="AN63" s="3">
        <f t="shared" si="756"/>
        <v>24.686</v>
      </c>
      <c r="AO63" s="3">
        <f t="shared" si="756"/>
        <v>24.686</v>
      </c>
      <c r="AP63" s="3">
        <f t="shared" si="756"/>
        <v>24.686</v>
      </c>
      <c r="AQ63" s="3">
        <f t="shared" si="756"/>
        <v>24.686</v>
      </c>
      <c r="AR63" s="3">
        <f t="shared" si="756"/>
        <v>24.686</v>
      </c>
      <c r="AS63" s="3">
        <f t="shared" si="756"/>
        <v>24.686</v>
      </c>
      <c r="AT63" s="3">
        <f t="shared" si="756"/>
        <v>24.686</v>
      </c>
      <c r="AU63" s="3">
        <f t="shared" si="756"/>
        <v>24.686</v>
      </c>
      <c r="AV63" s="3">
        <f t="shared" si="756"/>
        <v>24.686</v>
      </c>
      <c r="AW63" s="3">
        <f t="shared" si="756"/>
        <v>24.686</v>
      </c>
      <c r="AX63" s="3">
        <f t="shared" si="756"/>
        <v>24.686</v>
      </c>
      <c r="AY63" s="3">
        <f t="shared" si="756"/>
        <v>24.686</v>
      </c>
      <c r="AZ63" s="3">
        <f t="shared" si="756"/>
        <v>24.686</v>
      </c>
      <c r="BA63" s="3">
        <f t="shared" si="756"/>
        <v>24.686</v>
      </c>
      <c r="BB63" s="3">
        <f t="shared" si="756"/>
        <v>24.686</v>
      </c>
      <c r="BC63" s="3">
        <f t="shared" si="756"/>
        <v>24.686</v>
      </c>
      <c r="BD63" s="3">
        <f t="shared" si="756"/>
        <v>24.686</v>
      </c>
      <c r="BE63" s="3">
        <f t="shared" si="756"/>
        <v>24.686</v>
      </c>
      <c r="BF63" s="3">
        <f t="shared" si="756"/>
        <v>24.686</v>
      </c>
      <c r="BG63" s="3">
        <f t="shared" si="756"/>
        <v>24.686</v>
      </c>
      <c r="BH63" s="3">
        <f t="shared" si="756"/>
        <v>24.686</v>
      </c>
      <c r="BI63" s="3">
        <f t="shared" si="756"/>
        <v>24.686</v>
      </c>
      <c r="BJ63" s="3">
        <f t="shared" si="756"/>
        <v>24.686</v>
      </c>
      <c r="BK63" s="3">
        <f t="shared" si="756"/>
        <v>24.686</v>
      </c>
      <c r="BL63" s="3">
        <f t="shared" si="756"/>
        <v>24.686</v>
      </c>
      <c r="BM63" s="3">
        <f t="shared" si="756"/>
        <v>24.686</v>
      </c>
      <c r="BN63" s="3">
        <f t="shared" si="756"/>
        <v>24.686</v>
      </c>
      <c r="BO63" s="3">
        <f t="shared" si="756"/>
        <v>24.686</v>
      </c>
      <c r="BP63" s="3">
        <f t="shared" si="756"/>
        <v>24.686</v>
      </c>
      <c r="BQ63" s="3">
        <f t="shared" si="756"/>
        <v>24.686</v>
      </c>
      <c r="BR63" s="3">
        <f t="shared" si="756"/>
        <v>24.686</v>
      </c>
      <c r="BS63" s="3">
        <f t="shared" si="756"/>
        <v>24.686</v>
      </c>
      <c r="BT63" s="3">
        <f t="shared" si="756"/>
        <v>24.686</v>
      </c>
      <c r="BU63" s="3">
        <f t="shared" si="756"/>
        <v>24.686</v>
      </c>
      <c r="BV63" s="3">
        <f t="shared" si="756"/>
        <v>24.686</v>
      </c>
      <c r="BW63" s="3">
        <f t="shared" si="756"/>
        <v>24.686</v>
      </c>
      <c r="BX63" s="3">
        <f t="shared" si="756"/>
        <v>24.686</v>
      </c>
      <c r="BY63" s="3">
        <f t="shared" si="756"/>
        <v>24.686</v>
      </c>
      <c r="BZ63" s="3">
        <f t="shared" si="756"/>
        <v>24.686</v>
      </c>
      <c r="CA63" s="3">
        <f t="shared" si="756"/>
        <v>24.686</v>
      </c>
      <c r="CB63" s="3">
        <f t="shared" si="756"/>
        <v>24.686</v>
      </c>
      <c r="CC63" s="3">
        <f t="shared" si="756"/>
        <v>24.686</v>
      </c>
      <c r="CD63" s="3">
        <f t="shared" si="756"/>
        <v>24.686</v>
      </c>
      <c r="CE63" s="3">
        <f t="shared" si="756"/>
        <v>24.686</v>
      </c>
      <c r="CF63" s="3">
        <f t="shared" si="756"/>
        <v>24.686</v>
      </c>
      <c r="CG63" s="3">
        <f t="shared" si="756"/>
        <v>24.686</v>
      </c>
      <c r="CH63" s="3">
        <f t="shared" si="756"/>
        <v>24.686</v>
      </c>
      <c r="CI63" s="3">
        <f>+CJ63</f>
        <v>24.686</v>
      </c>
      <c r="CJ63" s="3">
        <f>'QTR Raw'!BD45</f>
        <v>24.686</v>
      </c>
      <c r="CK63" s="3">
        <f>'QTR Raw'!BE45</f>
        <v>24.692</v>
      </c>
      <c r="CL63" s="37">
        <f t="shared" ref="CL63:CL64" si="757">+CK63</f>
        <v>24.692</v>
      </c>
      <c r="CM63" s="37">
        <f t="shared" ref="CM63:CM64" si="758">+CL63</f>
        <v>24.692</v>
      </c>
      <c r="CN63" s="37">
        <f t="shared" ref="CN63:CN64" si="759">+CM63</f>
        <v>24.692</v>
      </c>
      <c r="CO63" s="37">
        <f t="shared" ref="CO63:CO64" si="760">+CN63</f>
        <v>24.692</v>
      </c>
      <c r="CP63" s="37">
        <f t="shared" ref="CP63:CP64" si="761">+CO63</f>
        <v>24.692</v>
      </c>
      <c r="CQ63" s="37">
        <f t="shared" ref="CQ63:CQ64" si="762">+CP63</f>
        <v>24.692</v>
      </c>
      <c r="CR63" s="37">
        <f t="shared" ref="CR63:CR64" si="763">+CQ63</f>
        <v>24.692</v>
      </c>
      <c r="CS63" s="37">
        <f t="shared" ref="CS63:CS64" si="764">+CR63</f>
        <v>24.692</v>
      </c>
      <c r="CT63" s="37">
        <f t="shared" ref="CT63:CT64" si="765">+CS63</f>
        <v>24.692</v>
      </c>
      <c r="CU63" s="37">
        <f t="shared" ref="CU63:CU64" si="766">+CT63</f>
        <v>24.692</v>
      </c>
      <c r="CV63" s="37">
        <f t="shared" ref="CV63:CV64" si="767">+CU63</f>
        <v>24.692</v>
      </c>
      <c r="CW63" s="37">
        <f t="shared" ref="CW63:CW64" si="768">+CV63</f>
        <v>24.692</v>
      </c>
      <c r="CX63" s="37">
        <f t="shared" ref="CX63:CX64" si="769">+CW63</f>
        <v>24.692</v>
      </c>
      <c r="CY63" s="37">
        <f t="shared" ref="CY63:CY64" si="770">+CX63</f>
        <v>24.692</v>
      </c>
      <c r="CZ63" s="37">
        <f t="shared" ref="CZ63:CZ64" si="771">+CY63</f>
        <v>24.692</v>
      </c>
      <c r="DA63" s="37">
        <f t="shared" ref="DA63:DA64" si="772">+CZ63</f>
        <v>24.692</v>
      </c>
      <c r="DB63" s="37">
        <f t="shared" ref="DB63:DB64" si="773">+DA63</f>
        <v>24.692</v>
      </c>
      <c r="DE63" s="134"/>
      <c r="DF63" s="3">
        <v>24.692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74">+F64</f>
        <v>2</v>
      </c>
      <c r="F64" s="3">
        <f t="shared" ca="1" si="774"/>
        <v>2</v>
      </c>
      <c r="G64" s="3">
        <f t="shared" ca="1" si="774"/>
        <v>2</v>
      </c>
      <c r="H64" s="3">
        <f t="shared" ca="1" si="774"/>
        <v>2</v>
      </c>
      <c r="I64" s="3">
        <f t="shared" ca="1" si="774"/>
        <v>2</v>
      </c>
      <c r="J64" s="3">
        <f t="shared" ca="1" si="774"/>
        <v>2</v>
      </c>
      <c r="K64" s="3">
        <f t="shared" ca="1" si="774"/>
        <v>2</v>
      </c>
      <c r="L64" s="3">
        <f t="shared" ca="1" si="774"/>
        <v>2</v>
      </c>
      <c r="M64" s="3">
        <f t="shared" ca="1" si="774"/>
        <v>2</v>
      </c>
      <c r="N64" s="3">
        <f t="shared" ca="1" si="774"/>
        <v>2</v>
      </c>
      <c r="O64" s="3">
        <f t="shared" ca="1" si="774"/>
        <v>2</v>
      </c>
      <c r="P64" s="3">
        <f t="shared" ca="1" si="774"/>
        <v>2</v>
      </c>
      <c r="Q64" s="3">
        <f t="shared" ca="1" si="774"/>
        <v>2</v>
      </c>
      <c r="R64" s="3">
        <f t="shared" ca="1" si="774"/>
        <v>2</v>
      </c>
      <c r="S64" s="3">
        <f t="shared" ca="1" si="774"/>
        <v>2</v>
      </c>
      <c r="T64" s="3">
        <f t="shared" ca="1" si="774"/>
        <v>2</v>
      </c>
      <c r="U64" s="3">
        <f t="shared" ca="1" si="774"/>
        <v>2</v>
      </c>
      <c r="V64" s="3">
        <f t="shared" ca="1" si="774"/>
        <v>2</v>
      </c>
      <c r="W64" s="3">
        <f t="shared" ca="1" si="774"/>
        <v>2</v>
      </c>
      <c r="X64" s="3">
        <f t="shared" ca="1" si="774"/>
        <v>2</v>
      </c>
      <c r="Y64" s="3">
        <f t="shared" ca="1" si="774"/>
        <v>2</v>
      </c>
      <c r="Z64" s="3">
        <f ca="1">+AA64</f>
        <v>2</v>
      </c>
      <c r="AA64" s="3">
        <f ca="1">+AB64</f>
        <v>2</v>
      </c>
      <c r="AB64" s="37">
        <f t="shared" ca="1" si="752"/>
        <v>2</v>
      </c>
      <c r="AC64" s="37">
        <f t="shared" ca="1" si="753"/>
        <v>2</v>
      </c>
      <c r="AD64" s="37">
        <f t="shared" ca="1" si="754"/>
        <v>2</v>
      </c>
      <c r="AE64" s="37">
        <f t="shared" ca="1" si="755"/>
        <v>2</v>
      </c>
      <c r="AI64" s="3">
        <f t="shared" ref="AI64:CH64" si="775">AJ64</f>
        <v>2</v>
      </c>
      <c r="AJ64" s="3">
        <f t="shared" si="775"/>
        <v>2</v>
      </c>
      <c r="AK64" s="3">
        <f t="shared" si="775"/>
        <v>2</v>
      </c>
      <c r="AL64" s="3">
        <f t="shared" si="775"/>
        <v>2</v>
      </c>
      <c r="AM64" s="3">
        <f t="shared" si="775"/>
        <v>2</v>
      </c>
      <c r="AN64" s="3">
        <f t="shared" si="775"/>
        <v>2</v>
      </c>
      <c r="AO64" s="3">
        <f t="shared" si="775"/>
        <v>2</v>
      </c>
      <c r="AP64" s="3">
        <f t="shared" si="775"/>
        <v>2</v>
      </c>
      <c r="AQ64" s="3">
        <f t="shared" si="775"/>
        <v>2</v>
      </c>
      <c r="AR64" s="3">
        <f t="shared" si="775"/>
        <v>2</v>
      </c>
      <c r="AS64" s="3">
        <f t="shared" si="775"/>
        <v>2</v>
      </c>
      <c r="AT64" s="3">
        <f t="shared" si="775"/>
        <v>2</v>
      </c>
      <c r="AU64" s="3">
        <f t="shared" si="775"/>
        <v>2</v>
      </c>
      <c r="AV64" s="3">
        <f t="shared" si="775"/>
        <v>2</v>
      </c>
      <c r="AW64" s="3">
        <f t="shared" si="775"/>
        <v>2</v>
      </c>
      <c r="AX64" s="3">
        <f t="shared" si="775"/>
        <v>2</v>
      </c>
      <c r="AY64" s="3">
        <f t="shared" si="775"/>
        <v>2</v>
      </c>
      <c r="AZ64" s="3">
        <f t="shared" si="775"/>
        <v>2</v>
      </c>
      <c r="BA64" s="3">
        <f t="shared" si="775"/>
        <v>2</v>
      </c>
      <c r="BB64" s="3">
        <f t="shared" si="775"/>
        <v>2</v>
      </c>
      <c r="BC64" s="3">
        <f t="shared" si="775"/>
        <v>2</v>
      </c>
      <c r="BD64" s="3">
        <f t="shared" si="775"/>
        <v>2</v>
      </c>
      <c r="BE64" s="3">
        <f t="shared" si="775"/>
        <v>2</v>
      </c>
      <c r="BF64" s="3">
        <f t="shared" si="775"/>
        <v>2</v>
      </c>
      <c r="BG64" s="3">
        <f t="shared" si="775"/>
        <v>2</v>
      </c>
      <c r="BH64" s="3">
        <f t="shared" si="775"/>
        <v>2</v>
      </c>
      <c r="BI64" s="3">
        <f t="shared" si="775"/>
        <v>2</v>
      </c>
      <c r="BJ64" s="3">
        <f t="shared" si="775"/>
        <v>2</v>
      </c>
      <c r="BK64" s="3">
        <f t="shared" si="775"/>
        <v>2</v>
      </c>
      <c r="BL64" s="3">
        <f t="shared" si="775"/>
        <v>2</v>
      </c>
      <c r="BM64" s="3">
        <f t="shared" si="775"/>
        <v>2</v>
      </c>
      <c r="BN64" s="3">
        <f t="shared" si="775"/>
        <v>2</v>
      </c>
      <c r="BO64" s="3">
        <f t="shared" si="775"/>
        <v>2</v>
      </c>
      <c r="BP64" s="3">
        <f t="shared" si="775"/>
        <v>2</v>
      </c>
      <c r="BQ64" s="3">
        <f t="shared" si="775"/>
        <v>2</v>
      </c>
      <c r="BR64" s="3">
        <f t="shared" si="775"/>
        <v>2</v>
      </c>
      <c r="BS64" s="3">
        <f t="shared" si="775"/>
        <v>2</v>
      </c>
      <c r="BT64" s="3">
        <f t="shared" si="775"/>
        <v>2</v>
      </c>
      <c r="BU64" s="3">
        <f t="shared" si="775"/>
        <v>2</v>
      </c>
      <c r="BV64" s="3">
        <f t="shared" si="775"/>
        <v>2</v>
      </c>
      <c r="BW64" s="3">
        <f t="shared" si="775"/>
        <v>2</v>
      </c>
      <c r="BX64" s="3">
        <f t="shared" si="775"/>
        <v>2</v>
      </c>
      <c r="BY64" s="3">
        <f t="shared" si="775"/>
        <v>2</v>
      </c>
      <c r="BZ64" s="3">
        <f t="shared" si="775"/>
        <v>2</v>
      </c>
      <c r="CA64" s="3">
        <f t="shared" si="775"/>
        <v>2</v>
      </c>
      <c r="CB64" s="3">
        <f t="shared" si="775"/>
        <v>2</v>
      </c>
      <c r="CC64" s="3">
        <f t="shared" si="775"/>
        <v>2</v>
      </c>
      <c r="CD64" s="3">
        <f t="shared" si="775"/>
        <v>2</v>
      </c>
      <c r="CE64" s="3">
        <f t="shared" si="775"/>
        <v>2</v>
      </c>
      <c r="CF64" s="3">
        <f t="shared" si="775"/>
        <v>2</v>
      </c>
      <c r="CG64" s="3">
        <f t="shared" si="775"/>
        <v>2</v>
      </c>
      <c r="CH64" s="3">
        <f t="shared" si="775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7">
        <f t="shared" si="757"/>
        <v>2</v>
      </c>
      <c r="CM64" s="37">
        <f t="shared" si="758"/>
        <v>2</v>
      </c>
      <c r="CN64" s="37">
        <f t="shared" si="759"/>
        <v>2</v>
      </c>
      <c r="CO64" s="37">
        <f t="shared" si="760"/>
        <v>2</v>
      </c>
      <c r="CP64" s="37">
        <f t="shared" si="761"/>
        <v>2</v>
      </c>
      <c r="CQ64" s="37">
        <f t="shared" si="762"/>
        <v>2</v>
      </c>
      <c r="CR64" s="37">
        <f t="shared" si="763"/>
        <v>2</v>
      </c>
      <c r="CS64" s="37">
        <f t="shared" si="764"/>
        <v>2</v>
      </c>
      <c r="CT64" s="37">
        <f t="shared" si="765"/>
        <v>2</v>
      </c>
      <c r="CU64" s="37">
        <f t="shared" si="766"/>
        <v>2</v>
      </c>
      <c r="CV64" s="37">
        <f t="shared" si="767"/>
        <v>2</v>
      </c>
      <c r="CW64" s="37">
        <f t="shared" si="768"/>
        <v>2</v>
      </c>
      <c r="CX64" s="37">
        <f t="shared" si="769"/>
        <v>2</v>
      </c>
      <c r="CY64" s="37">
        <f t="shared" si="770"/>
        <v>2</v>
      </c>
      <c r="CZ64" s="37">
        <f t="shared" si="771"/>
        <v>2</v>
      </c>
      <c r="DA64" s="37">
        <f t="shared" si="772"/>
        <v>2</v>
      </c>
      <c r="DB64" s="37">
        <f t="shared" si="773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76">C63/C64</f>
        <v>#DIV/0!</v>
      </c>
      <c r="D65" s="3" t="e">
        <f t="shared" si="776"/>
        <v>#DIV/0!</v>
      </c>
      <c r="E65" s="3">
        <f t="shared" ca="1" si="776"/>
        <v>12.346</v>
      </c>
      <c r="F65" s="3">
        <f t="shared" ca="1" si="776"/>
        <v>12.346</v>
      </c>
      <c r="G65" s="3">
        <f t="shared" ca="1" si="776"/>
        <v>12.346</v>
      </c>
      <c r="H65" s="3">
        <f t="shared" ca="1" si="776"/>
        <v>12.346</v>
      </c>
      <c r="I65" s="3">
        <f t="shared" ca="1" si="776"/>
        <v>12.346</v>
      </c>
      <c r="J65" s="3">
        <f t="shared" ca="1" si="776"/>
        <v>12.346</v>
      </c>
      <c r="K65" s="3">
        <f t="shared" ca="1" si="776"/>
        <v>12.346</v>
      </c>
      <c r="L65" s="3">
        <f t="shared" ca="1" si="776"/>
        <v>12.346</v>
      </c>
      <c r="M65" s="3">
        <f t="shared" ca="1" si="776"/>
        <v>12.346</v>
      </c>
      <c r="N65" s="3">
        <f t="shared" ca="1" si="776"/>
        <v>12.346</v>
      </c>
      <c r="O65" s="3">
        <f t="shared" ca="1" si="776"/>
        <v>12.346</v>
      </c>
      <c r="P65" s="3">
        <f t="shared" ca="1" si="776"/>
        <v>12.346</v>
      </c>
      <c r="Q65" s="3">
        <f t="shared" ca="1" si="776"/>
        <v>12.346</v>
      </c>
      <c r="R65" s="3">
        <f t="shared" ca="1" si="776"/>
        <v>12.346</v>
      </c>
      <c r="S65" s="3">
        <f t="shared" ca="1" si="776"/>
        <v>12.346</v>
      </c>
      <c r="T65" s="3">
        <f t="shared" ca="1" si="776"/>
        <v>12.346</v>
      </c>
      <c r="U65" s="3">
        <f t="shared" ca="1" si="776"/>
        <v>12.346</v>
      </c>
      <c r="V65" s="3">
        <f ca="1">V63/V64</f>
        <v>12.346</v>
      </c>
      <c r="W65" s="3">
        <f t="shared" ca="1" si="776"/>
        <v>12.346</v>
      </c>
      <c r="X65" s="3">
        <f t="shared" ref="X65:Y65" ca="1" si="777">X63/X64</f>
        <v>12.346</v>
      </c>
      <c r="Y65" s="3">
        <f t="shared" ca="1" si="777"/>
        <v>12.346</v>
      </c>
      <c r="Z65" s="3">
        <f t="shared" ref="Z65:AA65" ca="1" si="778">Z63/Z64</f>
        <v>12.346</v>
      </c>
      <c r="AA65" s="3">
        <f t="shared" ca="1" si="778"/>
        <v>12.346</v>
      </c>
      <c r="AB65" s="37">
        <f t="shared" ref="AB65:AD65" ca="1" si="779">AB63/AB64</f>
        <v>12.346</v>
      </c>
      <c r="AC65" s="37">
        <f t="shared" ca="1" si="779"/>
        <v>12.346</v>
      </c>
      <c r="AD65" s="37">
        <f t="shared" ca="1" si="779"/>
        <v>12.346</v>
      </c>
      <c r="AE65" s="37">
        <f t="shared" ref="AE65" ca="1" si="780">AE63/AE64</f>
        <v>12.346</v>
      </c>
      <c r="AI65" s="3">
        <f t="shared" ref="AI65" si="781">AI63/AI64</f>
        <v>12.343</v>
      </c>
      <c r="AJ65" s="3">
        <f t="shared" ref="AJ65" si="782">AJ63/AJ64</f>
        <v>12.343</v>
      </c>
      <c r="AK65" s="3">
        <f t="shared" ref="AK65:AM65" si="783">AK63/AK64</f>
        <v>12.343</v>
      </c>
      <c r="AL65" s="3">
        <f t="shared" si="783"/>
        <v>12.343</v>
      </c>
      <c r="AM65" s="3">
        <f t="shared" si="783"/>
        <v>12.343</v>
      </c>
      <c r="AN65" s="3">
        <f t="shared" ref="AN65:AO65" si="784">AN63/AN64</f>
        <v>12.343</v>
      </c>
      <c r="AO65" s="3">
        <f t="shared" si="784"/>
        <v>12.343</v>
      </c>
      <c r="AP65" s="3">
        <f t="shared" ref="AP65:CD65" si="785">AP63/AP64</f>
        <v>12.343</v>
      </c>
      <c r="AQ65" s="3">
        <f t="shared" si="785"/>
        <v>12.343</v>
      </c>
      <c r="AR65" s="3">
        <f t="shared" si="785"/>
        <v>12.343</v>
      </c>
      <c r="AS65" s="3">
        <f t="shared" si="785"/>
        <v>12.343</v>
      </c>
      <c r="AT65" s="3">
        <f t="shared" si="785"/>
        <v>12.343</v>
      </c>
      <c r="AU65" s="3">
        <f t="shared" si="785"/>
        <v>12.343</v>
      </c>
      <c r="AV65" s="3">
        <f t="shared" si="785"/>
        <v>12.343</v>
      </c>
      <c r="AW65" s="3">
        <f t="shared" si="785"/>
        <v>12.343</v>
      </c>
      <c r="AX65" s="3">
        <f t="shared" si="785"/>
        <v>12.343</v>
      </c>
      <c r="AY65" s="3">
        <f t="shared" si="785"/>
        <v>12.343</v>
      </c>
      <c r="AZ65" s="3">
        <f t="shared" si="785"/>
        <v>12.343</v>
      </c>
      <c r="BA65" s="3">
        <f t="shared" si="785"/>
        <v>12.343</v>
      </c>
      <c r="BB65" s="3">
        <f t="shared" si="785"/>
        <v>12.343</v>
      </c>
      <c r="BC65" s="3">
        <f t="shared" si="785"/>
        <v>12.343</v>
      </c>
      <c r="BD65" s="3">
        <f t="shared" si="785"/>
        <v>12.343</v>
      </c>
      <c r="BE65" s="3">
        <f t="shared" si="785"/>
        <v>12.343</v>
      </c>
      <c r="BF65" s="3">
        <f t="shared" si="785"/>
        <v>12.343</v>
      </c>
      <c r="BG65" s="3">
        <f t="shared" si="785"/>
        <v>12.343</v>
      </c>
      <c r="BH65" s="3">
        <f t="shared" si="785"/>
        <v>12.343</v>
      </c>
      <c r="BI65" s="3">
        <f t="shared" si="785"/>
        <v>12.343</v>
      </c>
      <c r="BJ65" s="3">
        <f t="shared" si="785"/>
        <v>12.343</v>
      </c>
      <c r="BK65" s="3">
        <f t="shared" si="785"/>
        <v>12.343</v>
      </c>
      <c r="BL65" s="3">
        <f t="shared" si="785"/>
        <v>12.343</v>
      </c>
      <c r="BM65" s="3">
        <f t="shared" si="785"/>
        <v>12.343</v>
      </c>
      <c r="BN65" s="3">
        <f t="shared" si="785"/>
        <v>12.343</v>
      </c>
      <c r="BO65" s="3">
        <f t="shared" si="785"/>
        <v>12.343</v>
      </c>
      <c r="BP65" s="3">
        <f t="shared" si="785"/>
        <v>12.343</v>
      </c>
      <c r="BQ65" s="3">
        <f t="shared" si="785"/>
        <v>12.343</v>
      </c>
      <c r="BR65" s="3">
        <f t="shared" si="785"/>
        <v>12.343</v>
      </c>
      <c r="BS65" s="3">
        <f t="shared" si="785"/>
        <v>12.343</v>
      </c>
      <c r="BT65" s="3">
        <f t="shared" si="785"/>
        <v>12.343</v>
      </c>
      <c r="BU65" s="3">
        <f t="shared" si="785"/>
        <v>12.343</v>
      </c>
      <c r="BV65" s="3">
        <f t="shared" si="785"/>
        <v>12.343</v>
      </c>
      <c r="BW65" s="3">
        <f t="shared" si="785"/>
        <v>12.343</v>
      </c>
      <c r="BX65" s="3">
        <f t="shared" si="785"/>
        <v>12.343</v>
      </c>
      <c r="BY65" s="3">
        <f t="shared" si="785"/>
        <v>12.343</v>
      </c>
      <c r="BZ65" s="3">
        <f t="shared" si="785"/>
        <v>12.343</v>
      </c>
      <c r="CA65" s="3">
        <f t="shared" si="785"/>
        <v>12.343</v>
      </c>
      <c r="CB65" s="3">
        <f t="shared" si="785"/>
        <v>12.343</v>
      </c>
      <c r="CC65" s="3">
        <f t="shared" si="785"/>
        <v>12.343</v>
      </c>
      <c r="CD65" s="3">
        <f t="shared" si="785"/>
        <v>12.343</v>
      </c>
      <c r="CE65" s="3">
        <f t="shared" ref="CE65:CF65" si="786">CE63/CE64</f>
        <v>12.343</v>
      </c>
      <c r="CF65" s="3">
        <f t="shared" si="786"/>
        <v>12.343</v>
      </c>
      <c r="CG65" s="3">
        <f t="shared" ref="CG65:CH65" si="787">CG63/CG64</f>
        <v>12.343</v>
      </c>
      <c r="CH65" s="3">
        <f t="shared" si="787"/>
        <v>12.343</v>
      </c>
      <c r="CI65" s="3">
        <f t="shared" ref="CI65:CJ65" si="788">CI63/CI64</f>
        <v>12.343</v>
      </c>
      <c r="CJ65" s="3">
        <f t="shared" si="788"/>
        <v>12.343</v>
      </c>
      <c r="CK65" s="3">
        <f t="shared" ref="CK65" si="789">CK63/CK64</f>
        <v>12.346</v>
      </c>
      <c r="CL65" s="37">
        <f t="shared" ref="CL65" si="790">CL63/CL64</f>
        <v>12.346</v>
      </c>
      <c r="CM65" s="37">
        <f t="shared" ref="CM65:DB65" si="791">CM63/CM64</f>
        <v>12.346</v>
      </c>
      <c r="CN65" s="37">
        <f t="shared" si="791"/>
        <v>12.346</v>
      </c>
      <c r="CO65" s="37">
        <f t="shared" si="791"/>
        <v>12.346</v>
      </c>
      <c r="CP65" s="37">
        <f t="shared" si="791"/>
        <v>12.346</v>
      </c>
      <c r="CQ65" s="37">
        <f t="shared" si="791"/>
        <v>12.346</v>
      </c>
      <c r="CR65" s="37">
        <f t="shared" si="791"/>
        <v>12.346</v>
      </c>
      <c r="CS65" s="37">
        <f t="shared" si="791"/>
        <v>12.346</v>
      </c>
      <c r="CT65" s="37">
        <f t="shared" si="791"/>
        <v>12.346</v>
      </c>
      <c r="CU65" s="37">
        <f t="shared" si="791"/>
        <v>12.346</v>
      </c>
      <c r="CV65" s="37">
        <f t="shared" si="791"/>
        <v>12.346</v>
      </c>
      <c r="CW65" s="37">
        <f t="shared" si="791"/>
        <v>12.346</v>
      </c>
      <c r="CX65" s="37">
        <f t="shared" si="791"/>
        <v>12.346</v>
      </c>
      <c r="CY65" s="37">
        <f t="shared" si="791"/>
        <v>12.346</v>
      </c>
      <c r="CZ65" s="37">
        <f t="shared" si="791"/>
        <v>12.346</v>
      </c>
      <c r="DA65" s="37">
        <f t="shared" si="791"/>
        <v>12.346</v>
      </c>
      <c r="DB65" s="37">
        <f t="shared" si="791"/>
        <v>12.346</v>
      </c>
      <c r="DE65" s="134"/>
      <c r="DF65" s="3">
        <v>12.346</v>
      </c>
    </row>
    <row r="66" spans="1:110" s="53" customFormat="1" x14ac:dyDescent="0.2">
      <c r="A66" s="53" t="s">
        <v>30</v>
      </c>
      <c r="B66" s="53" t="e">
        <f t="shared" ref="B66:AE66" si="792">(B48-B47)/B65</f>
        <v>#DIV/0!</v>
      </c>
      <c r="C66" s="53" t="e">
        <f t="shared" si="792"/>
        <v>#DIV/0!</v>
      </c>
      <c r="D66" s="53" t="e">
        <f t="shared" si="792"/>
        <v>#DIV/0!</v>
      </c>
      <c r="E66" s="53">
        <f t="shared" ca="1" si="792"/>
        <v>0</v>
      </c>
      <c r="F66" s="53">
        <f t="shared" ca="1" si="792"/>
        <v>0</v>
      </c>
      <c r="G66" s="53">
        <f t="shared" ca="1" si="792"/>
        <v>0</v>
      </c>
      <c r="H66" s="53">
        <f t="shared" ca="1" si="792"/>
        <v>0</v>
      </c>
      <c r="I66" s="53">
        <f t="shared" ca="1" si="792"/>
        <v>0</v>
      </c>
      <c r="J66" s="53">
        <f t="shared" ca="1" si="792"/>
        <v>0</v>
      </c>
      <c r="K66" s="53">
        <f t="shared" ca="1" si="792"/>
        <v>0</v>
      </c>
      <c r="L66" s="53">
        <f t="shared" ca="1" si="792"/>
        <v>0</v>
      </c>
      <c r="M66" s="53">
        <f t="shared" ca="1" si="792"/>
        <v>0</v>
      </c>
      <c r="N66" s="53">
        <f t="shared" ca="1" si="792"/>
        <v>0</v>
      </c>
      <c r="O66" s="53">
        <f t="shared" ca="1" si="792"/>
        <v>0</v>
      </c>
      <c r="P66" s="53">
        <f t="shared" ca="1" si="792"/>
        <v>4.8865705491657225</v>
      </c>
      <c r="Q66" s="53">
        <f t="shared" ca="1" si="792"/>
        <v>-7.0170176575409036</v>
      </c>
      <c r="R66" s="53">
        <f t="shared" ca="1" si="792"/>
        <v>-5.963372752308441</v>
      </c>
      <c r="S66" s="53">
        <f t="shared" ca="1" si="792"/>
        <v>-6.4158755872347344</v>
      </c>
      <c r="T66" s="53">
        <f t="shared" ca="1" si="792"/>
        <v>-6.0172525514336632</v>
      </c>
      <c r="U66" s="53">
        <f t="shared" ca="1" si="792"/>
        <v>-2.9349586910740322</v>
      </c>
      <c r="V66" s="53">
        <f t="shared" ca="1" si="792"/>
        <v>5.3933743722663241</v>
      </c>
      <c r="W66" s="53">
        <f t="shared" ca="1" si="792"/>
        <v>15.244548841730111</v>
      </c>
      <c r="X66" s="53">
        <f t="shared" ca="1" si="792"/>
        <v>30.986489551271674</v>
      </c>
      <c r="Y66" s="53">
        <f t="shared" ca="1" si="792"/>
        <v>25.836505750850485</v>
      </c>
      <c r="Z66" s="53">
        <f t="shared" ca="1" si="792"/>
        <v>16.388417301150181</v>
      </c>
      <c r="AA66" s="53">
        <f t="shared" ref="AA66" ca="1" si="793">(AA48-AA47)/AA65</f>
        <v>16.388417301150181</v>
      </c>
      <c r="AB66" s="54">
        <f t="shared" ca="1" si="792"/>
        <v>12.747391820197601</v>
      </c>
      <c r="AC66" s="54">
        <f t="shared" ca="1" si="792"/>
        <v>11.862274710176139</v>
      </c>
      <c r="AD66" s="54">
        <f t="shared" ca="1" si="792"/>
        <v>11.566975886253443</v>
      </c>
      <c r="AE66" s="54">
        <f t="shared" ca="1" si="792"/>
        <v>11.756170327317784</v>
      </c>
      <c r="AI66" s="53">
        <f t="shared" ref="AI66:BN66" si="794">(AI48-AI47)/AI65</f>
        <v>0</v>
      </c>
      <c r="AJ66" s="53">
        <f t="shared" si="794"/>
        <v>0</v>
      </c>
      <c r="AK66" s="53">
        <f t="shared" si="794"/>
        <v>0</v>
      </c>
      <c r="AL66" s="53">
        <f t="shared" si="794"/>
        <v>0</v>
      </c>
      <c r="AM66" s="53">
        <f t="shared" si="794"/>
        <v>0</v>
      </c>
      <c r="AN66" s="53">
        <f t="shared" si="794"/>
        <v>0</v>
      </c>
      <c r="AO66" s="53">
        <f t="shared" si="794"/>
        <v>0</v>
      </c>
      <c r="AP66" s="53">
        <f t="shared" si="794"/>
        <v>0</v>
      </c>
      <c r="AQ66" s="53">
        <f t="shared" si="794"/>
        <v>0</v>
      </c>
      <c r="AR66" s="53">
        <f t="shared" si="794"/>
        <v>0</v>
      </c>
      <c r="AS66" s="53">
        <f t="shared" si="794"/>
        <v>0</v>
      </c>
      <c r="AT66" s="53">
        <f t="shared" si="794"/>
        <v>0</v>
      </c>
      <c r="AU66" s="53">
        <f t="shared" si="794"/>
        <v>0</v>
      </c>
      <c r="AV66" s="53">
        <f t="shared" si="794"/>
        <v>0</v>
      </c>
      <c r="AW66" s="53">
        <f t="shared" si="794"/>
        <v>0</v>
      </c>
      <c r="AX66" s="53">
        <f t="shared" si="794"/>
        <v>0</v>
      </c>
      <c r="AY66" s="53">
        <f t="shared" si="794"/>
        <v>0</v>
      </c>
      <c r="AZ66" s="53">
        <f t="shared" si="794"/>
        <v>0</v>
      </c>
      <c r="BA66" s="53">
        <f t="shared" si="794"/>
        <v>0</v>
      </c>
      <c r="BB66" s="53">
        <f t="shared" si="794"/>
        <v>0</v>
      </c>
      <c r="BC66" s="53">
        <f t="shared" si="794"/>
        <v>0</v>
      </c>
      <c r="BD66" s="53">
        <f t="shared" si="794"/>
        <v>0</v>
      </c>
      <c r="BE66" s="53">
        <f t="shared" si="794"/>
        <v>0</v>
      </c>
      <c r="BF66" s="53">
        <f t="shared" si="794"/>
        <v>0</v>
      </c>
      <c r="BG66" s="53">
        <f t="shared" si="794"/>
        <v>0</v>
      </c>
      <c r="BH66" s="53">
        <f t="shared" si="794"/>
        <v>0</v>
      </c>
      <c r="BI66" s="53">
        <f t="shared" si="794"/>
        <v>0</v>
      </c>
      <c r="BJ66" s="53">
        <f t="shared" si="794"/>
        <v>0</v>
      </c>
      <c r="BK66" s="53">
        <f t="shared" si="794"/>
        <v>0</v>
      </c>
      <c r="BL66" s="53">
        <f t="shared" si="794"/>
        <v>0</v>
      </c>
      <c r="BM66" s="53">
        <f t="shared" si="794"/>
        <v>0</v>
      </c>
      <c r="BN66" s="53">
        <f t="shared" si="794"/>
        <v>0</v>
      </c>
      <c r="BO66" s="53">
        <f t="shared" ref="BO66:CT66" si="795">(BO48-BO47)/BO65</f>
        <v>0</v>
      </c>
      <c r="BP66" s="53">
        <f t="shared" si="795"/>
        <v>0</v>
      </c>
      <c r="BQ66" s="53">
        <f t="shared" si="795"/>
        <v>0</v>
      </c>
      <c r="BR66" s="53">
        <f t="shared" si="795"/>
        <v>0</v>
      </c>
      <c r="BS66" s="53">
        <f t="shared" si="795"/>
        <v>0</v>
      </c>
      <c r="BT66" s="53">
        <f t="shared" si="795"/>
        <v>3.1903102973345239</v>
      </c>
      <c r="BU66" s="53">
        <f t="shared" si="795"/>
        <v>3.9714818115531068</v>
      </c>
      <c r="BV66" s="53">
        <f t="shared" si="795"/>
        <v>6.6081989791784812</v>
      </c>
      <c r="BW66" s="53">
        <f t="shared" si="795"/>
        <v>6.8378028032082954</v>
      </c>
      <c r="BX66" s="53">
        <f t="shared" si="795"/>
        <v>5.1519079640281946</v>
      </c>
      <c r="BY66" s="53">
        <f t="shared" si="795"/>
        <v>7.9446649923033279</v>
      </c>
      <c r="BZ66" s="53">
        <f t="shared" si="795"/>
        <v>11.059709957060681</v>
      </c>
      <c r="CA66" s="53">
        <f t="shared" si="795"/>
        <v>7.6040670825569183</v>
      </c>
      <c r="CB66" s="53">
        <f t="shared" si="795"/>
        <v>5.3472413513732464</v>
      </c>
      <c r="CC66" s="53">
        <f t="shared" si="795"/>
        <v>8.2255529449890634</v>
      </c>
      <c r="CD66" s="53">
        <f t="shared" si="795"/>
        <v>4.6660455318804157</v>
      </c>
      <c r="CE66" s="53">
        <f t="shared" si="795"/>
        <v>3.6342056226201098</v>
      </c>
      <c r="CF66" s="53">
        <f t="shared" si="795"/>
        <v>4.5340678927327245</v>
      </c>
      <c r="CG66" s="53">
        <f t="shared" si="795"/>
        <v>3.8865753868589508</v>
      </c>
      <c r="CH66" s="53">
        <f t="shared" si="795"/>
        <v>4.3375192416754427</v>
      </c>
      <c r="CI66" s="53">
        <f t="shared" si="795"/>
        <v>3.2561775905371477</v>
      </c>
      <c r="CJ66" s="53">
        <f t="shared" si="795"/>
        <v>2.3570444786518698</v>
      </c>
      <c r="CK66" s="53">
        <f t="shared" ref="CK66" si="796">(CK48-CK47)/CK65</f>
        <v>1.914709217560342</v>
      </c>
      <c r="CL66" s="54">
        <f t="shared" si="795"/>
        <v>4.532971762824233</v>
      </c>
      <c r="CM66" s="54">
        <f t="shared" si="795"/>
        <v>4.3975292831570769</v>
      </c>
      <c r="CN66" s="54">
        <f t="shared" si="795"/>
        <v>2.3088357919258047</v>
      </c>
      <c r="CO66" s="54">
        <f t="shared" si="795"/>
        <v>1.7551559730253727</v>
      </c>
      <c r="CP66" s="54">
        <f t="shared" si="795"/>
        <v>4.2858707720893445</v>
      </c>
      <c r="CQ66" s="54">
        <f t="shared" si="795"/>
        <v>4.2092060575676564</v>
      </c>
      <c r="CR66" s="54">
        <f t="shared" si="795"/>
        <v>1.9378597064948584</v>
      </c>
      <c r="CS66" s="54">
        <f t="shared" si="795"/>
        <v>1.4815048304469671</v>
      </c>
      <c r="CT66" s="54">
        <f t="shared" si="795"/>
        <v>4.2337041156666633</v>
      </c>
      <c r="CU66" s="54">
        <f t="shared" ref="CU66:DB66" si="797">(CU48-CU47)/CU65</f>
        <v>4.2058191301448922</v>
      </c>
      <c r="CV66" s="54">
        <f t="shared" si="797"/>
        <v>1.7371535056011806</v>
      </c>
      <c r="CW66" s="54">
        <f t="shared" si="797"/>
        <v>1.2802895540857757</v>
      </c>
      <c r="CX66" s="54">
        <f t="shared" si="797"/>
        <v>4.3437136964215659</v>
      </c>
      <c r="CY66" s="54">
        <f t="shared" si="797"/>
        <v>4.3508969909210036</v>
      </c>
      <c r="CZ66" s="54">
        <f t="shared" si="797"/>
        <v>1.6481103093067009</v>
      </c>
      <c r="DA66" s="54">
        <f t="shared" si="797"/>
        <v>1.1704822862697104</v>
      </c>
      <c r="DB66" s="54">
        <f t="shared" si="797"/>
        <v>4.5866807408203725</v>
      </c>
      <c r="DE66" s="132"/>
      <c r="DF66" s="53">
        <v>16.388417301150181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2.5</v>
      </c>
      <c r="Y67" s="3">
        <f>'Annual Raw'!Z110</f>
        <v>3</v>
      </c>
      <c r="Z67" s="3">
        <f>'Annual Raw'!AA110</f>
        <v>3</v>
      </c>
      <c r="AA67" s="3">
        <f>'Annual Raw'!AB110</f>
        <v>2.5</v>
      </c>
      <c r="AB67" s="37"/>
      <c r="AC67" s="37"/>
      <c r="AD67" s="37"/>
      <c r="AE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2.5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98">C67/C66</f>
        <v>#DIV/0!</v>
      </c>
      <c r="D68" s="3" t="e">
        <f t="shared" si="798"/>
        <v>#DIV/0!</v>
      </c>
      <c r="E68" s="3" t="e">
        <f t="shared" ca="1" si="798"/>
        <v>#DIV/0!</v>
      </c>
      <c r="F68" s="3" t="e">
        <f t="shared" ca="1" si="798"/>
        <v>#DIV/0!</v>
      </c>
      <c r="G68" s="3" t="e">
        <f t="shared" ca="1" si="798"/>
        <v>#DIV/0!</v>
      </c>
      <c r="H68" s="3" t="e">
        <f t="shared" ca="1" si="798"/>
        <v>#DIV/0!</v>
      </c>
      <c r="I68" s="3" t="e">
        <f t="shared" ca="1" si="798"/>
        <v>#DIV/0!</v>
      </c>
      <c r="J68" s="3" t="e">
        <f t="shared" ca="1" si="798"/>
        <v>#DIV/0!</v>
      </c>
      <c r="K68" s="3" t="e">
        <f t="shared" ca="1" si="798"/>
        <v>#DIV/0!</v>
      </c>
      <c r="L68" s="3" t="e">
        <f t="shared" ca="1" si="798"/>
        <v>#DIV/0!</v>
      </c>
      <c r="M68" s="3" t="e">
        <f t="shared" ca="1" si="798"/>
        <v>#DIV/0!</v>
      </c>
      <c r="N68" s="3" t="e">
        <f t="shared" ca="1" si="798"/>
        <v>#DIV/0!</v>
      </c>
      <c r="O68" s="3" t="e">
        <f t="shared" ca="1" si="798"/>
        <v>#DIV/0!</v>
      </c>
      <c r="P68" s="3">
        <f t="shared" ca="1" si="798"/>
        <v>0</v>
      </c>
      <c r="Q68" s="3">
        <f t="shared" ca="1" si="798"/>
        <v>0</v>
      </c>
      <c r="R68" s="3">
        <f t="shared" ca="1" si="798"/>
        <v>0</v>
      </c>
      <c r="S68" s="3">
        <f t="shared" ca="1" si="798"/>
        <v>0</v>
      </c>
      <c r="T68" s="3">
        <f t="shared" ca="1" si="798"/>
        <v>0</v>
      </c>
      <c r="U68" s="3">
        <f t="shared" ca="1" si="798"/>
        <v>0</v>
      </c>
      <c r="V68" s="3">
        <f ca="1">V67/V66</f>
        <v>0</v>
      </c>
      <c r="W68" s="3">
        <f t="shared" ref="W68" ca="1" si="799">W67/W66</f>
        <v>0</v>
      </c>
      <c r="X68" s="3">
        <f t="shared" ref="X68:Y68" ca="1" si="800">X67/X66</f>
        <v>8.0680323463662593E-2</v>
      </c>
      <c r="Y68" s="3">
        <f t="shared" ca="1" si="800"/>
        <v>0.11611477298555538</v>
      </c>
      <c r="Z68" s="3">
        <f t="shared" ref="Z68:AA68" ca="1" si="801">Z67/Z66</f>
        <v>0.18305611486897228</v>
      </c>
      <c r="AA68" s="3">
        <f t="shared" ca="1" si="801"/>
        <v>0.18305611486897228</v>
      </c>
      <c r="AB68" s="37">
        <f t="shared" ref="AB68:AD68" ca="1" si="802">AB67/AB66</f>
        <v>0</v>
      </c>
      <c r="AC68" s="37">
        <f t="shared" ca="1" si="802"/>
        <v>0</v>
      </c>
      <c r="AD68" s="37">
        <f t="shared" ca="1" si="802"/>
        <v>0</v>
      </c>
      <c r="AE68" s="37">
        <f t="shared" ref="AE68" ca="1" si="803">AE67/AE66</f>
        <v>0</v>
      </c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0.18305611486897228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804">+C66</f>
        <v>#DIV/0!</v>
      </c>
      <c r="D69" s="3" t="e">
        <f t="shared" si="804"/>
        <v>#DIV/0!</v>
      </c>
      <c r="E69" s="3">
        <f t="shared" ca="1" si="804"/>
        <v>0</v>
      </c>
      <c r="F69" s="3">
        <f t="shared" ca="1" si="804"/>
        <v>0</v>
      </c>
      <c r="G69" s="3">
        <f t="shared" ca="1" si="804"/>
        <v>0</v>
      </c>
      <c r="H69" s="3">
        <f t="shared" ca="1" si="804"/>
        <v>0</v>
      </c>
      <c r="I69" s="3">
        <f t="shared" ca="1" si="804"/>
        <v>0</v>
      </c>
      <c r="J69" s="3">
        <f t="shared" ca="1" si="804"/>
        <v>0</v>
      </c>
      <c r="K69" s="3">
        <f t="shared" ca="1" si="804"/>
        <v>0</v>
      </c>
      <c r="L69" s="3">
        <f t="shared" ca="1" si="804"/>
        <v>0</v>
      </c>
      <c r="M69" s="3">
        <f t="shared" ca="1" si="804"/>
        <v>0</v>
      </c>
      <c r="N69" s="3">
        <f t="shared" ca="1" si="804"/>
        <v>0</v>
      </c>
      <c r="O69" s="3">
        <f t="shared" ca="1" si="804"/>
        <v>0</v>
      </c>
      <c r="P69" s="3">
        <f t="shared" ca="1" si="804"/>
        <v>4.8865705491657225</v>
      </c>
      <c r="Q69" s="3">
        <f t="shared" ca="1" si="804"/>
        <v>-7.0170176575409036</v>
      </c>
      <c r="R69" s="3">
        <f t="shared" ca="1" si="804"/>
        <v>-5.963372752308441</v>
      </c>
      <c r="S69" s="3">
        <f t="shared" ca="1" si="804"/>
        <v>-6.4158755872347344</v>
      </c>
      <c r="T69" s="3">
        <f ca="1">+T66</f>
        <v>-6.0172525514336632</v>
      </c>
      <c r="U69" s="3">
        <f t="shared" ca="1" si="804"/>
        <v>-2.9349586910740322</v>
      </c>
      <c r="V69" s="3">
        <f ca="1">+V66</f>
        <v>5.3933743722663241</v>
      </c>
      <c r="W69" s="3">
        <f t="shared" ref="W69" ca="1" si="805">+W66</f>
        <v>15.244548841730111</v>
      </c>
      <c r="X69" s="3">
        <f t="shared" ref="X69:Y69" ca="1" si="806">+X66</f>
        <v>30.986489551271674</v>
      </c>
      <c r="Y69" s="3">
        <f t="shared" ca="1" si="806"/>
        <v>25.836505750850485</v>
      </c>
      <c r="Z69" s="3">
        <f t="shared" ref="Z69:AA69" ca="1" si="807">+Z66</f>
        <v>16.388417301150181</v>
      </c>
      <c r="AA69" s="3">
        <f t="shared" ca="1" si="807"/>
        <v>16.388417301150181</v>
      </c>
      <c r="AB69" s="37">
        <f t="shared" ref="AB69:AD69" ca="1" si="808">+AB66</f>
        <v>12.747391820197601</v>
      </c>
      <c r="AC69" s="37">
        <f t="shared" ca="1" si="808"/>
        <v>11.862274710176139</v>
      </c>
      <c r="AD69" s="37">
        <f t="shared" ca="1" si="808"/>
        <v>11.566975886253443</v>
      </c>
      <c r="AE69" s="37">
        <f t="shared" ref="AE69" ca="1" si="809">+AE66</f>
        <v>11.756170327317784</v>
      </c>
      <c r="AL69" s="3">
        <f>SUM(AI66:AL66)</f>
        <v>0</v>
      </c>
      <c r="AM69" s="3">
        <f t="shared" ref="AM69" si="810">SUM(AJ66:AM66)</f>
        <v>0</v>
      </c>
      <c r="AN69" s="3">
        <f t="shared" ref="AN69" si="811">SUM(AK66:AN66)</f>
        <v>0</v>
      </c>
      <c r="AO69" s="3">
        <f t="shared" ref="AO69" si="812">SUM(AL66:AO66)</f>
        <v>0</v>
      </c>
      <c r="AP69" s="3">
        <f t="shared" ref="AP69" si="813">SUM(AM66:AP66)</f>
        <v>0</v>
      </c>
      <c r="AQ69" s="3">
        <f t="shared" ref="AQ69" si="814">SUM(AN66:AQ66)</f>
        <v>0</v>
      </c>
      <c r="AR69" s="3">
        <f t="shared" ref="AR69" si="815">SUM(AO66:AR66)</f>
        <v>0</v>
      </c>
      <c r="AS69" s="3">
        <f t="shared" ref="AS69" si="816">SUM(AP66:AS66)</f>
        <v>0</v>
      </c>
      <c r="AT69" s="3">
        <f t="shared" ref="AT69" si="817">SUM(AQ66:AT66)</f>
        <v>0</v>
      </c>
      <c r="AU69" s="3">
        <f t="shared" ref="AU69" si="818">SUM(AR66:AU66)</f>
        <v>0</v>
      </c>
      <c r="AV69" s="3">
        <f t="shared" ref="AV69" si="819">SUM(AS66:AV66)</f>
        <v>0</v>
      </c>
      <c r="AW69" s="3">
        <f t="shared" ref="AW69" si="820">SUM(AT66:AW66)</f>
        <v>0</v>
      </c>
      <c r="AX69" s="3">
        <f t="shared" ref="AX69" si="821">SUM(AU66:AX66)</f>
        <v>0</v>
      </c>
      <c r="AY69" s="3">
        <f t="shared" ref="AY69" si="822">SUM(AV66:AY66)</f>
        <v>0</v>
      </c>
      <c r="AZ69" s="3">
        <f t="shared" ref="AZ69" si="823">SUM(AW66:AZ66)</f>
        <v>0</v>
      </c>
      <c r="BA69" s="3">
        <f t="shared" ref="BA69" si="824">SUM(AX66:BA66)</f>
        <v>0</v>
      </c>
      <c r="BB69" s="3">
        <f t="shared" ref="BB69" si="825">SUM(AY66:BB66)</f>
        <v>0</v>
      </c>
      <c r="BC69" s="3">
        <f t="shared" ref="BC69" si="826">SUM(AZ66:BC66)</f>
        <v>0</v>
      </c>
      <c r="BD69" s="3">
        <f t="shared" ref="BD69" si="827">SUM(BA66:BD66)</f>
        <v>0</v>
      </c>
      <c r="BE69" s="3">
        <f t="shared" ref="BE69" si="828">SUM(BB66:BE66)</f>
        <v>0</v>
      </c>
      <c r="BF69" s="3">
        <f t="shared" ref="BF69" si="829">SUM(BC66:BF66)</f>
        <v>0</v>
      </c>
      <c r="BG69" s="3">
        <f t="shared" ref="BG69" si="830">SUM(BD66:BG66)</f>
        <v>0</v>
      </c>
      <c r="BH69" s="3">
        <f t="shared" ref="BH69" si="831">SUM(BE66:BH66)</f>
        <v>0</v>
      </c>
      <c r="BI69" s="3">
        <f t="shared" ref="BI69" si="832">SUM(BF66:BI66)</f>
        <v>0</v>
      </c>
      <c r="BJ69" s="3">
        <f t="shared" ref="BJ69" si="833">SUM(BG66:BJ66)</f>
        <v>0</v>
      </c>
      <c r="BK69" s="3">
        <f t="shared" ref="BK69" si="834">SUM(BH66:BK66)</f>
        <v>0</v>
      </c>
      <c r="BL69" s="3">
        <f t="shared" ref="BL69" si="835">SUM(BI66:BL66)</f>
        <v>0</v>
      </c>
      <c r="BM69" s="3">
        <f t="shared" ref="BM69" si="836">SUM(BJ66:BM66)</f>
        <v>0</v>
      </c>
      <c r="BN69" s="3">
        <f t="shared" ref="BN69" si="837">SUM(BK66:BN66)</f>
        <v>0</v>
      </c>
      <c r="BO69" s="3">
        <f t="shared" ref="BO69" si="838">SUM(BL66:BO66)</f>
        <v>0</v>
      </c>
      <c r="BP69" s="3">
        <f t="shared" ref="BP69" si="839">SUM(BM66:BP66)</f>
        <v>0</v>
      </c>
      <c r="BQ69" s="3">
        <f t="shared" ref="BQ69" si="840">SUM(BN66:BQ66)</f>
        <v>0</v>
      </c>
      <c r="BR69" s="3">
        <f t="shared" ref="BR69" si="841">SUM(BO66:BR66)</f>
        <v>0</v>
      </c>
      <c r="BS69" s="3">
        <f t="shared" ref="BS69" si="842">SUM(BP66:BS66)</f>
        <v>0</v>
      </c>
      <c r="BT69" s="3">
        <f t="shared" ref="BT69" si="843">SUM(BQ66:BT66)</f>
        <v>3.1903102973345239</v>
      </c>
      <c r="BU69" s="3">
        <f t="shared" ref="BU69" si="844">SUM(BR66:BU66)</f>
        <v>7.1617921088876306</v>
      </c>
      <c r="BV69" s="3">
        <f t="shared" ref="BV69" si="845">SUM(BS66:BV66)</f>
        <v>13.769991088066112</v>
      </c>
      <c r="BW69" s="3">
        <f t="shared" ref="BW69" si="846">SUM(BT66:BW66)</f>
        <v>20.607793891274408</v>
      </c>
      <c r="BX69" s="3">
        <f t="shared" ref="BX69" si="847">SUM(BU66:BX66)</f>
        <v>22.569391557968078</v>
      </c>
      <c r="BY69" s="3">
        <f t="shared" ref="BY69" si="848">SUM(BV66:BY66)</f>
        <v>26.542574738718297</v>
      </c>
      <c r="BZ69" s="3">
        <f t="shared" ref="BZ69" si="849">SUM(BW66:BZ66)</f>
        <v>30.994085716600502</v>
      </c>
      <c r="CA69" s="3">
        <f t="shared" ref="CA69" si="850">SUM(BX66:CA66)</f>
        <v>31.76034999594912</v>
      </c>
      <c r="CB69" s="3">
        <f t="shared" ref="CB69" si="851">SUM(BY66:CB66)</f>
        <v>31.955683383294176</v>
      </c>
      <c r="CC69" s="3">
        <f t="shared" ref="CC69" si="852">SUM(BZ66:CC66)</f>
        <v>32.23657133597991</v>
      </c>
      <c r="CD69" s="3">
        <f t="shared" ref="CD69" si="853">SUM(CA66:CD66)</f>
        <v>25.842906910799641</v>
      </c>
      <c r="CE69" s="3">
        <f t="shared" ref="CE69" si="854">SUM(CB66:CE66)</f>
        <v>21.873045450862833</v>
      </c>
      <c r="CF69" s="3">
        <f t="shared" ref="CF69" si="855">SUM(CC66:CF66)</f>
        <v>21.059871992222316</v>
      </c>
      <c r="CG69" s="3">
        <f t="shared" ref="CG69" si="856">SUM(CD66:CG66)</f>
        <v>16.720894434092202</v>
      </c>
      <c r="CH69" s="3">
        <f t="shared" ref="CH69:CK69" si="857">SUM(CE66:CH66)</f>
        <v>16.392368143887225</v>
      </c>
      <c r="CI69" s="3">
        <f t="shared" si="857"/>
        <v>16.014340111804266</v>
      </c>
      <c r="CJ69" s="3">
        <f t="shared" si="857"/>
        <v>13.837316697723411</v>
      </c>
      <c r="CK69" s="3">
        <f t="shared" si="857"/>
        <v>11.865450528424802</v>
      </c>
      <c r="CL69" s="37">
        <f t="shared" ref="CL69" si="858">SUM(CI66:CL66)</f>
        <v>12.060903049573593</v>
      </c>
      <c r="CM69" s="37">
        <f t="shared" ref="CM69" si="859">SUM(CJ66:CM66)</f>
        <v>13.202254742193521</v>
      </c>
      <c r="CN69" s="37">
        <f t="shared" ref="CN69" si="860">SUM(CK66:CN66)</f>
        <v>13.154046055467457</v>
      </c>
      <c r="CO69" s="37">
        <f t="shared" ref="CO69" si="861">SUM(CL66:CO66)</f>
        <v>12.994492810932487</v>
      </c>
      <c r="CP69" s="37">
        <f t="shared" ref="CP69" si="862">SUM(CM66:CP66)</f>
        <v>12.747391820197599</v>
      </c>
      <c r="CQ69" s="37">
        <f t="shared" ref="CQ69" si="863">SUM(CN66:CQ66)</f>
        <v>12.559068594608178</v>
      </c>
      <c r="CR69" s="37">
        <f t="shared" ref="CR69" si="864">SUM(CO66:CR66)</f>
        <v>12.188092509177231</v>
      </c>
      <c r="CS69" s="37">
        <f t="shared" ref="CS69" si="865">SUM(CP66:CS66)</f>
        <v>11.914441366598828</v>
      </c>
      <c r="CT69" s="37">
        <f t="shared" ref="CT69" si="866">SUM(CQ66:CT66)</f>
        <v>11.862274710176145</v>
      </c>
      <c r="CU69" s="37">
        <f t="shared" ref="CU69" si="867">SUM(CR66:CU66)</f>
        <v>11.858887782753381</v>
      </c>
      <c r="CV69" s="37">
        <f t="shared" ref="CV69" si="868">SUM(CS66:CV66)</f>
        <v>11.658181581859704</v>
      </c>
      <c r="CW69" s="37">
        <f t="shared" ref="CW69" si="869">SUM(CT66:CW66)</f>
        <v>11.456966305498511</v>
      </c>
      <c r="CX69" s="37">
        <f t="shared" ref="CX69" si="870">SUM(CU66:CX66)</f>
        <v>11.566975886253413</v>
      </c>
      <c r="CY69" s="37">
        <f t="shared" ref="CY69" si="871">SUM(CV66:CY66)</f>
        <v>11.712053747029525</v>
      </c>
      <c r="CZ69" s="37">
        <f t="shared" ref="CZ69" si="872">SUM(CW66:CZ66)</f>
        <v>11.623010550735044</v>
      </c>
      <c r="DA69" s="37">
        <f t="shared" ref="DA69" si="873">SUM(CX66:DA66)</f>
        <v>11.51320328291898</v>
      </c>
      <c r="DB69" s="37">
        <f t="shared" ref="DB69" si="874">SUM(CY66:DB66)</f>
        <v>11.756170327317786</v>
      </c>
      <c r="DE69" s="134"/>
      <c r="DF69" s="3">
        <v>16.388417301150181</v>
      </c>
    </row>
    <row r="70" spans="1:110" s="97" customFormat="1" x14ac:dyDescent="0.2">
      <c r="A70" s="97" t="s">
        <v>425</v>
      </c>
      <c r="C70" s="101" t="e">
        <f t="shared" ref="C70:AA70" si="875">+C69/B69-1</f>
        <v>#DIV/0!</v>
      </c>
      <c r="D70" s="101" t="e">
        <f t="shared" si="875"/>
        <v>#DIV/0!</v>
      </c>
      <c r="E70" s="101" t="e">
        <f t="shared" ca="1" si="875"/>
        <v>#DIV/0!</v>
      </c>
      <c r="F70" s="101" t="e">
        <f t="shared" ca="1" si="875"/>
        <v>#DIV/0!</v>
      </c>
      <c r="G70" s="101" t="e">
        <f t="shared" ca="1" si="875"/>
        <v>#DIV/0!</v>
      </c>
      <c r="H70" s="101" t="e">
        <f t="shared" ca="1" si="875"/>
        <v>#DIV/0!</v>
      </c>
      <c r="I70" s="101" t="e">
        <f t="shared" ca="1" si="875"/>
        <v>#DIV/0!</v>
      </c>
      <c r="J70" s="101" t="e">
        <f t="shared" ca="1" si="875"/>
        <v>#DIV/0!</v>
      </c>
      <c r="K70" s="101" t="e">
        <f t="shared" ca="1" si="875"/>
        <v>#DIV/0!</v>
      </c>
      <c r="L70" s="101" t="e">
        <f t="shared" ca="1" si="875"/>
        <v>#DIV/0!</v>
      </c>
      <c r="M70" s="101" t="e">
        <f t="shared" ca="1" si="875"/>
        <v>#DIV/0!</v>
      </c>
      <c r="N70" s="101" t="e">
        <f t="shared" ca="1" si="875"/>
        <v>#DIV/0!</v>
      </c>
      <c r="O70" s="101" t="e">
        <f t="shared" ca="1" si="875"/>
        <v>#DIV/0!</v>
      </c>
      <c r="P70" s="101" t="e">
        <f t="shared" ca="1" si="875"/>
        <v>#DIV/0!</v>
      </c>
      <c r="Q70" s="101">
        <f t="shared" ca="1" si="875"/>
        <v>-2.4359800164430059</v>
      </c>
      <c r="R70" s="101">
        <f t="shared" ca="1" si="875"/>
        <v>-0.15015565823753529</v>
      </c>
      <c r="S70" s="101">
        <f t="shared" ca="1" si="875"/>
        <v>7.5880353907296527E-2</v>
      </c>
      <c r="T70" s="101">
        <f t="shared" ca="1" si="875"/>
        <v>-6.2130730308141646E-2</v>
      </c>
      <c r="U70" s="101">
        <f t="shared" ca="1" si="875"/>
        <v>-0.5122427277255045</v>
      </c>
      <c r="V70" s="101">
        <f t="shared" ca="1" si="875"/>
        <v>-2.8376321236373681</v>
      </c>
      <c r="W70" s="101">
        <f t="shared" ca="1" si="875"/>
        <v>1.8265326657315413</v>
      </c>
      <c r="X70" s="101">
        <f t="shared" ca="1" si="875"/>
        <v>1.0326275229903756</v>
      </c>
      <c r="Y70" s="101">
        <f t="shared" ca="1" si="875"/>
        <v>-0.16620094354024162</v>
      </c>
      <c r="Z70" s="101">
        <f t="shared" ca="1" si="875"/>
        <v>-0.36568754849479956</v>
      </c>
      <c r="AA70" s="101">
        <f t="shared" ca="1" si="875"/>
        <v>-0.36568754849479956</v>
      </c>
      <c r="AB70" s="174">
        <f t="shared" ref="AB70" ca="1" si="876">+AB69/AA69-1</f>
        <v>5.7038062898791653E-2</v>
      </c>
      <c r="AC70" s="174">
        <f t="shared" ref="AC70" ca="1" si="877">+AC69/AB69-1</f>
        <v>-6.9435153677400718E-2</v>
      </c>
      <c r="AD70" s="174">
        <f t="shared" ref="AD70" ca="1" si="878">+AD69/AC69-1</f>
        <v>-2.4893945818787344E-2</v>
      </c>
      <c r="AE70" s="174">
        <f t="shared" ref="AE70" ca="1" si="879">+AE69/AD69-1</f>
        <v>1.6356430835927194E-2</v>
      </c>
      <c r="AL70" s="176"/>
      <c r="AM70" s="176"/>
      <c r="AN70" s="176"/>
      <c r="AO70" s="176"/>
      <c r="AP70" s="176" t="e">
        <f t="shared" ref="AP70:CK70" si="880">+IF(AL69&lt;0,1-AP69/AL69,AP69/AL69-1)</f>
        <v>#DIV/0!</v>
      </c>
      <c r="AQ70" s="176" t="e">
        <f t="shared" si="880"/>
        <v>#DIV/0!</v>
      </c>
      <c r="AR70" s="176" t="e">
        <f t="shared" si="880"/>
        <v>#DIV/0!</v>
      </c>
      <c r="AS70" s="176" t="e">
        <f t="shared" si="880"/>
        <v>#DIV/0!</v>
      </c>
      <c r="AT70" s="176" t="e">
        <f t="shared" si="880"/>
        <v>#DIV/0!</v>
      </c>
      <c r="AU70" s="176" t="e">
        <f t="shared" si="880"/>
        <v>#DIV/0!</v>
      </c>
      <c r="AV70" s="176" t="e">
        <f t="shared" si="880"/>
        <v>#DIV/0!</v>
      </c>
      <c r="AW70" s="176" t="e">
        <f t="shared" si="880"/>
        <v>#DIV/0!</v>
      </c>
      <c r="AX70" s="176" t="e">
        <f t="shared" si="880"/>
        <v>#DIV/0!</v>
      </c>
      <c r="AY70" s="176" t="e">
        <f t="shared" si="880"/>
        <v>#DIV/0!</v>
      </c>
      <c r="AZ70" s="176" t="e">
        <f t="shared" si="880"/>
        <v>#DIV/0!</v>
      </c>
      <c r="BA70" s="176" t="e">
        <f t="shared" si="880"/>
        <v>#DIV/0!</v>
      </c>
      <c r="BB70" s="176" t="e">
        <f t="shared" si="880"/>
        <v>#DIV/0!</v>
      </c>
      <c r="BC70" s="176" t="e">
        <f t="shared" si="880"/>
        <v>#DIV/0!</v>
      </c>
      <c r="BD70" s="176" t="e">
        <f t="shared" si="880"/>
        <v>#DIV/0!</v>
      </c>
      <c r="BE70" s="176" t="e">
        <f t="shared" si="880"/>
        <v>#DIV/0!</v>
      </c>
      <c r="BF70" s="176" t="e">
        <f t="shared" si="880"/>
        <v>#DIV/0!</v>
      </c>
      <c r="BG70" s="176" t="e">
        <f t="shared" si="880"/>
        <v>#DIV/0!</v>
      </c>
      <c r="BH70" s="176" t="e">
        <f t="shared" si="880"/>
        <v>#DIV/0!</v>
      </c>
      <c r="BI70" s="176" t="e">
        <f t="shared" si="880"/>
        <v>#DIV/0!</v>
      </c>
      <c r="BJ70" s="176" t="e">
        <f t="shared" si="880"/>
        <v>#DIV/0!</v>
      </c>
      <c r="BK70" s="176" t="e">
        <f t="shared" si="880"/>
        <v>#DIV/0!</v>
      </c>
      <c r="BL70" s="176" t="e">
        <f t="shared" si="880"/>
        <v>#DIV/0!</v>
      </c>
      <c r="BM70" s="176" t="e">
        <f t="shared" si="880"/>
        <v>#DIV/0!</v>
      </c>
      <c r="BN70" s="176" t="e">
        <f t="shared" si="880"/>
        <v>#DIV/0!</v>
      </c>
      <c r="BO70" s="176" t="e">
        <f t="shared" si="880"/>
        <v>#DIV/0!</v>
      </c>
      <c r="BP70" s="176" t="e">
        <f t="shared" si="880"/>
        <v>#DIV/0!</v>
      </c>
      <c r="BQ70" s="176" t="e">
        <f t="shared" si="880"/>
        <v>#DIV/0!</v>
      </c>
      <c r="BR70" s="176" t="e">
        <f t="shared" si="880"/>
        <v>#DIV/0!</v>
      </c>
      <c r="BS70" s="176" t="e">
        <f t="shared" si="880"/>
        <v>#DIV/0!</v>
      </c>
      <c r="BT70" s="176" t="e">
        <f t="shared" si="880"/>
        <v>#DIV/0!</v>
      </c>
      <c r="BU70" s="176" t="e">
        <f t="shared" si="880"/>
        <v>#DIV/0!</v>
      </c>
      <c r="BV70" s="176" t="e">
        <f t="shared" si="880"/>
        <v>#DIV/0!</v>
      </c>
      <c r="BW70" s="176" t="e">
        <f t="shared" si="880"/>
        <v>#DIV/0!</v>
      </c>
      <c r="BX70" s="176">
        <f t="shared" si="880"/>
        <v>6.0743562395246027</v>
      </c>
      <c r="BY70" s="176">
        <f t="shared" si="880"/>
        <v>2.7061358854272703</v>
      </c>
      <c r="BZ70" s="176">
        <f t="shared" si="880"/>
        <v>1.2508428304984025</v>
      </c>
      <c r="CA70" s="176">
        <f t="shared" si="880"/>
        <v>0.54118146578498338</v>
      </c>
      <c r="CB70" s="176">
        <f t="shared" si="880"/>
        <v>0.41588590464293151</v>
      </c>
      <c r="CC70" s="176">
        <f t="shared" si="880"/>
        <v>0.21452314454466404</v>
      </c>
      <c r="CD70" s="176">
        <f t="shared" si="880"/>
        <v>-0.16619876620660823</v>
      </c>
      <c r="CE70" s="176">
        <f t="shared" si="880"/>
        <v>-0.31130968475937337</v>
      </c>
      <c r="CF70" s="176">
        <f t="shared" si="880"/>
        <v>-0.3409663082582669</v>
      </c>
      <c r="CG70" s="176">
        <f t="shared" si="880"/>
        <v>-0.48130667310050856</v>
      </c>
      <c r="CH70" s="176">
        <f t="shared" si="880"/>
        <v>-0.36569178535264069</v>
      </c>
      <c r="CI70" s="176">
        <f t="shared" si="880"/>
        <v>-0.26785046244337485</v>
      </c>
      <c r="CJ70" s="176">
        <f t="shared" si="880"/>
        <v>-0.34295342807241602</v>
      </c>
      <c r="CK70" s="176">
        <f t="shared" si="880"/>
        <v>-0.290381828843297</v>
      </c>
      <c r="CL70" s="102">
        <f>+IF(CH69&lt;0,1-CL69/CH69,CL69/CH69-1)</f>
        <v>-0.26423668967737601</v>
      </c>
      <c r="CM70" s="102">
        <f t="shared" ref="CM70:DB70" si="881">+IF(CI69&lt;0,1-CM69/CI69,CM69/CI69-1)</f>
        <v>-0.17559795470672812</v>
      </c>
      <c r="CN70" s="102">
        <f t="shared" si="881"/>
        <v>-4.9378839639362182E-2</v>
      </c>
      <c r="CO70" s="102">
        <f t="shared" si="881"/>
        <v>9.5153764267354113E-2</v>
      </c>
      <c r="CP70" s="102">
        <f t="shared" si="881"/>
        <v>5.6918521590161975E-2</v>
      </c>
      <c r="CQ70" s="102">
        <f t="shared" si="881"/>
        <v>-4.8717901611893821E-2</v>
      </c>
      <c r="CR70" s="102">
        <f t="shared" si="881"/>
        <v>-7.3433948932292936E-2</v>
      </c>
      <c r="CS70" s="102">
        <f t="shared" si="881"/>
        <v>-8.3116090796940822E-2</v>
      </c>
      <c r="CT70" s="102">
        <f t="shared" si="881"/>
        <v>-6.9435153677400163E-2</v>
      </c>
      <c r="CU70" s="102">
        <f t="shared" si="881"/>
        <v>-5.5751014223729634E-2</v>
      </c>
      <c r="CV70" s="102">
        <f t="shared" si="881"/>
        <v>-4.3477757238757575E-2</v>
      </c>
      <c r="CW70" s="102">
        <f t="shared" si="881"/>
        <v>-3.8396685755054394E-2</v>
      </c>
      <c r="CX70" s="102">
        <f t="shared" si="881"/>
        <v>-2.4893945818790342E-2</v>
      </c>
      <c r="CY70" s="102">
        <f t="shared" si="881"/>
        <v>-1.2381771243117679E-2</v>
      </c>
      <c r="CZ70" s="102">
        <f t="shared" si="881"/>
        <v>-3.016853947393261E-3</v>
      </c>
      <c r="DA70" s="102">
        <f t="shared" si="881"/>
        <v>4.9085400027299997E-3</v>
      </c>
      <c r="DB70" s="102">
        <f t="shared" si="881"/>
        <v>1.6356430835929858E-2</v>
      </c>
      <c r="DE70" s="135"/>
      <c r="DF70" s="97">
        <v>-0.36568754849479956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53.6</v>
      </c>
      <c r="Y73" s="3">
        <f>'Annual Raw'!Z112</f>
        <v>53.45</v>
      </c>
      <c r="Z73" s="3">
        <f>'Annual Raw'!AA112</f>
        <v>53.44</v>
      </c>
      <c r="AA73" s="3">
        <f>'Annual Raw'!AB112</f>
        <v>53.43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53.6</v>
      </c>
      <c r="BZ73" s="3">
        <f>'QTR Raw'!AT49</f>
        <v>53.6</v>
      </c>
      <c r="CA73" s="3">
        <f>'QTR Raw'!AU49</f>
        <v>53.6</v>
      </c>
      <c r="CB73" s="3">
        <f>'QTR Raw'!AV49</f>
        <v>53.6</v>
      </c>
      <c r="CC73" s="3">
        <f>'QTR Raw'!AW49</f>
        <v>53.45</v>
      </c>
      <c r="CD73" s="3">
        <f>'QTR Raw'!AX49</f>
        <v>53.45</v>
      </c>
      <c r="CE73" s="3">
        <f>'QTR Raw'!AY49</f>
        <v>53.45</v>
      </c>
      <c r="CF73" s="3">
        <f>'QTR Raw'!AZ49</f>
        <v>53.45</v>
      </c>
      <c r="CG73" s="3">
        <f>'QTR Raw'!BA49</f>
        <v>53.44</v>
      </c>
      <c r="CH73" s="3">
        <f>'QTR Raw'!BB49</f>
        <v>53.44</v>
      </c>
      <c r="CI73" s="3">
        <f>'QTR Raw'!BC49</f>
        <v>53.44</v>
      </c>
      <c r="CJ73" s="3">
        <f>'QTR Raw'!BD49</f>
        <v>53.44</v>
      </c>
      <c r="CK73" s="3">
        <f>'QTR Raw'!BE49</f>
        <v>53.43</v>
      </c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53.43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4.55</v>
      </c>
      <c r="Z74" s="3">
        <f>'Annual Raw'!AA113</f>
        <v>6.97</v>
      </c>
      <c r="AA74" s="3">
        <f>'Annual Raw'!AB113</f>
        <v>17.260000000000002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4.55</v>
      </c>
      <c r="CD74" s="3">
        <f>'QTR Raw'!AX50</f>
        <v>4.55</v>
      </c>
      <c r="CE74" s="3">
        <f>'QTR Raw'!AY50</f>
        <v>4.55</v>
      </c>
      <c r="CF74" s="3">
        <f>'QTR Raw'!AZ50</f>
        <v>4.55</v>
      </c>
      <c r="CG74" s="3">
        <f>'QTR Raw'!BA50</f>
        <v>5.31</v>
      </c>
      <c r="CH74" s="3">
        <f>'QTR Raw'!BB50</f>
        <v>6.97</v>
      </c>
      <c r="CI74" s="3">
        <f>'QTR Raw'!BC50</f>
        <v>6.97</v>
      </c>
      <c r="CJ74" s="3">
        <f>'QTR Raw'!BD50</f>
        <v>7.34</v>
      </c>
      <c r="CK74" s="3">
        <f>'QTR Raw'!BE50</f>
        <v>9.25</v>
      </c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17.260000000000002</v>
      </c>
    </row>
    <row r="75" spans="1:110" s="3" customFormat="1" x14ac:dyDescent="0.2">
      <c r="AB75" s="37"/>
      <c r="AC75" s="37"/>
      <c r="AD75" s="37"/>
      <c r="AE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650.70000000000005</v>
      </c>
      <c r="Y77" s="13">
        <f>'Annual Raw'!Z106</f>
        <v>670.15</v>
      </c>
      <c r="Z77" s="13">
        <f>'Annual Raw'!AA106</f>
        <v>515.45000000000005</v>
      </c>
      <c r="AA77" s="13">
        <f>'Annual Raw'!AB106</f>
        <v>586.75</v>
      </c>
      <c r="AB77" s="37">
        <f>+CP77</f>
        <v>586.75</v>
      </c>
      <c r="AC77" s="37">
        <f>+CT77</f>
        <v>586.75</v>
      </c>
      <c r="AD77" s="37">
        <f>+CX77</f>
        <v>586.75</v>
      </c>
      <c r="AE77" s="37">
        <f>+DB77</f>
        <v>586.75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525.54999999999995</v>
      </c>
      <c r="BZ77" s="13">
        <f>'QTR Share Price'!JF21</f>
        <v>650.70000000000005</v>
      </c>
      <c r="CA77" s="13">
        <f>'QTR Share Price'!JG21</f>
        <v>537</v>
      </c>
      <c r="CB77" s="13">
        <f>'QTR Share Price'!JH21</f>
        <v>589.5</v>
      </c>
      <c r="CC77" s="13">
        <f>'QTR Share Price'!JI21</f>
        <v>648.9</v>
      </c>
      <c r="CD77" s="13">
        <f>'QTR Share Price'!JJ21</f>
        <v>670.15</v>
      </c>
      <c r="CE77" s="13">
        <f>'QTR Share Price'!JK21</f>
        <v>668</v>
      </c>
      <c r="CF77" s="13">
        <f>'QTR Share Price'!JL21</f>
        <v>721.55</v>
      </c>
      <c r="CG77" s="13">
        <f>'QTR Share Price'!JM21</f>
        <v>669.1</v>
      </c>
      <c r="CH77" s="13">
        <f>'QTR Share Price'!JN21</f>
        <v>515.45000000000005</v>
      </c>
      <c r="CI77" s="13">
        <f>'QTR Share Price'!JO21</f>
        <v>631.6</v>
      </c>
      <c r="CJ77" s="13">
        <f>'QTR Share Price'!JP21</f>
        <v>691.4</v>
      </c>
      <c r="CK77" s="13">
        <f>'QTR Share Price'!JQ21</f>
        <v>556.25</v>
      </c>
      <c r="CL77" s="13">
        <f>'QTR Share Price'!JR21</f>
        <v>586.75</v>
      </c>
      <c r="CM77" s="37">
        <f t="shared" ref="CM77" si="882">+CL77</f>
        <v>586.75</v>
      </c>
      <c r="CN77" s="37">
        <f t="shared" ref="CN77" si="883">+CM77</f>
        <v>586.75</v>
      </c>
      <c r="CO77" s="37">
        <f t="shared" ref="CO77" si="884">+CN77</f>
        <v>586.75</v>
      </c>
      <c r="CP77" s="37">
        <f t="shared" ref="CP77" si="885">+CO77</f>
        <v>586.75</v>
      </c>
      <c r="CQ77" s="37">
        <f t="shared" ref="CQ77" si="886">+CP77</f>
        <v>586.75</v>
      </c>
      <c r="CR77" s="37">
        <f t="shared" ref="CR77" si="887">+CQ77</f>
        <v>586.75</v>
      </c>
      <c r="CS77" s="37">
        <f t="shared" ref="CS77" si="888">+CR77</f>
        <v>586.75</v>
      </c>
      <c r="CT77" s="37">
        <f t="shared" ref="CT77" si="889">+CS77</f>
        <v>586.75</v>
      </c>
      <c r="CU77" s="37">
        <f t="shared" ref="CU77" si="890">+CT77</f>
        <v>586.75</v>
      </c>
      <c r="CV77" s="37">
        <f t="shared" ref="CV77" si="891">+CU77</f>
        <v>586.75</v>
      </c>
      <c r="CW77" s="37">
        <f t="shared" ref="CW77" si="892">+CV77</f>
        <v>586.75</v>
      </c>
      <c r="CX77" s="37">
        <f t="shared" ref="CX77" si="893">+CW77</f>
        <v>586.75</v>
      </c>
      <c r="CY77" s="37">
        <f t="shared" ref="CY77" si="894">+CX77</f>
        <v>586.75</v>
      </c>
      <c r="CZ77" s="37">
        <f t="shared" ref="CZ77" si="895">+CY77</f>
        <v>586.75</v>
      </c>
      <c r="DA77" s="37">
        <f t="shared" ref="DA77" si="896">+CZ77</f>
        <v>586.75</v>
      </c>
      <c r="DB77" s="37">
        <f t="shared" ref="DB77" si="897">+DA77</f>
        <v>586.75</v>
      </c>
      <c r="DE77" s="134"/>
      <c r="DF77" s="13">
        <v>586.75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731.75</v>
      </c>
      <c r="Y78" s="13">
        <f>'Annual Raw'!Z107</f>
        <v>838.2</v>
      </c>
      <c r="Z78" s="13">
        <f>'Annual Raw'!AA107</f>
        <v>831</v>
      </c>
      <c r="AA78" s="13">
        <f>'Annual Raw'!AB107</f>
        <v>727.8</v>
      </c>
      <c r="AB78" s="37">
        <f>+MAX(CM78:CP78)</f>
        <v>687.42912069015063</v>
      </c>
      <c r="AC78" s="37">
        <f>+MAX(CQ78:CT78)</f>
        <v>653.93901642321714</v>
      </c>
      <c r="AD78" s="37">
        <f>+MAX(CU78:CX78)</f>
        <v>617.48125301715459</v>
      </c>
      <c r="AE78" s="37">
        <f>+MAX(CY78:DB78)</f>
        <v>612.13285068372943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554.45000000000005</v>
      </c>
      <c r="BZ78" s="13">
        <f>'QTR Share Price'!JF19</f>
        <v>731.75</v>
      </c>
      <c r="CA78" s="13">
        <f>'QTR Share Price'!JG19</f>
        <v>654</v>
      </c>
      <c r="CB78" s="13">
        <f>'QTR Share Price'!JH19</f>
        <v>685</v>
      </c>
      <c r="CC78" s="13">
        <f>'QTR Share Price'!JI19</f>
        <v>687.9</v>
      </c>
      <c r="CD78" s="13">
        <f>'QTR Share Price'!JJ19</f>
        <v>838.2</v>
      </c>
      <c r="CE78" s="13">
        <f>'QTR Share Price'!JK19</f>
        <v>716.5</v>
      </c>
      <c r="CF78" s="13">
        <f>'QTR Share Price'!JL19</f>
        <v>831</v>
      </c>
      <c r="CG78" s="13">
        <f>'QTR Share Price'!JM19</f>
        <v>730.45</v>
      </c>
      <c r="CH78" s="13">
        <f>'QTR Share Price'!JN19</f>
        <v>690</v>
      </c>
      <c r="CI78" s="13">
        <f>'QTR Share Price'!JO19</f>
        <v>669</v>
      </c>
      <c r="CJ78" s="13">
        <f>'QTR Share Price'!JP19</f>
        <v>727.8</v>
      </c>
      <c r="CK78" s="13">
        <f>'QTR Share Price'!JQ19</f>
        <v>703.85</v>
      </c>
      <c r="CL78" s="13">
        <f>'QTR Share Price'!JR19</f>
        <v>628</v>
      </c>
      <c r="CM78" s="37">
        <f t="shared" ref="CM78:DB78" si="898">+CM69*CM86</f>
        <v>687.42912069015063</v>
      </c>
      <c r="CN78" s="37">
        <f t="shared" si="898"/>
        <v>684.91893922699398</v>
      </c>
      <c r="CO78" s="37">
        <f t="shared" si="898"/>
        <v>676.61115023672403</v>
      </c>
      <c r="CP78" s="37">
        <f t="shared" si="898"/>
        <v>663.74483155862174</v>
      </c>
      <c r="CQ78" s="37">
        <f t="shared" si="898"/>
        <v>653.93901642321714</v>
      </c>
      <c r="CR78" s="37">
        <f t="shared" si="898"/>
        <v>634.62263682103878</v>
      </c>
      <c r="CS78" s="37">
        <f t="shared" si="898"/>
        <v>620.37387643942589</v>
      </c>
      <c r="CT78" s="37">
        <f t="shared" si="898"/>
        <v>617.65760717676869</v>
      </c>
      <c r="CU78" s="37">
        <f t="shared" si="898"/>
        <v>617.48125301715459</v>
      </c>
      <c r="CV78" s="37">
        <f t="shared" si="898"/>
        <v>607.03066787911337</v>
      </c>
      <c r="CW78" s="37">
        <f t="shared" si="898"/>
        <v>596.55357565513634</v>
      </c>
      <c r="CX78" s="37">
        <f t="shared" si="898"/>
        <v>602.28167216914653</v>
      </c>
      <c r="CY78" s="37">
        <f t="shared" si="898"/>
        <v>609.83574139538246</v>
      </c>
      <c r="CZ78" s="37">
        <f t="shared" si="898"/>
        <v>605.19934501253363</v>
      </c>
      <c r="DA78" s="37">
        <f t="shared" si="898"/>
        <v>599.48178274501117</v>
      </c>
      <c r="DB78" s="37">
        <f t="shared" si="898"/>
        <v>612.13285068372943</v>
      </c>
      <c r="DE78" s="134"/>
      <c r="DF78" s="13">
        <v>727.8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440.05</v>
      </c>
      <c r="Y79" s="13">
        <f>'Annual Raw'!Z108</f>
        <v>495</v>
      </c>
      <c r="Z79" s="13">
        <f>'Annual Raw'!AA108</f>
        <v>409</v>
      </c>
      <c r="AA79" s="13">
        <f>'Annual Raw'!AB108</f>
        <v>479.75</v>
      </c>
      <c r="AB79" s="37">
        <f>+MIN(CM79:CP79)</f>
        <v>531.10155709905644</v>
      </c>
      <c r="AC79" s="37">
        <f>+MIN(CQ79:CT79)</f>
        <v>494.22443886357689</v>
      </c>
      <c r="AD79" s="37">
        <f>+MIN(CU79:CX79)</f>
        <v>477.33785313169744</v>
      </c>
      <c r="AE79" s="37">
        <f>+MIN(CY79:DB79)</f>
        <v>479.6808850786116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516.54999999999995</v>
      </c>
      <c r="CA79" s="13">
        <f>+'QTR Share Price'!JG20</f>
        <v>518.9</v>
      </c>
      <c r="CB79" s="13">
        <f>+'QTR Share Price'!JH20</f>
        <v>495</v>
      </c>
      <c r="CC79" s="13">
        <f>+'QTR Share Price'!JI20</f>
        <v>510.3</v>
      </c>
      <c r="CD79" s="13">
        <f>+'QTR Share Price'!JJ20</f>
        <v>571.5</v>
      </c>
      <c r="CE79" s="13">
        <f>+'QTR Share Price'!JK20</f>
        <v>582.9</v>
      </c>
      <c r="CF79" s="13">
        <f>+'QTR Share Price'!JL20</f>
        <v>665.25</v>
      </c>
      <c r="CG79" s="13">
        <f>+'QTR Share Price'!JM20</f>
        <v>591</v>
      </c>
      <c r="CH79" s="13">
        <f>+'QTR Share Price'!JN20</f>
        <v>409</v>
      </c>
      <c r="CI79" s="13">
        <f>+'QTR Share Price'!JO20</f>
        <v>479.75</v>
      </c>
      <c r="CJ79" s="13">
        <f>+'QTR Share Price'!JP20</f>
        <v>608.70000000000005</v>
      </c>
      <c r="CK79" s="13">
        <f>+'QTR Share Price'!JQ20</f>
        <v>483.1</v>
      </c>
      <c r="CL79" s="13">
        <f>+'QTR Share Price'!JR20</f>
        <v>502.5</v>
      </c>
      <c r="CM79" s="37">
        <f t="shared" ref="CM79:DB79" si="899">+CM87*CM69</f>
        <v>550.05275978789916</v>
      </c>
      <c r="CN79" s="37">
        <f t="shared" si="899"/>
        <v>548.04421490694983</v>
      </c>
      <c r="CO79" s="37">
        <f t="shared" si="899"/>
        <v>541.39666081839778</v>
      </c>
      <c r="CP79" s="37">
        <f t="shared" si="899"/>
        <v>531.10155709905644</v>
      </c>
      <c r="CQ79" s="37">
        <f t="shared" si="899"/>
        <v>523.25534355520165</v>
      </c>
      <c r="CR79" s="37">
        <f t="shared" si="899"/>
        <v>507.79916401683431</v>
      </c>
      <c r="CS79" s="37">
        <f t="shared" si="899"/>
        <v>496.39788680065527</v>
      </c>
      <c r="CT79" s="37">
        <f t="shared" si="899"/>
        <v>494.22443886357689</v>
      </c>
      <c r="CU79" s="37">
        <f t="shared" si="899"/>
        <v>494.08332745401304</v>
      </c>
      <c r="CV79" s="37">
        <f t="shared" si="899"/>
        <v>485.72119523766639</v>
      </c>
      <c r="CW79" s="37">
        <f t="shared" si="899"/>
        <v>477.33785313169744</v>
      </c>
      <c r="CX79" s="37">
        <f t="shared" si="899"/>
        <v>481.92124246018494</v>
      </c>
      <c r="CY79" s="37">
        <f t="shared" si="899"/>
        <v>487.965700718439</v>
      </c>
      <c r="CZ79" s="37">
        <f t="shared" si="899"/>
        <v>484.2558453324811</v>
      </c>
      <c r="DA79" s="37">
        <f t="shared" si="899"/>
        <v>479.6808850786116</v>
      </c>
      <c r="DB79" s="37">
        <f t="shared" si="899"/>
        <v>489.80375393085041</v>
      </c>
      <c r="DE79" s="134"/>
      <c r="DF79" s="13">
        <v>479.75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900">+AB78/AB77-1</f>
        <v>0.17158776427805811</v>
      </c>
      <c r="AC81" s="48">
        <f t="shared" si="900"/>
        <v>0.11451046684826105</v>
      </c>
      <c r="AD81" s="48">
        <f t="shared" si="900"/>
        <v>5.2375377958508107E-2</v>
      </c>
      <c r="AE81" s="48">
        <f t="shared" ref="AE81" si="901">+AE78/AE77-1</f>
        <v>4.3260077858933821E-2</v>
      </c>
      <c r="CM81" s="48">
        <f t="shared" ref="CM81:DB81" si="902">+CM78/CM77-1</f>
        <v>0.17158776427805811</v>
      </c>
      <c r="CN81" s="48">
        <f t="shared" si="902"/>
        <v>0.16730965356113159</v>
      </c>
      <c r="CO81" s="48">
        <f t="shared" si="902"/>
        <v>0.15315066082100381</v>
      </c>
      <c r="CP81" s="48">
        <f t="shared" si="902"/>
        <v>0.13122255058989651</v>
      </c>
      <c r="CQ81" s="48">
        <f t="shared" si="902"/>
        <v>0.11451046684826105</v>
      </c>
      <c r="CR81" s="48">
        <f t="shared" si="902"/>
        <v>8.1589496073351198E-2</v>
      </c>
      <c r="CS81" s="48">
        <f t="shared" si="902"/>
        <v>5.7305285793652905E-2</v>
      </c>
      <c r="CT81" s="48">
        <f t="shared" si="902"/>
        <v>5.2675938946346257E-2</v>
      </c>
      <c r="CU81" s="48">
        <f t="shared" si="902"/>
        <v>5.2375377958508107E-2</v>
      </c>
      <c r="CV81" s="48">
        <f t="shared" si="902"/>
        <v>3.4564410531083611E-2</v>
      </c>
      <c r="CW81" s="48">
        <f t="shared" si="902"/>
        <v>1.6708266987876197E-2</v>
      </c>
      <c r="CX81" s="48">
        <f t="shared" si="902"/>
        <v>2.6470681157471754E-2</v>
      </c>
      <c r="CY81" s="48">
        <f t="shared" si="902"/>
        <v>3.9345106766736082E-2</v>
      </c>
      <c r="CZ81" s="48">
        <f t="shared" si="902"/>
        <v>3.1443280805340645E-2</v>
      </c>
      <c r="DA81" s="48">
        <f t="shared" si="902"/>
        <v>2.1698820187492363E-2</v>
      </c>
      <c r="DB81" s="48">
        <f t="shared" si="902"/>
        <v>4.3260077858933821E-2</v>
      </c>
      <c r="DE81" s="129"/>
    </row>
    <row r="82" spans="1:110" s="51" customFormat="1" x14ac:dyDescent="0.2">
      <c r="A82" s="51" t="s">
        <v>347</v>
      </c>
      <c r="AB82" s="48">
        <f t="shared" ref="AB82:AD82" si="903">+AB79/AB77-1</f>
        <v>-9.48418285486895E-2</v>
      </c>
      <c r="AC82" s="48">
        <f t="shared" si="903"/>
        <v>-0.15769162528576586</v>
      </c>
      <c r="AD82" s="48">
        <f t="shared" si="903"/>
        <v>-0.18647149018884113</v>
      </c>
      <c r="AE82" s="48">
        <f t="shared" ref="AE82" si="904">+AE79/AE77-1</f>
        <v>-0.18247825295507181</v>
      </c>
      <c r="CM82" s="48">
        <f t="shared" ref="CM82:DB82" si="905">+CM79/CM77-1</f>
        <v>-6.254323001636275E-2</v>
      </c>
      <c r="CN82" s="48">
        <f t="shared" si="905"/>
        <v>-6.5966399817725008E-2</v>
      </c>
      <c r="CO82" s="48">
        <f t="shared" si="905"/>
        <v>-7.7295848626505737E-2</v>
      </c>
      <c r="CP82" s="48">
        <f t="shared" si="905"/>
        <v>-9.48418285486895E-2</v>
      </c>
      <c r="CQ82" s="48">
        <f t="shared" si="905"/>
        <v>-0.10821415670182932</v>
      </c>
      <c r="CR82" s="48">
        <f t="shared" si="905"/>
        <v>-0.1345561755145559</v>
      </c>
      <c r="CS82" s="48">
        <f t="shared" si="905"/>
        <v>-0.15398741065077926</v>
      </c>
      <c r="CT82" s="48">
        <f t="shared" si="905"/>
        <v>-0.15769162528576586</v>
      </c>
      <c r="CU82" s="48">
        <f t="shared" si="905"/>
        <v>-0.15793212193606643</v>
      </c>
      <c r="CV82" s="48">
        <f t="shared" si="905"/>
        <v>-0.17218373201931592</v>
      </c>
      <c r="CW82" s="48">
        <f t="shared" si="905"/>
        <v>-0.18647149018884113</v>
      </c>
      <c r="CX82" s="48">
        <f t="shared" si="905"/>
        <v>-0.1786600043286154</v>
      </c>
      <c r="CY82" s="48">
        <f t="shared" si="905"/>
        <v>-0.16835841377343164</v>
      </c>
      <c r="CZ82" s="48">
        <f t="shared" si="905"/>
        <v>-0.17468113279508968</v>
      </c>
      <c r="DA82" s="48">
        <f t="shared" si="905"/>
        <v>-0.18247825295507181</v>
      </c>
      <c r="DB82" s="48">
        <f t="shared" si="905"/>
        <v>-0.16522581349663334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906">+B77/B69</f>
        <v>#DIV/0!</v>
      </c>
      <c r="C85" s="13" t="e">
        <f t="shared" si="906"/>
        <v>#DIV/0!</v>
      </c>
      <c r="D85" s="13" t="e">
        <f t="shared" si="906"/>
        <v>#DIV/0!</v>
      </c>
      <c r="E85" s="13" t="e">
        <f t="shared" ref="E85:AE85" ca="1" si="907">+E77/E69</f>
        <v>#DIV/0!</v>
      </c>
      <c r="F85" s="13" t="e">
        <f t="shared" ca="1" si="907"/>
        <v>#DIV/0!</v>
      </c>
      <c r="G85" s="13" t="e">
        <f t="shared" ca="1" si="907"/>
        <v>#DIV/0!</v>
      </c>
      <c r="H85" s="13" t="e">
        <f t="shared" ca="1" si="907"/>
        <v>#DIV/0!</v>
      </c>
      <c r="I85" s="13" t="e">
        <f t="shared" ca="1" si="907"/>
        <v>#DIV/0!</v>
      </c>
      <c r="J85" s="13" t="e">
        <f t="shared" ca="1" si="907"/>
        <v>#DIV/0!</v>
      </c>
      <c r="K85" s="13" t="e">
        <f t="shared" ca="1" si="907"/>
        <v>#DIV/0!</v>
      </c>
      <c r="L85" s="13" t="e">
        <f t="shared" ca="1" si="907"/>
        <v>#DIV/0!</v>
      </c>
      <c r="M85" s="13" t="e">
        <f t="shared" ca="1" si="907"/>
        <v>#DIV/0!</v>
      </c>
      <c r="N85" s="13" t="e">
        <f t="shared" ca="1" si="907"/>
        <v>#DIV/0!</v>
      </c>
      <c r="O85" s="13" t="e">
        <f t="shared" ca="1" si="907"/>
        <v>#DIV/0!</v>
      </c>
      <c r="P85" s="13">
        <f t="shared" ca="1" si="907"/>
        <v>0</v>
      </c>
      <c r="Q85" s="13">
        <f t="shared" ca="1" si="907"/>
        <v>0</v>
      </c>
      <c r="R85" s="13">
        <f t="shared" ca="1" si="907"/>
        <v>0</v>
      </c>
      <c r="S85" s="13">
        <f t="shared" ca="1" si="907"/>
        <v>0</v>
      </c>
      <c r="T85" s="13">
        <f t="shared" ca="1" si="907"/>
        <v>0</v>
      </c>
      <c r="U85" s="13">
        <f t="shared" ca="1" si="907"/>
        <v>0</v>
      </c>
      <c r="V85" s="13">
        <f t="shared" ca="1" si="907"/>
        <v>0</v>
      </c>
      <c r="W85" s="13">
        <f t="shared" ca="1" si="907"/>
        <v>0</v>
      </c>
      <c r="X85" s="13">
        <f t="shared" ca="1" si="907"/>
        <v>20.999474591122102</v>
      </c>
      <c r="Y85" s="13">
        <f t="shared" ca="1" si="907"/>
        <v>25.938105038756646</v>
      </c>
      <c r="Z85" s="13">
        <f t="shared" ref="Z85:AA85" ca="1" si="908">+Z77/Z69</f>
        <v>31.452091469737255</v>
      </c>
      <c r="AA85" s="13">
        <f t="shared" ca="1" si="908"/>
        <v>31.452091469737255</v>
      </c>
      <c r="AB85" s="37">
        <f t="shared" ca="1" si="907"/>
        <v>46.029023683913451</v>
      </c>
      <c r="AC85" s="37">
        <f t="shared" ca="1" si="907"/>
        <v>49.463531602134637</v>
      </c>
      <c r="AD85" s="37">
        <f t="shared" ca="1" si="907"/>
        <v>50.726309605029272</v>
      </c>
      <c r="AE85" s="37">
        <f t="shared" ca="1" si="907"/>
        <v>49.90996078345092</v>
      </c>
      <c r="AL85" s="13" t="e">
        <f t="shared" ref="AL85:BQ85" si="909">+AL77/AL69</f>
        <v>#DIV/0!</v>
      </c>
      <c r="AM85" s="13" t="e">
        <f t="shared" si="909"/>
        <v>#DIV/0!</v>
      </c>
      <c r="AN85" s="13" t="e">
        <f t="shared" si="909"/>
        <v>#DIV/0!</v>
      </c>
      <c r="AO85" s="13" t="e">
        <f t="shared" si="909"/>
        <v>#DIV/0!</v>
      </c>
      <c r="AP85" s="13" t="e">
        <f t="shared" si="909"/>
        <v>#DIV/0!</v>
      </c>
      <c r="AQ85" s="13" t="e">
        <f t="shared" si="909"/>
        <v>#DIV/0!</v>
      </c>
      <c r="AR85" s="13" t="e">
        <f t="shared" si="909"/>
        <v>#DIV/0!</v>
      </c>
      <c r="AS85" s="13" t="e">
        <f t="shared" si="909"/>
        <v>#DIV/0!</v>
      </c>
      <c r="AT85" s="13" t="e">
        <f t="shared" si="909"/>
        <v>#DIV/0!</v>
      </c>
      <c r="AU85" s="13" t="e">
        <f t="shared" si="909"/>
        <v>#DIV/0!</v>
      </c>
      <c r="AV85" s="13" t="e">
        <f t="shared" si="909"/>
        <v>#DIV/0!</v>
      </c>
      <c r="AW85" s="13" t="e">
        <f t="shared" si="909"/>
        <v>#DIV/0!</v>
      </c>
      <c r="AX85" s="13" t="e">
        <f t="shared" si="909"/>
        <v>#DIV/0!</v>
      </c>
      <c r="AY85" s="13" t="e">
        <f t="shared" si="909"/>
        <v>#DIV/0!</v>
      </c>
      <c r="AZ85" s="13" t="e">
        <f t="shared" si="909"/>
        <v>#DIV/0!</v>
      </c>
      <c r="BA85" s="13" t="e">
        <f t="shared" si="909"/>
        <v>#DIV/0!</v>
      </c>
      <c r="BB85" s="13" t="e">
        <f t="shared" si="909"/>
        <v>#DIV/0!</v>
      </c>
      <c r="BC85" s="13" t="e">
        <f t="shared" si="909"/>
        <v>#DIV/0!</v>
      </c>
      <c r="BD85" s="13" t="e">
        <f t="shared" si="909"/>
        <v>#DIV/0!</v>
      </c>
      <c r="BE85" s="13" t="e">
        <f t="shared" si="909"/>
        <v>#DIV/0!</v>
      </c>
      <c r="BF85" s="13" t="e">
        <f t="shared" si="909"/>
        <v>#DIV/0!</v>
      </c>
      <c r="BG85" s="13" t="e">
        <f t="shared" si="909"/>
        <v>#DIV/0!</v>
      </c>
      <c r="BH85" s="13" t="e">
        <f t="shared" si="909"/>
        <v>#DIV/0!</v>
      </c>
      <c r="BI85" s="13" t="e">
        <f t="shared" si="909"/>
        <v>#DIV/0!</v>
      </c>
      <c r="BJ85" s="13" t="e">
        <f t="shared" si="909"/>
        <v>#DIV/0!</v>
      </c>
      <c r="BK85" s="13" t="e">
        <f t="shared" si="909"/>
        <v>#DIV/0!</v>
      </c>
      <c r="BL85" s="13" t="e">
        <f t="shared" si="909"/>
        <v>#DIV/0!</v>
      </c>
      <c r="BM85" s="13" t="e">
        <f t="shared" si="909"/>
        <v>#DIV/0!</v>
      </c>
      <c r="BN85" s="13" t="e">
        <f t="shared" si="909"/>
        <v>#DIV/0!</v>
      </c>
      <c r="BO85" s="13" t="e">
        <f t="shared" si="909"/>
        <v>#DIV/0!</v>
      </c>
      <c r="BP85" s="13" t="e">
        <f t="shared" si="909"/>
        <v>#DIV/0!</v>
      </c>
      <c r="BQ85" s="13" t="e">
        <f t="shared" si="909"/>
        <v>#DIV/0!</v>
      </c>
      <c r="BR85" s="13" t="e">
        <f t="shared" ref="BR85:DB85" si="910">+BR77/BR69</f>
        <v>#DIV/0!</v>
      </c>
      <c r="BS85" s="13" t="e">
        <f t="shared" si="910"/>
        <v>#DIV/0!</v>
      </c>
      <c r="BT85" s="13">
        <f t="shared" si="910"/>
        <v>0</v>
      </c>
      <c r="BU85" s="13">
        <f t="shared" si="910"/>
        <v>0</v>
      </c>
      <c r="BV85" s="13">
        <f t="shared" si="910"/>
        <v>0</v>
      </c>
      <c r="BW85" s="13">
        <f t="shared" si="910"/>
        <v>0</v>
      </c>
      <c r="BX85" s="13">
        <f t="shared" si="910"/>
        <v>0</v>
      </c>
      <c r="BY85" s="13">
        <f t="shared" si="910"/>
        <v>19.800264487279279</v>
      </c>
      <c r="BZ85" s="13">
        <f t="shared" si="910"/>
        <v>20.994327948557093</v>
      </c>
      <c r="CA85" s="13">
        <f t="shared" si="910"/>
        <v>16.907874128228805</v>
      </c>
      <c r="CB85" s="13">
        <f t="shared" si="910"/>
        <v>18.447422730073093</v>
      </c>
      <c r="CC85" s="13">
        <f t="shared" si="910"/>
        <v>20.129311930755772</v>
      </c>
      <c r="CD85" s="13">
        <f t="shared" si="910"/>
        <v>25.93168029870305</v>
      </c>
      <c r="CE85" s="13">
        <f t="shared" si="910"/>
        <v>30.539871619644497</v>
      </c>
      <c r="CF85" s="13">
        <f t="shared" si="910"/>
        <v>34.261841680067086</v>
      </c>
      <c r="CG85" s="13">
        <f t="shared" si="910"/>
        <v>40.015801943930299</v>
      </c>
      <c r="CH85" s="13">
        <f t="shared" si="910"/>
        <v>31.44451097459114</v>
      </c>
      <c r="CI85" s="13">
        <f t="shared" ref="CI85:CJ85" si="911">+CI77/CI69</f>
        <v>39.43965193635696</v>
      </c>
      <c r="CJ85" s="13">
        <f t="shared" si="911"/>
        <v>49.9663348829584</v>
      </c>
      <c r="CK85" s="13">
        <f t="shared" ref="CK85:CL85" si="912">+CK77/CK69</f>
        <v>46.879804409234261</v>
      </c>
      <c r="CL85" s="13">
        <f t="shared" si="912"/>
        <v>48.648927662240368</v>
      </c>
      <c r="CM85" s="37">
        <f t="shared" si="910"/>
        <v>44.443166069564342</v>
      </c>
      <c r="CN85" s="37">
        <f t="shared" si="910"/>
        <v>44.606047259209525</v>
      </c>
      <c r="CO85" s="37">
        <f t="shared" si="910"/>
        <v>45.153743861888728</v>
      </c>
      <c r="CP85" s="37">
        <f t="shared" si="910"/>
        <v>46.029023683913458</v>
      </c>
      <c r="CQ85" s="37">
        <f t="shared" si="910"/>
        <v>46.719228864782359</v>
      </c>
      <c r="CR85" s="37">
        <f t="shared" si="910"/>
        <v>48.14124930198853</v>
      </c>
      <c r="CS85" s="37">
        <f t="shared" si="910"/>
        <v>49.246958539315671</v>
      </c>
      <c r="CT85" s="37">
        <f t="shared" si="910"/>
        <v>49.463531602134616</v>
      </c>
      <c r="CU85" s="37">
        <f t="shared" si="910"/>
        <v>49.477658508019807</v>
      </c>
      <c r="CV85" s="37">
        <f t="shared" si="910"/>
        <v>50.329461406999471</v>
      </c>
      <c r="CW85" s="37">
        <f t="shared" si="910"/>
        <v>51.213382701352856</v>
      </c>
      <c r="CX85" s="37">
        <f t="shared" si="910"/>
        <v>50.7263096050294</v>
      </c>
      <c r="CY85" s="37">
        <f t="shared" si="910"/>
        <v>50.097959988342325</v>
      </c>
      <c r="CZ85" s="37">
        <f t="shared" si="910"/>
        <v>50.481757496373753</v>
      </c>
      <c r="DA85" s="37">
        <f t="shared" si="910"/>
        <v>50.963227659716907</v>
      </c>
      <c r="DB85" s="37">
        <f t="shared" si="910"/>
        <v>49.909960783450913</v>
      </c>
      <c r="DE85" s="134"/>
      <c r="DF85" s="13">
        <v>31.452091469737255</v>
      </c>
    </row>
    <row r="86" spans="1:110" s="13" customFormat="1" x14ac:dyDescent="0.2">
      <c r="A86" s="13" t="s">
        <v>461</v>
      </c>
      <c r="B86" s="13" t="e">
        <f t="shared" ref="B86:D86" si="913">+B78/B69</f>
        <v>#DIV/0!</v>
      </c>
      <c r="C86" s="13" t="e">
        <f t="shared" si="913"/>
        <v>#DIV/0!</v>
      </c>
      <c r="D86" s="13" t="e">
        <f t="shared" si="913"/>
        <v>#DIV/0!</v>
      </c>
      <c r="E86" s="13" t="e">
        <f t="shared" ref="E86:AE86" ca="1" si="914">+E78/E69</f>
        <v>#DIV/0!</v>
      </c>
      <c r="F86" s="13" t="e">
        <f t="shared" ca="1" si="914"/>
        <v>#DIV/0!</v>
      </c>
      <c r="G86" s="13" t="e">
        <f t="shared" ca="1" si="914"/>
        <v>#DIV/0!</v>
      </c>
      <c r="H86" s="13" t="e">
        <f t="shared" ca="1" si="914"/>
        <v>#DIV/0!</v>
      </c>
      <c r="I86" s="13" t="e">
        <f t="shared" ca="1" si="914"/>
        <v>#DIV/0!</v>
      </c>
      <c r="J86" s="13" t="e">
        <f t="shared" ca="1" si="914"/>
        <v>#DIV/0!</v>
      </c>
      <c r="K86" s="13" t="e">
        <f t="shared" ca="1" si="914"/>
        <v>#DIV/0!</v>
      </c>
      <c r="L86" s="13" t="e">
        <f t="shared" ca="1" si="914"/>
        <v>#DIV/0!</v>
      </c>
      <c r="M86" s="13" t="e">
        <f t="shared" ca="1" si="914"/>
        <v>#DIV/0!</v>
      </c>
      <c r="N86" s="13" t="e">
        <f t="shared" ca="1" si="914"/>
        <v>#DIV/0!</v>
      </c>
      <c r="O86" s="13" t="e">
        <f t="shared" ca="1" si="914"/>
        <v>#DIV/0!</v>
      </c>
      <c r="P86" s="13">
        <f t="shared" ca="1" si="914"/>
        <v>0</v>
      </c>
      <c r="Q86" s="13">
        <f t="shared" ca="1" si="914"/>
        <v>0</v>
      </c>
      <c r="R86" s="13">
        <f t="shared" ca="1" si="914"/>
        <v>0</v>
      </c>
      <c r="S86" s="13">
        <f t="shared" ca="1" si="914"/>
        <v>0</v>
      </c>
      <c r="T86" s="13">
        <f t="shared" ca="1" si="914"/>
        <v>0</v>
      </c>
      <c r="U86" s="13">
        <f t="shared" ca="1" si="914"/>
        <v>0</v>
      </c>
      <c r="V86" s="13">
        <f t="shared" ca="1" si="914"/>
        <v>0</v>
      </c>
      <c r="W86" s="13">
        <f t="shared" ca="1" si="914"/>
        <v>0</v>
      </c>
      <c r="X86" s="13">
        <f t="shared" ca="1" si="914"/>
        <v>23.615130677814044</v>
      </c>
      <c r="Y86" s="13">
        <f t="shared" ca="1" si="914"/>
        <v>32.442467572164176</v>
      </c>
      <c r="Z86" s="13">
        <f t="shared" ref="Z86:AA86" ca="1" si="915">+Z78/Z69</f>
        <v>50.70654381870532</v>
      </c>
      <c r="AA86" s="13">
        <f t="shared" ca="1" si="915"/>
        <v>50.70654381870532</v>
      </c>
      <c r="AB86" s="60">
        <f t="shared" ca="1" si="914"/>
        <v>53.92704094973795</v>
      </c>
      <c r="AC86" s="60">
        <f t="shared" ca="1" si="914"/>
        <v>55.127623697858802</v>
      </c>
      <c r="AD86" s="60">
        <f t="shared" ca="1" si="914"/>
        <v>53.383119243032965</v>
      </c>
      <c r="AE86" s="60">
        <f t="shared" ca="1" si="914"/>
        <v>52.069069572879336</v>
      </c>
      <c r="AL86" s="13" t="e">
        <f t="shared" ref="AL86:BQ86" si="916">+AL78/AL69</f>
        <v>#DIV/0!</v>
      </c>
      <c r="AM86" s="13" t="e">
        <f t="shared" si="916"/>
        <v>#DIV/0!</v>
      </c>
      <c r="AN86" s="13" t="e">
        <f t="shared" si="916"/>
        <v>#DIV/0!</v>
      </c>
      <c r="AO86" s="13" t="e">
        <f t="shared" si="916"/>
        <v>#DIV/0!</v>
      </c>
      <c r="AP86" s="13" t="e">
        <f t="shared" si="916"/>
        <v>#DIV/0!</v>
      </c>
      <c r="AQ86" s="13" t="e">
        <f t="shared" si="916"/>
        <v>#DIV/0!</v>
      </c>
      <c r="AR86" s="13" t="e">
        <f t="shared" si="916"/>
        <v>#DIV/0!</v>
      </c>
      <c r="AS86" s="13" t="e">
        <f t="shared" si="916"/>
        <v>#DIV/0!</v>
      </c>
      <c r="AT86" s="13" t="e">
        <f t="shared" si="916"/>
        <v>#DIV/0!</v>
      </c>
      <c r="AU86" s="13" t="e">
        <f t="shared" si="916"/>
        <v>#DIV/0!</v>
      </c>
      <c r="AV86" s="13" t="e">
        <f t="shared" si="916"/>
        <v>#DIV/0!</v>
      </c>
      <c r="AW86" s="13" t="e">
        <f t="shared" si="916"/>
        <v>#DIV/0!</v>
      </c>
      <c r="AX86" s="13" t="e">
        <f t="shared" si="916"/>
        <v>#DIV/0!</v>
      </c>
      <c r="AY86" s="13" t="e">
        <f t="shared" si="916"/>
        <v>#DIV/0!</v>
      </c>
      <c r="AZ86" s="13" t="e">
        <f t="shared" si="916"/>
        <v>#DIV/0!</v>
      </c>
      <c r="BA86" s="13" t="e">
        <f t="shared" si="916"/>
        <v>#DIV/0!</v>
      </c>
      <c r="BB86" s="13" t="e">
        <f t="shared" si="916"/>
        <v>#DIV/0!</v>
      </c>
      <c r="BC86" s="13" t="e">
        <f t="shared" si="916"/>
        <v>#DIV/0!</v>
      </c>
      <c r="BD86" s="13" t="e">
        <f t="shared" si="916"/>
        <v>#DIV/0!</v>
      </c>
      <c r="BE86" s="13" t="e">
        <f t="shared" si="916"/>
        <v>#DIV/0!</v>
      </c>
      <c r="BF86" s="13" t="e">
        <f t="shared" si="916"/>
        <v>#DIV/0!</v>
      </c>
      <c r="BG86" s="13" t="e">
        <f t="shared" si="916"/>
        <v>#DIV/0!</v>
      </c>
      <c r="BH86" s="13" t="e">
        <f t="shared" si="916"/>
        <v>#DIV/0!</v>
      </c>
      <c r="BI86" s="13" t="e">
        <f t="shared" si="916"/>
        <v>#DIV/0!</v>
      </c>
      <c r="BJ86" s="13" t="e">
        <f t="shared" si="916"/>
        <v>#DIV/0!</v>
      </c>
      <c r="BK86" s="13" t="e">
        <f t="shared" si="916"/>
        <v>#DIV/0!</v>
      </c>
      <c r="BL86" s="13" t="e">
        <f t="shared" si="916"/>
        <v>#DIV/0!</v>
      </c>
      <c r="BM86" s="13" t="e">
        <f t="shared" si="916"/>
        <v>#DIV/0!</v>
      </c>
      <c r="BN86" s="13" t="e">
        <f t="shared" si="916"/>
        <v>#DIV/0!</v>
      </c>
      <c r="BO86" s="13" t="e">
        <f t="shared" si="916"/>
        <v>#DIV/0!</v>
      </c>
      <c r="BP86" s="13" t="e">
        <f t="shared" si="916"/>
        <v>#DIV/0!</v>
      </c>
      <c r="BQ86" s="13" t="e">
        <f t="shared" si="916"/>
        <v>#DIV/0!</v>
      </c>
      <c r="BR86" s="13" t="e">
        <f t="shared" ref="BR86:CH86" si="917">+BR78/BR69</f>
        <v>#DIV/0!</v>
      </c>
      <c r="BS86" s="13" t="e">
        <f t="shared" si="917"/>
        <v>#DIV/0!</v>
      </c>
      <c r="BT86" s="13">
        <f t="shared" si="917"/>
        <v>0</v>
      </c>
      <c r="BU86" s="13">
        <f t="shared" si="917"/>
        <v>0</v>
      </c>
      <c r="BV86" s="13">
        <f t="shared" si="917"/>
        <v>0</v>
      </c>
      <c r="BW86" s="13">
        <f t="shared" si="917"/>
        <v>0</v>
      </c>
      <c r="BX86" s="13">
        <f t="shared" si="917"/>
        <v>0</v>
      </c>
      <c r="BY86" s="13">
        <f t="shared" si="917"/>
        <v>20.88908123864903</v>
      </c>
      <c r="BZ86" s="13">
        <f t="shared" si="917"/>
        <v>23.60934297887913</v>
      </c>
      <c r="CA86" s="13">
        <f t="shared" si="917"/>
        <v>20.591712625440667</v>
      </c>
      <c r="CB86" s="13">
        <f t="shared" si="917"/>
        <v>21.435936505682896</v>
      </c>
      <c r="CC86" s="13">
        <f t="shared" si="917"/>
        <v>21.33911801073647</v>
      </c>
      <c r="CD86" s="13">
        <f t="shared" si="917"/>
        <v>32.4344317337505</v>
      </c>
      <c r="CE86" s="13">
        <f t="shared" si="917"/>
        <v>32.757212598016892</v>
      </c>
      <c r="CF86" s="13">
        <f t="shared" si="917"/>
        <v>39.458929299612983</v>
      </c>
      <c r="CG86" s="13">
        <f t="shared" si="917"/>
        <v>43.684864041165575</v>
      </c>
      <c r="CH86" s="13">
        <f t="shared" si="917"/>
        <v>42.092758895077864</v>
      </c>
      <c r="CI86" s="13">
        <f t="shared" ref="CI86:CJ86" si="918">+CI78/CI69</f>
        <v>41.775058811625719</v>
      </c>
      <c r="CJ86" s="13">
        <f t="shared" si="918"/>
        <v>52.596902701500028</v>
      </c>
      <c r="CK86" s="13">
        <f t="shared" ref="CK86:CL86" si="919">+CK78/CK69</f>
        <v>59.319281498318261</v>
      </c>
      <c r="CL86" s="13">
        <f t="shared" si="919"/>
        <v>52.069069572879336</v>
      </c>
      <c r="CM86" s="60">
        <f t="shared" ref="CM86:CM87" si="920">+CL86</f>
        <v>52.069069572879336</v>
      </c>
      <c r="CN86" s="60">
        <f t="shared" ref="CN86:CN87" si="921">+CM86</f>
        <v>52.069069572879336</v>
      </c>
      <c r="CO86" s="60">
        <f t="shared" ref="CO86:CO87" si="922">+CN86</f>
        <v>52.069069572879336</v>
      </c>
      <c r="CP86" s="60">
        <f t="shared" ref="CP86:CP87" si="923">+CO86</f>
        <v>52.069069572879336</v>
      </c>
      <c r="CQ86" s="60">
        <f t="shared" ref="CQ86:CQ87" si="924">+CP86</f>
        <v>52.069069572879336</v>
      </c>
      <c r="CR86" s="60">
        <f t="shared" ref="CR86:CR87" si="925">+CQ86</f>
        <v>52.069069572879336</v>
      </c>
      <c r="CS86" s="60">
        <f t="shared" ref="CS86:CS87" si="926">+CR86</f>
        <v>52.069069572879336</v>
      </c>
      <c r="CT86" s="60">
        <f t="shared" ref="CT86:CT87" si="927">+CS86</f>
        <v>52.069069572879336</v>
      </c>
      <c r="CU86" s="60">
        <f t="shared" ref="CU86:CU87" si="928">+CT86</f>
        <v>52.069069572879336</v>
      </c>
      <c r="CV86" s="60">
        <f t="shared" ref="CV86:CV87" si="929">+CU86</f>
        <v>52.069069572879336</v>
      </c>
      <c r="CW86" s="60">
        <f t="shared" ref="CW86:CW87" si="930">+CV86</f>
        <v>52.069069572879336</v>
      </c>
      <c r="CX86" s="60">
        <f t="shared" ref="CX86:CX87" si="931">+CW86</f>
        <v>52.069069572879336</v>
      </c>
      <c r="CY86" s="60">
        <f t="shared" ref="CY86:CY87" si="932">+CX86</f>
        <v>52.069069572879336</v>
      </c>
      <c r="CZ86" s="60">
        <f t="shared" ref="CZ86:CZ87" si="933">+CY86</f>
        <v>52.069069572879336</v>
      </c>
      <c r="DA86" s="60">
        <f t="shared" ref="DA86:DA87" si="934">+CZ86</f>
        <v>52.069069572879336</v>
      </c>
      <c r="DB86" s="60">
        <f t="shared" ref="DB86:DB87" si="935">+DA86</f>
        <v>52.069069572879336</v>
      </c>
      <c r="DE86" s="136"/>
      <c r="DF86" s="13">
        <v>50.70654381870532</v>
      </c>
    </row>
    <row r="87" spans="1:110" s="13" customFormat="1" x14ac:dyDescent="0.2">
      <c r="A87" s="13" t="s">
        <v>462</v>
      </c>
      <c r="B87" s="13" t="e">
        <f t="shared" ref="B87:D87" si="936">+B79/B69</f>
        <v>#DIV/0!</v>
      </c>
      <c r="C87" s="13" t="e">
        <f t="shared" si="936"/>
        <v>#DIV/0!</v>
      </c>
      <c r="D87" s="13" t="e">
        <f t="shared" si="936"/>
        <v>#DIV/0!</v>
      </c>
      <c r="E87" s="13" t="e">
        <f t="shared" ref="E87:AE87" ca="1" si="937">+E79/E69</f>
        <v>#DIV/0!</v>
      </c>
      <c r="F87" s="13" t="e">
        <f t="shared" ca="1" si="937"/>
        <v>#DIV/0!</v>
      </c>
      <c r="G87" s="13" t="e">
        <f t="shared" ca="1" si="937"/>
        <v>#DIV/0!</v>
      </c>
      <c r="H87" s="13" t="e">
        <f t="shared" ca="1" si="937"/>
        <v>#DIV/0!</v>
      </c>
      <c r="I87" s="13" t="e">
        <f t="shared" ca="1" si="937"/>
        <v>#DIV/0!</v>
      </c>
      <c r="J87" s="13" t="e">
        <f t="shared" ca="1" si="937"/>
        <v>#DIV/0!</v>
      </c>
      <c r="K87" s="13" t="e">
        <f t="shared" ca="1" si="937"/>
        <v>#DIV/0!</v>
      </c>
      <c r="L87" s="13" t="e">
        <f t="shared" ca="1" si="937"/>
        <v>#DIV/0!</v>
      </c>
      <c r="M87" s="13" t="e">
        <f t="shared" ca="1" si="937"/>
        <v>#DIV/0!</v>
      </c>
      <c r="N87" s="13" t="e">
        <f t="shared" ca="1" si="937"/>
        <v>#DIV/0!</v>
      </c>
      <c r="O87" s="13" t="e">
        <f t="shared" ca="1" si="937"/>
        <v>#DIV/0!</v>
      </c>
      <c r="P87" s="13">
        <f t="shared" ca="1" si="937"/>
        <v>0</v>
      </c>
      <c r="Q87" s="13">
        <f t="shared" ca="1" si="937"/>
        <v>0</v>
      </c>
      <c r="R87" s="13">
        <f t="shared" ca="1" si="937"/>
        <v>0</v>
      </c>
      <c r="S87" s="13">
        <f t="shared" ca="1" si="937"/>
        <v>0</v>
      </c>
      <c r="T87" s="13">
        <f t="shared" ca="1" si="937"/>
        <v>0</v>
      </c>
      <c r="U87" s="13">
        <f t="shared" ca="1" si="937"/>
        <v>0</v>
      </c>
      <c r="V87" s="13">
        <f t="shared" ca="1" si="937"/>
        <v>0</v>
      </c>
      <c r="W87" s="13">
        <f t="shared" ca="1" si="937"/>
        <v>0</v>
      </c>
      <c r="X87" s="13">
        <f t="shared" ca="1" si="937"/>
        <v>14.201350536073891</v>
      </c>
      <c r="Y87" s="13">
        <f t="shared" ca="1" si="937"/>
        <v>19.158937542616638</v>
      </c>
      <c r="Z87" s="13">
        <f t="shared" ref="Z87:AA87" ca="1" si="938">+Z79/Z69</f>
        <v>24.956650327136554</v>
      </c>
      <c r="AA87" s="13">
        <f t="shared" ca="1" si="938"/>
        <v>24.956650327136554</v>
      </c>
      <c r="AB87" s="60">
        <f t="shared" ca="1" si="937"/>
        <v>41.663546911420163</v>
      </c>
      <c r="AC87" s="60">
        <f t="shared" ca="1" si="937"/>
        <v>41.663546911420184</v>
      </c>
      <c r="AD87" s="60">
        <f t="shared" ca="1" si="937"/>
        <v>41.267299061198933</v>
      </c>
      <c r="AE87" s="60">
        <f t="shared" ca="1" si="937"/>
        <v>40.802478334630649</v>
      </c>
      <c r="AL87" s="13" t="e">
        <f t="shared" ref="AL87:BQ87" si="939">+AL79/AL69</f>
        <v>#DIV/0!</v>
      </c>
      <c r="AM87" s="13" t="e">
        <f t="shared" si="939"/>
        <v>#DIV/0!</v>
      </c>
      <c r="AN87" s="13" t="e">
        <f t="shared" si="939"/>
        <v>#DIV/0!</v>
      </c>
      <c r="AO87" s="13" t="e">
        <f t="shared" si="939"/>
        <v>#DIV/0!</v>
      </c>
      <c r="AP87" s="13" t="e">
        <f t="shared" si="939"/>
        <v>#DIV/0!</v>
      </c>
      <c r="AQ87" s="13" t="e">
        <f t="shared" si="939"/>
        <v>#DIV/0!</v>
      </c>
      <c r="AR87" s="13" t="e">
        <f t="shared" si="939"/>
        <v>#DIV/0!</v>
      </c>
      <c r="AS87" s="13" t="e">
        <f t="shared" si="939"/>
        <v>#DIV/0!</v>
      </c>
      <c r="AT87" s="13" t="e">
        <f t="shared" si="939"/>
        <v>#DIV/0!</v>
      </c>
      <c r="AU87" s="13" t="e">
        <f t="shared" si="939"/>
        <v>#DIV/0!</v>
      </c>
      <c r="AV87" s="13" t="e">
        <f t="shared" si="939"/>
        <v>#DIV/0!</v>
      </c>
      <c r="AW87" s="13" t="e">
        <f t="shared" si="939"/>
        <v>#DIV/0!</v>
      </c>
      <c r="AX87" s="13" t="e">
        <f t="shared" si="939"/>
        <v>#DIV/0!</v>
      </c>
      <c r="AY87" s="13" t="e">
        <f t="shared" si="939"/>
        <v>#DIV/0!</v>
      </c>
      <c r="AZ87" s="13" t="e">
        <f t="shared" si="939"/>
        <v>#DIV/0!</v>
      </c>
      <c r="BA87" s="13" t="e">
        <f t="shared" si="939"/>
        <v>#DIV/0!</v>
      </c>
      <c r="BB87" s="13" t="e">
        <f t="shared" si="939"/>
        <v>#DIV/0!</v>
      </c>
      <c r="BC87" s="13" t="e">
        <f t="shared" si="939"/>
        <v>#DIV/0!</v>
      </c>
      <c r="BD87" s="13" t="e">
        <f t="shared" si="939"/>
        <v>#DIV/0!</v>
      </c>
      <c r="BE87" s="13" t="e">
        <f t="shared" si="939"/>
        <v>#DIV/0!</v>
      </c>
      <c r="BF87" s="13" t="e">
        <f t="shared" si="939"/>
        <v>#DIV/0!</v>
      </c>
      <c r="BG87" s="13" t="e">
        <f t="shared" si="939"/>
        <v>#DIV/0!</v>
      </c>
      <c r="BH87" s="13" t="e">
        <f t="shared" si="939"/>
        <v>#DIV/0!</v>
      </c>
      <c r="BI87" s="13" t="e">
        <f t="shared" si="939"/>
        <v>#DIV/0!</v>
      </c>
      <c r="BJ87" s="13" t="e">
        <f t="shared" si="939"/>
        <v>#DIV/0!</v>
      </c>
      <c r="BK87" s="13" t="e">
        <f t="shared" si="939"/>
        <v>#DIV/0!</v>
      </c>
      <c r="BL87" s="13" t="e">
        <f t="shared" si="939"/>
        <v>#DIV/0!</v>
      </c>
      <c r="BM87" s="13" t="e">
        <f t="shared" si="939"/>
        <v>#DIV/0!</v>
      </c>
      <c r="BN87" s="13" t="e">
        <f t="shared" si="939"/>
        <v>#DIV/0!</v>
      </c>
      <c r="BO87" s="13" t="e">
        <f t="shared" si="939"/>
        <v>#DIV/0!</v>
      </c>
      <c r="BP87" s="13" t="e">
        <f t="shared" si="939"/>
        <v>#DIV/0!</v>
      </c>
      <c r="BQ87" s="13" t="e">
        <f t="shared" si="939"/>
        <v>#DIV/0!</v>
      </c>
      <c r="BR87" s="13" t="e">
        <f t="shared" ref="BR87:CH87" si="940">+BR79/BR69</f>
        <v>#DIV/0!</v>
      </c>
      <c r="BS87" s="13" t="e">
        <f t="shared" si="940"/>
        <v>#DIV/0!</v>
      </c>
      <c r="BT87" s="13">
        <f t="shared" si="940"/>
        <v>0</v>
      </c>
      <c r="BU87" s="13">
        <f t="shared" si="940"/>
        <v>0</v>
      </c>
      <c r="BV87" s="13">
        <f t="shared" si="940"/>
        <v>0</v>
      </c>
      <c r="BW87" s="13">
        <f t="shared" si="940"/>
        <v>0</v>
      </c>
      <c r="BX87" s="13">
        <f t="shared" si="940"/>
        <v>0</v>
      </c>
      <c r="BY87" s="13">
        <f t="shared" si="940"/>
        <v>0</v>
      </c>
      <c r="BZ87" s="13">
        <f t="shared" si="940"/>
        <v>16.666082836679212</v>
      </c>
      <c r="CA87" s="13">
        <f t="shared" si="940"/>
        <v>16.33798116413022</v>
      </c>
      <c r="CB87" s="13">
        <f t="shared" si="940"/>
        <v>15.490202292427787</v>
      </c>
      <c r="CC87" s="13">
        <f t="shared" si="940"/>
        <v>15.829847246516676</v>
      </c>
      <c r="CD87" s="13">
        <f t="shared" si="940"/>
        <v>22.114385273011706</v>
      </c>
      <c r="CE87" s="13">
        <f t="shared" si="940"/>
        <v>26.649238274087988</v>
      </c>
      <c r="CF87" s="13">
        <f t="shared" si="940"/>
        <v>31.588511090935665</v>
      </c>
      <c r="CG87" s="13">
        <f t="shared" si="940"/>
        <v>35.344999176300711</v>
      </c>
      <c r="CH87" s="13">
        <f t="shared" si="940"/>
        <v>24.950635345053399</v>
      </c>
      <c r="CI87" s="13">
        <f t="shared" ref="CI87:CJ87" si="941">+CI79/CI69</f>
        <v>29.957525358561192</v>
      </c>
      <c r="CJ87" s="13">
        <f t="shared" si="941"/>
        <v>43.989742613909144</v>
      </c>
      <c r="CK87" s="13">
        <f t="shared" ref="CK87:CL87" si="942">+CK79/CK69</f>
        <v>40.714846759732268</v>
      </c>
      <c r="CL87" s="13">
        <f t="shared" si="942"/>
        <v>41.66354691142017</v>
      </c>
      <c r="CM87" s="60">
        <f t="shared" si="920"/>
        <v>41.66354691142017</v>
      </c>
      <c r="CN87" s="60">
        <f t="shared" si="921"/>
        <v>41.66354691142017</v>
      </c>
      <c r="CO87" s="60">
        <f t="shared" si="922"/>
        <v>41.66354691142017</v>
      </c>
      <c r="CP87" s="60">
        <f t="shared" si="923"/>
        <v>41.66354691142017</v>
      </c>
      <c r="CQ87" s="60">
        <f t="shared" si="924"/>
        <v>41.66354691142017</v>
      </c>
      <c r="CR87" s="60">
        <f t="shared" si="925"/>
        <v>41.66354691142017</v>
      </c>
      <c r="CS87" s="60">
        <f t="shared" si="926"/>
        <v>41.66354691142017</v>
      </c>
      <c r="CT87" s="60">
        <f t="shared" si="927"/>
        <v>41.66354691142017</v>
      </c>
      <c r="CU87" s="60">
        <f t="shared" si="928"/>
        <v>41.66354691142017</v>
      </c>
      <c r="CV87" s="60">
        <f t="shared" si="929"/>
        <v>41.66354691142017</v>
      </c>
      <c r="CW87" s="60">
        <f t="shared" si="930"/>
        <v>41.66354691142017</v>
      </c>
      <c r="CX87" s="60">
        <f t="shared" si="931"/>
        <v>41.66354691142017</v>
      </c>
      <c r="CY87" s="60">
        <f t="shared" si="932"/>
        <v>41.66354691142017</v>
      </c>
      <c r="CZ87" s="60">
        <f t="shared" si="933"/>
        <v>41.66354691142017</v>
      </c>
      <c r="DA87" s="60">
        <f t="shared" si="934"/>
        <v>41.66354691142017</v>
      </c>
      <c r="DB87" s="60">
        <f t="shared" si="935"/>
        <v>41.66354691142017</v>
      </c>
      <c r="DE87" s="136"/>
      <c r="DF87" s="13">
        <v>24.956650327136554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43">+B78/C69</f>
        <v>#DIV/0!</v>
      </c>
      <c r="C89" s="13" t="e">
        <f t="shared" si="943"/>
        <v>#DIV/0!</v>
      </c>
      <c r="D89" s="13" t="e">
        <f t="shared" ca="1" si="943"/>
        <v>#DIV/0!</v>
      </c>
      <c r="E89" s="13" t="e">
        <f t="shared" ca="1" si="943"/>
        <v>#DIV/0!</v>
      </c>
      <c r="F89" s="13" t="e">
        <f t="shared" ca="1" si="943"/>
        <v>#DIV/0!</v>
      </c>
      <c r="G89" s="13" t="e">
        <f t="shared" ca="1" si="943"/>
        <v>#DIV/0!</v>
      </c>
      <c r="H89" s="13" t="e">
        <f t="shared" ca="1" si="943"/>
        <v>#DIV/0!</v>
      </c>
      <c r="I89" s="13" t="e">
        <f t="shared" ca="1" si="943"/>
        <v>#DIV/0!</v>
      </c>
      <c r="J89" s="13" t="e">
        <f t="shared" ca="1" si="943"/>
        <v>#DIV/0!</v>
      </c>
      <c r="K89" s="13" t="e">
        <f t="shared" ca="1" si="943"/>
        <v>#DIV/0!</v>
      </c>
      <c r="L89" s="13" t="e">
        <f t="shared" ca="1" si="943"/>
        <v>#DIV/0!</v>
      </c>
      <c r="M89" s="13" t="e">
        <f t="shared" ca="1" si="943"/>
        <v>#DIV/0!</v>
      </c>
      <c r="N89" s="13" t="e">
        <f t="shared" ca="1" si="943"/>
        <v>#DIV/0!</v>
      </c>
      <c r="O89" s="13">
        <f t="shared" ca="1" si="943"/>
        <v>0</v>
      </c>
      <c r="P89" s="13">
        <f t="shared" ca="1" si="943"/>
        <v>0</v>
      </c>
      <c r="Q89" s="13">
        <f t="shared" ca="1" si="943"/>
        <v>0</v>
      </c>
      <c r="R89" s="13">
        <f t="shared" ca="1" si="943"/>
        <v>0</v>
      </c>
      <c r="S89" s="13">
        <f t="shared" ca="1" si="943"/>
        <v>0</v>
      </c>
      <c r="T89" s="13">
        <f t="shared" ca="1" si="943"/>
        <v>0</v>
      </c>
      <c r="U89" s="13">
        <f t="shared" ca="1" si="943"/>
        <v>0</v>
      </c>
      <c r="V89" s="13">
        <f t="shared" ca="1" si="943"/>
        <v>0</v>
      </c>
      <c r="W89" s="13">
        <f t="shared" ca="1" si="943"/>
        <v>0</v>
      </c>
      <c r="X89" s="13">
        <f t="shared" ca="1" si="943"/>
        <v>28.322328377393383</v>
      </c>
      <c r="Y89" s="13">
        <f t="shared" ca="1" si="943"/>
        <v>51.145878494390857</v>
      </c>
      <c r="Z89" s="13">
        <f t="shared" ref="Z89:AA89" ca="1" si="944">+Z78/AA69</f>
        <v>68.908106274502174</v>
      </c>
      <c r="AA89" s="13">
        <f t="shared" ca="1" si="944"/>
        <v>68.908106274502174</v>
      </c>
      <c r="AB89" s="37">
        <f t="shared" ca="1" si="943"/>
        <v>57.950868403042001</v>
      </c>
      <c r="AC89" s="37">
        <f t="shared" ca="1" si="943"/>
        <v>56.535002999390606</v>
      </c>
      <c r="AD89" s="37">
        <f t="shared" ca="1" si="943"/>
        <v>52.524013843378469</v>
      </c>
      <c r="AE89" s="37"/>
      <c r="AL89" s="13" t="e">
        <f t="shared" ref="AL89:BQ89" si="945">+AL78/AP69</f>
        <v>#DIV/0!</v>
      </c>
      <c r="AM89" s="13" t="e">
        <f t="shared" si="945"/>
        <v>#DIV/0!</v>
      </c>
      <c r="AN89" s="13" t="e">
        <f t="shared" si="945"/>
        <v>#DIV/0!</v>
      </c>
      <c r="AO89" s="13" t="e">
        <f t="shared" si="945"/>
        <v>#DIV/0!</v>
      </c>
      <c r="AP89" s="13" t="e">
        <f t="shared" si="945"/>
        <v>#DIV/0!</v>
      </c>
      <c r="AQ89" s="13" t="e">
        <f t="shared" si="945"/>
        <v>#DIV/0!</v>
      </c>
      <c r="AR89" s="13" t="e">
        <f t="shared" si="945"/>
        <v>#DIV/0!</v>
      </c>
      <c r="AS89" s="13" t="e">
        <f t="shared" si="945"/>
        <v>#DIV/0!</v>
      </c>
      <c r="AT89" s="13" t="e">
        <f t="shared" si="945"/>
        <v>#DIV/0!</v>
      </c>
      <c r="AU89" s="13" t="e">
        <f t="shared" si="945"/>
        <v>#DIV/0!</v>
      </c>
      <c r="AV89" s="13" t="e">
        <f t="shared" si="945"/>
        <v>#DIV/0!</v>
      </c>
      <c r="AW89" s="13" t="e">
        <f t="shared" si="945"/>
        <v>#DIV/0!</v>
      </c>
      <c r="AX89" s="13" t="e">
        <f t="shared" si="945"/>
        <v>#DIV/0!</v>
      </c>
      <c r="AY89" s="13" t="e">
        <f t="shared" si="945"/>
        <v>#DIV/0!</v>
      </c>
      <c r="AZ89" s="13" t="e">
        <f t="shared" si="945"/>
        <v>#DIV/0!</v>
      </c>
      <c r="BA89" s="13" t="e">
        <f t="shared" si="945"/>
        <v>#DIV/0!</v>
      </c>
      <c r="BB89" s="13" t="e">
        <f t="shared" si="945"/>
        <v>#DIV/0!</v>
      </c>
      <c r="BC89" s="13" t="e">
        <f t="shared" si="945"/>
        <v>#DIV/0!</v>
      </c>
      <c r="BD89" s="13" t="e">
        <f t="shared" si="945"/>
        <v>#DIV/0!</v>
      </c>
      <c r="BE89" s="13" t="e">
        <f t="shared" si="945"/>
        <v>#DIV/0!</v>
      </c>
      <c r="BF89" s="13" t="e">
        <f t="shared" si="945"/>
        <v>#DIV/0!</v>
      </c>
      <c r="BG89" s="13" t="e">
        <f t="shared" si="945"/>
        <v>#DIV/0!</v>
      </c>
      <c r="BH89" s="13" t="e">
        <f t="shared" si="945"/>
        <v>#DIV/0!</v>
      </c>
      <c r="BI89" s="13" t="e">
        <f t="shared" si="945"/>
        <v>#DIV/0!</v>
      </c>
      <c r="BJ89" s="13" t="e">
        <f t="shared" si="945"/>
        <v>#DIV/0!</v>
      </c>
      <c r="BK89" s="13" t="e">
        <f t="shared" si="945"/>
        <v>#DIV/0!</v>
      </c>
      <c r="BL89" s="13" t="e">
        <f t="shared" si="945"/>
        <v>#DIV/0!</v>
      </c>
      <c r="BM89" s="13" t="e">
        <f t="shared" si="945"/>
        <v>#DIV/0!</v>
      </c>
      <c r="BN89" s="13" t="e">
        <f t="shared" si="945"/>
        <v>#DIV/0!</v>
      </c>
      <c r="BO89" s="13" t="e">
        <f t="shared" si="945"/>
        <v>#DIV/0!</v>
      </c>
      <c r="BP89" s="13">
        <f t="shared" si="945"/>
        <v>0</v>
      </c>
      <c r="BQ89" s="13">
        <f t="shared" si="945"/>
        <v>0</v>
      </c>
      <c r="BR89" s="13">
        <f t="shared" ref="BR89:CL89" si="946">+BR78/BV69</f>
        <v>0</v>
      </c>
      <c r="BS89" s="13">
        <f t="shared" si="946"/>
        <v>0</v>
      </c>
      <c r="BT89" s="13">
        <f t="shared" si="946"/>
        <v>0</v>
      </c>
      <c r="BU89" s="13">
        <f t="shared" si="946"/>
        <v>0</v>
      </c>
      <c r="BV89" s="13">
        <f t="shared" si="946"/>
        <v>0</v>
      </c>
      <c r="BW89" s="13">
        <f t="shared" si="946"/>
        <v>0</v>
      </c>
      <c r="BX89" s="13">
        <f t="shared" si="946"/>
        <v>0</v>
      </c>
      <c r="BY89" s="13">
        <f t="shared" si="946"/>
        <v>17.199409770392265</v>
      </c>
      <c r="BZ89" s="13">
        <f t="shared" si="946"/>
        <v>28.315313077036421</v>
      </c>
      <c r="CA89" s="13">
        <f t="shared" si="946"/>
        <v>29.899814430011229</v>
      </c>
      <c r="CB89" s="13">
        <f t="shared" si="946"/>
        <v>32.526313562256192</v>
      </c>
      <c r="CC89" s="13">
        <f t="shared" si="946"/>
        <v>41.140143711298236</v>
      </c>
      <c r="CD89" s="13">
        <f t="shared" si="946"/>
        <v>51.133551457759808</v>
      </c>
      <c r="CE89" s="13">
        <f t="shared" si="946"/>
        <v>44.741150431285241</v>
      </c>
      <c r="CF89" s="13">
        <f t="shared" si="946"/>
        <v>60.054996077145546</v>
      </c>
      <c r="CG89" s="13">
        <f t="shared" si="946"/>
        <v>61.561084279955359</v>
      </c>
      <c r="CH89" s="13">
        <f t="shared" si="946"/>
        <v>57.209646505233671</v>
      </c>
      <c r="CI89" s="13">
        <f t="shared" si="946"/>
        <v>50.673162506243791</v>
      </c>
      <c r="CJ89" s="13">
        <f t="shared" si="946"/>
        <v>55.328983715811994</v>
      </c>
      <c r="CK89" s="13">
        <f t="shared" si="946"/>
        <v>54.165253714853655</v>
      </c>
      <c r="CL89" s="13">
        <f t="shared" si="946"/>
        <v>49.264979758837072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68.908106274502174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47">+CORREL(AL69:AO69,AL86:AO86)</f>
        <v>#DIV/0!</v>
      </c>
      <c r="AP90" s="175" t="e">
        <f t="shared" si="947"/>
        <v>#DIV/0!</v>
      </c>
      <c r="AQ90" s="175" t="e">
        <f t="shared" si="947"/>
        <v>#DIV/0!</v>
      </c>
      <c r="AR90" s="175" t="e">
        <f t="shared" si="947"/>
        <v>#DIV/0!</v>
      </c>
      <c r="AS90" s="175" t="e">
        <f t="shared" si="947"/>
        <v>#DIV/0!</v>
      </c>
      <c r="AT90" s="175" t="e">
        <f t="shared" si="947"/>
        <v>#DIV/0!</v>
      </c>
      <c r="AU90" s="175" t="e">
        <f t="shared" si="947"/>
        <v>#DIV/0!</v>
      </c>
      <c r="AV90" s="175" t="e">
        <f t="shared" si="947"/>
        <v>#DIV/0!</v>
      </c>
      <c r="AW90" s="175" t="e">
        <f t="shared" si="947"/>
        <v>#DIV/0!</v>
      </c>
      <c r="AX90" s="175" t="e">
        <f t="shared" si="947"/>
        <v>#DIV/0!</v>
      </c>
      <c r="AY90" s="175" t="e">
        <f t="shared" si="947"/>
        <v>#DIV/0!</v>
      </c>
      <c r="AZ90" s="175" t="e">
        <f t="shared" si="947"/>
        <v>#DIV/0!</v>
      </c>
      <c r="BA90" s="175" t="e">
        <f t="shared" si="947"/>
        <v>#DIV/0!</v>
      </c>
      <c r="BB90" s="175" t="e">
        <f t="shared" si="947"/>
        <v>#DIV/0!</v>
      </c>
      <c r="BC90" s="175" t="e">
        <f t="shared" si="947"/>
        <v>#DIV/0!</v>
      </c>
      <c r="BD90" s="175" t="e">
        <f t="shared" si="947"/>
        <v>#DIV/0!</v>
      </c>
      <c r="BE90" s="175" t="e">
        <f t="shared" si="947"/>
        <v>#DIV/0!</v>
      </c>
      <c r="BF90" s="175" t="e">
        <f t="shared" si="947"/>
        <v>#DIV/0!</v>
      </c>
      <c r="BG90" s="175" t="e">
        <f t="shared" si="947"/>
        <v>#DIV/0!</v>
      </c>
      <c r="BH90" s="175" t="e">
        <f t="shared" si="947"/>
        <v>#DIV/0!</v>
      </c>
      <c r="BI90" s="175" t="e">
        <f t="shared" si="947"/>
        <v>#DIV/0!</v>
      </c>
      <c r="BJ90" s="175" t="e">
        <f t="shared" si="947"/>
        <v>#DIV/0!</v>
      </c>
      <c r="BK90" s="175" t="e">
        <f t="shared" si="947"/>
        <v>#DIV/0!</v>
      </c>
      <c r="BL90" s="175" t="e">
        <f t="shared" si="947"/>
        <v>#DIV/0!</v>
      </c>
      <c r="BM90" s="175" t="e">
        <f t="shared" si="947"/>
        <v>#DIV/0!</v>
      </c>
      <c r="BN90" s="175" t="e">
        <f t="shared" si="947"/>
        <v>#DIV/0!</v>
      </c>
      <c r="BO90" s="175" t="e">
        <f t="shared" si="947"/>
        <v>#DIV/0!</v>
      </c>
      <c r="BP90" s="175" t="e">
        <f t="shared" si="947"/>
        <v>#DIV/0!</v>
      </c>
      <c r="BQ90" s="175" t="e">
        <f t="shared" si="947"/>
        <v>#DIV/0!</v>
      </c>
      <c r="BR90" s="175" t="e">
        <f t="shared" si="947"/>
        <v>#DIV/0!</v>
      </c>
      <c r="BS90" s="175" t="e">
        <f t="shared" si="947"/>
        <v>#DIV/0!</v>
      </c>
      <c r="BT90" s="175" t="e">
        <f t="shared" si="947"/>
        <v>#DIV/0!</v>
      </c>
      <c r="BU90" s="175" t="e">
        <f t="shared" si="947"/>
        <v>#DIV/0!</v>
      </c>
      <c r="BV90" s="175" t="e">
        <f t="shared" si="947"/>
        <v>#DIV/0!</v>
      </c>
      <c r="BW90" s="175" t="e">
        <f t="shared" si="947"/>
        <v>#DIV/0!</v>
      </c>
      <c r="BX90" s="175" t="e">
        <f t="shared" si="947"/>
        <v>#DIV/0!</v>
      </c>
      <c r="BY90" s="175">
        <f t="shared" si="947"/>
        <v>0.70789016198895816</v>
      </c>
      <c r="BZ90" s="175">
        <f t="shared" si="947"/>
        <v>0.93254564724330513</v>
      </c>
      <c r="CA90" s="175">
        <f t="shared" si="947"/>
        <v>0.85562106839835483</v>
      </c>
      <c r="CB90" s="175">
        <f t="shared" si="947"/>
        <v>0.22252612050295037</v>
      </c>
      <c r="CC90" s="175">
        <f t="shared" si="947"/>
        <v>-0.81077584870544916</v>
      </c>
      <c r="CD90" s="175">
        <f t="shared" si="947"/>
        <v>-0.99262332576489964</v>
      </c>
      <c r="CE90" s="175">
        <f t="shared" si="947"/>
        <v>-0.9528012882315835</v>
      </c>
      <c r="CF90" s="175">
        <f t="shared" si="947"/>
        <v>-0.9400561680427173</v>
      </c>
      <c r="CG90" s="175">
        <f t="shared" si="947"/>
        <v>-0.88731682060430261</v>
      </c>
      <c r="CH90" s="175">
        <f t="shared" si="947"/>
        <v>-0.86539981706547675</v>
      </c>
      <c r="CI90" s="175">
        <f t="shared" si="947"/>
        <v>-0.81713712336037259</v>
      </c>
      <c r="CJ90" s="175">
        <f>+CORREL(CG69:CJ69,CG86:CJ86)</f>
        <v>-0.9286723801277913</v>
      </c>
      <c r="CK90" s="175">
        <f>+CORREL(CH69:CK69,CH86:CK86)</f>
        <v>-0.99380724978014146</v>
      </c>
      <c r="CL90" s="175">
        <f>+CORREL(CI69:CL69,CI86:CL86)</f>
        <v>-0.89963813436115836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48">+E$120/E$65</f>
        <v>0</v>
      </c>
      <c r="F92" s="162">
        <f t="shared" ca="1" si="948"/>
        <v>0</v>
      </c>
      <c r="G92" s="162">
        <f t="shared" ca="1" si="948"/>
        <v>0</v>
      </c>
      <c r="H92" s="162">
        <f t="shared" ca="1" si="948"/>
        <v>0</v>
      </c>
      <c r="I92" s="162">
        <f t="shared" ca="1" si="948"/>
        <v>0</v>
      </c>
      <c r="J92" s="162">
        <f t="shared" ca="1" si="948"/>
        <v>0</v>
      </c>
      <c r="K92" s="162">
        <f t="shared" ca="1" si="948"/>
        <v>0</v>
      </c>
      <c r="L92" s="162">
        <f t="shared" ca="1" si="948"/>
        <v>0</v>
      </c>
      <c r="M92" s="162">
        <f t="shared" ca="1" si="948"/>
        <v>0</v>
      </c>
      <c r="N92" s="162">
        <f t="shared" ca="1" si="948"/>
        <v>0</v>
      </c>
      <c r="O92" s="162">
        <f t="shared" ca="1" si="948"/>
        <v>0</v>
      </c>
      <c r="P92" s="162">
        <f t="shared" ca="1" si="948"/>
        <v>16.256536530050219</v>
      </c>
      <c r="Q92" s="162">
        <f t="shared" ca="1" si="948"/>
        <v>9.2395350720881257</v>
      </c>
      <c r="R92" s="162">
        <f t="shared" ca="1" si="948"/>
        <v>3.2771342945083428</v>
      </c>
      <c r="S92" s="162">
        <f t="shared" ca="1" si="948"/>
        <v>-2.2806982018467519</v>
      </c>
      <c r="T92" s="162">
        <f t="shared" ca="1" si="948"/>
        <v>3.4318807710999519</v>
      </c>
      <c r="U92" s="162">
        <f t="shared" ca="1" si="948"/>
        <v>0.48355742750688474</v>
      </c>
      <c r="V92" s="162">
        <f t="shared" ca="1" si="948"/>
        <v>5.9920379070144172</v>
      </c>
      <c r="W92" s="162">
        <f t="shared" ca="1" si="948"/>
        <v>21.244581240887737</v>
      </c>
      <c r="X92" s="162">
        <f t="shared" ca="1" si="948"/>
        <v>115.90959015065609</v>
      </c>
      <c r="Y92" s="162">
        <f t="shared" ca="1" si="948"/>
        <v>137.82200712781469</v>
      </c>
      <c r="Z92" s="162">
        <f t="shared" ca="1" si="948"/>
        <v>150.98114369026405</v>
      </c>
      <c r="AA92" s="162">
        <f t="shared" ca="1" si="948"/>
        <v>150.98114369026405</v>
      </c>
      <c r="AB92" s="21">
        <f t="shared" ca="1" si="948"/>
        <v>173.38817178000872</v>
      </c>
      <c r="AC92" s="21">
        <f t="shared" ca="1" si="948"/>
        <v>185.25044649018486</v>
      </c>
      <c r="AD92" s="21">
        <f t="shared" ca="1" si="948"/>
        <v>196.81742237643826</v>
      </c>
      <c r="AE92" s="21">
        <f t="shared" ca="1" si="948"/>
        <v>208.57359270375605</v>
      </c>
      <c r="AL92" s="162">
        <f t="shared" ref="AL92:BQ92" si="949">+AL$120/AL$65</f>
        <v>0</v>
      </c>
      <c r="AM92" s="162">
        <f t="shared" si="949"/>
        <v>0</v>
      </c>
      <c r="AN92" s="162">
        <f t="shared" si="949"/>
        <v>0</v>
      </c>
      <c r="AO92" s="162">
        <f t="shared" si="949"/>
        <v>0</v>
      </c>
      <c r="AP92" s="162">
        <f t="shared" si="949"/>
        <v>0</v>
      </c>
      <c r="AQ92" s="162">
        <f t="shared" si="949"/>
        <v>0</v>
      </c>
      <c r="AR92" s="162">
        <f t="shared" si="949"/>
        <v>0</v>
      </c>
      <c r="AS92" s="162">
        <f t="shared" si="949"/>
        <v>0</v>
      </c>
      <c r="AT92" s="162">
        <f t="shared" si="949"/>
        <v>0</v>
      </c>
      <c r="AU92" s="162">
        <f t="shared" si="949"/>
        <v>0</v>
      </c>
      <c r="AV92" s="162">
        <f t="shared" si="949"/>
        <v>0</v>
      </c>
      <c r="AW92" s="162">
        <f t="shared" si="949"/>
        <v>0</v>
      </c>
      <c r="AX92" s="162">
        <f t="shared" si="949"/>
        <v>0</v>
      </c>
      <c r="AY92" s="162">
        <f t="shared" si="949"/>
        <v>0</v>
      </c>
      <c r="AZ92" s="162">
        <f t="shared" si="949"/>
        <v>0</v>
      </c>
      <c r="BA92" s="162">
        <f t="shared" si="949"/>
        <v>0</v>
      </c>
      <c r="BB92" s="162">
        <f t="shared" si="949"/>
        <v>0</v>
      </c>
      <c r="BC92" s="162">
        <f t="shared" si="949"/>
        <v>0</v>
      </c>
      <c r="BD92" s="162">
        <f t="shared" si="949"/>
        <v>0</v>
      </c>
      <c r="BE92" s="162">
        <f t="shared" si="949"/>
        <v>0</v>
      </c>
      <c r="BF92" s="162">
        <f t="shared" si="949"/>
        <v>0</v>
      </c>
      <c r="BG92" s="162">
        <f t="shared" si="949"/>
        <v>0</v>
      </c>
      <c r="BH92" s="162">
        <f t="shared" si="949"/>
        <v>0</v>
      </c>
      <c r="BI92" s="162">
        <f t="shared" si="949"/>
        <v>0</v>
      </c>
      <c r="BJ92" s="162">
        <f t="shared" si="949"/>
        <v>0</v>
      </c>
      <c r="BK92" s="162">
        <f t="shared" si="949"/>
        <v>0</v>
      </c>
      <c r="BL92" s="162">
        <f t="shared" si="949"/>
        <v>0</v>
      </c>
      <c r="BM92" s="162">
        <f t="shared" si="949"/>
        <v>0</v>
      </c>
      <c r="BN92" s="162">
        <f t="shared" si="949"/>
        <v>0</v>
      </c>
      <c r="BO92" s="162">
        <f t="shared" si="949"/>
        <v>0</v>
      </c>
      <c r="BP92" s="162">
        <f t="shared" si="949"/>
        <v>0</v>
      </c>
      <c r="BQ92" s="162">
        <f t="shared" si="949"/>
        <v>0</v>
      </c>
      <c r="BR92" s="162">
        <f t="shared" ref="BR92:DB92" si="950">+BR$120/BR$65</f>
        <v>0</v>
      </c>
      <c r="BS92" s="162">
        <f t="shared" si="950"/>
        <v>0</v>
      </c>
      <c r="BT92" s="162">
        <f t="shared" si="950"/>
        <v>0</v>
      </c>
      <c r="BU92" s="162">
        <f t="shared" si="950"/>
        <v>3.9714818115531068</v>
      </c>
      <c r="BV92" s="162">
        <f t="shared" si="950"/>
        <v>21.249777201652758</v>
      </c>
      <c r="BW92" s="162">
        <f t="shared" si="950"/>
        <v>28.087580004861056</v>
      </c>
      <c r="BX92" s="162">
        <f t="shared" si="950"/>
        <v>33.312970914688492</v>
      </c>
      <c r="BY92" s="162">
        <f t="shared" si="950"/>
        <v>41.257635906991815</v>
      </c>
      <c r="BZ92" s="162">
        <f t="shared" si="950"/>
        <v>115.93777849793408</v>
      </c>
      <c r="CA92" s="162">
        <f t="shared" si="950"/>
        <v>123.54184558049099</v>
      </c>
      <c r="CB92" s="162">
        <f t="shared" si="950"/>
        <v>127.01498825245079</v>
      </c>
      <c r="CC92" s="162">
        <f t="shared" si="950"/>
        <v>135.24054119743985</v>
      </c>
      <c r="CD92" s="162">
        <f t="shared" si="950"/>
        <v>137.855464635826</v>
      </c>
      <c r="CE92" s="162">
        <f t="shared" si="950"/>
        <v>141.4896702584461</v>
      </c>
      <c r="CF92" s="162">
        <f t="shared" si="950"/>
        <v>142.87976991007048</v>
      </c>
      <c r="CG92" s="162">
        <f t="shared" si="950"/>
        <v>146.76634529692944</v>
      </c>
      <c r="CH92" s="162">
        <f t="shared" si="950"/>
        <v>151.01784007129547</v>
      </c>
      <c r="CI92" s="162">
        <f t="shared" si="950"/>
        <v>154.27401766183263</v>
      </c>
      <c r="CJ92" s="162">
        <f t="shared" si="950"/>
        <v>154.23057603499959</v>
      </c>
      <c r="CK92" s="162">
        <f t="shared" si="950"/>
        <v>156.10780819698687</v>
      </c>
      <c r="CL92" s="162">
        <f t="shared" si="950"/>
        <v>160.64077995981108</v>
      </c>
      <c r="CM92" s="21">
        <f t="shared" si="950"/>
        <v>165.03830924296818</v>
      </c>
      <c r="CN92" s="21">
        <f t="shared" si="950"/>
        <v>167.34714503489397</v>
      </c>
      <c r="CO92" s="21">
        <f t="shared" si="950"/>
        <v>169.10230100791935</v>
      </c>
      <c r="CP92" s="21">
        <f t="shared" si="950"/>
        <v>173.38817178000872</v>
      </c>
      <c r="CQ92" s="21">
        <f t="shared" si="950"/>
        <v>177.59737783757637</v>
      </c>
      <c r="CR92" s="21">
        <f t="shared" si="950"/>
        <v>179.53523754407124</v>
      </c>
      <c r="CS92" s="21">
        <f t="shared" si="950"/>
        <v>181.0167423745182</v>
      </c>
      <c r="CT92" s="21">
        <f t="shared" si="950"/>
        <v>185.25044649018488</v>
      </c>
      <c r="CU92" s="21">
        <f t="shared" si="950"/>
        <v>189.45626562032979</v>
      </c>
      <c r="CV92" s="21">
        <f t="shared" si="950"/>
        <v>191.19341912593097</v>
      </c>
      <c r="CW92" s="21">
        <f t="shared" si="950"/>
        <v>192.47370868001673</v>
      </c>
      <c r="CX92" s="21">
        <f t="shared" si="950"/>
        <v>196.81742237643829</v>
      </c>
      <c r="CY92" s="21">
        <f t="shared" si="950"/>
        <v>201.16831936735929</v>
      </c>
      <c r="CZ92" s="21">
        <f t="shared" si="950"/>
        <v>202.81642967666599</v>
      </c>
      <c r="DA92" s="21">
        <f t="shared" si="950"/>
        <v>203.98691196293569</v>
      </c>
      <c r="DB92" s="21">
        <f t="shared" si="950"/>
        <v>208.57359270375608</v>
      </c>
      <c r="DE92" s="22"/>
      <c r="DF92" s="162">
        <v>150.98114369026405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51">+E77/E$92</f>
        <v>#DIV/0!</v>
      </c>
      <c r="F94" s="162" t="e">
        <f t="shared" ca="1" si="951"/>
        <v>#DIV/0!</v>
      </c>
      <c r="G94" s="162" t="e">
        <f t="shared" ca="1" si="951"/>
        <v>#DIV/0!</v>
      </c>
      <c r="H94" s="162" t="e">
        <f t="shared" ca="1" si="951"/>
        <v>#DIV/0!</v>
      </c>
      <c r="I94" s="162" t="e">
        <f t="shared" ca="1" si="951"/>
        <v>#DIV/0!</v>
      </c>
      <c r="J94" s="162" t="e">
        <f t="shared" ca="1" si="951"/>
        <v>#DIV/0!</v>
      </c>
      <c r="K94" s="162" t="e">
        <f t="shared" ca="1" si="951"/>
        <v>#DIV/0!</v>
      </c>
      <c r="L94" s="162" t="e">
        <f t="shared" ca="1" si="951"/>
        <v>#DIV/0!</v>
      </c>
      <c r="M94" s="162" t="e">
        <f t="shared" ca="1" si="951"/>
        <v>#DIV/0!</v>
      </c>
      <c r="N94" s="162" t="e">
        <f t="shared" ca="1" si="951"/>
        <v>#DIV/0!</v>
      </c>
      <c r="O94" s="162" t="e">
        <f t="shared" ca="1" si="951"/>
        <v>#DIV/0!</v>
      </c>
      <c r="P94" s="162">
        <f t="shared" ca="1" si="951"/>
        <v>0</v>
      </c>
      <c r="Q94" s="162">
        <f t="shared" ca="1" si="951"/>
        <v>0</v>
      </c>
      <c r="R94" s="162">
        <f t="shared" ca="1" si="951"/>
        <v>0</v>
      </c>
      <c r="S94" s="162">
        <f t="shared" ca="1" si="951"/>
        <v>0</v>
      </c>
      <c r="T94" s="162">
        <f t="shared" ca="1" si="951"/>
        <v>0</v>
      </c>
      <c r="U94" s="162">
        <f t="shared" ca="1" si="951"/>
        <v>0</v>
      </c>
      <c r="V94" s="162">
        <f t="shared" ca="1" si="951"/>
        <v>0</v>
      </c>
      <c r="W94" s="162">
        <f t="shared" ca="1" si="951"/>
        <v>0</v>
      </c>
      <c r="X94" s="162">
        <f t="shared" ca="1" si="951"/>
        <v>5.6138581730315682</v>
      </c>
      <c r="Y94" s="162">
        <f t="shared" ca="1" si="951"/>
        <v>4.8624310004316644</v>
      </c>
      <c r="Z94" s="162">
        <f t="shared" ca="1" si="951"/>
        <v>3.4140024866776697</v>
      </c>
      <c r="AA94" s="162">
        <f t="shared" ref="AA94" ca="1" si="952">+AA77/AA$92</f>
        <v>3.4140024866776697</v>
      </c>
      <c r="AB94" s="21">
        <f t="shared" ca="1" si="951"/>
        <v>3.384025530556122</v>
      </c>
      <c r="AC94" s="21">
        <f t="shared" ca="1" si="951"/>
        <v>3.1673337965805541</v>
      </c>
      <c r="AD94" s="21">
        <f t="shared" ca="1" si="951"/>
        <v>2.9811893323029417</v>
      </c>
      <c r="AE94" s="21">
        <f t="shared" ca="1" si="951"/>
        <v>2.8131557422678162</v>
      </c>
      <c r="AL94" s="162" t="e">
        <f t="shared" ref="AL94:CI96" si="953">+AL77/AL$92</f>
        <v>#DIV/0!</v>
      </c>
      <c r="AM94" s="162" t="e">
        <f t="shared" si="953"/>
        <v>#DIV/0!</v>
      </c>
      <c r="AN94" s="162" t="e">
        <f t="shared" si="953"/>
        <v>#DIV/0!</v>
      </c>
      <c r="AO94" s="162" t="e">
        <f t="shared" si="953"/>
        <v>#DIV/0!</v>
      </c>
      <c r="AP94" s="162" t="e">
        <f t="shared" si="953"/>
        <v>#DIV/0!</v>
      </c>
      <c r="AQ94" s="162" t="e">
        <f t="shared" si="953"/>
        <v>#DIV/0!</v>
      </c>
      <c r="AR94" s="162" t="e">
        <f t="shared" si="953"/>
        <v>#DIV/0!</v>
      </c>
      <c r="AS94" s="162" t="e">
        <f t="shared" si="953"/>
        <v>#DIV/0!</v>
      </c>
      <c r="AT94" s="162" t="e">
        <f t="shared" si="953"/>
        <v>#DIV/0!</v>
      </c>
      <c r="AU94" s="162" t="e">
        <f t="shared" si="953"/>
        <v>#DIV/0!</v>
      </c>
      <c r="AV94" s="162" t="e">
        <f t="shared" si="953"/>
        <v>#DIV/0!</v>
      </c>
      <c r="AW94" s="162" t="e">
        <f t="shared" si="953"/>
        <v>#DIV/0!</v>
      </c>
      <c r="AX94" s="162" t="e">
        <f t="shared" si="953"/>
        <v>#DIV/0!</v>
      </c>
      <c r="AY94" s="162" t="e">
        <f t="shared" si="953"/>
        <v>#DIV/0!</v>
      </c>
      <c r="AZ94" s="162" t="e">
        <f t="shared" si="953"/>
        <v>#DIV/0!</v>
      </c>
      <c r="BA94" s="162" t="e">
        <f t="shared" si="953"/>
        <v>#DIV/0!</v>
      </c>
      <c r="BB94" s="162" t="e">
        <f t="shared" si="953"/>
        <v>#DIV/0!</v>
      </c>
      <c r="BC94" s="162" t="e">
        <f t="shared" si="953"/>
        <v>#DIV/0!</v>
      </c>
      <c r="BD94" s="162" t="e">
        <f t="shared" si="953"/>
        <v>#DIV/0!</v>
      </c>
      <c r="BE94" s="162" t="e">
        <f t="shared" si="953"/>
        <v>#DIV/0!</v>
      </c>
      <c r="BF94" s="162" t="e">
        <f t="shared" si="953"/>
        <v>#DIV/0!</v>
      </c>
      <c r="BG94" s="162" t="e">
        <f t="shared" si="953"/>
        <v>#DIV/0!</v>
      </c>
      <c r="BH94" s="162" t="e">
        <f t="shared" si="953"/>
        <v>#DIV/0!</v>
      </c>
      <c r="BI94" s="162" t="e">
        <f t="shared" si="953"/>
        <v>#DIV/0!</v>
      </c>
      <c r="BJ94" s="162" t="e">
        <f t="shared" si="953"/>
        <v>#DIV/0!</v>
      </c>
      <c r="BK94" s="162" t="e">
        <f t="shared" si="953"/>
        <v>#DIV/0!</v>
      </c>
      <c r="BL94" s="162" t="e">
        <f t="shared" si="953"/>
        <v>#DIV/0!</v>
      </c>
      <c r="BM94" s="162" t="e">
        <f t="shared" si="953"/>
        <v>#DIV/0!</v>
      </c>
      <c r="BN94" s="162" t="e">
        <f t="shared" si="953"/>
        <v>#DIV/0!</v>
      </c>
      <c r="BO94" s="162" t="e">
        <f t="shared" si="953"/>
        <v>#DIV/0!</v>
      </c>
      <c r="BP94" s="162" t="e">
        <f t="shared" si="953"/>
        <v>#DIV/0!</v>
      </c>
      <c r="BQ94" s="162" t="e">
        <f t="shared" si="953"/>
        <v>#DIV/0!</v>
      </c>
      <c r="BR94" s="162" t="e">
        <f t="shared" si="953"/>
        <v>#DIV/0!</v>
      </c>
      <c r="BS94" s="162" t="e">
        <f t="shared" si="953"/>
        <v>#DIV/0!</v>
      </c>
      <c r="BT94" s="162" t="e">
        <f t="shared" si="953"/>
        <v>#DIV/0!</v>
      </c>
      <c r="BU94" s="162">
        <f t="shared" si="953"/>
        <v>0</v>
      </c>
      <c r="BV94" s="162">
        <f t="shared" si="953"/>
        <v>0</v>
      </c>
      <c r="BW94" s="162">
        <f t="shared" si="953"/>
        <v>0</v>
      </c>
      <c r="BX94" s="162">
        <f t="shared" si="953"/>
        <v>0</v>
      </c>
      <c r="BY94" s="162">
        <f t="shared" si="953"/>
        <v>12.73824804661036</v>
      </c>
      <c r="BZ94" s="162">
        <f t="shared" si="953"/>
        <v>5.6124932565582579</v>
      </c>
      <c r="CA94" s="162">
        <f t="shared" si="953"/>
        <v>4.3467053408242098</v>
      </c>
      <c r="CB94" s="162">
        <f t="shared" si="953"/>
        <v>4.641184541373411</v>
      </c>
      <c r="CC94" s="162">
        <f t="shared" si="953"/>
        <v>4.7981174450689341</v>
      </c>
      <c r="CD94" s="162">
        <f t="shared" si="953"/>
        <v>4.8612508888954178</v>
      </c>
      <c r="CE94" s="162">
        <f t="shared" si="953"/>
        <v>4.7211927116645773</v>
      </c>
      <c r="CF94" s="162">
        <f t="shared" si="953"/>
        <v>5.0500501257396238</v>
      </c>
      <c r="CG94" s="162">
        <f t="shared" si="953"/>
        <v>4.5589470709127111</v>
      </c>
      <c r="CH94" s="162">
        <f t="shared" si="953"/>
        <v>3.4131729056425142</v>
      </c>
      <c r="CI94" s="162">
        <f t="shared" si="953"/>
        <v>4.0940140768516313</v>
      </c>
      <c r="CJ94" s="162">
        <f>+CJ77/CJ$92</f>
        <v>4.4828983835416683</v>
      </c>
      <c r="CK94" s="162">
        <f>+CK77/CK$92</f>
        <v>3.5632426489396867</v>
      </c>
      <c r="CL94" s="162">
        <f>+CL77/CL$92</f>
        <v>3.6525594568626496</v>
      </c>
      <c r="CM94" s="21">
        <f t="shared" ref="CM94:DB94" si="954">+CM77/CM$92</f>
        <v>3.5552351614084401</v>
      </c>
      <c r="CN94" s="21">
        <f t="shared" si="954"/>
        <v>3.5061847029278885</v>
      </c>
      <c r="CO94" s="21">
        <f t="shared" si="954"/>
        <v>3.4697931163723283</v>
      </c>
      <c r="CP94" s="21">
        <f t="shared" si="954"/>
        <v>3.384025530556122</v>
      </c>
      <c r="CQ94" s="21">
        <f t="shared" si="954"/>
        <v>3.3038213015544557</v>
      </c>
      <c r="CR94" s="21">
        <f t="shared" si="954"/>
        <v>3.268160657631169</v>
      </c>
      <c r="CS94" s="21">
        <f t="shared" si="954"/>
        <v>3.2414128787382102</v>
      </c>
      <c r="CT94" s="21">
        <f t="shared" si="954"/>
        <v>3.1673337965805537</v>
      </c>
      <c r="CU94" s="21">
        <f t="shared" si="954"/>
        <v>3.0970208247208175</v>
      </c>
      <c r="CV94" s="21">
        <f t="shared" si="954"/>
        <v>3.0688817778478699</v>
      </c>
      <c r="CW94" s="21">
        <f t="shared" si="954"/>
        <v>3.0484683026265103</v>
      </c>
      <c r="CX94" s="21">
        <f t="shared" si="954"/>
        <v>2.9811893323029413</v>
      </c>
      <c r="CY94" s="21">
        <f t="shared" si="954"/>
        <v>2.9167117458913538</v>
      </c>
      <c r="CZ94" s="21">
        <f t="shared" si="954"/>
        <v>2.8930102010739889</v>
      </c>
      <c r="DA94" s="21">
        <f t="shared" si="954"/>
        <v>2.8764100321623189</v>
      </c>
      <c r="DB94" s="21">
        <f t="shared" si="954"/>
        <v>2.8131557422678157</v>
      </c>
      <c r="DE94" s="22"/>
      <c r="DF94" s="162">
        <v>3.4140024866776697</v>
      </c>
    </row>
    <row r="95" spans="1:110" s="162" customFormat="1" x14ac:dyDescent="0.2">
      <c r="A95" s="49" t="s">
        <v>503</v>
      </c>
      <c r="E95" s="162" t="e">
        <f t="shared" ca="1" si="951"/>
        <v>#DIV/0!</v>
      </c>
      <c r="F95" s="162" t="e">
        <f t="shared" ca="1" si="951"/>
        <v>#DIV/0!</v>
      </c>
      <c r="G95" s="162" t="e">
        <f t="shared" ca="1" si="951"/>
        <v>#DIV/0!</v>
      </c>
      <c r="H95" s="162" t="e">
        <f t="shared" ca="1" si="951"/>
        <v>#DIV/0!</v>
      </c>
      <c r="I95" s="162" t="e">
        <f t="shared" ca="1" si="951"/>
        <v>#DIV/0!</v>
      </c>
      <c r="J95" s="162" t="e">
        <f t="shared" ca="1" si="951"/>
        <v>#DIV/0!</v>
      </c>
      <c r="K95" s="162" t="e">
        <f t="shared" ca="1" si="951"/>
        <v>#DIV/0!</v>
      </c>
      <c r="L95" s="162" t="e">
        <f t="shared" ca="1" si="951"/>
        <v>#DIV/0!</v>
      </c>
      <c r="M95" s="162" t="e">
        <f t="shared" ca="1" si="951"/>
        <v>#DIV/0!</v>
      </c>
      <c r="N95" s="162" t="e">
        <f t="shared" ca="1" si="951"/>
        <v>#DIV/0!</v>
      </c>
      <c r="O95" s="162" t="e">
        <f t="shared" ca="1" si="951"/>
        <v>#DIV/0!</v>
      </c>
      <c r="P95" s="162">
        <f t="shared" ca="1" si="951"/>
        <v>0</v>
      </c>
      <c r="Q95" s="162">
        <f t="shared" ca="1" si="951"/>
        <v>0</v>
      </c>
      <c r="R95" s="162">
        <f t="shared" ca="1" si="951"/>
        <v>0</v>
      </c>
      <c r="S95" s="162">
        <f t="shared" ca="1" si="951"/>
        <v>0</v>
      </c>
      <c r="T95" s="162">
        <f t="shared" ca="1" si="951"/>
        <v>0</v>
      </c>
      <c r="U95" s="162">
        <f t="shared" ca="1" si="951"/>
        <v>0</v>
      </c>
      <c r="V95" s="162">
        <f t="shared" ca="1" si="951"/>
        <v>0</v>
      </c>
      <c r="W95" s="162">
        <f t="shared" ca="1" si="951"/>
        <v>0</v>
      </c>
      <c r="X95" s="162">
        <f t="shared" ca="1" si="951"/>
        <v>6.3131100631871062</v>
      </c>
      <c r="Y95" s="162">
        <f t="shared" ca="1" si="951"/>
        <v>6.0817573148725232</v>
      </c>
      <c r="Z95" s="162">
        <f t="shared" ca="1" si="951"/>
        <v>5.5039985768341131</v>
      </c>
      <c r="AA95" s="162">
        <f t="shared" ref="AA95" ca="1" si="955">+AA78/AA$92</f>
        <v>5.5039985768341131</v>
      </c>
      <c r="AB95" s="21">
        <f t="shared" ca="1" si="951"/>
        <v>3.9646829056041164</v>
      </c>
      <c r="AC95" s="21">
        <f t="shared" ca="1" si="951"/>
        <v>3.5300266682912689</v>
      </c>
      <c r="AD95" s="21">
        <f t="shared" ca="1" si="951"/>
        <v>3.1373302503481799</v>
      </c>
      <c r="AE95" s="21">
        <f t="shared" ca="1" si="951"/>
        <v>2.9348530787076279</v>
      </c>
      <c r="AL95" s="162" t="e">
        <f t="shared" si="953"/>
        <v>#DIV/0!</v>
      </c>
      <c r="AM95" s="162" t="e">
        <f t="shared" si="953"/>
        <v>#DIV/0!</v>
      </c>
      <c r="AN95" s="162" t="e">
        <f t="shared" si="953"/>
        <v>#DIV/0!</v>
      </c>
      <c r="AO95" s="162" t="e">
        <f t="shared" si="953"/>
        <v>#DIV/0!</v>
      </c>
      <c r="AP95" s="162" t="e">
        <f t="shared" si="953"/>
        <v>#DIV/0!</v>
      </c>
      <c r="AQ95" s="162" t="e">
        <f t="shared" si="953"/>
        <v>#DIV/0!</v>
      </c>
      <c r="AR95" s="162" t="e">
        <f t="shared" si="953"/>
        <v>#DIV/0!</v>
      </c>
      <c r="AS95" s="162" t="e">
        <f t="shared" si="953"/>
        <v>#DIV/0!</v>
      </c>
      <c r="AT95" s="162" t="e">
        <f t="shared" si="953"/>
        <v>#DIV/0!</v>
      </c>
      <c r="AU95" s="162" t="e">
        <f t="shared" si="953"/>
        <v>#DIV/0!</v>
      </c>
      <c r="AV95" s="162" t="e">
        <f t="shared" si="953"/>
        <v>#DIV/0!</v>
      </c>
      <c r="AW95" s="162" t="e">
        <f t="shared" si="953"/>
        <v>#DIV/0!</v>
      </c>
      <c r="AX95" s="162" t="e">
        <f t="shared" si="953"/>
        <v>#DIV/0!</v>
      </c>
      <c r="AY95" s="162" t="e">
        <f t="shared" si="953"/>
        <v>#DIV/0!</v>
      </c>
      <c r="AZ95" s="162" t="e">
        <f t="shared" si="953"/>
        <v>#DIV/0!</v>
      </c>
      <c r="BA95" s="162" t="e">
        <f t="shared" si="953"/>
        <v>#DIV/0!</v>
      </c>
      <c r="BB95" s="162" t="e">
        <f t="shared" si="953"/>
        <v>#DIV/0!</v>
      </c>
      <c r="BC95" s="162" t="e">
        <f t="shared" si="953"/>
        <v>#DIV/0!</v>
      </c>
      <c r="BD95" s="162" t="e">
        <f t="shared" si="953"/>
        <v>#DIV/0!</v>
      </c>
      <c r="BE95" s="162" t="e">
        <f t="shared" si="953"/>
        <v>#DIV/0!</v>
      </c>
      <c r="BF95" s="162" t="e">
        <f t="shared" si="953"/>
        <v>#DIV/0!</v>
      </c>
      <c r="BG95" s="162" t="e">
        <f t="shared" si="953"/>
        <v>#DIV/0!</v>
      </c>
      <c r="BH95" s="162" t="e">
        <f t="shared" si="953"/>
        <v>#DIV/0!</v>
      </c>
      <c r="BI95" s="162" t="e">
        <f t="shared" si="953"/>
        <v>#DIV/0!</v>
      </c>
      <c r="BJ95" s="162" t="e">
        <f t="shared" si="953"/>
        <v>#DIV/0!</v>
      </c>
      <c r="BK95" s="162" t="e">
        <f t="shared" si="953"/>
        <v>#DIV/0!</v>
      </c>
      <c r="BL95" s="162" t="e">
        <f t="shared" si="953"/>
        <v>#DIV/0!</v>
      </c>
      <c r="BM95" s="162" t="e">
        <f t="shared" si="953"/>
        <v>#DIV/0!</v>
      </c>
      <c r="BN95" s="162" t="e">
        <f t="shared" si="953"/>
        <v>#DIV/0!</v>
      </c>
      <c r="BO95" s="162" t="e">
        <f t="shared" si="953"/>
        <v>#DIV/0!</v>
      </c>
      <c r="BP95" s="162" t="e">
        <f t="shared" si="953"/>
        <v>#DIV/0!</v>
      </c>
      <c r="BQ95" s="162" t="e">
        <f t="shared" si="953"/>
        <v>#DIV/0!</v>
      </c>
      <c r="BR95" s="162" t="e">
        <f t="shared" si="953"/>
        <v>#DIV/0!</v>
      </c>
      <c r="BS95" s="162" t="e">
        <f t="shared" si="953"/>
        <v>#DIV/0!</v>
      </c>
      <c r="BT95" s="162" t="e">
        <f t="shared" si="953"/>
        <v>#DIV/0!</v>
      </c>
      <c r="BU95" s="162">
        <f t="shared" si="953"/>
        <v>0</v>
      </c>
      <c r="BV95" s="162">
        <f t="shared" si="953"/>
        <v>0</v>
      </c>
      <c r="BW95" s="162">
        <f t="shared" si="953"/>
        <v>0</v>
      </c>
      <c r="BX95" s="162">
        <f t="shared" si="953"/>
        <v>0</v>
      </c>
      <c r="BY95" s="162">
        <f t="shared" si="953"/>
        <v>13.438724440002122</v>
      </c>
      <c r="BZ95" s="162">
        <f t="shared" si="953"/>
        <v>6.3115751352182343</v>
      </c>
      <c r="CA95" s="162">
        <f t="shared" si="953"/>
        <v>5.2937528731825578</v>
      </c>
      <c r="CB95" s="162">
        <f t="shared" si="953"/>
        <v>5.3930643101624876</v>
      </c>
      <c r="CC95" s="162">
        <f t="shared" si="953"/>
        <v>5.0864925111156101</v>
      </c>
      <c r="CD95" s="162">
        <f t="shared" si="953"/>
        <v>6.0802812729570093</v>
      </c>
      <c r="CE95" s="162">
        <f t="shared" si="953"/>
        <v>5.0639739190234572</v>
      </c>
      <c r="CF95" s="162">
        <f t="shared" si="953"/>
        <v>5.8160787949409292</v>
      </c>
      <c r="CG95" s="162">
        <f t="shared" si="953"/>
        <v>4.976958433639501</v>
      </c>
      <c r="CH95" s="162">
        <f t="shared" si="953"/>
        <v>4.5689966144016578</v>
      </c>
      <c r="CI95" s="162">
        <f t="shared" si="953"/>
        <v>4.3364398629096605</v>
      </c>
      <c r="CJ95" s="162">
        <f t="shared" ref="CJ95:CK96" si="956">+CJ78/CJ$92</f>
        <v>4.7189086542401304</v>
      </c>
      <c r="CK95" s="162">
        <f t="shared" si="956"/>
        <v>4.508743080370694</v>
      </c>
      <c r="CL95" s="162">
        <f t="shared" ref="CL95" si="957">+CL78/CL$92</f>
        <v>3.9093435686574249</v>
      </c>
      <c r="CM95" s="94">
        <f t="shared" ref="CM95:DB95" si="958">+CL95</f>
        <v>3.9093435686574249</v>
      </c>
      <c r="CN95" s="94">
        <f t="shared" si="958"/>
        <v>3.9093435686574249</v>
      </c>
      <c r="CO95" s="94">
        <f t="shared" si="958"/>
        <v>3.9093435686574249</v>
      </c>
      <c r="CP95" s="94">
        <f t="shared" si="958"/>
        <v>3.9093435686574249</v>
      </c>
      <c r="CQ95" s="94">
        <f t="shared" si="958"/>
        <v>3.9093435686574249</v>
      </c>
      <c r="CR95" s="94">
        <f t="shared" si="958"/>
        <v>3.9093435686574249</v>
      </c>
      <c r="CS95" s="94">
        <f t="shared" si="958"/>
        <v>3.9093435686574249</v>
      </c>
      <c r="CT95" s="94">
        <f t="shared" si="958"/>
        <v>3.9093435686574249</v>
      </c>
      <c r="CU95" s="94">
        <f t="shared" si="958"/>
        <v>3.9093435686574249</v>
      </c>
      <c r="CV95" s="94">
        <f t="shared" si="958"/>
        <v>3.9093435686574249</v>
      </c>
      <c r="CW95" s="94">
        <f t="shared" si="958"/>
        <v>3.9093435686574249</v>
      </c>
      <c r="CX95" s="94">
        <f t="shared" si="958"/>
        <v>3.9093435686574249</v>
      </c>
      <c r="CY95" s="94">
        <f t="shared" si="958"/>
        <v>3.9093435686574249</v>
      </c>
      <c r="CZ95" s="94">
        <f t="shared" si="958"/>
        <v>3.9093435686574249</v>
      </c>
      <c r="DA95" s="94">
        <f t="shared" si="958"/>
        <v>3.9093435686574249</v>
      </c>
      <c r="DB95" s="94">
        <f t="shared" si="958"/>
        <v>3.9093435686574249</v>
      </c>
      <c r="DC95" s="94"/>
      <c r="DE95" s="22"/>
      <c r="DF95" s="162">
        <v>5.5039985768341131</v>
      </c>
    </row>
    <row r="96" spans="1:110" s="162" customFormat="1" x14ac:dyDescent="0.2">
      <c r="A96" s="49" t="s">
        <v>504</v>
      </c>
      <c r="E96" s="162" t="e">
        <f t="shared" ca="1" si="951"/>
        <v>#DIV/0!</v>
      </c>
      <c r="F96" s="162" t="e">
        <f t="shared" ca="1" si="951"/>
        <v>#DIV/0!</v>
      </c>
      <c r="G96" s="162" t="e">
        <f t="shared" ca="1" si="951"/>
        <v>#DIV/0!</v>
      </c>
      <c r="H96" s="162" t="e">
        <f t="shared" ca="1" si="951"/>
        <v>#DIV/0!</v>
      </c>
      <c r="I96" s="162" t="e">
        <f t="shared" ca="1" si="951"/>
        <v>#DIV/0!</v>
      </c>
      <c r="J96" s="162" t="e">
        <f t="shared" ca="1" si="951"/>
        <v>#DIV/0!</v>
      </c>
      <c r="K96" s="162" t="e">
        <f t="shared" ca="1" si="951"/>
        <v>#DIV/0!</v>
      </c>
      <c r="L96" s="162" t="e">
        <f t="shared" ca="1" si="951"/>
        <v>#DIV/0!</v>
      </c>
      <c r="M96" s="162" t="e">
        <f t="shared" ca="1" si="951"/>
        <v>#DIV/0!</v>
      </c>
      <c r="N96" s="162" t="e">
        <f t="shared" ca="1" si="951"/>
        <v>#DIV/0!</v>
      </c>
      <c r="O96" s="162" t="e">
        <f t="shared" ca="1" si="951"/>
        <v>#DIV/0!</v>
      </c>
      <c r="P96" s="162">
        <f t="shared" ca="1" si="951"/>
        <v>0</v>
      </c>
      <c r="Q96" s="162">
        <f t="shared" ca="1" si="951"/>
        <v>0</v>
      </c>
      <c r="R96" s="162">
        <f t="shared" ca="1" si="951"/>
        <v>0</v>
      </c>
      <c r="S96" s="162">
        <f t="shared" ca="1" si="951"/>
        <v>0</v>
      </c>
      <c r="T96" s="162">
        <f t="shared" ca="1" si="951"/>
        <v>0</v>
      </c>
      <c r="U96" s="162">
        <f t="shared" ca="1" si="951"/>
        <v>0</v>
      </c>
      <c r="V96" s="162">
        <f t="shared" ca="1" si="951"/>
        <v>0</v>
      </c>
      <c r="W96" s="162">
        <f t="shared" ca="1" si="951"/>
        <v>0</v>
      </c>
      <c r="X96" s="162">
        <f t="shared" ca="1" si="951"/>
        <v>3.7964934517328133</v>
      </c>
      <c r="Y96" s="162">
        <f t="shared" ca="1" si="951"/>
        <v>3.5915889654758995</v>
      </c>
      <c r="Z96" s="162">
        <f t="shared" ca="1" si="951"/>
        <v>2.7089475546632396</v>
      </c>
      <c r="AA96" s="162">
        <f t="shared" ref="AA96" ca="1" si="959">+AA79/AA$92</f>
        <v>2.7089475546632396</v>
      </c>
      <c r="AB96" s="21">
        <f t="shared" ca="1" si="951"/>
        <v>3.0630783613827299</v>
      </c>
      <c r="AC96" s="21">
        <f t="shared" ca="1" si="951"/>
        <v>2.6678717823752311</v>
      </c>
      <c r="AD96" s="21">
        <f t="shared" ca="1" si="951"/>
        <v>2.4252825149733357</v>
      </c>
      <c r="AE96" s="21">
        <f t="shared" ca="1" si="951"/>
        <v>2.2998159971282566</v>
      </c>
      <c r="AL96" s="162" t="e">
        <f t="shared" si="953"/>
        <v>#DIV/0!</v>
      </c>
      <c r="AM96" s="162" t="e">
        <f t="shared" si="953"/>
        <v>#DIV/0!</v>
      </c>
      <c r="AN96" s="162" t="e">
        <f t="shared" si="953"/>
        <v>#DIV/0!</v>
      </c>
      <c r="AO96" s="162" t="e">
        <f t="shared" si="953"/>
        <v>#DIV/0!</v>
      </c>
      <c r="AP96" s="162" t="e">
        <f t="shared" si="953"/>
        <v>#DIV/0!</v>
      </c>
      <c r="AQ96" s="162" t="e">
        <f t="shared" si="953"/>
        <v>#DIV/0!</v>
      </c>
      <c r="AR96" s="162" t="e">
        <f t="shared" si="953"/>
        <v>#DIV/0!</v>
      </c>
      <c r="AS96" s="162" t="e">
        <f t="shared" si="953"/>
        <v>#DIV/0!</v>
      </c>
      <c r="AT96" s="162" t="e">
        <f t="shared" si="953"/>
        <v>#DIV/0!</v>
      </c>
      <c r="AU96" s="162" t="e">
        <f t="shared" si="953"/>
        <v>#DIV/0!</v>
      </c>
      <c r="AV96" s="162" t="e">
        <f t="shared" si="953"/>
        <v>#DIV/0!</v>
      </c>
      <c r="AW96" s="162" t="e">
        <f t="shared" si="953"/>
        <v>#DIV/0!</v>
      </c>
      <c r="AX96" s="162" t="e">
        <f t="shared" si="953"/>
        <v>#DIV/0!</v>
      </c>
      <c r="AY96" s="162" t="e">
        <f t="shared" si="953"/>
        <v>#DIV/0!</v>
      </c>
      <c r="AZ96" s="162" t="e">
        <f t="shared" si="953"/>
        <v>#DIV/0!</v>
      </c>
      <c r="BA96" s="162" t="e">
        <f t="shared" si="953"/>
        <v>#DIV/0!</v>
      </c>
      <c r="BB96" s="162" t="e">
        <f t="shared" si="953"/>
        <v>#DIV/0!</v>
      </c>
      <c r="BC96" s="162" t="e">
        <f t="shared" si="953"/>
        <v>#DIV/0!</v>
      </c>
      <c r="BD96" s="162" t="e">
        <f t="shared" si="953"/>
        <v>#DIV/0!</v>
      </c>
      <c r="BE96" s="162" t="e">
        <f t="shared" si="953"/>
        <v>#DIV/0!</v>
      </c>
      <c r="BF96" s="162" t="e">
        <f t="shared" si="953"/>
        <v>#DIV/0!</v>
      </c>
      <c r="BG96" s="162" t="e">
        <f t="shared" si="953"/>
        <v>#DIV/0!</v>
      </c>
      <c r="BH96" s="162" t="e">
        <f t="shared" si="953"/>
        <v>#DIV/0!</v>
      </c>
      <c r="BI96" s="162" t="e">
        <f t="shared" si="953"/>
        <v>#DIV/0!</v>
      </c>
      <c r="BJ96" s="162" t="e">
        <f t="shared" si="953"/>
        <v>#DIV/0!</v>
      </c>
      <c r="BK96" s="162" t="e">
        <f t="shared" si="953"/>
        <v>#DIV/0!</v>
      </c>
      <c r="BL96" s="162" t="e">
        <f t="shared" si="953"/>
        <v>#DIV/0!</v>
      </c>
      <c r="BM96" s="162" t="e">
        <f t="shared" si="953"/>
        <v>#DIV/0!</v>
      </c>
      <c r="BN96" s="162" t="e">
        <f t="shared" si="953"/>
        <v>#DIV/0!</v>
      </c>
      <c r="BO96" s="162" t="e">
        <f t="shared" si="953"/>
        <v>#DIV/0!</v>
      </c>
      <c r="BP96" s="162" t="e">
        <f t="shared" si="953"/>
        <v>#DIV/0!</v>
      </c>
      <c r="BQ96" s="162" t="e">
        <f t="shared" si="953"/>
        <v>#DIV/0!</v>
      </c>
      <c r="BR96" s="162" t="e">
        <f t="shared" si="953"/>
        <v>#DIV/0!</v>
      </c>
      <c r="BS96" s="162" t="e">
        <f t="shared" si="953"/>
        <v>#DIV/0!</v>
      </c>
      <c r="BT96" s="162" t="e">
        <f t="shared" si="953"/>
        <v>#DIV/0!</v>
      </c>
      <c r="BU96" s="162">
        <f t="shared" si="953"/>
        <v>0</v>
      </c>
      <c r="BV96" s="162">
        <f t="shared" si="953"/>
        <v>0</v>
      </c>
      <c r="BW96" s="162">
        <f t="shared" si="953"/>
        <v>0</v>
      </c>
      <c r="BX96" s="162">
        <f t="shared" si="953"/>
        <v>0</v>
      </c>
      <c r="BY96" s="162">
        <f t="shared" si="953"/>
        <v>0</v>
      </c>
      <c r="BZ96" s="162">
        <f t="shared" si="953"/>
        <v>4.4554070872524481</v>
      </c>
      <c r="CA96" s="162">
        <f t="shared" si="953"/>
        <v>4.2001962781260378</v>
      </c>
      <c r="CB96" s="162">
        <f t="shared" si="953"/>
        <v>3.8971778591685129</v>
      </c>
      <c r="CC96" s="162">
        <f t="shared" si="953"/>
        <v>3.7732768257338218</v>
      </c>
      <c r="CD96" s="162">
        <f t="shared" si="953"/>
        <v>4.1456463224706877</v>
      </c>
      <c r="CE96" s="162">
        <f t="shared" si="953"/>
        <v>4.1197353766905414</v>
      </c>
      <c r="CF96" s="162">
        <f t="shared" si="953"/>
        <v>4.656012537105239</v>
      </c>
      <c r="CG96" s="162">
        <f t="shared" si="953"/>
        <v>4.026808726512348</v>
      </c>
      <c r="CH96" s="162">
        <f t="shared" si="953"/>
        <v>2.7082892975221422</v>
      </c>
      <c r="CI96" s="162">
        <f t="shared" si="953"/>
        <v>3.109726493618699</v>
      </c>
      <c r="CJ96" s="162">
        <f t="shared" si="956"/>
        <v>3.9466882355536792</v>
      </c>
      <c r="CK96" s="162">
        <f t="shared" si="956"/>
        <v>3.0946562223869889</v>
      </c>
      <c r="CL96" s="162">
        <f t="shared" ref="CL96" si="960">+CL79/CL$92</f>
        <v>3.1280973618636243</v>
      </c>
      <c r="CM96" s="94">
        <f t="shared" ref="CM96:DB96" si="961">+CL96</f>
        <v>3.1280973618636243</v>
      </c>
      <c r="CN96" s="94">
        <f t="shared" si="961"/>
        <v>3.1280973618636243</v>
      </c>
      <c r="CO96" s="94">
        <f t="shared" si="961"/>
        <v>3.1280973618636243</v>
      </c>
      <c r="CP96" s="94">
        <f t="shared" si="961"/>
        <v>3.1280973618636243</v>
      </c>
      <c r="CQ96" s="94">
        <f t="shared" si="961"/>
        <v>3.1280973618636243</v>
      </c>
      <c r="CR96" s="94">
        <f t="shared" si="961"/>
        <v>3.1280973618636243</v>
      </c>
      <c r="CS96" s="94">
        <f t="shared" si="961"/>
        <v>3.1280973618636243</v>
      </c>
      <c r="CT96" s="94">
        <f t="shared" si="961"/>
        <v>3.1280973618636243</v>
      </c>
      <c r="CU96" s="94">
        <f t="shared" si="961"/>
        <v>3.1280973618636243</v>
      </c>
      <c r="CV96" s="94">
        <f t="shared" si="961"/>
        <v>3.1280973618636243</v>
      </c>
      <c r="CW96" s="94">
        <f t="shared" si="961"/>
        <v>3.1280973618636243</v>
      </c>
      <c r="CX96" s="94">
        <f t="shared" si="961"/>
        <v>3.1280973618636243</v>
      </c>
      <c r="CY96" s="94">
        <f t="shared" si="961"/>
        <v>3.1280973618636243</v>
      </c>
      <c r="CZ96" s="94">
        <f t="shared" si="961"/>
        <v>3.1280973618636243</v>
      </c>
      <c r="DA96" s="94">
        <f t="shared" si="961"/>
        <v>3.1280973618636243</v>
      </c>
      <c r="DB96" s="94">
        <f t="shared" si="961"/>
        <v>3.1280973618636243</v>
      </c>
      <c r="DC96" s="94"/>
      <c r="DE96" s="22"/>
      <c r="DF96" s="162">
        <v>2.7089475546632396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62">+E10</f>
        <v>0</v>
      </c>
      <c r="F98" s="177">
        <f t="shared" si="962"/>
        <v>0</v>
      </c>
      <c r="G98" s="177">
        <f t="shared" si="962"/>
        <v>0</v>
      </c>
      <c r="H98" s="177">
        <f t="shared" si="962"/>
        <v>0</v>
      </c>
      <c r="I98" s="177">
        <f t="shared" si="962"/>
        <v>0</v>
      </c>
      <c r="J98" s="177">
        <f t="shared" si="962"/>
        <v>0</v>
      </c>
      <c r="K98" s="177">
        <f t="shared" si="962"/>
        <v>0</v>
      </c>
      <c r="L98" s="177">
        <f t="shared" si="962"/>
        <v>0</v>
      </c>
      <c r="M98" s="177">
        <f t="shared" si="962"/>
        <v>0</v>
      </c>
      <c r="N98" s="177">
        <f t="shared" si="962"/>
        <v>0</v>
      </c>
      <c r="O98" s="177">
        <f t="shared" si="962"/>
        <v>0</v>
      </c>
      <c r="P98" s="177">
        <f t="shared" si="962"/>
        <v>225.03139999999999</v>
      </c>
      <c r="Q98" s="177">
        <f t="shared" si="962"/>
        <v>340.53480000000002</v>
      </c>
      <c r="R98" s="177">
        <f t="shared" si="962"/>
        <v>287.64569999999998</v>
      </c>
      <c r="S98" s="177">
        <f t="shared" si="962"/>
        <v>438.82919999999996</v>
      </c>
      <c r="T98" s="177">
        <f t="shared" si="962"/>
        <v>565.50599999999997</v>
      </c>
      <c r="U98" s="177">
        <f t="shared" si="962"/>
        <v>608.16999999999996</v>
      </c>
      <c r="V98" s="177">
        <f t="shared" si="962"/>
        <v>740.76430000000005</v>
      </c>
      <c r="W98" s="177">
        <f t="shared" si="962"/>
        <v>1130.4371000000001</v>
      </c>
      <c r="X98" s="177">
        <f t="shared" si="962"/>
        <v>1441.0659000000001</v>
      </c>
      <c r="Y98" s="177">
        <f t="shared" si="962"/>
        <v>1330.0895</v>
      </c>
      <c r="Z98" s="177">
        <f>+Z10</f>
        <v>1041.0179000000001</v>
      </c>
      <c r="AA98" s="177">
        <f>+AA10</f>
        <v>1081.0507</v>
      </c>
      <c r="AB98" s="178">
        <f t="shared" ref="AB98:AE98" si="963">+AB10</f>
        <v>1310.3950905902382</v>
      </c>
      <c r="AC98" s="178">
        <f t="shared" si="963"/>
        <v>1451.819525118374</v>
      </c>
      <c r="AD98" s="178">
        <f t="shared" si="963"/>
        <v>1608.2275295108732</v>
      </c>
      <c r="AE98" s="178">
        <f t="shared" si="963"/>
        <v>1781.5820266781898</v>
      </c>
      <c r="AL98" s="177">
        <f t="shared" ref="AL98:BQ98" si="964">+SUM(AI8:AL8)</f>
        <v>0</v>
      </c>
      <c r="AM98" s="177">
        <f t="shared" si="964"/>
        <v>0</v>
      </c>
      <c r="AN98" s="177">
        <f t="shared" si="964"/>
        <v>0</v>
      </c>
      <c r="AO98" s="177">
        <f t="shared" si="964"/>
        <v>0</v>
      </c>
      <c r="AP98" s="177">
        <f t="shared" si="964"/>
        <v>0</v>
      </c>
      <c r="AQ98" s="177">
        <f t="shared" si="964"/>
        <v>0</v>
      </c>
      <c r="AR98" s="177">
        <f t="shared" si="964"/>
        <v>0</v>
      </c>
      <c r="AS98" s="177">
        <f t="shared" si="964"/>
        <v>0</v>
      </c>
      <c r="AT98" s="177">
        <f t="shared" si="964"/>
        <v>0</v>
      </c>
      <c r="AU98" s="177">
        <f t="shared" si="964"/>
        <v>0</v>
      </c>
      <c r="AV98" s="177">
        <f t="shared" si="964"/>
        <v>0</v>
      </c>
      <c r="AW98" s="177">
        <f t="shared" si="964"/>
        <v>0</v>
      </c>
      <c r="AX98" s="177">
        <f t="shared" si="964"/>
        <v>0</v>
      </c>
      <c r="AY98" s="177">
        <f t="shared" si="964"/>
        <v>0</v>
      </c>
      <c r="AZ98" s="177">
        <f t="shared" si="964"/>
        <v>0</v>
      </c>
      <c r="BA98" s="177">
        <f t="shared" si="964"/>
        <v>0</v>
      </c>
      <c r="BB98" s="177">
        <f t="shared" si="964"/>
        <v>0</v>
      </c>
      <c r="BC98" s="177">
        <f t="shared" si="964"/>
        <v>0</v>
      </c>
      <c r="BD98" s="177">
        <f t="shared" si="964"/>
        <v>0</v>
      </c>
      <c r="BE98" s="177">
        <f t="shared" si="964"/>
        <v>0</v>
      </c>
      <c r="BF98" s="177">
        <f t="shared" si="964"/>
        <v>0</v>
      </c>
      <c r="BG98" s="177">
        <f t="shared" si="964"/>
        <v>0</v>
      </c>
      <c r="BH98" s="177">
        <f t="shared" si="964"/>
        <v>0</v>
      </c>
      <c r="BI98" s="177">
        <f t="shared" si="964"/>
        <v>0</v>
      </c>
      <c r="BJ98" s="177">
        <f t="shared" si="964"/>
        <v>0</v>
      </c>
      <c r="BK98" s="177">
        <f t="shared" si="964"/>
        <v>0</v>
      </c>
      <c r="BL98" s="177">
        <f t="shared" si="964"/>
        <v>0</v>
      </c>
      <c r="BM98" s="177">
        <f t="shared" si="964"/>
        <v>0</v>
      </c>
      <c r="BN98" s="177">
        <f t="shared" si="964"/>
        <v>0</v>
      </c>
      <c r="BO98" s="177">
        <f t="shared" si="964"/>
        <v>0</v>
      </c>
      <c r="BP98" s="177">
        <f t="shared" si="964"/>
        <v>0</v>
      </c>
      <c r="BQ98" s="177">
        <f t="shared" si="964"/>
        <v>0</v>
      </c>
      <c r="BR98" s="177">
        <f t="shared" ref="BR98:CW98" si="965">+SUM(BO8:BR8)</f>
        <v>0</v>
      </c>
      <c r="BS98" s="177">
        <f t="shared" si="965"/>
        <v>0</v>
      </c>
      <c r="BT98" s="177">
        <f t="shared" si="965"/>
        <v>249.75</v>
      </c>
      <c r="BU98" s="177">
        <f t="shared" si="965"/>
        <v>557.07500000000005</v>
      </c>
      <c r="BV98" s="177">
        <f t="shared" si="965"/>
        <v>929.67700000000002</v>
      </c>
      <c r="BW98" s="177">
        <f t="shared" si="965"/>
        <v>1329.951</v>
      </c>
      <c r="BX98" s="177">
        <f t="shared" si="965"/>
        <v>1373.6959999999999</v>
      </c>
      <c r="BY98" s="177">
        <f t="shared" si="965"/>
        <v>1431.2940000000001</v>
      </c>
      <c r="BZ98" s="177">
        <f t="shared" si="965"/>
        <v>1441.067</v>
      </c>
      <c r="CA98" s="177">
        <f t="shared" si="965"/>
        <v>1383.8870000000002</v>
      </c>
      <c r="CB98" s="177">
        <f t="shared" si="965"/>
        <v>1380.857</v>
      </c>
      <c r="CC98" s="177">
        <f t="shared" si="965"/>
        <v>1428.56</v>
      </c>
      <c r="CD98" s="177">
        <f t="shared" si="965"/>
        <v>1330.09</v>
      </c>
      <c r="CE98" s="177">
        <f t="shared" si="965"/>
        <v>1199.6879999999999</v>
      </c>
      <c r="CF98" s="177">
        <f t="shared" si="965"/>
        <v>1149.6779999999999</v>
      </c>
      <c r="CG98" s="177">
        <f t="shared" si="965"/>
        <v>979.346</v>
      </c>
      <c r="CH98" s="177">
        <f t="shared" si="965"/>
        <v>1041.018</v>
      </c>
      <c r="CI98" s="177">
        <f t="shared" si="965"/>
        <v>1120.6849999999999</v>
      </c>
      <c r="CJ98" s="177">
        <f t="shared" si="965"/>
        <v>1113.414</v>
      </c>
      <c r="CK98" s="177">
        <f t="shared" si="965"/>
        <v>1125.6849999999999</v>
      </c>
      <c r="CL98" s="177">
        <f t="shared" si="965"/>
        <v>1178.5754968229512</v>
      </c>
      <c r="CM98" s="178">
        <f t="shared" si="965"/>
        <v>1218.6302508397875</v>
      </c>
      <c r="CN98" s="178">
        <f t="shared" si="965"/>
        <v>1236.7289301319422</v>
      </c>
      <c r="CO98" s="178">
        <f t="shared" si="965"/>
        <v>1263.3510652918167</v>
      </c>
      <c r="CP98" s="178">
        <f t="shared" si="965"/>
        <v>1310.3950905902382</v>
      </c>
      <c r="CQ98" s="178">
        <f t="shared" si="965"/>
        <v>1346.7330776173026</v>
      </c>
      <c r="CR98" s="178">
        <f t="shared" si="965"/>
        <v>1372.4626836167517</v>
      </c>
      <c r="CS98" s="178">
        <f t="shared" si="965"/>
        <v>1402.9960866082611</v>
      </c>
      <c r="CT98" s="178">
        <f t="shared" si="965"/>
        <v>1451.819525118374</v>
      </c>
      <c r="CU98" s="178">
        <f t="shared" si="965"/>
        <v>1491.4498011537689</v>
      </c>
      <c r="CV98" s="178">
        <f t="shared" si="965"/>
        <v>1521.0929968809148</v>
      </c>
      <c r="CW98" s="178">
        <f t="shared" si="965"/>
        <v>1554.8101655699793</v>
      </c>
      <c r="CX98" s="178">
        <f t="shared" ref="CX98:DB98" si="966">+SUM(CU8:CX8)</f>
        <v>1608.2275295108732</v>
      </c>
      <c r="CY98" s="178">
        <f t="shared" si="966"/>
        <v>1652.2006356143506</v>
      </c>
      <c r="CZ98" s="178">
        <f t="shared" si="966"/>
        <v>1685.23590846708</v>
      </c>
      <c r="DA98" s="178">
        <f t="shared" si="966"/>
        <v>1722.5110399802352</v>
      </c>
      <c r="DB98" s="178">
        <f t="shared" si="966"/>
        <v>1781.5820266781898</v>
      </c>
      <c r="DE98" s="179"/>
      <c r="DF98" s="177">
        <v>1081.0507</v>
      </c>
    </row>
    <row r="99" spans="1:110" s="163" customFormat="1" x14ac:dyDescent="0.2">
      <c r="A99" s="163" t="s">
        <v>511</v>
      </c>
      <c r="E99" s="163">
        <f t="shared" ref="E99:AE99" ca="1" si="967">+E98/E65</f>
        <v>0</v>
      </c>
      <c r="F99" s="163">
        <f t="shared" ca="1" si="967"/>
        <v>0</v>
      </c>
      <c r="G99" s="163">
        <f t="shared" ca="1" si="967"/>
        <v>0</v>
      </c>
      <c r="H99" s="163">
        <f t="shared" ca="1" si="967"/>
        <v>0</v>
      </c>
      <c r="I99" s="163">
        <f t="shared" ca="1" si="967"/>
        <v>0</v>
      </c>
      <c r="J99" s="163">
        <f t="shared" ca="1" si="967"/>
        <v>0</v>
      </c>
      <c r="K99" s="163">
        <f t="shared" ca="1" si="967"/>
        <v>0</v>
      </c>
      <c r="L99" s="163">
        <f t="shared" ca="1" si="967"/>
        <v>0</v>
      </c>
      <c r="M99" s="163">
        <f t="shared" ca="1" si="967"/>
        <v>0</v>
      </c>
      <c r="N99" s="163">
        <f t="shared" ca="1" si="967"/>
        <v>0</v>
      </c>
      <c r="O99" s="163">
        <f t="shared" ca="1" si="967"/>
        <v>0</v>
      </c>
      <c r="P99" s="163">
        <f t="shared" ca="1" si="967"/>
        <v>18.227069496193099</v>
      </c>
      <c r="Q99" s="163">
        <f t="shared" ca="1" si="967"/>
        <v>27.582601652357042</v>
      </c>
      <c r="R99" s="163">
        <f t="shared" ca="1" si="967"/>
        <v>23.298695933905716</v>
      </c>
      <c r="S99" s="163">
        <f t="shared" ca="1" si="967"/>
        <v>35.544241049732705</v>
      </c>
      <c r="T99" s="163">
        <f t="shared" ca="1" si="967"/>
        <v>45.804795075328038</v>
      </c>
      <c r="U99" s="163">
        <f t="shared" ca="1" si="967"/>
        <v>49.26048922728009</v>
      </c>
      <c r="V99" s="163">
        <f t="shared" ca="1" si="967"/>
        <v>60.000348290944437</v>
      </c>
      <c r="W99" s="163">
        <f t="shared" ca="1" si="967"/>
        <v>91.563024461364009</v>
      </c>
      <c r="X99" s="163">
        <f t="shared" ca="1" si="967"/>
        <v>116.72330309411956</v>
      </c>
      <c r="Y99" s="163">
        <f t="shared" ca="1" si="967"/>
        <v>107.73444840434149</v>
      </c>
      <c r="Z99" s="163">
        <f t="shared" ref="Z99:AA99" ca="1" si="968">+Z98/Z65</f>
        <v>84.320257573303095</v>
      </c>
      <c r="AA99" s="163">
        <f t="shared" ca="1" si="968"/>
        <v>84.320257573303095</v>
      </c>
      <c r="AB99" s="94">
        <f t="shared" ca="1" si="967"/>
        <v>106.13924271749863</v>
      </c>
      <c r="AC99" s="94">
        <f t="shared" ca="1" si="967"/>
        <v>117.59432408216216</v>
      </c>
      <c r="AD99" s="94">
        <f t="shared" ca="1" si="967"/>
        <v>130.26304305126141</v>
      </c>
      <c r="AE99" s="94">
        <f t="shared" ca="1" si="967"/>
        <v>144.30439224673495</v>
      </c>
      <c r="AL99" s="163">
        <f t="shared" ref="AL99:BQ99" si="969">+AL98/AL65</f>
        <v>0</v>
      </c>
      <c r="AM99" s="163">
        <f t="shared" si="969"/>
        <v>0</v>
      </c>
      <c r="AN99" s="163">
        <f t="shared" si="969"/>
        <v>0</v>
      </c>
      <c r="AO99" s="163">
        <f t="shared" si="969"/>
        <v>0</v>
      </c>
      <c r="AP99" s="163">
        <f t="shared" si="969"/>
        <v>0</v>
      </c>
      <c r="AQ99" s="163">
        <f t="shared" si="969"/>
        <v>0</v>
      </c>
      <c r="AR99" s="163">
        <f t="shared" si="969"/>
        <v>0</v>
      </c>
      <c r="AS99" s="163">
        <f t="shared" si="969"/>
        <v>0</v>
      </c>
      <c r="AT99" s="163">
        <f t="shared" si="969"/>
        <v>0</v>
      </c>
      <c r="AU99" s="163">
        <f t="shared" si="969"/>
        <v>0</v>
      </c>
      <c r="AV99" s="163">
        <f t="shared" si="969"/>
        <v>0</v>
      </c>
      <c r="AW99" s="163">
        <f t="shared" si="969"/>
        <v>0</v>
      </c>
      <c r="AX99" s="163">
        <f t="shared" si="969"/>
        <v>0</v>
      </c>
      <c r="AY99" s="163">
        <f t="shared" si="969"/>
        <v>0</v>
      </c>
      <c r="AZ99" s="163">
        <f t="shared" si="969"/>
        <v>0</v>
      </c>
      <c r="BA99" s="163">
        <f t="shared" si="969"/>
        <v>0</v>
      </c>
      <c r="BB99" s="163">
        <f t="shared" si="969"/>
        <v>0</v>
      </c>
      <c r="BC99" s="163">
        <f t="shared" si="969"/>
        <v>0</v>
      </c>
      <c r="BD99" s="163">
        <f t="shared" si="969"/>
        <v>0</v>
      </c>
      <c r="BE99" s="163">
        <f t="shared" si="969"/>
        <v>0</v>
      </c>
      <c r="BF99" s="163">
        <f t="shared" si="969"/>
        <v>0</v>
      </c>
      <c r="BG99" s="163">
        <f t="shared" si="969"/>
        <v>0</v>
      </c>
      <c r="BH99" s="163">
        <f t="shared" si="969"/>
        <v>0</v>
      </c>
      <c r="BI99" s="163">
        <f t="shared" si="969"/>
        <v>0</v>
      </c>
      <c r="BJ99" s="163">
        <f t="shared" si="969"/>
        <v>0</v>
      </c>
      <c r="BK99" s="163">
        <f t="shared" si="969"/>
        <v>0</v>
      </c>
      <c r="BL99" s="163">
        <f t="shared" si="969"/>
        <v>0</v>
      </c>
      <c r="BM99" s="163">
        <f t="shared" si="969"/>
        <v>0</v>
      </c>
      <c r="BN99" s="163">
        <f t="shared" si="969"/>
        <v>0</v>
      </c>
      <c r="BO99" s="163">
        <f t="shared" si="969"/>
        <v>0</v>
      </c>
      <c r="BP99" s="163">
        <f t="shared" si="969"/>
        <v>0</v>
      </c>
      <c r="BQ99" s="163">
        <f t="shared" si="969"/>
        <v>0</v>
      </c>
      <c r="BR99" s="163">
        <f t="shared" ref="BR99:CW99" si="970">+BR98/BR65</f>
        <v>0</v>
      </c>
      <c r="BS99" s="163">
        <f t="shared" si="970"/>
        <v>0</v>
      </c>
      <c r="BT99" s="163">
        <f t="shared" si="970"/>
        <v>20.234140808555455</v>
      </c>
      <c r="BU99" s="163">
        <f t="shared" si="970"/>
        <v>45.132868832536666</v>
      </c>
      <c r="BV99" s="163">
        <f t="shared" si="970"/>
        <v>75.320181479381034</v>
      </c>
      <c r="BW99" s="163">
        <f t="shared" si="970"/>
        <v>107.7494126225391</v>
      </c>
      <c r="BX99" s="163">
        <f t="shared" si="970"/>
        <v>111.29352669529287</v>
      </c>
      <c r="BY99" s="163">
        <f t="shared" si="970"/>
        <v>115.95997731507738</v>
      </c>
      <c r="BZ99" s="163">
        <f t="shared" si="970"/>
        <v>116.75176213238272</v>
      </c>
      <c r="CA99" s="163">
        <f t="shared" si="970"/>
        <v>112.11917686137893</v>
      </c>
      <c r="CB99" s="163">
        <f t="shared" si="970"/>
        <v>111.87369359150935</v>
      </c>
      <c r="CC99" s="163">
        <f t="shared" si="970"/>
        <v>115.73847524912905</v>
      </c>
      <c r="CD99" s="163">
        <f t="shared" si="970"/>
        <v>107.76067406627237</v>
      </c>
      <c r="CE99" s="163">
        <f t="shared" si="970"/>
        <v>97.195819492829941</v>
      </c>
      <c r="CF99" s="163">
        <f t="shared" si="970"/>
        <v>93.144130276269948</v>
      </c>
      <c r="CG99" s="163">
        <f t="shared" si="970"/>
        <v>79.344243700883098</v>
      </c>
      <c r="CH99" s="163">
        <f t="shared" si="970"/>
        <v>84.340759944908044</v>
      </c>
      <c r="CI99" s="163">
        <f t="shared" si="970"/>
        <v>90.795187555699584</v>
      </c>
      <c r="CJ99" s="163">
        <f t="shared" si="970"/>
        <v>90.206108725593452</v>
      </c>
      <c r="CK99" s="163">
        <f t="shared" ref="CK99:CL99" si="971">+CK98/CK65</f>
        <v>91.178114369026403</v>
      </c>
      <c r="CL99" s="163">
        <f t="shared" si="971"/>
        <v>95.462133227195139</v>
      </c>
      <c r="CM99" s="50">
        <f t="shared" si="970"/>
        <v>98.706483949440099</v>
      </c>
      <c r="CN99" s="50">
        <f t="shared" si="970"/>
        <v>100.17243885727703</v>
      </c>
      <c r="CO99" s="50">
        <f t="shared" si="970"/>
        <v>102.3287757404679</v>
      </c>
      <c r="CP99" s="50">
        <f t="shared" si="970"/>
        <v>106.13924271749863</v>
      </c>
      <c r="CQ99" s="50">
        <f t="shared" si="970"/>
        <v>109.08254314087985</v>
      </c>
      <c r="CR99" s="50">
        <f t="shared" si="970"/>
        <v>111.1665870416938</v>
      </c>
      <c r="CS99" s="50">
        <f t="shared" si="970"/>
        <v>113.6397283823312</v>
      </c>
      <c r="CT99" s="50">
        <f t="shared" si="970"/>
        <v>117.59432408216216</v>
      </c>
      <c r="CU99" s="50">
        <f t="shared" si="970"/>
        <v>120.80429298183776</v>
      </c>
      <c r="CV99" s="50">
        <f t="shared" si="970"/>
        <v>123.20532940878947</v>
      </c>
      <c r="CW99" s="50">
        <f t="shared" si="970"/>
        <v>125.9363490660926</v>
      </c>
      <c r="CX99" s="50">
        <f t="shared" ref="CX99:DB99" si="972">+CX98/CX65</f>
        <v>130.26304305126141</v>
      </c>
      <c r="CY99" s="50">
        <f t="shared" si="972"/>
        <v>133.82477204068934</v>
      </c>
      <c r="CZ99" s="50">
        <f t="shared" si="972"/>
        <v>136.50055957128461</v>
      </c>
      <c r="DA99" s="50">
        <f t="shared" si="972"/>
        <v>139.5197667244642</v>
      </c>
      <c r="DB99" s="50">
        <f t="shared" si="972"/>
        <v>144.30439224673495</v>
      </c>
      <c r="DE99" s="164"/>
      <c r="DF99" s="163">
        <v>84.320257573303095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73">+E77/E$99</f>
        <v>#DIV/0!</v>
      </c>
      <c r="F102" s="163" t="e">
        <f t="shared" ca="1" si="973"/>
        <v>#DIV/0!</v>
      </c>
      <c r="G102" s="163" t="e">
        <f t="shared" ca="1" si="973"/>
        <v>#DIV/0!</v>
      </c>
      <c r="H102" s="163" t="e">
        <f t="shared" ca="1" si="973"/>
        <v>#DIV/0!</v>
      </c>
      <c r="I102" s="163" t="e">
        <f t="shared" ca="1" si="973"/>
        <v>#DIV/0!</v>
      </c>
      <c r="J102" s="163" t="e">
        <f t="shared" ca="1" si="973"/>
        <v>#DIV/0!</v>
      </c>
      <c r="K102" s="163" t="e">
        <f t="shared" ca="1" si="973"/>
        <v>#DIV/0!</v>
      </c>
      <c r="L102" s="163" t="e">
        <f t="shared" ca="1" si="973"/>
        <v>#DIV/0!</v>
      </c>
      <c r="M102" s="163" t="e">
        <f t="shared" ca="1" si="973"/>
        <v>#DIV/0!</v>
      </c>
      <c r="N102" s="163" t="e">
        <f t="shared" ca="1" si="973"/>
        <v>#DIV/0!</v>
      </c>
      <c r="O102" s="163" t="e">
        <f t="shared" ca="1" si="973"/>
        <v>#DIV/0!</v>
      </c>
      <c r="P102" s="163">
        <f t="shared" ca="1" si="973"/>
        <v>0</v>
      </c>
      <c r="Q102" s="163">
        <f t="shared" ca="1" si="973"/>
        <v>0</v>
      </c>
      <c r="R102" s="163">
        <f t="shared" ca="1" si="973"/>
        <v>0</v>
      </c>
      <c r="S102" s="163">
        <f t="shared" ca="1" si="973"/>
        <v>0</v>
      </c>
      <c r="T102" s="163">
        <f t="shared" ca="1" si="973"/>
        <v>0</v>
      </c>
      <c r="U102" s="163">
        <f t="shared" ca="1" si="973"/>
        <v>0</v>
      </c>
      <c r="V102" s="163">
        <f t="shared" ca="1" si="973"/>
        <v>0</v>
      </c>
      <c r="W102" s="163">
        <f t="shared" ca="1" si="973"/>
        <v>0</v>
      </c>
      <c r="X102" s="163">
        <f t="shared" ca="1" si="973"/>
        <v>5.5747222941018872</v>
      </c>
      <c r="Y102" s="163">
        <f t="shared" ca="1" si="973"/>
        <v>6.2203873498738238</v>
      </c>
      <c r="Z102" s="163">
        <f ca="1">+Z77/Z$99</f>
        <v>6.1130031481687306</v>
      </c>
      <c r="AA102" s="163">
        <f ca="1">+AA77/AA$99</f>
        <v>6.1130031481687306</v>
      </c>
      <c r="AB102" s="50">
        <f t="shared" ref="AB102:AE102" ca="1" si="974">+AB77/AB$99</f>
        <v>5.5281155676011391</v>
      </c>
      <c r="AC102" s="50">
        <f t="shared" ca="1" si="974"/>
        <v>4.9896115699431443</v>
      </c>
      <c r="AD102" s="50">
        <f t="shared" ca="1" si="974"/>
        <v>4.5043474054962838</v>
      </c>
      <c r="AE102" s="50">
        <f t="shared" ca="1" si="974"/>
        <v>4.0660578022930958</v>
      </c>
      <c r="AL102" s="163" t="e">
        <f t="shared" ref="AL102:BQ102" si="975">+AL77/AL99</f>
        <v>#DIV/0!</v>
      </c>
      <c r="AM102" s="163" t="e">
        <f t="shared" si="975"/>
        <v>#DIV/0!</v>
      </c>
      <c r="AN102" s="163" t="e">
        <f t="shared" si="975"/>
        <v>#DIV/0!</v>
      </c>
      <c r="AO102" s="163" t="e">
        <f t="shared" si="975"/>
        <v>#DIV/0!</v>
      </c>
      <c r="AP102" s="163" t="e">
        <f t="shared" si="975"/>
        <v>#DIV/0!</v>
      </c>
      <c r="AQ102" s="163" t="e">
        <f t="shared" si="975"/>
        <v>#DIV/0!</v>
      </c>
      <c r="AR102" s="163" t="e">
        <f t="shared" si="975"/>
        <v>#DIV/0!</v>
      </c>
      <c r="AS102" s="163" t="e">
        <f t="shared" si="975"/>
        <v>#DIV/0!</v>
      </c>
      <c r="AT102" s="163" t="e">
        <f t="shared" si="975"/>
        <v>#DIV/0!</v>
      </c>
      <c r="AU102" s="163" t="e">
        <f t="shared" si="975"/>
        <v>#DIV/0!</v>
      </c>
      <c r="AV102" s="163" t="e">
        <f t="shared" si="975"/>
        <v>#DIV/0!</v>
      </c>
      <c r="AW102" s="163" t="e">
        <f t="shared" si="975"/>
        <v>#DIV/0!</v>
      </c>
      <c r="AX102" s="163" t="e">
        <f t="shared" si="975"/>
        <v>#DIV/0!</v>
      </c>
      <c r="AY102" s="163" t="e">
        <f t="shared" si="975"/>
        <v>#DIV/0!</v>
      </c>
      <c r="AZ102" s="163" t="e">
        <f t="shared" si="975"/>
        <v>#DIV/0!</v>
      </c>
      <c r="BA102" s="163" t="e">
        <f t="shared" si="975"/>
        <v>#DIV/0!</v>
      </c>
      <c r="BB102" s="163" t="e">
        <f t="shared" si="975"/>
        <v>#DIV/0!</v>
      </c>
      <c r="BC102" s="163" t="e">
        <f t="shared" si="975"/>
        <v>#DIV/0!</v>
      </c>
      <c r="BD102" s="163" t="e">
        <f t="shared" si="975"/>
        <v>#DIV/0!</v>
      </c>
      <c r="BE102" s="163" t="e">
        <f t="shared" si="975"/>
        <v>#DIV/0!</v>
      </c>
      <c r="BF102" s="163" t="e">
        <f t="shared" si="975"/>
        <v>#DIV/0!</v>
      </c>
      <c r="BG102" s="163" t="e">
        <f t="shared" si="975"/>
        <v>#DIV/0!</v>
      </c>
      <c r="BH102" s="163" t="e">
        <f t="shared" si="975"/>
        <v>#DIV/0!</v>
      </c>
      <c r="BI102" s="163" t="e">
        <f t="shared" si="975"/>
        <v>#DIV/0!</v>
      </c>
      <c r="BJ102" s="163" t="e">
        <f t="shared" si="975"/>
        <v>#DIV/0!</v>
      </c>
      <c r="BK102" s="163" t="e">
        <f t="shared" si="975"/>
        <v>#DIV/0!</v>
      </c>
      <c r="BL102" s="163" t="e">
        <f t="shared" si="975"/>
        <v>#DIV/0!</v>
      </c>
      <c r="BM102" s="163" t="e">
        <f t="shared" si="975"/>
        <v>#DIV/0!</v>
      </c>
      <c r="BN102" s="163" t="e">
        <f t="shared" si="975"/>
        <v>#DIV/0!</v>
      </c>
      <c r="BO102" s="163" t="e">
        <f t="shared" si="975"/>
        <v>#DIV/0!</v>
      </c>
      <c r="BP102" s="163" t="e">
        <f t="shared" si="975"/>
        <v>#DIV/0!</v>
      </c>
      <c r="BQ102" s="163" t="e">
        <f t="shared" si="975"/>
        <v>#DIV/0!</v>
      </c>
      <c r="BR102" s="163" t="e">
        <f t="shared" ref="BR102:DB102" si="976">+BR77/BR99</f>
        <v>#DIV/0!</v>
      </c>
      <c r="BS102" s="163" t="e">
        <f t="shared" si="976"/>
        <v>#DIV/0!</v>
      </c>
      <c r="BT102" s="163">
        <f t="shared" si="976"/>
        <v>0</v>
      </c>
      <c r="BU102" s="163">
        <f t="shared" si="976"/>
        <v>0</v>
      </c>
      <c r="BV102" s="163">
        <f t="shared" si="976"/>
        <v>0</v>
      </c>
      <c r="BW102" s="163">
        <f t="shared" si="976"/>
        <v>0</v>
      </c>
      <c r="BX102" s="163">
        <f t="shared" si="976"/>
        <v>0</v>
      </c>
      <c r="BY102" s="163">
        <f t="shared" si="976"/>
        <v>4.5321671508439207</v>
      </c>
      <c r="BZ102" s="163">
        <f t="shared" si="976"/>
        <v>5.5733634175232662</v>
      </c>
      <c r="CA102" s="163">
        <f t="shared" si="976"/>
        <v>4.7895464008260786</v>
      </c>
      <c r="CB102" s="163">
        <f t="shared" si="976"/>
        <v>5.2693352751226232</v>
      </c>
      <c r="CC102" s="163">
        <f t="shared" si="976"/>
        <v>5.606605742845943</v>
      </c>
      <c r="CD102" s="163">
        <f t="shared" si="976"/>
        <v>6.2188734972821393</v>
      </c>
      <c r="CE102" s="163">
        <f t="shared" si="976"/>
        <v>6.8727235747961135</v>
      </c>
      <c r="CF102" s="163">
        <f t="shared" si="976"/>
        <v>7.7465965687783882</v>
      </c>
      <c r="CG102" s="163">
        <f t="shared" si="976"/>
        <v>8.4328738770567302</v>
      </c>
      <c r="CH102" s="163">
        <f t="shared" si="976"/>
        <v>6.1115171399533921</v>
      </c>
      <c r="CI102" s="163">
        <f t="shared" si="976"/>
        <v>6.9563158246965031</v>
      </c>
      <c r="CJ102" s="163">
        <f t="shared" si="976"/>
        <v>7.6646693862300994</v>
      </c>
      <c r="CK102" s="163">
        <f t="shared" ref="CK102:CL102" si="977">+CK77/CK99</f>
        <v>6.1006964648191992</v>
      </c>
      <c r="CL102" s="163">
        <f t="shared" si="977"/>
        <v>6.1464161774340837</v>
      </c>
      <c r="CM102" s="50">
        <f t="shared" si="976"/>
        <v>5.9443916602332614</v>
      </c>
      <c r="CN102" s="50">
        <f t="shared" si="976"/>
        <v>5.8573995671203081</v>
      </c>
      <c r="CO102" s="50">
        <f t="shared" si="976"/>
        <v>5.7339687273123339</v>
      </c>
      <c r="CP102" s="50">
        <f t="shared" si="976"/>
        <v>5.5281155676011391</v>
      </c>
      <c r="CQ102" s="50">
        <f t="shared" si="976"/>
        <v>5.3789541672329158</v>
      </c>
      <c r="CR102" s="50">
        <f t="shared" si="976"/>
        <v>5.2781147250651435</v>
      </c>
      <c r="CS102" s="50">
        <f t="shared" si="976"/>
        <v>5.1632471174687211</v>
      </c>
      <c r="CT102" s="50">
        <f t="shared" si="976"/>
        <v>4.9896115699431443</v>
      </c>
      <c r="CU102" s="50">
        <f t="shared" si="976"/>
        <v>4.8570293779891953</v>
      </c>
      <c r="CV102" s="50">
        <f t="shared" si="976"/>
        <v>4.7623751571102186</v>
      </c>
      <c r="CW102" s="50">
        <f t="shared" si="976"/>
        <v>4.6590996511425624</v>
      </c>
      <c r="CX102" s="50">
        <f t="shared" si="976"/>
        <v>4.5043474054962838</v>
      </c>
      <c r="CY102" s="50">
        <f t="shared" si="976"/>
        <v>4.3844647822123619</v>
      </c>
      <c r="CZ102" s="50">
        <f t="shared" si="976"/>
        <v>4.2985171770931965</v>
      </c>
      <c r="DA102" s="50">
        <f t="shared" si="976"/>
        <v>4.205497283827639</v>
      </c>
      <c r="DB102" s="50">
        <f t="shared" si="976"/>
        <v>4.0660578022930958</v>
      </c>
      <c r="DE102" s="106"/>
      <c r="DF102" s="163">
        <v>6.1130031481687306</v>
      </c>
    </row>
    <row r="103" spans="1:110" s="163" customFormat="1" x14ac:dyDescent="0.2">
      <c r="A103" s="163" t="s">
        <v>508</v>
      </c>
      <c r="E103" s="163" t="e">
        <f t="shared" ca="1" si="973"/>
        <v>#DIV/0!</v>
      </c>
      <c r="F103" s="163" t="e">
        <f t="shared" ca="1" si="973"/>
        <v>#DIV/0!</v>
      </c>
      <c r="G103" s="163" t="e">
        <f t="shared" ca="1" si="973"/>
        <v>#DIV/0!</v>
      </c>
      <c r="H103" s="163" t="e">
        <f t="shared" ca="1" si="973"/>
        <v>#DIV/0!</v>
      </c>
      <c r="I103" s="163" t="e">
        <f t="shared" ca="1" si="973"/>
        <v>#DIV/0!</v>
      </c>
      <c r="J103" s="163" t="e">
        <f t="shared" ca="1" si="973"/>
        <v>#DIV/0!</v>
      </c>
      <c r="K103" s="163" t="e">
        <f t="shared" ca="1" si="973"/>
        <v>#DIV/0!</v>
      </c>
      <c r="L103" s="163" t="e">
        <f t="shared" ca="1" si="973"/>
        <v>#DIV/0!</v>
      </c>
      <c r="M103" s="163" t="e">
        <f t="shared" ca="1" si="973"/>
        <v>#DIV/0!</v>
      </c>
      <c r="N103" s="163" t="e">
        <f t="shared" ca="1" si="973"/>
        <v>#DIV/0!</v>
      </c>
      <c r="O103" s="163" t="e">
        <f t="shared" ca="1" si="973"/>
        <v>#DIV/0!</v>
      </c>
      <c r="P103" s="163">
        <f t="shared" ca="1" si="973"/>
        <v>0</v>
      </c>
      <c r="Q103" s="163">
        <f t="shared" ca="1" si="973"/>
        <v>0</v>
      </c>
      <c r="R103" s="163">
        <f t="shared" ca="1" si="973"/>
        <v>0</v>
      </c>
      <c r="S103" s="163">
        <f t="shared" ca="1" si="973"/>
        <v>0</v>
      </c>
      <c r="T103" s="163">
        <f t="shared" ca="1" si="973"/>
        <v>0</v>
      </c>
      <c r="U103" s="163">
        <f t="shared" ca="1" si="973"/>
        <v>0</v>
      </c>
      <c r="V103" s="163">
        <f t="shared" ca="1" si="973"/>
        <v>0</v>
      </c>
      <c r="W103" s="163">
        <f t="shared" ca="1" si="973"/>
        <v>0</v>
      </c>
      <c r="X103" s="163">
        <f t="shared" ca="1" si="973"/>
        <v>6.2690994908699178</v>
      </c>
      <c r="Y103" s="163">
        <f t="shared" ca="1" si="973"/>
        <v>7.7802412544419006</v>
      </c>
      <c r="Z103" s="163">
        <f t="shared" ref="Z103:AA104" ca="1" si="978">+Z78/Z$99</f>
        <v>9.8552829879294102</v>
      </c>
      <c r="AA103" s="163">
        <f t="shared" ca="1" si="978"/>
        <v>9.8552829879294102</v>
      </c>
      <c r="AB103" s="94">
        <f t="shared" ca="1" si="973"/>
        <v>6.4766725585165466</v>
      </c>
      <c r="AC103" s="94">
        <f t="shared" ca="1" si="973"/>
        <v>5.5609743202088184</v>
      </c>
      <c r="AD103" s="94">
        <f t="shared" ca="1" si="973"/>
        <v>4.7402643033155751</v>
      </c>
      <c r="AE103" s="94">
        <f t="shared" ca="1" si="973"/>
        <v>4.2419557793992198</v>
      </c>
      <c r="AL103" s="163" t="e">
        <f t="shared" ref="AL103:BQ103" si="979">+AL78/AL99</f>
        <v>#DIV/0!</v>
      </c>
      <c r="AM103" s="163" t="e">
        <f t="shared" si="979"/>
        <v>#DIV/0!</v>
      </c>
      <c r="AN103" s="163" t="e">
        <f t="shared" si="979"/>
        <v>#DIV/0!</v>
      </c>
      <c r="AO103" s="163" t="e">
        <f t="shared" si="979"/>
        <v>#DIV/0!</v>
      </c>
      <c r="AP103" s="163" t="e">
        <f t="shared" si="979"/>
        <v>#DIV/0!</v>
      </c>
      <c r="AQ103" s="163" t="e">
        <f t="shared" si="979"/>
        <v>#DIV/0!</v>
      </c>
      <c r="AR103" s="163" t="e">
        <f t="shared" si="979"/>
        <v>#DIV/0!</v>
      </c>
      <c r="AS103" s="163" t="e">
        <f t="shared" si="979"/>
        <v>#DIV/0!</v>
      </c>
      <c r="AT103" s="163" t="e">
        <f t="shared" si="979"/>
        <v>#DIV/0!</v>
      </c>
      <c r="AU103" s="163" t="e">
        <f t="shared" si="979"/>
        <v>#DIV/0!</v>
      </c>
      <c r="AV103" s="163" t="e">
        <f t="shared" si="979"/>
        <v>#DIV/0!</v>
      </c>
      <c r="AW103" s="163" t="e">
        <f t="shared" si="979"/>
        <v>#DIV/0!</v>
      </c>
      <c r="AX103" s="163" t="e">
        <f t="shared" si="979"/>
        <v>#DIV/0!</v>
      </c>
      <c r="AY103" s="163" t="e">
        <f t="shared" si="979"/>
        <v>#DIV/0!</v>
      </c>
      <c r="AZ103" s="163" t="e">
        <f t="shared" si="979"/>
        <v>#DIV/0!</v>
      </c>
      <c r="BA103" s="163" t="e">
        <f t="shared" si="979"/>
        <v>#DIV/0!</v>
      </c>
      <c r="BB103" s="163" t="e">
        <f t="shared" si="979"/>
        <v>#DIV/0!</v>
      </c>
      <c r="BC103" s="163" t="e">
        <f t="shared" si="979"/>
        <v>#DIV/0!</v>
      </c>
      <c r="BD103" s="163" t="e">
        <f t="shared" si="979"/>
        <v>#DIV/0!</v>
      </c>
      <c r="BE103" s="163" t="e">
        <f t="shared" si="979"/>
        <v>#DIV/0!</v>
      </c>
      <c r="BF103" s="163" t="e">
        <f t="shared" si="979"/>
        <v>#DIV/0!</v>
      </c>
      <c r="BG103" s="163" t="e">
        <f t="shared" si="979"/>
        <v>#DIV/0!</v>
      </c>
      <c r="BH103" s="163" t="e">
        <f t="shared" si="979"/>
        <v>#DIV/0!</v>
      </c>
      <c r="BI103" s="163" t="e">
        <f t="shared" si="979"/>
        <v>#DIV/0!</v>
      </c>
      <c r="BJ103" s="163" t="e">
        <f t="shared" si="979"/>
        <v>#DIV/0!</v>
      </c>
      <c r="BK103" s="163" t="e">
        <f t="shared" si="979"/>
        <v>#DIV/0!</v>
      </c>
      <c r="BL103" s="163" t="e">
        <f t="shared" si="979"/>
        <v>#DIV/0!</v>
      </c>
      <c r="BM103" s="163" t="e">
        <f t="shared" si="979"/>
        <v>#DIV/0!</v>
      </c>
      <c r="BN103" s="163" t="e">
        <f t="shared" si="979"/>
        <v>#DIV/0!</v>
      </c>
      <c r="BO103" s="163" t="e">
        <f t="shared" si="979"/>
        <v>#DIV/0!</v>
      </c>
      <c r="BP103" s="163" t="e">
        <f t="shared" si="979"/>
        <v>#DIV/0!</v>
      </c>
      <c r="BQ103" s="163" t="e">
        <f t="shared" si="979"/>
        <v>#DIV/0!</v>
      </c>
      <c r="BR103" s="163" t="e">
        <f t="shared" ref="BR103:CJ103" si="980">+BR78/BR99</f>
        <v>#DIV/0!</v>
      </c>
      <c r="BS103" s="163" t="e">
        <f t="shared" si="980"/>
        <v>#DIV/0!</v>
      </c>
      <c r="BT103" s="163">
        <f t="shared" si="980"/>
        <v>0</v>
      </c>
      <c r="BU103" s="163">
        <f t="shared" si="980"/>
        <v>0</v>
      </c>
      <c r="BV103" s="163">
        <f t="shared" si="980"/>
        <v>0</v>
      </c>
      <c r="BW103" s="163">
        <f t="shared" si="980"/>
        <v>0</v>
      </c>
      <c r="BX103" s="163">
        <f t="shared" si="980"/>
        <v>0</v>
      </c>
      <c r="BY103" s="163">
        <f t="shared" si="980"/>
        <v>4.7813910698989863</v>
      </c>
      <c r="BZ103" s="163">
        <f t="shared" si="980"/>
        <v>6.2675713551139536</v>
      </c>
      <c r="CA103" s="163">
        <f t="shared" si="980"/>
        <v>5.8330788568719836</v>
      </c>
      <c r="CB103" s="163">
        <f t="shared" si="980"/>
        <v>6.1229765283443545</v>
      </c>
      <c r="CC103" s="163">
        <f t="shared" si="980"/>
        <v>5.9435723385787087</v>
      </c>
      <c r="CD103" s="163">
        <f t="shared" si="980"/>
        <v>7.7783477809772279</v>
      </c>
      <c r="CE103" s="163">
        <f t="shared" si="980"/>
        <v>7.3717162295530176</v>
      </c>
      <c r="CF103" s="163">
        <f t="shared" si="980"/>
        <v>8.921657194449228</v>
      </c>
      <c r="CG103" s="163">
        <f t="shared" si="980"/>
        <v>9.2060868681752925</v>
      </c>
      <c r="CH103" s="163">
        <f t="shared" si="980"/>
        <v>8.1810977331804065</v>
      </c>
      <c r="CI103" s="163">
        <f t="shared" si="980"/>
        <v>7.3682319295787844</v>
      </c>
      <c r="CJ103" s="163">
        <f t="shared" si="980"/>
        <v>8.0681897299656722</v>
      </c>
      <c r="CK103" s="163">
        <f t="shared" ref="CK103:CL103" si="981">+CK78/CK99</f>
        <v>7.7195059896862803</v>
      </c>
      <c r="CL103" s="163">
        <f t="shared" si="981"/>
        <v>6.578524685860426</v>
      </c>
      <c r="CM103" s="94">
        <f t="shared" ref="CM103:DB103" si="982">+CL103</f>
        <v>6.578524685860426</v>
      </c>
      <c r="CN103" s="94">
        <f t="shared" si="982"/>
        <v>6.578524685860426</v>
      </c>
      <c r="CO103" s="94">
        <f t="shared" si="982"/>
        <v>6.578524685860426</v>
      </c>
      <c r="CP103" s="94">
        <f t="shared" si="982"/>
        <v>6.578524685860426</v>
      </c>
      <c r="CQ103" s="94">
        <f t="shared" si="982"/>
        <v>6.578524685860426</v>
      </c>
      <c r="CR103" s="94">
        <f t="shared" si="982"/>
        <v>6.578524685860426</v>
      </c>
      <c r="CS103" s="94">
        <f t="shared" si="982"/>
        <v>6.578524685860426</v>
      </c>
      <c r="CT103" s="94">
        <f t="shared" si="982"/>
        <v>6.578524685860426</v>
      </c>
      <c r="CU103" s="94">
        <f t="shared" si="982"/>
        <v>6.578524685860426</v>
      </c>
      <c r="CV103" s="94">
        <f t="shared" si="982"/>
        <v>6.578524685860426</v>
      </c>
      <c r="CW103" s="94">
        <f t="shared" si="982"/>
        <v>6.578524685860426</v>
      </c>
      <c r="CX103" s="94">
        <f t="shared" si="982"/>
        <v>6.578524685860426</v>
      </c>
      <c r="CY103" s="94">
        <f t="shared" si="982"/>
        <v>6.578524685860426</v>
      </c>
      <c r="CZ103" s="94">
        <f t="shared" si="982"/>
        <v>6.578524685860426</v>
      </c>
      <c r="DA103" s="94">
        <f t="shared" si="982"/>
        <v>6.578524685860426</v>
      </c>
      <c r="DB103" s="94">
        <f t="shared" si="982"/>
        <v>6.578524685860426</v>
      </c>
      <c r="DE103" s="164"/>
      <c r="DF103" s="163">
        <v>9.8552829879294102</v>
      </c>
    </row>
    <row r="104" spans="1:110" s="163" customFormat="1" x14ac:dyDescent="0.2">
      <c r="A104" s="163" t="s">
        <v>509</v>
      </c>
      <c r="E104" s="163" t="e">
        <f t="shared" ca="1" si="973"/>
        <v>#DIV/0!</v>
      </c>
      <c r="F104" s="163" t="e">
        <f t="shared" ca="1" si="973"/>
        <v>#DIV/0!</v>
      </c>
      <c r="G104" s="163" t="e">
        <f t="shared" ca="1" si="973"/>
        <v>#DIV/0!</v>
      </c>
      <c r="H104" s="163" t="e">
        <f t="shared" ca="1" si="973"/>
        <v>#DIV/0!</v>
      </c>
      <c r="I104" s="163" t="e">
        <f t="shared" ca="1" si="973"/>
        <v>#DIV/0!</v>
      </c>
      <c r="J104" s="163" t="e">
        <f t="shared" ca="1" si="973"/>
        <v>#DIV/0!</v>
      </c>
      <c r="K104" s="163" t="e">
        <f t="shared" ca="1" si="973"/>
        <v>#DIV/0!</v>
      </c>
      <c r="L104" s="163" t="e">
        <f t="shared" ca="1" si="973"/>
        <v>#DIV/0!</v>
      </c>
      <c r="M104" s="163" t="e">
        <f t="shared" ca="1" si="973"/>
        <v>#DIV/0!</v>
      </c>
      <c r="N104" s="163" t="e">
        <f t="shared" ca="1" si="973"/>
        <v>#DIV/0!</v>
      </c>
      <c r="O104" s="163" t="e">
        <f t="shared" ca="1" si="973"/>
        <v>#DIV/0!</v>
      </c>
      <c r="P104" s="163">
        <f t="shared" ca="1" si="973"/>
        <v>0</v>
      </c>
      <c r="Q104" s="163">
        <f t="shared" ca="1" si="973"/>
        <v>0</v>
      </c>
      <c r="R104" s="163">
        <f t="shared" ca="1" si="973"/>
        <v>0</v>
      </c>
      <c r="S104" s="163">
        <f t="shared" ca="1" si="973"/>
        <v>0</v>
      </c>
      <c r="T104" s="163">
        <f t="shared" ca="1" si="973"/>
        <v>0</v>
      </c>
      <c r="U104" s="163">
        <f t="shared" ca="1" si="973"/>
        <v>0</v>
      </c>
      <c r="V104" s="163">
        <f t="shared" ca="1" si="973"/>
        <v>0</v>
      </c>
      <c r="W104" s="163">
        <f t="shared" ca="1" si="973"/>
        <v>0</v>
      </c>
      <c r="X104" s="163">
        <f t="shared" ca="1" si="973"/>
        <v>3.7700269640687494</v>
      </c>
      <c r="Y104" s="163">
        <f t="shared" ca="1" si="973"/>
        <v>4.5946306620719879</v>
      </c>
      <c r="Z104" s="163">
        <f t="shared" ca="1" si="978"/>
        <v>4.8505544429159189</v>
      </c>
      <c r="AA104" s="163">
        <f t="shared" ca="1" si="978"/>
        <v>4.8505544429159189</v>
      </c>
      <c r="AB104" s="94">
        <f t="shared" ca="1" si="973"/>
        <v>5.0038189787413705</v>
      </c>
      <c r="AC104" s="94">
        <f t="shared" ca="1" si="973"/>
        <v>4.2027916119341482</v>
      </c>
      <c r="AD104" s="94">
        <f t="shared" ca="1" si="973"/>
        <v>3.664415032465151</v>
      </c>
      <c r="AE104" s="94">
        <f t="shared" ca="1" si="973"/>
        <v>3.3240906781163129</v>
      </c>
      <c r="AL104" s="163" t="e">
        <f t="shared" ref="AL104:BQ104" si="983">+AL79/AL99</f>
        <v>#DIV/0!</v>
      </c>
      <c r="AM104" s="163" t="e">
        <f t="shared" si="983"/>
        <v>#DIV/0!</v>
      </c>
      <c r="AN104" s="163" t="e">
        <f t="shared" si="983"/>
        <v>#DIV/0!</v>
      </c>
      <c r="AO104" s="163" t="e">
        <f t="shared" si="983"/>
        <v>#DIV/0!</v>
      </c>
      <c r="AP104" s="163" t="e">
        <f t="shared" si="983"/>
        <v>#DIV/0!</v>
      </c>
      <c r="AQ104" s="163" t="e">
        <f t="shared" si="983"/>
        <v>#DIV/0!</v>
      </c>
      <c r="AR104" s="163" t="e">
        <f t="shared" si="983"/>
        <v>#DIV/0!</v>
      </c>
      <c r="AS104" s="163" t="e">
        <f t="shared" si="983"/>
        <v>#DIV/0!</v>
      </c>
      <c r="AT104" s="163" t="e">
        <f t="shared" si="983"/>
        <v>#DIV/0!</v>
      </c>
      <c r="AU104" s="163" t="e">
        <f t="shared" si="983"/>
        <v>#DIV/0!</v>
      </c>
      <c r="AV104" s="163" t="e">
        <f t="shared" si="983"/>
        <v>#DIV/0!</v>
      </c>
      <c r="AW104" s="163" t="e">
        <f t="shared" si="983"/>
        <v>#DIV/0!</v>
      </c>
      <c r="AX104" s="163" t="e">
        <f t="shared" si="983"/>
        <v>#DIV/0!</v>
      </c>
      <c r="AY104" s="163" t="e">
        <f t="shared" si="983"/>
        <v>#DIV/0!</v>
      </c>
      <c r="AZ104" s="163" t="e">
        <f t="shared" si="983"/>
        <v>#DIV/0!</v>
      </c>
      <c r="BA104" s="163" t="e">
        <f t="shared" si="983"/>
        <v>#DIV/0!</v>
      </c>
      <c r="BB104" s="163" t="e">
        <f t="shared" si="983"/>
        <v>#DIV/0!</v>
      </c>
      <c r="BC104" s="163" t="e">
        <f t="shared" si="983"/>
        <v>#DIV/0!</v>
      </c>
      <c r="BD104" s="163" t="e">
        <f t="shared" si="983"/>
        <v>#DIV/0!</v>
      </c>
      <c r="BE104" s="163" t="e">
        <f t="shared" si="983"/>
        <v>#DIV/0!</v>
      </c>
      <c r="BF104" s="163" t="e">
        <f t="shared" si="983"/>
        <v>#DIV/0!</v>
      </c>
      <c r="BG104" s="163" t="e">
        <f t="shared" si="983"/>
        <v>#DIV/0!</v>
      </c>
      <c r="BH104" s="163" t="e">
        <f t="shared" si="983"/>
        <v>#DIV/0!</v>
      </c>
      <c r="BI104" s="163" t="e">
        <f t="shared" si="983"/>
        <v>#DIV/0!</v>
      </c>
      <c r="BJ104" s="163" t="e">
        <f t="shared" si="983"/>
        <v>#DIV/0!</v>
      </c>
      <c r="BK104" s="163" t="e">
        <f t="shared" si="983"/>
        <v>#DIV/0!</v>
      </c>
      <c r="BL104" s="163" t="e">
        <f t="shared" si="983"/>
        <v>#DIV/0!</v>
      </c>
      <c r="BM104" s="163" t="e">
        <f t="shared" si="983"/>
        <v>#DIV/0!</v>
      </c>
      <c r="BN104" s="163" t="e">
        <f t="shared" si="983"/>
        <v>#DIV/0!</v>
      </c>
      <c r="BO104" s="163" t="e">
        <f t="shared" si="983"/>
        <v>#DIV/0!</v>
      </c>
      <c r="BP104" s="163" t="e">
        <f t="shared" si="983"/>
        <v>#DIV/0!</v>
      </c>
      <c r="BQ104" s="163" t="e">
        <f t="shared" si="983"/>
        <v>#DIV/0!</v>
      </c>
      <c r="BR104" s="163" t="e">
        <f t="shared" ref="BR104:CJ104" si="984">+BR79/BR99</f>
        <v>#DIV/0!</v>
      </c>
      <c r="BS104" s="163" t="e">
        <f t="shared" si="984"/>
        <v>#DIV/0!</v>
      </c>
      <c r="BT104" s="163">
        <f t="shared" si="984"/>
        <v>0</v>
      </c>
      <c r="BU104" s="163">
        <f t="shared" si="984"/>
        <v>0</v>
      </c>
      <c r="BV104" s="163">
        <f t="shared" si="984"/>
        <v>0</v>
      </c>
      <c r="BW104" s="163">
        <f t="shared" si="984"/>
        <v>0</v>
      </c>
      <c r="BX104" s="163">
        <f t="shared" si="984"/>
        <v>0</v>
      </c>
      <c r="BY104" s="163">
        <f t="shared" si="984"/>
        <v>0</v>
      </c>
      <c r="BZ104" s="163">
        <f t="shared" si="984"/>
        <v>4.4243443573407761</v>
      </c>
      <c r="CA104" s="163">
        <f t="shared" si="984"/>
        <v>4.6281110379676944</v>
      </c>
      <c r="CB104" s="163">
        <f t="shared" si="984"/>
        <v>4.4246326737670882</v>
      </c>
      <c r="CC104" s="163">
        <f t="shared" si="984"/>
        <v>4.4090783026264218</v>
      </c>
      <c r="CD104" s="163">
        <f t="shared" si="984"/>
        <v>5.3034189415753827</v>
      </c>
      <c r="CE104" s="163">
        <f t="shared" si="984"/>
        <v>5.9971715145937941</v>
      </c>
      <c r="CF104" s="163">
        <f t="shared" si="984"/>
        <v>7.1421569778668461</v>
      </c>
      <c r="CG104" s="163">
        <f t="shared" si="984"/>
        <v>7.4485554645651275</v>
      </c>
      <c r="CH104" s="163">
        <f t="shared" si="984"/>
        <v>4.8493753230011389</v>
      </c>
      <c r="CI104" s="163">
        <f t="shared" si="984"/>
        <v>5.2838703560768643</v>
      </c>
      <c r="CJ104" s="163">
        <f t="shared" si="984"/>
        <v>6.7478800338418603</v>
      </c>
      <c r="CK104" s="163">
        <f t="shared" ref="CK104:CL104" si="985">+CK79/CK99</f>
        <v>5.29842060611983</v>
      </c>
      <c r="CL104" s="163">
        <f t="shared" si="985"/>
        <v>5.2638672844663441</v>
      </c>
      <c r="CM104" s="94">
        <f t="shared" ref="CM104:DB104" si="986">+CL104</f>
        <v>5.2638672844663441</v>
      </c>
      <c r="CN104" s="94">
        <f t="shared" si="986"/>
        <v>5.2638672844663441</v>
      </c>
      <c r="CO104" s="94">
        <f t="shared" si="986"/>
        <v>5.2638672844663441</v>
      </c>
      <c r="CP104" s="94">
        <f t="shared" si="986"/>
        <v>5.2638672844663441</v>
      </c>
      <c r="CQ104" s="94">
        <f t="shared" si="986"/>
        <v>5.2638672844663441</v>
      </c>
      <c r="CR104" s="94">
        <f t="shared" si="986"/>
        <v>5.2638672844663441</v>
      </c>
      <c r="CS104" s="94">
        <f t="shared" si="986"/>
        <v>5.2638672844663441</v>
      </c>
      <c r="CT104" s="94">
        <f t="shared" si="986"/>
        <v>5.2638672844663441</v>
      </c>
      <c r="CU104" s="94">
        <f t="shared" si="986"/>
        <v>5.2638672844663441</v>
      </c>
      <c r="CV104" s="94">
        <f t="shared" si="986"/>
        <v>5.2638672844663441</v>
      </c>
      <c r="CW104" s="94">
        <f t="shared" si="986"/>
        <v>5.2638672844663441</v>
      </c>
      <c r="CX104" s="94">
        <f t="shared" si="986"/>
        <v>5.2638672844663441</v>
      </c>
      <c r="CY104" s="94">
        <f t="shared" si="986"/>
        <v>5.2638672844663441</v>
      </c>
      <c r="CZ104" s="94">
        <f t="shared" si="986"/>
        <v>5.2638672844663441</v>
      </c>
      <c r="DA104" s="94">
        <f t="shared" si="986"/>
        <v>5.2638672844663441</v>
      </c>
      <c r="DB104" s="94">
        <f t="shared" si="986"/>
        <v>5.2638672844663441</v>
      </c>
      <c r="DE104" s="164"/>
      <c r="DF104" s="163">
        <v>4.8505544429159189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87">+B78*B65</f>
        <v>#DIV/0!</v>
      </c>
      <c r="C107" s="162" t="e">
        <f t="shared" si="987"/>
        <v>#DIV/0!</v>
      </c>
      <c r="D107" s="162" t="e">
        <f t="shared" si="987"/>
        <v>#DIV/0!</v>
      </c>
      <c r="E107" s="162">
        <f t="shared" ca="1" si="987"/>
        <v>0</v>
      </c>
      <c r="F107" s="162">
        <f t="shared" ca="1" si="987"/>
        <v>0</v>
      </c>
      <c r="G107" s="162">
        <f t="shared" ca="1" si="987"/>
        <v>0</v>
      </c>
      <c r="H107" s="162">
        <f t="shared" ca="1" si="987"/>
        <v>0</v>
      </c>
      <c r="I107" s="162">
        <f t="shared" ca="1" si="987"/>
        <v>0</v>
      </c>
      <c r="J107" s="162">
        <f t="shared" ca="1" si="987"/>
        <v>0</v>
      </c>
      <c r="K107" s="162">
        <f t="shared" ca="1" si="987"/>
        <v>0</v>
      </c>
      <c r="L107" s="162">
        <f t="shared" ca="1" si="987"/>
        <v>0</v>
      </c>
      <c r="M107" s="162">
        <f t="shared" ca="1" si="987"/>
        <v>0</v>
      </c>
      <c r="N107" s="162">
        <f t="shared" ca="1" si="987"/>
        <v>0</v>
      </c>
      <c r="O107" s="162">
        <f t="shared" ca="1" si="987"/>
        <v>0</v>
      </c>
      <c r="P107" s="162">
        <f t="shared" ca="1" si="987"/>
        <v>0</v>
      </c>
      <c r="Q107" s="162">
        <f t="shared" ca="1" si="987"/>
        <v>0</v>
      </c>
      <c r="R107" s="162">
        <f t="shared" ca="1" si="987"/>
        <v>0</v>
      </c>
      <c r="S107" s="162">
        <f t="shared" ca="1" si="987"/>
        <v>0</v>
      </c>
      <c r="T107" s="162">
        <f t="shared" ca="1" si="987"/>
        <v>0</v>
      </c>
      <c r="U107" s="162">
        <f t="shared" ca="1" si="987"/>
        <v>0</v>
      </c>
      <c r="V107" s="162">
        <f t="shared" ca="1" si="987"/>
        <v>0</v>
      </c>
      <c r="W107" s="162">
        <f t="shared" ca="1" si="987"/>
        <v>0</v>
      </c>
      <c r="X107" s="162">
        <f t="shared" ca="1" si="987"/>
        <v>9034.1854999999996</v>
      </c>
      <c r="Y107" s="162">
        <f t="shared" ca="1" si="987"/>
        <v>10348.4172</v>
      </c>
      <c r="Z107" s="162">
        <f t="shared" ca="1" si="987"/>
        <v>10259.526</v>
      </c>
      <c r="AA107" s="162">
        <f t="shared" ref="AA107" ca="1" si="988">+AA78*AA65</f>
        <v>10259.526</v>
      </c>
      <c r="AB107" s="21">
        <f t="shared" ca="1" si="987"/>
        <v>8486.9999240405996</v>
      </c>
      <c r="AC107" s="21">
        <f t="shared" ca="1" si="987"/>
        <v>8073.5310967610403</v>
      </c>
      <c r="AD107" s="21">
        <f t="shared" ca="1" si="987"/>
        <v>7623.4235497497893</v>
      </c>
      <c r="AE107" s="21">
        <f t="shared" ca="1" si="987"/>
        <v>7557.3921745413218</v>
      </c>
      <c r="AL107" s="162">
        <f t="shared" ref="AL107:BQ107" si="989">+AL78*AL65</f>
        <v>0</v>
      </c>
      <c r="AM107" s="162">
        <f t="shared" si="989"/>
        <v>0</v>
      </c>
      <c r="AN107" s="162">
        <f t="shared" si="989"/>
        <v>0</v>
      </c>
      <c r="AO107" s="162">
        <f t="shared" si="989"/>
        <v>0</v>
      </c>
      <c r="AP107" s="162">
        <f t="shared" si="989"/>
        <v>0</v>
      </c>
      <c r="AQ107" s="162">
        <f t="shared" si="989"/>
        <v>0</v>
      </c>
      <c r="AR107" s="162">
        <f t="shared" si="989"/>
        <v>0</v>
      </c>
      <c r="AS107" s="162">
        <f t="shared" si="989"/>
        <v>0</v>
      </c>
      <c r="AT107" s="162">
        <f t="shared" si="989"/>
        <v>0</v>
      </c>
      <c r="AU107" s="162">
        <f t="shared" si="989"/>
        <v>0</v>
      </c>
      <c r="AV107" s="162">
        <f t="shared" si="989"/>
        <v>0</v>
      </c>
      <c r="AW107" s="162">
        <f t="shared" si="989"/>
        <v>0</v>
      </c>
      <c r="AX107" s="162">
        <f t="shared" si="989"/>
        <v>0</v>
      </c>
      <c r="AY107" s="162">
        <f t="shared" si="989"/>
        <v>0</v>
      </c>
      <c r="AZ107" s="162">
        <f t="shared" si="989"/>
        <v>0</v>
      </c>
      <c r="BA107" s="162">
        <f t="shared" si="989"/>
        <v>0</v>
      </c>
      <c r="BB107" s="162">
        <f t="shared" si="989"/>
        <v>0</v>
      </c>
      <c r="BC107" s="162">
        <f t="shared" si="989"/>
        <v>0</v>
      </c>
      <c r="BD107" s="162">
        <f t="shared" si="989"/>
        <v>0</v>
      </c>
      <c r="BE107" s="162">
        <f t="shared" si="989"/>
        <v>0</v>
      </c>
      <c r="BF107" s="162">
        <f t="shared" si="989"/>
        <v>0</v>
      </c>
      <c r="BG107" s="162">
        <f t="shared" si="989"/>
        <v>0</v>
      </c>
      <c r="BH107" s="162">
        <f t="shared" si="989"/>
        <v>0</v>
      </c>
      <c r="BI107" s="162">
        <f t="shared" si="989"/>
        <v>0</v>
      </c>
      <c r="BJ107" s="162">
        <f t="shared" si="989"/>
        <v>0</v>
      </c>
      <c r="BK107" s="162">
        <f t="shared" si="989"/>
        <v>0</v>
      </c>
      <c r="BL107" s="162">
        <f t="shared" si="989"/>
        <v>0</v>
      </c>
      <c r="BM107" s="162">
        <f t="shared" si="989"/>
        <v>0</v>
      </c>
      <c r="BN107" s="162">
        <f t="shared" si="989"/>
        <v>0</v>
      </c>
      <c r="BO107" s="162">
        <f t="shared" si="989"/>
        <v>0</v>
      </c>
      <c r="BP107" s="162">
        <f t="shared" si="989"/>
        <v>0</v>
      </c>
      <c r="BQ107" s="162">
        <f t="shared" si="989"/>
        <v>0</v>
      </c>
      <c r="BR107" s="162">
        <f t="shared" ref="BR107:CJ107" si="990">+BR78*BR65</f>
        <v>0</v>
      </c>
      <c r="BS107" s="162">
        <f t="shared" si="990"/>
        <v>0</v>
      </c>
      <c r="BT107" s="162">
        <f t="shared" si="990"/>
        <v>0</v>
      </c>
      <c r="BU107" s="162">
        <f t="shared" si="990"/>
        <v>0</v>
      </c>
      <c r="BV107" s="162">
        <f t="shared" si="990"/>
        <v>0</v>
      </c>
      <c r="BW107" s="162">
        <f t="shared" si="990"/>
        <v>0</v>
      </c>
      <c r="BX107" s="162">
        <f t="shared" si="990"/>
        <v>0</v>
      </c>
      <c r="BY107" s="162">
        <f t="shared" si="990"/>
        <v>6843.5763500000003</v>
      </c>
      <c r="BZ107" s="162">
        <f t="shared" si="990"/>
        <v>9031.9902500000007</v>
      </c>
      <c r="CA107" s="162">
        <f t="shared" si="990"/>
        <v>8072.3220000000001</v>
      </c>
      <c r="CB107" s="162">
        <f t="shared" si="990"/>
        <v>8454.9549999999999</v>
      </c>
      <c r="CC107" s="162">
        <f t="shared" si="990"/>
        <v>8490.7497000000003</v>
      </c>
      <c r="CD107" s="162">
        <f t="shared" si="990"/>
        <v>10345.902600000001</v>
      </c>
      <c r="CE107" s="162">
        <f t="shared" si="990"/>
        <v>8843.7595000000001</v>
      </c>
      <c r="CF107" s="162">
        <f t="shared" si="990"/>
        <v>10257.032999999999</v>
      </c>
      <c r="CG107" s="162">
        <f t="shared" si="990"/>
        <v>9015.9443499999998</v>
      </c>
      <c r="CH107" s="162">
        <f t="shared" si="990"/>
        <v>8516.67</v>
      </c>
      <c r="CI107" s="162">
        <f t="shared" si="990"/>
        <v>8257.4670000000006</v>
      </c>
      <c r="CJ107" s="162">
        <f t="shared" si="990"/>
        <v>8983.2353999999996</v>
      </c>
      <c r="CK107" s="162">
        <f t="shared" ref="CK107:CL107" si="991">+CK78*CK65</f>
        <v>8689.7321000000011</v>
      </c>
      <c r="CL107" s="162">
        <f t="shared" si="991"/>
        <v>7753.2880000000005</v>
      </c>
      <c r="CM107" s="21">
        <f t="shared" ref="CM107:DB107" si="992">+CM78*CM65</f>
        <v>8486.9999240405996</v>
      </c>
      <c r="CN107" s="21">
        <f t="shared" si="992"/>
        <v>8456.0092236964683</v>
      </c>
      <c r="CO107" s="21">
        <f t="shared" si="992"/>
        <v>8353.4412608225957</v>
      </c>
      <c r="CP107" s="21">
        <f t="shared" si="992"/>
        <v>8194.5936904227437</v>
      </c>
      <c r="CQ107" s="21">
        <f t="shared" si="992"/>
        <v>8073.5310967610385</v>
      </c>
      <c r="CR107" s="21">
        <f t="shared" si="992"/>
        <v>7835.0510741925445</v>
      </c>
      <c r="CS107" s="21">
        <f t="shared" si="992"/>
        <v>7659.1358785211523</v>
      </c>
      <c r="CT107" s="21">
        <f t="shared" si="992"/>
        <v>7625.6008182043861</v>
      </c>
      <c r="CU107" s="21">
        <f t="shared" si="992"/>
        <v>7623.4235497497903</v>
      </c>
      <c r="CV107" s="21">
        <f t="shared" si="992"/>
        <v>7494.4006256355333</v>
      </c>
      <c r="CW107" s="21">
        <f t="shared" si="992"/>
        <v>7365.0504450383132</v>
      </c>
      <c r="CX107" s="21">
        <f t="shared" si="992"/>
        <v>7435.7695246002831</v>
      </c>
      <c r="CY107" s="21">
        <f t="shared" si="992"/>
        <v>7529.032063267392</v>
      </c>
      <c r="CZ107" s="21">
        <f t="shared" si="992"/>
        <v>7471.7911135247405</v>
      </c>
      <c r="DA107" s="21">
        <f t="shared" si="992"/>
        <v>7401.2020897699076</v>
      </c>
      <c r="DB107" s="21">
        <f t="shared" si="992"/>
        <v>7557.3921745413236</v>
      </c>
      <c r="DE107" s="22"/>
      <c r="DF107" s="162">
        <v>10259.526</v>
      </c>
    </row>
    <row r="108" spans="1:110" s="162" customFormat="1" x14ac:dyDescent="0.2">
      <c r="A108" s="49" t="s">
        <v>341</v>
      </c>
      <c r="B108" s="162" t="e">
        <f t="shared" ref="B108:AE108" si="993">+B79*B65</f>
        <v>#DIV/0!</v>
      </c>
      <c r="C108" s="162" t="e">
        <f t="shared" si="993"/>
        <v>#DIV/0!</v>
      </c>
      <c r="D108" s="162" t="e">
        <f t="shared" si="993"/>
        <v>#DIV/0!</v>
      </c>
      <c r="E108" s="162">
        <f t="shared" ca="1" si="993"/>
        <v>0</v>
      </c>
      <c r="F108" s="162">
        <f t="shared" ca="1" si="993"/>
        <v>0</v>
      </c>
      <c r="G108" s="162">
        <f t="shared" ca="1" si="993"/>
        <v>0</v>
      </c>
      <c r="H108" s="162">
        <f t="shared" ca="1" si="993"/>
        <v>0</v>
      </c>
      <c r="I108" s="162">
        <f t="shared" ca="1" si="993"/>
        <v>0</v>
      </c>
      <c r="J108" s="162">
        <f t="shared" ca="1" si="993"/>
        <v>0</v>
      </c>
      <c r="K108" s="162">
        <f t="shared" ca="1" si="993"/>
        <v>0</v>
      </c>
      <c r="L108" s="162">
        <f t="shared" ca="1" si="993"/>
        <v>0</v>
      </c>
      <c r="M108" s="162">
        <f t="shared" ca="1" si="993"/>
        <v>0</v>
      </c>
      <c r="N108" s="162">
        <f t="shared" ca="1" si="993"/>
        <v>0</v>
      </c>
      <c r="O108" s="162">
        <f t="shared" ca="1" si="993"/>
        <v>0</v>
      </c>
      <c r="P108" s="162">
        <f t="shared" ca="1" si="993"/>
        <v>0</v>
      </c>
      <c r="Q108" s="162">
        <f t="shared" ca="1" si="993"/>
        <v>0</v>
      </c>
      <c r="R108" s="162">
        <f t="shared" ca="1" si="993"/>
        <v>0</v>
      </c>
      <c r="S108" s="162">
        <f t="shared" ca="1" si="993"/>
        <v>0</v>
      </c>
      <c r="T108" s="162">
        <f t="shared" ca="1" si="993"/>
        <v>0</v>
      </c>
      <c r="U108" s="162">
        <f t="shared" ca="1" si="993"/>
        <v>0</v>
      </c>
      <c r="V108" s="162">
        <f t="shared" ca="1" si="993"/>
        <v>0</v>
      </c>
      <c r="W108" s="162">
        <f t="shared" ca="1" si="993"/>
        <v>0</v>
      </c>
      <c r="X108" s="162">
        <f t="shared" ca="1" si="993"/>
        <v>5432.8573000000006</v>
      </c>
      <c r="Y108" s="162">
        <f t="shared" ca="1" si="993"/>
        <v>6111.27</v>
      </c>
      <c r="Z108" s="162">
        <f t="shared" ca="1" si="993"/>
        <v>5049.5140000000001</v>
      </c>
      <c r="AA108" s="162">
        <f t="shared" ref="AA108" ca="1" si="994">+AA79*AA65</f>
        <v>5049.5140000000001</v>
      </c>
      <c r="AB108" s="21">
        <f t="shared" ca="1" si="993"/>
        <v>6556.979823944951</v>
      </c>
      <c r="AC108" s="21">
        <f t="shared" ca="1" si="993"/>
        <v>6101.6949222097201</v>
      </c>
      <c r="AD108" s="21">
        <f t="shared" ca="1" si="993"/>
        <v>5893.213134763937</v>
      </c>
      <c r="AE108" s="21">
        <f t="shared" ca="1" si="993"/>
        <v>5922.1402071805387</v>
      </c>
      <c r="AL108" s="162">
        <f t="shared" ref="AL108:BQ108" si="995">+AL79*AL65</f>
        <v>0</v>
      </c>
      <c r="AM108" s="162">
        <f t="shared" si="995"/>
        <v>0</v>
      </c>
      <c r="AN108" s="162">
        <f t="shared" si="995"/>
        <v>0</v>
      </c>
      <c r="AO108" s="162">
        <f t="shared" si="995"/>
        <v>0</v>
      </c>
      <c r="AP108" s="162">
        <f t="shared" si="995"/>
        <v>0</v>
      </c>
      <c r="AQ108" s="162">
        <f t="shared" si="995"/>
        <v>0</v>
      </c>
      <c r="AR108" s="162">
        <f t="shared" si="995"/>
        <v>0</v>
      </c>
      <c r="AS108" s="162">
        <f t="shared" si="995"/>
        <v>0</v>
      </c>
      <c r="AT108" s="162">
        <f t="shared" si="995"/>
        <v>0</v>
      </c>
      <c r="AU108" s="162">
        <f t="shared" si="995"/>
        <v>0</v>
      </c>
      <c r="AV108" s="162">
        <f t="shared" si="995"/>
        <v>0</v>
      </c>
      <c r="AW108" s="162">
        <f t="shared" si="995"/>
        <v>0</v>
      </c>
      <c r="AX108" s="162">
        <f t="shared" si="995"/>
        <v>0</v>
      </c>
      <c r="AY108" s="162">
        <f t="shared" si="995"/>
        <v>0</v>
      </c>
      <c r="AZ108" s="162">
        <f t="shared" si="995"/>
        <v>0</v>
      </c>
      <c r="BA108" s="162">
        <f t="shared" si="995"/>
        <v>0</v>
      </c>
      <c r="BB108" s="162">
        <f t="shared" si="995"/>
        <v>0</v>
      </c>
      <c r="BC108" s="162">
        <f t="shared" si="995"/>
        <v>0</v>
      </c>
      <c r="BD108" s="162">
        <f t="shared" si="995"/>
        <v>0</v>
      </c>
      <c r="BE108" s="162">
        <f t="shared" si="995"/>
        <v>0</v>
      </c>
      <c r="BF108" s="162">
        <f t="shared" si="995"/>
        <v>0</v>
      </c>
      <c r="BG108" s="162">
        <f t="shared" si="995"/>
        <v>0</v>
      </c>
      <c r="BH108" s="162">
        <f t="shared" si="995"/>
        <v>0</v>
      </c>
      <c r="BI108" s="162">
        <f t="shared" si="995"/>
        <v>0</v>
      </c>
      <c r="BJ108" s="162">
        <f t="shared" si="995"/>
        <v>0</v>
      </c>
      <c r="BK108" s="162">
        <f t="shared" si="995"/>
        <v>0</v>
      </c>
      <c r="BL108" s="162">
        <f t="shared" si="995"/>
        <v>0</v>
      </c>
      <c r="BM108" s="162">
        <f t="shared" si="995"/>
        <v>0</v>
      </c>
      <c r="BN108" s="162">
        <f t="shared" si="995"/>
        <v>0</v>
      </c>
      <c r="BO108" s="162">
        <f t="shared" si="995"/>
        <v>0</v>
      </c>
      <c r="BP108" s="162">
        <f t="shared" si="995"/>
        <v>0</v>
      </c>
      <c r="BQ108" s="162">
        <f t="shared" si="995"/>
        <v>0</v>
      </c>
      <c r="BR108" s="162">
        <f t="shared" ref="BR108:CJ108" si="996">+BR79*BR65</f>
        <v>0</v>
      </c>
      <c r="BS108" s="162">
        <f t="shared" si="996"/>
        <v>0</v>
      </c>
      <c r="BT108" s="162">
        <f t="shared" si="996"/>
        <v>0</v>
      </c>
      <c r="BU108" s="162">
        <f t="shared" si="996"/>
        <v>0</v>
      </c>
      <c r="BV108" s="162">
        <f t="shared" si="996"/>
        <v>0</v>
      </c>
      <c r="BW108" s="162">
        <f t="shared" si="996"/>
        <v>0</v>
      </c>
      <c r="BX108" s="162">
        <f t="shared" si="996"/>
        <v>0</v>
      </c>
      <c r="BY108" s="162">
        <f t="shared" si="996"/>
        <v>0</v>
      </c>
      <c r="BZ108" s="162">
        <f t="shared" si="996"/>
        <v>6375.7766499999998</v>
      </c>
      <c r="CA108" s="162">
        <f t="shared" si="996"/>
        <v>6404.7826999999997</v>
      </c>
      <c r="CB108" s="162">
        <f t="shared" si="996"/>
        <v>6109.7849999999999</v>
      </c>
      <c r="CC108" s="162">
        <f t="shared" si="996"/>
        <v>6298.6329000000005</v>
      </c>
      <c r="CD108" s="162">
        <f t="shared" si="996"/>
        <v>7054.0244999999995</v>
      </c>
      <c r="CE108" s="162">
        <f t="shared" si="996"/>
        <v>7194.7347</v>
      </c>
      <c r="CF108" s="162">
        <f t="shared" si="996"/>
        <v>8211.1807499999995</v>
      </c>
      <c r="CG108" s="162">
        <f t="shared" si="996"/>
        <v>7294.7129999999997</v>
      </c>
      <c r="CH108" s="162">
        <f t="shared" si="996"/>
        <v>5048.2870000000003</v>
      </c>
      <c r="CI108" s="162">
        <f t="shared" si="996"/>
        <v>5921.5542500000001</v>
      </c>
      <c r="CJ108" s="162">
        <f t="shared" si="996"/>
        <v>7513.1841000000004</v>
      </c>
      <c r="CK108" s="162">
        <f t="shared" ref="CK108:CL108" si="997">+CK79*CK65</f>
        <v>5964.3526000000002</v>
      </c>
      <c r="CL108" s="162">
        <f t="shared" si="997"/>
        <v>6203.8649999999998</v>
      </c>
      <c r="CM108" s="21">
        <f t="shared" ref="CM108:DB108" si="998">+CM79*CM65</f>
        <v>6790.9513723414029</v>
      </c>
      <c r="CN108" s="21">
        <f t="shared" si="998"/>
        <v>6766.1538772412023</v>
      </c>
      <c r="CO108" s="21">
        <f t="shared" si="998"/>
        <v>6684.083174463939</v>
      </c>
      <c r="CP108" s="21">
        <f t="shared" si="998"/>
        <v>6556.979823944951</v>
      </c>
      <c r="CQ108" s="21">
        <f t="shared" si="998"/>
        <v>6460.11047153252</v>
      </c>
      <c r="CR108" s="21">
        <f t="shared" si="998"/>
        <v>6269.2884789518366</v>
      </c>
      <c r="CS108" s="21">
        <f t="shared" si="998"/>
        <v>6128.52831044089</v>
      </c>
      <c r="CT108" s="21">
        <f t="shared" si="998"/>
        <v>6101.6949222097201</v>
      </c>
      <c r="CU108" s="21">
        <f t="shared" si="998"/>
        <v>6099.9527607472455</v>
      </c>
      <c r="CV108" s="21">
        <f t="shared" si="998"/>
        <v>5996.7138764042293</v>
      </c>
      <c r="CW108" s="21">
        <f t="shared" si="998"/>
        <v>5893.213134763937</v>
      </c>
      <c r="CX108" s="21">
        <f t="shared" si="998"/>
        <v>5949.7996594134429</v>
      </c>
      <c r="CY108" s="21">
        <f t="shared" si="998"/>
        <v>6024.4245410698477</v>
      </c>
      <c r="CZ108" s="21">
        <f t="shared" si="998"/>
        <v>5978.6226664748119</v>
      </c>
      <c r="DA108" s="21">
        <f t="shared" si="998"/>
        <v>5922.1402071805387</v>
      </c>
      <c r="DB108" s="21">
        <f t="shared" si="998"/>
        <v>6047.1171460302794</v>
      </c>
      <c r="DE108" s="22"/>
      <c r="DF108" s="162">
        <v>5049.5140000000001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99">+C168</f>
        <v>0</v>
      </c>
      <c r="D109" s="162">
        <f t="shared" si="999"/>
        <v>0</v>
      </c>
      <c r="E109" s="162">
        <f t="shared" si="999"/>
        <v>0</v>
      </c>
      <c r="F109" s="162">
        <f t="shared" si="999"/>
        <v>0</v>
      </c>
      <c r="G109" s="162">
        <f t="shared" si="999"/>
        <v>0</v>
      </c>
      <c r="H109" s="162">
        <f t="shared" si="999"/>
        <v>0</v>
      </c>
      <c r="I109" s="162">
        <f t="shared" si="999"/>
        <v>0</v>
      </c>
      <c r="J109" s="162">
        <f t="shared" si="999"/>
        <v>0</v>
      </c>
      <c r="K109" s="162">
        <f t="shared" si="999"/>
        <v>0</v>
      </c>
      <c r="L109" s="162">
        <f t="shared" si="999"/>
        <v>0</v>
      </c>
      <c r="M109" s="162">
        <f t="shared" si="999"/>
        <v>0</v>
      </c>
      <c r="N109" s="162">
        <f t="shared" si="999"/>
        <v>0</v>
      </c>
      <c r="O109" s="162">
        <f t="shared" si="999"/>
        <v>0</v>
      </c>
      <c r="P109" s="162">
        <f t="shared" si="999"/>
        <v>940.28089999999997</v>
      </c>
      <c r="Q109" s="162">
        <f t="shared" si="999"/>
        <v>920.40870000000007</v>
      </c>
      <c r="R109" s="162">
        <f t="shared" si="999"/>
        <v>910.84419999999989</v>
      </c>
      <c r="S109" s="162">
        <f t="shared" si="999"/>
        <v>955.62919999999997</v>
      </c>
      <c r="T109" s="162">
        <f t="shared" si="999"/>
        <v>706.58300000000008</v>
      </c>
      <c r="U109" s="162">
        <f t="shared" si="999"/>
        <v>785.46100000000001</v>
      </c>
      <c r="V109" s="162">
        <f t="shared" si="999"/>
        <v>785.45060000000001</v>
      </c>
      <c r="W109" s="162">
        <f t="shared" si="999"/>
        <v>775.06700000000001</v>
      </c>
      <c r="X109" s="162">
        <f t="shared" ref="X109:Y109" si="1000">+X168</f>
        <v>-221.2577</v>
      </c>
      <c r="Y109" s="162">
        <f t="shared" si="1000"/>
        <v>-335.80840000000001</v>
      </c>
      <c r="Z109" s="162">
        <f t="shared" ref="Z109:AA109" si="1001">+Z168</f>
        <v>-76.949399999999997</v>
      </c>
      <c r="AA109" s="162">
        <f t="shared" si="1001"/>
        <v>343.94069999999999</v>
      </c>
      <c r="AB109" s="21">
        <f t="shared" ref="AB109:AD109" si="1002">+AB168</f>
        <v>45.576094649837614</v>
      </c>
      <c r="AC109" s="21">
        <f t="shared" si="1002"/>
        <v>-94.600445363795501</v>
      </c>
      <c r="AD109" s="21">
        <f t="shared" si="1002"/>
        <v>-217.02346703226013</v>
      </c>
      <c r="AE109" s="21">
        <f t="shared" ref="AE109" si="1003">+AE168</f>
        <v>-326.15236549137421</v>
      </c>
      <c r="AL109" s="162">
        <f t="shared" ref="AL109:AM109" si="1004">+AL168</f>
        <v>0</v>
      </c>
      <c r="AM109" s="162" t="e">
        <f t="shared" si="1004"/>
        <v>#DIV/0!</v>
      </c>
      <c r="AN109" s="162">
        <f t="shared" ref="AN109:AO109" si="1005">+AN168</f>
        <v>0</v>
      </c>
      <c r="AO109" s="162" t="e">
        <f t="shared" si="1005"/>
        <v>#DIV/0!</v>
      </c>
      <c r="AP109" s="162">
        <f t="shared" ref="AP109:CD109" si="1006">+AP168</f>
        <v>0</v>
      </c>
      <c r="AQ109" s="162" t="e">
        <f t="shared" si="1006"/>
        <v>#DIV/0!</v>
      </c>
      <c r="AR109" s="162">
        <f t="shared" si="1006"/>
        <v>0</v>
      </c>
      <c r="AS109" s="162" t="e">
        <f t="shared" si="1006"/>
        <v>#DIV/0!</v>
      </c>
      <c r="AT109" s="162">
        <f t="shared" si="1006"/>
        <v>0</v>
      </c>
      <c r="AU109" s="162" t="e">
        <f t="shared" si="1006"/>
        <v>#DIV/0!</v>
      </c>
      <c r="AV109" s="162">
        <f t="shared" si="1006"/>
        <v>0</v>
      </c>
      <c r="AW109" s="162" t="e">
        <f t="shared" si="1006"/>
        <v>#DIV/0!</v>
      </c>
      <c r="AX109" s="162">
        <f t="shared" si="1006"/>
        <v>0</v>
      </c>
      <c r="AY109" s="162" t="e">
        <f t="shared" si="1006"/>
        <v>#DIV/0!</v>
      </c>
      <c r="AZ109" s="162">
        <f t="shared" si="1006"/>
        <v>0</v>
      </c>
      <c r="BA109" s="162" t="e">
        <f t="shared" si="1006"/>
        <v>#DIV/0!</v>
      </c>
      <c r="BB109" s="162">
        <f t="shared" si="1006"/>
        <v>0</v>
      </c>
      <c r="BC109" s="162" t="e">
        <f t="shared" si="1006"/>
        <v>#DIV/0!</v>
      </c>
      <c r="BD109" s="162">
        <f t="shared" si="1006"/>
        <v>0</v>
      </c>
      <c r="BE109" s="162" t="e">
        <f t="shared" si="1006"/>
        <v>#DIV/0!</v>
      </c>
      <c r="BF109" s="162">
        <f t="shared" si="1006"/>
        <v>0</v>
      </c>
      <c r="BG109" s="162" t="e">
        <f t="shared" si="1006"/>
        <v>#DIV/0!</v>
      </c>
      <c r="BH109" s="162">
        <f t="shared" si="1006"/>
        <v>0</v>
      </c>
      <c r="BI109" s="162" t="e">
        <f t="shared" si="1006"/>
        <v>#DIV/0!</v>
      </c>
      <c r="BJ109" s="162">
        <f t="shared" si="1006"/>
        <v>0</v>
      </c>
      <c r="BK109" s="162" t="e">
        <f t="shared" si="1006"/>
        <v>#DIV/0!</v>
      </c>
      <c r="BL109" s="162">
        <f t="shared" si="1006"/>
        <v>0</v>
      </c>
      <c r="BM109" s="162" t="e">
        <f t="shared" si="1006"/>
        <v>#DIV/0!</v>
      </c>
      <c r="BN109" s="162">
        <f t="shared" si="1006"/>
        <v>0</v>
      </c>
      <c r="BO109" s="162" t="e">
        <f t="shared" si="1006"/>
        <v>#DIV/0!</v>
      </c>
      <c r="BP109" s="162">
        <f t="shared" si="1006"/>
        <v>0</v>
      </c>
      <c r="BQ109" s="162" t="e">
        <f t="shared" si="1006"/>
        <v>#DIV/0!</v>
      </c>
      <c r="BR109" s="162">
        <f t="shared" si="1006"/>
        <v>0</v>
      </c>
      <c r="BS109" s="162" t="e">
        <f t="shared" si="1006"/>
        <v>#DIV/0!</v>
      </c>
      <c r="BT109" s="162">
        <f t="shared" si="1006"/>
        <v>0</v>
      </c>
      <c r="BU109" s="162">
        <f t="shared" si="1006"/>
        <v>-49.019999999999996</v>
      </c>
      <c r="BV109" s="162">
        <f t="shared" si="1006"/>
        <v>775.06799999999998</v>
      </c>
      <c r="BW109" s="162">
        <f t="shared" si="1006"/>
        <v>702.66065550372798</v>
      </c>
      <c r="BX109" s="162">
        <f t="shared" si="1006"/>
        <v>689.64699999999993</v>
      </c>
      <c r="BY109" s="162">
        <f t="shared" si="1006"/>
        <v>619.5288175880338</v>
      </c>
      <c r="BZ109" s="162">
        <f t="shared" si="1006"/>
        <v>-221.25800000000001</v>
      </c>
      <c r="CA109" s="162">
        <f t="shared" si="1006"/>
        <v>-334.62857832494279</v>
      </c>
      <c r="CB109" s="162">
        <f t="shared" si="1006"/>
        <v>-360.60399999999998</v>
      </c>
      <c r="CC109" s="162">
        <f t="shared" si="1006"/>
        <v>-394.34949936136877</v>
      </c>
      <c r="CD109" s="162">
        <f t="shared" si="1006"/>
        <v>-335.80900000000003</v>
      </c>
      <c r="CE109" s="162">
        <f t="shared" ref="CE109:CF109" si="1007">+CE168</f>
        <v>-426.78457273735921</v>
      </c>
      <c r="CF109" s="162">
        <f t="shared" si="1007"/>
        <v>-347.875</v>
      </c>
      <c r="CG109" s="162">
        <f t="shared" ref="CG109:CH109" si="1008">+CG168</f>
        <v>-394.81236317398265</v>
      </c>
      <c r="CH109" s="162">
        <f t="shared" si="1008"/>
        <v>-76.949399999999997</v>
      </c>
      <c r="CI109" s="162">
        <f t="shared" ref="CI109:CJ109" si="1009">+CI168</f>
        <v>-189.66894326705773</v>
      </c>
      <c r="CJ109" s="162">
        <f t="shared" si="1009"/>
        <v>32.230999999999995</v>
      </c>
      <c r="CK109" s="162">
        <f t="shared" ref="CK109:CL109" si="1010">+CK168</f>
        <v>23.83381130351998</v>
      </c>
      <c r="CL109" s="162">
        <f t="shared" si="1010"/>
        <v>206.10837360612132</v>
      </c>
      <c r="CM109" s="21">
        <f t="shared" ref="CM109:DB109" si="1011">+CM168</f>
        <v>9.0639150802872166</v>
      </c>
      <c r="CN109" s="21">
        <f t="shared" si="1011"/>
        <v>-189.17438639540219</v>
      </c>
      <c r="CO109" s="21">
        <f t="shared" si="1011"/>
        <v>-178.46801110046661</v>
      </c>
      <c r="CP109" s="21">
        <f t="shared" si="1011"/>
        <v>45.576094649837614</v>
      </c>
      <c r="CQ109" s="21">
        <f t="shared" si="1011"/>
        <v>-167.00070860615958</v>
      </c>
      <c r="CR109" s="21">
        <f t="shared" si="1011"/>
        <v>-378.36749247081912</v>
      </c>
      <c r="CS109" s="21">
        <f t="shared" si="1011"/>
        <v>-354.02140951426509</v>
      </c>
      <c r="CT109" s="21">
        <f t="shared" si="1011"/>
        <v>-94.600445363795501</v>
      </c>
      <c r="CU109" s="21">
        <f t="shared" si="1011"/>
        <v>-322.35577621500443</v>
      </c>
      <c r="CV109" s="21">
        <f t="shared" si="1011"/>
        <v>-547.93379485007858</v>
      </c>
      <c r="CW109" s="21">
        <f t="shared" si="1011"/>
        <v>-512.27539455605176</v>
      </c>
      <c r="CX109" s="21">
        <f t="shared" si="1011"/>
        <v>-217.02346703226013</v>
      </c>
      <c r="CY109" s="21">
        <f t="shared" si="1011"/>
        <v>-462.34988956449206</v>
      </c>
      <c r="CZ109" s="21">
        <f t="shared" si="1011"/>
        <v>-705.34649487380455</v>
      </c>
      <c r="DA109" s="21">
        <f t="shared" si="1011"/>
        <v>-659.30274589042926</v>
      </c>
      <c r="DB109" s="21">
        <f t="shared" si="1011"/>
        <v>-326.15236549137421</v>
      </c>
      <c r="DE109" s="22"/>
      <c r="DF109" s="162">
        <v>343.94069999999999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12">+C107+C109</f>
        <v>#DIV/0!</v>
      </c>
      <c r="D110" s="162" t="e">
        <f t="shared" si="1012"/>
        <v>#DIV/0!</v>
      </c>
      <c r="E110" s="162">
        <f t="shared" ca="1" si="1012"/>
        <v>0</v>
      </c>
      <c r="F110" s="162">
        <f t="shared" ca="1" si="1012"/>
        <v>0</v>
      </c>
      <c r="G110" s="162">
        <f t="shared" ca="1" si="1012"/>
        <v>0</v>
      </c>
      <c r="H110" s="162">
        <f t="shared" ca="1" si="1012"/>
        <v>0</v>
      </c>
      <c r="I110" s="162">
        <f t="shared" ca="1" si="1012"/>
        <v>0</v>
      </c>
      <c r="J110" s="162">
        <f t="shared" ca="1" si="1012"/>
        <v>0</v>
      </c>
      <c r="K110" s="162">
        <f t="shared" ca="1" si="1012"/>
        <v>0</v>
      </c>
      <c r="L110" s="162">
        <f t="shared" ca="1" si="1012"/>
        <v>0</v>
      </c>
      <c r="M110" s="162">
        <f t="shared" ca="1" si="1012"/>
        <v>0</v>
      </c>
      <c r="N110" s="162">
        <f t="shared" ca="1" si="1012"/>
        <v>0</v>
      </c>
      <c r="O110" s="162">
        <f t="shared" ca="1" si="1012"/>
        <v>0</v>
      </c>
      <c r="P110" s="162">
        <f t="shared" ca="1" si="1012"/>
        <v>940.28089999999997</v>
      </c>
      <c r="Q110" s="162">
        <f t="shared" ca="1" si="1012"/>
        <v>920.40870000000007</v>
      </c>
      <c r="R110" s="162">
        <f t="shared" ca="1" si="1012"/>
        <v>910.84419999999989</v>
      </c>
      <c r="S110" s="162">
        <f t="shared" ca="1" si="1012"/>
        <v>955.62919999999997</v>
      </c>
      <c r="T110" s="162">
        <f t="shared" ca="1" si="1012"/>
        <v>706.58300000000008</v>
      </c>
      <c r="U110" s="162">
        <f t="shared" ca="1" si="1012"/>
        <v>785.46100000000001</v>
      </c>
      <c r="V110" s="162">
        <f t="shared" ca="1" si="1012"/>
        <v>785.45060000000001</v>
      </c>
      <c r="W110" s="162">
        <f t="shared" ca="1" si="1012"/>
        <v>775.06700000000001</v>
      </c>
      <c r="X110" s="162">
        <f t="shared" ref="X110:Y110" ca="1" si="1013">+X107+X109</f>
        <v>8812.9277999999995</v>
      </c>
      <c r="Y110" s="162">
        <f t="shared" ca="1" si="1013"/>
        <v>10012.6088</v>
      </c>
      <c r="Z110" s="162">
        <f t="shared" ref="Z110:AA110" ca="1" si="1014">+Z107+Z109</f>
        <v>10182.5766</v>
      </c>
      <c r="AA110" s="162">
        <f t="shared" ca="1" si="1014"/>
        <v>10182.5766</v>
      </c>
      <c r="AB110" s="21">
        <f t="shared" ref="AB110:AD110" ca="1" si="1015">+AB107+AB109</f>
        <v>8532.5760186904372</v>
      </c>
      <c r="AC110" s="21">
        <f t="shared" ca="1" si="1015"/>
        <v>7978.9306513972451</v>
      </c>
      <c r="AD110" s="21">
        <f t="shared" ca="1" si="1015"/>
        <v>7406.4000827175287</v>
      </c>
      <c r="AE110" s="21">
        <f t="shared" ref="AE110" ca="1" si="1016">+AE107+AE109</f>
        <v>7231.2398090499473</v>
      </c>
      <c r="AL110" s="162">
        <f t="shared" ref="AL110" si="1017">+AL107+AL109</f>
        <v>0</v>
      </c>
      <c r="AM110" s="162" t="e">
        <f t="shared" ref="AM110:AO110" si="1018">+AM107+AM109</f>
        <v>#DIV/0!</v>
      </c>
      <c r="AN110" s="162">
        <f t="shared" si="1018"/>
        <v>0</v>
      </c>
      <c r="AO110" s="162" t="e">
        <f t="shared" si="1018"/>
        <v>#DIV/0!</v>
      </c>
      <c r="AP110" s="162">
        <f t="shared" ref="AP110:CD110" si="1019">+AP107+AP109</f>
        <v>0</v>
      </c>
      <c r="AQ110" s="162" t="e">
        <f t="shared" si="1019"/>
        <v>#DIV/0!</v>
      </c>
      <c r="AR110" s="162">
        <f t="shared" si="1019"/>
        <v>0</v>
      </c>
      <c r="AS110" s="162" t="e">
        <f t="shared" si="1019"/>
        <v>#DIV/0!</v>
      </c>
      <c r="AT110" s="162">
        <f t="shared" si="1019"/>
        <v>0</v>
      </c>
      <c r="AU110" s="162" t="e">
        <f t="shared" si="1019"/>
        <v>#DIV/0!</v>
      </c>
      <c r="AV110" s="162">
        <f t="shared" si="1019"/>
        <v>0</v>
      </c>
      <c r="AW110" s="162" t="e">
        <f t="shared" si="1019"/>
        <v>#DIV/0!</v>
      </c>
      <c r="AX110" s="162">
        <f t="shared" si="1019"/>
        <v>0</v>
      </c>
      <c r="AY110" s="162" t="e">
        <f t="shared" si="1019"/>
        <v>#DIV/0!</v>
      </c>
      <c r="AZ110" s="162">
        <f t="shared" si="1019"/>
        <v>0</v>
      </c>
      <c r="BA110" s="162" t="e">
        <f t="shared" si="1019"/>
        <v>#DIV/0!</v>
      </c>
      <c r="BB110" s="162">
        <f t="shared" si="1019"/>
        <v>0</v>
      </c>
      <c r="BC110" s="162" t="e">
        <f t="shared" si="1019"/>
        <v>#DIV/0!</v>
      </c>
      <c r="BD110" s="162">
        <f t="shared" si="1019"/>
        <v>0</v>
      </c>
      <c r="BE110" s="162" t="e">
        <f t="shared" si="1019"/>
        <v>#DIV/0!</v>
      </c>
      <c r="BF110" s="162">
        <f t="shared" si="1019"/>
        <v>0</v>
      </c>
      <c r="BG110" s="162" t="e">
        <f t="shared" si="1019"/>
        <v>#DIV/0!</v>
      </c>
      <c r="BH110" s="162">
        <f t="shared" si="1019"/>
        <v>0</v>
      </c>
      <c r="BI110" s="162" t="e">
        <f t="shared" si="1019"/>
        <v>#DIV/0!</v>
      </c>
      <c r="BJ110" s="162">
        <f t="shared" si="1019"/>
        <v>0</v>
      </c>
      <c r="BK110" s="162" t="e">
        <f t="shared" si="1019"/>
        <v>#DIV/0!</v>
      </c>
      <c r="BL110" s="162">
        <f t="shared" si="1019"/>
        <v>0</v>
      </c>
      <c r="BM110" s="162" t="e">
        <f t="shared" si="1019"/>
        <v>#DIV/0!</v>
      </c>
      <c r="BN110" s="162">
        <f t="shared" si="1019"/>
        <v>0</v>
      </c>
      <c r="BO110" s="162" t="e">
        <f t="shared" si="1019"/>
        <v>#DIV/0!</v>
      </c>
      <c r="BP110" s="162">
        <f t="shared" si="1019"/>
        <v>0</v>
      </c>
      <c r="BQ110" s="162" t="e">
        <f t="shared" si="1019"/>
        <v>#DIV/0!</v>
      </c>
      <c r="BR110" s="162">
        <f t="shared" si="1019"/>
        <v>0</v>
      </c>
      <c r="BS110" s="162" t="e">
        <f t="shared" si="1019"/>
        <v>#DIV/0!</v>
      </c>
      <c r="BT110" s="162">
        <f t="shared" si="1019"/>
        <v>0</v>
      </c>
      <c r="BU110" s="162">
        <f t="shared" si="1019"/>
        <v>-49.019999999999996</v>
      </c>
      <c r="BV110" s="162">
        <f t="shared" si="1019"/>
        <v>775.06799999999998</v>
      </c>
      <c r="BW110" s="162">
        <f t="shared" si="1019"/>
        <v>702.66065550372798</v>
      </c>
      <c r="BX110" s="162">
        <f t="shared" si="1019"/>
        <v>689.64699999999993</v>
      </c>
      <c r="BY110" s="162">
        <f t="shared" si="1019"/>
        <v>7463.1051675880344</v>
      </c>
      <c r="BZ110" s="162">
        <f t="shared" si="1019"/>
        <v>8810.7322500000009</v>
      </c>
      <c r="CA110" s="162">
        <f t="shared" si="1019"/>
        <v>7737.6934216750569</v>
      </c>
      <c r="CB110" s="162">
        <f t="shared" si="1019"/>
        <v>8094.3509999999997</v>
      </c>
      <c r="CC110" s="162">
        <f t="shared" si="1019"/>
        <v>8096.4002006386318</v>
      </c>
      <c r="CD110" s="162">
        <f t="shared" si="1019"/>
        <v>10010.093600000002</v>
      </c>
      <c r="CE110" s="162">
        <f t="shared" ref="CE110:CF110" si="1020">+CE107+CE109</f>
        <v>8416.9749272626414</v>
      </c>
      <c r="CF110" s="162">
        <f t="shared" si="1020"/>
        <v>9909.1579999999994</v>
      </c>
      <c r="CG110" s="162">
        <f t="shared" ref="CG110:CH110" si="1021">+CG107+CG109</f>
        <v>8621.131986826018</v>
      </c>
      <c r="CH110" s="162">
        <f t="shared" si="1021"/>
        <v>8439.7206000000006</v>
      </c>
      <c r="CI110" s="162">
        <f t="shared" ref="CI110:CJ110" si="1022">+CI107+CI109</f>
        <v>8067.7980567329432</v>
      </c>
      <c r="CJ110" s="162">
        <f t="shared" si="1022"/>
        <v>9015.4663999999993</v>
      </c>
      <c r="CK110" s="162">
        <f t="shared" ref="CK110:CL110" si="1023">+CK107+CK109</f>
        <v>8713.5659113035217</v>
      </c>
      <c r="CL110" s="162">
        <f t="shared" si="1023"/>
        <v>7959.3963736061214</v>
      </c>
      <c r="CM110" s="21">
        <f t="shared" ref="CM110:DB110" si="1024">+CM107+CM109</f>
        <v>8496.0638391208868</v>
      </c>
      <c r="CN110" s="21">
        <f t="shared" si="1024"/>
        <v>8266.8348373010667</v>
      </c>
      <c r="CO110" s="21">
        <f t="shared" si="1024"/>
        <v>8174.9732497221294</v>
      </c>
      <c r="CP110" s="21">
        <f t="shared" si="1024"/>
        <v>8240.1697850725814</v>
      </c>
      <c r="CQ110" s="21">
        <f t="shared" si="1024"/>
        <v>7906.5303881548789</v>
      </c>
      <c r="CR110" s="21">
        <f t="shared" si="1024"/>
        <v>7456.6835817217252</v>
      </c>
      <c r="CS110" s="21">
        <f t="shared" si="1024"/>
        <v>7305.1144690068868</v>
      </c>
      <c r="CT110" s="21">
        <f t="shared" si="1024"/>
        <v>7531.0003728405909</v>
      </c>
      <c r="CU110" s="21">
        <f t="shared" si="1024"/>
        <v>7301.0677735347854</v>
      </c>
      <c r="CV110" s="21">
        <f t="shared" si="1024"/>
        <v>6946.4668307854545</v>
      </c>
      <c r="CW110" s="21">
        <f t="shared" si="1024"/>
        <v>6852.7750504822616</v>
      </c>
      <c r="CX110" s="21">
        <f t="shared" si="1024"/>
        <v>7218.7460575680234</v>
      </c>
      <c r="CY110" s="21">
        <f t="shared" si="1024"/>
        <v>7066.6821737029004</v>
      </c>
      <c r="CZ110" s="21">
        <f t="shared" si="1024"/>
        <v>6766.4446186509358</v>
      </c>
      <c r="DA110" s="21">
        <f t="shared" si="1024"/>
        <v>6741.8993438794787</v>
      </c>
      <c r="DB110" s="21">
        <f t="shared" si="1024"/>
        <v>7231.2398090499491</v>
      </c>
      <c r="DE110" s="22"/>
      <c r="DF110" s="162">
        <v>10182.5766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25">+C108+C109</f>
        <v>#DIV/0!</v>
      </c>
      <c r="D111" s="162" t="e">
        <f t="shared" si="1025"/>
        <v>#DIV/0!</v>
      </c>
      <c r="E111" s="162">
        <f t="shared" ca="1" si="1025"/>
        <v>0</v>
      </c>
      <c r="F111" s="162">
        <f t="shared" ca="1" si="1025"/>
        <v>0</v>
      </c>
      <c r="G111" s="162">
        <f t="shared" ca="1" si="1025"/>
        <v>0</v>
      </c>
      <c r="H111" s="162">
        <f t="shared" ca="1" si="1025"/>
        <v>0</v>
      </c>
      <c r="I111" s="162">
        <f t="shared" ca="1" si="1025"/>
        <v>0</v>
      </c>
      <c r="J111" s="162">
        <f t="shared" ca="1" si="1025"/>
        <v>0</v>
      </c>
      <c r="K111" s="162">
        <f t="shared" ca="1" si="1025"/>
        <v>0</v>
      </c>
      <c r="L111" s="162">
        <f t="shared" ca="1" si="1025"/>
        <v>0</v>
      </c>
      <c r="M111" s="162">
        <f t="shared" ca="1" si="1025"/>
        <v>0</v>
      </c>
      <c r="N111" s="162">
        <f t="shared" ca="1" si="1025"/>
        <v>0</v>
      </c>
      <c r="O111" s="162">
        <f t="shared" ca="1" si="1025"/>
        <v>0</v>
      </c>
      <c r="P111" s="162">
        <f t="shared" ca="1" si="1025"/>
        <v>940.28089999999997</v>
      </c>
      <c r="Q111" s="162">
        <f t="shared" ca="1" si="1025"/>
        <v>920.40870000000007</v>
      </c>
      <c r="R111" s="162">
        <f t="shared" ca="1" si="1025"/>
        <v>910.84419999999989</v>
      </c>
      <c r="S111" s="162">
        <f t="shared" ca="1" si="1025"/>
        <v>955.62919999999997</v>
      </c>
      <c r="T111" s="162">
        <f t="shared" ca="1" si="1025"/>
        <v>706.58300000000008</v>
      </c>
      <c r="U111" s="162">
        <f t="shared" ca="1" si="1025"/>
        <v>785.46100000000001</v>
      </c>
      <c r="V111" s="162">
        <f t="shared" ca="1" si="1025"/>
        <v>785.45060000000001</v>
      </c>
      <c r="W111" s="162">
        <f t="shared" ca="1" si="1025"/>
        <v>775.06700000000001</v>
      </c>
      <c r="X111" s="162">
        <f t="shared" ref="X111:Y111" ca="1" si="1026">+X108+X109</f>
        <v>5211.5996000000005</v>
      </c>
      <c r="Y111" s="162">
        <f t="shared" ca="1" si="1026"/>
        <v>5775.4616000000005</v>
      </c>
      <c r="Z111" s="162">
        <f t="shared" ref="Z111:AA111" ca="1" si="1027">+Z108+Z109</f>
        <v>4972.5645999999997</v>
      </c>
      <c r="AA111" s="162">
        <f t="shared" ca="1" si="1027"/>
        <v>4972.5645999999997</v>
      </c>
      <c r="AB111" s="21">
        <f t="shared" ref="AB111:AD111" ca="1" si="1028">+AB108+AB109</f>
        <v>6602.5559185947886</v>
      </c>
      <c r="AC111" s="21">
        <f t="shared" ca="1" si="1028"/>
        <v>6007.0944768459249</v>
      </c>
      <c r="AD111" s="21">
        <f t="shared" ca="1" si="1028"/>
        <v>5676.1896677316763</v>
      </c>
      <c r="AE111" s="21">
        <f t="shared" ref="AE111" ca="1" si="1029">+AE108+AE109</f>
        <v>5595.9878416891643</v>
      </c>
      <c r="AL111" s="162">
        <f t="shared" ref="AL111:AM111" si="1030">+AL108+AL109</f>
        <v>0</v>
      </c>
      <c r="AM111" s="162" t="e">
        <f t="shared" si="1030"/>
        <v>#DIV/0!</v>
      </c>
      <c r="AN111" s="162">
        <f t="shared" ref="AN111:AO111" si="1031">+AN108+AN109</f>
        <v>0</v>
      </c>
      <c r="AO111" s="162" t="e">
        <f t="shared" si="1031"/>
        <v>#DIV/0!</v>
      </c>
      <c r="AP111" s="162">
        <f t="shared" ref="AP111:CD111" si="1032">+AP108+AP109</f>
        <v>0</v>
      </c>
      <c r="AQ111" s="162" t="e">
        <f t="shared" si="1032"/>
        <v>#DIV/0!</v>
      </c>
      <c r="AR111" s="162">
        <f t="shared" si="1032"/>
        <v>0</v>
      </c>
      <c r="AS111" s="162" t="e">
        <f t="shared" si="1032"/>
        <v>#DIV/0!</v>
      </c>
      <c r="AT111" s="162">
        <f t="shared" si="1032"/>
        <v>0</v>
      </c>
      <c r="AU111" s="162" t="e">
        <f t="shared" si="1032"/>
        <v>#DIV/0!</v>
      </c>
      <c r="AV111" s="162">
        <f t="shared" si="1032"/>
        <v>0</v>
      </c>
      <c r="AW111" s="162" t="e">
        <f t="shared" si="1032"/>
        <v>#DIV/0!</v>
      </c>
      <c r="AX111" s="162">
        <f t="shared" si="1032"/>
        <v>0</v>
      </c>
      <c r="AY111" s="162" t="e">
        <f t="shared" si="1032"/>
        <v>#DIV/0!</v>
      </c>
      <c r="AZ111" s="162">
        <f t="shared" si="1032"/>
        <v>0</v>
      </c>
      <c r="BA111" s="162" t="e">
        <f t="shared" si="1032"/>
        <v>#DIV/0!</v>
      </c>
      <c r="BB111" s="162">
        <f t="shared" si="1032"/>
        <v>0</v>
      </c>
      <c r="BC111" s="162" t="e">
        <f t="shared" si="1032"/>
        <v>#DIV/0!</v>
      </c>
      <c r="BD111" s="162">
        <f t="shared" si="1032"/>
        <v>0</v>
      </c>
      <c r="BE111" s="162" t="e">
        <f t="shared" si="1032"/>
        <v>#DIV/0!</v>
      </c>
      <c r="BF111" s="162">
        <f t="shared" si="1032"/>
        <v>0</v>
      </c>
      <c r="BG111" s="162" t="e">
        <f t="shared" si="1032"/>
        <v>#DIV/0!</v>
      </c>
      <c r="BH111" s="162">
        <f t="shared" si="1032"/>
        <v>0</v>
      </c>
      <c r="BI111" s="162" t="e">
        <f t="shared" si="1032"/>
        <v>#DIV/0!</v>
      </c>
      <c r="BJ111" s="162">
        <f t="shared" si="1032"/>
        <v>0</v>
      </c>
      <c r="BK111" s="162" t="e">
        <f t="shared" si="1032"/>
        <v>#DIV/0!</v>
      </c>
      <c r="BL111" s="162">
        <f t="shared" si="1032"/>
        <v>0</v>
      </c>
      <c r="BM111" s="162" t="e">
        <f t="shared" si="1032"/>
        <v>#DIV/0!</v>
      </c>
      <c r="BN111" s="162">
        <f t="shared" si="1032"/>
        <v>0</v>
      </c>
      <c r="BO111" s="162" t="e">
        <f t="shared" si="1032"/>
        <v>#DIV/0!</v>
      </c>
      <c r="BP111" s="162">
        <f t="shared" si="1032"/>
        <v>0</v>
      </c>
      <c r="BQ111" s="162" t="e">
        <f t="shared" si="1032"/>
        <v>#DIV/0!</v>
      </c>
      <c r="BR111" s="162">
        <f t="shared" si="1032"/>
        <v>0</v>
      </c>
      <c r="BS111" s="162" t="e">
        <f t="shared" si="1032"/>
        <v>#DIV/0!</v>
      </c>
      <c r="BT111" s="162">
        <f t="shared" si="1032"/>
        <v>0</v>
      </c>
      <c r="BU111" s="162">
        <f t="shared" si="1032"/>
        <v>-49.019999999999996</v>
      </c>
      <c r="BV111" s="162">
        <f t="shared" si="1032"/>
        <v>775.06799999999998</v>
      </c>
      <c r="BW111" s="162">
        <f t="shared" si="1032"/>
        <v>702.66065550372798</v>
      </c>
      <c r="BX111" s="162">
        <f t="shared" si="1032"/>
        <v>689.64699999999993</v>
      </c>
      <c r="BY111" s="162">
        <f t="shared" si="1032"/>
        <v>619.5288175880338</v>
      </c>
      <c r="BZ111" s="162">
        <f t="shared" si="1032"/>
        <v>6154.51865</v>
      </c>
      <c r="CA111" s="162">
        <f t="shared" si="1032"/>
        <v>6070.1541216750566</v>
      </c>
      <c r="CB111" s="162">
        <f t="shared" si="1032"/>
        <v>5749.1809999999996</v>
      </c>
      <c r="CC111" s="162">
        <f t="shared" si="1032"/>
        <v>5904.283400638632</v>
      </c>
      <c r="CD111" s="162">
        <f t="shared" si="1032"/>
        <v>6718.2154999999993</v>
      </c>
      <c r="CE111" s="162">
        <f t="shared" ref="CE111:CF111" si="1033">+CE108+CE109</f>
        <v>6767.9501272626403</v>
      </c>
      <c r="CF111" s="162">
        <f t="shared" si="1033"/>
        <v>7863.3057499999995</v>
      </c>
      <c r="CG111" s="162">
        <f t="shared" ref="CG111:CH111" si="1034">+CG108+CG109</f>
        <v>6899.900636826017</v>
      </c>
      <c r="CH111" s="162">
        <f t="shared" si="1034"/>
        <v>4971.3375999999998</v>
      </c>
      <c r="CI111" s="162">
        <f t="shared" ref="CI111:CJ111" si="1035">+CI108+CI109</f>
        <v>5731.8853067329428</v>
      </c>
      <c r="CJ111" s="162">
        <f t="shared" si="1035"/>
        <v>7545.4151000000002</v>
      </c>
      <c r="CK111" s="162">
        <f t="shared" ref="CK111:CL111" si="1036">+CK108+CK109</f>
        <v>5988.1864113035199</v>
      </c>
      <c r="CL111" s="162">
        <f t="shared" si="1036"/>
        <v>6409.9733736061207</v>
      </c>
      <c r="CM111" s="21">
        <f t="shared" ref="CM111:DB111" si="1037">+CM108+CM109</f>
        <v>6800.0152874216901</v>
      </c>
      <c r="CN111" s="21">
        <f t="shared" si="1037"/>
        <v>6576.9794908457998</v>
      </c>
      <c r="CO111" s="21">
        <f t="shared" si="1037"/>
        <v>6505.6151633634727</v>
      </c>
      <c r="CP111" s="21">
        <f t="shared" si="1037"/>
        <v>6602.5559185947886</v>
      </c>
      <c r="CQ111" s="21">
        <f t="shared" si="1037"/>
        <v>6293.1097629263604</v>
      </c>
      <c r="CR111" s="21">
        <f t="shared" si="1037"/>
        <v>5890.9209864810173</v>
      </c>
      <c r="CS111" s="21">
        <f t="shared" si="1037"/>
        <v>5774.5069009266244</v>
      </c>
      <c r="CT111" s="21">
        <f t="shared" si="1037"/>
        <v>6007.0944768459249</v>
      </c>
      <c r="CU111" s="21">
        <f t="shared" si="1037"/>
        <v>5777.5969845322415</v>
      </c>
      <c r="CV111" s="21">
        <f t="shared" si="1037"/>
        <v>5448.7800815541505</v>
      </c>
      <c r="CW111" s="21">
        <f t="shared" si="1037"/>
        <v>5380.9377402078853</v>
      </c>
      <c r="CX111" s="21">
        <f t="shared" si="1037"/>
        <v>5732.7761923811831</v>
      </c>
      <c r="CY111" s="21">
        <f t="shared" si="1037"/>
        <v>5562.0746515053561</v>
      </c>
      <c r="CZ111" s="21">
        <f t="shared" si="1037"/>
        <v>5273.2761716010073</v>
      </c>
      <c r="DA111" s="21">
        <f t="shared" si="1037"/>
        <v>5262.8374612901098</v>
      </c>
      <c r="DB111" s="21">
        <f t="shared" si="1037"/>
        <v>5720.964780538905</v>
      </c>
      <c r="DE111" s="22"/>
      <c r="DF111" s="162">
        <v>4972.5645999999997</v>
      </c>
    </row>
    <row r="112" spans="1:110" s="162" customFormat="1" x14ac:dyDescent="0.2">
      <c r="A112" s="49" t="s">
        <v>13</v>
      </c>
      <c r="B112" s="162">
        <f t="shared" ref="B112:AE112" si="1038">+B28</f>
        <v>0</v>
      </c>
      <c r="C112" s="162">
        <f t="shared" si="1038"/>
        <v>0</v>
      </c>
      <c r="D112" s="162">
        <f t="shared" si="1038"/>
        <v>0</v>
      </c>
      <c r="E112" s="162">
        <f t="shared" si="1038"/>
        <v>0</v>
      </c>
      <c r="F112" s="162">
        <f t="shared" si="1038"/>
        <v>0</v>
      </c>
      <c r="G112" s="162">
        <f t="shared" si="1038"/>
        <v>0</v>
      </c>
      <c r="H112" s="162">
        <f t="shared" si="1038"/>
        <v>0</v>
      </c>
      <c r="I112" s="162">
        <f t="shared" si="1038"/>
        <v>0</v>
      </c>
      <c r="J112" s="162">
        <f t="shared" si="1038"/>
        <v>0</v>
      </c>
      <c r="K112" s="162">
        <f t="shared" si="1038"/>
        <v>0</v>
      </c>
      <c r="L112" s="162">
        <f t="shared" si="1038"/>
        <v>0</v>
      </c>
      <c r="M112" s="162">
        <f t="shared" si="1038"/>
        <v>0</v>
      </c>
      <c r="N112" s="162">
        <f t="shared" si="1038"/>
        <v>0</v>
      </c>
      <c r="O112" s="162">
        <f t="shared" si="1038"/>
        <v>0</v>
      </c>
      <c r="P112" s="162">
        <f t="shared" si="1038"/>
        <v>90.954599999999999</v>
      </c>
      <c r="Q112" s="162">
        <f t="shared" si="1038"/>
        <v>105.22890000000001</v>
      </c>
      <c r="R112" s="162">
        <f t="shared" si="1038"/>
        <v>69.499299999999977</v>
      </c>
      <c r="S112" s="162">
        <f t="shared" si="1038"/>
        <v>82.792699999999968</v>
      </c>
      <c r="T112" s="162">
        <f t="shared" si="1038"/>
        <v>72.680000000000007</v>
      </c>
      <c r="U112" s="162">
        <f t="shared" si="1038"/>
        <v>147.98599999999999</v>
      </c>
      <c r="V112" s="162">
        <f t="shared" si="1038"/>
        <v>262.22630000000004</v>
      </c>
      <c r="W112" s="162">
        <f t="shared" si="1038"/>
        <v>467.15339999999992</v>
      </c>
      <c r="X112" s="162">
        <f t="shared" si="1038"/>
        <v>633.99710000000005</v>
      </c>
      <c r="Y112" s="162">
        <f t="shared" si="1038"/>
        <v>462.65900000000011</v>
      </c>
      <c r="Z112" s="162">
        <f t="shared" si="1038"/>
        <v>314.15440000000012</v>
      </c>
      <c r="AA112" s="162">
        <f t="shared" ref="AA112" si="1039">+AA28</f>
        <v>238.7822000000001</v>
      </c>
      <c r="AB112" s="21">
        <f t="shared" si="1038"/>
        <v>322.43304629751219</v>
      </c>
      <c r="AC112" s="21">
        <f t="shared" si="1038"/>
        <v>355.88443204929558</v>
      </c>
      <c r="AD112" s="21">
        <f t="shared" si="1038"/>
        <v>394.00350498596913</v>
      </c>
      <c r="AE112" s="21">
        <f t="shared" si="1038"/>
        <v>436.45150276061145</v>
      </c>
      <c r="AL112" s="162">
        <f t="shared" ref="AL112:BQ112" si="1040">+SUM(AI28:AL28)</f>
        <v>0</v>
      </c>
      <c r="AM112" s="162">
        <f t="shared" si="1040"/>
        <v>0</v>
      </c>
      <c r="AN112" s="162">
        <f t="shared" si="1040"/>
        <v>0</v>
      </c>
      <c r="AO112" s="162">
        <f t="shared" si="1040"/>
        <v>0</v>
      </c>
      <c r="AP112" s="162">
        <f t="shared" si="1040"/>
        <v>0</v>
      </c>
      <c r="AQ112" s="162">
        <f t="shared" si="1040"/>
        <v>0</v>
      </c>
      <c r="AR112" s="162">
        <f t="shared" si="1040"/>
        <v>0</v>
      </c>
      <c r="AS112" s="162">
        <f t="shared" si="1040"/>
        <v>0</v>
      </c>
      <c r="AT112" s="162">
        <f t="shared" si="1040"/>
        <v>0</v>
      </c>
      <c r="AU112" s="162">
        <f t="shared" si="1040"/>
        <v>0</v>
      </c>
      <c r="AV112" s="162">
        <f t="shared" si="1040"/>
        <v>0</v>
      </c>
      <c r="AW112" s="162">
        <f t="shared" si="1040"/>
        <v>0</v>
      </c>
      <c r="AX112" s="162">
        <f t="shared" si="1040"/>
        <v>0</v>
      </c>
      <c r="AY112" s="162">
        <f t="shared" si="1040"/>
        <v>0</v>
      </c>
      <c r="AZ112" s="162">
        <f t="shared" si="1040"/>
        <v>0</v>
      </c>
      <c r="BA112" s="162">
        <f t="shared" si="1040"/>
        <v>0</v>
      </c>
      <c r="BB112" s="162">
        <f t="shared" si="1040"/>
        <v>0</v>
      </c>
      <c r="BC112" s="162">
        <f t="shared" si="1040"/>
        <v>0</v>
      </c>
      <c r="BD112" s="162">
        <f t="shared" si="1040"/>
        <v>0</v>
      </c>
      <c r="BE112" s="162">
        <f t="shared" si="1040"/>
        <v>0</v>
      </c>
      <c r="BF112" s="162">
        <f t="shared" si="1040"/>
        <v>0</v>
      </c>
      <c r="BG112" s="162">
        <f t="shared" si="1040"/>
        <v>0</v>
      </c>
      <c r="BH112" s="162">
        <f t="shared" si="1040"/>
        <v>0</v>
      </c>
      <c r="BI112" s="162">
        <f t="shared" si="1040"/>
        <v>0</v>
      </c>
      <c r="BJ112" s="162">
        <f t="shared" si="1040"/>
        <v>0</v>
      </c>
      <c r="BK112" s="162">
        <f t="shared" si="1040"/>
        <v>0</v>
      </c>
      <c r="BL112" s="162">
        <f t="shared" si="1040"/>
        <v>0</v>
      </c>
      <c r="BM112" s="162">
        <f t="shared" si="1040"/>
        <v>0</v>
      </c>
      <c r="BN112" s="162">
        <f t="shared" si="1040"/>
        <v>0</v>
      </c>
      <c r="BO112" s="162">
        <f t="shared" si="1040"/>
        <v>0</v>
      </c>
      <c r="BP112" s="162">
        <f t="shared" si="1040"/>
        <v>0</v>
      </c>
      <c r="BQ112" s="162">
        <f t="shared" si="1040"/>
        <v>0</v>
      </c>
      <c r="BR112" s="162">
        <f t="shared" ref="BR112:CW112" si="1041">+SUM(BO28:BR28)</f>
        <v>0</v>
      </c>
      <c r="BS112" s="162">
        <f t="shared" si="1041"/>
        <v>0</v>
      </c>
      <c r="BT112" s="162">
        <f t="shared" si="1041"/>
        <v>104.08400000000003</v>
      </c>
      <c r="BU112" s="162">
        <f t="shared" si="1041"/>
        <v>221.32400000000001</v>
      </c>
      <c r="BV112" s="162">
        <f t="shared" si="1041"/>
        <v>381.37300000000005</v>
      </c>
      <c r="BW112" s="162">
        <f t="shared" si="1041"/>
        <v>542.43600000000004</v>
      </c>
      <c r="BX112" s="162">
        <f t="shared" si="1041"/>
        <v>556.94399999999996</v>
      </c>
      <c r="BY112" s="162">
        <f t="shared" si="1041"/>
        <v>599.64699999999993</v>
      </c>
      <c r="BZ112" s="162">
        <f t="shared" si="1041"/>
        <v>633.99900000000002</v>
      </c>
      <c r="CA112" s="162">
        <f t="shared" si="1041"/>
        <v>607.57100000000014</v>
      </c>
      <c r="CB112" s="162">
        <f t="shared" si="1041"/>
        <v>584.43700000000013</v>
      </c>
      <c r="CC112" s="162">
        <f t="shared" si="1041"/>
        <v>569.93600000000004</v>
      </c>
      <c r="CD112" s="162">
        <f t="shared" si="1041"/>
        <v>462.65999999999997</v>
      </c>
      <c r="CE112" s="162">
        <f t="shared" si="1041"/>
        <v>399.22299999999996</v>
      </c>
      <c r="CF112" s="162">
        <f t="shared" si="1041"/>
        <v>378.48199999999997</v>
      </c>
      <c r="CG112" s="162">
        <f t="shared" si="1041"/>
        <v>312.98599999999999</v>
      </c>
      <c r="CH112" s="162">
        <f t="shared" si="1041"/>
        <v>314.15500000000003</v>
      </c>
      <c r="CI112" s="162">
        <f t="shared" si="1041"/>
        <v>321.05000000000007</v>
      </c>
      <c r="CJ112" s="162">
        <f t="shared" si="1041"/>
        <v>308.93300000000005</v>
      </c>
      <c r="CK112" s="162">
        <f t="shared" si="1041"/>
        <v>283.38200000000001</v>
      </c>
      <c r="CL112" s="162">
        <f t="shared" si="1041"/>
        <v>295.17770250273611</v>
      </c>
      <c r="CM112" s="21">
        <f t="shared" si="1041"/>
        <v>300.22435393138471</v>
      </c>
      <c r="CN112" s="21">
        <f t="shared" si="1041"/>
        <v>299.40416810403406</v>
      </c>
      <c r="CO112" s="21">
        <f t="shared" si="1041"/>
        <v>312.55254085288965</v>
      </c>
      <c r="CP112" s="21">
        <f t="shared" si="1041"/>
        <v>322.43304629751219</v>
      </c>
      <c r="CQ112" s="21">
        <f t="shared" si="1041"/>
        <v>329.9155177912221</v>
      </c>
      <c r="CR112" s="21">
        <f t="shared" si="1041"/>
        <v>335.91090104679688</v>
      </c>
      <c r="CS112" s="21">
        <f t="shared" si="1041"/>
        <v>344.54165760345495</v>
      </c>
      <c r="CT112" s="21">
        <f t="shared" si="1041"/>
        <v>355.8844320492957</v>
      </c>
      <c r="CU112" s="21">
        <f t="shared" si="1041"/>
        <v>365.33549262920559</v>
      </c>
      <c r="CV112" s="21">
        <f t="shared" si="1041"/>
        <v>372.65148982091819</v>
      </c>
      <c r="CW112" s="21">
        <f t="shared" si="1041"/>
        <v>381.08305718644033</v>
      </c>
      <c r="CX112" s="21">
        <f t="shared" ref="CX112:DB112" si="1042">+SUM(CU28:CX28)</f>
        <v>394.00350498596873</v>
      </c>
      <c r="CY112" s="21">
        <f t="shared" si="1042"/>
        <v>404.74657536142342</v>
      </c>
      <c r="CZ112" s="21">
        <f t="shared" si="1042"/>
        <v>412.86544990361722</v>
      </c>
      <c r="DA112" s="21">
        <f t="shared" si="1042"/>
        <v>422.01674158020182</v>
      </c>
      <c r="DB112" s="21">
        <f t="shared" si="1042"/>
        <v>436.45150276061145</v>
      </c>
      <c r="DE112" s="22"/>
      <c r="DF112" s="162">
        <v>238.7822000000001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43">+C110/C112</f>
        <v>#DIV/0!</v>
      </c>
      <c r="D113" s="162" t="e">
        <f t="shared" si="1043"/>
        <v>#DIV/0!</v>
      </c>
      <c r="E113" s="162" t="e">
        <f t="shared" ca="1" si="1043"/>
        <v>#DIV/0!</v>
      </c>
      <c r="F113" s="162" t="e">
        <f t="shared" ca="1" si="1043"/>
        <v>#DIV/0!</v>
      </c>
      <c r="G113" s="162" t="e">
        <f t="shared" ca="1" si="1043"/>
        <v>#DIV/0!</v>
      </c>
      <c r="H113" s="162" t="e">
        <f t="shared" ca="1" si="1043"/>
        <v>#DIV/0!</v>
      </c>
      <c r="I113" s="162" t="e">
        <f t="shared" ca="1" si="1043"/>
        <v>#DIV/0!</v>
      </c>
      <c r="J113" s="162" t="e">
        <f t="shared" ca="1" si="1043"/>
        <v>#DIV/0!</v>
      </c>
      <c r="K113" s="162" t="e">
        <f t="shared" ca="1" si="1043"/>
        <v>#DIV/0!</v>
      </c>
      <c r="L113" s="162" t="e">
        <f t="shared" ca="1" si="1043"/>
        <v>#DIV/0!</v>
      </c>
      <c r="M113" s="162" t="e">
        <f t="shared" ca="1" si="1043"/>
        <v>#DIV/0!</v>
      </c>
      <c r="N113" s="162" t="e">
        <f t="shared" ca="1" si="1043"/>
        <v>#DIV/0!</v>
      </c>
      <c r="O113" s="162" t="e">
        <f t="shared" ca="1" si="1043"/>
        <v>#DIV/0!</v>
      </c>
      <c r="P113" s="162">
        <f t="shared" ca="1" si="1043"/>
        <v>10.337914739881215</v>
      </c>
      <c r="Q113" s="162">
        <f t="shared" ca="1" si="1043"/>
        <v>8.7467292730419111</v>
      </c>
      <c r="R113" s="162">
        <f t="shared" ca="1" si="1043"/>
        <v>13.105803943349072</v>
      </c>
      <c r="S113" s="162">
        <f t="shared" ca="1" si="1043"/>
        <v>11.5424330889076</v>
      </c>
      <c r="T113" s="162">
        <f t="shared" ca="1" si="1043"/>
        <v>9.7218354430379748</v>
      </c>
      <c r="U113" s="162">
        <f t="shared" ca="1" si="1043"/>
        <v>5.3076709959050188</v>
      </c>
      <c r="V113" s="162">
        <f t="shared" ca="1" si="1043"/>
        <v>2.9953158779268132</v>
      </c>
      <c r="W113" s="162">
        <f t="shared" ca="1" si="1043"/>
        <v>1.6591273872779266</v>
      </c>
      <c r="X113" s="162">
        <f t="shared" ref="X113:Y113" ca="1" si="1044">+X110/X112</f>
        <v>13.900580617797777</v>
      </c>
      <c r="Y113" s="162">
        <f t="shared" ca="1" si="1044"/>
        <v>21.641443914416445</v>
      </c>
      <c r="Z113" s="162">
        <f t="shared" ref="Z113:AA113" ca="1" si="1045">+Z110/Z112</f>
        <v>32.41264995810976</v>
      </c>
      <c r="AA113" s="162">
        <f t="shared" ca="1" si="1045"/>
        <v>32.41264995810976</v>
      </c>
      <c r="AB113" s="21">
        <f t="shared" ref="AB113:AD113" ca="1" si="1046">+AB110/AB112</f>
        <v>26.463094018028613</v>
      </c>
      <c r="AC113" s="21">
        <f t="shared" ca="1" si="1046"/>
        <v>22.420004734267327</v>
      </c>
      <c r="AD113" s="21">
        <f t="shared" ca="1" si="1046"/>
        <v>18.797802529653328</v>
      </c>
      <c r="AE113" s="21">
        <f t="shared" ref="AE113" ca="1" si="1047">+AE110/AE112</f>
        <v>16.568255037069257</v>
      </c>
      <c r="AL113" s="162" t="e">
        <f t="shared" ref="AL113" si="1048">+AL110/AL112</f>
        <v>#DIV/0!</v>
      </c>
      <c r="AM113" s="162" t="e">
        <f t="shared" ref="AM113:AO113" si="1049">+AM110/AM112</f>
        <v>#DIV/0!</v>
      </c>
      <c r="AN113" s="162" t="e">
        <f t="shared" si="1049"/>
        <v>#DIV/0!</v>
      </c>
      <c r="AO113" s="162" t="e">
        <f t="shared" si="1049"/>
        <v>#DIV/0!</v>
      </c>
      <c r="AP113" s="162" t="e">
        <f t="shared" ref="AP113:CD113" si="1050">+AP110/AP112</f>
        <v>#DIV/0!</v>
      </c>
      <c r="AQ113" s="162" t="e">
        <f t="shared" si="1050"/>
        <v>#DIV/0!</v>
      </c>
      <c r="AR113" s="162" t="e">
        <f t="shared" si="1050"/>
        <v>#DIV/0!</v>
      </c>
      <c r="AS113" s="162" t="e">
        <f t="shared" si="1050"/>
        <v>#DIV/0!</v>
      </c>
      <c r="AT113" s="162" t="e">
        <f t="shared" si="1050"/>
        <v>#DIV/0!</v>
      </c>
      <c r="AU113" s="162" t="e">
        <f t="shared" si="1050"/>
        <v>#DIV/0!</v>
      </c>
      <c r="AV113" s="162" t="e">
        <f t="shared" si="1050"/>
        <v>#DIV/0!</v>
      </c>
      <c r="AW113" s="162" t="e">
        <f t="shared" si="1050"/>
        <v>#DIV/0!</v>
      </c>
      <c r="AX113" s="162" t="e">
        <f t="shared" si="1050"/>
        <v>#DIV/0!</v>
      </c>
      <c r="AY113" s="162" t="e">
        <f t="shared" si="1050"/>
        <v>#DIV/0!</v>
      </c>
      <c r="AZ113" s="162" t="e">
        <f t="shared" si="1050"/>
        <v>#DIV/0!</v>
      </c>
      <c r="BA113" s="162" t="e">
        <f t="shared" si="1050"/>
        <v>#DIV/0!</v>
      </c>
      <c r="BB113" s="162" t="e">
        <f t="shared" si="1050"/>
        <v>#DIV/0!</v>
      </c>
      <c r="BC113" s="162" t="e">
        <f t="shared" si="1050"/>
        <v>#DIV/0!</v>
      </c>
      <c r="BD113" s="162" t="e">
        <f t="shared" si="1050"/>
        <v>#DIV/0!</v>
      </c>
      <c r="BE113" s="162" t="e">
        <f t="shared" si="1050"/>
        <v>#DIV/0!</v>
      </c>
      <c r="BF113" s="162" t="e">
        <f t="shared" si="1050"/>
        <v>#DIV/0!</v>
      </c>
      <c r="BG113" s="162" t="e">
        <f t="shared" si="1050"/>
        <v>#DIV/0!</v>
      </c>
      <c r="BH113" s="162" t="e">
        <f t="shared" si="1050"/>
        <v>#DIV/0!</v>
      </c>
      <c r="BI113" s="162" t="e">
        <f t="shared" si="1050"/>
        <v>#DIV/0!</v>
      </c>
      <c r="BJ113" s="162" t="e">
        <f t="shared" si="1050"/>
        <v>#DIV/0!</v>
      </c>
      <c r="BK113" s="162" t="e">
        <f t="shared" si="1050"/>
        <v>#DIV/0!</v>
      </c>
      <c r="BL113" s="162" t="e">
        <f t="shared" si="1050"/>
        <v>#DIV/0!</v>
      </c>
      <c r="BM113" s="162" t="e">
        <f t="shared" si="1050"/>
        <v>#DIV/0!</v>
      </c>
      <c r="BN113" s="162" t="e">
        <f t="shared" si="1050"/>
        <v>#DIV/0!</v>
      </c>
      <c r="BO113" s="162" t="e">
        <f t="shared" si="1050"/>
        <v>#DIV/0!</v>
      </c>
      <c r="BP113" s="162" t="e">
        <f t="shared" si="1050"/>
        <v>#DIV/0!</v>
      </c>
      <c r="BQ113" s="162" t="e">
        <f t="shared" si="1050"/>
        <v>#DIV/0!</v>
      </c>
      <c r="BR113" s="162" t="e">
        <f t="shared" si="1050"/>
        <v>#DIV/0!</v>
      </c>
      <c r="BS113" s="162" t="e">
        <f t="shared" si="1050"/>
        <v>#DIV/0!</v>
      </c>
      <c r="BT113" s="162">
        <f t="shared" si="1050"/>
        <v>0</v>
      </c>
      <c r="BU113" s="162">
        <f t="shared" si="1050"/>
        <v>-0.22148524335363537</v>
      </c>
      <c r="BV113" s="162">
        <f t="shared" si="1050"/>
        <v>2.0323095761891898</v>
      </c>
      <c r="BW113" s="162">
        <f t="shared" si="1050"/>
        <v>1.295379833756845</v>
      </c>
      <c r="BX113" s="162">
        <f t="shared" si="1050"/>
        <v>1.2382699158263668</v>
      </c>
      <c r="BY113" s="162">
        <f t="shared" si="1050"/>
        <v>12.44583090983201</v>
      </c>
      <c r="BZ113" s="162">
        <f t="shared" si="1050"/>
        <v>13.897075941760161</v>
      </c>
      <c r="CA113" s="162">
        <f t="shared" si="1050"/>
        <v>12.73545548038839</v>
      </c>
      <c r="CB113" s="162">
        <f t="shared" si="1050"/>
        <v>13.849826414138732</v>
      </c>
      <c r="CC113" s="162">
        <f t="shared" si="1050"/>
        <v>14.205805916170643</v>
      </c>
      <c r="CD113" s="162">
        <f t="shared" si="1050"/>
        <v>21.635960748713963</v>
      </c>
      <c r="CE113" s="162">
        <f t="shared" ref="CE113:CF113" si="1051">+CE110/CE112</f>
        <v>21.083391806741201</v>
      </c>
      <c r="CF113" s="162">
        <f t="shared" si="1051"/>
        <v>26.181319058766334</v>
      </c>
      <c r="CG113" s="162">
        <f t="shared" ref="CG113:CH113" si="1052">+CG110/CG112</f>
        <v>27.544784708664345</v>
      </c>
      <c r="CH113" s="162">
        <f t="shared" si="1052"/>
        <v>26.864829781477294</v>
      </c>
      <c r="CI113" s="162">
        <f t="shared" ref="CI113:CJ113" si="1053">+CI110/CI112</f>
        <v>25.129413040750478</v>
      </c>
      <c r="CJ113" s="162">
        <f t="shared" si="1053"/>
        <v>29.182594284197538</v>
      </c>
      <c r="CK113" s="162">
        <f t="shared" ref="CK113:CL113" si="1054">+CK110/CK112</f>
        <v>30.748480536179155</v>
      </c>
      <c r="CL113" s="162">
        <f t="shared" si="1054"/>
        <v>26.964761586395039</v>
      </c>
      <c r="CM113" s="21">
        <f t="shared" ref="CM113:DB113" si="1055">+CM110/CM112</f>
        <v>28.299049453738302</v>
      </c>
      <c r="CN113" s="21">
        <f t="shared" si="1055"/>
        <v>27.610954415399412</v>
      </c>
      <c r="CO113" s="21">
        <f t="shared" si="1055"/>
        <v>26.155516852988491</v>
      </c>
      <c r="CP113" s="21">
        <f t="shared" si="1055"/>
        <v>25.55621974761636</v>
      </c>
      <c r="CQ113" s="21">
        <f t="shared" si="1055"/>
        <v>23.965318276293715</v>
      </c>
      <c r="CR113" s="21">
        <f t="shared" si="1055"/>
        <v>22.198397129966644</v>
      </c>
      <c r="CS113" s="21">
        <f t="shared" si="1055"/>
        <v>21.202412851378913</v>
      </c>
      <c r="CT113" s="21">
        <f t="shared" si="1055"/>
        <v>21.161365023681132</v>
      </c>
      <c r="CU113" s="21">
        <f t="shared" si="1055"/>
        <v>19.984556444246021</v>
      </c>
      <c r="CV113" s="21">
        <f t="shared" si="1055"/>
        <v>18.640652246214437</v>
      </c>
      <c r="CW113" s="21">
        <f t="shared" si="1055"/>
        <v>17.982366104325713</v>
      </c>
      <c r="CX113" s="21">
        <f t="shared" si="1055"/>
        <v>18.321527514901415</v>
      </c>
      <c r="CY113" s="21">
        <f t="shared" si="1055"/>
        <v>17.459523079083795</v>
      </c>
      <c r="CZ113" s="21">
        <f t="shared" si="1055"/>
        <v>16.388982464457978</v>
      </c>
      <c r="DA113" s="21">
        <f t="shared" si="1055"/>
        <v>15.975431018767344</v>
      </c>
      <c r="DB113" s="21">
        <f t="shared" si="1055"/>
        <v>16.56825503706926</v>
      </c>
      <c r="DE113" s="22"/>
      <c r="DF113" s="162">
        <v>32.41264995810976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56">+C111/C112</f>
        <v>#DIV/0!</v>
      </c>
      <c r="D114" s="162" t="e">
        <f t="shared" si="1056"/>
        <v>#DIV/0!</v>
      </c>
      <c r="E114" s="162" t="e">
        <f t="shared" ca="1" si="1056"/>
        <v>#DIV/0!</v>
      </c>
      <c r="F114" s="162" t="e">
        <f t="shared" ca="1" si="1056"/>
        <v>#DIV/0!</v>
      </c>
      <c r="G114" s="162" t="e">
        <f t="shared" ca="1" si="1056"/>
        <v>#DIV/0!</v>
      </c>
      <c r="H114" s="162" t="e">
        <f t="shared" ca="1" si="1056"/>
        <v>#DIV/0!</v>
      </c>
      <c r="I114" s="162" t="e">
        <f t="shared" ca="1" si="1056"/>
        <v>#DIV/0!</v>
      </c>
      <c r="J114" s="162" t="e">
        <f t="shared" ca="1" si="1056"/>
        <v>#DIV/0!</v>
      </c>
      <c r="K114" s="162" t="e">
        <f t="shared" ca="1" si="1056"/>
        <v>#DIV/0!</v>
      </c>
      <c r="L114" s="162" t="e">
        <f t="shared" ca="1" si="1056"/>
        <v>#DIV/0!</v>
      </c>
      <c r="M114" s="162" t="e">
        <f t="shared" ca="1" si="1056"/>
        <v>#DIV/0!</v>
      </c>
      <c r="N114" s="162" t="e">
        <f t="shared" ca="1" si="1056"/>
        <v>#DIV/0!</v>
      </c>
      <c r="O114" s="162" t="e">
        <f t="shared" ca="1" si="1056"/>
        <v>#DIV/0!</v>
      </c>
      <c r="P114" s="162">
        <f t="shared" ca="1" si="1056"/>
        <v>10.337914739881215</v>
      </c>
      <c r="Q114" s="162">
        <f t="shared" ca="1" si="1056"/>
        <v>8.7467292730419111</v>
      </c>
      <c r="R114" s="162">
        <f t="shared" ca="1" si="1056"/>
        <v>13.105803943349072</v>
      </c>
      <c r="S114" s="162">
        <f t="shared" ca="1" si="1056"/>
        <v>11.5424330889076</v>
      </c>
      <c r="T114" s="162">
        <f t="shared" ca="1" si="1056"/>
        <v>9.7218354430379748</v>
      </c>
      <c r="U114" s="162">
        <f t="shared" ca="1" si="1056"/>
        <v>5.3076709959050188</v>
      </c>
      <c r="V114" s="162">
        <f t="shared" ca="1" si="1056"/>
        <v>2.9953158779268132</v>
      </c>
      <c r="W114" s="162">
        <f t="shared" ca="1" si="1056"/>
        <v>1.6591273872779266</v>
      </c>
      <c r="X114" s="162">
        <f t="shared" ref="X114:Y114" ca="1" si="1057">+X111/X112</f>
        <v>8.2202262439370788</v>
      </c>
      <c r="Y114" s="162">
        <f t="shared" ca="1" si="1057"/>
        <v>12.483193021210004</v>
      </c>
      <c r="Z114" s="162">
        <f t="shared" ref="Z114:AA114" ca="1" si="1058">+Z111/Z112</f>
        <v>15.828409851970871</v>
      </c>
      <c r="AA114" s="162">
        <f t="shared" ca="1" si="1058"/>
        <v>15.828409851970871</v>
      </c>
      <c r="AB114" s="21">
        <f t="shared" ref="AB114:AD114" ca="1" si="1059">+AB111/AB112</f>
        <v>20.477292865640528</v>
      </c>
      <c r="AC114" s="21">
        <f t="shared" ca="1" si="1059"/>
        <v>16.879340414682282</v>
      </c>
      <c r="AD114" s="21">
        <f t="shared" ca="1" si="1059"/>
        <v>14.406444602399695</v>
      </c>
      <c r="AE114" s="21">
        <f t="shared" ref="AE114" ca="1" si="1060">+AE111/AE112</f>
        <v>12.821557048821752</v>
      </c>
      <c r="AL114" s="162" t="e">
        <f t="shared" ref="AL114:AM114" si="1061">+AL111/AL112</f>
        <v>#DIV/0!</v>
      </c>
      <c r="AM114" s="162" t="e">
        <f t="shared" si="1061"/>
        <v>#DIV/0!</v>
      </c>
      <c r="AN114" s="162" t="e">
        <f t="shared" ref="AN114:AO114" si="1062">+AN111/AN112</f>
        <v>#DIV/0!</v>
      </c>
      <c r="AO114" s="162" t="e">
        <f t="shared" si="1062"/>
        <v>#DIV/0!</v>
      </c>
      <c r="AP114" s="162" t="e">
        <f t="shared" ref="AP114:CD114" si="1063">+AP111/AP112</f>
        <v>#DIV/0!</v>
      </c>
      <c r="AQ114" s="162" t="e">
        <f t="shared" si="1063"/>
        <v>#DIV/0!</v>
      </c>
      <c r="AR114" s="162" t="e">
        <f t="shared" si="1063"/>
        <v>#DIV/0!</v>
      </c>
      <c r="AS114" s="162" t="e">
        <f t="shared" si="1063"/>
        <v>#DIV/0!</v>
      </c>
      <c r="AT114" s="162" t="e">
        <f t="shared" si="1063"/>
        <v>#DIV/0!</v>
      </c>
      <c r="AU114" s="162" t="e">
        <f t="shared" si="1063"/>
        <v>#DIV/0!</v>
      </c>
      <c r="AV114" s="162" t="e">
        <f t="shared" si="1063"/>
        <v>#DIV/0!</v>
      </c>
      <c r="AW114" s="162" t="e">
        <f t="shared" si="1063"/>
        <v>#DIV/0!</v>
      </c>
      <c r="AX114" s="162" t="e">
        <f t="shared" si="1063"/>
        <v>#DIV/0!</v>
      </c>
      <c r="AY114" s="162" t="e">
        <f t="shared" si="1063"/>
        <v>#DIV/0!</v>
      </c>
      <c r="AZ114" s="162" t="e">
        <f t="shared" si="1063"/>
        <v>#DIV/0!</v>
      </c>
      <c r="BA114" s="162" t="e">
        <f t="shared" si="1063"/>
        <v>#DIV/0!</v>
      </c>
      <c r="BB114" s="162" t="e">
        <f t="shared" si="1063"/>
        <v>#DIV/0!</v>
      </c>
      <c r="BC114" s="162" t="e">
        <f t="shared" si="1063"/>
        <v>#DIV/0!</v>
      </c>
      <c r="BD114" s="162" t="e">
        <f t="shared" si="1063"/>
        <v>#DIV/0!</v>
      </c>
      <c r="BE114" s="162" t="e">
        <f t="shared" si="1063"/>
        <v>#DIV/0!</v>
      </c>
      <c r="BF114" s="162" t="e">
        <f t="shared" si="1063"/>
        <v>#DIV/0!</v>
      </c>
      <c r="BG114" s="162" t="e">
        <f t="shared" si="1063"/>
        <v>#DIV/0!</v>
      </c>
      <c r="BH114" s="162" t="e">
        <f t="shared" si="1063"/>
        <v>#DIV/0!</v>
      </c>
      <c r="BI114" s="162" t="e">
        <f t="shared" si="1063"/>
        <v>#DIV/0!</v>
      </c>
      <c r="BJ114" s="162" t="e">
        <f t="shared" si="1063"/>
        <v>#DIV/0!</v>
      </c>
      <c r="BK114" s="162" t="e">
        <f t="shared" si="1063"/>
        <v>#DIV/0!</v>
      </c>
      <c r="BL114" s="162" t="e">
        <f t="shared" si="1063"/>
        <v>#DIV/0!</v>
      </c>
      <c r="BM114" s="162" t="e">
        <f t="shared" si="1063"/>
        <v>#DIV/0!</v>
      </c>
      <c r="BN114" s="162" t="e">
        <f t="shared" si="1063"/>
        <v>#DIV/0!</v>
      </c>
      <c r="BO114" s="162" t="e">
        <f t="shared" si="1063"/>
        <v>#DIV/0!</v>
      </c>
      <c r="BP114" s="162" t="e">
        <f t="shared" si="1063"/>
        <v>#DIV/0!</v>
      </c>
      <c r="BQ114" s="162" t="e">
        <f t="shared" si="1063"/>
        <v>#DIV/0!</v>
      </c>
      <c r="BR114" s="162" t="e">
        <f t="shared" si="1063"/>
        <v>#DIV/0!</v>
      </c>
      <c r="BS114" s="162" t="e">
        <f t="shared" si="1063"/>
        <v>#DIV/0!</v>
      </c>
      <c r="BT114" s="162">
        <f t="shared" si="1063"/>
        <v>0</v>
      </c>
      <c r="BU114" s="162">
        <f t="shared" si="1063"/>
        <v>-0.22148524335363537</v>
      </c>
      <c r="BV114" s="162">
        <f t="shared" si="1063"/>
        <v>2.0323095761891898</v>
      </c>
      <c r="BW114" s="162">
        <f t="shared" si="1063"/>
        <v>1.295379833756845</v>
      </c>
      <c r="BX114" s="162">
        <f t="shared" si="1063"/>
        <v>1.2382699158263668</v>
      </c>
      <c r="BY114" s="162">
        <f t="shared" si="1063"/>
        <v>1.0331558693498573</v>
      </c>
      <c r="BZ114" s="162">
        <f t="shared" si="1063"/>
        <v>9.7074579770630542</v>
      </c>
      <c r="CA114" s="162">
        <f t="shared" si="1063"/>
        <v>9.990855590005209</v>
      </c>
      <c r="CB114" s="162">
        <f t="shared" si="1063"/>
        <v>9.8371270128345714</v>
      </c>
      <c r="CC114" s="162">
        <f t="shared" si="1063"/>
        <v>10.359555109062477</v>
      </c>
      <c r="CD114" s="162">
        <f t="shared" si="1063"/>
        <v>14.520847922880733</v>
      </c>
      <c r="CE114" s="162">
        <f t="shared" ref="CE114:CF114" si="1064">+CE111/CE112</f>
        <v>16.9528061440915</v>
      </c>
      <c r="CF114" s="162">
        <f t="shared" si="1064"/>
        <v>20.775904138109606</v>
      </c>
      <c r="CG114" s="162">
        <f t="shared" ref="CG114:CH114" si="1065">+CG111/CG112</f>
        <v>22.04539703637229</v>
      </c>
      <c r="CH114" s="162">
        <f t="shared" si="1065"/>
        <v>15.8244739061928</v>
      </c>
      <c r="CI114" s="162">
        <f t="shared" ref="CI114:CJ114" si="1066">+CI111/CI112</f>
        <v>17.85355959113204</v>
      </c>
      <c r="CJ114" s="162">
        <f t="shared" si="1066"/>
        <v>24.424114937543088</v>
      </c>
      <c r="CK114" s="162">
        <f t="shared" ref="CK114:CL114" si="1067">+CK111/CK112</f>
        <v>21.131145984231601</v>
      </c>
      <c r="CL114" s="162">
        <f t="shared" si="1067"/>
        <v>21.715642202163643</v>
      </c>
      <c r="CM114" s="21">
        <f t="shared" ref="CM114:DB114" si="1068">+CM111/CM112</f>
        <v>22.649779068142525</v>
      </c>
      <c r="CN114" s="21">
        <f t="shared" si="1068"/>
        <v>21.966893555605061</v>
      </c>
      <c r="CO114" s="21">
        <f t="shared" si="1068"/>
        <v>20.814468970916145</v>
      </c>
      <c r="CP114" s="21">
        <f t="shared" si="1068"/>
        <v>20.477292865640528</v>
      </c>
      <c r="CQ114" s="21">
        <f t="shared" si="1068"/>
        <v>19.074912889998647</v>
      </c>
      <c r="CR114" s="21">
        <f t="shared" si="1068"/>
        <v>17.537153358593542</v>
      </c>
      <c r="CS114" s="21">
        <f t="shared" si="1068"/>
        <v>16.759967259380595</v>
      </c>
      <c r="CT114" s="21">
        <f t="shared" si="1068"/>
        <v>16.879340414682275</v>
      </c>
      <c r="CU114" s="21">
        <f t="shared" si="1068"/>
        <v>15.814496814839091</v>
      </c>
      <c r="CV114" s="21">
        <f t="shared" si="1068"/>
        <v>14.621651141587069</v>
      </c>
      <c r="CW114" s="21">
        <f t="shared" si="1068"/>
        <v>14.120118012948883</v>
      </c>
      <c r="CX114" s="21">
        <f t="shared" si="1068"/>
        <v>14.550063945713729</v>
      </c>
      <c r="CY114" s="21">
        <f t="shared" si="1068"/>
        <v>13.742116648025084</v>
      </c>
      <c r="CZ114" s="21">
        <f t="shared" si="1068"/>
        <v>12.772384254560524</v>
      </c>
      <c r="DA114" s="21">
        <f t="shared" si="1068"/>
        <v>12.470684081356374</v>
      </c>
      <c r="DB114" s="21">
        <f t="shared" si="1068"/>
        <v>13.107904874546366</v>
      </c>
      <c r="DE114" s="22"/>
      <c r="DF114" s="162">
        <v>15.828409851970871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10</v>
      </c>
      <c r="Q117" s="23">
        <f>'Annual Raw'!R41</f>
        <v>10</v>
      </c>
      <c r="R117" s="23">
        <f>'Annual Raw'!S41</f>
        <v>10</v>
      </c>
      <c r="S117" s="23">
        <f>'Annual Raw'!T41</f>
        <v>10</v>
      </c>
      <c r="T117" s="23">
        <f>'Annual Raw'!U41</f>
        <v>19.266999999999999</v>
      </c>
      <c r="U117" s="23">
        <f>'Annual Raw'!V41</f>
        <v>19.266999999999999</v>
      </c>
      <c r="V117" s="23">
        <f>'Annual Raw'!W41</f>
        <v>19.2667</v>
      </c>
      <c r="W117" s="23">
        <f>'Annual Raw'!X41</f>
        <v>19.2667</v>
      </c>
      <c r="X117" s="23">
        <f>'Annual Raw'!Y41</f>
        <v>24.610600000000002</v>
      </c>
      <c r="Y117" s="23">
        <f>'Annual Raw'!Z41</f>
        <v>24.679400000000001</v>
      </c>
      <c r="Z117" s="23">
        <f>'Annual Raw'!AA41</f>
        <v>24.685500000000001</v>
      </c>
      <c r="AA117" s="23">
        <f>'Annual Raw'!AB41</f>
        <v>24.691600000000001</v>
      </c>
      <c r="AB117" s="24">
        <f>+CP117</f>
        <v>24.686</v>
      </c>
      <c r="AC117" s="24">
        <f>+CT117</f>
        <v>24.686</v>
      </c>
      <c r="AD117" s="24">
        <f>+CX117</f>
        <v>24.686</v>
      </c>
      <c r="AE117" s="24">
        <f>+DB117</f>
        <v>24.686</v>
      </c>
      <c r="AJ117" s="23">
        <f>+'QTR Raw'!D56</f>
        <v>0</v>
      </c>
      <c r="AK117" s="23">
        <f t="shared" ref="AK117:CE117" si="1069">+AJ117</f>
        <v>0</v>
      </c>
      <c r="AL117" s="23">
        <f>+'QTR Raw'!F56</f>
        <v>0</v>
      </c>
      <c r="AM117" s="23">
        <f t="shared" si="1069"/>
        <v>0</v>
      </c>
      <c r="AN117" s="23">
        <f>+'QTR Raw'!H56</f>
        <v>0</v>
      </c>
      <c r="AO117" s="23">
        <f t="shared" si="1069"/>
        <v>0</v>
      </c>
      <c r="AP117" s="23">
        <f>+'QTR Raw'!J56</f>
        <v>0</v>
      </c>
      <c r="AQ117" s="23">
        <f t="shared" si="1069"/>
        <v>0</v>
      </c>
      <c r="AR117" s="23">
        <f>+'QTR Raw'!L56</f>
        <v>0</v>
      </c>
      <c r="AS117" s="23">
        <f t="shared" si="1069"/>
        <v>0</v>
      </c>
      <c r="AT117" s="23">
        <f>+'QTR Raw'!N56</f>
        <v>0</v>
      </c>
      <c r="AU117" s="23">
        <f t="shared" si="1069"/>
        <v>0</v>
      </c>
      <c r="AV117" s="23">
        <f>+'QTR Raw'!P56</f>
        <v>0</v>
      </c>
      <c r="AW117" s="23">
        <f t="shared" si="1069"/>
        <v>0</v>
      </c>
      <c r="AX117" s="23">
        <f>+'QTR Raw'!R56</f>
        <v>0</v>
      </c>
      <c r="AY117" s="23">
        <f t="shared" si="1069"/>
        <v>0</v>
      </c>
      <c r="AZ117" s="23">
        <f>+'QTR Raw'!T56</f>
        <v>0</v>
      </c>
      <c r="BA117" s="23">
        <f t="shared" si="1069"/>
        <v>0</v>
      </c>
      <c r="BB117" s="23">
        <f>+'QTR Raw'!V56</f>
        <v>0</v>
      </c>
      <c r="BC117" s="23">
        <f t="shared" si="1069"/>
        <v>0</v>
      </c>
      <c r="BD117" s="23">
        <f>+'QTR Raw'!X56</f>
        <v>0</v>
      </c>
      <c r="BE117" s="23">
        <f t="shared" si="1069"/>
        <v>0</v>
      </c>
      <c r="BF117" s="23">
        <f>+'QTR Raw'!Z56</f>
        <v>0</v>
      </c>
      <c r="BG117" s="23">
        <f t="shared" si="1069"/>
        <v>0</v>
      </c>
      <c r="BH117" s="23">
        <f>+'QTR Raw'!AB56</f>
        <v>0</v>
      </c>
      <c r="BI117" s="23">
        <f t="shared" si="1069"/>
        <v>0</v>
      </c>
      <c r="BJ117" s="23">
        <f>+'QTR Raw'!AD56</f>
        <v>0</v>
      </c>
      <c r="BK117" s="23">
        <f t="shared" si="1069"/>
        <v>0</v>
      </c>
      <c r="BL117" s="23">
        <f>+'QTR Raw'!AF56</f>
        <v>0</v>
      </c>
      <c r="BM117" s="23">
        <f t="shared" si="1069"/>
        <v>0</v>
      </c>
      <c r="BN117" s="23">
        <f>+'QTR Raw'!AH56</f>
        <v>0</v>
      </c>
      <c r="BO117" s="23">
        <f t="shared" si="1069"/>
        <v>0</v>
      </c>
      <c r="BP117" s="23">
        <f>+'QTR Raw'!AJ56</f>
        <v>0</v>
      </c>
      <c r="BQ117" s="23">
        <f t="shared" si="1069"/>
        <v>0</v>
      </c>
      <c r="BR117" s="23">
        <f>+'QTR Raw'!AL56</f>
        <v>0</v>
      </c>
      <c r="BS117" s="23">
        <f t="shared" si="1069"/>
        <v>0</v>
      </c>
      <c r="BT117" s="23">
        <f>+'QTR Raw'!AN56</f>
        <v>0</v>
      </c>
      <c r="BU117" s="23">
        <f t="shared" si="1069"/>
        <v>0</v>
      </c>
      <c r="BV117" s="23">
        <f>+'QTR Raw'!AP56</f>
        <v>19.266999999999999</v>
      </c>
      <c r="BW117" s="23">
        <f t="shared" si="1069"/>
        <v>19.266999999999999</v>
      </c>
      <c r="BX117" s="23">
        <f>+'QTR Raw'!AR56</f>
        <v>19.266999999999999</v>
      </c>
      <c r="BY117" s="23">
        <f t="shared" si="1069"/>
        <v>19.266999999999999</v>
      </c>
      <c r="BZ117" s="23">
        <f>+'QTR Raw'!AT56</f>
        <v>24.611000000000001</v>
      </c>
      <c r="CA117" s="23">
        <f t="shared" si="1069"/>
        <v>24.611000000000001</v>
      </c>
      <c r="CB117" s="23">
        <f>+'QTR Raw'!AV56</f>
        <v>24.611000000000001</v>
      </c>
      <c r="CC117" s="23">
        <f t="shared" si="1069"/>
        <v>24.611000000000001</v>
      </c>
      <c r="CD117" s="23">
        <f>+'QTR Raw'!AX56</f>
        <v>24.678999999999998</v>
      </c>
      <c r="CE117" s="23">
        <f t="shared" si="1069"/>
        <v>24.678999999999998</v>
      </c>
      <c r="CF117" s="23">
        <f>+'QTR Raw'!AZ56</f>
        <v>24.678999999999998</v>
      </c>
      <c r="CG117" s="23">
        <f t="shared" ref="CG117:CG118" si="1070">+CF117</f>
        <v>24.678999999999998</v>
      </c>
      <c r="CH117" s="23">
        <f>Z117</f>
        <v>24.685500000000001</v>
      </c>
      <c r="CI117" s="23">
        <f>CH117</f>
        <v>24.685500000000001</v>
      </c>
      <c r="CJ117" s="23">
        <f>+'QTR Raw'!BD56</f>
        <v>24.686</v>
      </c>
      <c r="CK117" s="24">
        <f t="shared" ref="CK117:DB117" si="1071">CJ117</f>
        <v>24.686</v>
      </c>
      <c r="CL117" s="24">
        <f t="shared" si="1071"/>
        <v>24.686</v>
      </c>
      <c r="CM117" s="24">
        <f t="shared" si="1071"/>
        <v>24.686</v>
      </c>
      <c r="CN117" s="24">
        <f t="shared" si="1071"/>
        <v>24.686</v>
      </c>
      <c r="CO117" s="24">
        <f t="shared" si="1071"/>
        <v>24.686</v>
      </c>
      <c r="CP117" s="24">
        <f t="shared" si="1071"/>
        <v>24.686</v>
      </c>
      <c r="CQ117" s="24">
        <f t="shared" si="1071"/>
        <v>24.686</v>
      </c>
      <c r="CR117" s="24">
        <f t="shared" si="1071"/>
        <v>24.686</v>
      </c>
      <c r="CS117" s="24">
        <f t="shared" si="1071"/>
        <v>24.686</v>
      </c>
      <c r="CT117" s="24">
        <f t="shared" si="1071"/>
        <v>24.686</v>
      </c>
      <c r="CU117" s="24">
        <f t="shared" si="1071"/>
        <v>24.686</v>
      </c>
      <c r="CV117" s="24">
        <f t="shared" si="1071"/>
        <v>24.686</v>
      </c>
      <c r="CW117" s="24">
        <f t="shared" si="1071"/>
        <v>24.686</v>
      </c>
      <c r="CX117" s="24">
        <f t="shared" si="1071"/>
        <v>24.686</v>
      </c>
      <c r="CY117" s="24">
        <f t="shared" si="1071"/>
        <v>24.686</v>
      </c>
      <c r="CZ117" s="24">
        <f t="shared" si="1071"/>
        <v>24.686</v>
      </c>
      <c r="DA117" s="24">
        <f t="shared" si="1071"/>
        <v>24.686</v>
      </c>
      <c r="DB117" s="24">
        <f t="shared" si="1071"/>
        <v>24.686</v>
      </c>
      <c r="DE117" s="123"/>
      <c r="DF117" s="23">
        <v>24.691600000000001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7.5777000000000001</v>
      </c>
      <c r="Y118" s="23">
        <f>'Annual Raw'!Z42</f>
        <v>2.3570000000000002</v>
      </c>
      <c r="Z118" s="23">
        <f>'Annual Raw'!AA42</f>
        <v>2.4123000000000001</v>
      </c>
      <c r="AA118" s="23">
        <f>'Annual Raw'!AB42</f>
        <v>1.9400999999999999</v>
      </c>
      <c r="AB118" s="24">
        <f t="shared" ref="AB118:AB119" si="1072">+CP118</f>
        <v>0</v>
      </c>
      <c r="AC118" s="24">
        <f t="shared" ref="AC118:AC119" si="1073">+CT118</f>
        <v>0</v>
      </c>
      <c r="AD118" s="24">
        <f t="shared" ref="AD118:AD119" si="1074">+CX118</f>
        <v>0</v>
      </c>
      <c r="AE118" s="24">
        <f t="shared" ref="AE118:AE119" si="1075">+DB118</f>
        <v>0</v>
      </c>
      <c r="AJ118" s="23">
        <f>+'QTR Raw'!D57</f>
        <v>0</v>
      </c>
      <c r="AK118" s="23">
        <f t="shared" ref="AK118:CE118" si="1076">+AJ118</f>
        <v>0</v>
      </c>
      <c r="AL118" s="23">
        <f>+'QTR Raw'!F57</f>
        <v>0</v>
      </c>
      <c r="AM118" s="23">
        <f t="shared" si="1076"/>
        <v>0</v>
      </c>
      <c r="AN118" s="23">
        <f>+'QTR Raw'!H57</f>
        <v>0</v>
      </c>
      <c r="AO118" s="23">
        <f t="shared" si="1076"/>
        <v>0</v>
      </c>
      <c r="AP118" s="23">
        <f>+'QTR Raw'!J57</f>
        <v>0</v>
      </c>
      <c r="AQ118" s="23">
        <f t="shared" si="1076"/>
        <v>0</v>
      </c>
      <c r="AR118" s="23">
        <f>+'QTR Raw'!L57</f>
        <v>0</v>
      </c>
      <c r="AS118" s="23">
        <f t="shared" si="1076"/>
        <v>0</v>
      </c>
      <c r="AT118" s="23">
        <f>+'QTR Raw'!N57</f>
        <v>0</v>
      </c>
      <c r="AU118" s="23">
        <f t="shared" si="1076"/>
        <v>0</v>
      </c>
      <c r="AV118" s="23">
        <f>+'QTR Raw'!P57</f>
        <v>0</v>
      </c>
      <c r="AW118" s="23">
        <f t="shared" si="1076"/>
        <v>0</v>
      </c>
      <c r="AX118" s="23">
        <f>+'QTR Raw'!R57</f>
        <v>0</v>
      </c>
      <c r="AY118" s="23">
        <f t="shared" si="1076"/>
        <v>0</v>
      </c>
      <c r="AZ118" s="23">
        <f>+'QTR Raw'!T57</f>
        <v>0</v>
      </c>
      <c r="BA118" s="23">
        <f t="shared" si="1076"/>
        <v>0</v>
      </c>
      <c r="BB118" s="23">
        <f>+'QTR Raw'!V57</f>
        <v>0</v>
      </c>
      <c r="BC118" s="23">
        <f t="shared" si="1076"/>
        <v>0</v>
      </c>
      <c r="BD118" s="23">
        <f>+'QTR Raw'!X57</f>
        <v>0</v>
      </c>
      <c r="BE118" s="23">
        <f t="shared" si="1076"/>
        <v>0</v>
      </c>
      <c r="BF118" s="23">
        <f>+'QTR Raw'!Z57</f>
        <v>0</v>
      </c>
      <c r="BG118" s="23">
        <f t="shared" si="1076"/>
        <v>0</v>
      </c>
      <c r="BH118" s="23">
        <f>+'QTR Raw'!AB57</f>
        <v>0</v>
      </c>
      <c r="BI118" s="23">
        <f t="shared" si="1076"/>
        <v>0</v>
      </c>
      <c r="BJ118" s="23">
        <f>+'QTR Raw'!AD57</f>
        <v>0</v>
      </c>
      <c r="BK118" s="23">
        <f t="shared" si="1076"/>
        <v>0</v>
      </c>
      <c r="BL118" s="23">
        <f>+'QTR Raw'!AF57</f>
        <v>0</v>
      </c>
      <c r="BM118" s="23">
        <f t="shared" si="1076"/>
        <v>0</v>
      </c>
      <c r="BN118" s="23">
        <f>+'QTR Raw'!AH57</f>
        <v>0</v>
      </c>
      <c r="BO118" s="23">
        <f t="shared" si="1076"/>
        <v>0</v>
      </c>
      <c r="BP118" s="23">
        <f>+'QTR Raw'!AJ57</f>
        <v>0</v>
      </c>
      <c r="BQ118" s="23">
        <f t="shared" si="1076"/>
        <v>0</v>
      </c>
      <c r="BR118" s="23">
        <f>+'QTR Raw'!AL57</f>
        <v>0</v>
      </c>
      <c r="BS118" s="23">
        <f t="shared" si="1076"/>
        <v>0</v>
      </c>
      <c r="BT118" s="23">
        <f>+'QTR Raw'!AN57</f>
        <v>0</v>
      </c>
      <c r="BU118" s="23">
        <f t="shared" si="1076"/>
        <v>0</v>
      </c>
      <c r="BV118" s="23">
        <f>+'QTR Raw'!AP57</f>
        <v>0</v>
      </c>
      <c r="BW118" s="23">
        <f t="shared" si="1076"/>
        <v>0</v>
      </c>
      <c r="BX118" s="23">
        <f>+'QTR Raw'!AR57</f>
        <v>0</v>
      </c>
      <c r="BY118" s="23">
        <f t="shared" si="1076"/>
        <v>0</v>
      </c>
      <c r="BZ118" s="23">
        <f>+'QTR Raw'!AT57</f>
        <v>0</v>
      </c>
      <c r="CA118" s="23">
        <f t="shared" si="1076"/>
        <v>0</v>
      </c>
      <c r="CB118" s="23">
        <f>+'QTR Raw'!AV57</f>
        <v>0</v>
      </c>
      <c r="CC118" s="23">
        <f t="shared" si="1076"/>
        <v>0</v>
      </c>
      <c r="CD118" s="23">
        <f>+'QTR Raw'!AX57</f>
        <v>0</v>
      </c>
      <c r="CE118" s="23">
        <f t="shared" si="1076"/>
        <v>0</v>
      </c>
      <c r="CF118" s="23">
        <f>+'QTR Raw'!AZ57</f>
        <v>0</v>
      </c>
      <c r="CG118" s="23">
        <f t="shared" si="1070"/>
        <v>0</v>
      </c>
      <c r="CH118" s="23">
        <f t="shared" ref="CH118:CH119" si="1077">Z118</f>
        <v>2.4123000000000001</v>
      </c>
      <c r="CI118" s="23">
        <f>CH118</f>
        <v>2.4123000000000001</v>
      </c>
      <c r="CJ118" s="23">
        <f>+'QTR Raw'!BD57</f>
        <v>0</v>
      </c>
      <c r="CK118" s="24">
        <f t="shared" ref="CK118:DB118" si="1078">CJ118</f>
        <v>0</v>
      </c>
      <c r="CL118" s="24">
        <f t="shared" si="1078"/>
        <v>0</v>
      </c>
      <c r="CM118" s="24">
        <f t="shared" si="1078"/>
        <v>0</v>
      </c>
      <c r="CN118" s="24">
        <f t="shared" si="1078"/>
        <v>0</v>
      </c>
      <c r="CO118" s="24">
        <f t="shared" si="1078"/>
        <v>0</v>
      </c>
      <c r="CP118" s="24">
        <f t="shared" si="1078"/>
        <v>0</v>
      </c>
      <c r="CQ118" s="24">
        <f t="shared" si="1078"/>
        <v>0</v>
      </c>
      <c r="CR118" s="24">
        <f t="shared" si="1078"/>
        <v>0</v>
      </c>
      <c r="CS118" s="24">
        <f t="shared" si="1078"/>
        <v>0</v>
      </c>
      <c r="CT118" s="24">
        <f t="shared" si="1078"/>
        <v>0</v>
      </c>
      <c r="CU118" s="24">
        <f t="shared" si="1078"/>
        <v>0</v>
      </c>
      <c r="CV118" s="24">
        <f t="shared" si="1078"/>
        <v>0</v>
      </c>
      <c r="CW118" s="24">
        <f t="shared" si="1078"/>
        <v>0</v>
      </c>
      <c r="CX118" s="24">
        <f t="shared" si="1078"/>
        <v>0</v>
      </c>
      <c r="CY118" s="24">
        <f t="shared" si="1078"/>
        <v>0</v>
      </c>
      <c r="CZ118" s="24">
        <f t="shared" si="1078"/>
        <v>0</v>
      </c>
      <c r="DA118" s="24">
        <f t="shared" si="1078"/>
        <v>0</v>
      </c>
      <c r="DB118" s="24">
        <f t="shared" si="1078"/>
        <v>0</v>
      </c>
      <c r="DE118" s="123"/>
      <c r="DF118" s="23">
        <v>1.9400999999999999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190.70320000000001</v>
      </c>
      <c r="Q119" s="23">
        <f>'Annual Raw'!R43</f>
        <v>104.07129999999999</v>
      </c>
      <c r="R119" s="23">
        <f>'Annual Raw'!S43</f>
        <v>30.459499999999998</v>
      </c>
      <c r="S119" s="23">
        <f>'Annual Raw'!T43</f>
        <v>-38.157499999999999</v>
      </c>
      <c r="T119" s="23">
        <f>'Annual Raw'!U43</f>
        <v>23.103000000000002</v>
      </c>
      <c r="U119" s="23">
        <f>'Annual Raw'!V43</f>
        <v>-13.297000000000001</v>
      </c>
      <c r="V119" s="23">
        <f>'Annual Raw'!W43</f>
        <v>54.710999999999999</v>
      </c>
      <c r="W119" s="23">
        <f>'Annual Raw'!X43</f>
        <v>243.0189</v>
      </c>
      <c r="X119" s="23">
        <f>'Annual Raw'!Y43</f>
        <v>1398.8315</v>
      </c>
      <c r="Y119" s="23">
        <f>'Annual Raw'!Z43</f>
        <v>1674.5141000000001</v>
      </c>
      <c r="Z119" s="23">
        <f>'Annual Raw'!AA43</f>
        <v>1836.9154000000001</v>
      </c>
      <c r="AA119" s="23">
        <f>'Annual Raw'!AB43</f>
        <v>1907.758</v>
      </c>
      <c r="AB119" s="24">
        <f t="shared" si="1072"/>
        <v>2115.9643687959874</v>
      </c>
      <c r="AC119" s="24">
        <f t="shared" si="1073"/>
        <v>2262.4160123678225</v>
      </c>
      <c r="AD119" s="24">
        <f t="shared" si="1074"/>
        <v>2405.2218966595069</v>
      </c>
      <c r="AE119" s="24">
        <f t="shared" si="1075"/>
        <v>2550.3635755205723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49.019999999999996</v>
      </c>
      <c r="BV119" s="23">
        <f>+'QTR Raw'!AP58</f>
        <v>243.01900000000001</v>
      </c>
      <c r="BW119" s="23">
        <f>+BV119+BW48</f>
        <v>327.41800000000001</v>
      </c>
      <c r="BX119" s="23">
        <f>+'QTR Raw'!AR58</f>
        <v>391.91500000000002</v>
      </c>
      <c r="BY119" s="23">
        <f>+BX119+BY48</f>
        <v>489.976</v>
      </c>
      <c r="BZ119" s="23">
        <f>+'QTR Raw'!AT58</f>
        <v>1406.4090000000001</v>
      </c>
      <c r="CA119" s="23">
        <f>+BZ119+CA48</f>
        <v>1500.2660000000001</v>
      </c>
      <c r="CB119" s="23">
        <f>+'QTR Raw'!AV58</f>
        <v>1543.135</v>
      </c>
      <c r="CC119" s="23">
        <f>+CB119+CC48</f>
        <v>1644.663</v>
      </c>
      <c r="CD119" s="23">
        <f>+'QTR Raw'!AX58</f>
        <v>1676.8710000000001</v>
      </c>
      <c r="CE119" s="23">
        <f>+CD119+CE48</f>
        <v>1721.7280000000001</v>
      </c>
      <c r="CF119" s="23">
        <f>+'QTR Raw'!AZ58</f>
        <v>1738.886</v>
      </c>
      <c r="CG119" s="23">
        <f>+CF119+CG48</f>
        <v>1786.8579999999999</v>
      </c>
      <c r="CH119" s="23">
        <f t="shared" si="1077"/>
        <v>1836.9154000000001</v>
      </c>
      <c r="CI119" s="23">
        <f>CH119+CI48</f>
        <v>1877.1064000000001</v>
      </c>
      <c r="CJ119" s="23">
        <f>+'QTR Raw'!BD58</f>
        <v>1878.982</v>
      </c>
      <c r="CK119" s="24">
        <f t="shared" ref="CK119:DB119" si="1079">CJ119+CK48</f>
        <v>1902.6209999999999</v>
      </c>
      <c r="CL119" s="24">
        <f t="shared" si="1079"/>
        <v>1958.5850693838279</v>
      </c>
      <c r="CM119" s="24">
        <f t="shared" si="1079"/>
        <v>2012.8769659136851</v>
      </c>
      <c r="CN119" s="24">
        <f t="shared" si="1079"/>
        <v>2041.381852600801</v>
      </c>
      <c r="CO119" s="24">
        <f t="shared" si="1079"/>
        <v>2063.0510082437722</v>
      </c>
      <c r="CP119" s="24">
        <f t="shared" si="1079"/>
        <v>2115.9643687959874</v>
      </c>
      <c r="CQ119" s="24">
        <f t="shared" si="1079"/>
        <v>2167.9312267827177</v>
      </c>
      <c r="CR119" s="24">
        <f t="shared" si="1079"/>
        <v>2191.8560427191032</v>
      </c>
      <c r="CS119" s="24">
        <f t="shared" si="1079"/>
        <v>2210.1467013558017</v>
      </c>
      <c r="CT119" s="24">
        <f t="shared" si="1079"/>
        <v>2262.4160123678225</v>
      </c>
      <c r="CU119" s="24">
        <f t="shared" si="1079"/>
        <v>2314.3410553485915</v>
      </c>
      <c r="CV119" s="24">
        <f t="shared" si="1079"/>
        <v>2335.7879525287435</v>
      </c>
      <c r="CW119" s="24">
        <f t="shared" si="1079"/>
        <v>2351.5944073634864</v>
      </c>
      <c r="CX119" s="24">
        <f t="shared" si="1079"/>
        <v>2405.2218966595069</v>
      </c>
      <c r="CY119" s="24">
        <f t="shared" si="1079"/>
        <v>2458.9380709094175</v>
      </c>
      <c r="CZ119" s="24">
        <f t="shared" si="1079"/>
        <v>2479.2856407881181</v>
      </c>
      <c r="DA119" s="24">
        <f t="shared" si="1079"/>
        <v>2493.736415094404</v>
      </c>
      <c r="DB119" s="24">
        <f t="shared" si="1079"/>
        <v>2550.3635755205723</v>
      </c>
      <c r="DE119" s="123"/>
      <c r="DF119" s="23">
        <v>1907.758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80">C117+C118+C119</f>
        <v>0</v>
      </c>
      <c r="D120" s="22">
        <f t="shared" si="1080"/>
        <v>0</v>
      </c>
      <c r="E120" s="22">
        <f t="shared" si="1080"/>
        <v>0</v>
      </c>
      <c r="F120" s="22">
        <f t="shared" si="1080"/>
        <v>0</v>
      </c>
      <c r="G120" s="22">
        <f t="shared" si="1080"/>
        <v>0</v>
      </c>
      <c r="H120" s="22">
        <f t="shared" si="1080"/>
        <v>0</v>
      </c>
      <c r="I120" s="22">
        <f t="shared" si="1080"/>
        <v>0</v>
      </c>
      <c r="J120" s="22">
        <f t="shared" si="1080"/>
        <v>0</v>
      </c>
      <c r="K120" s="22">
        <f t="shared" si="1080"/>
        <v>0</v>
      </c>
      <c r="L120" s="22">
        <f t="shared" si="1080"/>
        <v>0</v>
      </c>
      <c r="M120" s="22">
        <f>M117+M118+M119</f>
        <v>0</v>
      </c>
      <c r="N120" s="22">
        <f t="shared" si="1080"/>
        <v>0</v>
      </c>
      <c r="O120" s="22">
        <f t="shared" si="1080"/>
        <v>0</v>
      </c>
      <c r="P120" s="22">
        <f t="shared" si="1080"/>
        <v>200.70320000000001</v>
      </c>
      <c r="Q120" s="22">
        <f t="shared" si="1080"/>
        <v>114.07129999999999</v>
      </c>
      <c r="R120" s="22">
        <f t="shared" si="1080"/>
        <v>40.459499999999998</v>
      </c>
      <c r="S120" s="22">
        <f t="shared" si="1080"/>
        <v>-28.157499999999999</v>
      </c>
      <c r="T120" s="22">
        <f t="shared" si="1080"/>
        <v>42.370000000000005</v>
      </c>
      <c r="U120" s="22">
        <f t="shared" si="1080"/>
        <v>5.9699999999999989</v>
      </c>
      <c r="V120" s="22">
        <f t="shared" si="1080"/>
        <v>73.977699999999999</v>
      </c>
      <c r="W120" s="22">
        <f t="shared" ref="W120" si="1081">W117+W118+W119</f>
        <v>262.28559999999999</v>
      </c>
      <c r="X120" s="22">
        <f t="shared" ref="X120:Y120" si="1082">X117+X118+X119</f>
        <v>1431.0198</v>
      </c>
      <c r="Y120" s="22">
        <f t="shared" si="1082"/>
        <v>1701.5505000000001</v>
      </c>
      <c r="Z120" s="22">
        <f t="shared" ref="Z120:AA120" si="1083">Z117+Z118+Z119</f>
        <v>1864.0132000000001</v>
      </c>
      <c r="AA120" s="22">
        <f t="shared" si="1083"/>
        <v>1934.3896999999999</v>
      </c>
      <c r="AB120" s="21">
        <f t="shared" ref="AB120:AD120" si="1084">AB117+AB118+AB119</f>
        <v>2140.6503687959876</v>
      </c>
      <c r="AC120" s="21">
        <f t="shared" si="1084"/>
        <v>2287.1020123678227</v>
      </c>
      <c r="AD120" s="21">
        <f t="shared" si="1084"/>
        <v>2429.9078966595071</v>
      </c>
      <c r="AE120" s="21">
        <f t="shared" ref="AE120" si="1085">AE117+AE118+AE119</f>
        <v>2575.0495755205725</v>
      </c>
      <c r="AJ120" s="22">
        <f t="shared" ref="AJ120" si="1086">AJ117+AJ118+AJ119</f>
        <v>0</v>
      </c>
      <c r="AK120" s="22">
        <f t="shared" ref="AK120" si="1087">AK117+AK118+AK119</f>
        <v>0</v>
      </c>
      <c r="AL120" s="22">
        <f t="shared" ref="AL120:AM120" si="1088">AL117+AL118+AL119</f>
        <v>0</v>
      </c>
      <c r="AM120" s="22">
        <f t="shared" si="1088"/>
        <v>0</v>
      </c>
      <c r="AN120" s="22">
        <f t="shared" ref="AN120:AO120" si="1089">AN117+AN118+AN119</f>
        <v>0</v>
      </c>
      <c r="AO120" s="22">
        <f t="shared" si="1089"/>
        <v>0</v>
      </c>
      <c r="AP120" s="22">
        <f t="shared" ref="AP120:CE120" si="1090">AP117+AP118+AP119</f>
        <v>0</v>
      </c>
      <c r="AQ120" s="22">
        <f t="shared" si="1090"/>
        <v>0</v>
      </c>
      <c r="AR120" s="22">
        <f t="shared" si="1090"/>
        <v>0</v>
      </c>
      <c r="AS120" s="22">
        <f t="shared" si="1090"/>
        <v>0</v>
      </c>
      <c r="AT120" s="22">
        <f t="shared" si="1090"/>
        <v>0</v>
      </c>
      <c r="AU120" s="22">
        <f t="shared" si="1090"/>
        <v>0</v>
      </c>
      <c r="AV120" s="22">
        <f t="shared" si="1090"/>
        <v>0</v>
      </c>
      <c r="AW120" s="22">
        <f t="shared" si="1090"/>
        <v>0</v>
      </c>
      <c r="AX120" s="22">
        <f t="shared" si="1090"/>
        <v>0</v>
      </c>
      <c r="AY120" s="22">
        <f t="shared" si="1090"/>
        <v>0</v>
      </c>
      <c r="AZ120" s="22">
        <f t="shared" si="1090"/>
        <v>0</v>
      </c>
      <c r="BA120" s="22">
        <f t="shared" si="1090"/>
        <v>0</v>
      </c>
      <c r="BB120" s="22">
        <f t="shared" si="1090"/>
        <v>0</v>
      </c>
      <c r="BC120" s="22">
        <f t="shared" si="1090"/>
        <v>0</v>
      </c>
      <c r="BD120" s="22">
        <f t="shared" si="1090"/>
        <v>0</v>
      </c>
      <c r="BE120" s="22">
        <f t="shared" si="1090"/>
        <v>0</v>
      </c>
      <c r="BF120" s="22">
        <f t="shared" si="1090"/>
        <v>0</v>
      </c>
      <c r="BG120" s="22">
        <f t="shared" si="1090"/>
        <v>0</v>
      </c>
      <c r="BH120" s="22">
        <f t="shared" si="1090"/>
        <v>0</v>
      </c>
      <c r="BI120" s="22">
        <f t="shared" si="1090"/>
        <v>0</v>
      </c>
      <c r="BJ120" s="22">
        <f t="shared" si="1090"/>
        <v>0</v>
      </c>
      <c r="BK120" s="22">
        <f t="shared" si="1090"/>
        <v>0</v>
      </c>
      <c r="BL120" s="22">
        <f t="shared" si="1090"/>
        <v>0</v>
      </c>
      <c r="BM120" s="22">
        <f t="shared" si="1090"/>
        <v>0</v>
      </c>
      <c r="BN120" s="22">
        <f t="shared" si="1090"/>
        <v>0</v>
      </c>
      <c r="BO120" s="22">
        <f t="shared" si="1090"/>
        <v>0</v>
      </c>
      <c r="BP120" s="22">
        <f t="shared" si="1090"/>
        <v>0</v>
      </c>
      <c r="BQ120" s="22">
        <f t="shared" si="1090"/>
        <v>0</v>
      </c>
      <c r="BR120" s="22">
        <f t="shared" si="1090"/>
        <v>0</v>
      </c>
      <c r="BS120" s="22">
        <f t="shared" si="1090"/>
        <v>0</v>
      </c>
      <c r="BT120" s="22">
        <f t="shared" si="1090"/>
        <v>0</v>
      </c>
      <c r="BU120" s="22">
        <f t="shared" si="1090"/>
        <v>49.019999999999996</v>
      </c>
      <c r="BV120" s="22">
        <f t="shared" si="1090"/>
        <v>262.286</v>
      </c>
      <c r="BW120" s="22">
        <f t="shared" si="1090"/>
        <v>346.685</v>
      </c>
      <c r="BX120" s="22">
        <f t="shared" si="1090"/>
        <v>411.18200000000002</v>
      </c>
      <c r="BY120" s="22">
        <f t="shared" si="1090"/>
        <v>509.24299999999999</v>
      </c>
      <c r="BZ120" s="22">
        <f t="shared" si="1090"/>
        <v>1431.0200000000002</v>
      </c>
      <c r="CA120" s="22">
        <f t="shared" si="1090"/>
        <v>1524.8770000000002</v>
      </c>
      <c r="CB120" s="22">
        <f t="shared" si="1090"/>
        <v>1567.7460000000001</v>
      </c>
      <c r="CC120" s="22">
        <f t="shared" si="1090"/>
        <v>1669.2740000000001</v>
      </c>
      <c r="CD120" s="22">
        <f t="shared" si="1090"/>
        <v>1701.5500000000002</v>
      </c>
      <c r="CE120" s="22">
        <f t="shared" si="1090"/>
        <v>1746.4070000000002</v>
      </c>
      <c r="CF120" s="22">
        <f t="shared" ref="CF120:CG120" si="1091">CF117+CF118+CF119</f>
        <v>1763.5650000000001</v>
      </c>
      <c r="CG120" s="22">
        <f t="shared" si="1091"/>
        <v>1811.537</v>
      </c>
      <c r="CH120" s="22">
        <f t="shared" ref="CH120:CI120" si="1092">CH117+CH118+CH119</f>
        <v>1864.0132000000001</v>
      </c>
      <c r="CI120" s="22">
        <f t="shared" si="1092"/>
        <v>1904.2042000000001</v>
      </c>
      <c r="CJ120" s="22">
        <f t="shared" ref="CJ120:DB120" si="1093">CJ117+CJ118+CJ119</f>
        <v>1903.6679999999999</v>
      </c>
      <c r="CK120" s="21">
        <f t="shared" si="1093"/>
        <v>1927.3069999999998</v>
      </c>
      <c r="CL120" s="21">
        <f t="shared" si="1093"/>
        <v>1983.2710693838278</v>
      </c>
      <c r="CM120" s="21">
        <f t="shared" si="1093"/>
        <v>2037.562965913685</v>
      </c>
      <c r="CN120" s="21">
        <f t="shared" si="1093"/>
        <v>2066.067852600801</v>
      </c>
      <c r="CO120" s="21">
        <f t="shared" si="1093"/>
        <v>2087.7370082437724</v>
      </c>
      <c r="CP120" s="21">
        <f t="shared" si="1093"/>
        <v>2140.6503687959876</v>
      </c>
      <c r="CQ120" s="21">
        <f t="shared" si="1093"/>
        <v>2192.6172267827178</v>
      </c>
      <c r="CR120" s="21">
        <f t="shared" si="1093"/>
        <v>2216.5420427191034</v>
      </c>
      <c r="CS120" s="21">
        <f t="shared" si="1093"/>
        <v>2234.8327013558019</v>
      </c>
      <c r="CT120" s="21">
        <f t="shared" si="1093"/>
        <v>2287.1020123678227</v>
      </c>
      <c r="CU120" s="21">
        <f t="shared" si="1093"/>
        <v>2339.0270553485916</v>
      </c>
      <c r="CV120" s="21">
        <f t="shared" si="1093"/>
        <v>2360.4739525287437</v>
      </c>
      <c r="CW120" s="21">
        <f t="shared" si="1093"/>
        <v>2376.2804073634866</v>
      </c>
      <c r="CX120" s="21">
        <f t="shared" si="1093"/>
        <v>2429.9078966595071</v>
      </c>
      <c r="CY120" s="21">
        <f t="shared" si="1093"/>
        <v>2483.6240709094177</v>
      </c>
      <c r="CZ120" s="21">
        <f t="shared" si="1093"/>
        <v>2503.9716407881183</v>
      </c>
      <c r="DA120" s="21">
        <f t="shared" si="1093"/>
        <v>2518.4224150944042</v>
      </c>
      <c r="DB120" s="21">
        <f t="shared" si="1093"/>
        <v>2575.0495755205725</v>
      </c>
      <c r="DE120" s="126"/>
      <c r="DF120" s="22">
        <v>1934.3896999999999</v>
      </c>
    </row>
    <row r="121" spans="1:110" s="22" customFormat="1" x14ac:dyDescent="0.2">
      <c r="AB121" s="21"/>
      <c r="AC121" s="21"/>
      <c r="AD121" s="21"/>
      <c r="AE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8.2000000000000007E-3</v>
      </c>
      <c r="Z122" s="23">
        <f>'Annual Raw'!AA45</f>
        <v>4.3E-3</v>
      </c>
      <c r="AA122" s="23">
        <f>'Annual Raw'!AB45</f>
        <v>-1.4471000000000001</v>
      </c>
      <c r="AB122" s="24">
        <f>+CP122</f>
        <v>-9.5000000000000001E-2</v>
      </c>
      <c r="AC122" s="24">
        <f>+CT122</f>
        <v>-9.5000000000000001E-2</v>
      </c>
      <c r="AD122" s="24">
        <f>+CX122</f>
        <v>-9.5000000000000001E-2</v>
      </c>
      <c r="AE122" s="24">
        <f>+DB122</f>
        <v>-9.5000000000000001E-2</v>
      </c>
      <c r="AJ122" s="23">
        <f>+'QTR Raw'!D60</f>
        <v>0</v>
      </c>
      <c r="AK122" s="23">
        <f t="shared" ref="AK122:CE122" si="1094">+AJ122</f>
        <v>0</v>
      </c>
      <c r="AL122" s="23">
        <f>+'QTR Raw'!F60</f>
        <v>0</v>
      </c>
      <c r="AM122" s="23">
        <f t="shared" si="1094"/>
        <v>0</v>
      </c>
      <c r="AN122" s="23">
        <f>+'QTR Raw'!H60</f>
        <v>0</v>
      </c>
      <c r="AO122" s="23">
        <f t="shared" si="1094"/>
        <v>0</v>
      </c>
      <c r="AP122" s="23">
        <f>+'QTR Raw'!J60</f>
        <v>0</v>
      </c>
      <c r="AQ122" s="23">
        <f t="shared" si="1094"/>
        <v>0</v>
      </c>
      <c r="AR122" s="23">
        <f>+'QTR Raw'!L60</f>
        <v>0</v>
      </c>
      <c r="AS122" s="23">
        <f t="shared" si="1094"/>
        <v>0</v>
      </c>
      <c r="AT122" s="23">
        <f>+'QTR Raw'!N60</f>
        <v>0</v>
      </c>
      <c r="AU122" s="23">
        <f t="shared" si="1094"/>
        <v>0</v>
      </c>
      <c r="AV122" s="23">
        <f>+'QTR Raw'!P60</f>
        <v>0</v>
      </c>
      <c r="AW122" s="23">
        <f t="shared" si="1094"/>
        <v>0</v>
      </c>
      <c r="AX122" s="23">
        <f>+'QTR Raw'!R60</f>
        <v>0</v>
      </c>
      <c r="AY122" s="23">
        <f t="shared" si="1094"/>
        <v>0</v>
      </c>
      <c r="AZ122" s="23">
        <f>+'QTR Raw'!T60</f>
        <v>0</v>
      </c>
      <c r="BA122" s="23">
        <f t="shared" si="1094"/>
        <v>0</v>
      </c>
      <c r="BB122" s="23">
        <f>+'QTR Raw'!V60</f>
        <v>0</v>
      </c>
      <c r="BC122" s="23">
        <f t="shared" si="1094"/>
        <v>0</v>
      </c>
      <c r="BD122" s="23">
        <f>+'QTR Raw'!X60</f>
        <v>0</v>
      </c>
      <c r="BE122" s="23">
        <f t="shared" si="1094"/>
        <v>0</v>
      </c>
      <c r="BF122" s="23">
        <f>+'QTR Raw'!Z60</f>
        <v>0</v>
      </c>
      <c r="BG122" s="23">
        <f t="shared" si="1094"/>
        <v>0</v>
      </c>
      <c r="BH122" s="22">
        <f>+'QTR Raw'!AB60</f>
        <v>0</v>
      </c>
      <c r="BI122" s="23">
        <f t="shared" si="1094"/>
        <v>0</v>
      </c>
      <c r="BJ122" s="23">
        <f>+'QTR Raw'!AD60</f>
        <v>0</v>
      </c>
      <c r="BK122" s="23">
        <f t="shared" si="1094"/>
        <v>0</v>
      </c>
      <c r="BL122" s="23">
        <f>+'QTR Raw'!AF60</f>
        <v>0</v>
      </c>
      <c r="BM122" s="23">
        <f t="shared" si="1094"/>
        <v>0</v>
      </c>
      <c r="BN122" s="23">
        <f>+'QTR Raw'!AH60</f>
        <v>0</v>
      </c>
      <c r="BO122" s="23">
        <f t="shared" si="1094"/>
        <v>0</v>
      </c>
      <c r="BP122" s="23">
        <f>+'QTR Raw'!AJ60</f>
        <v>0</v>
      </c>
      <c r="BQ122" s="23">
        <f t="shared" si="1094"/>
        <v>0</v>
      </c>
      <c r="BR122" s="23">
        <f>+'QTR Raw'!AL60</f>
        <v>0</v>
      </c>
      <c r="BS122" s="23">
        <f t="shared" si="1094"/>
        <v>0</v>
      </c>
      <c r="BT122" s="23">
        <f>+'QTR Raw'!AN60</f>
        <v>0</v>
      </c>
      <c r="BU122" s="23">
        <f t="shared" si="1094"/>
        <v>0</v>
      </c>
      <c r="BV122" s="23">
        <f>+'QTR Raw'!AP60</f>
        <v>0</v>
      </c>
      <c r="BW122" s="23">
        <f t="shared" si="1094"/>
        <v>0</v>
      </c>
      <c r="BX122" s="23">
        <f>+'QTR Raw'!AR60</f>
        <v>0</v>
      </c>
      <c r="BY122" s="23">
        <f t="shared" si="1094"/>
        <v>0</v>
      </c>
      <c r="BZ122" s="23">
        <f>+'QTR Raw'!AT60</f>
        <v>0</v>
      </c>
      <c r="CA122" s="23">
        <f t="shared" si="1094"/>
        <v>0</v>
      </c>
      <c r="CB122" s="23">
        <f>+'QTR Raw'!AV60</f>
        <v>0</v>
      </c>
      <c r="CC122" s="23">
        <f t="shared" si="1094"/>
        <v>0</v>
      </c>
      <c r="CD122" s="23">
        <f>+'QTR Raw'!AX60</f>
        <v>8.0000000000000002E-3</v>
      </c>
      <c r="CE122" s="23">
        <f t="shared" si="1094"/>
        <v>8.0000000000000002E-3</v>
      </c>
      <c r="CF122" s="23">
        <f>+'QTR Raw'!AZ60</f>
        <v>-5.3999999999999999E-2</v>
      </c>
      <c r="CG122" s="23">
        <f t="shared" ref="CG122:CI122" si="1095">+CF122</f>
        <v>-5.3999999999999999E-2</v>
      </c>
      <c r="CH122" s="23">
        <f t="shared" ref="CH122:CH127" si="1096">Z122</f>
        <v>4.3E-3</v>
      </c>
      <c r="CI122" s="23">
        <f t="shared" si="1095"/>
        <v>4.3E-3</v>
      </c>
      <c r="CJ122" s="23">
        <f>+'QTR Raw'!BD60</f>
        <v>-9.5000000000000001E-2</v>
      </c>
      <c r="CK122" s="24">
        <f t="shared" ref="CK122" si="1097">+CJ122</f>
        <v>-9.5000000000000001E-2</v>
      </c>
      <c r="CL122" s="24">
        <f t="shared" ref="CL122" si="1098">+CK122</f>
        <v>-9.5000000000000001E-2</v>
      </c>
      <c r="CM122" s="24">
        <f t="shared" ref="CM122" si="1099">+CL122</f>
        <v>-9.5000000000000001E-2</v>
      </c>
      <c r="CN122" s="24">
        <f t="shared" ref="CN122" si="1100">+CM122</f>
        <v>-9.5000000000000001E-2</v>
      </c>
      <c r="CO122" s="24">
        <f t="shared" ref="CO122" si="1101">+CN122</f>
        <v>-9.5000000000000001E-2</v>
      </c>
      <c r="CP122" s="24">
        <f t="shared" ref="CP122" si="1102">+CO122</f>
        <v>-9.5000000000000001E-2</v>
      </c>
      <c r="CQ122" s="24">
        <f t="shared" ref="CQ122" si="1103">+CP122</f>
        <v>-9.5000000000000001E-2</v>
      </c>
      <c r="CR122" s="24">
        <f t="shared" ref="CR122" si="1104">+CQ122</f>
        <v>-9.5000000000000001E-2</v>
      </c>
      <c r="CS122" s="24">
        <f t="shared" ref="CS122" si="1105">+CR122</f>
        <v>-9.5000000000000001E-2</v>
      </c>
      <c r="CT122" s="24">
        <f t="shared" ref="CT122" si="1106">+CS122</f>
        <v>-9.5000000000000001E-2</v>
      </c>
      <c r="CU122" s="24">
        <f t="shared" ref="CU122" si="1107">+CT122</f>
        <v>-9.5000000000000001E-2</v>
      </c>
      <c r="CV122" s="24">
        <f t="shared" ref="CV122" si="1108">+CU122</f>
        <v>-9.5000000000000001E-2</v>
      </c>
      <c r="CW122" s="24">
        <f t="shared" ref="CW122" si="1109">+CV122</f>
        <v>-9.5000000000000001E-2</v>
      </c>
      <c r="CX122" s="24">
        <f t="shared" ref="CX122" si="1110">+CW122</f>
        <v>-9.5000000000000001E-2</v>
      </c>
      <c r="CY122" s="24">
        <f t="shared" ref="CY122" si="1111">+CX122</f>
        <v>-9.5000000000000001E-2</v>
      </c>
      <c r="CZ122" s="24">
        <f t="shared" ref="CZ122" si="1112">+CY122</f>
        <v>-9.5000000000000001E-2</v>
      </c>
      <c r="DA122" s="24">
        <f t="shared" ref="DA122" si="1113">+CZ122</f>
        <v>-9.5000000000000001E-2</v>
      </c>
      <c r="DB122" s="24">
        <f t="shared" ref="DB122" si="1114">+DA122</f>
        <v>-9.5000000000000001E-2</v>
      </c>
      <c r="DE122" s="123"/>
      <c r="DF122" s="23">
        <v>-1.4471000000000001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443.745</v>
      </c>
      <c r="Q124" s="23">
        <f>'Annual Raw'!R47</f>
        <v>271.63740000000001</v>
      </c>
      <c r="R124" s="23">
        <f>'Annual Raw'!S47</f>
        <v>482.95139999999998</v>
      </c>
      <c r="S124" s="23">
        <f>'Annual Raw'!T47</f>
        <v>449.35539999999997</v>
      </c>
      <c r="T124" s="23">
        <f>'Annual Raw'!U47</f>
        <v>740.51800000000003</v>
      </c>
      <c r="U124" s="23">
        <f>'Annual Raw'!V47</f>
        <v>848.26499999999999</v>
      </c>
      <c r="V124" s="23">
        <f>'Annual Raw'!W47</f>
        <v>846.41150000000005</v>
      </c>
      <c r="W124" s="23">
        <f>'Annual Raw'!X47</f>
        <v>842.8329</v>
      </c>
      <c r="X124" s="23">
        <f>'Annual Raw'!Y47</f>
        <v>0.78800000000000003</v>
      </c>
      <c r="Y124" s="23">
        <f>'Annual Raw'!Z47</f>
        <v>59.359299999999998</v>
      </c>
      <c r="Z124" s="23">
        <f>'Annual Raw'!AA47</f>
        <v>151.59889999999999</v>
      </c>
      <c r="AA124" s="23">
        <f>'Annual Raw'!AB47</f>
        <v>126.66549999999999</v>
      </c>
      <c r="AB124" s="24">
        <f t="shared" ref="AB124:AB127" si="1115">+CP124</f>
        <v>0</v>
      </c>
      <c r="AC124" s="24">
        <f t="shared" ref="AC124:AC127" si="1116">+CT124</f>
        <v>0</v>
      </c>
      <c r="AD124" s="24">
        <f t="shared" ref="AD124:AD127" si="1117">+CX124</f>
        <v>0</v>
      </c>
      <c r="AE124" s="24">
        <f t="shared" ref="AE124:AE127" si="1118">+DB124</f>
        <v>0</v>
      </c>
      <c r="AJ124" s="23">
        <f>+'QTR Raw'!D62</f>
        <v>0</v>
      </c>
      <c r="AK124" s="23">
        <f t="shared" ref="AK124:CC127" si="1119">+AJ124</f>
        <v>0</v>
      </c>
      <c r="AL124" s="23">
        <f>+'QTR Raw'!F62</f>
        <v>0</v>
      </c>
      <c r="AM124" s="23">
        <f t="shared" si="1119"/>
        <v>0</v>
      </c>
      <c r="AN124" s="23">
        <f>+'QTR Raw'!H62</f>
        <v>0</v>
      </c>
      <c r="AO124" s="23">
        <f t="shared" si="1119"/>
        <v>0</v>
      </c>
      <c r="AP124" s="23">
        <f>+'QTR Raw'!J62</f>
        <v>0</v>
      </c>
      <c r="AQ124" s="23">
        <f t="shared" si="1119"/>
        <v>0</v>
      </c>
      <c r="AR124" s="23">
        <f>+'QTR Raw'!L62</f>
        <v>0</v>
      </c>
      <c r="AS124" s="23">
        <f t="shared" si="1119"/>
        <v>0</v>
      </c>
      <c r="AT124" s="23">
        <f>+'QTR Raw'!N62</f>
        <v>0</v>
      </c>
      <c r="AU124" s="23">
        <f t="shared" si="1119"/>
        <v>0</v>
      </c>
      <c r="AV124" s="23">
        <f>+'QTR Raw'!P62</f>
        <v>0</v>
      </c>
      <c r="AW124" s="23">
        <f t="shared" si="1119"/>
        <v>0</v>
      </c>
      <c r="AX124" s="23">
        <f>+'QTR Raw'!R62</f>
        <v>0</v>
      </c>
      <c r="AY124" s="23">
        <f t="shared" si="1119"/>
        <v>0</v>
      </c>
      <c r="AZ124" s="23">
        <f>+'QTR Raw'!T62</f>
        <v>0</v>
      </c>
      <c r="BA124" s="23">
        <f t="shared" si="1119"/>
        <v>0</v>
      </c>
      <c r="BB124" s="23">
        <f>+'QTR Raw'!V62</f>
        <v>0</v>
      </c>
      <c r="BC124" s="23">
        <f t="shared" si="1119"/>
        <v>0</v>
      </c>
      <c r="BD124" s="23">
        <f>+'QTR Raw'!X62</f>
        <v>0</v>
      </c>
      <c r="BE124" s="23">
        <f t="shared" si="1119"/>
        <v>0</v>
      </c>
      <c r="BF124" s="23">
        <f>+'QTR Raw'!Z62</f>
        <v>0</v>
      </c>
      <c r="BG124" s="23">
        <f t="shared" si="1119"/>
        <v>0</v>
      </c>
      <c r="BH124" s="22">
        <f>+'QTR Raw'!AB62</f>
        <v>0</v>
      </c>
      <c r="BI124" s="23">
        <f t="shared" si="1119"/>
        <v>0</v>
      </c>
      <c r="BJ124" s="23">
        <f>+'QTR Raw'!AD62</f>
        <v>0</v>
      </c>
      <c r="BK124" s="23">
        <f t="shared" si="1119"/>
        <v>0</v>
      </c>
      <c r="BL124" s="23">
        <f>+'QTR Raw'!AF62</f>
        <v>0</v>
      </c>
      <c r="BM124" s="23">
        <f t="shared" si="1119"/>
        <v>0</v>
      </c>
      <c r="BN124" s="23">
        <f>+'QTR Raw'!AH62</f>
        <v>0</v>
      </c>
      <c r="BO124" s="23">
        <f t="shared" si="1119"/>
        <v>0</v>
      </c>
      <c r="BP124" s="23">
        <f>+'QTR Raw'!AJ62</f>
        <v>0</v>
      </c>
      <c r="BQ124" s="23">
        <f t="shared" si="1119"/>
        <v>0</v>
      </c>
      <c r="BR124" s="23">
        <f>+'QTR Raw'!AL62</f>
        <v>0</v>
      </c>
      <c r="BS124" s="23">
        <f t="shared" si="1119"/>
        <v>0</v>
      </c>
      <c r="BT124" s="23">
        <f>+'QTR Raw'!AN62</f>
        <v>0</v>
      </c>
      <c r="BU124" s="23">
        <f t="shared" si="1119"/>
        <v>0</v>
      </c>
      <c r="BV124" s="23">
        <f>+'QTR Raw'!AP62</f>
        <v>0</v>
      </c>
      <c r="BW124" s="23">
        <f t="shared" si="1119"/>
        <v>0</v>
      </c>
      <c r="BX124" s="23">
        <f>+'QTR Raw'!AR62</f>
        <v>0</v>
      </c>
      <c r="BY124" s="23">
        <f t="shared" si="1119"/>
        <v>0</v>
      </c>
      <c r="BZ124" s="23">
        <f>+'QTR Raw'!AT62</f>
        <v>0</v>
      </c>
      <c r="CA124" s="23">
        <f t="shared" si="1119"/>
        <v>0</v>
      </c>
      <c r="CB124" s="23">
        <f>+'QTR Raw'!AV62</f>
        <v>0</v>
      </c>
      <c r="CC124" s="23">
        <f t="shared" si="1119"/>
        <v>0</v>
      </c>
      <c r="CD124" s="23">
        <f>+'QTR Raw'!AX62</f>
        <v>0</v>
      </c>
      <c r="CE124" s="23">
        <f t="shared" ref="CE124:CE127" si="1120">+CD124</f>
        <v>0</v>
      </c>
      <c r="CF124" s="23">
        <f>+'QTR Raw'!AZ62</f>
        <v>0</v>
      </c>
      <c r="CG124" s="23">
        <f t="shared" ref="CG124:CI127" si="1121">+CF124</f>
        <v>0</v>
      </c>
      <c r="CH124" s="23">
        <f t="shared" si="1096"/>
        <v>151.59889999999999</v>
      </c>
      <c r="CI124" s="23">
        <f t="shared" si="1121"/>
        <v>151.59889999999999</v>
      </c>
      <c r="CJ124" s="23">
        <f>+'QTR Raw'!BD62</f>
        <v>0</v>
      </c>
      <c r="CK124" s="24">
        <f t="shared" ref="CK124:CK127" si="1122">+CJ124</f>
        <v>0</v>
      </c>
      <c r="CL124" s="24">
        <f t="shared" ref="CL124:CL127" si="1123">+CK124</f>
        <v>0</v>
      </c>
      <c r="CM124" s="24">
        <f t="shared" ref="CM124:CM127" si="1124">+CL124</f>
        <v>0</v>
      </c>
      <c r="CN124" s="24">
        <f t="shared" ref="CN124:CN127" si="1125">+CM124</f>
        <v>0</v>
      </c>
      <c r="CO124" s="24">
        <f t="shared" ref="CO124:CO127" si="1126">+CN124</f>
        <v>0</v>
      </c>
      <c r="CP124" s="24">
        <f t="shared" ref="CP124:CP127" si="1127">+CO124</f>
        <v>0</v>
      </c>
      <c r="CQ124" s="24">
        <f t="shared" ref="CQ124:CQ127" si="1128">+CP124</f>
        <v>0</v>
      </c>
      <c r="CR124" s="24">
        <f t="shared" ref="CR124:CR127" si="1129">+CQ124</f>
        <v>0</v>
      </c>
      <c r="CS124" s="24">
        <f t="shared" ref="CS124:CS127" si="1130">+CR124</f>
        <v>0</v>
      </c>
      <c r="CT124" s="24">
        <f t="shared" ref="CT124:CT127" si="1131">+CS124</f>
        <v>0</v>
      </c>
      <c r="CU124" s="24">
        <f t="shared" ref="CU124:CU127" si="1132">+CT124</f>
        <v>0</v>
      </c>
      <c r="CV124" s="24">
        <f t="shared" ref="CV124:CV127" si="1133">+CU124</f>
        <v>0</v>
      </c>
      <c r="CW124" s="24">
        <f t="shared" ref="CW124:CW127" si="1134">+CV124</f>
        <v>0</v>
      </c>
      <c r="CX124" s="24">
        <f t="shared" ref="CX124:CX127" si="1135">+CW124</f>
        <v>0</v>
      </c>
      <c r="CY124" s="24">
        <f t="shared" ref="CY124:CY127" si="1136">+CX124</f>
        <v>0</v>
      </c>
      <c r="CZ124" s="24">
        <f t="shared" ref="CZ124:CZ127" si="1137">+CY124</f>
        <v>0</v>
      </c>
      <c r="DA124" s="24">
        <f t="shared" ref="DA124:DA127" si="1138">+CZ124</f>
        <v>0</v>
      </c>
      <c r="DB124" s="24">
        <f t="shared" ref="DB124:DB127" si="1139">+DA124</f>
        <v>0</v>
      </c>
      <c r="DE124" s="123"/>
      <c r="DF124" s="23">
        <v>126.66549999999999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304.06779999999998</v>
      </c>
      <c r="Q125" s="23">
        <f>'Annual Raw'!R48</f>
        <v>317.1651</v>
      </c>
      <c r="R125" s="23">
        <f>'Annual Raw'!S48</f>
        <v>334.21409999999997</v>
      </c>
      <c r="S125" s="23">
        <f>'Annual Raw'!T48</f>
        <v>342.69439999999997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5"/>
        <v>147.375</v>
      </c>
      <c r="AC125" s="24">
        <f t="shared" si="1116"/>
        <v>147.375</v>
      </c>
      <c r="AD125" s="24">
        <f t="shared" si="1117"/>
        <v>147.375</v>
      </c>
      <c r="AE125" s="24">
        <f t="shared" si="1118"/>
        <v>147.375</v>
      </c>
      <c r="AJ125" s="23">
        <f>+'QTR Raw'!D63</f>
        <v>0</v>
      </c>
      <c r="AK125" s="23">
        <f t="shared" si="1119"/>
        <v>0</v>
      </c>
      <c r="AL125" s="23">
        <f>+'QTR Raw'!F63</f>
        <v>0</v>
      </c>
      <c r="AM125" s="23">
        <f t="shared" si="1119"/>
        <v>0</v>
      </c>
      <c r="AN125" s="23">
        <f>+'QTR Raw'!H63</f>
        <v>0</v>
      </c>
      <c r="AO125" s="23">
        <f t="shared" si="1119"/>
        <v>0</v>
      </c>
      <c r="AP125" s="23">
        <f>+'QTR Raw'!J63</f>
        <v>0</v>
      </c>
      <c r="AQ125" s="23">
        <f t="shared" si="1119"/>
        <v>0</v>
      </c>
      <c r="AR125" s="23">
        <f>+'QTR Raw'!L63</f>
        <v>0</v>
      </c>
      <c r="AS125" s="23">
        <f t="shared" si="1119"/>
        <v>0</v>
      </c>
      <c r="AT125" s="23">
        <f>+'QTR Raw'!N63</f>
        <v>0</v>
      </c>
      <c r="AU125" s="23">
        <f t="shared" si="1119"/>
        <v>0</v>
      </c>
      <c r="AV125" s="23">
        <f>+'QTR Raw'!P63</f>
        <v>0</v>
      </c>
      <c r="AW125" s="23">
        <f t="shared" si="1119"/>
        <v>0</v>
      </c>
      <c r="AX125" s="23">
        <f>+'QTR Raw'!R63</f>
        <v>0</v>
      </c>
      <c r="AY125" s="23">
        <f t="shared" si="1119"/>
        <v>0</v>
      </c>
      <c r="AZ125" s="23">
        <f>+'QTR Raw'!T63</f>
        <v>0</v>
      </c>
      <c r="BA125" s="23">
        <f t="shared" si="1119"/>
        <v>0</v>
      </c>
      <c r="BB125" s="23">
        <f>+'QTR Raw'!V63</f>
        <v>0</v>
      </c>
      <c r="BC125" s="23">
        <f t="shared" si="1119"/>
        <v>0</v>
      </c>
      <c r="BD125" s="23">
        <f>+'QTR Raw'!X63</f>
        <v>0</v>
      </c>
      <c r="BE125" s="23">
        <f t="shared" si="1119"/>
        <v>0</v>
      </c>
      <c r="BF125" s="23">
        <f>+'QTR Raw'!Z63</f>
        <v>0</v>
      </c>
      <c r="BG125" s="23">
        <f t="shared" si="1119"/>
        <v>0</v>
      </c>
      <c r="BH125" s="23">
        <f>+'QTR Raw'!AB63</f>
        <v>0</v>
      </c>
      <c r="BI125" s="23">
        <f t="shared" si="1119"/>
        <v>0</v>
      </c>
      <c r="BJ125" s="23">
        <f>+'QTR Raw'!AD63</f>
        <v>0</v>
      </c>
      <c r="BK125" s="23">
        <f t="shared" si="1119"/>
        <v>0</v>
      </c>
      <c r="BL125" s="23">
        <f>+'QTR Raw'!AF63</f>
        <v>0</v>
      </c>
      <c r="BM125" s="23">
        <f t="shared" si="1119"/>
        <v>0</v>
      </c>
      <c r="BN125" s="23">
        <f>+'QTR Raw'!AH63</f>
        <v>0</v>
      </c>
      <c r="BO125" s="23">
        <f t="shared" si="1119"/>
        <v>0</v>
      </c>
      <c r="BP125" s="23">
        <f>+'QTR Raw'!AJ63</f>
        <v>0</v>
      </c>
      <c r="BQ125" s="23">
        <f t="shared" si="1119"/>
        <v>0</v>
      </c>
      <c r="BR125" s="23">
        <f>+'QTR Raw'!AL63</f>
        <v>0</v>
      </c>
      <c r="BS125" s="23">
        <f t="shared" si="1119"/>
        <v>0</v>
      </c>
      <c r="BT125" s="23">
        <f>+'QTR Raw'!AN63</f>
        <v>0</v>
      </c>
      <c r="BU125" s="23">
        <f t="shared" si="1119"/>
        <v>0</v>
      </c>
      <c r="BV125" s="23">
        <f>+'QTR Raw'!AP63</f>
        <v>842.83299999999997</v>
      </c>
      <c r="BW125" s="23">
        <f t="shared" si="1119"/>
        <v>842.83299999999997</v>
      </c>
      <c r="BX125" s="23">
        <f>+'QTR Raw'!AR63</f>
        <v>700.22299999999996</v>
      </c>
      <c r="BY125" s="23">
        <f t="shared" si="1119"/>
        <v>700.22299999999996</v>
      </c>
      <c r="BZ125" s="23">
        <f>+'QTR Raw'!AT63</f>
        <v>0.78800000000000003</v>
      </c>
      <c r="CA125" s="23">
        <f t="shared" si="1119"/>
        <v>0.78800000000000003</v>
      </c>
      <c r="CB125" s="23">
        <f>+'QTR Raw'!AV63</f>
        <v>0.69699999999999995</v>
      </c>
      <c r="CC125" s="23">
        <f t="shared" si="1119"/>
        <v>0.69699999999999995</v>
      </c>
      <c r="CD125" s="23">
        <f>+'QTR Raw'!AX63</f>
        <v>59.359000000000002</v>
      </c>
      <c r="CE125" s="23">
        <f t="shared" si="1120"/>
        <v>59.359000000000002</v>
      </c>
      <c r="CF125" s="23">
        <f>+'QTR Raw'!AZ63</f>
        <v>115.77500000000001</v>
      </c>
      <c r="CG125" s="23">
        <f t="shared" si="1121"/>
        <v>115.77500000000001</v>
      </c>
      <c r="CH125" s="23">
        <f t="shared" si="1096"/>
        <v>0</v>
      </c>
      <c r="CI125" s="23">
        <f t="shared" si="1121"/>
        <v>0</v>
      </c>
      <c r="CJ125" s="23">
        <f>+'QTR Raw'!BD63</f>
        <v>147.375</v>
      </c>
      <c r="CK125" s="24">
        <f t="shared" si="1122"/>
        <v>147.375</v>
      </c>
      <c r="CL125" s="24">
        <f t="shared" si="1123"/>
        <v>147.375</v>
      </c>
      <c r="CM125" s="24">
        <f t="shared" si="1124"/>
        <v>147.375</v>
      </c>
      <c r="CN125" s="24">
        <f t="shared" si="1125"/>
        <v>147.375</v>
      </c>
      <c r="CO125" s="24">
        <f t="shared" si="1126"/>
        <v>147.375</v>
      </c>
      <c r="CP125" s="24">
        <f t="shared" si="1127"/>
        <v>147.375</v>
      </c>
      <c r="CQ125" s="24">
        <f t="shared" si="1128"/>
        <v>147.375</v>
      </c>
      <c r="CR125" s="24">
        <f t="shared" si="1129"/>
        <v>147.375</v>
      </c>
      <c r="CS125" s="24">
        <f t="shared" si="1130"/>
        <v>147.375</v>
      </c>
      <c r="CT125" s="24">
        <f t="shared" si="1131"/>
        <v>147.375</v>
      </c>
      <c r="CU125" s="24">
        <f t="shared" si="1132"/>
        <v>147.375</v>
      </c>
      <c r="CV125" s="24">
        <f t="shared" si="1133"/>
        <v>147.375</v>
      </c>
      <c r="CW125" s="24">
        <f t="shared" si="1134"/>
        <v>147.375</v>
      </c>
      <c r="CX125" s="24">
        <f t="shared" si="1135"/>
        <v>147.375</v>
      </c>
      <c r="CY125" s="24">
        <f t="shared" si="1136"/>
        <v>147.375</v>
      </c>
      <c r="CZ125" s="24">
        <f t="shared" si="1137"/>
        <v>147.375</v>
      </c>
      <c r="DA125" s="24">
        <f t="shared" si="1138"/>
        <v>147.375</v>
      </c>
      <c r="DB125" s="24">
        <f t="shared" si="1139"/>
        <v>147.375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205.72409999999999</v>
      </c>
      <c r="Q126" s="23">
        <f>'Annual Raw'!R87+'Annual Raw'!R88+'Annual Raw'!R89+'Annual Raw'!R90</f>
        <v>298.20650000000001</v>
      </c>
      <c r="R126" s="23">
        <f>'Annual Raw'!S87+'Annual Raw'!S88+'Annual Raw'!S89+'Annual Raw'!S90</f>
        <v>99.612499999999997</v>
      </c>
      <c r="S126" s="23">
        <f>'Annual Raw'!T87+'Annual Raw'!T88+'Annual Raw'!T89+'Annual Raw'!T90</f>
        <v>110.3815</v>
      </c>
      <c r="T126" s="23">
        <f>'Annual Raw'!U87+'Annual Raw'!U88+'Annual Raw'!U89+'Annual Raw'!U90</f>
        <v>0.29699999999999999</v>
      </c>
      <c r="U126" s="23">
        <f>'Annual Raw'!V87+'Annual Raw'!V88+'Annual Raw'!V89+'Annual Raw'!V90</f>
        <v>2.956</v>
      </c>
      <c r="V126" s="23">
        <f>'Annual Raw'!W87+'Annual Raw'!W88+'Annual Raw'!W89+'Annual Raw'!W90</f>
        <v>2.7092999999999998</v>
      </c>
      <c r="W126" s="23">
        <f>'Annual Raw'!X87+'Annual Raw'!X88+'Annual Raw'!X89+'Annual Raw'!X90</f>
        <v>2.0510000000000002</v>
      </c>
      <c r="X126" s="23">
        <f>'Annual Raw'!Y87+'Annual Raw'!Y88+'Annual Raw'!Y89+'Annual Raw'!Y90</f>
        <v>0.70409999999999995</v>
      </c>
      <c r="Y126" s="23">
        <f>'Annual Raw'!Z87+'Annual Raw'!Z88+'Annual Raw'!Z89+'Annual Raw'!Z90</f>
        <v>0.18529999999999999</v>
      </c>
      <c r="Z126" s="23">
        <f>'Annual Raw'!AA87+'Annual Raw'!AA88+'Annual Raw'!AA89+'Annual Raw'!AA90</f>
        <v>26.465</v>
      </c>
      <c r="AA126" s="23">
        <f>'Annual Raw'!AB87+'Annual Raw'!AB88+'Annual Raw'!AB89+'Annual Raw'!AB90</f>
        <v>65.313800000000001</v>
      </c>
      <c r="AB126" s="24">
        <f t="shared" si="1115"/>
        <v>0</v>
      </c>
      <c r="AC126" s="24">
        <f t="shared" si="1116"/>
        <v>0</v>
      </c>
      <c r="AD126" s="24">
        <f t="shared" si="1117"/>
        <v>0</v>
      </c>
      <c r="AE126" s="24">
        <f t="shared" si="1118"/>
        <v>0</v>
      </c>
      <c r="AJ126" s="23">
        <f>+'QTR Raw'!D90</f>
        <v>0</v>
      </c>
      <c r="AK126" s="23">
        <f t="shared" si="1119"/>
        <v>0</v>
      </c>
      <c r="AL126" s="23">
        <f>+'QTR Raw'!F90</f>
        <v>0</v>
      </c>
      <c r="AM126" s="23">
        <f t="shared" si="1119"/>
        <v>0</v>
      </c>
      <c r="AN126" s="23">
        <f>+'QTR Raw'!H90</f>
        <v>0</v>
      </c>
      <c r="AO126" s="23">
        <f t="shared" si="1119"/>
        <v>0</v>
      </c>
      <c r="AP126" s="23">
        <f>+'QTR Raw'!J90</f>
        <v>0</v>
      </c>
      <c r="AQ126" s="23">
        <f t="shared" si="1119"/>
        <v>0</v>
      </c>
      <c r="AR126" s="23">
        <f>+'QTR Raw'!L90</f>
        <v>0</v>
      </c>
      <c r="AS126" s="23">
        <f t="shared" si="1119"/>
        <v>0</v>
      </c>
      <c r="AT126" s="23">
        <f>+'QTR Raw'!N90</f>
        <v>0</v>
      </c>
      <c r="AU126" s="23">
        <f t="shared" si="1119"/>
        <v>0</v>
      </c>
      <c r="AV126" s="23">
        <f>+'QTR Raw'!P90</f>
        <v>0</v>
      </c>
      <c r="AW126" s="23">
        <f t="shared" si="1119"/>
        <v>0</v>
      </c>
      <c r="AX126" s="23">
        <f>+'QTR Raw'!R90</f>
        <v>0</v>
      </c>
      <c r="AY126" s="23">
        <f t="shared" si="1119"/>
        <v>0</v>
      </c>
      <c r="AZ126" s="23">
        <f>+'QTR Raw'!T90</f>
        <v>0</v>
      </c>
      <c r="BA126" s="23">
        <f t="shared" si="1119"/>
        <v>0</v>
      </c>
      <c r="BB126" s="23">
        <f>+'QTR Raw'!V90</f>
        <v>0</v>
      </c>
      <c r="BC126" s="23">
        <f t="shared" si="1119"/>
        <v>0</v>
      </c>
      <c r="BD126" s="23">
        <f>+'QTR Raw'!X90</f>
        <v>0</v>
      </c>
      <c r="BE126" s="23">
        <f t="shared" si="1119"/>
        <v>0</v>
      </c>
      <c r="BF126" s="23">
        <f>+'QTR Raw'!Z90</f>
        <v>0</v>
      </c>
      <c r="BG126" s="23">
        <f t="shared" si="1119"/>
        <v>0</v>
      </c>
      <c r="BH126" s="22">
        <f>+'QTR Raw'!AB90</f>
        <v>0</v>
      </c>
      <c r="BI126" s="23">
        <f t="shared" si="1119"/>
        <v>0</v>
      </c>
      <c r="BJ126" s="23">
        <f>+'QTR Raw'!AD90</f>
        <v>0</v>
      </c>
      <c r="BK126" s="23">
        <f t="shared" si="1119"/>
        <v>0</v>
      </c>
      <c r="BL126" s="23">
        <f>+'QTR Raw'!AF90</f>
        <v>0</v>
      </c>
      <c r="BM126" s="23">
        <f t="shared" si="1119"/>
        <v>0</v>
      </c>
      <c r="BN126" s="23">
        <f>+'QTR Raw'!AH90</f>
        <v>0</v>
      </c>
      <c r="BO126" s="23">
        <f t="shared" si="1119"/>
        <v>0</v>
      </c>
      <c r="BP126" s="23">
        <f>+'QTR Raw'!AJ90</f>
        <v>0</v>
      </c>
      <c r="BQ126" s="23">
        <f t="shared" si="1119"/>
        <v>0</v>
      </c>
      <c r="BR126" s="23">
        <f>+'QTR Raw'!AL90</f>
        <v>0</v>
      </c>
      <c r="BS126" s="23">
        <f t="shared" si="1119"/>
        <v>0</v>
      </c>
      <c r="BT126" s="23">
        <f>+'QTR Raw'!AN90</f>
        <v>0</v>
      </c>
      <c r="BU126" s="23">
        <f t="shared" si="1119"/>
        <v>0</v>
      </c>
      <c r="BV126" s="23">
        <f>+'QTR Raw'!AP90</f>
        <v>0</v>
      </c>
      <c r="BW126" s="23">
        <f t="shared" si="1119"/>
        <v>0</v>
      </c>
      <c r="BX126" s="23">
        <f>+'QTR Raw'!AR90</f>
        <v>0</v>
      </c>
      <c r="BY126" s="23">
        <f t="shared" si="1119"/>
        <v>0</v>
      </c>
      <c r="BZ126" s="23">
        <f>+'QTR Raw'!AT90</f>
        <v>0</v>
      </c>
      <c r="CA126" s="23">
        <f t="shared" si="1119"/>
        <v>0</v>
      </c>
      <c r="CB126" s="23">
        <f>+'QTR Raw'!AV90</f>
        <v>0</v>
      </c>
      <c r="CC126" s="23">
        <f t="shared" si="1119"/>
        <v>0</v>
      </c>
      <c r="CD126" s="23">
        <f>+'QTR Raw'!AX90</f>
        <v>0</v>
      </c>
      <c r="CE126" s="23">
        <f t="shared" si="1120"/>
        <v>0</v>
      </c>
      <c r="CF126" s="23">
        <f>+'QTR Raw'!AZ90</f>
        <v>0</v>
      </c>
      <c r="CG126" s="23">
        <f t="shared" si="1121"/>
        <v>0</v>
      </c>
      <c r="CH126" s="23">
        <f>+Z126</f>
        <v>26.465</v>
      </c>
      <c r="CI126" s="23">
        <f t="shared" si="1121"/>
        <v>26.465</v>
      </c>
      <c r="CJ126" s="23">
        <f>+'QTR Raw'!BD90</f>
        <v>0</v>
      </c>
      <c r="CK126" s="24">
        <f t="shared" si="1122"/>
        <v>0</v>
      </c>
      <c r="CL126" s="24">
        <f t="shared" si="1123"/>
        <v>0</v>
      </c>
      <c r="CM126" s="24">
        <f t="shared" si="1124"/>
        <v>0</v>
      </c>
      <c r="CN126" s="24">
        <f t="shared" si="1125"/>
        <v>0</v>
      </c>
      <c r="CO126" s="24">
        <f t="shared" si="1126"/>
        <v>0</v>
      </c>
      <c r="CP126" s="24">
        <f t="shared" si="1127"/>
        <v>0</v>
      </c>
      <c r="CQ126" s="24">
        <f t="shared" si="1128"/>
        <v>0</v>
      </c>
      <c r="CR126" s="24">
        <f t="shared" si="1129"/>
        <v>0</v>
      </c>
      <c r="CS126" s="24">
        <f t="shared" si="1130"/>
        <v>0</v>
      </c>
      <c r="CT126" s="24">
        <f t="shared" si="1131"/>
        <v>0</v>
      </c>
      <c r="CU126" s="24">
        <f t="shared" si="1132"/>
        <v>0</v>
      </c>
      <c r="CV126" s="24">
        <f t="shared" si="1133"/>
        <v>0</v>
      </c>
      <c r="CW126" s="24">
        <f t="shared" si="1134"/>
        <v>0</v>
      </c>
      <c r="CX126" s="24">
        <f t="shared" si="1135"/>
        <v>0</v>
      </c>
      <c r="CY126" s="24">
        <f t="shared" si="1136"/>
        <v>0</v>
      </c>
      <c r="CZ126" s="24">
        <f t="shared" si="1137"/>
        <v>0</v>
      </c>
      <c r="DA126" s="24">
        <f t="shared" si="1138"/>
        <v>0</v>
      </c>
      <c r="DB126" s="24">
        <f t="shared" si="1139"/>
        <v>0</v>
      </c>
      <c r="DE126" s="123"/>
      <c r="DF126" s="23">
        <v>65.313800000000001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56.722799999999999</v>
      </c>
      <c r="Q127" s="23">
        <f>'Annual Raw'!R56</f>
        <v>102.1108</v>
      </c>
      <c r="R127" s="23">
        <f>'Annual Raw'!S56</f>
        <v>55.142600000000002</v>
      </c>
      <c r="S127" s="23">
        <f>'Annual Raw'!T56</f>
        <v>65.961500000000001</v>
      </c>
      <c r="T127" s="23">
        <f>'Annual Raw'!U56</f>
        <v>13.273999999999999</v>
      </c>
      <c r="U127" s="23">
        <f>'Annual Raw'!V56</f>
        <v>6.0620000000000003</v>
      </c>
      <c r="V127" s="23">
        <f>'Annual Raw'!W56</f>
        <v>9.3120999999999992</v>
      </c>
      <c r="W127" s="23">
        <f>'Annual Raw'!X56</f>
        <v>0</v>
      </c>
      <c r="X127" s="23">
        <f>'Annual Raw'!Y56</f>
        <v>20</v>
      </c>
      <c r="Y127" s="23">
        <f>'Annual Raw'!Z56</f>
        <v>0</v>
      </c>
      <c r="Z127" s="23">
        <f>'Annual Raw'!AA56</f>
        <v>0</v>
      </c>
      <c r="AA127" s="23">
        <f>'Annual Raw'!AB56</f>
        <v>213.03890000000001</v>
      </c>
      <c r="AB127" s="24">
        <f t="shared" si="1115"/>
        <v>63.326000000000001</v>
      </c>
      <c r="AC127" s="24">
        <f t="shared" si="1116"/>
        <v>63.326000000000001</v>
      </c>
      <c r="AD127" s="24">
        <f t="shared" si="1117"/>
        <v>63.326000000000001</v>
      </c>
      <c r="AE127" s="24">
        <f t="shared" si="1118"/>
        <v>63.326000000000001</v>
      </c>
      <c r="AJ127" s="23">
        <f>+'QTR Raw'!D88</f>
        <v>0</v>
      </c>
      <c r="AK127" s="23">
        <f t="shared" si="1119"/>
        <v>0</v>
      </c>
      <c r="AL127" s="23">
        <f>+'QTR Raw'!F88</f>
        <v>0</v>
      </c>
      <c r="AM127" s="23">
        <f t="shared" si="1119"/>
        <v>0</v>
      </c>
      <c r="AN127" s="23">
        <f>+'QTR Raw'!H88</f>
        <v>0</v>
      </c>
      <c r="AO127" s="23">
        <f t="shared" si="1119"/>
        <v>0</v>
      </c>
      <c r="AP127" s="23">
        <f>+'QTR Raw'!J88</f>
        <v>0</v>
      </c>
      <c r="AQ127" s="23">
        <f t="shared" si="1119"/>
        <v>0</v>
      </c>
      <c r="AR127" s="23">
        <f>+'QTR Raw'!L88</f>
        <v>0</v>
      </c>
      <c r="AS127" s="23">
        <f t="shared" si="1119"/>
        <v>0</v>
      </c>
      <c r="AT127" s="23">
        <f>+'QTR Raw'!N88</f>
        <v>0</v>
      </c>
      <c r="AU127" s="23">
        <f t="shared" si="1119"/>
        <v>0</v>
      </c>
      <c r="AV127" s="23">
        <f>+'QTR Raw'!P88</f>
        <v>0</v>
      </c>
      <c r="AW127" s="23">
        <f t="shared" si="1119"/>
        <v>0</v>
      </c>
      <c r="AX127" s="23">
        <f>+'QTR Raw'!R88</f>
        <v>0</v>
      </c>
      <c r="AY127" s="23">
        <f t="shared" si="1119"/>
        <v>0</v>
      </c>
      <c r="AZ127" s="23">
        <f>+'QTR Raw'!T88</f>
        <v>0</v>
      </c>
      <c r="BA127" s="23">
        <f t="shared" si="1119"/>
        <v>0</v>
      </c>
      <c r="BB127" s="23">
        <f>+'QTR Raw'!V88</f>
        <v>0</v>
      </c>
      <c r="BC127" s="23">
        <f t="shared" si="1119"/>
        <v>0</v>
      </c>
      <c r="BD127" s="23">
        <f>+'QTR Raw'!X88</f>
        <v>0</v>
      </c>
      <c r="BE127" s="23">
        <f t="shared" si="1119"/>
        <v>0</v>
      </c>
      <c r="BF127" s="23">
        <f>+'QTR Raw'!Z88</f>
        <v>0</v>
      </c>
      <c r="BG127" s="23">
        <f t="shared" si="1119"/>
        <v>0</v>
      </c>
      <c r="BH127" s="23">
        <f>+'QTR Raw'!AB88</f>
        <v>0</v>
      </c>
      <c r="BI127" s="23">
        <f t="shared" si="1119"/>
        <v>0</v>
      </c>
      <c r="BJ127" s="23">
        <f>+'QTR Raw'!AD88</f>
        <v>0</v>
      </c>
      <c r="BK127" s="23">
        <f t="shared" si="1119"/>
        <v>0</v>
      </c>
      <c r="BL127" s="23">
        <f>+'QTR Raw'!AF88</f>
        <v>0</v>
      </c>
      <c r="BM127" s="23">
        <f t="shared" si="1119"/>
        <v>0</v>
      </c>
      <c r="BN127" s="23">
        <f>+'QTR Raw'!AH88</f>
        <v>0</v>
      </c>
      <c r="BO127" s="23">
        <f t="shared" si="1119"/>
        <v>0</v>
      </c>
      <c r="BP127" s="23">
        <f>+'QTR Raw'!AJ88</f>
        <v>0</v>
      </c>
      <c r="BQ127" s="23">
        <f t="shared" si="1119"/>
        <v>0</v>
      </c>
      <c r="BR127" s="23">
        <f>+'QTR Raw'!AL88</f>
        <v>0</v>
      </c>
      <c r="BS127" s="23">
        <f t="shared" si="1119"/>
        <v>0</v>
      </c>
      <c r="BT127" s="23">
        <f>+'QTR Raw'!AN88</f>
        <v>0</v>
      </c>
      <c r="BU127" s="23">
        <f t="shared" si="1119"/>
        <v>0</v>
      </c>
      <c r="BV127" s="23">
        <f>+'QTR Raw'!AP88</f>
        <v>2.0510000000000002</v>
      </c>
      <c r="BW127" s="23">
        <f t="shared" si="1119"/>
        <v>2.0510000000000002</v>
      </c>
      <c r="BX127" s="23">
        <f>+'QTR Raw'!AR88</f>
        <v>122.655</v>
      </c>
      <c r="BY127" s="23">
        <f t="shared" si="1119"/>
        <v>122.655</v>
      </c>
      <c r="BZ127" s="23">
        <f>+'QTR Raw'!AT88</f>
        <v>20.704000000000001</v>
      </c>
      <c r="CA127" s="23">
        <f t="shared" si="1119"/>
        <v>20.704000000000001</v>
      </c>
      <c r="CB127" s="23">
        <f>+'QTR Raw'!AV88</f>
        <v>25.177</v>
      </c>
      <c r="CC127" s="23">
        <f t="shared" si="1119"/>
        <v>25.177</v>
      </c>
      <c r="CD127" s="23">
        <f>+'QTR Raw'!AX88</f>
        <v>0.185</v>
      </c>
      <c r="CE127" s="23">
        <f t="shared" si="1120"/>
        <v>0.185</v>
      </c>
      <c r="CF127" s="23">
        <f>+'QTR Raw'!AZ88</f>
        <v>0.19400000000000001</v>
      </c>
      <c r="CG127" s="23">
        <f t="shared" si="1121"/>
        <v>0.19400000000000001</v>
      </c>
      <c r="CH127" s="23">
        <f t="shared" si="1096"/>
        <v>0</v>
      </c>
      <c r="CI127" s="23">
        <f t="shared" si="1121"/>
        <v>0</v>
      </c>
      <c r="CJ127" s="23">
        <f>+'QTR Raw'!BD88</f>
        <v>63.326000000000001</v>
      </c>
      <c r="CK127" s="24">
        <f t="shared" si="1122"/>
        <v>63.326000000000001</v>
      </c>
      <c r="CL127" s="24">
        <f t="shared" si="1123"/>
        <v>63.326000000000001</v>
      </c>
      <c r="CM127" s="24">
        <f t="shared" si="1124"/>
        <v>63.326000000000001</v>
      </c>
      <c r="CN127" s="24">
        <f t="shared" si="1125"/>
        <v>63.326000000000001</v>
      </c>
      <c r="CO127" s="24">
        <f t="shared" si="1126"/>
        <v>63.326000000000001</v>
      </c>
      <c r="CP127" s="24">
        <f t="shared" si="1127"/>
        <v>63.326000000000001</v>
      </c>
      <c r="CQ127" s="24">
        <f t="shared" si="1128"/>
        <v>63.326000000000001</v>
      </c>
      <c r="CR127" s="24">
        <f t="shared" si="1129"/>
        <v>63.326000000000001</v>
      </c>
      <c r="CS127" s="24">
        <f t="shared" si="1130"/>
        <v>63.326000000000001</v>
      </c>
      <c r="CT127" s="24">
        <f t="shared" si="1131"/>
        <v>63.326000000000001</v>
      </c>
      <c r="CU127" s="24">
        <f t="shared" si="1132"/>
        <v>63.326000000000001</v>
      </c>
      <c r="CV127" s="24">
        <f t="shared" si="1133"/>
        <v>63.326000000000001</v>
      </c>
      <c r="CW127" s="24">
        <f t="shared" si="1134"/>
        <v>63.326000000000001</v>
      </c>
      <c r="CX127" s="24">
        <f t="shared" si="1135"/>
        <v>63.326000000000001</v>
      </c>
      <c r="CY127" s="24">
        <f t="shared" si="1136"/>
        <v>63.326000000000001</v>
      </c>
      <c r="CZ127" s="24">
        <f t="shared" si="1137"/>
        <v>63.326000000000001</v>
      </c>
      <c r="DA127" s="24">
        <f t="shared" si="1138"/>
        <v>63.326000000000001</v>
      </c>
      <c r="DB127" s="24">
        <f t="shared" si="1139"/>
        <v>63.326000000000001</v>
      </c>
      <c r="DE127" s="123"/>
      <c r="DF127" s="23">
        <v>213.03890000000001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40">SUM(C124:C127)</f>
        <v>0</v>
      </c>
      <c r="D128" s="22">
        <f t="shared" si="1140"/>
        <v>0</v>
      </c>
      <c r="E128" s="22">
        <f t="shared" si="1140"/>
        <v>0</v>
      </c>
      <c r="F128" s="22">
        <f t="shared" si="1140"/>
        <v>0</v>
      </c>
      <c r="G128" s="22">
        <f t="shared" si="1140"/>
        <v>0</v>
      </c>
      <c r="H128" s="22">
        <f t="shared" si="1140"/>
        <v>0</v>
      </c>
      <c r="I128" s="22">
        <f t="shared" si="1140"/>
        <v>0</v>
      </c>
      <c r="J128" s="22">
        <f t="shared" si="1140"/>
        <v>0</v>
      </c>
      <c r="K128" s="22">
        <f t="shared" si="1140"/>
        <v>0</v>
      </c>
      <c r="L128" s="22">
        <f t="shared" si="1140"/>
        <v>0</v>
      </c>
      <c r="M128" s="22">
        <f t="shared" si="1140"/>
        <v>0</v>
      </c>
      <c r="N128" s="22">
        <f t="shared" si="1140"/>
        <v>0</v>
      </c>
      <c r="O128" s="22">
        <f t="shared" si="1140"/>
        <v>0</v>
      </c>
      <c r="P128" s="22">
        <f t="shared" si="1140"/>
        <v>1010.2597</v>
      </c>
      <c r="Q128" s="22">
        <f t="shared" si="1140"/>
        <v>989.11980000000005</v>
      </c>
      <c r="R128" s="22">
        <f t="shared" si="1140"/>
        <v>971.92059999999992</v>
      </c>
      <c r="S128" s="22">
        <f t="shared" si="1140"/>
        <v>968.39279999999997</v>
      </c>
      <c r="T128" s="22">
        <f t="shared" si="1140"/>
        <v>754.08900000000006</v>
      </c>
      <c r="U128" s="22">
        <f t="shared" si="1140"/>
        <v>857.28300000000002</v>
      </c>
      <c r="V128" s="22">
        <f t="shared" si="1140"/>
        <v>858.43290000000002</v>
      </c>
      <c r="W128" s="22">
        <f t="shared" ref="W128" si="1141">SUM(W124:W127)</f>
        <v>844.88390000000004</v>
      </c>
      <c r="X128" s="22">
        <f t="shared" ref="X128:Y128" si="1142">SUM(X124:X127)</f>
        <v>21.492100000000001</v>
      </c>
      <c r="Y128" s="22">
        <f t="shared" si="1142"/>
        <v>59.544599999999996</v>
      </c>
      <c r="Z128" s="22">
        <f t="shared" ref="Z128:AA128" si="1143">SUM(Z124:Z127)</f>
        <v>178.06389999999999</v>
      </c>
      <c r="AA128" s="22">
        <f t="shared" si="1143"/>
        <v>405.01819999999998</v>
      </c>
      <c r="AB128" s="21">
        <f t="shared" ref="AB128:AD128" si="1144">SUM(AB124:AB127)</f>
        <v>210.70099999999999</v>
      </c>
      <c r="AC128" s="21">
        <f t="shared" si="1144"/>
        <v>210.70099999999999</v>
      </c>
      <c r="AD128" s="21">
        <f t="shared" si="1144"/>
        <v>210.70099999999999</v>
      </c>
      <c r="AE128" s="21">
        <f t="shared" ref="AE128" si="1145">SUM(AE124:AE127)</f>
        <v>210.70099999999999</v>
      </c>
      <c r="AJ128" s="22">
        <f t="shared" ref="AJ128" si="1146">SUM(AJ124:AJ127)</f>
        <v>0</v>
      </c>
      <c r="AK128" s="22">
        <f t="shared" ref="AK128" si="1147">SUM(AK124:AK127)</f>
        <v>0</v>
      </c>
      <c r="AL128" s="22">
        <f t="shared" ref="AL128:AM128" si="1148">SUM(AL124:AL127)</f>
        <v>0</v>
      </c>
      <c r="AM128" s="22">
        <f t="shared" si="1148"/>
        <v>0</v>
      </c>
      <c r="AN128" s="22">
        <f t="shared" ref="AN128:AO128" si="1149">SUM(AN124:AN127)</f>
        <v>0</v>
      </c>
      <c r="AO128" s="22">
        <f t="shared" si="1149"/>
        <v>0</v>
      </c>
      <c r="AP128" s="22">
        <f t="shared" ref="AP128:CE128" si="1150">SUM(AP124:AP127)</f>
        <v>0</v>
      </c>
      <c r="AQ128" s="22">
        <f t="shared" si="1150"/>
        <v>0</v>
      </c>
      <c r="AR128" s="22">
        <f t="shared" si="1150"/>
        <v>0</v>
      </c>
      <c r="AS128" s="22">
        <f t="shared" si="1150"/>
        <v>0</v>
      </c>
      <c r="AT128" s="22">
        <f t="shared" si="1150"/>
        <v>0</v>
      </c>
      <c r="AU128" s="22">
        <f t="shared" si="1150"/>
        <v>0</v>
      </c>
      <c r="AV128" s="22">
        <f t="shared" si="1150"/>
        <v>0</v>
      </c>
      <c r="AW128" s="22">
        <f t="shared" si="1150"/>
        <v>0</v>
      </c>
      <c r="AX128" s="22">
        <f t="shared" si="1150"/>
        <v>0</v>
      </c>
      <c r="AY128" s="22">
        <f t="shared" si="1150"/>
        <v>0</v>
      </c>
      <c r="AZ128" s="22">
        <f t="shared" si="1150"/>
        <v>0</v>
      </c>
      <c r="BA128" s="22">
        <f t="shared" si="1150"/>
        <v>0</v>
      </c>
      <c r="BB128" s="22">
        <f t="shared" si="1150"/>
        <v>0</v>
      </c>
      <c r="BC128" s="22">
        <f t="shared" si="1150"/>
        <v>0</v>
      </c>
      <c r="BD128" s="22">
        <f t="shared" si="1150"/>
        <v>0</v>
      </c>
      <c r="BE128" s="22">
        <f t="shared" si="1150"/>
        <v>0</v>
      </c>
      <c r="BF128" s="22">
        <f t="shared" si="1150"/>
        <v>0</v>
      </c>
      <c r="BG128" s="22">
        <f t="shared" si="1150"/>
        <v>0</v>
      </c>
      <c r="BH128" s="22">
        <f t="shared" ref="BH128" si="1151">SUM(BH124:BH127)</f>
        <v>0</v>
      </c>
      <c r="BI128" s="22">
        <f t="shared" si="1150"/>
        <v>0</v>
      </c>
      <c r="BJ128" s="22">
        <f t="shared" si="1150"/>
        <v>0</v>
      </c>
      <c r="BK128" s="22">
        <f t="shared" si="1150"/>
        <v>0</v>
      </c>
      <c r="BL128" s="22">
        <f t="shared" si="1150"/>
        <v>0</v>
      </c>
      <c r="BM128" s="22">
        <f t="shared" si="1150"/>
        <v>0</v>
      </c>
      <c r="BN128" s="22">
        <f t="shared" si="1150"/>
        <v>0</v>
      </c>
      <c r="BO128" s="22">
        <f t="shared" si="1150"/>
        <v>0</v>
      </c>
      <c r="BP128" s="22">
        <f t="shared" si="1150"/>
        <v>0</v>
      </c>
      <c r="BQ128" s="22">
        <f t="shared" si="1150"/>
        <v>0</v>
      </c>
      <c r="BR128" s="22">
        <f t="shared" si="1150"/>
        <v>0</v>
      </c>
      <c r="BS128" s="22">
        <f t="shared" si="1150"/>
        <v>0</v>
      </c>
      <c r="BT128" s="22">
        <f t="shared" si="1150"/>
        <v>0</v>
      </c>
      <c r="BU128" s="22">
        <f t="shared" si="1150"/>
        <v>0</v>
      </c>
      <c r="BV128" s="22">
        <f t="shared" si="1150"/>
        <v>844.88400000000001</v>
      </c>
      <c r="BW128" s="22">
        <f t="shared" si="1150"/>
        <v>844.88400000000001</v>
      </c>
      <c r="BX128" s="22">
        <f t="shared" si="1150"/>
        <v>822.87799999999993</v>
      </c>
      <c r="BY128" s="22">
        <f t="shared" si="1150"/>
        <v>822.87799999999993</v>
      </c>
      <c r="BZ128" s="22">
        <f t="shared" si="1150"/>
        <v>21.492000000000001</v>
      </c>
      <c r="CA128" s="22">
        <f t="shared" si="1150"/>
        <v>21.492000000000001</v>
      </c>
      <c r="CB128" s="22">
        <f t="shared" si="1150"/>
        <v>25.873999999999999</v>
      </c>
      <c r="CC128" s="22">
        <f t="shared" si="1150"/>
        <v>25.873999999999999</v>
      </c>
      <c r="CD128" s="22">
        <f t="shared" si="1150"/>
        <v>59.544000000000004</v>
      </c>
      <c r="CE128" s="22">
        <f t="shared" si="1150"/>
        <v>59.544000000000004</v>
      </c>
      <c r="CF128" s="22">
        <f t="shared" ref="CF128:CG128" si="1152">SUM(CF124:CF127)</f>
        <v>115.96900000000001</v>
      </c>
      <c r="CG128" s="22">
        <f t="shared" si="1152"/>
        <v>115.96900000000001</v>
      </c>
      <c r="CH128" s="22">
        <f t="shared" ref="CH128:CI128" si="1153">SUM(CH124:CH127)</f>
        <v>178.06389999999999</v>
      </c>
      <c r="CI128" s="22">
        <f t="shared" si="1153"/>
        <v>178.06389999999999</v>
      </c>
      <c r="CJ128" s="22">
        <f t="shared" ref="CJ128:DB128" si="1154">SUM(CJ124:CJ127)</f>
        <v>210.70099999999999</v>
      </c>
      <c r="CK128" s="21">
        <f t="shared" si="1154"/>
        <v>210.70099999999999</v>
      </c>
      <c r="CL128" s="21">
        <f t="shared" si="1154"/>
        <v>210.70099999999999</v>
      </c>
      <c r="CM128" s="21">
        <f t="shared" si="1154"/>
        <v>210.70099999999999</v>
      </c>
      <c r="CN128" s="21">
        <f t="shared" si="1154"/>
        <v>210.70099999999999</v>
      </c>
      <c r="CO128" s="21">
        <f t="shared" si="1154"/>
        <v>210.70099999999999</v>
      </c>
      <c r="CP128" s="21">
        <f t="shared" si="1154"/>
        <v>210.70099999999999</v>
      </c>
      <c r="CQ128" s="21">
        <f t="shared" si="1154"/>
        <v>210.70099999999999</v>
      </c>
      <c r="CR128" s="21">
        <f t="shared" si="1154"/>
        <v>210.70099999999999</v>
      </c>
      <c r="CS128" s="21">
        <f t="shared" si="1154"/>
        <v>210.70099999999999</v>
      </c>
      <c r="CT128" s="21">
        <f t="shared" si="1154"/>
        <v>210.70099999999999</v>
      </c>
      <c r="CU128" s="21">
        <f t="shared" si="1154"/>
        <v>210.70099999999999</v>
      </c>
      <c r="CV128" s="21">
        <f t="shared" si="1154"/>
        <v>210.70099999999999</v>
      </c>
      <c r="CW128" s="21">
        <f t="shared" si="1154"/>
        <v>210.70099999999999</v>
      </c>
      <c r="CX128" s="21">
        <f t="shared" si="1154"/>
        <v>210.70099999999999</v>
      </c>
      <c r="CY128" s="21">
        <f t="shared" si="1154"/>
        <v>210.70099999999999</v>
      </c>
      <c r="CZ128" s="21">
        <f t="shared" si="1154"/>
        <v>210.70099999999999</v>
      </c>
      <c r="DA128" s="21">
        <f t="shared" si="1154"/>
        <v>210.70099999999999</v>
      </c>
      <c r="DB128" s="21">
        <f t="shared" si="1154"/>
        <v>210.70099999999999</v>
      </c>
      <c r="DE128" s="126"/>
      <c r="DF128" s="22">
        <v>405.01819999999998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5">C128+C120+C122</f>
        <v>0</v>
      </c>
      <c r="D129" s="26">
        <f>D128+D120+D122</f>
        <v>0</v>
      </c>
      <c r="E129" s="26">
        <f t="shared" si="1155"/>
        <v>0</v>
      </c>
      <c r="F129" s="26">
        <f t="shared" si="1155"/>
        <v>0</v>
      </c>
      <c r="G129" s="26">
        <f t="shared" si="1155"/>
        <v>0</v>
      </c>
      <c r="H129" s="26">
        <f t="shared" si="1155"/>
        <v>0</v>
      </c>
      <c r="I129" s="26">
        <f t="shared" si="1155"/>
        <v>0</v>
      </c>
      <c r="J129" s="26">
        <f t="shared" si="1155"/>
        <v>0</v>
      </c>
      <c r="K129" s="26">
        <f t="shared" si="1155"/>
        <v>0</v>
      </c>
      <c r="L129" s="26">
        <f t="shared" si="1155"/>
        <v>0</v>
      </c>
      <c r="M129" s="26">
        <f t="shared" si="1155"/>
        <v>0</v>
      </c>
      <c r="N129" s="26">
        <f t="shared" si="1155"/>
        <v>0</v>
      </c>
      <c r="O129" s="26">
        <f t="shared" si="1155"/>
        <v>0</v>
      </c>
      <c r="P129" s="26">
        <f t="shared" si="1155"/>
        <v>1210.9629</v>
      </c>
      <c r="Q129" s="26">
        <f t="shared" si="1155"/>
        <v>1103.1911</v>
      </c>
      <c r="R129" s="26">
        <f t="shared" si="1155"/>
        <v>1012.3801</v>
      </c>
      <c r="S129" s="26">
        <f t="shared" si="1155"/>
        <v>940.23529999999994</v>
      </c>
      <c r="T129" s="26">
        <f t="shared" si="1155"/>
        <v>796.45900000000006</v>
      </c>
      <c r="U129" s="26">
        <f t="shared" si="1155"/>
        <v>863.25300000000004</v>
      </c>
      <c r="V129" s="26">
        <f t="shared" si="1155"/>
        <v>932.41060000000004</v>
      </c>
      <c r="W129" s="26">
        <f t="shared" ref="W129" si="1156">W128+W120+W122</f>
        <v>1107.1695</v>
      </c>
      <c r="X129" s="26">
        <f t="shared" ref="X129:Y129" si="1157">X128+X120+X122</f>
        <v>1452.5119</v>
      </c>
      <c r="Y129" s="26">
        <f t="shared" si="1157"/>
        <v>1761.1033</v>
      </c>
      <c r="Z129" s="26">
        <f t="shared" ref="Z129:AA129" si="1158">Z128+Z120+Z122</f>
        <v>2042.0814</v>
      </c>
      <c r="AA129" s="26">
        <f t="shared" si="1158"/>
        <v>2337.9608000000003</v>
      </c>
      <c r="AB129" s="27">
        <f t="shared" ref="AB129:AD129" si="1159">AB128+AB120+AB122</f>
        <v>2351.2563687959878</v>
      </c>
      <c r="AC129" s="27">
        <f t="shared" si="1159"/>
        <v>2497.7080123678229</v>
      </c>
      <c r="AD129" s="27">
        <f t="shared" si="1159"/>
        <v>2640.5138966595073</v>
      </c>
      <c r="AE129" s="27">
        <f t="shared" ref="AE129" si="1160">AE128+AE120+AE122</f>
        <v>2785.6555755205727</v>
      </c>
      <c r="AJ129" s="26">
        <f t="shared" ref="AJ129" si="1161">AJ128+AJ120+AJ122</f>
        <v>0</v>
      </c>
      <c r="AK129" s="26">
        <f t="shared" ref="AK129" si="1162">AK128+AK120+AK122</f>
        <v>0</v>
      </c>
      <c r="AL129" s="26">
        <f t="shared" ref="AL129" si="1163">AL128+AL120+AL122</f>
        <v>0</v>
      </c>
      <c r="AM129" s="26">
        <f t="shared" ref="AM129:AO129" si="1164">AM128+AM120+AM122</f>
        <v>0</v>
      </c>
      <c r="AN129" s="26">
        <f t="shared" si="1164"/>
        <v>0</v>
      </c>
      <c r="AO129" s="26">
        <f t="shared" si="1164"/>
        <v>0</v>
      </c>
      <c r="AP129" s="26">
        <f t="shared" ref="AP129:CE129" si="1165">AP128+AP120+AP122</f>
        <v>0</v>
      </c>
      <c r="AQ129" s="26">
        <f t="shared" si="1165"/>
        <v>0</v>
      </c>
      <c r="AR129" s="26">
        <f t="shared" si="1165"/>
        <v>0</v>
      </c>
      <c r="AS129" s="26">
        <f t="shared" si="1165"/>
        <v>0</v>
      </c>
      <c r="AT129" s="26">
        <f t="shared" si="1165"/>
        <v>0</v>
      </c>
      <c r="AU129" s="26">
        <f t="shared" si="1165"/>
        <v>0</v>
      </c>
      <c r="AV129" s="26">
        <f t="shared" si="1165"/>
        <v>0</v>
      </c>
      <c r="AW129" s="26">
        <f t="shared" si="1165"/>
        <v>0</v>
      </c>
      <c r="AX129" s="26">
        <f t="shared" si="1165"/>
        <v>0</v>
      </c>
      <c r="AY129" s="26">
        <f t="shared" si="1165"/>
        <v>0</v>
      </c>
      <c r="AZ129" s="26">
        <f t="shared" si="1165"/>
        <v>0</v>
      </c>
      <c r="BA129" s="26">
        <f t="shared" si="1165"/>
        <v>0</v>
      </c>
      <c r="BB129" s="26">
        <f t="shared" si="1165"/>
        <v>0</v>
      </c>
      <c r="BC129" s="26">
        <f t="shared" si="1165"/>
        <v>0</v>
      </c>
      <c r="BD129" s="26">
        <f t="shared" si="1165"/>
        <v>0</v>
      </c>
      <c r="BE129" s="26">
        <f t="shared" si="1165"/>
        <v>0</v>
      </c>
      <c r="BF129" s="26">
        <f t="shared" si="1165"/>
        <v>0</v>
      </c>
      <c r="BG129" s="26">
        <f t="shared" si="1165"/>
        <v>0</v>
      </c>
      <c r="BH129" s="26">
        <f t="shared" ref="BH129" si="1166">BH128+BH120+BH122</f>
        <v>0</v>
      </c>
      <c r="BI129" s="26">
        <f t="shared" si="1165"/>
        <v>0</v>
      </c>
      <c r="BJ129" s="26">
        <f t="shared" si="1165"/>
        <v>0</v>
      </c>
      <c r="BK129" s="26">
        <f t="shared" si="1165"/>
        <v>0</v>
      </c>
      <c r="BL129" s="26">
        <f t="shared" si="1165"/>
        <v>0</v>
      </c>
      <c r="BM129" s="26">
        <f t="shared" si="1165"/>
        <v>0</v>
      </c>
      <c r="BN129" s="26">
        <f t="shared" si="1165"/>
        <v>0</v>
      </c>
      <c r="BO129" s="26">
        <f t="shared" si="1165"/>
        <v>0</v>
      </c>
      <c r="BP129" s="26">
        <f t="shared" si="1165"/>
        <v>0</v>
      </c>
      <c r="BQ129" s="26">
        <f t="shared" si="1165"/>
        <v>0</v>
      </c>
      <c r="BR129" s="26">
        <f t="shared" si="1165"/>
        <v>0</v>
      </c>
      <c r="BS129" s="26">
        <f t="shared" si="1165"/>
        <v>0</v>
      </c>
      <c r="BT129" s="26">
        <f t="shared" si="1165"/>
        <v>0</v>
      </c>
      <c r="BU129" s="26">
        <f t="shared" si="1165"/>
        <v>49.019999999999996</v>
      </c>
      <c r="BV129" s="26">
        <f t="shared" si="1165"/>
        <v>1107.17</v>
      </c>
      <c r="BW129" s="26">
        <f t="shared" si="1165"/>
        <v>1191.569</v>
      </c>
      <c r="BX129" s="26">
        <f t="shared" si="1165"/>
        <v>1234.06</v>
      </c>
      <c r="BY129" s="26">
        <f t="shared" si="1165"/>
        <v>1332.1209999999999</v>
      </c>
      <c r="BZ129" s="26">
        <f t="shared" si="1165"/>
        <v>1452.5120000000002</v>
      </c>
      <c r="CA129" s="26">
        <f t="shared" si="1165"/>
        <v>1546.3690000000001</v>
      </c>
      <c r="CB129" s="26">
        <f t="shared" si="1165"/>
        <v>1593.6200000000001</v>
      </c>
      <c r="CC129" s="26">
        <f t="shared" si="1165"/>
        <v>1695.1480000000001</v>
      </c>
      <c r="CD129" s="26">
        <f t="shared" si="1165"/>
        <v>1761.1020000000003</v>
      </c>
      <c r="CE129" s="26">
        <f t="shared" si="1165"/>
        <v>1805.9590000000003</v>
      </c>
      <c r="CF129" s="26">
        <f t="shared" ref="CF129:CG129" si="1167">CF128+CF120+CF122</f>
        <v>1879.48</v>
      </c>
      <c r="CG129" s="26">
        <f t="shared" si="1167"/>
        <v>1927.452</v>
      </c>
      <c r="CH129" s="26">
        <f t="shared" ref="CH129:CI129" si="1168">CH128+CH120+CH122</f>
        <v>2042.0814</v>
      </c>
      <c r="CI129" s="26">
        <f t="shared" si="1168"/>
        <v>2082.2724000000003</v>
      </c>
      <c r="CJ129" s="26">
        <f t="shared" ref="CJ129:DB129" si="1169">CJ128+CJ120+CJ122</f>
        <v>2114.2739999999999</v>
      </c>
      <c r="CK129" s="27">
        <f t="shared" si="1169"/>
        <v>2137.913</v>
      </c>
      <c r="CL129" s="27">
        <f t="shared" si="1169"/>
        <v>2193.8770693838278</v>
      </c>
      <c r="CM129" s="27">
        <f t="shared" si="1169"/>
        <v>2248.168965913685</v>
      </c>
      <c r="CN129" s="27">
        <f t="shared" si="1169"/>
        <v>2276.6738526008012</v>
      </c>
      <c r="CO129" s="27">
        <f t="shared" si="1169"/>
        <v>2298.3430082437726</v>
      </c>
      <c r="CP129" s="27">
        <f t="shared" si="1169"/>
        <v>2351.2563687959878</v>
      </c>
      <c r="CQ129" s="27">
        <f t="shared" si="1169"/>
        <v>2403.223226782718</v>
      </c>
      <c r="CR129" s="27">
        <f t="shared" si="1169"/>
        <v>2427.1480427191036</v>
      </c>
      <c r="CS129" s="27">
        <f t="shared" si="1169"/>
        <v>2445.4387013558021</v>
      </c>
      <c r="CT129" s="27">
        <f t="shared" si="1169"/>
        <v>2497.7080123678229</v>
      </c>
      <c r="CU129" s="27">
        <f t="shared" si="1169"/>
        <v>2549.6330553485918</v>
      </c>
      <c r="CV129" s="27">
        <f t="shared" si="1169"/>
        <v>2571.0799525287439</v>
      </c>
      <c r="CW129" s="27">
        <f t="shared" si="1169"/>
        <v>2586.8864073634868</v>
      </c>
      <c r="CX129" s="27">
        <f t="shared" si="1169"/>
        <v>2640.5138966595073</v>
      </c>
      <c r="CY129" s="27">
        <f t="shared" si="1169"/>
        <v>2694.2300709094179</v>
      </c>
      <c r="CZ129" s="27">
        <f t="shared" si="1169"/>
        <v>2714.5776407881185</v>
      </c>
      <c r="DA129" s="27">
        <f t="shared" si="1169"/>
        <v>2729.0284150944044</v>
      </c>
      <c r="DB129" s="27">
        <f t="shared" si="1169"/>
        <v>2785.6555755205727</v>
      </c>
      <c r="DE129" s="121"/>
      <c r="DF129" s="26">
        <v>2337.9608000000003</v>
      </c>
    </row>
    <row r="130" spans="1:110" s="23" customFormat="1" x14ac:dyDescent="0.2">
      <c r="AB130" s="24"/>
      <c r="AC130" s="24"/>
      <c r="AD130" s="24"/>
      <c r="AE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817.54200000000003</v>
      </c>
      <c r="Q131" s="23">
        <f>'Annual Raw'!R62-Q135</f>
        <v>1131.6088</v>
      </c>
      <c r="R131" s="23">
        <f>'Annual Raw'!S62-R135</f>
        <v>1193.2947999999999</v>
      </c>
      <c r="S131" s="23">
        <f>'Annual Raw'!T62-S135</f>
        <v>1012.7807</v>
      </c>
      <c r="T131" s="23">
        <f>'Annual Raw'!U62-T135</f>
        <v>1057.1079999999999</v>
      </c>
      <c r="U131" s="23">
        <f>'Annual Raw'!V62-U135</f>
        <v>1087.27</v>
      </c>
      <c r="V131" s="23">
        <f>'Annual Raw'!W62-V135</f>
        <v>1266.2565999999999</v>
      </c>
      <c r="W131" s="23">
        <f>'Annual Raw'!X62-W135</f>
        <v>1376.8742999999999</v>
      </c>
      <c r="X131" s="23">
        <f>'Annual Raw'!Y62-X135</f>
        <v>1468.8567</v>
      </c>
      <c r="Y131" s="23">
        <f>'Annual Raw'!Z62-Y135</f>
        <v>1575.0922</v>
      </c>
      <c r="Z131" s="23">
        <f>'Annual Raw'!AA62-Z135</f>
        <v>1870.4838</v>
      </c>
      <c r="AA131" s="23">
        <f>'Annual Raw'!AB62-AA135</f>
        <v>1967.7545</v>
      </c>
      <c r="AB131" s="24">
        <f t="shared" ref="AB131:AB137" si="1170">+CP131</f>
        <v>1853.0844000000002</v>
      </c>
      <c r="AC131" s="24">
        <f t="shared" ref="AC131:AC137" si="1171">+CT131</f>
        <v>1853.0844000000002</v>
      </c>
      <c r="AD131" s="24">
        <f t="shared" ref="AD131:AD137" si="1172">+CX131</f>
        <v>1853.0844000000002</v>
      </c>
      <c r="AE131" s="24">
        <f t="shared" ref="AE131:AE137" si="1173">+DB131</f>
        <v>1853.0844000000002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1045.675</v>
      </c>
      <c r="BX131" s="23">
        <f>+'QTR Raw'!AR68</f>
        <v>1021.29</v>
      </c>
      <c r="BZ131" s="23">
        <f>+'QTR Raw'!AT68</f>
        <v>1065.059</v>
      </c>
      <c r="CB131" s="23">
        <f>+'QTR Raw'!AV68</f>
        <v>1052.5229999999999</v>
      </c>
      <c r="CD131" s="23">
        <f>+'QTR Raw'!AX68</f>
        <v>1120.1379999999999</v>
      </c>
      <c r="CF131" s="23">
        <f>+'QTR Raw'!AZ68</f>
        <v>1186.8699999999999</v>
      </c>
      <c r="CH131" s="23">
        <f t="shared" ref="CH131:CH137" si="1174">Z131</f>
        <v>1870.4838</v>
      </c>
      <c r="CI131" s="23">
        <f>CH131</f>
        <v>1870.4838</v>
      </c>
      <c r="CJ131" s="23">
        <f>+CJ132+CJ134</f>
        <v>1853.0844000000002</v>
      </c>
      <c r="CK131" s="24">
        <f>+CJ131</f>
        <v>1853.0844000000002</v>
      </c>
      <c r="CL131" s="24">
        <f t="shared" ref="CL131:DB131" si="1175">+CK131</f>
        <v>1853.0844000000002</v>
      </c>
      <c r="CM131" s="24">
        <f t="shared" si="1175"/>
        <v>1853.0844000000002</v>
      </c>
      <c r="CN131" s="24">
        <f t="shared" si="1175"/>
        <v>1853.0844000000002</v>
      </c>
      <c r="CO131" s="24">
        <f t="shared" si="1175"/>
        <v>1853.0844000000002</v>
      </c>
      <c r="CP131" s="24">
        <f t="shared" si="1175"/>
        <v>1853.0844000000002</v>
      </c>
      <c r="CQ131" s="24">
        <f t="shared" si="1175"/>
        <v>1853.0844000000002</v>
      </c>
      <c r="CR131" s="24">
        <f t="shared" si="1175"/>
        <v>1853.0844000000002</v>
      </c>
      <c r="CS131" s="24">
        <f t="shared" si="1175"/>
        <v>1853.0844000000002</v>
      </c>
      <c r="CT131" s="24">
        <f t="shared" si="1175"/>
        <v>1853.0844000000002</v>
      </c>
      <c r="CU131" s="24">
        <f t="shared" si="1175"/>
        <v>1853.0844000000002</v>
      </c>
      <c r="CV131" s="24">
        <f t="shared" si="1175"/>
        <v>1853.0844000000002</v>
      </c>
      <c r="CW131" s="24">
        <f t="shared" si="1175"/>
        <v>1853.0844000000002</v>
      </c>
      <c r="CX131" s="24">
        <f t="shared" si="1175"/>
        <v>1853.0844000000002</v>
      </c>
      <c r="CY131" s="24">
        <f t="shared" si="1175"/>
        <v>1853.0844000000002</v>
      </c>
      <c r="CZ131" s="24">
        <f t="shared" si="1175"/>
        <v>1853.0844000000002</v>
      </c>
      <c r="DA131" s="24">
        <f t="shared" si="1175"/>
        <v>1853.0844000000002</v>
      </c>
      <c r="DB131" s="24">
        <f t="shared" si="1175"/>
        <v>1853.0844000000002</v>
      </c>
      <c r="DE131" s="123"/>
      <c r="DF131" s="23">
        <v>1967.7545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45.819800000000001</v>
      </c>
      <c r="Q132" s="23">
        <f>'Annual Raw'!R63</f>
        <v>118.17910000000001</v>
      </c>
      <c r="R132" s="23">
        <f>'Annual Raw'!S63</f>
        <v>199.541</v>
      </c>
      <c r="S132" s="23">
        <f>'Annual Raw'!T63</f>
        <v>72.765799999999999</v>
      </c>
      <c r="T132" s="23">
        <f>'Annual Raw'!U63</f>
        <v>120.858</v>
      </c>
      <c r="U132" s="23">
        <f>'Annual Raw'!V63</f>
        <v>171.75700000000001</v>
      </c>
      <c r="V132" s="23">
        <f>'Annual Raw'!W63</f>
        <v>223.95679999999999</v>
      </c>
      <c r="W132" s="23">
        <f>'Annual Raw'!X63</f>
        <v>290.68029999999999</v>
      </c>
      <c r="X132" s="23">
        <f>'Annual Raw'!Y63</f>
        <v>358.77370000000002</v>
      </c>
      <c r="Y132" s="23">
        <f>'Annual Raw'!Z63</f>
        <v>415.37259999999998</v>
      </c>
      <c r="Z132" s="23">
        <f>'Annual Raw'!AA63</f>
        <v>492.41840000000002</v>
      </c>
      <c r="AA132" s="23">
        <f>'Annual Raw'!AB63</f>
        <v>584.56560000000002</v>
      </c>
      <c r="AB132" s="24">
        <f t="shared" si="1170"/>
        <v>674.29297426336473</v>
      </c>
      <c r="AC132" s="24">
        <f t="shared" si="1171"/>
        <v>756.71072708981819</v>
      </c>
      <c r="AD132" s="24">
        <f t="shared" si="1172"/>
        <v>833.36606441794254</v>
      </c>
      <c r="AE132" s="24">
        <f t="shared" si="1173"/>
        <v>904.66187799419549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4"/>
        <v>492.41840000000002</v>
      </c>
      <c r="CI132" s="23">
        <f t="shared" ref="CI132:DB132" si="1176">CH132+CI32</f>
        <v>515.35540000000003</v>
      </c>
      <c r="CJ132" s="23">
        <f t="shared" si="1176"/>
        <v>538.90539999999999</v>
      </c>
      <c r="CK132" s="24">
        <f t="shared" si="1176"/>
        <v>562.50440000000003</v>
      </c>
      <c r="CL132" s="24">
        <f t="shared" si="1176"/>
        <v>585.67962759076204</v>
      </c>
      <c r="CM132" s="24">
        <f t="shared" si="1176"/>
        <v>608.43869254620995</v>
      </c>
      <c r="CN132" s="24">
        <f t="shared" si="1176"/>
        <v>630.78906798989146</v>
      </c>
      <c r="CO132" s="24">
        <f t="shared" si="1176"/>
        <v>652.73809284883885</v>
      </c>
      <c r="CP132" s="24">
        <f t="shared" si="1176"/>
        <v>674.29297426336473</v>
      </c>
      <c r="CQ132" s="24">
        <f t="shared" si="1176"/>
        <v>695.46078995358562</v>
      </c>
      <c r="CR132" s="24">
        <f t="shared" si="1176"/>
        <v>716.2484905434485</v>
      </c>
      <c r="CS132" s="24">
        <f t="shared" si="1176"/>
        <v>736.6629018430242</v>
      </c>
      <c r="CT132" s="24">
        <f t="shared" si="1176"/>
        <v>756.71072708981819</v>
      </c>
      <c r="CU132" s="24">
        <f t="shared" si="1176"/>
        <v>776.39854914983243</v>
      </c>
      <c r="CV132" s="24">
        <f t="shared" si="1176"/>
        <v>795.7328326791029</v>
      </c>
      <c r="CW132" s="24">
        <f t="shared" si="1176"/>
        <v>814.71992624642201</v>
      </c>
      <c r="CX132" s="24">
        <f t="shared" si="1176"/>
        <v>833.36606441794254</v>
      </c>
      <c r="CY132" s="24">
        <f t="shared" si="1176"/>
        <v>851.67736980434802</v>
      </c>
      <c r="CZ132" s="24">
        <f t="shared" si="1176"/>
        <v>869.65985507126163</v>
      </c>
      <c r="DA132" s="24">
        <f t="shared" si="1176"/>
        <v>887.31942491355346</v>
      </c>
      <c r="DB132" s="24">
        <f t="shared" si="1176"/>
        <v>904.66187799419549</v>
      </c>
      <c r="DE132" s="123"/>
      <c r="DF132" s="23">
        <v>584.56560000000002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70"/>
        <v>0</v>
      </c>
      <c r="AC133" s="24">
        <f t="shared" si="1171"/>
        <v>0</v>
      </c>
      <c r="AD133" s="24">
        <f t="shared" si="1172"/>
        <v>0</v>
      </c>
      <c r="AE133" s="24">
        <f t="shared" si="1173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4"/>
        <v>0</v>
      </c>
      <c r="CI133" s="23">
        <f>CH133</f>
        <v>0</v>
      </c>
      <c r="CJ133" s="23">
        <f>+'QTR Raw'!BD70</f>
        <v>0</v>
      </c>
      <c r="CK133" s="24">
        <f t="shared" ref="CK133:DB133" si="1177">CJ133</f>
        <v>0</v>
      </c>
      <c r="CL133" s="24">
        <f t="shared" si="1177"/>
        <v>0</v>
      </c>
      <c r="CM133" s="24">
        <f t="shared" si="1177"/>
        <v>0</v>
      </c>
      <c r="CN133" s="24">
        <f t="shared" si="1177"/>
        <v>0</v>
      </c>
      <c r="CO133" s="24">
        <f t="shared" si="1177"/>
        <v>0</v>
      </c>
      <c r="CP133" s="24">
        <f t="shared" si="1177"/>
        <v>0</v>
      </c>
      <c r="CQ133" s="24">
        <f t="shared" si="1177"/>
        <v>0</v>
      </c>
      <c r="CR133" s="24">
        <f t="shared" si="1177"/>
        <v>0</v>
      </c>
      <c r="CS133" s="24">
        <f t="shared" si="1177"/>
        <v>0</v>
      </c>
      <c r="CT133" s="24">
        <f t="shared" si="1177"/>
        <v>0</v>
      </c>
      <c r="CU133" s="24">
        <f t="shared" si="1177"/>
        <v>0</v>
      </c>
      <c r="CV133" s="24">
        <f t="shared" si="1177"/>
        <v>0</v>
      </c>
      <c r="CW133" s="24">
        <f t="shared" si="1177"/>
        <v>0</v>
      </c>
      <c r="CX133" s="24">
        <f t="shared" si="1177"/>
        <v>0</v>
      </c>
      <c r="CY133" s="24">
        <f t="shared" si="1177"/>
        <v>0</v>
      </c>
      <c r="CZ133" s="24">
        <f t="shared" si="1177"/>
        <v>0</v>
      </c>
      <c r="DA133" s="24">
        <f t="shared" si="1177"/>
        <v>0</v>
      </c>
      <c r="DB133" s="24">
        <f t="shared" si="1177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8">+C131-C132-C133</f>
        <v>0</v>
      </c>
      <c r="D134" s="22">
        <f t="shared" si="1178"/>
        <v>0</v>
      </c>
      <c r="E134" s="22">
        <f t="shared" si="1178"/>
        <v>0</v>
      </c>
      <c r="F134" s="22">
        <f t="shared" si="1178"/>
        <v>0</v>
      </c>
      <c r="G134" s="22">
        <f t="shared" si="1178"/>
        <v>0</v>
      </c>
      <c r="H134" s="22">
        <f t="shared" si="1178"/>
        <v>0</v>
      </c>
      <c r="I134" s="22">
        <f t="shared" si="1178"/>
        <v>0</v>
      </c>
      <c r="J134" s="22">
        <f t="shared" si="1178"/>
        <v>0</v>
      </c>
      <c r="K134" s="22">
        <f t="shared" si="1178"/>
        <v>0</v>
      </c>
      <c r="L134" s="22">
        <f t="shared" si="1178"/>
        <v>0</v>
      </c>
      <c r="M134" s="22">
        <f t="shared" si="1178"/>
        <v>0</v>
      </c>
      <c r="N134" s="22">
        <f t="shared" si="1178"/>
        <v>0</v>
      </c>
      <c r="O134" s="22">
        <f t="shared" si="1178"/>
        <v>0</v>
      </c>
      <c r="P134" s="22">
        <f t="shared" si="1178"/>
        <v>771.72220000000004</v>
      </c>
      <c r="Q134" s="22">
        <f t="shared" si="1178"/>
        <v>1013.4296999999999</v>
      </c>
      <c r="R134" s="22">
        <f t="shared" si="1178"/>
        <v>993.75379999999996</v>
      </c>
      <c r="S134" s="22">
        <f t="shared" si="1178"/>
        <v>940.01490000000001</v>
      </c>
      <c r="T134" s="22">
        <f t="shared" si="1178"/>
        <v>936.25</v>
      </c>
      <c r="U134" s="22">
        <f t="shared" si="1178"/>
        <v>915.51299999999992</v>
      </c>
      <c r="V134" s="22">
        <f t="shared" si="1178"/>
        <v>1042.2998</v>
      </c>
      <c r="W134" s="22">
        <f t="shared" si="1178"/>
        <v>1086.194</v>
      </c>
      <c r="X134" s="22">
        <f t="shared" ref="X134:Y134" si="1179">+X131-X132-X133</f>
        <v>1110.0830000000001</v>
      </c>
      <c r="Y134" s="22">
        <f t="shared" si="1179"/>
        <v>1159.7196000000001</v>
      </c>
      <c r="Z134" s="22">
        <f t="shared" ref="Z134:AE134" si="1180">+Z131-Z132-Z133</f>
        <v>1378.0654</v>
      </c>
      <c r="AA134" s="22">
        <f t="shared" ref="AA134" si="1181">+AA131-AA132-AA133</f>
        <v>1383.1889000000001</v>
      </c>
      <c r="AB134" s="21">
        <f t="shared" si="1180"/>
        <v>1178.7914257366356</v>
      </c>
      <c r="AC134" s="21">
        <f t="shared" si="1180"/>
        <v>1096.373672910182</v>
      </c>
      <c r="AD134" s="21">
        <f t="shared" si="1180"/>
        <v>1019.7183355820576</v>
      </c>
      <c r="AE134" s="21">
        <f t="shared" si="1180"/>
        <v>948.42252200580469</v>
      </c>
      <c r="AJ134" s="22">
        <f t="shared" ref="AJ134:AL134" si="1182">+AJ131-AJ132-AJ133</f>
        <v>0</v>
      </c>
      <c r="AK134" s="22">
        <f t="shared" ref="AK134:CE134" si="1183">+AJ134</f>
        <v>0</v>
      </c>
      <c r="AL134" s="22">
        <f t="shared" si="1182"/>
        <v>0</v>
      </c>
      <c r="AM134" s="22">
        <f t="shared" si="1183"/>
        <v>0</v>
      </c>
      <c r="AN134" s="22">
        <f t="shared" ref="AN134" si="1184">+AN131-AN132-AN133</f>
        <v>0</v>
      </c>
      <c r="AO134" s="22">
        <f t="shared" si="1183"/>
        <v>0</v>
      </c>
      <c r="AP134" s="22">
        <f t="shared" ref="AP134:CD134" si="1185">+AP131-AP132-AP133</f>
        <v>0</v>
      </c>
      <c r="AQ134" s="22">
        <f t="shared" si="1183"/>
        <v>0</v>
      </c>
      <c r="AR134" s="22">
        <f t="shared" si="1185"/>
        <v>0</v>
      </c>
      <c r="AS134" s="22">
        <f t="shared" si="1183"/>
        <v>0</v>
      </c>
      <c r="AT134" s="22">
        <f t="shared" si="1185"/>
        <v>0</v>
      </c>
      <c r="AU134" s="22">
        <f t="shared" si="1183"/>
        <v>0</v>
      </c>
      <c r="AV134" s="22">
        <f t="shared" si="1185"/>
        <v>0</v>
      </c>
      <c r="AW134" s="22">
        <f t="shared" si="1183"/>
        <v>0</v>
      </c>
      <c r="AX134" s="22">
        <f t="shared" si="1185"/>
        <v>0</v>
      </c>
      <c r="AY134" s="22">
        <f t="shared" si="1183"/>
        <v>0</v>
      </c>
      <c r="AZ134" s="22">
        <f t="shared" si="1185"/>
        <v>0</v>
      </c>
      <c r="BA134" s="22">
        <f t="shared" si="1183"/>
        <v>0</v>
      </c>
      <c r="BB134" s="22">
        <f t="shared" si="1185"/>
        <v>0</v>
      </c>
      <c r="BC134" s="22">
        <f t="shared" si="1183"/>
        <v>0</v>
      </c>
      <c r="BD134" s="22">
        <f t="shared" si="1185"/>
        <v>0</v>
      </c>
      <c r="BE134" s="22">
        <f t="shared" si="1183"/>
        <v>0</v>
      </c>
      <c r="BF134" s="22">
        <f t="shared" si="1185"/>
        <v>0</v>
      </c>
      <c r="BG134" s="22">
        <f t="shared" si="1183"/>
        <v>0</v>
      </c>
      <c r="BH134" s="22">
        <f t="shared" si="1185"/>
        <v>0</v>
      </c>
      <c r="BI134" s="22">
        <f t="shared" si="1183"/>
        <v>0</v>
      </c>
      <c r="BJ134" s="22">
        <f t="shared" si="1185"/>
        <v>0</v>
      </c>
      <c r="BK134" s="22">
        <f t="shared" si="1183"/>
        <v>0</v>
      </c>
      <c r="BL134" s="22">
        <f t="shared" si="1185"/>
        <v>0</v>
      </c>
      <c r="BM134" s="22">
        <f t="shared" si="1183"/>
        <v>0</v>
      </c>
      <c r="BN134" s="22">
        <f t="shared" si="1185"/>
        <v>0</v>
      </c>
      <c r="BO134" s="22">
        <f t="shared" si="1183"/>
        <v>0</v>
      </c>
      <c r="BP134" s="22">
        <f t="shared" si="1185"/>
        <v>0</v>
      </c>
      <c r="BQ134" s="22">
        <f t="shared" si="1183"/>
        <v>0</v>
      </c>
      <c r="BR134" s="22">
        <f t="shared" si="1185"/>
        <v>0</v>
      </c>
      <c r="BS134" s="22">
        <f t="shared" si="1183"/>
        <v>0</v>
      </c>
      <c r="BT134" s="22">
        <f t="shared" si="1185"/>
        <v>0</v>
      </c>
      <c r="BU134" s="22">
        <f t="shared" si="1183"/>
        <v>0</v>
      </c>
      <c r="BV134" s="22">
        <f t="shared" si="1185"/>
        <v>1045.675</v>
      </c>
      <c r="BW134" s="22">
        <f t="shared" si="1183"/>
        <v>1045.675</v>
      </c>
      <c r="BX134" s="22">
        <f t="shared" si="1185"/>
        <v>1021.29</v>
      </c>
      <c r="BY134" s="22">
        <f t="shared" si="1183"/>
        <v>1021.29</v>
      </c>
      <c r="BZ134" s="22">
        <f t="shared" si="1185"/>
        <v>1065.059</v>
      </c>
      <c r="CA134" s="22">
        <f t="shared" si="1183"/>
        <v>1065.059</v>
      </c>
      <c r="CB134" s="22">
        <f t="shared" si="1185"/>
        <v>1052.5229999999999</v>
      </c>
      <c r="CC134" s="22">
        <f t="shared" si="1183"/>
        <v>1052.5229999999999</v>
      </c>
      <c r="CD134" s="22">
        <f t="shared" si="1185"/>
        <v>1120.1379999999999</v>
      </c>
      <c r="CE134" s="22">
        <f t="shared" si="1183"/>
        <v>1120.1379999999999</v>
      </c>
      <c r="CF134" s="22">
        <f t="shared" ref="CF134:CI134" si="1186">+CF131-CF132-CF133</f>
        <v>1186.8699999999999</v>
      </c>
      <c r="CG134" s="22">
        <f t="shared" ref="CG134:CI137" si="1187">+CF134</f>
        <v>1186.8699999999999</v>
      </c>
      <c r="CH134" s="22">
        <f t="shared" si="1186"/>
        <v>1378.0654</v>
      </c>
      <c r="CI134" s="22">
        <f t="shared" si="1186"/>
        <v>1355.1284000000001</v>
      </c>
      <c r="CJ134" s="23">
        <f>+'QTR Raw'!BD68</f>
        <v>1314.1790000000001</v>
      </c>
      <c r="CK134" s="21">
        <f t="shared" ref="CK134:DB134" si="1188">+CK131-CK132-CK133</f>
        <v>1290.5800000000002</v>
      </c>
      <c r="CL134" s="21">
        <f t="shared" si="1188"/>
        <v>1267.4047724092381</v>
      </c>
      <c r="CM134" s="21">
        <f t="shared" si="1188"/>
        <v>1244.6457074537902</v>
      </c>
      <c r="CN134" s="21">
        <f t="shared" si="1188"/>
        <v>1222.2953320101087</v>
      </c>
      <c r="CO134" s="21">
        <f t="shared" si="1188"/>
        <v>1200.3463071511615</v>
      </c>
      <c r="CP134" s="21">
        <f t="shared" si="1188"/>
        <v>1178.7914257366356</v>
      </c>
      <c r="CQ134" s="21">
        <f t="shared" si="1188"/>
        <v>1157.6236100464146</v>
      </c>
      <c r="CR134" s="21">
        <f t="shared" si="1188"/>
        <v>1136.8359094565517</v>
      </c>
      <c r="CS134" s="21">
        <f t="shared" si="1188"/>
        <v>1116.421498156976</v>
      </c>
      <c r="CT134" s="21">
        <f t="shared" si="1188"/>
        <v>1096.373672910182</v>
      </c>
      <c r="CU134" s="21">
        <f t="shared" si="1188"/>
        <v>1076.6858508501678</v>
      </c>
      <c r="CV134" s="21">
        <f t="shared" si="1188"/>
        <v>1057.3515673208972</v>
      </c>
      <c r="CW134" s="21">
        <f t="shared" si="1188"/>
        <v>1038.3644737535783</v>
      </c>
      <c r="CX134" s="21">
        <f t="shared" si="1188"/>
        <v>1019.7183355820576</v>
      </c>
      <c r="CY134" s="21">
        <f t="shared" si="1188"/>
        <v>1001.4070301956522</v>
      </c>
      <c r="CZ134" s="21">
        <f t="shared" si="1188"/>
        <v>983.42454492873856</v>
      </c>
      <c r="DA134" s="21">
        <f t="shared" si="1188"/>
        <v>965.76497508644673</v>
      </c>
      <c r="DB134" s="21">
        <f t="shared" si="1188"/>
        <v>948.42252200580469</v>
      </c>
      <c r="DE134" s="126"/>
      <c r="DF134" s="22">
        <v>1383.1889000000001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70"/>
        <v>0</v>
      </c>
      <c r="AC135" s="24">
        <f t="shared" si="1171"/>
        <v>0</v>
      </c>
      <c r="AD135" s="24">
        <f t="shared" si="1172"/>
        <v>0</v>
      </c>
      <c r="AE135" s="24">
        <f t="shared" si="1173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9">+AL135</f>
        <v>0</v>
      </c>
      <c r="AN135" s="23">
        <f>+'QTR Raw'!H72</f>
        <v>0</v>
      </c>
      <c r="AO135" s="23">
        <f t="shared" si="1189"/>
        <v>0</v>
      </c>
      <c r="AP135" s="23">
        <f>+'QTR Raw'!J72</f>
        <v>0</v>
      </c>
      <c r="AQ135" s="23">
        <f t="shared" si="1189"/>
        <v>0</v>
      </c>
      <c r="AR135" s="23">
        <f>+'QTR Raw'!L72</f>
        <v>0</v>
      </c>
      <c r="AS135" s="23">
        <f t="shared" si="1189"/>
        <v>0</v>
      </c>
      <c r="AT135" s="23">
        <f>+'QTR Raw'!N72</f>
        <v>0</v>
      </c>
      <c r="AU135" s="23">
        <f t="shared" si="1189"/>
        <v>0</v>
      </c>
      <c r="AV135" s="23">
        <f>+'QTR Raw'!P72</f>
        <v>0</v>
      </c>
      <c r="AW135" s="23">
        <f t="shared" si="1189"/>
        <v>0</v>
      </c>
      <c r="AX135" s="23">
        <f>+'QTR Raw'!R72</f>
        <v>0</v>
      </c>
      <c r="AY135" s="23">
        <f t="shared" si="1189"/>
        <v>0</v>
      </c>
      <c r="AZ135" s="23">
        <f>+'QTR Raw'!T72</f>
        <v>0</v>
      </c>
      <c r="BA135" s="23">
        <f t="shared" si="1189"/>
        <v>0</v>
      </c>
      <c r="BB135" s="23">
        <f>+'QTR Raw'!V72</f>
        <v>0</v>
      </c>
      <c r="BC135" s="23">
        <f t="shared" si="1189"/>
        <v>0</v>
      </c>
      <c r="BD135" s="23">
        <f>+'QTR Raw'!X72</f>
        <v>0</v>
      </c>
      <c r="BE135" s="23">
        <f t="shared" si="1189"/>
        <v>0</v>
      </c>
      <c r="BF135" s="23">
        <f>+'QTR Raw'!Z72</f>
        <v>0</v>
      </c>
      <c r="BG135" s="23">
        <f t="shared" si="1189"/>
        <v>0</v>
      </c>
      <c r="BH135" s="23">
        <f>+'QTR Raw'!AB72</f>
        <v>0</v>
      </c>
      <c r="BI135" s="23">
        <f t="shared" si="1189"/>
        <v>0</v>
      </c>
      <c r="BJ135" s="23">
        <f>+'QTR Raw'!AD72</f>
        <v>0</v>
      </c>
      <c r="BK135" s="23">
        <f t="shared" si="1189"/>
        <v>0</v>
      </c>
      <c r="BL135" s="23">
        <f>+'QTR Raw'!AF72</f>
        <v>0</v>
      </c>
      <c r="BM135" s="23">
        <f t="shared" si="1189"/>
        <v>0</v>
      </c>
      <c r="BN135" s="23">
        <f>+'QTR Raw'!AH72</f>
        <v>0</v>
      </c>
      <c r="BO135" s="23">
        <f t="shared" si="1189"/>
        <v>0</v>
      </c>
      <c r="BP135" s="23">
        <f>+'QTR Raw'!AJ72</f>
        <v>0</v>
      </c>
      <c r="BQ135" s="23">
        <f t="shared" si="1189"/>
        <v>0</v>
      </c>
      <c r="BR135" s="23">
        <f>+'QTR Raw'!AL72</f>
        <v>0</v>
      </c>
      <c r="BS135" s="23">
        <f t="shared" si="1189"/>
        <v>0</v>
      </c>
      <c r="BT135" s="23">
        <f>+'QTR Raw'!AN72</f>
        <v>0</v>
      </c>
      <c r="BU135" s="23">
        <f t="shared" si="1189"/>
        <v>0</v>
      </c>
      <c r="BV135" s="23">
        <f>+'QTR Raw'!AP72</f>
        <v>0</v>
      </c>
      <c r="BW135" s="23">
        <f t="shared" si="1189"/>
        <v>0</v>
      </c>
      <c r="BX135" s="23">
        <f>+'QTR Raw'!AR72</f>
        <v>0</v>
      </c>
      <c r="BY135" s="23">
        <f t="shared" si="1189"/>
        <v>0</v>
      </c>
      <c r="BZ135" s="23">
        <f>+'QTR Raw'!AT72</f>
        <v>0</v>
      </c>
      <c r="CA135" s="23">
        <f t="shared" si="1189"/>
        <v>0</v>
      </c>
      <c r="CB135" s="23">
        <f>+'QTR Raw'!AV72</f>
        <v>0</v>
      </c>
      <c r="CC135" s="23">
        <f t="shared" si="1189"/>
        <v>0</v>
      </c>
      <c r="CD135" s="23">
        <f>+'QTR Raw'!AX72</f>
        <v>0</v>
      </c>
      <c r="CE135" s="23">
        <f t="shared" si="1189"/>
        <v>0</v>
      </c>
      <c r="CF135" s="23">
        <f>+'QTR Raw'!AZ72</f>
        <v>0</v>
      </c>
      <c r="CG135" s="23">
        <f t="shared" si="1187"/>
        <v>0</v>
      </c>
      <c r="CH135" s="23">
        <f t="shared" si="1174"/>
        <v>0</v>
      </c>
      <c r="CI135" s="23">
        <f t="shared" si="1187"/>
        <v>0</v>
      </c>
      <c r="CJ135" s="23">
        <f>+'QTR Raw'!BD72</f>
        <v>0</v>
      </c>
      <c r="CK135" s="24">
        <f t="shared" ref="CK135:CK137" si="1190">+CJ135</f>
        <v>0</v>
      </c>
      <c r="CL135" s="24">
        <f t="shared" ref="CL135:CL137" si="1191">+CK135</f>
        <v>0</v>
      </c>
      <c r="CM135" s="24">
        <f t="shared" ref="CM135:CM137" si="1192">+CL135</f>
        <v>0</v>
      </c>
      <c r="CN135" s="24">
        <f t="shared" ref="CN135:CN137" si="1193">+CM135</f>
        <v>0</v>
      </c>
      <c r="CO135" s="24">
        <f t="shared" ref="CO135:CO137" si="1194">+CN135</f>
        <v>0</v>
      </c>
      <c r="CP135" s="24">
        <f t="shared" ref="CP135:CP137" si="1195">+CO135</f>
        <v>0</v>
      </c>
      <c r="CQ135" s="24">
        <f t="shared" ref="CQ135:CQ137" si="1196">+CP135</f>
        <v>0</v>
      </c>
      <c r="CR135" s="24">
        <f t="shared" ref="CR135:CR137" si="1197">+CQ135</f>
        <v>0</v>
      </c>
      <c r="CS135" s="24">
        <f t="shared" ref="CS135:CS137" si="1198">+CR135</f>
        <v>0</v>
      </c>
      <c r="CT135" s="24">
        <f t="shared" ref="CT135:CT137" si="1199">+CS135</f>
        <v>0</v>
      </c>
      <c r="CU135" s="24">
        <f t="shared" ref="CU135:CU137" si="1200">+CT135</f>
        <v>0</v>
      </c>
      <c r="CV135" s="24">
        <f t="shared" ref="CV135:CV137" si="1201">+CU135</f>
        <v>0</v>
      </c>
      <c r="CW135" s="24">
        <f t="shared" ref="CW135:CW137" si="1202">+CV135</f>
        <v>0</v>
      </c>
      <c r="CX135" s="24">
        <f t="shared" ref="CX135:CX137" si="1203">+CW135</f>
        <v>0</v>
      </c>
      <c r="CY135" s="24">
        <f t="shared" ref="CY135:CY137" si="1204">+CX135</f>
        <v>0</v>
      </c>
      <c r="CZ135" s="24">
        <f t="shared" ref="CZ135:CZ137" si="1205">+CY135</f>
        <v>0</v>
      </c>
      <c r="DA135" s="24">
        <f t="shared" ref="DA135:DA137" si="1206">+CZ135</f>
        <v>0</v>
      </c>
      <c r="DB135" s="24">
        <f t="shared" ref="DB135:DB137" si="1207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3.5000000000000003E-2</v>
      </c>
      <c r="X136" s="23">
        <f>'Annual Raw'!Y68</f>
        <v>0</v>
      </c>
      <c r="Y136" s="23">
        <f>'Annual Raw'!Z68</f>
        <v>2</v>
      </c>
      <c r="Z136" s="23">
        <f>'Annual Raw'!AA68</f>
        <v>34.868600000000001</v>
      </c>
      <c r="AA136" s="23">
        <f>'Annual Raw'!AB68</f>
        <v>110.1596</v>
      </c>
      <c r="AB136" s="24">
        <f t="shared" si="1170"/>
        <v>0</v>
      </c>
      <c r="AC136" s="24">
        <f t="shared" si="1171"/>
        <v>0</v>
      </c>
      <c r="AD136" s="24">
        <f t="shared" si="1172"/>
        <v>0</v>
      </c>
      <c r="AE136" s="24">
        <f t="shared" si="1173"/>
        <v>0</v>
      </c>
      <c r="AK136" s="23">
        <f t="shared" si="1189"/>
        <v>0</v>
      </c>
      <c r="AM136" s="23">
        <f t="shared" si="1189"/>
        <v>0</v>
      </c>
      <c r="AO136" s="23">
        <f t="shared" si="1189"/>
        <v>0</v>
      </c>
      <c r="AQ136" s="23">
        <f t="shared" si="1189"/>
        <v>0</v>
      </c>
      <c r="AS136" s="23">
        <f t="shared" si="1189"/>
        <v>0</v>
      </c>
      <c r="AU136" s="23">
        <f t="shared" si="1189"/>
        <v>0</v>
      </c>
      <c r="AW136" s="23">
        <f t="shared" si="1189"/>
        <v>0</v>
      </c>
      <c r="AY136" s="23">
        <f t="shared" si="1189"/>
        <v>0</v>
      </c>
      <c r="BA136" s="23">
        <f t="shared" si="1189"/>
        <v>0</v>
      </c>
      <c r="BC136" s="23">
        <f t="shared" si="1189"/>
        <v>0</v>
      </c>
      <c r="BE136" s="23">
        <f t="shared" si="1189"/>
        <v>0</v>
      </c>
      <c r="BG136" s="23">
        <f t="shared" si="1189"/>
        <v>0</v>
      </c>
      <c r="BI136" s="23">
        <f t="shared" si="1189"/>
        <v>0</v>
      </c>
      <c r="BK136" s="23">
        <f t="shared" si="1189"/>
        <v>0</v>
      </c>
      <c r="BM136" s="23">
        <f t="shared" si="1189"/>
        <v>0</v>
      </c>
      <c r="BO136" s="23">
        <f t="shared" si="1189"/>
        <v>0</v>
      </c>
      <c r="BQ136" s="23">
        <f t="shared" si="1189"/>
        <v>0</v>
      </c>
      <c r="BS136" s="23">
        <f t="shared" si="1189"/>
        <v>0</v>
      </c>
      <c r="BU136" s="23">
        <f t="shared" si="1189"/>
        <v>0</v>
      </c>
      <c r="BW136" s="23">
        <f t="shared" si="1189"/>
        <v>0</v>
      </c>
      <c r="BY136" s="23">
        <f t="shared" si="1189"/>
        <v>0</v>
      </c>
      <c r="CA136" s="23">
        <f t="shared" si="1189"/>
        <v>0</v>
      </c>
      <c r="CC136" s="23">
        <f t="shared" si="1189"/>
        <v>0</v>
      </c>
      <c r="CE136" s="23">
        <f t="shared" si="1189"/>
        <v>0</v>
      </c>
      <c r="CG136" s="23">
        <f t="shared" si="1187"/>
        <v>0</v>
      </c>
      <c r="CH136" s="23">
        <f t="shared" si="1174"/>
        <v>34.868600000000001</v>
      </c>
      <c r="CI136" s="23">
        <f t="shared" si="1187"/>
        <v>34.868600000000001</v>
      </c>
      <c r="CK136" s="24">
        <f t="shared" si="1190"/>
        <v>0</v>
      </c>
      <c r="CL136" s="24">
        <f t="shared" si="1191"/>
        <v>0</v>
      </c>
      <c r="CM136" s="24">
        <f t="shared" si="1192"/>
        <v>0</v>
      </c>
      <c r="CN136" s="24">
        <f t="shared" si="1193"/>
        <v>0</v>
      </c>
      <c r="CO136" s="24">
        <f t="shared" si="1194"/>
        <v>0</v>
      </c>
      <c r="CP136" s="24">
        <f t="shared" si="1195"/>
        <v>0</v>
      </c>
      <c r="CQ136" s="24">
        <f t="shared" si="1196"/>
        <v>0</v>
      </c>
      <c r="CR136" s="24">
        <f t="shared" si="1197"/>
        <v>0</v>
      </c>
      <c r="CS136" s="24">
        <f t="shared" si="1198"/>
        <v>0</v>
      </c>
      <c r="CT136" s="24">
        <f t="shared" si="1199"/>
        <v>0</v>
      </c>
      <c r="CU136" s="24">
        <f t="shared" si="1200"/>
        <v>0</v>
      </c>
      <c r="CV136" s="24">
        <f t="shared" si="1201"/>
        <v>0</v>
      </c>
      <c r="CW136" s="24">
        <f t="shared" si="1202"/>
        <v>0</v>
      </c>
      <c r="CX136" s="24">
        <f t="shared" si="1203"/>
        <v>0</v>
      </c>
      <c r="CY136" s="24">
        <f t="shared" si="1204"/>
        <v>0</v>
      </c>
      <c r="CZ136" s="24">
        <f t="shared" si="1205"/>
        <v>0</v>
      </c>
      <c r="DA136" s="24">
        <f t="shared" si="1206"/>
        <v>0</v>
      </c>
      <c r="DB136" s="24">
        <f t="shared" si="1207"/>
        <v>0</v>
      </c>
      <c r="DE136" s="123"/>
      <c r="DF136" s="23">
        <v>110.1596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324.64420000000001</v>
      </c>
      <c r="Q137" s="23">
        <f>'Annual Raw'!R67+'Annual Raw'!R66+'Annual Raw'!R69+'Annual Raw'!R70</f>
        <v>65.630099999999999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9.07</v>
      </c>
      <c r="U137" s="23">
        <f>'Annual Raw'!V67+'Annual Raw'!V66+'Annual Raw'!V69+'Annual Raw'!V70</f>
        <v>158.185</v>
      </c>
      <c r="V137" s="23">
        <f>'Annual Raw'!W67+'Annual Raw'!W66+'Annual Raw'!W69+'Annual Raw'!W70</f>
        <v>18.931699999999999</v>
      </c>
      <c r="W137" s="23">
        <f>'Annual Raw'!X67+'Annual Raw'!X66+'Annual Raw'!X69+'Annual Raw'!X70</f>
        <v>17.196400000000001</v>
      </c>
      <c r="X137" s="23">
        <f>'Annual Raw'!Y67+'Annual Raw'!Y66+'Annual Raw'!Y69+'Annual Raw'!Y70</f>
        <v>36.179099999999998</v>
      </c>
      <c r="Y137" s="23">
        <f>'Annual Raw'!Z67+'Annual Raw'!Z66+'Annual Raw'!Z69+'Annual Raw'!Z70</f>
        <v>46.181199999999997</v>
      </c>
      <c r="Z137" s="23">
        <f>'Annual Raw'!AA67+'Annual Raw'!AA66+'Annual Raw'!AA69+'Annual Raw'!AA70</f>
        <v>34.4604</v>
      </c>
      <c r="AA137" s="23">
        <f>'Annual Raw'!AB67+'Annual Raw'!AB66+'Annual Raw'!AB69+'Annual Raw'!AB70</f>
        <v>71.524199999999993</v>
      </c>
      <c r="AB137" s="24">
        <f t="shared" si="1170"/>
        <v>63.634999999999998</v>
      </c>
      <c r="AC137" s="24">
        <f t="shared" si="1171"/>
        <v>63.634999999999998</v>
      </c>
      <c r="AD137" s="24">
        <f t="shared" si="1172"/>
        <v>63.634999999999998</v>
      </c>
      <c r="AE137" s="24">
        <f t="shared" si="1173"/>
        <v>63.634999999999998</v>
      </c>
      <c r="AJ137" s="23">
        <f>+'QTR Raw'!D74+'QTR Raw'!D75</f>
        <v>0</v>
      </c>
      <c r="AK137" s="23">
        <f t="shared" si="1189"/>
        <v>0</v>
      </c>
      <c r="AL137" s="23">
        <f>+'QTR Raw'!F74+'QTR Raw'!F75</f>
        <v>0</v>
      </c>
      <c r="AM137" s="23">
        <f t="shared" si="1189"/>
        <v>0</v>
      </c>
      <c r="AN137" s="23">
        <f>+'QTR Raw'!H74+'QTR Raw'!H75</f>
        <v>0</v>
      </c>
      <c r="AO137" s="23">
        <f t="shared" si="1189"/>
        <v>0</v>
      </c>
      <c r="AP137" s="23">
        <f>+'QTR Raw'!J74+'QTR Raw'!J75</f>
        <v>0</v>
      </c>
      <c r="AQ137" s="23">
        <f t="shared" si="1189"/>
        <v>0</v>
      </c>
      <c r="AR137" s="23">
        <f>+'QTR Raw'!L74+'QTR Raw'!L75</f>
        <v>0</v>
      </c>
      <c r="AS137" s="23">
        <f t="shared" si="1189"/>
        <v>0</v>
      </c>
      <c r="AT137" s="23">
        <f>+'QTR Raw'!N74+'QTR Raw'!N75</f>
        <v>0</v>
      </c>
      <c r="AU137" s="23">
        <f t="shared" si="1189"/>
        <v>0</v>
      </c>
      <c r="AV137" s="23">
        <f>+'QTR Raw'!P74+'QTR Raw'!P75</f>
        <v>0</v>
      </c>
      <c r="AW137" s="23">
        <f t="shared" si="1189"/>
        <v>0</v>
      </c>
      <c r="AX137" s="23">
        <f>+'QTR Raw'!R74+'QTR Raw'!R75</f>
        <v>0</v>
      </c>
      <c r="AY137" s="23">
        <f t="shared" si="1189"/>
        <v>0</v>
      </c>
      <c r="AZ137" s="23">
        <f>+'QTR Raw'!T74+'QTR Raw'!T75</f>
        <v>0</v>
      </c>
      <c r="BA137" s="23">
        <f t="shared" si="1189"/>
        <v>0</v>
      </c>
      <c r="BB137" s="23">
        <f>+'QTR Raw'!V74+'QTR Raw'!V75</f>
        <v>0</v>
      </c>
      <c r="BC137" s="23">
        <f t="shared" si="1189"/>
        <v>0</v>
      </c>
      <c r="BD137" s="23">
        <f>+'QTR Raw'!X74+'QTR Raw'!X75</f>
        <v>0</v>
      </c>
      <c r="BE137" s="23">
        <f t="shared" si="1189"/>
        <v>0</v>
      </c>
      <c r="BF137" s="23">
        <f>+'QTR Raw'!Z74+'QTR Raw'!Z75</f>
        <v>0</v>
      </c>
      <c r="BG137" s="23">
        <f t="shared" si="1189"/>
        <v>0</v>
      </c>
      <c r="BH137" s="23">
        <f>+'QTR Raw'!AB74+'QTR Raw'!AB75</f>
        <v>0</v>
      </c>
      <c r="BI137" s="23">
        <f t="shared" si="1189"/>
        <v>0</v>
      </c>
      <c r="BJ137" s="23">
        <f>+'QTR Raw'!AD74+'QTR Raw'!AD75</f>
        <v>0</v>
      </c>
      <c r="BK137" s="23">
        <f t="shared" si="1189"/>
        <v>0</v>
      </c>
      <c r="BL137" s="23">
        <f>+'QTR Raw'!AF74+'QTR Raw'!AF75</f>
        <v>0</v>
      </c>
      <c r="BM137" s="23">
        <f t="shared" si="1189"/>
        <v>0</v>
      </c>
      <c r="BN137" s="23">
        <f>+'QTR Raw'!AH74+'QTR Raw'!AH75</f>
        <v>0</v>
      </c>
      <c r="BO137" s="23">
        <f t="shared" si="1189"/>
        <v>0</v>
      </c>
      <c r="BP137" s="23">
        <f>+'QTR Raw'!AJ74+'QTR Raw'!AJ75</f>
        <v>0</v>
      </c>
      <c r="BQ137" s="23">
        <f t="shared" si="1189"/>
        <v>0</v>
      </c>
      <c r="BR137" s="23">
        <f>+'QTR Raw'!AL74+'QTR Raw'!AL75</f>
        <v>0</v>
      </c>
      <c r="BS137" s="23">
        <f t="shared" si="1189"/>
        <v>0</v>
      </c>
      <c r="BT137" s="23">
        <f>+'QTR Raw'!AN74+'QTR Raw'!AN75</f>
        <v>0</v>
      </c>
      <c r="BU137" s="23">
        <f t="shared" si="1189"/>
        <v>0</v>
      </c>
      <c r="BV137" s="23">
        <f>+'QTR Raw'!AP74+'QTR Raw'!AP75</f>
        <v>17.196000000000002</v>
      </c>
      <c r="BW137" s="23">
        <f t="shared" si="1189"/>
        <v>17.196000000000002</v>
      </c>
      <c r="BX137" s="23">
        <f>+'QTR Raw'!AR74+'QTR Raw'!AR75</f>
        <v>56.381999999999998</v>
      </c>
      <c r="BY137" s="23">
        <f t="shared" si="1189"/>
        <v>56.381999999999998</v>
      </c>
      <c r="BZ137" s="23">
        <f>+'QTR Raw'!AT74+'QTR Raw'!AT75</f>
        <v>36.179000000000002</v>
      </c>
      <c r="CA137" s="23">
        <f t="shared" si="1189"/>
        <v>36.179000000000002</v>
      </c>
      <c r="CB137" s="23">
        <f>+'QTR Raw'!AV74+'QTR Raw'!AV75</f>
        <v>58.326999999999998</v>
      </c>
      <c r="CC137" s="23">
        <f t="shared" si="1189"/>
        <v>58.326999999999998</v>
      </c>
      <c r="CD137" s="23">
        <f>+'QTR Raw'!AX74+'QTR Raw'!AX75</f>
        <v>46.180999999999997</v>
      </c>
      <c r="CE137" s="23">
        <f t="shared" si="1189"/>
        <v>46.180999999999997</v>
      </c>
      <c r="CF137" s="23">
        <f>+'QTR Raw'!AZ74+'QTR Raw'!AZ75</f>
        <v>95.650999999999996</v>
      </c>
      <c r="CG137" s="23">
        <f t="shared" si="1187"/>
        <v>95.650999999999996</v>
      </c>
      <c r="CH137" s="23">
        <f t="shared" si="1174"/>
        <v>34.4604</v>
      </c>
      <c r="CI137" s="23">
        <f t="shared" si="1187"/>
        <v>34.4604</v>
      </c>
      <c r="CJ137" s="23">
        <f>+'QTR Raw'!BD74+'QTR Raw'!BD75</f>
        <v>63.634999999999998</v>
      </c>
      <c r="CK137" s="24">
        <f t="shared" si="1190"/>
        <v>63.634999999999998</v>
      </c>
      <c r="CL137" s="24">
        <f t="shared" si="1191"/>
        <v>63.634999999999998</v>
      </c>
      <c r="CM137" s="24">
        <f t="shared" si="1192"/>
        <v>63.634999999999998</v>
      </c>
      <c r="CN137" s="24">
        <f t="shared" si="1193"/>
        <v>63.634999999999998</v>
      </c>
      <c r="CO137" s="24">
        <f t="shared" si="1194"/>
        <v>63.634999999999998</v>
      </c>
      <c r="CP137" s="24">
        <f t="shared" si="1195"/>
        <v>63.634999999999998</v>
      </c>
      <c r="CQ137" s="24">
        <f t="shared" si="1196"/>
        <v>63.634999999999998</v>
      </c>
      <c r="CR137" s="24">
        <f t="shared" si="1197"/>
        <v>63.634999999999998</v>
      </c>
      <c r="CS137" s="24">
        <f t="shared" si="1198"/>
        <v>63.634999999999998</v>
      </c>
      <c r="CT137" s="24">
        <f t="shared" si="1199"/>
        <v>63.634999999999998</v>
      </c>
      <c r="CU137" s="24">
        <f t="shared" si="1200"/>
        <v>63.634999999999998</v>
      </c>
      <c r="CV137" s="24">
        <f t="shared" si="1201"/>
        <v>63.634999999999998</v>
      </c>
      <c r="CW137" s="24">
        <f t="shared" si="1202"/>
        <v>63.634999999999998</v>
      </c>
      <c r="CX137" s="24">
        <f t="shared" si="1203"/>
        <v>63.634999999999998</v>
      </c>
      <c r="CY137" s="24">
        <f t="shared" si="1204"/>
        <v>63.634999999999998</v>
      </c>
      <c r="CZ137" s="24">
        <f t="shared" si="1205"/>
        <v>63.634999999999998</v>
      </c>
      <c r="DA137" s="24">
        <f t="shared" si="1206"/>
        <v>63.634999999999998</v>
      </c>
      <c r="DB137" s="24">
        <f t="shared" si="1207"/>
        <v>63.634999999999998</v>
      </c>
      <c r="DE137" s="123"/>
      <c r="DF137" s="23">
        <v>71.524199999999993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8">C134+C137+C136</f>
        <v>0</v>
      </c>
      <c r="D138" s="22">
        <f t="shared" si="1208"/>
        <v>0</v>
      </c>
      <c r="E138" s="22">
        <f t="shared" ref="E138:Y138" si="1209">E134+E137+E136+E135</f>
        <v>0</v>
      </c>
      <c r="F138" s="22">
        <f t="shared" si="1209"/>
        <v>0</v>
      </c>
      <c r="G138" s="22">
        <f t="shared" si="1209"/>
        <v>0</v>
      </c>
      <c r="H138" s="22">
        <f t="shared" si="1209"/>
        <v>0</v>
      </c>
      <c r="I138" s="22">
        <f t="shared" si="1209"/>
        <v>0</v>
      </c>
      <c r="J138" s="22">
        <f t="shared" si="1209"/>
        <v>0</v>
      </c>
      <c r="K138" s="22">
        <f t="shared" si="1209"/>
        <v>0</v>
      </c>
      <c r="L138" s="22">
        <f t="shared" si="1209"/>
        <v>0</v>
      </c>
      <c r="M138" s="22">
        <f t="shared" si="1209"/>
        <v>0</v>
      </c>
      <c r="N138" s="22">
        <f t="shared" si="1209"/>
        <v>0</v>
      </c>
      <c r="O138" s="22">
        <f t="shared" si="1209"/>
        <v>0</v>
      </c>
      <c r="P138" s="22">
        <f t="shared" si="1209"/>
        <v>1096.3664000000001</v>
      </c>
      <c r="Q138" s="22">
        <f t="shared" si="1209"/>
        <v>1079.0598</v>
      </c>
      <c r="R138" s="22">
        <f t="shared" si="1209"/>
        <v>993.75379999999996</v>
      </c>
      <c r="S138" s="22">
        <f t="shared" si="1209"/>
        <v>940.01490000000001</v>
      </c>
      <c r="T138" s="22">
        <f t="shared" si="1209"/>
        <v>945.32</v>
      </c>
      <c r="U138" s="22">
        <f t="shared" si="1209"/>
        <v>1073.6979999999999</v>
      </c>
      <c r="V138" s="22">
        <f t="shared" si="1209"/>
        <v>1061.2315000000001</v>
      </c>
      <c r="W138" s="22">
        <f t="shared" si="1209"/>
        <v>1103.4254000000001</v>
      </c>
      <c r="X138" s="22">
        <f t="shared" si="1209"/>
        <v>1146.2621000000001</v>
      </c>
      <c r="Y138" s="22">
        <f t="shared" si="1209"/>
        <v>1207.9008000000001</v>
      </c>
      <c r="Z138" s="22">
        <f>Z134+Z137+Z136+Z135</f>
        <v>1447.3943999999999</v>
      </c>
      <c r="AA138" s="22">
        <f>AA134+AA137+AA136+AA135</f>
        <v>1564.8727000000001</v>
      </c>
      <c r="AB138" s="161">
        <f t="shared" ref="AB138:AE138" si="1210">AB134+AB137+AB136+AB135</f>
        <v>1242.4264257366356</v>
      </c>
      <c r="AC138" s="161">
        <f t="shared" si="1210"/>
        <v>1160.008672910182</v>
      </c>
      <c r="AD138" s="161">
        <f t="shared" si="1210"/>
        <v>1083.3533355820578</v>
      </c>
      <c r="AE138" s="161">
        <f t="shared" si="1210"/>
        <v>1012.0575220058047</v>
      </c>
      <c r="AJ138" s="22">
        <f t="shared" ref="AJ138" si="1211">AJ134+AJ137+AJ135+AJ136</f>
        <v>0</v>
      </c>
      <c r="AK138" s="22">
        <f t="shared" ref="AK138" si="1212">AK134+AK137+AK135+AK136</f>
        <v>0</v>
      </c>
      <c r="AL138" s="22">
        <f t="shared" ref="AL138:AM138" si="1213">AL134+AL137+AL135+AL136</f>
        <v>0</v>
      </c>
      <c r="AM138" s="22">
        <f t="shared" si="1213"/>
        <v>0</v>
      </c>
      <c r="AN138" s="22">
        <f t="shared" ref="AN138:AO138" si="1214">AN134+AN137+AN135+AN136</f>
        <v>0</v>
      </c>
      <c r="AO138" s="22">
        <f t="shared" si="1214"/>
        <v>0</v>
      </c>
      <c r="AP138" s="22">
        <f t="shared" ref="AP138:CE138" si="1215">AP134+AP137+AP135+AP136</f>
        <v>0</v>
      </c>
      <c r="AQ138" s="22">
        <f t="shared" si="1215"/>
        <v>0</v>
      </c>
      <c r="AR138" s="22">
        <f t="shared" si="1215"/>
        <v>0</v>
      </c>
      <c r="AS138" s="22">
        <f t="shared" si="1215"/>
        <v>0</v>
      </c>
      <c r="AT138" s="22">
        <f t="shared" si="1215"/>
        <v>0</v>
      </c>
      <c r="AU138" s="22">
        <f t="shared" si="1215"/>
        <v>0</v>
      </c>
      <c r="AV138" s="22">
        <f t="shared" si="1215"/>
        <v>0</v>
      </c>
      <c r="AW138" s="22">
        <f t="shared" si="1215"/>
        <v>0</v>
      </c>
      <c r="AX138" s="22">
        <f t="shared" si="1215"/>
        <v>0</v>
      </c>
      <c r="AY138" s="22">
        <f t="shared" si="1215"/>
        <v>0</v>
      </c>
      <c r="AZ138" s="22">
        <f t="shared" si="1215"/>
        <v>0</v>
      </c>
      <c r="BA138" s="22">
        <f t="shared" si="1215"/>
        <v>0</v>
      </c>
      <c r="BB138" s="22">
        <f t="shared" si="1215"/>
        <v>0</v>
      </c>
      <c r="BC138" s="22">
        <f t="shared" si="1215"/>
        <v>0</v>
      </c>
      <c r="BD138" s="22">
        <f t="shared" si="1215"/>
        <v>0</v>
      </c>
      <c r="BE138" s="22">
        <f t="shared" si="1215"/>
        <v>0</v>
      </c>
      <c r="BF138" s="22">
        <f t="shared" si="1215"/>
        <v>0</v>
      </c>
      <c r="BG138" s="22">
        <f t="shared" si="1215"/>
        <v>0</v>
      </c>
      <c r="BH138" s="22">
        <f t="shared" si="1215"/>
        <v>0</v>
      </c>
      <c r="BI138" s="22">
        <f t="shared" si="1215"/>
        <v>0</v>
      </c>
      <c r="BJ138" s="22">
        <f t="shared" si="1215"/>
        <v>0</v>
      </c>
      <c r="BK138" s="22">
        <f t="shared" si="1215"/>
        <v>0</v>
      </c>
      <c r="BL138" s="22">
        <f t="shared" si="1215"/>
        <v>0</v>
      </c>
      <c r="BM138" s="22">
        <f t="shared" si="1215"/>
        <v>0</v>
      </c>
      <c r="BN138" s="22">
        <f t="shared" si="1215"/>
        <v>0</v>
      </c>
      <c r="BO138" s="22">
        <f t="shared" si="1215"/>
        <v>0</v>
      </c>
      <c r="BP138" s="22">
        <f t="shared" si="1215"/>
        <v>0</v>
      </c>
      <c r="BQ138" s="22">
        <f t="shared" si="1215"/>
        <v>0</v>
      </c>
      <c r="BR138" s="22">
        <f t="shared" si="1215"/>
        <v>0</v>
      </c>
      <c r="BS138" s="22">
        <f t="shared" si="1215"/>
        <v>0</v>
      </c>
      <c r="BT138" s="22">
        <f t="shared" si="1215"/>
        <v>0</v>
      </c>
      <c r="BU138" s="22">
        <f t="shared" si="1215"/>
        <v>0</v>
      </c>
      <c r="BV138" s="22">
        <f t="shared" si="1215"/>
        <v>1062.8709999999999</v>
      </c>
      <c r="BW138" s="22">
        <f t="shared" si="1215"/>
        <v>1062.8709999999999</v>
      </c>
      <c r="BX138" s="22">
        <f t="shared" si="1215"/>
        <v>1077.672</v>
      </c>
      <c r="BY138" s="22">
        <f t="shared" si="1215"/>
        <v>1077.672</v>
      </c>
      <c r="BZ138" s="22">
        <f t="shared" si="1215"/>
        <v>1101.2380000000001</v>
      </c>
      <c r="CA138" s="22">
        <f t="shared" si="1215"/>
        <v>1101.2380000000001</v>
      </c>
      <c r="CB138" s="22">
        <f t="shared" si="1215"/>
        <v>1110.8499999999999</v>
      </c>
      <c r="CC138" s="22">
        <f t="shared" si="1215"/>
        <v>1110.8499999999999</v>
      </c>
      <c r="CD138" s="22">
        <f t="shared" si="1215"/>
        <v>1166.319</v>
      </c>
      <c r="CE138" s="22">
        <f t="shared" si="1215"/>
        <v>1166.319</v>
      </c>
      <c r="CF138" s="22">
        <f t="shared" ref="CF138:CG138" si="1216">CF134+CF137+CF135+CF136</f>
        <v>1282.521</v>
      </c>
      <c r="CG138" s="22">
        <f t="shared" si="1216"/>
        <v>1282.521</v>
      </c>
      <c r="CH138" s="22">
        <f t="shared" ref="CH138:CJ138" si="1217">CH134+CH137+CH135+CH136</f>
        <v>1447.3943999999999</v>
      </c>
      <c r="CI138" s="22">
        <f t="shared" si="1217"/>
        <v>1424.4574</v>
      </c>
      <c r="CJ138" s="22">
        <f t="shared" si="1217"/>
        <v>1377.8140000000001</v>
      </c>
      <c r="CK138" s="21">
        <f t="shared" ref="CK138:DB138" si="1218">CK134+CK137+CK135+CK136</f>
        <v>1354.2150000000001</v>
      </c>
      <c r="CL138" s="21">
        <f t="shared" si="1218"/>
        <v>1331.0397724092381</v>
      </c>
      <c r="CM138" s="21">
        <f t="shared" si="1218"/>
        <v>1308.2807074537902</v>
      </c>
      <c r="CN138" s="21">
        <f t="shared" si="1218"/>
        <v>1285.9303320101087</v>
      </c>
      <c r="CO138" s="21">
        <f t="shared" si="1218"/>
        <v>1263.9813071511614</v>
      </c>
      <c r="CP138" s="21">
        <f t="shared" si="1218"/>
        <v>1242.4264257366356</v>
      </c>
      <c r="CQ138" s="21">
        <f t="shared" si="1218"/>
        <v>1221.2586100464146</v>
      </c>
      <c r="CR138" s="21">
        <f t="shared" si="1218"/>
        <v>1200.4709094565517</v>
      </c>
      <c r="CS138" s="21">
        <f t="shared" si="1218"/>
        <v>1180.056498156976</v>
      </c>
      <c r="CT138" s="21">
        <f t="shared" si="1218"/>
        <v>1160.008672910182</v>
      </c>
      <c r="CU138" s="21">
        <f t="shared" si="1218"/>
        <v>1140.3208508501677</v>
      </c>
      <c r="CV138" s="21">
        <f t="shared" si="1218"/>
        <v>1120.9865673208972</v>
      </c>
      <c r="CW138" s="21">
        <f t="shared" si="1218"/>
        <v>1101.9994737535783</v>
      </c>
      <c r="CX138" s="21">
        <f t="shared" si="1218"/>
        <v>1083.3533355820578</v>
      </c>
      <c r="CY138" s="21">
        <f t="shared" si="1218"/>
        <v>1065.0420301956522</v>
      </c>
      <c r="CZ138" s="21">
        <f t="shared" si="1218"/>
        <v>1047.0595449287387</v>
      </c>
      <c r="DA138" s="21">
        <f t="shared" si="1218"/>
        <v>1029.3999750864468</v>
      </c>
      <c r="DB138" s="21">
        <f t="shared" si="1218"/>
        <v>1012.0575220058047</v>
      </c>
      <c r="DE138" s="126"/>
      <c r="DF138" s="22">
        <v>1564.8727000000001</v>
      </c>
    </row>
    <row r="139" spans="1:110" s="23" customFormat="1" x14ac:dyDescent="0.2">
      <c r="AB139" s="24"/>
      <c r="AC139" s="24"/>
      <c r="AD139" s="24"/>
      <c r="AE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6.8999999999999999E-3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8.4000000000000005E-2</v>
      </c>
      <c r="V140" s="23">
        <f>'Annual Raw'!W71</f>
        <v>8.72E-2</v>
      </c>
      <c r="W140" s="23">
        <f>'Annual Raw'!X71</f>
        <v>9.01E-2</v>
      </c>
      <c r="X140" s="23">
        <f>'Annual Raw'!Y71</f>
        <v>0</v>
      </c>
      <c r="Y140" s="23">
        <f>'Annual Raw'!Z71</f>
        <v>0</v>
      </c>
      <c r="Z140" s="23">
        <f>'Annual Raw'!AA71</f>
        <v>136.49940000000001</v>
      </c>
      <c r="AA140" s="23">
        <f>'Annual Raw'!AB71</f>
        <v>250.7749</v>
      </c>
      <c r="AB140" s="24">
        <f>+CP140</f>
        <v>250.77500000000001</v>
      </c>
      <c r="AC140" s="24">
        <f>+CT140</f>
        <v>250.77500000000001</v>
      </c>
      <c r="AD140" s="24">
        <f>+CX140</f>
        <v>250.77500000000001</v>
      </c>
      <c r="AE140" s="24">
        <f>+DB140</f>
        <v>250.77500000000001</v>
      </c>
      <c r="AJ140" s="23">
        <f>+'QTR Raw'!D77</f>
        <v>0</v>
      </c>
      <c r="AK140" s="23">
        <f t="shared" ref="AK140:CE140" si="1219">+AJ140</f>
        <v>0</v>
      </c>
      <c r="AL140" s="23">
        <f>+'QTR Raw'!F77</f>
        <v>0</v>
      </c>
      <c r="AM140" s="23">
        <f t="shared" si="1219"/>
        <v>0</v>
      </c>
      <c r="AN140" s="23">
        <f>+'QTR Raw'!H77</f>
        <v>0</v>
      </c>
      <c r="AO140" s="23">
        <f t="shared" si="1219"/>
        <v>0</v>
      </c>
      <c r="AP140" s="23">
        <f>+'QTR Raw'!J77</f>
        <v>0</v>
      </c>
      <c r="AQ140" s="23">
        <f t="shared" si="1219"/>
        <v>0</v>
      </c>
      <c r="AR140" s="23">
        <f>+'QTR Raw'!L77</f>
        <v>0</v>
      </c>
      <c r="AS140" s="23">
        <f t="shared" si="1219"/>
        <v>0</v>
      </c>
      <c r="AT140" s="23">
        <f>+'QTR Raw'!N77</f>
        <v>0</v>
      </c>
      <c r="AU140" s="23">
        <f t="shared" si="1219"/>
        <v>0</v>
      </c>
      <c r="AV140" s="23">
        <f>+'QTR Raw'!P77</f>
        <v>0</v>
      </c>
      <c r="AW140" s="23">
        <f t="shared" si="1219"/>
        <v>0</v>
      </c>
      <c r="AX140" s="23">
        <f>+'QTR Raw'!R77</f>
        <v>0</v>
      </c>
      <c r="AY140" s="23">
        <f t="shared" si="1219"/>
        <v>0</v>
      </c>
      <c r="AZ140" s="23">
        <f>+'QTR Raw'!T77</f>
        <v>0</v>
      </c>
      <c r="BA140" s="23">
        <f t="shared" si="1219"/>
        <v>0</v>
      </c>
      <c r="BB140" s="23">
        <f>+'QTR Raw'!V77</f>
        <v>0</v>
      </c>
      <c r="BC140" s="23">
        <f t="shared" si="1219"/>
        <v>0</v>
      </c>
      <c r="BD140" s="23">
        <f>+'QTR Raw'!X77</f>
        <v>0</v>
      </c>
      <c r="BE140" s="23">
        <f t="shared" si="1219"/>
        <v>0</v>
      </c>
      <c r="BF140" s="23">
        <f>+'QTR Raw'!Z77</f>
        <v>0</v>
      </c>
      <c r="BG140" s="23">
        <f t="shared" si="1219"/>
        <v>0</v>
      </c>
      <c r="BH140" s="23">
        <f>+'QTR Raw'!AB77</f>
        <v>0</v>
      </c>
      <c r="BI140" s="23">
        <f t="shared" si="1219"/>
        <v>0</v>
      </c>
      <c r="BJ140" s="23">
        <f>+'QTR Raw'!AD77</f>
        <v>0</v>
      </c>
      <c r="BK140" s="23">
        <f t="shared" si="1219"/>
        <v>0</v>
      </c>
      <c r="BL140" s="23">
        <f>+'QTR Raw'!AF77</f>
        <v>0</v>
      </c>
      <c r="BM140" s="23">
        <f t="shared" si="1219"/>
        <v>0</v>
      </c>
      <c r="BN140" s="23">
        <f>+'QTR Raw'!AH77</f>
        <v>0</v>
      </c>
      <c r="BO140" s="23">
        <f t="shared" si="1219"/>
        <v>0</v>
      </c>
      <c r="BP140" s="23">
        <f>+'QTR Raw'!AJ77</f>
        <v>0</v>
      </c>
      <c r="BQ140" s="23">
        <f t="shared" si="1219"/>
        <v>0</v>
      </c>
      <c r="BR140" s="23">
        <f>+'QTR Raw'!AL77</f>
        <v>0</v>
      </c>
      <c r="BS140" s="23">
        <f t="shared" si="1219"/>
        <v>0</v>
      </c>
      <c r="BT140" s="23">
        <f>+'QTR Raw'!AN77</f>
        <v>0</v>
      </c>
      <c r="BU140" s="23">
        <f t="shared" si="1219"/>
        <v>0</v>
      </c>
      <c r="BV140" s="23">
        <f>+'QTR Raw'!AP77</f>
        <v>0.09</v>
      </c>
      <c r="BW140" s="23">
        <f t="shared" si="1219"/>
        <v>0.09</v>
      </c>
      <c r="BX140" s="23">
        <f>+'QTR Raw'!AR77</f>
        <v>5.0910000000000002</v>
      </c>
      <c r="BY140" s="23">
        <f t="shared" si="1219"/>
        <v>5.0910000000000002</v>
      </c>
      <c r="BZ140" s="23">
        <f>+'QTR Raw'!AT77</f>
        <v>0</v>
      </c>
      <c r="CA140" s="23">
        <f t="shared" si="1219"/>
        <v>0</v>
      </c>
      <c r="CB140" s="23">
        <f>+'QTR Raw'!AV77</f>
        <v>0</v>
      </c>
      <c r="CC140" s="23">
        <f t="shared" si="1219"/>
        <v>0</v>
      </c>
      <c r="CD140" s="23">
        <f>+'QTR Raw'!AX77</f>
        <v>0</v>
      </c>
      <c r="CE140" s="23">
        <f t="shared" si="1219"/>
        <v>0</v>
      </c>
      <c r="CF140" s="23">
        <f>+'QTR Raw'!AZ77</f>
        <v>0</v>
      </c>
      <c r="CG140" s="23">
        <f t="shared" ref="CG140:CI143" si="1220">+CF140</f>
        <v>0</v>
      </c>
      <c r="CH140" s="23">
        <f t="shared" ref="CH140:CH155" si="1221">Z140</f>
        <v>136.49940000000001</v>
      </c>
      <c r="CI140" s="23">
        <f t="shared" si="1220"/>
        <v>136.49940000000001</v>
      </c>
      <c r="CJ140" s="23">
        <f>+'QTR Raw'!BD77</f>
        <v>250.77500000000001</v>
      </c>
      <c r="CK140" s="24">
        <f t="shared" ref="CK140" si="1222">+CJ140</f>
        <v>250.77500000000001</v>
      </c>
      <c r="CL140" s="24">
        <f t="shared" ref="CL140" si="1223">+CK140</f>
        <v>250.77500000000001</v>
      </c>
      <c r="CM140" s="24">
        <f t="shared" ref="CM140" si="1224">+CL140</f>
        <v>250.77500000000001</v>
      </c>
      <c r="CN140" s="24">
        <f t="shared" ref="CN140" si="1225">+CM140</f>
        <v>250.77500000000001</v>
      </c>
      <c r="CO140" s="24">
        <f t="shared" ref="CO140" si="1226">+CN140</f>
        <v>250.77500000000001</v>
      </c>
      <c r="CP140" s="24">
        <f t="shared" ref="CP140" si="1227">+CO140</f>
        <v>250.77500000000001</v>
      </c>
      <c r="CQ140" s="24">
        <f t="shared" ref="CQ140" si="1228">+CP140</f>
        <v>250.77500000000001</v>
      </c>
      <c r="CR140" s="24">
        <f t="shared" ref="CR140" si="1229">+CQ140</f>
        <v>250.77500000000001</v>
      </c>
      <c r="CS140" s="24">
        <f t="shared" ref="CS140" si="1230">+CR140</f>
        <v>250.77500000000001</v>
      </c>
      <c r="CT140" s="24">
        <f t="shared" ref="CT140" si="1231">+CS140</f>
        <v>250.77500000000001</v>
      </c>
      <c r="CU140" s="24">
        <f t="shared" ref="CU140" si="1232">+CT140</f>
        <v>250.77500000000001</v>
      </c>
      <c r="CV140" s="24">
        <f t="shared" ref="CV140" si="1233">+CU140</f>
        <v>250.77500000000001</v>
      </c>
      <c r="CW140" s="24">
        <f t="shared" ref="CW140" si="1234">+CV140</f>
        <v>250.77500000000001</v>
      </c>
      <c r="CX140" s="24">
        <f t="shared" ref="CX140" si="1235">+CW140</f>
        <v>250.77500000000001</v>
      </c>
      <c r="CY140" s="24">
        <f t="shared" ref="CY140" si="1236">+CX140</f>
        <v>250.77500000000001</v>
      </c>
      <c r="CZ140" s="24">
        <f t="shared" ref="CZ140" si="1237">+CY140</f>
        <v>250.77500000000001</v>
      </c>
      <c r="DA140" s="24">
        <f t="shared" ref="DA140" si="1238">+CZ140</f>
        <v>250.77500000000001</v>
      </c>
      <c r="DB140" s="24">
        <f t="shared" ref="DB140" si="1239">+DA140</f>
        <v>250.77500000000001</v>
      </c>
      <c r="DE140" s="123"/>
      <c r="DF140" s="23">
        <v>250.7749</v>
      </c>
    </row>
    <row r="141" spans="1:110" s="23" customFormat="1" x14ac:dyDescent="0.2">
      <c r="AB141" s="24"/>
      <c r="AC141" s="24"/>
      <c r="AD141" s="24"/>
      <c r="AE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42.4696</v>
      </c>
      <c r="Q142" s="23">
        <f>'Annual Raw'!R72+'Annual Raw'!R61</f>
        <v>7.492</v>
      </c>
      <c r="R142" s="23">
        <f>'Annual Raw'!S72+'Annual Raw'!S61</f>
        <v>16.995200000000001</v>
      </c>
      <c r="S142" s="23">
        <f>'Annual Raw'!T72+'Annual Raw'!T61</f>
        <v>76.919700000000006</v>
      </c>
      <c r="T142" s="23">
        <f>'Annual Raw'!U72+'Annual Raw'!U61</f>
        <v>35.682000000000002</v>
      </c>
      <c r="U142" s="23">
        <f>'Annual Raw'!V72+'Annual Raw'!V61</f>
        <v>14.917</v>
      </c>
      <c r="V142" s="23">
        <f>'Annual Raw'!W72+'Annual Raw'!W61</f>
        <v>18.247499999999999</v>
      </c>
      <c r="W142" s="23">
        <f>'Annual Raw'!X72+'Annual Raw'!X61</f>
        <v>28.552</v>
      </c>
      <c r="X142" s="23">
        <f>'Annual Raw'!Y72+'Annual Raw'!Y61</f>
        <v>11.221</v>
      </c>
      <c r="Y142" s="23">
        <f>'Annual Raw'!Z72+'Annual Raw'!Z61</f>
        <v>232.0942</v>
      </c>
      <c r="Z142" s="23">
        <f>'Annual Raw'!AA72+'Annual Raw'!AA61</f>
        <v>98.4756</v>
      </c>
      <c r="AA142" s="23">
        <f>'Annual Raw'!AB72+'Annual Raw'!AB61</f>
        <v>522.07150000000001</v>
      </c>
      <c r="AB142" s="24">
        <f t="shared" ref="AB142:AB147" si="1240">+CP142</f>
        <v>0</v>
      </c>
      <c r="AC142" s="24">
        <f t="shared" ref="AC142:AC147" si="1241">+CT142</f>
        <v>0</v>
      </c>
      <c r="AD142" s="24">
        <f t="shared" ref="AD142:AD147" si="1242">+CX142</f>
        <v>0</v>
      </c>
      <c r="AE142" s="24">
        <f t="shared" ref="AE142:AE147" si="1243">+DB142</f>
        <v>0</v>
      </c>
      <c r="AJ142" s="23">
        <f>+'QTR Raw'!D78</f>
        <v>0</v>
      </c>
      <c r="AK142" s="23">
        <f t="shared" ref="AK142:CE147" si="1244">+AJ142</f>
        <v>0</v>
      </c>
      <c r="AL142" s="23">
        <f>+'QTR Raw'!F78</f>
        <v>0</v>
      </c>
      <c r="AM142" s="23">
        <f t="shared" si="1244"/>
        <v>0</v>
      </c>
      <c r="AN142" s="23">
        <f>+'QTR Raw'!H78</f>
        <v>0</v>
      </c>
      <c r="AO142" s="23">
        <f t="shared" si="1244"/>
        <v>0</v>
      </c>
      <c r="AP142" s="23">
        <f>+'QTR Raw'!J78</f>
        <v>0</v>
      </c>
      <c r="AQ142" s="23">
        <f t="shared" si="1244"/>
        <v>0</v>
      </c>
      <c r="AR142" s="23">
        <f>+'QTR Raw'!L78</f>
        <v>0</v>
      </c>
      <c r="AS142" s="23">
        <f t="shared" si="1244"/>
        <v>0</v>
      </c>
      <c r="AT142" s="23">
        <f>+'QTR Raw'!N78</f>
        <v>0</v>
      </c>
      <c r="AU142" s="23">
        <f t="shared" si="1244"/>
        <v>0</v>
      </c>
      <c r="AV142" s="23">
        <f>+'QTR Raw'!P78</f>
        <v>0</v>
      </c>
      <c r="AW142" s="23">
        <f t="shared" si="1244"/>
        <v>0</v>
      </c>
      <c r="AX142" s="23">
        <f>+'QTR Raw'!R78</f>
        <v>0</v>
      </c>
      <c r="AY142" s="23">
        <f t="shared" si="1244"/>
        <v>0</v>
      </c>
      <c r="AZ142" s="23">
        <f>+'QTR Raw'!T78</f>
        <v>0</v>
      </c>
      <c r="BA142" s="23">
        <f t="shared" si="1244"/>
        <v>0</v>
      </c>
      <c r="BB142" s="23">
        <f>+'QTR Raw'!V78</f>
        <v>0</v>
      </c>
      <c r="BC142" s="23">
        <f t="shared" si="1244"/>
        <v>0</v>
      </c>
      <c r="BD142" s="23">
        <f>+'QTR Raw'!X78</f>
        <v>0</v>
      </c>
      <c r="BE142" s="23">
        <f t="shared" si="1244"/>
        <v>0</v>
      </c>
      <c r="BF142" s="23">
        <f>+'QTR Raw'!Z78</f>
        <v>0</v>
      </c>
      <c r="BG142" s="23">
        <f t="shared" si="1244"/>
        <v>0</v>
      </c>
      <c r="BH142" s="23">
        <f>+'QTR Raw'!AB78</f>
        <v>0</v>
      </c>
      <c r="BI142" s="23">
        <f t="shared" si="1244"/>
        <v>0</v>
      </c>
      <c r="BJ142" s="23">
        <f>+'QTR Raw'!AD78</f>
        <v>0</v>
      </c>
      <c r="BK142" s="23">
        <f t="shared" si="1244"/>
        <v>0</v>
      </c>
      <c r="BL142" s="23">
        <f>+'QTR Raw'!AF78</f>
        <v>0</v>
      </c>
      <c r="BM142" s="23">
        <f t="shared" si="1244"/>
        <v>0</v>
      </c>
      <c r="BN142" s="23">
        <f>+'QTR Raw'!AH78</f>
        <v>0</v>
      </c>
      <c r="BO142" s="23">
        <f t="shared" si="1244"/>
        <v>0</v>
      </c>
      <c r="BP142" s="23">
        <f>+'QTR Raw'!AJ78</f>
        <v>0</v>
      </c>
      <c r="BQ142" s="23">
        <f t="shared" si="1244"/>
        <v>0</v>
      </c>
      <c r="BR142" s="23">
        <f>+'QTR Raw'!AL78</f>
        <v>0</v>
      </c>
      <c r="BS142" s="23">
        <f t="shared" si="1244"/>
        <v>0</v>
      </c>
      <c r="BT142" s="23">
        <f>+'QTR Raw'!AN78</f>
        <v>0</v>
      </c>
      <c r="BU142" s="23">
        <f t="shared" si="1244"/>
        <v>0</v>
      </c>
      <c r="BV142" s="23">
        <f>+'QTR Raw'!AP78</f>
        <v>0</v>
      </c>
      <c r="BW142" s="23">
        <f t="shared" si="1244"/>
        <v>0</v>
      </c>
      <c r="BX142" s="23">
        <f>+'QTR Raw'!AR78</f>
        <v>12.551</v>
      </c>
      <c r="BY142" s="23">
        <f t="shared" si="1244"/>
        <v>12.551</v>
      </c>
      <c r="BZ142" s="23">
        <f>+'QTR Raw'!AT78</f>
        <v>0</v>
      </c>
      <c r="CA142" s="23">
        <f t="shared" si="1244"/>
        <v>0</v>
      </c>
      <c r="CB142" s="23">
        <f>+'QTR Raw'!AV78</f>
        <v>0</v>
      </c>
      <c r="CC142" s="23">
        <f t="shared" si="1244"/>
        <v>0</v>
      </c>
      <c r="CD142" s="23">
        <f>+'QTR Raw'!AX78</f>
        <v>0</v>
      </c>
      <c r="CE142" s="23">
        <f t="shared" si="1244"/>
        <v>0</v>
      </c>
      <c r="CF142" s="23">
        <f>+'QTR Raw'!AZ78</f>
        <v>0</v>
      </c>
      <c r="CG142" s="23">
        <f t="shared" si="1220"/>
        <v>0</v>
      </c>
      <c r="CH142" s="23">
        <f t="shared" si="1221"/>
        <v>98.4756</v>
      </c>
      <c r="CJ142" s="23">
        <f>+'QTR Raw'!BD78</f>
        <v>25.279</v>
      </c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522.07150000000001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0.65100000000000002</v>
      </c>
      <c r="V143" s="23">
        <f>'Annual Raw'!W73+'Annual Raw'!W81</f>
        <v>0.57930000000000004</v>
      </c>
      <c r="W143" s="23">
        <f>'Annual Raw'!X73+'Annual Raw'!X81</f>
        <v>0.59609999999999996</v>
      </c>
      <c r="X143" s="23">
        <f>'Annual Raw'!Y73+'Annual Raw'!Y81</f>
        <v>20.9224</v>
      </c>
      <c r="Y143" s="23">
        <f>'Annual Raw'!Z73+'Annual Raw'!Z81</f>
        <v>12.967599999999999</v>
      </c>
      <c r="Z143" s="23">
        <f>'Annual Raw'!AA73+'Annual Raw'!AA81</f>
        <v>15.332800000000001</v>
      </c>
      <c r="AA143" s="23">
        <f>'Annual Raw'!AB73+'Annual Raw'!AB81</f>
        <v>14.898899999999999</v>
      </c>
      <c r="AB143" s="24">
        <f t="shared" si="1240"/>
        <v>0</v>
      </c>
      <c r="AC143" s="24">
        <f t="shared" si="1241"/>
        <v>0</v>
      </c>
      <c r="AD143" s="24">
        <f t="shared" si="1242"/>
        <v>0</v>
      </c>
      <c r="AE143" s="24">
        <f t="shared" si="1243"/>
        <v>0</v>
      </c>
      <c r="AJ143" s="23">
        <f>+'QTR Raw'!D79+'QTR Raw'!D76</f>
        <v>0</v>
      </c>
      <c r="AK143" s="23">
        <f t="shared" si="1244"/>
        <v>0</v>
      </c>
      <c r="AL143" s="23">
        <f>+'QTR Raw'!F79+'QTR Raw'!F76</f>
        <v>0</v>
      </c>
      <c r="AM143" s="23">
        <f t="shared" si="1244"/>
        <v>0</v>
      </c>
      <c r="AN143" s="23">
        <f>+'QTR Raw'!H79+'QTR Raw'!H76</f>
        <v>0</v>
      </c>
      <c r="AO143" s="23">
        <f t="shared" si="1244"/>
        <v>0</v>
      </c>
      <c r="AP143" s="23">
        <f>+'QTR Raw'!J79+'QTR Raw'!J76</f>
        <v>0</v>
      </c>
      <c r="AQ143" s="23">
        <f t="shared" si="1244"/>
        <v>0</v>
      </c>
      <c r="AR143" s="23">
        <f>+'QTR Raw'!L79+'QTR Raw'!L76</f>
        <v>0</v>
      </c>
      <c r="AS143" s="23">
        <f t="shared" si="1244"/>
        <v>0</v>
      </c>
      <c r="AT143" s="23">
        <f>+'QTR Raw'!N79+'QTR Raw'!N76</f>
        <v>0</v>
      </c>
      <c r="AU143" s="23">
        <f t="shared" si="1244"/>
        <v>0</v>
      </c>
      <c r="AV143" s="23">
        <f>+'QTR Raw'!P79+'QTR Raw'!P76</f>
        <v>0</v>
      </c>
      <c r="AW143" s="23">
        <f t="shared" si="1244"/>
        <v>0</v>
      </c>
      <c r="AX143" s="23">
        <f>+'QTR Raw'!R79+'QTR Raw'!R76</f>
        <v>0</v>
      </c>
      <c r="AY143" s="23">
        <f t="shared" si="1244"/>
        <v>0</v>
      </c>
      <c r="AZ143" s="23">
        <f>+'QTR Raw'!T79+'QTR Raw'!T76</f>
        <v>0</v>
      </c>
      <c r="BA143" s="23">
        <f t="shared" si="1244"/>
        <v>0</v>
      </c>
      <c r="BB143" s="23">
        <f>+'QTR Raw'!V79+'QTR Raw'!V76</f>
        <v>0</v>
      </c>
      <c r="BC143" s="23">
        <f t="shared" si="1244"/>
        <v>0</v>
      </c>
      <c r="BD143" s="23">
        <f>+'QTR Raw'!X79+'QTR Raw'!X76</f>
        <v>0</v>
      </c>
      <c r="BE143" s="23">
        <f t="shared" si="1244"/>
        <v>0</v>
      </c>
      <c r="BF143" s="23">
        <f>+'QTR Raw'!Z79+'QTR Raw'!Z76</f>
        <v>0</v>
      </c>
      <c r="BG143" s="23">
        <f t="shared" si="1244"/>
        <v>0</v>
      </c>
      <c r="BH143" s="23">
        <f>+'QTR Raw'!AB79+'QTR Raw'!AB76</f>
        <v>0</v>
      </c>
      <c r="BI143" s="23">
        <f t="shared" si="1244"/>
        <v>0</v>
      </c>
      <c r="BJ143" s="23">
        <f>+'QTR Raw'!AD79+'QTR Raw'!AD76</f>
        <v>0</v>
      </c>
      <c r="BK143" s="23">
        <f t="shared" si="1244"/>
        <v>0</v>
      </c>
      <c r="BL143" s="23">
        <f>+'QTR Raw'!AF79+'QTR Raw'!AF76</f>
        <v>0</v>
      </c>
      <c r="BM143" s="23">
        <f t="shared" si="1244"/>
        <v>0</v>
      </c>
      <c r="BN143" s="23">
        <f>+'QTR Raw'!AH79+'QTR Raw'!AH76</f>
        <v>0</v>
      </c>
      <c r="BO143" s="23">
        <f t="shared" si="1244"/>
        <v>0</v>
      </c>
      <c r="BP143" s="23">
        <f>+'QTR Raw'!AJ79+'QTR Raw'!AJ76</f>
        <v>0</v>
      </c>
      <c r="BQ143" s="23">
        <f t="shared" si="1244"/>
        <v>0</v>
      </c>
      <c r="BR143" s="23">
        <f>+'QTR Raw'!AL79+'QTR Raw'!AL76</f>
        <v>0</v>
      </c>
      <c r="BS143" s="23">
        <f t="shared" si="1244"/>
        <v>0</v>
      </c>
      <c r="BT143" s="23">
        <f>+'QTR Raw'!AN79+'QTR Raw'!AN76</f>
        <v>0</v>
      </c>
      <c r="BU143" s="23">
        <f t="shared" si="1244"/>
        <v>0</v>
      </c>
      <c r="BV143" s="23">
        <f>+'QTR Raw'!AP79+'QTR Raw'!AP76</f>
        <v>69.701999999999998</v>
      </c>
      <c r="BW143" s="23">
        <f t="shared" si="1244"/>
        <v>69.701999999999998</v>
      </c>
      <c r="BX143" s="23">
        <f>+'QTR Raw'!AR79+'QTR Raw'!AR76</f>
        <v>54.033999999999999</v>
      </c>
      <c r="BY143" s="23">
        <f t="shared" si="1244"/>
        <v>54.033999999999999</v>
      </c>
      <c r="BZ143" s="23">
        <f>+'QTR Raw'!AT79+'QTR Raw'!AT76</f>
        <v>77.168000000000006</v>
      </c>
      <c r="CA143" s="23">
        <f t="shared" si="1244"/>
        <v>77.168000000000006</v>
      </c>
      <c r="CB143" s="23">
        <f>+'QTR Raw'!AV79+'QTR Raw'!AV76</f>
        <v>70.444999999999993</v>
      </c>
      <c r="CC143" s="23">
        <f t="shared" si="1244"/>
        <v>70.444999999999993</v>
      </c>
      <c r="CD143" s="23">
        <f>+'QTR Raw'!AX79+'QTR Raw'!AX76</f>
        <v>162.26499999999999</v>
      </c>
      <c r="CE143" s="23">
        <f t="shared" si="1244"/>
        <v>162.26499999999999</v>
      </c>
      <c r="CF143" s="23">
        <f>+'QTR Raw'!AZ79+'QTR Raw'!AZ76</f>
        <v>109.02800000000001</v>
      </c>
      <c r="CG143" s="23">
        <f t="shared" si="1220"/>
        <v>109.02800000000001</v>
      </c>
      <c r="CH143" s="23">
        <f t="shared" si="1221"/>
        <v>15.332800000000001</v>
      </c>
      <c r="CJ143" s="23">
        <f>+'QTR Raw'!BD79+'QTR Raw'!BD76</f>
        <v>182.53399999999999</v>
      </c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14.898899999999999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98.499399999999994</v>
      </c>
      <c r="Q144" s="23">
        <f>'Annual Raw'!R76</f>
        <v>113.15300000000001</v>
      </c>
      <c r="R144" s="23">
        <f>'Annual Raw'!S76</f>
        <v>126.9521</v>
      </c>
      <c r="S144" s="23">
        <f>'Annual Raw'!T76</f>
        <v>112.5361</v>
      </c>
      <c r="T144" s="23">
        <f>'Annual Raw'!U76</f>
        <v>62.750999999999998</v>
      </c>
      <c r="U144" s="23">
        <f>'Annual Raw'!V76</f>
        <v>98.820999999999998</v>
      </c>
      <c r="V144" s="23">
        <f>'Annual Raw'!W76</f>
        <v>110.62560000000001</v>
      </c>
      <c r="W144" s="23">
        <f>'Annual Raw'!X76</f>
        <v>120.78749999999999</v>
      </c>
      <c r="X144" s="23">
        <f>'Annual Raw'!Y76</f>
        <v>167.7637</v>
      </c>
      <c r="Y144" s="23">
        <f>'Annual Raw'!Z76</f>
        <v>127.29340000000001</v>
      </c>
      <c r="Z144" s="23">
        <f>'Annual Raw'!AA76</f>
        <v>168.12889999999999</v>
      </c>
      <c r="AA144" s="23">
        <f>'Annual Raw'!AB76</f>
        <v>214.91679999999999</v>
      </c>
      <c r="AB144" s="24">
        <f t="shared" si="1240"/>
        <v>397.35782202382262</v>
      </c>
      <c r="AC144" s="24">
        <f t="shared" si="1241"/>
        <v>440.90411482836015</v>
      </c>
      <c r="AD144" s="24">
        <f t="shared" si="1242"/>
        <v>488.54779257823589</v>
      </c>
      <c r="AE144" s="24">
        <f t="shared" si="1243"/>
        <v>541.23401381743133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>
        <f>+BU179*BU10/90</f>
        <v>0</v>
      </c>
      <c r="BV144" s="23">
        <f>+'QTR Raw'!AP81</f>
        <v>120.78700000000001</v>
      </c>
      <c r="BW144" s="23">
        <f>+BW179*BW10/90</f>
        <v>129.75747751756566</v>
      </c>
      <c r="BX144" s="23">
        <f>+'QTR Raw'!AR81</f>
        <v>114.313</v>
      </c>
      <c r="BY144" s="23">
        <f>+BY179*BY10/90</f>
        <v>142.13340226920394</v>
      </c>
      <c r="BZ144" s="23">
        <f>+'QTR Raw'!AT81</f>
        <v>167.76400000000001</v>
      </c>
      <c r="CA144" s="23">
        <f>+CA179*CA10/90</f>
        <v>150.52977264727036</v>
      </c>
      <c r="CB144" s="23">
        <f>+'QTR Raw'!AV81</f>
        <v>142.732</v>
      </c>
      <c r="CC144" s="23">
        <f>+CC179*CC10/90</f>
        <v>202.76086355326805</v>
      </c>
      <c r="CD144" s="23">
        <f>+'QTR Raw'!AX81</f>
        <v>127.29300000000001</v>
      </c>
      <c r="CE144" s="23">
        <f>+CE179*CE10/90</f>
        <v>95.3635996407249</v>
      </c>
      <c r="CF144" s="23">
        <f>+'QTR Raw'!AZ81</f>
        <v>123.931</v>
      </c>
      <c r="CG144" s="23">
        <f>+CG179*CG10/90</f>
        <v>124.87882437046434</v>
      </c>
      <c r="CH144" s="23">
        <f t="shared" si="1221"/>
        <v>168.12889999999999</v>
      </c>
      <c r="CI144" s="23">
        <f>+CI179*CI10/90</f>
        <v>142.23746683112589</v>
      </c>
      <c r="CJ144" s="23">
        <f>+'QTR Raw'!BD81</f>
        <v>207.98</v>
      </c>
      <c r="CK144" s="24">
        <f t="shared" ref="CK144:DB144" si="1245">+CK179*CK10/90</f>
        <v>227.05000643268832</v>
      </c>
      <c r="CL144" s="24">
        <f t="shared" si="1245"/>
        <v>355.39861220854505</v>
      </c>
      <c r="CM144" s="24">
        <f t="shared" si="1245"/>
        <v>296.48437525911561</v>
      </c>
      <c r="CN144" s="24">
        <f t="shared" si="1245"/>
        <v>224.12245968497987</v>
      </c>
      <c r="CO144" s="24">
        <f t="shared" si="1245"/>
        <v>250.79465302315205</v>
      </c>
      <c r="CP144" s="24">
        <f t="shared" si="1245"/>
        <v>397.35782202382262</v>
      </c>
      <c r="CQ144" s="24">
        <f t="shared" si="1245"/>
        <v>328.8947230612327</v>
      </c>
      <c r="CR144" s="24">
        <f t="shared" si="1245"/>
        <v>247.07104730576637</v>
      </c>
      <c r="CS144" s="24">
        <f t="shared" si="1245"/>
        <v>278.02781290622335</v>
      </c>
      <c r="CT144" s="24">
        <f t="shared" si="1245"/>
        <v>440.90411482836015</v>
      </c>
      <c r="CU144" s="24">
        <f t="shared" si="1245"/>
        <v>364.24150847464603</v>
      </c>
      <c r="CV144" s="24">
        <f t="shared" si="1245"/>
        <v>273.51021915002599</v>
      </c>
      <c r="CW144" s="24">
        <f t="shared" si="1245"/>
        <v>308.1006169749059</v>
      </c>
      <c r="CX144" s="24">
        <f t="shared" si="1245"/>
        <v>488.54779257823589</v>
      </c>
      <c r="CY144" s="24">
        <f t="shared" si="1245"/>
        <v>403.46172344394614</v>
      </c>
      <c r="CZ144" s="24">
        <f t="shared" si="1245"/>
        <v>302.97483099265088</v>
      </c>
      <c r="DA144" s="24">
        <f t="shared" si="1245"/>
        <v>341.34681676608398</v>
      </c>
      <c r="DB144" s="24">
        <f t="shared" si="1245"/>
        <v>541.23401381743133</v>
      </c>
      <c r="DE144" s="123"/>
      <c r="DF144" s="23">
        <v>214.91679999999999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24.5749</v>
      </c>
      <c r="Q145" s="23">
        <f>'Annual Raw'!R77</f>
        <v>42.169499999999999</v>
      </c>
      <c r="R145" s="23">
        <f>'Annual Raw'!S77</f>
        <v>26.602599999999999</v>
      </c>
      <c r="S145" s="23">
        <f>'Annual Raw'!T77</f>
        <v>26.468599999999999</v>
      </c>
      <c r="T145" s="23">
        <f>'Annual Raw'!U77</f>
        <v>67.003</v>
      </c>
      <c r="U145" s="23">
        <f>'Annual Raw'!V77</f>
        <v>44.454999999999998</v>
      </c>
      <c r="V145" s="23">
        <f>'Annual Raw'!W77</f>
        <v>68.072999999999993</v>
      </c>
      <c r="W145" s="23">
        <f>'Annual Raw'!X77</f>
        <v>152.9734</v>
      </c>
      <c r="X145" s="23">
        <f>'Annual Raw'!Y77</f>
        <v>117.7433</v>
      </c>
      <c r="Y145" s="23">
        <f>'Annual Raw'!Z77</f>
        <v>156.37880000000001</v>
      </c>
      <c r="Z145" s="23">
        <f>'Annual Raw'!AA77</f>
        <v>164.56909999999999</v>
      </c>
      <c r="AA145" s="23">
        <f>'Annual Raw'!AB77</f>
        <v>127.2787</v>
      </c>
      <c r="AB145" s="24">
        <f t="shared" si="1240"/>
        <v>186.00427022286405</v>
      </c>
      <c r="AC145" s="24">
        <f t="shared" si="1241"/>
        <v>206.388407554716</v>
      </c>
      <c r="AD145" s="24">
        <f t="shared" si="1242"/>
        <v>228.69054185136423</v>
      </c>
      <c r="AE145" s="24">
        <f t="shared" si="1243"/>
        <v>253.35310438123784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>
        <f>+BU180*BU10/90</f>
        <v>0</v>
      </c>
      <c r="BV145" s="23">
        <f>+'QTR Raw'!AP82</f>
        <v>152.97300000000001</v>
      </c>
      <c r="BW145" s="23">
        <f>+BW180*BW10/90</f>
        <v>164.33383235194663</v>
      </c>
      <c r="BX145" s="23">
        <f>+'QTR Raw'!AR82</f>
        <v>90.364000000000004</v>
      </c>
      <c r="BY145" s="23">
        <f>+BY180*BY10/90</f>
        <v>112.35592419632361</v>
      </c>
      <c r="BZ145" s="23">
        <f>+'QTR Raw'!AT82</f>
        <v>117.74299999999999</v>
      </c>
      <c r="CA145" s="23">
        <f>+CA180*CA10/90</f>
        <v>105.64737977639751</v>
      </c>
      <c r="CB145" s="23">
        <f>+'QTR Raw'!AV82</f>
        <v>118.861</v>
      </c>
      <c r="CC145" s="23">
        <f>+CC180*CC10/90</f>
        <v>168.85042599280465</v>
      </c>
      <c r="CD145" s="23">
        <f>+'QTR Raw'!AX82</f>
        <v>156.37899999999999</v>
      </c>
      <c r="CE145" s="23">
        <f>+CE180*CE10/90</f>
        <v>117.15384465930507</v>
      </c>
      <c r="CF145" s="23">
        <f>+'QTR Raw'!AZ82</f>
        <v>108.104</v>
      </c>
      <c r="CG145" s="23">
        <f>+CG180*CG10/90</f>
        <v>108.93077946393296</v>
      </c>
      <c r="CH145" s="23">
        <f t="shared" si="1221"/>
        <v>164.56909999999999</v>
      </c>
      <c r="CI145" s="23">
        <f>+CI180*CI10/90</f>
        <v>139.22586719283979</v>
      </c>
      <c r="CJ145" s="23">
        <f>+'QTR Raw'!BD82</f>
        <v>97.355999999999995</v>
      </c>
      <c r="CK145" s="24">
        <f t="shared" ref="CK145:DB145" si="1246">+CK180*CK10/90</f>
        <v>106.28272154178673</v>
      </c>
      <c r="CL145" s="24">
        <f t="shared" si="1246"/>
        <v>166.3630507268733</v>
      </c>
      <c r="CM145" s="24">
        <f t="shared" si="1246"/>
        <v>138.78513721380159</v>
      </c>
      <c r="CN145" s="24">
        <f t="shared" si="1246"/>
        <v>104.91232899841764</v>
      </c>
      <c r="CO145" s="24">
        <f t="shared" si="1246"/>
        <v>117.39765477316082</v>
      </c>
      <c r="CP145" s="24">
        <f t="shared" si="1246"/>
        <v>186.00427022286405</v>
      </c>
      <c r="CQ145" s="24">
        <f t="shared" si="1246"/>
        <v>153.95650859866029</v>
      </c>
      <c r="CR145" s="24">
        <f t="shared" si="1246"/>
        <v>115.65462487498888</v>
      </c>
      <c r="CS145" s="24">
        <f t="shared" si="1246"/>
        <v>130.14557050340551</v>
      </c>
      <c r="CT145" s="24">
        <f t="shared" si="1246"/>
        <v>206.388407554716</v>
      </c>
      <c r="CU145" s="24">
        <f t="shared" si="1246"/>
        <v>170.50243436415829</v>
      </c>
      <c r="CV145" s="24">
        <f t="shared" si="1246"/>
        <v>128.03087265876493</v>
      </c>
      <c r="CW145" s="24">
        <f t="shared" si="1246"/>
        <v>144.22273135017278</v>
      </c>
      <c r="CX145" s="24">
        <f t="shared" si="1246"/>
        <v>228.69054185136423</v>
      </c>
      <c r="CY145" s="24">
        <f t="shared" si="1246"/>
        <v>188.86152297148195</v>
      </c>
      <c r="CZ145" s="24">
        <f t="shared" si="1246"/>
        <v>141.82333708106799</v>
      </c>
      <c r="DA145" s="24">
        <f t="shared" si="1246"/>
        <v>159.78536730973588</v>
      </c>
      <c r="DB145" s="24">
        <f t="shared" si="1246"/>
        <v>253.35310438123784</v>
      </c>
      <c r="DE145" s="123"/>
      <c r="DF145" s="23">
        <v>127.2787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1.7474000000000001</v>
      </c>
      <c r="Q146" s="23">
        <f>'Annual Raw'!R79</f>
        <v>1.7474000000000001</v>
      </c>
      <c r="R146" s="23">
        <f>'Annual Raw'!S79</f>
        <v>9.9002999999999997</v>
      </c>
      <c r="S146" s="23">
        <f>'Annual Raw'!T79</f>
        <v>3.1387999999999998</v>
      </c>
      <c r="T146" s="23">
        <f>'Annual Raw'!U79</f>
        <v>4.6500000000000004</v>
      </c>
      <c r="U146" s="23">
        <f>'Annual Raw'!V79</f>
        <v>24.073</v>
      </c>
      <c r="V146" s="23">
        <f>'Annual Raw'!W79</f>
        <v>9.1588999999999992</v>
      </c>
      <c r="W146" s="23">
        <f>'Annual Raw'!X79</f>
        <v>15.17</v>
      </c>
      <c r="X146" s="23">
        <f>'Annual Raw'!Y79</f>
        <v>9.1719000000000008</v>
      </c>
      <c r="Y146" s="23">
        <f>'Annual Raw'!Z79</f>
        <v>7.2450000000000001</v>
      </c>
      <c r="Z146" s="23">
        <f>'Annual Raw'!AA79</f>
        <v>15.920999999999999</v>
      </c>
      <c r="AA146" s="23">
        <f>'Annual Raw'!AB79</f>
        <v>10.162599999999999</v>
      </c>
      <c r="AB146" s="24">
        <f t="shared" si="1240"/>
        <v>616.91148812483993</v>
      </c>
      <c r="AC146" s="24">
        <f t="shared" si="1241"/>
        <v>684.51858381391571</v>
      </c>
      <c r="AD146" s="24">
        <f t="shared" si="1242"/>
        <v>758.48700852169463</v>
      </c>
      <c r="AE146" s="24">
        <f t="shared" si="1243"/>
        <v>840.28415292621082</v>
      </c>
      <c r="AJ146" s="23">
        <f>+'QTR Raw'!D84</f>
        <v>0</v>
      </c>
      <c r="AK146" s="23">
        <f t="shared" si="1244"/>
        <v>0</v>
      </c>
      <c r="AL146" s="23">
        <f>+'QTR Raw'!F84</f>
        <v>0</v>
      </c>
      <c r="AM146" s="23">
        <f t="shared" si="1244"/>
        <v>0</v>
      </c>
      <c r="AN146" s="23">
        <f>+'QTR Raw'!H84</f>
        <v>0</v>
      </c>
      <c r="AO146" s="23">
        <f t="shared" si="1244"/>
        <v>0</v>
      </c>
      <c r="AP146" s="23">
        <f>+'QTR Raw'!J84</f>
        <v>0</v>
      </c>
      <c r="AQ146" s="23">
        <f t="shared" si="1244"/>
        <v>0</v>
      </c>
      <c r="AR146" s="23">
        <f>+'QTR Raw'!L84</f>
        <v>0</v>
      </c>
      <c r="AS146" s="23">
        <f t="shared" si="1244"/>
        <v>0</v>
      </c>
      <c r="AT146" s="23">
        <f>+'QTR Raw'!N84</f>
        <v>0</v>
      </c>
      <c r="AU146" s="23">
        <f t="shared" si="1244"/>
        <v>0</v>
      </c>
      <c r="AV146" s="23">
        <f>+'QTR Raw'!P84</f>
        <v>0</v>
      </c>
      <c r="AW146" s="23">
        <f t="shared" si="1244"/>
        <v>0</v>
      </c>
      <c r="AX146" s="23">
        <f>+'QTR Raw'!R84</f>
        <v>0</v>
      </c>
      <c r="AY146" s="23">
        <f t="shared" si="1244"/>
        <v>0</v>
      </c>
      <c r="AZ146" s="23">
        <f>+'QTR Raw'!T84</f>
        <v>0</v>
      </c>
      <c r="BA146" s="23">
        <f t="shared" si="1244"/>
        <v>0</v>
      </c>
      <c r="BB146" s="23">
        <f>+'QTR Raw'!V84</f>
        <v>0</v>
      </c>
      <c r="BC146" s="23">
        <f t="shared" si="1244"/>
        <v>0</v>
      </c>
      <c r="BD146" s="23">
        <f>+'QTR Raw'!X84</f>
        <v>0</v>
      </c>
      <c r="BE146" s="23">
        <f t="shared" si="1244"/>
        <v>0</v>
      </c>
      <c r="BF146" s="23">
        <f>+'QTR Raw'!Z84</f>
        <v>0</v>
      </c>
      <c r="BG146" s="23">
        <f t="shared" si="1244"/>
        <v>0</v>
      </c>
      <c r="BH146" s="23">
        <f>+'QTR Raw'!AB84</f>
        <v>0</v>
      </c>
      <c r="BI146" s="23">
        <f t="shared" si="1244"/>
        <v>0</v>
      </c>
      <c r="BJ146" s="23">
        <f>+'QTR Raw'!AD84</f>
        <v>0</v>
      </c>
      <c r="BK146" s="23">
        <f t="shared" si="1244"/>
        <v>0</v>
      </c>
      <c r="BL146" s="23">
        <f>+'QTR Raw'!AF84</f>
        <v>0</v>
      </c>
      <c r="BM146" s="23">
        <f t="shared" si="1244"/>
        <v>0</v>
      </c>
      <c r="BN146" s="23">
        <f>+'QTR Raw'!AH84</f>
        <v>0</v>
      </c>
      <c r="BO146" s="23">
        <f t="shared" si="1244"/>
        <v>0</v>
      </c>
      <c r="BP146" s="23">
        <f>+'QTR Raw'!AJ84</f>
        <v>0</v>
      </c>
      <c r="BQ146" s="23">
        <f t="shared" si="1244"/>
        <v>0</v>
      </c>
      <c r="BR146" s="23">
        <f>+'QTR Raw'!AL84</f>
        <v>0</v>
      </c>
      <c r="BS146" s="23">
        <f t="shared" si="1244"/>
        <v>0</v>
      </c>
      <c r="BT146" s="23">
        <f>+'QTR Raw'!AN84</f>
        <v>0</v>
      </c>
      <c r="BU146" s="23">
        <f t="shared" si="1244"/>
        <v>0</v>
      </c>
      <c r="BV146" s="23">
        <f>+'QTR Raw'!AP84</f>
        <v>54.606000000000002</v>
      </c>
      <c r="BW146" s="23">
        <f t="shared" si="1244"/>
        <v>54.606000000000002</v>
      </c>
      <c r="BX146" s="23">
        <f>+'QTR Raw'!AR84</f>
        <v>66.722999999999999</v>
      </c>
      <c r="BY146" s="23">
        <f t="shared" si="1244"/>
        <v>66.722999999999999</v>
      </c>
      <c r="BZ146" s="23">
        <f>+'QTR Raw'!AT84</f>
        <v>48.033999999999999</v>
      </c>
      <c r="CA146" s="23">
        <f t="shared" si="1244"/>
        <v>48.033999999999999</v>
      </c>
      <c r="CB146" s="23">
        <f>+'QTR Raw'!AV84</f>
        <v>51.161000000000001</v>
      </c>
      <c r="CC146" s="23">
        <f t="shared" si="1244"/>
        <v>51.161000000000001</v>
      </c>
      <c r="CD146" s="23">
        <f>+'QTR Raw'!AX84</f>
        <v>46.706000000000003</v>
      </c>
      <c r="CE146" s="23">
        <f t="shared" si="1244"/>
        <v>46.706000000000003</v>
      </c>
      <c r="CF146" s="23">
        <f>+'QTR Raw'!AZ84</f>
        <v>67.510999999999996</v>
      </c>
      <c r="CG146" s="23">
        <f t="shared" ref="CG146:CG147" si="1247">+CF146</f>
        <v>67.510999999999996</v>
      </c>
      <c r="CH146" s="23">
        <f t="shared" si="1221"/>
        <v>15.920999999999999</v>
      </c>
      <c r="CI146" s="23">
        <f>CI10/90*CI181</f>
        <v>321.04702879213602</v>
      </c>
      <c r="CJ146" s="23">
        <f>+'QTR Raw'!BD84</f>
        <v>114.779</v>
      </c>
      <c r="CK146" s="24">
        <f t="shared" ref="CK146:DB146" si="1248">CK10/90*CK181</f>
        <v>352.50283141210372</v>
      </c>
      <c r="CL146" s="24">
        <f t="shared" si="1248"/>
        <v>551.76839257472045</v>
      </c>
      <c r="CM146" s="24">
        <f t="shared" si="1248"/>
        <v>460.30204266596496</v>
      </c>
      <c r="CN146" s="24">
        <f t="shared" si="1248"/>
        <v>347.95771584979929</v>
      </c>
      <c r="CO146" s="24">
        <f t="shared" si="1248"/>
        <v>389.36720012772236</v>
      </c>
      <c r="CP146" s="24">
        <f t="shared" si="1248"/>
        <v>616.91148812483993</v>
      </c>
      <c r="CQ146" s="24">
        <f t="shared" si="1248"/>
        <v>510.6202062581969</v>
      </c>
      <c r="CR146" s="24">
        <f t="shared" si="1248"/>
        <v>383.58617603059304</v>
      </c>
      <c r="CS146" s="24">
        <f t="shared" si="1248"/>
        <v>431.64760398195926</v>
      </c>
      <c r="CT146" s="24">
        <f t="shared" si="1248"/>
        <v>684.51858381391571</v>
      </c>
      <c r="CU146" s="24">
        <f t="shared" si="1248"/>
        <v>565.49728877983125</v>
      </c>
      <c r="CV146" s="24">
        <f t="shared" si="1248"/>
        <v>424.63388654037311</v>
      </c>
      <c r="CW146" s="24">
        <f t="shared" si="1248"/>
        <v>478.33665169116847</v>
      </c>
      <c r="CX146" s="24">
        <f t="shared" si="1248"/>
        <v>758.48700852169463</v>
      </c>
      <c r="CY146" s="24">
        <f t="shared" si="1248"/>
        <v>626.38800198652007</v>
      </c>
      <c r="CZ146" s="24">
        <f t="shared" si="1248"/>
        <v>470.37869520243777</v>
      </c>
      <c r="DA146" s="24">
        <f t="shared" si="1248"/>
        <v>529.9525038297021</v>
      </c>
      <c r="DB146" s="24">
        <f t="shared" si="1248"/>
        <v>840.28415292621082</v>
      </c>
      <c r="DE146" s="123"/>
      <c r="DF146" s="23">
        <v>10.162599999999999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42.540300000000002</v>
      </c>
      <c r="Q147" s="23">
        <f>'Annual Raw'!R80</f>
        <v>24.849299999999999</v>
      </c>
      <c r="R147" s="23">
        <f>'Annual Raw'!S80</f>
        <v>1.5790999999999999</v>
      </c>
      <c r="S147" s="23">
        <f>'Annual Raw'!T80</f>
        <v>6.4767999999999999</v>
      </c>
      <c r="T147" s="23">
        <f>'Annual Raw'!U80</f>
        <v>6.91</v>
      </c>
      <c r="U147" s="23">
        <f>'Annual Raw'!V80</f>
        <v>23.003</v>
      </c>
      <c r="V147" s="23">
        <f>'Annual Raw'!W80</f>
        <v>39.752000000000002</v>
      </c>
      <c r="W147" s="23">
        <f>'Annual Raw'!X80</f>
        <v>39.901299999999999</v>
      </c>
      <c r="X147" s="23">
        <f>'Annual Raw'!Y80</f>
        <v>60.083599999999997</v>
      </c>
      <c r="Y147" s="23">
        <f>'Annual Raw'!Z80</f>
        <v>39.889299999999999</v>
      </c>
      <c r="Z147" s="23">
        <f>'Annual Raw'!AA80</f>
        <v>249.7577</v>
      </c>
      <c r="AA147" s="23">
        <f>'Annual Raw'!AB80</f>
        <v>117.9452</v>
      </c>
      <c r="AB147" s="24">
        <f t="shared" si="1240"/>
        <v>0</v>
      </c>
      <c r="AC147" s="24">
        <f t="shared" si="1241"/>
        <v>0</v>
      </c>
      <c r="AD147" s="24">
        <f t="shared" si="1242"/>
        <v>0</v>
      </c>
      <c r="AE147" s="24">
        <f t="shared" si="1243"/>
        <v>0</v>
      </c>
      <c r="AJ147" s="23">
        <f>+'QTR Raw'!D85</f>
        <v>0</v>
      </c>
      <c r="AK147" s="23">
        <f t="shared" si="1244"/>
        <v>0</v>
      </c>
      <c r="AL147" s="23">
        <f>+'QTR Raw'!F85</f>
        <v>0</v>
      </c>
      <c r="AM147" s="23">
        <f t="shared" si="1244"/>
        <v>0</v>
      </c>
      <c r="AN147" s="23">
        <f>+'QTR Raw'!H85</f>
        <v>0</v>
      </c>
      <c r="AO147" s="23">
        <f t="shared" si="1244"/>
        <v>0</v>
      </c>
      <c r="AP147" s="23">
        <f>+'QTR Raw'!J85</f>
        <v>0</v>
      </c>
      <c r="AQ147" s="23">
        <f t="shared" si="1244"/>
        <v>0</v>
      </c>
      <c r="AR147" s="23">
        <f>+'QTR Raw'!L85</f>
        <v>0</v>
      </c>
      <c r="AS147" s="23">
        <f t="shared" si="1244"/>
        <v>0</v>
      </c>
      <c r="AT147" s="23">
        <f>+'QTR Raw'!N85</f>
        <v>0</v>
      </c>
      <c r="AU147" s="23">
        <f t="shared" si="1244"/>
        <v>0</v>
      </c>
      <c r="AV147" s="23">
        <f>+'QTR Raw'!P85</f>
        <v>0</v>
      </c>
      <c r="AW147" s="23">
        <f t="shared" si="1244"/>
        <v>0</v>
      </c>
      <c r="AX147" s="23">
        <f>+'QTR Raw'!R85</f>
        <v>0</v>
      </c>
      <c r="AY147" s="23">
        <f t="shared" si="1244"/>
        <v>0</v>
      </c>
      <c r="AZ147" s="23">
        <f>+'QTR Raw'!T85</f>
        <v>0</v>
      </c>
      <c r="BA147" s="23">
        <f t="shared" si="1244"/>
        <v>0</v>
      </c>
      <c r="BB147" s="23">
        <f>+'QTR Raw'!V85</f>
        <v>0</v>
      </c>
      <c r="BC147" s="23">
        <f t="shared" si="1244"/>
        <v>0</v>
      </c>
      <c r="BD147" s="23">
        <f>+'QTR Raw'!X85</f>
        <v>0</v>
      </c>
      <c r="BE147" s="23">
        <f t="shared" si="1244"/>
        <v>0</v>
      </c>
      <c r="BF147" s="23">
        <f>+'QTR Raw'!Z85</f>
        <v>0</v>
      </c>
      <c r="BG147" s="23">
        <f t="shared" si="1244"/>
        <v>0</v>
      </c>
      <c r="BH147" s="23">
        <f>+'QTR Raw'!AB85</f>
        <v>0</v>
      </c>
      <c r="BI147" s="23">
        <f t="shared" si="1244"/>
        <v>0</v>
      </c>
      <c r="BJ147" s="23">
        <f>+'QTR Raw'!AD85</f>
        <v>0</v>
      </c>
      <c r="BK147" s="23">
        <f t="shared" si="1244"/>
        <v>0</v>
      </c>
      <c r="BL147" s="23">
        <f>+'QTR Raw'!AF85</f>
        <v>0</v>
      </c>
      <c r="BM147" s="23">
        <f t="shared" si="1244"/>
        <v>0</v>
      </c>
      <c r="BN147" s="23">
        <f>+'QTR Raw'!AH85</f>
        <v>0</v>
      </c>
      <c r="BO147" s="23">
        <f t="shared" si="1244"/>
        <v>0</v>
      </c>
      <c r="BP147" s="23">
        <f>+'QTR Raw'!AJ85</f>
        <v>0</v>
      </c>
      <c r="BQ147" s="23">
        <f t="shared" si="1244"/>
        <v>0</v>
      </c>
      <c r="BR147" s="23">
        <f>+'QTR Raw'!AL85</f>
        <v>0</v>
      </c>
      <c r="BS147" s="23">
        <f t="shared" si="1244"/>
        <v>0</v>
      </c>
      <c r="BT147" s="23">
        <f>+'QTR Raw'!AN85</f>
        <v>0</v>
      </c>
      <c r="BU147" s="23">
        <f t="shared" si="1244"/>
        <v>0</v>
      </c>
      <c r="BV147" s="23">
        <f>+'QTR Raw'!AP85</f>
        <v>0.46800000000000003</v>
      </c>
      <c r="BW147" s="23">
        <f t="shared" si="1244"/>
        <v>0.46800000000000003</v>
      </c>
      <c r="BX147" s="23">
        <f>+'QTR Raw'!AR85</f>
        <v>0.4</v>
      </c>
      <c r="BY147" s="23">
        <f t="shared" si="1244"/>
        <v>0.4</v>
      </c>
      <c r="BZ147" s="23">
        <f>+'QTR Raw'!AT85</f>
        <v>0.42799999999999999</v>
      </c>
      <c r="CA147" s="23">
        <f t="shared" si="1244"/>
        <v>0.42799999999999999</v>
      </c>
      <c r="CB147" s="23">
        <f>+'QTR Raw'!AV85</f>
        <v>0.55600000000000005</v>
      </c>
      <c r="CC147" s="23">
        <f t="shared" si="1244"/>
        <v>0.55600000000000005</v>
      </c>
      <c r="CD147" s="23">
        <f>+'QTR Raw'!AX85</f>
        <v>0.42799999999999999</v>
      </c>
      <c r="CE147" s="23">
        <f t="shared" si="1244"/>
        <v>0.42799999999999999</v>
      </c>
      <c r="CF147" s="23">
        <f>+'QTR Raw'!AZ85</f>
        <v>0.52900000000000003</v>
      </c>
      <c r="CG147" s="23">
        <f t="shared" si="1247"/>
        <v>0.52900000000000003</v>
      </c>
      <c r="CH147" s="23">
        <f t="shared" si="1221"/>
        <v>249.7577</v>
      </c>
      <c r="CJ147" s="23">
        <f>+'QTR Raw'!BD85</f>
        <v>0.30399999999999999</v>
      </c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117.9452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9">SUM(C142:C147)</f>
        <v>0</v>
      </c>
      <c r="D148" s="22">
        <f t="shared" si="1249"/>
        <v>0</v>
      </c>
      <c r="E148" s="22">
        <f t="shared" si="1249"/>
        <v>0</v>
      </c>
      <c r="F148" s="22">
        <f t="shared" si="1249"/>
        <v>0</v>
      </c>
      <c r="G148" s="22">
        <f t="shared" si="1249"/>
        <v>0</v>
      </c>
      <c r="H148" s="22">
        <f t="shared" si="1249"/>
        <v>0</v>
      </c>
      <c r="I148" s="22">
        <f t="shared" si="1249"/>
        <v>0</v>
      </c>
      <c r="J148" s="22">
        <f t="shared" si="1249"/>
        <v>0</v>
      </c>
      <c r="K148" s="22">
        <f t="shared" si="1249"/>
        <v>0</v>
      </c>
      <c r="L148" s="22">
        <f>SUM(L142:L147)</f>
        <v>0</v>
      </c>
      <c r="M148" s="22">
        <f>SUM(M142:M147)</f>
        <v>0</v>
      </c>
      <c r="N148" s="22">
        <f t="shared" si="1249"/>
        <v>0</v>
      </c>
      <c r="O148" s="22">
        <f t="shared" si="1249"/>
        <v>0</v>
      </c>
      <c r="P148" s="22">
        <f t="shared" si="1249"/>
        <v>209.83160000000001</v>
      </c>
      <c r="Q148" s="22">
        <f t="shared" si="1249"/>
        <v>189.41120000000001</v>
      </c>
      <c r="R148" s="22">
        <f t="shared" si="1249"/>
        <v>182.02930000000001</v>
      </c>
      <c r="S148" s="22">
        <f t="shared" si="1249"/>
        <v>225.54000000000002</v>
      </c>
      <c r="T148" s="22">
        <f t="shared" si="1249"/>
        <v>176.99599999999998</v>
      </c>
      <c r="U148" s="22">
        <f t="shared" si="1249"/>
        <v>205.92000000000002</v>
      </c>
      <c r="V148" s="22">
        <f t="shared" si="1249"/>
        <v>246.43629999999999</v>
      </c>
      <c r="W148" s="22">
        <f t="shared" ref="W148" si="1250">SUM(W142:W147)</f>
        <v>357.9803</v>
      </c>
      <c r="X148" s="22">
        <f t="shared" ref="X148:Y148" si="1251">SUM(X142:X147)</f>
        <v>386.90589999999997</v>
      </c>
      <c r="Y148" s="22">
        <f t="shared" si="1251"/>
        <v>575.86830000000009</v>
      </c>
      <c r="Z148" s="22">
        <f t="shared" ref="Z148:AA148" si="1252">SUM(Z142:Z147)</f>
        <v>712.18509999999992</v>
      </c>
      <c r="AA148" s="22">
        <f t="shared" si="1252"/>
        <v>1007.2737</v>
      </c>
      <c r="AB148" s="21">
        <f t="shared" ref="AB148:AD148" si="1253">SUM(AB142:AB147)</f>
        <v>1200.2735803715266</v>
      </c>
      <c r="AC148" s="21">
        <f t="shared" si="1253"/>
        <v>1331.8111061969919</v>
      </c>
      <c r="AD148" s="21">
        <f t="shared" si="1253"/>
        <v>1475.7253429512948</v>
      </c>
      <c r="AE148" s="21">
        <f t="shared" ref="AE148" si="1254">SUM(AE142:AE147)</f>
        <v>1634.87127112488</v>
      </c>
      <c r="AJ148" s="22">
        <f t="shared" ref="AJ148" si="1255">SUM(AJ142:AJ147)</f>
        <v>0</v>
      </c>
      <c r="AK148" s="22" t="e">
        <f t="shared" ref="AK148" si="1256">SUM(AK142:AK147)</f>
        <v>#DIV/0!</v>
      </c>
      <c r="AL148" s="22">
        <f t="shared" ref="AL148:AM148" si="1257">SUM(AL142:AL147)</f>
        <v>0</v>
      </c>
      <c r="AM148" s="22" t="e">
        <f t="shared" si="1257"/>
        <v>#DIV/0!</v>
      </c>
      <c r="AN148" s="22">
        <f t="shared" ref="AN148:AO148" si="1258">SUM(AN142:AN147)</f>
        <v>0</v>
      </c>
      <c r="AO148" s="22" t="e">
        <f t="shared" si="1258"/>
        <v>#DIV/0!</v>
      </c>
      <c r="AP148" s="22">
        <f t="shared" ref="AP148:CE148" si="1259">SUM(AP142:AP147)</f>
        <v>0</v>
      </c>
      <c r="AQ148" s="22" t="e">
        <f t="shared" si="1259"/>
        <v>#DIV/0!</v>
      </c>
      <c r="AR148" s="22">
        <f t="shared" si="1259"/>
        <v>0</v>
      </c>
      <c r="AS148" s="22" t="e">
        <f t="shared" si="1259"/>
        <v>#DIV/0!</v>
      </c>
      <c r="AT148" s="22">
        <f t="shared" si="1259"/>
        <v>0</v>
      </c>
      <c r="AU148" s="22" t="e">
        <f t="shared" si="1259"/>
        <v>#DIV/0!</v>
      </c>
      <c r="AV148" s="22">
        <f t="shared" si="1259"/>
        <v>0</v>
      </c>
      <c r="AW148" s="22" t="e">
        <f t="shared" si="1259"/>
        <v>#DIV/0!</v>
      </c>
      <c r="AX148" s="22">
        <f t="shared" si="1259"/>
        <v>0</v>
      </c>
      <c r="AY148" s="22" t="e">
        <f t="shared" si="1259"/>
        <v>#DIV/0!</v>
      </c>
      <c r="AZ148" s="22">
        <f t="shared" si="1259"/>
        <v>0</v>
      </c>
      <c r="BA148" s="22" t="e">
        <f t="shared" si="1259"/>
        <v>#DIV/0!</v>
      </c>
      <c r="BB148" s="22">
        <f t="shared" si="1259"/>
        <v>0</v>
      </c>
      <c r="BC148" s="22" t="e">
        <f t="shared" si="1259"/>
        <v>#DIV/0!</v>
      </c>
      <c r="BD148" s="22">
        <f t="shared" si="1259"/>
        <v>0</v>
      </c>
      <c r="BE148" s="22" t="e">
        <f t="shared" si="1259"/>
        <v>#DIV/0!</v>
      </c>
      <c r="BF148" s="22">
        <f t="shared" si="1259"/>
        <v>0</v>
      </c>
      <c r="BG148" s="22" t="e">
        <f t="shared" si="1259"/>
        <v>#DIV/0!</v>
      </c>
      <c r="BH148" s="22">
        <f t="shared" si="1259"/>
        <v>0</v>
      </c>
      <c r="BI148" s="22" t="e">
        <f t="shared" si="1259"/>
        <v>#DIV/0!</v>
      </c>
      <c r="BJ148" s="22">
        <f t="shared" si="1259"/>
        <v>0</v>
      </c>
      <c r="BK148" s="22" t="e">
        <f t="shared" si="1259"/>
        <v>#DIV/0!</v>
      </c>
      <c r="BL148" s="22">
        <f t="shared" si="1259"/>
        <v>0</v>
      </c>
      <c r="BM148" s="22" t="e">
        <f t="shared" si="1259"/>
        <v>#DIV/0!</v>
      </c>
      <c r="BN148" s="22">
        <f t="shared" si="1259"/>
        <v>0</v>
      </c>
      <c r="BO148" s="22" t="e">
        <f t="shared" si="1259"/>
        <v>#DIV/0!</v>
      </c>
      <c r="BP148" s="22">
        <f t="shared" si="1259"/>
        <v>0</v>
      </c>
      <c r="BQ148" s="22" t="e">
        <f t="shared" si="1259"/>
        <v>#DIV/0!</v>
      </c>
      <c r="BR148" s="22">
        <f t="shared" si="1259"/>
        <v>0</v>
      </c>
      <c r="BS148" s="22" t="e">
        <f t="shared" si="1259"/>
        <v>#DIV/0!</v>
      </c>
      <c r="BT148" s="22">
        <f t="shared" si="1259"/>
        <v>0</v>
      </c>
      <c r="BU148" s="22">
        <f t="shared" si="1259"/>
        <v>0</v>
      </c>
      <c r="BV148" s="22">
        <f t="shared" si="1259"/>
        <v>398.536</v>
      </c>
      <c r="BW148" s="22">
        <f t="shared" si="1259"/>
        <v>418.86730986951233</v>
      </c>
      <c r="BX148" s="22">
        <f t="shared" si="1259"/>
        <v>338.38499999999999</v>
      </c>
      <c r="BY148" s="22">
        <f t="shared" si="1259"/>
        <v>388.19732646552751</v>
      </c>
      <c r="BZ148" s="22">
        <f t="shared" si="1259"/>
        <v>411.137</v>
      </c>
      <c r="CA148" s="22">
        <f t="shared" si="1259"/>
        <v>381.80715242366784</v>
      </c>
      <c r="CB148" s="22">
        <f t="shared" si="1259"/>
        <v>383.755</v>
      </c>
      <c r="CC148" s="22">
        <f t="shared" si="1259"/>
        <v>493.77328954607265</v>
      </c>
      <c r="CD148" s="22">
        <f t="shared" si="1259"/>
        <v>493.07100000000003</v>
      </c>
      <c r="CE148" s="22">
        <f t="shared" si="1259"/>
        <v>421.91644430002998</v>
      </c>
      <c r="CF148" s="22">
        <f t="shared" ref="CF148:CG148" si="1260">SUM(CF142:CF147)</f>
        <v>409.10299999999995</v>
      </c>
      <c r="CG148" s="22">
        <f t="shared" si="1260"/>
        <v>410.87760383439729</v>
      </c>
      <c r="CH148" s="22">
        <f t="shared" ref="CH148:CI148" si="1261">SUM(CH142:CH147)</f>
        <v>712.18509999999992</v>
      </c>
      <c r="CI148" s="22">
        <f t="shared" si="1261"/>
        <v>602.51036281610163</v>
      </c>
      <c r="CJ148" s="22">
        <f t="shared" ref="CJ148:DB148" si="1262">SUM(CJ142:CJ147)</f>
        <v>628.23199999999997</v>
      </c>
      <c r="CK148" s="21">
        <f t="shared" si="1262"/>
        <v>685.83555938657878</v>
      </c>
      <c r="CL148" s="21">
        <f t="shared" si="1262"/>
        <v>1073.5300555101389</v>
      </c>
      <c r="CM148" s="21">
        <f t="shared" si="1262"/>
        <v>895.5715551388821</v>
      </c>
      <c r="CN148" s="21">
        <f t="shared" si="1262"/>
        <v>676.99250453319678</v>
      </c>
      <c r="CO148" s="21">
        <f t="shared" si="1262"/>
        <v>757.55950792403519</v>
      </c>
      <c r="CP148" s="21">
        <f t="shared" si="1262"/>
        <v>1200.2735803715266</v>
      </c>
      <c r="CQ148" s="21">
        <f t="shared" si="1262"/>
        <v>993.4714379180898</v>
      </c>
      <c r="CR148" s="21">
        <f t="shared" si="1262"/>
        <v>746.31184821134832</v>
      </c>
      <c r="CS148" s="21">
        <f t="shared" si="1262"/>
        <v>839.82098739158812</v>
      </c>
      <c r="CT148" s="21">
        <f t="shared" si="1262"/>
        <v>1331.8111061969919</v>
      </c>
      <c r="CU148" s="21">
        <f t="shared" si="1262"/>
        <v>1100.2412316186355</v>
      </c>
      <c r="CV148" s="21">
        <f t="shared" si="1262"/>
        <v>826.17497834916412</v>
      </c>
      <c r="CW148" s="21">
        <f t="shared" si="1262"/>
        <v>930.66000001624707</v>
      </c>
      <c r="CX148" s="21">
        <f t="shared" si="1262"/>
        <v>1475.7253429512948</v>
      </c>
      <c r="CY148" s="21">
        <f t="shared" si="1262"/>
        <v>1218.7112484019481</v>
      </c>
      <c r="CZ148" s="21">
        <f t="shared" si="1262"/>
        <v>915.17686327615661</v>
      </c>
      <c r="DA148" s="21">
        <f t="shared" si="1262"/>
        <v>1031.0846879055221</v>
      </c>
      <c r="DB148" s="21">
        <f t="shared" si="1262"/>
        <v>1634.87127112488</v>
      </c>
      <c r="DE148" s="126"/>
      <c r="DF148" s="22">
        <v>1007.2737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10.523999999999999</v>
      </c>
      <c r="Q149" s="23">
        <f>'Annual Raw'!R50+'Annual Raw'!R58</f>
        <v>112.8031</v>
      </c>
      <c r="R149" s="23">
        <f>'Annual Raw'!S50+'Annual Raw'!S58</f>
        <v>103.6232</v>
      </c>
      <c r="S149" s="23">
        <f>'Annual Raw'!T50+'Annual Raw'!T58</f>
        <v>82.700299999999999</v>
      </c>
      <c r="T149" s="23">
        <f>'Annual Raw'!U50+'Annual Raw'!U58</f>
        <v>334.178</v>
      </c>
      <c r="U149" s="23">
        <f>'Annual Raw'!V50+'Annual Raw'!V58</f>
        <v>320.84100000000001</v>
      </c>
      <c r="V149" s="23">
        <f>'Annual Raw'!W50+'Annual Raw'!W58</f>
        <v>330.94409999999999</v>
      </c>
      <c r="W149" s="23">
        <f>'Annual Raw'!X50+'Annual Raw'!X58</f>
        <v>240.70840000000001</v>
      </c>
      <c r="X149" s="23">
        <f>'Annual Raw'!Y50+'Annual Raw'!Y58</f>
        <v>35.712000000000003</v>
      </c>
      <c r="Y149" s="23">
        <f>'Annual Raw'!Z50+'Annual Raw'!Z58</f>
        <v>31.2256</v>
      </c>
      <c r="Z149" s="23">
        <f>'Annual Raw'!AA50+'Annual Raw'!AA58</f>
        <v>42.186999999999998</v>
      </c>
      <c r="AA149" s="23">
        <f>'Annual Raw'!AB50+'Annual Raw'!AB58</f>
        <v>45.044600000000003</v>
      </c>
      <c r="AB149" s="24">
        <f t="shared" ref="AB149:AB155" si="1263">+CP149</f>
        <v>0</v>
      </c>
      <c r="AC149" s="24">
        <f t="shared" ref="AC149:AC155" si="1264">+CT149</f>
        <v>0</v>
      </c>
      <c r="AD149" s="24">
        <f t="shared" ref="AD149:AD155" si="1265">+CX149</f>
        <v>0</v>
      </c>
      <c r="AE149" s="24">
        <f t="shared" ref="AE149:AE155" si="1266">+DB149</f>
        <v>0</v>
      </c>
      <c r="AJ149" s="23">
        <f>+'QTR Raw'!D64</f>
        <v>0</v>
      </c>
      <c r="AK149" s="23">
        <f t="shared" ref="AK149:CE155" si="1267">+AJ149</f>
        <v>0</v>
      </c>
      <c r="AL149" s="23">
        <f>+'QTR Raw'!F64</f>
        <v>0</v>
      </c>
      <c r="AM149" s="23">
        <f t="shared" si="1267"/>
        <v>0</v>
      </c>
      <c r="AN149" s="23">
        <f>+'QTR Raw'!H64</f>
        <v>0</v>
      </c>
      <c r="AO149" s="23">
        <f t="shared" si="1267"/>
        <v>0</v>
      </c>
      <c r="AP149" s="23">
        <f>+'QTR Raw'!J64</f>
        <v>0</v>
      </c>
      <c r="AQ149" s="23">
        <f t="shared" si="1267"/>
        <v>0</v>
      </c>
      <c r="AR149" s="23">
        <f>+'QTR Raw'!L64</f>
        <v>0</v>
      </c>
      <c r="AS149" s="23">
        <f t="shared" si="1267"/>
        <v>0</v>
      </c>
      <c r="AT149" s="23">
        <f>+'QTR Raw'!N64</f>
        <v>0</v>
      </c>
      <c r="AU149" s="23">
        <f t="shared" si="1267"/>
        <v>0</v>
      </c>
      <c r="AV149" s="23">
        <f>+'QTR Raw'!P64</f>
        <v>0</v>
      </c>
      <c r="AW149" s="23">
        <f t="shared" si="1267"/>
        <v>0</v>
      </c>
      <c r="AX149" s="23">
        <f>+'QTR Raw'!R64</f>
        <v>0</v>
      </c>
      <c r="AY149" s="23">
        <f t="shared" si="1267"/>
        <v>0</v>
      </c>
      <c r="AZ149" s="23">
        <f>+'QTR Raw'!T64</f>
        <v>0</v>
      </c>
      <c r="BA149" s="23">
        <f t="shared" si="1267"/>
        <v>0</v>
      </c>
      <c r="BB149" s="23">
        <f>+'QTR Raw'!V64</f>
        <v>0</v>
      </c>
      <c r="BC149" s="23">
        <f t="shared" si="1267"/>
        <v>0</v>
      </c>
      <c r="BD149" s="23">
        <f>+'QTR Raw'!X64</f>
        <v>0</v>
      </c>
      <c r="BE149" s="23">
        <f t="shared" si="1267"/>
        <v>0</v>
      </c>
      <c r="BF149" s="23">
        <f>+'QTR Raw'!Z64</f>
        <v>0</v>
      </c>
      <c r="BG149" s="23">
        <f t="shared" si="1267"/>
        <v>0</v>
      </c>
      <c r="BH149" s="23">
        <f>+'QTR Raw'!AB64</f>
        <v>0</v>
      </c>
      <c r="BI149" s="23">
        <f t="shared" si="1267"/>
        <v>0</v>
      </c>
      <c r="BJ149" s="23">
        <f>+'QTR Raw'!AD64</f>
        <v>0</v>
      </c>
      <c r="BK149" s="23">
        <f t="shared" si="1267"/>
        <v>0</v>
      </c>
      <c r="BL149" s="23">
        <f>+'QTR Raw'!AF64</f>
        <v>0</v>
      </c>
      <c r="BM149" s="23">
        <f t="shared" si="1267"/>
        <v>0</v>
      </c>
      <c r="BN149" s="23">
        <f>+'QTR Raw'!AH64</f>
        <v>0</v>
      </c>
      <c r="BO149" s="23">
        <f t="shared" si="1267"/>
        <v>0</v>
      </c>
      <c r="BP149" s="23">
        <f>+'QTR Raw'!AJ64</f>
        <v>0</v>
      </c>
      <c r="BQ149" s="23">
        <f t="shared" si="1267"/>
        <v>0</v>
      </c>
      <c r="BR149" s="23">
        <f>+'QTR Raw'!AL64</f>
        <v>0</v>
      </c>
      <c r="BS149" s="23">
        <f t="shared" si="1267"/>
        <v>0</v>
      </c>
      <c r="BT149" s="23">
        <f>+'QTR Raw'!AN64</f>
        <v>0</v>
      </c>
      <c r="BU149" s="23">
        <f t="shared" si="1267"/>
        <v>0</v>
      </c>
      <c r="BV149" s="23">
        <f>+'QTR Raw'!AP64</f>
        <v>240.709</v>
      </c>
      <c r="BW149" s="23">
        <f t="shared" si="1267"/>
        <v>240.709</v>
      </c>
      <c r="BX149" s="23">
        <f>+'QTR Raw'!AR64</f>
        <v>77.238</v>
      </c>
      <c r="BY149" s="23">
        <f t="shared" si="1267"/>
        <v>77.238</v>
      </c>
      <c r="BZ149" s="23">
        <f>+'QTR Raw'!AT64</f>
        <v>35.712000000000003</v>
      </c>
      <c r="CA149" s="23">
        <f t="shared" si="1267"/>
        <v>35.712000000000003</v>
      </c>
      <c r="CB149" s="23">
        <f>+'QTR Raw'!AV64</f>
        <v>32.311</v>
      </c>
      <c r="CC149" s="23">
        <f t="shared" si="1267"/>
        <v>32.311</v>
      </c>
      <c r="CD149" s="23">
        <f>+'QTR Raw'!AX64</f>
        <v>31.225999999999999</v>
      </c>
      <c r="CE149" s="23">
        <f t="shared" si="1267"/>
        <v>31.225999999999999</v>
      </c>
      <c r="CF149" s="23">
        <f>+'QTR Raw'!AZ64</f>
        <v>29.331</v>
      </c>
      <c r="CG149" s="23">
        <f t="shared" ref="CG149:CG152" si="1268">+CF149</f>
        <v>29.331</v>
      </c>
      <c r="CH149" s="23">
        <f t="shared" si="1221"/>
        <v>42.186999999999998</v>
      </c>
      <c r="CJ149" s="23">
        <f>+'QTR Raw'!BD64</f>
        <v>53.295999999999999</v>
      </c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45.044600000000003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3"/>
        <v>0</v>
      </c>
      <c r="AC150" s="24">
        <f t="shared" si="1264"/>
        <v>0</v>
      </c>
      <c r="AD150" s="24">
        <f t="shared" si="1265"/>
        <v>0</v>
      </c>
      <c r="AE150" s="24">
        <f t="shared" si="1266"/>
        <v>0</v>
      </c>
      <c r="AJ150" s="23">
        <f>+'QTR Raw'!D65</f>
        <v>0</v>
      </c>
      <c r="AK150" s="23">
        <f t="shared" si="1267"/>
        <v>0</v>
      </c>
      <c r="AL150" s="23">
        <f>+'QTR Raw'!F65</f>
        <v>0</v>
      </c>
      <c r="AM150" s="23">
        <f t="shared" si="1267"/>
        <v>0</v>
      </c>
      <c r="AN150" s="23">
        <f>+'QTR Raw'!H65</f>
        <v>0</v>
      </c>
      <c r="AO150" s="23">
        <f t="shared" si="1267"/>
        <v>0</v>
      </c>
      <c r="AP150" s="23">
        <f>+'QTR Raw'!J65</f>
        <v>0</v>
      </c>
      <c r="AQ150" s="23">
        <f t="shared" si="1267"/>
        <v>0</v>
      </c>
      <c r="AR150" s="23">
        <f>+'QTR Raw'!L65</f>
        <v>0</v>
      </c>
      <c r="AS150" s="23">
        <f t="shared" si="1267"/>
        <v>0</v>
      </c>
      <c r="AT150" s="23">
        <f>+'QTR Raw'!N65</f>
        <v>0</v>
      </c>
      <c r="AU150" s="23">
        <f t="shared" si="1267"/>
        <v>0</v>
      </c>
      <c r="AV150" s="23">
        <f>+'QTR Raw'!P65</f>
        <v>0</v>
      </c>
      <c r="AW150" s="23">
        <f t="shared" si="1267"/>
        <v>0</v>
      </c>
      <c r="AX150" s="23">
        <f>+'QTR Raw'!R65</f>
        <v>0</v>
      </c>
      <c r="AY150" s="23">
        <f t="shared" si="1267"/>
        <v>0</v>
      </c>
      <c r="AZ150" s="23">
        <f>+'QTR Raw'!T65</f>
        <v>0</v>
      </c>
      <c r="BA150" s="23">
        <f t="shared" si="1267"/>
        <v>0</v>
      </c>
      <c r="BB150" s="23">
        <f>+'QTR Raw'!V65</f>
        <v>0</v>
      </c>
      <c r="BC150" s="23">
        <f t="shared" si="1267"/>
        <v>0</v>
      </c>
      <c r="BD150" s="23">
        <f>+'QTR Raw'!X65</f>
        <v>0</v>
      </c>
      <c r="BE150" s="23">
        <f t="shared" si="1267"/>
        <v>0</v>
      </c>
      <c r="BF150" s="23">
        <f>+'QTR Raw'!Z65</f>
        <v>0</v>
      </c>
      <c r="BG150" s="23">
        <f t="shared" si="1267"/>
        <v>0</v>
      </c>
      <c r="BH150" s="23">
        <f>+'QTR Raw'!AB65</f>
        <v>0</v>
      </c>
      <c r="BI150" s="23">
        <f t="shared" si="1267"/>
        <v>0</v>
      </c>
      <c r="BJ150" s="23">
        <f>+'QTR Raw'!AD65</f>
        <v>0</v>
      </c>
      <c r="BK150" s="23">
        <f t="shared" si="1267"/>
        <v>0</v>
      </c>
      <c r="BL150" s="23">
        <f>+'QTR Raw'!AF65</f>
        <v>0</v>
      </c>
      <c r="BM150" s="23">
        <f t="shared" si="1267"/>
        <v>0</v>
      </c>
      <c r="BN150" s="23">
        <f>+'QTR Raw'!AH65</f>
        <v>0</v>
      </c>
      <c r="BO150" s="23">
        <f t="shared" si="1267"/>
        <v>0</v>
      </c>
      <c r="BP150" s="23">
        <f>+'QTR Raw'!AJ65</f>
        <v>0</v>
      </c>
      <c r="BQ150" s="23">
        <f t="shared" si="1267"/>
        <v>0</v>
      </c>
      <c r="BR150" s="23">
        <f>+'QTR Raw'!AL65</f>
        <v>0</v>
      </c>
      <c r="BS150" s="23">
        <f t="shared" si="1267"/>
        <v>0</v>
      </c>
      <c r="BT150" s="23">
        <f>+'QTR Raw'!AN65</f>
        <v>0</v>
      </c>
      <c r="BU150" s="23">
        <f t="shared" si="1267"/>
        <v>0</v>
      </c>
      <c r="BV150" s="23">
        <f>+'QTR Raw'!AP65</f>
        <v>0</v>
      </c>
      <c r="BW150" s="23">
        <f t="shared" si="1267"/>
        <v>0</v>
      </c>
      <c r="BX150" s="23">
        <f>+'QTR Raw'!AR65</f>
        <v>0</v>
      </c>
      <c r="BY150" s="23">
        <f t="shared" si="1267"/>
        <v>0</v>
      </c>
      <c r="BZ150" s="23">
        <f>+'QTR Raw'!AT65</f>
        <v>0</v>
      </c>
      <c r="CA150" s="23">
        <f t="shared" si="1267"/>
        <v>0</v>
      </c>
      <c r="CB150" s="23">
        <f>+'QTR Raw'!AV65</f>
        <v>0</v>
      </c>
      <c r="CC150" s="23">
        <f t="shared" si="1267"/>
        <v>0</v>
      </c>
      <c r="CD150" s="23">
        <f>+'QTR Raw'!AX65</f>
        <v>0</v>
      </c>
      <c r="CE150" s="23">
        <f t="shared" si="1267"/>
        <v>0</v>
      </c>
      <c r="CF150" s="23">
        <f>+'QTR Raw'!AZ65</f>
        <v>0</v>
      </c>
      <c r="CG150" s="23">
        <f t="shared" si="1268"/>
        <v>0</v>
      </c>
      <c r="CH150" s="23">
        <f t="shared" si="1221"/>
        <v>0</v>
      </c>
      <c r="CJ150" s="23">
        <f>+'QTR Raw'!BD65</f>
        <v>0</v>
      </c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0.42699999999999999</v>
      </c>
      <c r="Q151" s="23">
        <f>'Annual Raw'!R52</f>
        <v>0.2515</v>
      </c>
      <c r="R151" s="23">
        <f>'Annual Raw'!S52</f>
        <v>0.35820000000000002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0.41189999999999999</v>
      </c>
      <c r="W151" s="23">
        <f>'Annual Raw'!X52</f>
        <v>0.33829999999999999</v>
      </c>
      <c r="X151" s="23">
        <f>'Annual Raw'!Y52</f>
        <v>4.7899999999999998E-2</v>
      </c>
      <c r="Y151" s="23">
        <f>'Annual Raw'!Z52</f>
        <v>129.44710000000001</v>
      </c>
      <c r="Z151" s="23">
        <f>'Annual Raw'!AA52</f>
        <v>15.1569</v>
      </c>
      <c r="AA151" s="23">
        <f>'Annual Raw'!AB52</f>
        <v>234.28960000000001</v>
      </c>
      <c r="AB151" s="24">
        <f t="shared" si="1263"/>
        <v>0</v>
      </c>
      <c r="AC151" s="24">
        <f t="shared" si="1264"/>
        <v>0</v>
      </c>
      <c r="AD151" s="24">
        <f t="shared" si="1265"/>
        <v>0</v>
      </c>
      <c r="AE151" s="24">
        <f t="shared" si="1266"/>
        <v>0</v>
      </c>
      <c r="AJ151" s="23">
        <f>+'QTR Raw'!D66</f>
        <v>0</v>
      </c>
      <c r="AK151" s="23">
        <f t="shared" si="1267"/>
        <v>0</v>
      </c>
      <c r="AL151" s="23">
        <f>+'QTR Raw'!F66</f>
        <v>0</v>
      </c>
      <c r="AM151" s="23">
        <f t="shared" si="1267"/>
        <v>0</v>
      </c>
      <c r="AN151" s="23">
        <f>+'QTR Raw'!H66</f>
        <v>0</v>
      </c>
      <c r="AO151" s="23">
        <f t="shared" si="1267"/>
        <v>0</v>
      </c>
      <c r="AP151" s="23">
        <f>+'QTR Raw'!J66</f>
        <v>0</v>
      </c>
      <c r="AQ151" s="23">
        <f t="shared" si="1267"/>
        <v>0</v>
      </c>
      <c r="AR151" s="23">
        <f>+'QTR Raw'!L66</f>
        <v>0</v>
      </c>
      <c r="AS151" s="23">
        <f t="shared" si="1267"/>
        <v>0</v>
      </c>
      <c r="AT151" s="23">
        <f>+'QTR Raw'!N66</f>
        <v>0</v>
      </c>
      <c r="AU151" s="23">
        <f t="shared" si="1267"/>
        <v>0</v>
      </c>
      <c r="AV151" s="23">
        <f>+'QTR Raw'!P66</f>
        <v>0</v>
      </c>
      <c r="AW151" s="23">
        <f t="shared" si="1267"/>
        <v>0</v>
      </c>
      <c r="AX151" s="23">
        <f>+'QTR Raw'!R66</f>
        <v>0</v>
      </c>
      <c r="AY151" s="23">
        <f t="shared" si="1267"/>
        <v>0</v>
      </c>
      <c r="AZ151" s="23">
        <f>+'QTR Raw'!T66</f>
        <v>0</v>
      </c>
      <c r="BA151" s="23">
        <f t="shared" si="1267"/>
        <v>0</v>
      </c>
      <c r="BB151" s="23">
        <f>+'QTR Raw'!V66</f>
        <v>0</v>
      </c>
      <c r="BC151" s="23">
        <f t="shared" si="1267"/>
        <v>0</v>
      </c>
      <c r="BD151" s="23">
        <f>+'QTR Raw'!X66</f>
        <v>0</v>
      </c>
      <c r="BE151" s="23">
        <f t="shared" si="1267"/>
        <v>0</v>
      </c>
      <c r="BF151" s="23">
        <f>+'QTR Raw'!Z66</f>
        <v>0</v>
      </c>
      <c r="BG151" s="23">
        <f t="shared" si="1267"/>
        <v>0</v>
      </c>
      <c r="BH151" s="23">
        <f>+'QTR Raw'!AB66</f>
        <v>0</v>
      </c>
      <c r="BI151" s="23">
        <f t="shared" si="1267"/>
        <v>0</v>
      </c>
      <c r="BJ151" s="23">
        <f>+'QTR Raw'!AD66</f>
        <v>0</v>
      </c>
      <c r="BK151" s="23">
        <f t="shared" si="1267"/>
        <v>0</v>
      </c>
      <c r="BL151" s="23">
        <f>+'QTR Raw'!AF66</f>
        <v>0</v>
      </c>
      <c r="BM151" s="23">
        <f t="shared" si="1267"/>
        <v>0</v>
      </c>
      <c r="BN151" s="23">
        <f>+'QTR Raw'!AH66</f>
        <v>0</v>
      </c>
      <c r="BO151" s="23">
        <f t="shared" si="1267"/>
        <v>0</v>
      </c>
      <c r="BP151" s="23">
        <f>+'QTR Raw'!AJ66</f>
        <v>0</v>
      </c>
      <c r="BQ151" s="23">
        <f t="shared" si="1267"/>
        <v>0</v>
      </c>
      <c r="BR151" s="23">
        <f>+'QTR Raw'!AL66</f>
        <v>0</v>
      </c>
      <c r="BS151" s="23">
        <f t="shared" si="1267"/>
        <v>0</v>
      </c>
      <c r="BT151" s="23">
        <f>+'QTR Raw'!AN66</f>
        <v>0</v>
      </c>
      <c r="BU151" s="23">
        <f t="shared" si="1267"/>
        <v>0</v>
      </c>
      <c r="BV151" s="23">
        <f>+'QTR Raw'!AP66</f>
        <v>0.33800000000000002</v>
      </c>
      <c r="BW151" s="23">
        <f t="shared" si="1267"/>
        <v>0.33800000000000002</v>
      </c>
      <c r="BX151" s="23">
        <f>+'QTR Raw'!AR66</f>
        <v>0</v>
      </c>
      <c r="BY151" s="23">
        <f t="shared" si="1267"/>
        <v>0</v>
      </c>
      <c r="BZ151" s="23">
        <f>+'QTR Raw'!AT66</f>
        <v>4.8000000000000001E-2</v>
      </c>
      <c r="CA151" s="23">
        <f t="shared" si="1267"/>
        <v>4.8000000000000001E-2</v>
      </c>
      <c r="CB151" s="23">
        <f>+'QTR Raw'!AV66</f>
        <v>4.2000000000000003E-2</v>
      </c>
      <c r="CC151" s="23">
        <f t="shared" si="1267"/>
        <v>4.2000000000000003E-2</v>
      </c>
      <c r="CD151" s="23">
        <f>+'QTR Raw'!AX66</f>
        <v>5.0679999999999996</v>
      </c>
      <c r="CE151" s="23">
        <f t="shared" si="1267"/>
        <v>5.0679999999999996</v>
      </c>
      <c r="CF151" s="23">
        <f>+'QTR Raw'!AZ66</f>
        <v>5</v>
      </c>
      <c r="CG151" s="23">
        <f t="shared" si="1268"/>
        <v>5</v>
      </c>
      <c r="CH151" s="23">
        <f t="shared" si="1221"/>
        <v>15.1569</v>
      </c>
      <c r="CJ151" s="23">
        <f>+'QTR Raw'!BD66</f>
        <v>15.057</v>
      </c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234.28960000000001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3"/>
        <v>215.37718663691473</v>
      </c>
      <c r="AC152" s="24">
        <f t="shared" si="1264"/>
        <v>238.98029072315151</v>
      </c>
      <c r="AD152" s="24">
        <f t="shared" si="1265"/>
        <v>264.80427280192589</v>
      </c>
      <c r="AE152" s="24">
        <f t="shared" si="1266"/>
        <v>293.36143079930304</v>
      </c>
      <c r="AJ152" s="23">
        <f>+'QTR Raw'!D87</f>
        <v>0</v>
      </c>
      <c r="AK152" s="23">
        <f t="shared" si="1267"/>
        <v>0</v>
      </c>
      <c r="AL152" s="23">
        <f>+'QTR Raw'!F87</f>
        <v>0</v>
      </c>
      <c r="AM152" s="23">
        <f t="shared" si="1267"/>
        <v>0</v>
      </c>
      <c r="AN152" s="23">
        <f>+'QTR Raw'!H87</f>
        <v>0</v>
      </c>
      <c r="AO152" s="23">
        <f t="shared" si="1267"/>
        <v>0</v>
      </c>
      <c r="AP152" s="23">
        <f>+'QTR Raw'!J87</f>
        <v>0</v>
      </c>
      <c r="AQ152" s="23">
        <f t="shared" si="1267"/>
        <v>0</v>
      </c>
      <c r="AR152" s="23">
        <f>+'QTR Raw'!L87</f>
        <v>0</v>
      </c>
      <c r="AS152" s="23">
        <f t="shared" si="1267"/>
        <v>0</v>
      </c>
      <c r="AT152" s="23">
        <f>+'QTR Raw'!N87</f>
        <v>0</v>
      </c>
      <c r="AU152" s="23">
        <f t="shared" si="1267"/>
        <v>0</v>
      </c>
      <c r="AV152" s="23">
        <f>+'QTR Raw'!P87</f>
        <v>0</v>
      </c>
      <c r="AW152" s="23">
        <f t="shared" si="1267"/>
        <v>0</v>
      </c>
      <c r="AX152" s="23">
        <f>+'QTR Raw'!R87</f>
        <v>0</v>
      </c>
      <c r="AY152" s="23">
        <f t="shared" si="1267"/>
        <v>0</v>
      </c>
      <c r="AZ152" s="23">
        <f>+'QTR Raw'!T87</f>
        <v>0</v>
      </c>
      <c r="BA152" s="23">
        <f t="shared" si="1267"/>
        <v>0</v>
      </c>
      <c r="BB152" s="23">
        <f>+'QTR Raw'!V87</f>
        <v>0</v>
      </c>
      <c r="BC152" s="23">
        <f t="shared" si="1267"/>
        <v>0</v>
      </c>
      <c r="BD152" s="23">
        <f>+'QTR Raw'!X87</f>
        <v>0</v>
      </c>
      <c r="BE152" s="23">
        <f t="shared" si="1267"/>
        <v>0</v>
      </c>
      <c r="BF152" s="23">
        <f>+'QTR Raw'!Z87</f>
        <v>0</v>
      </c>
      <c r="BG152" s="23">
        <f t="shared" si="1267"/>
        <v>0</v>
      </c>
      <c r="BH152" s="23">
        <f>+'QTR Raw'!AB87</f>
        <v>0</v>
      </c>
      <c r="BI152" s="23">
        <f t="shared" si="1267"/>
        <v>0</v>
      </c>
      <c r="BJ152" s="23">
        <f>+'QTR Raw'!AD87</f>
        <v>0</v>
      </c>
      <c r="BK152" s="23">
        <f t="shared" si="1267"/>
        <v>0</v>
      </c>
      <c r="BL152" s="23">
        <f>+'QTR Raw'!AF87</f>
        <v>0</v>
      </c>
      <c r="BM152" s="23">
        <f t="shared" si="1267"/>
        <v>0</v>
      </c>
      <c r="BN152" s="23">
        <f>+'QTR Raw'!AH87</f>
        <v>0</v>
      </c>
      <c r="BO152" s="23">
        <f t="shared" si="1267"/>
        <v>0</v>
      </c>
      <c r="BP152" s="23">
        <f>+'QTR Raw'!AJ87</f>
        <v>0</v>
      </c>
      <c r="BQ152" s="23">
        <f t="shared" si="1267"/>
        <v>0</v>
      </c>
      <c r="BR152" s="23">
        <f>+'QTR Raw'!AL87</f>
        <v>0</v>
      </c>
      <c r="BS152" s="23">
        <f t="shared" si="1267"/>
        <v>0</v>
      </c>
      <c r="BT152" s="23">
        <f>+'QTR Raw'!AN87</f>
        <v>0</v>
      </c>
      <c r="BU152" s="23">
        <f t="shared" si="1267"/>
        <v>0</v>
      </c>
      <c r="BV152" s="23">
        <f>+'QTR Raw'!AP87</f>
        <v>0</v>
      </c>
      <c r="BW152" s="23">
        <f t="shared" si="1267"/>
        <v>0</v>
      </c>
      <c r="BX152" s="23">
        <f>+'QTR Raw'!AR87</f>
        <v>0</v>
      </c>
      <c r="BY152" s="23">
        <f t="shared" si="1267"/>
        <v>0</v>
      </c>
      <c r="BZ152" s="23">
        <f>+'QTR Raw'!AT87</f>
        <v>0</v>
      </c>
      <c r="CA152" s="23">
        <f t="shared" si="1267"/>
        <v>0</v>
      </c>
      <c r="CB152" s="23">
        <f>+'QTR Raw'!AV87</f>
        <v>0</v>
      </c>
      <c r="CC152" s="23">
        <f t="shared" si="1267"/>
        <v>0</v>
      </c>
      <c r="CD152" s="23">
        <f>+'QTR Raw'!AX87</f>
        <v>0</v>
      </c>
      <c r="CE152" s="23">
        <f t="shared" si="1267"/>
        <v>0</v>
      </c>
      <c r="CF152" s="23">
        <f>+'QTR Raw'!AZ87</f>
        <v>0</v>
      </c>
      <c r="CG152" s="23">
        <f t="shared" si="1268"/>
        <v>0</v>
      </c>
      <c r="CH152" s="23">
        <f t="shared" si="1221"/>
        <v>0</v>
      </c>
      <c r="CI152" s="23">
        <f>CI10/90*CI184</f>
        <v>241.19945325962084</v>
      </c>
      <c r="CJ152" s="23">
        <f>+'QTR Raw'!BD87</f>
        <v>0</v>
      </c>
      <c r="CK152" s="24">
        <f t="shared" ref="CK152:DB152" si="1269">CK10/90*CK184</f>
        <v>123.06638727356939</v>
      </c>
      <c r="CL152" s="24">
        <f t="shared" si="1269"/>
        <v>192.63431846460858</v>
      </c>
      <c r="CM152" s="24">
        <f t="shared" si="1269"/>
        <v>160.70143101721374</v>
      </c>
      <c r="CN152" s="24">
        <f t="shared" si="1269"/>
        <v>121.47958880799973</v>
      </c>
      <c r="CO152" s="24">
        <f t="shared" si="1269"/>
        <v>135.93653829839377</v>
      </c>
      <c r="CP152" s="24">
        <f t="shared" si="1269"/>
        <v>215.37718663691473</v>
      </c>
      <c r="CQ152" s="24">
        <f t="shared" si="1269"/>
        <v>178.26859376234626</v>
      </c>
      <c r="CR152" s="24">
        <f t="shared" si="1269"/>
        <v>133.91825734579791</v>
      </c>
      <c r="CS152" s="24">
        <f t="shared" si="1269"/>
        <v>150.69754471063834</v>
      </c>
      <c r="CT152" s="24">
        <f t="shared" si="1269"/>
        <v>238.98029072315151</v>
      </c>
      <c r="CU152" s="24">
        <f t="shared" si="1269"/>
        <v>197.42737402801643</v>
      </c>
      <c r="CV152" s="24">
        <f t="shared" si="1269"/>
        <v>148.24890376373901</v>
      </c>
      <c r="CW152" s="24">
        <f t="shared" si="1269"/>
        <v>166.9977043541742</v>
      </c>
      <c r="CX152" s="24">
        <f t="shared" si="1269"/>
        <v>264.80427280192589</v>
      </c>
      <c r="CY152" s="24">
        <f t="shared" si="1269"/>
        <v>218.68564325337081</v>
      </c>
      <c r="CZ152" s="24">
        <f t="shared" si="1269"/>
        <v>164.21940906722543</v>
      </c>
      <c r="DA152" s="24">
        <f t="shared" si="1269"/>
        <v>185.01791832888091</v>
      </c>
      <c r="DB152" s="24">
        <f t="shared" si="1269"/>
        <v>293.36143079930304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48.397500000000001</v>
      </c>
      <c r="Q153" s="23">
        <f>'Annual Raw'!R54</f>
        <v>84.440799999999996</v>
      </c>
      <c r="R153" s="23">
        <f>'Annual Raw'!S54</f>
        <v>112.6219</v>
      </c>
      <c r="S153" s="23">
        <f>'Annual Raw'!T54</f>
        <v>140.7764</v>
      </c>
      <c r="T153" s="23">
        <f>'Annual Raw'!U54</f>
        <v>105.252</v>
      </c>
      <c r="U153" s="23">
        <f>'Annual Raw'!V54</f>
        <v>167.11600000000001</v>
      </c>
      <c r="V153" s="23">
        <f>'Annual Raw'!W54</f>
        <v>111.7834</v>
      </c>
      <c r="W153" s="23">
        <f>'Annual Raw'!X54</f>
        <v>112.2932</v>
      </c>
      <c r="X153" s="23">
        <f>'Annual Raw'!Y54</f>
        <v>95.555000000000007</v>
      </c>
      <c r="Y153" s="23">
        <f>'Annual Raw'!Z54</f>
        <v>99.810699999999997</v>
      </c>
      <c r="Z153" s="23">
        <f>'Annual Raw'!AA54</f>
        <v>105.05200000000001</v>
      </c>
      <c r="AA153" s="23">
        <f>'Annual Raw'!AB54</f>
        <v>105.23090000000001</v>
      </c>
      <c r="AB153" s="24">
        <f t="shared" si="1263"/>
        <v>175.57835602542201</v>
      </c>
      <c r="AC153" s="24">
        <f t="shared" si="1264"/>
        <v>194.81992137999555</v>
      </c>
      <c r="AD153" s="24">
        <f t="shared" si="1265"/>
        <v>215.87197610417974</v>
      </c>
      <c r="AE153" s="24">
        <f t="shared" si="1266"/>
        <v>239.15215230218351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>
        <f>+BU183*BU10/90</f>
        <v>0</v>
      </c>
      <c r="BV153" s="23">
        <f>+'QTR Raw'!AP89</f>
        <v>112.29300000000001</v>
      </c>
      <c r="BW153" s="23">
        <f>+BW183*BW10/90</f>
        <v>120.6326543657844</v>
      </c>
      <c r="BX153" s="23">
        <f>+'QTR Raw'!AR89</f>
        <v>89.861000000000004</v>
      </c>
      <c r="BY153" s="23">
        <f>+BY183*BY10/90</f>
        <v>111.73050887749363</v>
      </c>
      <c r="BZ153" s="23">
        <f>+'QTR Raw'!AT89</f>
        <v>95.555000000000007</v>
      </c>
      <c r="CA153" s="23">
        <f>+CA183*CA10/90</f>
        <v>85.738730748610664</v>
      </c>
      <c r="CB153" s="23">
        <f>+'QTR Raw'!AV89</f>
        <v>100.425</v>
      </c>
      <c r="CC153" s="23">
        <f>+CC183*CC10/90</f>
        <v>142.66078890744151</v>
      </c>
      <c r="CD153" s="23">
        <f>+'QTR Raw'!AX89</f>
        <v>99.811000000000007</v>
      </c>
      <c r="CE153" s="23">
        <f>+CE183*CE10/90</f>
        <v>74.775017037389276</v>
      </c>
      <c r="CF153" s="23">
        <f>+'QTR Raw'!AZ89</f>
        <v>96.753</v>
      </c>
      <c r="CG153" s="23">
        <f>+CG183*CG10/90</f>
        <v>97.492967008379935</v>
      </c>
      <c r="CH153" s="23">
        <f t="shared" si="1221"/>
        <v>105.05200000000001</v>
      </c>
      <c r="CI153" s="23">
        <f>+CI183*CI10/90</f>
        <v>88.874252823538598</v>
      </c>
      <c r="CJ153" s="23">
        <f>+'QTR Raw'!BD89</f>
        <v>91.899000000000001</v>
      </c>
      <c r="CK153" s="24">
        <f t="shared" ref="CK153:DB153" si="1270">+CK183*CK10/90</f>
        <v>100.3253608094895</v>
      </c>
      <c r="CL153" s="24">
        <f t="shared" si="1270"/>
        <v>157.03806646481914</v>
      </c>
      <c r="CM153" s="24">
        <f t="shared" si="1270"/>
        <v>131.00595058148605</v>
      </c>
      <c r="CN153" s="24">
        <f t="shared" si="1270"/>
        <v>99.031781529906567</v>
      </c>
      <c r="CO153" s="24">
        <f t="shared" si="1270"/>
        <v>110.81727963349674</v>
      </c>
      <c r="CP153" s="24">
        <f t="shared" si="1270"/>
        <v>175.57835602542201</v>
      </c>
      <c r="CQ153" s="24">
        <f t="shared" si="1270"/>
        <v>145.32693602559968</v>
      </c>
      <c r="CR153" s="24">
        <f t="shared" si="1270"/>
        <v>109.17195007381778</v>
      </c>
      <c r="CS153" s="24">
        <f t="shared" si="1270"/>
        <v>122.85064899638918</v>
      </c>
      <c r="CT153" s="24">
        <f t="shared" si="1270"/>
        <v>194.81992137999555</v>
      </c>
      <c r="CU153" s="24">
        <f t="shared" si="1270"/>
        <v>160.94542930720021</v>
      </c>
      <c r="CV153" s="24">
        <f t="shared" si="1270"/>
        <v>120.85448422765766</v>
      </c>
      <c r="CW153" s="24">
        <f t="shared" si="1270"/>
        <v>136.13875660821657</v>
      </c>
      <c r="CX153" s="24">
        <f t="shared" si="1270"/>
        <v>215.87197610417974</v>
      </c>
      <c r="CY153" s="24">
        <f t="shared" si="1270"/>
        <v>178.27545399930383</v>
      </c>
      <c r="CZ153" s="24">
        <f t="shared" si="1270"/>
        <v>133.87385322335621</v>
      </c>
      <c r="DA153" s="24">
        <f t="shared" si="1270"/>
        <v>150.82907545911314</v>
      </c>
      <c r="DB153" s="24">
        <f t="shared" si="1270"/>
        <v>239.15215230218351</v>
      </c>
      <c r="DE153" s="123"/>
      <c r="DF153" s="23">
        <v>105.23090000000001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143.04249999999999</v>
      </c>
      <c r="Q154" s="23">
        <f>'Annual Raw'!R55-Template!Q126</f>
        <v>57.745999999999981</v>
      </c>
      <c r="R154" s="23">
        <f>'Annual Raw'!S55-Template!R126</f>
        <v>75.887900000000016</v>
      </c>
      <c r="S154" s="23">
        <f>'Annual Raw'!T55-Template!S126</f>
        <v>91.013500000000008</v>
      </c>
      <c r="T154" s="23">
        <f>'Annual Raw'!U55-Template!T126</f>
        <v>24.408999999999999</v>
      </c>
      <c r="U154" s="23">
        <f>'Annual Raw'!V55-Template!U126</f>
        <v>76.685000000000002</v>
      </c>
      <c r="V154" s="23">
        <f>'Annual Raw'!W55-Template!V126</f>
        <v>57.616100000000003</v>
      </c>
      <c r="W154" s="23">
        <f>'Annual Raw'!X55-Template!W126</f>
        <v>60.418700000000001</v>
      </c>
      <c r="X154" s="23">
        <f>'Annual Raw'!Y55-Template!X126</f>
        <v>53.061300000000003</v>
      </c>
      <c r="Y154" s="23">
        <f>'Annual Raw'!Z55-Template!Y126</f>
        <v>34.233400000000003</v>
      </c>
      <c r="Z154" s="23">
        <f>'Annual Raw'!AA55-Template!Z126</f>
        <v>59.966799999999992</v>
      </c>
      <c r="AA154" s="23">
        <f>'Annual Raw'!AB55-Template!AA126</f>
        <v>53.148399999999995</v>
      </c>
      <c r="AB154" s="24">
        <f t="shared" si="1263"/>
        <v>0</v>
      </c>
      <c r="AC154" s="24">
        <f t="shared" si="1264"/>
        <v>0</v>
      </c>
      <c r="AD154" s="24">
        <f t="shared" si="1265"/>
        <v>0</v>
      </c>
      <c r="AE154" s="24">
        <f t="shared" si="1266"/>
        <v>0</v>
      </c>
      <c r="AJ154" s="23">
        <f>+'QTR Raw'!D91</f>
        <v>0</v>
      </c>
      <c r="AK154" s="23">
        <f t="shared" si="1267"/>
        <v>0</v>
      </c>
      <c r="AL154" s="23">
        <f>+'QTR Raw'!F91</f>
        <v>0</v>
      </c>
      <c r="AM154" s="23">
        <f t="shared" si="1267"/>
        <v>0</v>
      </c>
      <c r="AN154" s="23">
        <f>+'QTR Raw'!H91</f>
        <v>0</v>
      </c>
      <c r="AO154" s="23">
        <f t="shared" si="1267"/>
        <v>0</v>
      </c>
      <c r="AP154" s="23">
        <f>+'QTR Raw'!J91</f>
        <v>0</v>
      </c>
      <c r="AQ154" s="23">
        <f t="shared" si="1267"/>
        <v>0</v>
      </c>
      <c r="AR154" s="23">
        <f>+'QTR Raw'!L91</f>
        <v>0</v>
      </c>
      <c r="AS154" s="23">
        <f t="shared" si="1267"/>
        <v>0</v>
      </c>
      <c r="AT154" s="23">
        <f>+'QTR Raw'!N91</f>
        <v>0</v>
      </c>
      <c r="AU154" s="23">
        <f t="shared" si="1267"/>
        <v>0</v>
      </c>
      <c r="AV154" s="23">
        <f>+'QTR Raw'!P91</f>
        <v>0</v>
      </c>
      <c r="AW154" s="23">
        <f t="shared" si="1267"/>
        <v>0</v>
      </c>
      <c r="AX154" s="23">
        <f>+'QTR Raw'!R91</f>
        <v>0</v>
      </c>
      <c r="AY154" s="23">
        <f t="shared" si="1267"/>
        <v>0</v>
      </c>
      <c r="AZ154" s="23">
        <f>+'QTR Raw'!T91</f>
        <v>0</v>
      </c>
      <c r="BA154" s="23">
        <f t="shared" si="1267"/>
        <v>0</v>
      </c>
      <c r="BB154" s="23">
        <f>+'QTR Raw'!V91</f>
        <v>0</v>
      </c>
      <c r="BC154" s="23">
        <f t="shared" si="1267"/>
        <v>0</v>
      </c>
      <c r="BD154" s="23">
        <f>+'QTR Raw'!X91</f>
        <v>0</v>
      </c>
      <c r="BE154" s="23">
        <f t="shared" si="1267"/>
        <v>0</v>
      </c>
      <c r="BF154" s="23">
        <f>+'QTR Raw'!Z91</f>
        <v>0</v>
      </c>
      <c r="BG154" s="23">
        <f t="shared" si="1267"/>
        <v>0</v>
      </c>
      <c r="BH154" s="23">
        <f>+'QTR Raw'!AB91</f>
        <v>0</v>
      </c>
      <c r="BI154" s="23">
        <f t="shared" si="1267"/>
        <v>0</v>
      </c>
      <c r="BJ154" s="23">
        <f>+'QTR Raw'!AD91</f>
        <v>0</v>
      </c>
      <c r="BK154" s="23">
        <f t="shared" si="1267"/>
        <v>0</v>
      </c>
      <c r="BL154" s="23">
        <f>+'QTR Raw'!AF91</f>
        <v>0</v>
      </c>
      <c r="BM154" s="23">
        <f t="shared" si="1267"/>
        <v>0</v>
      </c>
      <c r="BN154" s="23">
        <f>+'QTR Raw'!AH91</f>
        <v>0</v>
      </c>
      <c r="BO154" s="23">
        <f t="shared" si="1267"/>
        <v>0</v>
      </c>
      <c r="BP154" s="23">
        <f>+'QTR Raw'!AJ91</f>
        <v>0</v>
      </c>
      <c r="BQ154" s="23">
        <f t="shared" si="1267"/>
        <v>0</v>
      </c>
      <c r="BR154" s="23">
        <f>+'QTR Raw'!AL91</f>
        <v>0</v>
      </c>
      <c r="BS154" s="23">
        <f t="shared" si="1267"/>
        <v>0</v>
      </c>
      <c r="BT154" s="23">
        <f>+'QTR Raw'!AN91</f>
        <v>0</v>
      </c>
      <c r="BU154" s="23">
        <f t="shared" si="1267"/>
        <v>0</v>
      </c>
      <c r="BV154" s="23">
        <f>+'QTR Raw'!AP91</f>
        <v>60.417999999999999</v>
      </c>
      <c r="BW154" s="23">
        <f t="shared" si="1267"/>
        <v>60.417999999999999</v>
      </c>
      <c r="BX154" s="23">
        <f>+'QTR Raw'!AR91</f>
        <v>92.222999999999999</v>
      </c>
      <c r="BY154" s="23">
        <f t="shared" si="1267"/>
        <v>92.222999999999999</v>
      </c>
      <c r="BZ154" s="23">
        <f>+'QTR Raw'!AT91</f>
        <v>55.893999999999998</v>
      </c>
      <c r="CA154" s="23">
        <f t="shared" si="1267"/>
        <v>55.893999999999998</v>
      </c>
      <c r="CB154" s="23">
        <f>+'QTR Raw'!AV91</f>
        <v>34.270000000000003</v>
      </c>
      <c r="CC154" s="23">
        <f t="shared" si="1267"/>
        <v>34.270000000000003</v>
      </c>
      <c r="CD154" s="23">
        <f>+'QTR Raw'!AX91</f>
        <v>34.232999999999997</v>
      </c>
      <c r="CE154" s="23">
        <f t="shared" si="1267"/>
        <v>34.232999999999997</v>
      </c>
      <c r="CF154" s="23">
        <f>+'QTR Raw'!AZ91</f>
        <v>20.39</v>
      </c>
      <c r="CG154" s="23">
        <f t="shared" ref="CG154:CG155" si="1271">+CF154</f>
        <v>20.39</v>
      </c>
      <c r="CH154" s="23">
        <f t="shared" si="1221"/>
        <v>59.966799999999992</v>
      </c>
      <c r="CJ154" s="23">
        <f>+'QTR Raw'!BD91</f>
        <v>43.634</v>
      </c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53.148399999999995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9.11</v>
      </c>
      <c r="Q155" s="23">
        <f>'Annual Raw'!R57</f>
        <v>10.5669</v>
      </c>
      <c r="R155" s="23">
        <f>'Annual Raw'!S57</f>
        <v>3.4049999999999998</v>
      </c>
      <c r="S155" s="23">
        <f>'Annual Raw'!T57</f>
        <v>1.6763999999999999</v>
      </c>
      <c r="T155" s="23">
        <f>'Annual Raw'!U57</f>
        <v>0.215</v>
      </c>
      <c r="U155" s="23">
        <f>'Annual Raw'!V57</f>
        <v>0.70799999999999996</v>
      </c>
      <c r="V155" s="23">
        <f>'Annual Raw'!W57</f>
        <v>0.86350000000000005</v>
      </c>
      <c r="W155" s="23">
        <f>'Annual Raw'!X57</f>
        <v>0.8246</v>
      </c>
      <c r="X155" s="23">
        <f>'Annual Raw'!Y57</f>
        <v>23.883199999999999</v>
      </c>
      <c r="Y155" s="23">
        <f>'Annual Raw'!Z57</f>
        <v>0.64190000000000003</v>
      </c>
      <c r="Z155" s="23">
        <f>'Annual Raw'!AA57</f>
        <v>167.79419999999999</v>
      </c>
      <c r="AA155" s="23">
        <f>'Annual Raw'!AB57</f>
        <v>1.6181000000000001</v>
      </c>
      <c r="AB155" s="24">
        <f t="shared" si="1263"/>
        <v>0</v>
      </c>
      <c r="AC155" s="24">
        <f t="shared" si="1264"/>
        <v>0</v>
      </c>
      <c r="AD155" s="24">
        <f t="shared" si="1265"/>
        <v>0</v>
      </c>
      <c r="AE155" s="24">
        <f t="shared" si="1266"/>
        <v>0</v>
      </c>
      <c r="AJ155" s="23">
        <f>+'QTR Raw'!D92</f>
        <v>0</v>
      </c>
      <c r="AK155" s="23">
        <f t="shared" si="1267"/>
        <v>0</v>
      </c>
      <c r="AL155" s="23">
        <f>+'QTR Raw'!F92</f>
        <v>0</v>
      </c>
      <c r="AM155" s="23">
        <f t="shared" si="1267"/>
        <v>0</v>
      </c>
      <c r="AN155" s="23">
        <f>+'QTR Raw'!H92</f>
        <v>0</v>
      </c>
      <c r="AO155" s="23">
        <f t="shared" si="1267"/>
        <v>0</v>
      </c>
      <c r="AP155" s="23">
        <f>+'QTR Raw'!J92</f>
        <v>0</v>
      </c>
      <c r="AQ155" s="23">
        <f t="shared" si="1267"/>
        <v>0</v>
      </c>
      <c r="AR155" s="23">
        <f>+'QTR Raw'!L92</f>
        <v>0</v>
      </c>
      <c r="AS155" s="23">
        <f t="shared" si="1267"/>
        <v>0</v>
      </c>
      <c r="AT155" s="23">
        <f>+'QTR Raw'!N92</f>
        <v>0</v>
      </c>
      <c r="AU155" s="23">
        <f t="shared" si="1267"/>
        <v>0</v>
      </c>
      <c r="AV155" s="23">
        <f>+'QTR Raw'!P92</f>
        <v>0</v>
      </c>
      <c r="AW155" s="23">
        <f t="shared" si="1267"/>
        <v>0</v>
      </c>
      <c r="AX155" s="23">
        <f>+'QTR Raw'!R92</f>
        <v>0</v>
      </c>
      <c r="AY155" s="23">
        <f t="shared" si="1267"/>
        <v>0</v>
      </c>
      <c r="AZ155" s="23">
        <f>+'QTR Raw'!T92</f>
        <v>0</v>
      </c>
      <c r="BA155" s="23">
        <f t="shared" si="1267"/>
        <v>0</v>
      </c>
      <c r="BB155" s="23">
        <f>+'QTR Raw'!V92</f>
        <v>0</v>
      </c>
      <c r="BC155" s="23">
        <f t="shared" si="1267"/>
        <v>0</v>
      </c>
      <c r="BD155" s="23">
        <f>+'QTR Raw'!X92</f>
        <v>0</v>
      </c>
      <c r="BE155" s="23">
        <f t="shared" si="1267"/>
        <v>0</v>
      </c>
      <c r="BF155" s="23">
        <f>+'QTR Raw'!Z92</f>
        <v>0</v>
      </c>
      <c r="BG155" s="23">
        <f t="shared" si="1267"/>
        <v>0</v>
      </c>
      <c r="BH155" s="23">
        <f>+'QTR Raw'!AB92</f>
        <v>0</v>
      </c>
      <c r="BI155" s="23">
        <f t="shared" si="1267"/>
        <v>0</v>
      </c>
      <c r="BJ155" s="23">
        <f>+'QTR Raw'!AD92</f>
        <v>0</v>
      </c>
      <c r="BK155" s="23">
        <f t="shared" si="1267"/>
        <v>0</v>
      </c>
      <c r="BL155" s="23">
        <f>+'QTR Raw'!AF92</f>
        <v>0</v>
      </c>
      <c r="BM155" s="23">
        <f t="shared" si="1267"/>
        <v>0</v>
      </c>
      <c r="BN155" s="23">
        <f>+'QTR Raw'!AH92</f>
        <v>0</v>
      </c>
      <c r="BO155" s="23">
        <f t="shared" si="1267"/>
        <v>0</v>
      </c>
      <c r="BP155" s="23">
        <f>+'QTR Raw'!AJ92</f>
        <v>0</v>
      </c>
      <c r="BQ155" s="23">
        <f t="shared" si="1267"/>
        <v>0</v>
      </c>
      <c r="BR155" s="23">
        <f>+'QTR Raw'!AL92</f>
        <v>0</v>
      </c>
      <c r="BS155" s="23">
        <f t="shared" si="1267"/>
        <v>0</v>
      </c>
      <c r="BT155" s="23">
        <f>+'QTR Raw'!AN92</f>
        <v>0</v>
      </c>
      <c r="BU155" s="23">
        <f t="shared" si="1267"/>
        <v>0</v>
      </c>
      <c r="BV155" s="23">
        <f>+'QTR Raw'!AP92</f>
        <v>0.82499999999999996</v>
      </c>
      <c r="BW155" s="23">
        <f t="shared" si="1267"/>
        <v>0.82499999999999996</v>
      </c>
      <c r="BX155" s="23">
        <f>+'QTR Raw'!AR92</f>
        <v>0.76600000000000001</v>
      </c>
      <c r="BY155" s="23">
        <f t="shared" si="1267"/>
        <v>0.76600000000000001</v>
      </c>
      <c r="BZ155" s="23">
        <f>+'QTR Raw'!AT92</f>
        <v>0.25700000000000001</v>
      </c>
      <c r="CA155" s="23">
        <f t="shared" si="1267"/>
        <v>0.25700000000000001</v>
      </c>
      <c r="CB155" s="23">
        <f>+'QTR Raw'!AV92</f>
        <v>0.57299999999999995</v>
      </c>
      <c r="CC155" s="23">
        <f t="shared" si="1267"/>
        <v>0.57299999999999995</v>
      </c>
      <c r="CD155" s="23">
        <f>+'QTR Raw'!AX92</f>
        <v>0.64200000000000002</v>
      </c>
      <c r="CE155" s="23">
        <f t="shared" si="1267"/>
        <v>0.64200000000000002</v>
      </c>
      <c r="CF155" s="23">
        <f>+'QTR Raw'!AZ92</f>
        <v>0.47299999999999998</v>
      </c>
      <c r="CG155" s="23">
        <f t="shared" si="1271"/>
        <v>0.47299999999999998</v>
      </c>
      <c r="CH155" s="23">
        <f t="shared" si="1221"/>
        <v>167.79419999999999</v>
      </c>
      <c r="CJ155" s="23">
        <f>+'QTR Raw'!BD92</f>
        <v>0.74299999999999999</v>
      </c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1.6181000000000001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2">SUM(C149:C155)</f>
        <v>0</v>
      </c>
      <c r="D156" s="22">
        <f t="shared" si="1272"/>
        <v>0</v>
      </c>
      <c r="E156" s="22">
        <f t="shared" si="1272"/>
        <v>0</v>
      </c>
      <c r="F156" s="22">
        <f t="shared" si="1272"/>
        <v>0</v>
      </c>
      <c r="G156" s="22">
        <f t="shared" si="1272"/>
        <v>0</v>
      </c>
      <c r="H156" s="22">
        <f t="shared" si="1272"/>
        <v>0</v>
      </c>
      <c r="I156" s="22">
        <f t="shared" si="1272"/>
        <v>0</v>
      </c>
      <c r="J156" s="22">
        <f t="shared" si="1272"/>
        <v>0</v>
      </c>
      <c r="K156" s="22">
        <f t="shared" si="1272"/>
        <v>0</v>
      </c>
      <c r="L156" s="22">
        <f t="shared" si="1272"/>
        <v>0</v>
      </c>
      <c r="M156" s="22">
        <f t="shared" si="1272"/>
        <v>0</v>
      </c>
      <c r="N156" s="22">
        <f t="shared" si="1272"/>
        <v>0</v>
      </c>
      <c r="O156" s="22">
        <f t="shared" si="1272"/>
        <v>0</v>
      </c>
      <c r="P156" s="22">
        <f t="shared" si="1272"/>
        <v>211.50099999999998</v>
      </c>
      <c r="Q156" s="22">
        <f t="shared" si="1272"/>
        <v>265.80829999999997</v>
      </c>
      <c r="R156" s="22">
        <f t="shared" si="1272"/>
        <v>295.89619999999996</v>
      </c>
      <c r="S156" s="22">
        <f t="shared" si="1272"/>
        <v>316.16660000000002</v>
      </c>
      <c r="T156" s="22">
        <f t="shared" si="1272"/>
        <v>464.05399999999997</v>
      </c>
      <c r="U156" s="22">
        <f t="shared" si="1272"/>
        <v>565.35</v>
      </c>
      <c r="V156" s="22">
        <f t="shared" si="1272"/>
        <v>501.61900000000003</v>
      </c>
      <c r="W156" s="22">
        <f t="shared" ref="W156" si="1273">SUM(W149:W155)</f>
        <v>414.58319999999998</v>
      </c>
      <c r="X156" s="22">
        <f t="shared" ref="X156:Y156" si="1274">SUM(X149:X155)</f>
        <v>208.25940000000003</v>
      </c>
      <c r="Y156" s="22">
        <f t="shared" si="1274"/>
        <v>295.35870000000006</v>
      </c>
      <c r="Z156" s="22">
        <f t="shared" ref="Z156:AA156" si="1275">SUM(Z149:Z155)</f>
        <v>390.15690000000001</v>
      </c>
      <c r="AA156" s="22">
        <f t="shared" si="1275"/>
        <v>439.33160000000004</v>
      </c>
      <c r="AB156" s="21">
        <f t="shared" ref="AB156:AD156" si="1276">SUM(AB149:AB155)</f>
        <v>390.95554266233671</v>
      </c>
      <c r="AC156" s="21">
        <f t="shared" si="1276"/>
        <v>433.80021210314703</v>
      </c>
      <c r="AD156" s="21">
        <f t="shared" si="1276"/>
        <v>480.67624890610563</v>
      </c>
      <c r="AE156" s="21">
        <f t="shared" ref="AE156" si="1277">SUM(AE149:AE155)</f>
        <v>532.51358310148657</v>
      </c>
      <c r="AJ156" s="22">
        <f t="shared" ref="AJ156" si="1278">SUM(AJ149:AJ155)</f>
        <v>0</v>
      </c>
      <c r="AK156" s="22" t="e">
        <f t="shared" ref="AK156" si="1279">SUM(AK149:AK155)</f>
        <v>#DIV/0!</v>
      </c>
      <c r="AL156" s="22">
        <f t="shared" ref="AL156:AM156" si="1280">SUM(AL149:AL155)</f>
        <v>0</v>
      </c>
      <c r="AM156" s="22" t="e">
        <f t="shared" si="1280"/>
        <v>#DIV/0!</v>
      </c>
      <c r="AN156" s="22">
        <f t="shared" ref="AN156:AO156" si="1281">SUM(AN149:AN155)</f>
        <v>0</v>
      </c>
      <c r="AO156" s="22" t="e">
        <f t="shared" si="1281"/>
        <v>#DIV/0!</v>
      </c>
      <c r="AP156" s="22">
        <f t="shared" ref="AP156:CE156" si="1282">SUM(AP149:AP155)</f>
        <v>0</v>
      </c>
      <c r="AQ156" s="22" t="e">
        <f t="shared" si="1282"/>
        <v>#DIV/0!</v>
      </c>
      <c r="AR156" s="22">
        <f t="shared" si="1282"/>
        <v>0</v>
      </c>
      <c r="AS156" s="22" t="e">
        <f t="shared" si="1282"/>
        <v>#DIV/0!</v>
      </c>
      <c r="AT156" s="22">
        <f t="shared" si="1282"/>
        <v>0</v>
      </c>
      <c r="AU156" s="22" t="e">
        <f t="shared" si="1282"/>
        <v>#DIV/0!</v>
      </c>
      <c r="AV156" s="22">
        <f t="shared" si="1282"/>
        <v>0</v>
      </c>
      <c r="AW156" s="22" t="e">
        <f t="shared" si="1282"/>
        <v>#DIV/0!</v>
      </c>
      <c r="AX156" s="22">
        <f t="shared" si="1282"/>
        <v>0</v>
      </c>
      <c r="AY156" s="22" t="e">
        <f t="shared" si="1282"/>
        <v>#DIV/0!</v>
      </c>
      <c r="AZ156" s="22">
        <f t="shared" si="1282"/>
        <v>0</v>
      </c>
      <c r="BA156" s="22" t="e">
        <f t="shared" si="1282"/>
        <v>#DIV/0!</v>
      </c>
      <c r="BB156" s="22">
        <f t="shared" si="1282"/>
        <v>0</v>
      </c>
      <c r="BC156" s="22" t="e">
        <f t="shared" si="1282"/>
        <v>#DIV/0!</v>
      </c>
      <c r="BD156" s="22">
        <f t="shared" si="1282"/>
        <v>0</v>
      </c>
      <c r="BE156" s="22" t="e">
        <f t="shared" si="1282"/>
        <v>#DIV/0!</v>
      </c>
      <c r="BF156" s="22">
        <f t="shared" si="1282"/>
        <v>0</v>
      </c>
      <c r="BG156" s="22" t="e">
        <f t="shared" si="1282"/>
        <v>#DIV/0!</v>
      </c>
      <c r="BH156" s="22">
        <f t="shared" ref="BH156" si="1283">SUM(BH149:BH155)</f>
        <v>0</v>
      </c>
      <c r="BI156" s="22" t="e">
        <f t="shared" si="1282"/>
        <v>#DIV/0!</v>
      </c>
      <c r="BJ156" s="22">
        <f t="shared" si="1282"/>
        <v>0</v>
      </c>
      <c r="BK156" s="22" t="e">
        <f t="shared" si="1282"/>
        <v>#DIV/0!</v>
      </c>
      <c r="BL156" s="22">
        <f t="shared" si="1282"/>
        <v>0</v>
      </c>
      <c r="BM156" s="22" t="e">
        <f t="shared" si="1282"/>
        <v>#DIV/0!</v>
      </c>
      <c r="BN156" s="22">
        <f t="shared" si="1282"/>
        <v>0</v>
      </c>
      <c r="BO156" s="22" t="e">
        <f t="shared" si="1282"/>
        <v>#DIV/0!</v>
      </c>
      <c r="BP156" s="22">
        <f t="shared" si="1282"/>
        <v>0</v>
      </c>
      <c r="BQ156" s="22" t="e">
        <f t="shared" si="1282"/>
        <v>#DIV/0!</v>
      </c>
      <c r="BR156" s="22">
        <f t="shared" si="1282"/>
        <v>0</v>
      </c>
      <c r="BS156" s="22" t="e">
        <f t="shared" si="1282"/>
        <v>#DIV/0!</v>
      </c>
      <c r="BT156" s="22">
        <f t="shared" si="1282"/>
        <v>0</v>
      </c>
      <c r="BU156" s="22">
        <f t="shared" si="1282"/>
        <v>0</v>
      </c>
      <c r="BV156" s="22">
        <f t="shared" si="1282"/>
        <v>414.58300000000003</v>
      </c>
      <c r="BW156" s="22">
        <f t="shared" si="1282"/>
        <v>422.92265436578441</v>
      </c>
      <c r="BX156" s="22">
        <f t="shared" si="1282"/>
        <v>260.08800000000002</v>
      </c>
      <c r="BY156" s="22">
        <f t="shared" si="1282"/>
        <v>281.95750887749364</v>
      </c>
      <c r="BZ156" s="22">
        <f t="shared" si="1282"/>
        <v>187.46600000000001</v>
      </c>
      <c r="CA156" s="22">
        <f t="shared" si="1282"/>
        <v>177.64973074861066</v>
      </c>
      <c r="CB156" s="22">
        <f t="shared" si="1282"/>
        <v>167.62100000000001</v>
      </c>
      <c r="CC156" s="22">
        <f t="shared" si="1282"/>
        <v>209.85678890744154</v>
      </c>
      <c r="CD156" s="22">
        <f t="shared" si="1282"/>
        <v>170.98000000000002</v>
      </c>
      <c r="CE156" s="22">
        <f t="shared" si="1282"/>
        <v>145.94401703738927</v>
      </c>
      <c r="CF156" s="22">
        <f t="shared" ref="CF156:CG156" si="1284">SUM(CF149:CF155)</f>
        <v>151.947</v>
      </c>
      <c r="CG156" s="22">
        <f t="shared" si="1284"/>
        <v>152.68696700837995</v>
      </c>
      <c r="CH156" s="22">
        <f t="shared" ref="CH156:CI156" si="1285">SUM(CH149:CH155)</f>
        <v>390.15690000000001</v>
      </c>
      <c r="CI156" s="22">
        <f t="shared" si="1285"/>
        <v>330.07370608315944</v>
      </c>
      <c r="CJ156" s="22">
        <f t="shared" ref="CJ156:DB156" si="1286">SUM(CJ149:CJ155)</f>
        <v>204.62900000000002</v>
      </c>
      <c r="CK156" s="21">
        <f t="shared" si="1286"/>
        <v>223.39174808305887</v>
      </c>
      <c r="CL156" s="21">
        <f t="shared" si="1286"/>
        <v>349.67238492942772</v>
      </c>
      <c r="CM156" s="21">
        <f t="shared" si="1286"/>
        <v>291.70738159869978</v>
      </c>
      <c r="CN156" s="21">
        <f t="shared" si="1286"/>
        <v>220.5113703379063</v>
      </c>
      <c r="CO156" s="21">
        <f t="shared" si="1286"/>
        <v>246.75381793189052</v>
      </c>
      <c r="CP156" s="21">
        <f t="shared" si="1286"/>
        <v>390.95554266233671</v>
      </c>
      <c r="CQ156" s="21">
        <f t="shared" si="1286"/>
        <v>323.59552978794591</v>
      </c>
      <c r="CR156" s="21">
        <f t="shared" si="1286"/>
        <v>243.09020741961569</v>
      </c>
      <c r="CS156" s="21">
        <f t="shared" si="1286"/>
        <v>273.54819370702751</v>
      </c>
      <c r="CT156" s="21">
        <f t="shared" si="1286"/>
        <v>433.80021210314703</v>
      </c>
      <c r="CU156" s="21">
        <f t="shared" si="1286"/>
        <v>358.37280333521664</v>
      </c>
      <c r="CV156" s="21">
        <f t="shared" si="1286"/>
        <v>269.10338799139669</v>
      </c>
      <c r="CW156" s="21">
        <f t="shared" si="1286"/>
        <v>303.13646096239074</v>
      </c>
      <c r="CX156" s="21">
        <f t="shared" si="1286"/>
        <v>480.67624890610563</v>
      </c>
      <c r="CY156" s="21">
        <f t="shared" si="1286"/>
        <v>396.96109725267468</v>
      </c>
      <c r="CZ156" s="21">
        <f t="shared" si="1286"/>
        <v>298.09326229058161</v>
      </c>
      <c r="DA156" s="21">
        <f t="shared" si="1286"/>
        <v>335.84699378799405</v>
      </c>
      <c r="DB156" s="21">
        <f t="shared" si="1286"/>
        <v>532.51358310148657</v>
      </c>
      <c r="DE156" s="126"/>
      <c r="DF156" s="22">
        <v>439.33160000000004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0</v>
      </c>
      <c r="K157" s="22">
        <f t="shared" si="1287"/>
        <v>0</v>
      </c>
      <c r="L157" s="22">
        <f t="shared" si="1287"/>
        <v>0</v>
      </c>
      <c r="M157" s="22">
        <f t="shared" si="1287"/>
        <v>0</v>
      </c>
      <c r="N157" s="22">
        <f t="shared" si="1287"/>
        <v>0</v>
      </c>
      <c r="O157" s="22">
        <f t="shared" si="1287"/>
        <v>0</v>
      </c>
      <c r="P157" s="22">
        <f t="shared" si="1287"/>
        <v>-1.6693999999999676</v>
      </c>
      <c r="Q157" s="22">
        <f t="shared" si="1287"/>
        <v>-76.397099999999966</v>
      </c>
      <c r="R157" s="22">
        <f t="shared" si="1287"/>
        <v>-113.86689999999996</v>
      </c>
      <c r="S157" s="22">
        <f t="shared" si="1287"/>
        <v>-90.626599999999996</v>
      </c>
      <c r="T157" s="22">
        <f t="shared" si="1287"/>
        <v>-287.05799999999999</v>
      </c>
      <c r="U157" s="22">
        <f t="shared" si="1287"/>
        <v>-359.43</v>
      </c>
      <c r="V157" s="22">
        <f t="shared" si="1287"/>
        <v>-255.18270000000004</v>
      </c>
      <c r="W157" s="22">
        <f t="shared" ref="W157" si="1288">W148-W156</f>
        <v>-56.602899999999977</v>
      </c>
      <c r="X157" s="22">
        <f t="shared" ref="X157:Y157" si="1289">X148-X156</f>
        <v>178.64649999999995</v>
      </c>
      <c r="Y157" s="22">
        <f t="shared" si="1289"/>
        <v>280.50960000000003</v>
      </c>
      <c r="Z157" s="22">
        <f t="shared" ref="Z157:AA157" si="1290">Z148-Z156</f>
        <v>322.02819999999991</v>
      </c>
      <c r="AA157" s="22">
        <f t="shared" si="1290"/>
        <v>567.94209999999998</v>
      </c>
      <c r="AB157" s="21">
        <f t="shared" ref="AB157:AD157" si="1291">AB148-AB156</f>
        <v>809.31803770918987</v>
      </c>
      <c r="AC157" s="21">
        <f t="shared" si="1291"/>
        <v>898.01089409384485</v>
      </c>
      <c r="AD157" s="21">
        <f t="shared" si="1291"/>
        <v>995.04909404518912</v>
      </c>
      <c r="AE157" s="21">
        <f t="shared" ref="AE157" si="1292">AE148-AE156</f>
        <v>1102.3576880233934</v>
      </c>
      <c r="AJ157" s="22">
        <f t="shared" ref="AJ157" si="1293">AJ148-AJ156</f>
        <v>0</v>
      </c>
      <c r="AK157" s="22" t="e">
        <f t="shared" ref="AK157" si="1294">AK148-AK156</f>
        <v>#DIV/0!</v>
      </c>
      <c r="AL157" s="22">
        <f t="shared" ref="AL157:AM157" si="1295">AL148-AL156</f>
        <v>0</v>
      </c>
      <c r="AM157" s="22" t="e">
        <f t="shared" si="1295"/>
        <v>#DIV/0!</v>
      </c>
      <c r="AN157" s="22">
        <f t="shared" ref="AN157:AO157" si="1296">AN148-AN156</f>
        <v>0</v>
      </c>
      <c r="AO157" s="22" t="e">
        <f t="shared" si="1296"/>
        <v>#DIV/0!</v>
      </c>
      <c r="AP157" s="22">
        <f t="shared" ref="AP157:CE157" si="1297">AP148-AP156</f>
        <v>0</v>
      </c>
      <c r="AQ157" s="22" t="e">
        <f t="shared" si="1297"/>
        <v>#DIV/0!</v>
      </c>
      <c r="AR157" s="22">
        <f t="shared" si="1297"/>
        <v>0</v>
      </c>
      <c r="AS157" s="22" t="e">
        <f t="shared" si="1297"/>
        <v>#DIV/0!</v>
      </c>
      <c r="AT157" s="22">
        <f t="shared" si="1297"/>
        <v>0</v>
      </c>
      <c r="AU157" s="22" t="e">
        <f t="shared" si="1297"/>
        <v>#DIV/0!</v>
      </c>
      <c r="AV157" s="22">
        <f t="shared" si="1297"/>
        <v>0</v>
      </c>
      <c r="AW157" s="22" t="e">
        <f t="shared" si="1297"/>
        <v>#DIV/0!</v>
      </c>
      <c r="AX157" s="22">
        <f t="shared" si="1297"/>
        <v>0</v>
      </c>
      <c r="AY157" s="22" t="e">
        <f t="shared" si="1297"/>
        <v>#DIV/0!</v>
      </c>
      <c r="AZ157" s="22">
        <f t="shared" si="1297"/>
        <v>0</v>
      </c>
      <c r="BA157" s="22" t="e">
        <f t="shared" si="1297"/>
        <v>#DIV/0!</v>
      </c>
      <c r="BB157" s="22">
        <f t="shared" si="1297"/>
        <v>0</v>
      </c>
      <c r="BC157" s="22" t="e">
        <f t="shared" si="1297"/>
        <v>#DIV/0!</v>
      </c>
      <c r="BD157" s="22">
        <f t="shared" si="1297"/>
        <v>0</v>
      </c>
      <c r="BE157" s="22" t="e">
        <f t="shared" si="1297"/>
        <v>#DIV/0!</v>
      </c>
      <c r="BF157" s="22">
        <f t="shared" si="1297"/>
        <v>0</v>
      </c>
      <c r="BG157" s="22" t="e">
        <f t="shared" si="1297"/>
        <v>#DIV/0!</v>
      </c>
      <c r="BH157" s="22">
        <f t="shared" ref="BH157" si="1298">BH148-BH156</f>
        <v>0</v>
      </c>
      <c r="BI157" s="22" t="e">
        <f t="shared" si="1297"/>
        <v>#DIV/0!</v>
      </c>
      <c r="BJ157" s="22">
        <f t="shared" si="1297"/>
        <v>0</v>
      </c>
      <c r="BK157" s="22" t="e">
        <f t="shared" si="1297"/>
        <v>#DIV/0!</v>
      </c>
      <c r="BL157" s="22">
        <f t="shared" si="1297"/>
        <v>0</v>
      </c>
      <c r="BM157" s="22" t="e">
        <f t="shared" si="1297"/>
        <v>#DIV/0!</v>
      </c>
      <c r="BN157" s="22">
        <f t="shared" si="1297"/>
        <v>0</v>
      </c>
      <c r="BO157" s="22" t="e">
        <f t="shared" si="1297"/>
        <v>#DIV/0!</v>
      </c>
      <c r="BP157" s="22">
        <f t="shared" si="1297"/>
        <v>0</v>
      </c>
      <c r="BQ157" s="22" t="e">
        <f t="shared" si="1297"/>
        <v>#DIV/0!</v>
      </c>
      <c r="BR157" s="22">
        <f t="shared" si="1297"/>
        <v>0</v>
      </c>
      <c r="BS157" s="22" t="e">
        <f t="shared" si="1297"/>
        <v>#DIV/0!</v>
      </c>
      <c r="BT157" s="22">
        <f t="shared" si="1297"/>
        <v>0</v>
      </c>
      <c r="BU157" s="22">
        <f t="shared" si="1297"/>
        <v>0</v>
      </c>
      <c r="BV157" s="22">
        <f t="shared" si="1297"/>
        <v>-16.047000000000025</v>
      </c>
      <c r="BW157" s="22">
        <f t="shared" si="1297"/>
        <v>-4.0553444962720846</v>
      </c>
      <c r="BX157" s="22">
        <f t="shared" si="1297"/>
        <v>78.296999999999969</v>
      </c>
      <c r="BY157" s="22">
        <f t="shared" si="1297"/>
        <v>106.23981758803387</v>
      </c>
      <c r="BZ157" s="22">
        <f t="shared" si="1297"/>
        <v>223.67099999999999</v>
      </c>
      <c r="CA157" s="22">
        <f t="shared" si="1297"/>
        <v>204.15742167505718</v>
      </c>
      <c r="CB157" s="22">
        <f t="shared" si="1297"/>
        <v>216.13399999999999</v>
      </c>
      <c r="CC157" s="22">
        <f t="shared" si="1297"/>
        <v>283.91650063863108</v>
      </c>
      <c r="CD157" s="22">
        <f t="shared" si="1297"/>
        <v>322.09100000000001</v>
      </c>
      <c r="CE157" s="22">
        <f t="shared" si="1297"/>
        <v>275.97242726264074</v>
      </c>
      <c r="CF157" s="22">
        <f t="shared" ref="CF157:CG157" si="1299">CF148-CF156</f>
        <v>257.15599999999995</v>
      </c>
      <c r="CG157" s="22">
        <f t="shared" si="1299"/>
        <v>258.19063682601734</v>
      </c>
      <c r="CH157" s="22">
        <f t="shared" ref="CH157:CI157" si="1300">CH148-CH156</f>
        <v>322.02819999999991</v>
      </c>
      <c r="CI157" s="22">
        <f t="shared" si="1300"/>
        <v>272.4366567329422</v>
      </c>
      <c r="CJ157" s="22">
        <f t="shared" ref="CJ157:DB157" si="1301">CJ148-CJ156</f>
        <v>423.60299999999995</v>
      </c>
      <c r="CK157" s="21">
        <f t="shared" si="1301"/>
        <v>462.44381130351991</v>
      </c>
      <c r="CL157" s="21">
        <f t="shared" si="1301"/>
        <v>723.85767058071121</v>
      </c>
      <c r="CM157" s="21">
        <f t="shared" si="1301"/>
        <v>603.86417354018226</v>
      </c>
      <c r="CN157" s="21">
        <f t="shared" si="1301"/>
        <v>456.48113419529045</v>
      </c>
      <c r="CO157" s="21">
        <f t="shared" si="1301"/>
        <v>510.80568999214466</v>
      </c>
      <c r="CP157" s="21">
        <f t="shared" si="1301"/>
        <v>809.31803770918987</v>
      </c>
      <c r="CQ157" s="21">
        <f t="shared" si="1301"/>
        <v>669.8759081301439</v>
      </c>
      <c r="CR157" s="21">
        <f t="shared" si="1301"/>
        <v>503.22164079173263</v>
      </c>
      <c r="CS157" s="21">
        <f t="shared" si="1301"/>
        <v>566.27279368456061</v>
      </c>
      <c r="CT157" s="21">
        <f t="shared" si="1301"/>
        <v>898.01089409384485</v>
      </c>
      <c r="CU157" s="21">
        <f t="shared" si="1301"/>
        <v>741.86842828341889</v>
      </c>
      <c r="CV157" s="21">
        <f t="shared" si="1301"/>
        <v>557.07159035776749</v>
      </c>
      <c r="CW157" s="21">
        <f t="shared" si="1301"/>
        <v>627.52353905385633</v>
      </c>
      <c r="CX157" s="21">
        <f t="shared" si="1301"/>
        <v>995.04909404518912</v>
      </c>
      <c r="CY157" s="21">
        <f t="shared" si="1301"/>
        <v>821.75015114927339</v>
      </c>
      <c r="CZ157" s="21">
        <f t="shared" si="1301"/>
        <v>617.083600985575</v>
      </c>
      <c r="DA157" s="21">
        <f t="shared" si="1301"/>
        <v>695.23769411752801</v>
      </c>
      <c r="DB157" s="21">
        <f t="shared" si="1301"/>
        <v>1102.3576880233934</v>
      </c>
      <c r="DE157" s="126"/>
      <c r="DF157" s="22">
        <v>567.94209999999998</v>
      </c>
    </row>
    <row r="158" spans="1:110" s="23" customFormat="1" x14ac:dyDescent="0.2">
      <c r="AB158" s="24"/>
      <c r="AC158" s="24"/>
      <c r="AD158" s="24"/>
      <c r="AE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47.073</v>
      </c>
      <c r="V159" s="23">
        <f>'Annual Raw'!W75</f>
        <v>41.168900000000001</v>
      </c>
      <c r="W159" s="23">
        <f>'Annual Raw'!X75</f>
        <v>11.1195</v>
      </c>
      <c r="X159" s="23">
        <f>'Annual Raw'!Y75</f>
        <v>210.07730000000001</v>
      </c>
      <c r="Y159" s="23">
        <f>'Annual Raw'!Z75</f>
        <v>349.87020000000001</v>
      </c>
      <c r="Z159" s="23">
        <f>'Annual Raw'!AA75</f>
        <v>202.1728</v>
      </c>
      <c r="AA159" s="23">
        <f>'Annual Raw'!AB75</f>
        <v>6.0812999999999997</v>
      </c>
      <c r="AB159" s="24">
        <f t="shared" ref="AB159:AB160" si="1302">+CP159</f>
        <v>0</v>
      </c>
      <c r="AC159" s="24">
        <f t="shared" ref="AC159:AC160" si="1303">+CT159</f>
        <v>0</v>
      </c>
      <c r="AD159" s="24">
        <f t="shared" ref="AD159:AD160" si="1304">+CX159</f>
        <v>0</v>
      </c>
      <c r="AE159" s="24">
        <f t="shared" ref="AE159:AE160" si="1305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11.119</v>
      </c>
      <c r="BX159" s="23">
        <f>+'QTR Raw'!AR80</f>
        <v>24.442</v>
      </c>
      <c r="BZ159" s="23">
        <f>+'QTR Raw'!AT80</f>
        <v>210.077</v>
      </c>
      <c r="CB159" s="23">
        <f>+'QTR Raw'!AV80</f>
        <v>328.93200000000002</v>
      </c>
      <c r="CD159" s="23">
        <f>+'QTR Raw'!AX80</f>
        <v>349.87</v>
      </c>
      <c r="CF159" s="23">
        <f>+'QTR Raw'!AZ80</f>
        <v>418.30799999999999</v>
      </c>
      <c r="CH159" s="23">
        <f t="shared" ref="CH159:CH160" si="1306">Z159</f>
        <v>202.1728</v>
      </c>
      <c r="CJ159" s="23">
        <f>+'QTR Raw'!BD80</f>
        <v>125.93899999999999</v>
      </c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6.0812999999999997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69.978800000000007</v>
      </c>
      <c r="Q160" s="23">
        <f>'Annual Raw'!R78</f>
        <v>68.711100000000002</v>
      </c>
      <c r="R160" s="23">
        <f>'Annual Raw'!S78</f>
        <v>61.0764</v>
      </c>
      <c r="S160" s="23">
        <f>'Annual Raw'!T78</f>
        <v>12.7636</v>
      </c>
      <c r="T160" s="23">
        <f>'Annual Raw'!U78</f>
        <v>47.506</v>
      </c>
      <c r="U160" s="23">
        <f>'Annual Raw'!V78</f>
        <v>24.748999999999999</v>
      </c>
      <c r="V160" s="23">
        <f>'Annual Raw'!W78</f>
        <v>31.813400000000001</v>
      </c>
      <c r="W160" s="23">
        <f>'Annual Raw'!X78</f>
        <v>58.697400000000002</v>
      </c>
      <c r="X160" s="23">
        <f>'Annual Raw'!Y78</f>
        <v>32.672499999999999</v>
      </c>
      <c r="Y160" s="23">
        <f>'Annual Raw'!Z78</f>
        <v>45.482799999999997</v>
      </c>
      <c r="Z160" s="23">
        <f>'Annual Raw'!AA78</f>
        <v>52.840499999999999</v>
      </c>
      <c r="AA160" s="23">
        <f>'Annual Raw'!AB78</f>
        <v>54.996200000000002</v>
      </c>
      <c r="AB160" s="24">
        <f t="shared" si="1302"/>
        <v>165.12490535016238</v>
      </c>
      <c r="AC160" s="24">
        <f t="shared" si="1303"/>
        <v>305.30144536379549</v>
      </c>
      <c r="AD160" s="24">
        <f t="shared" si="1304"/>
        <v>427.72446703226012</v>
      </c>
      <c r="AE160" s="24">
        <f t="shared" si="1305"/>
        <v>536.85336549137423</v>
      </c>
      <c r="AJ160" s="23">
        <f>+'QTR Raw'!D83</f>
        <v>0</v>
      </c>
      <c r="AK160" s="23" t="e">
        <f t="shared" ref="AK160:AM160" si="1307">+AK210</f>
        <v>#DIV/0!</v>
      </c>
      <c r="AL160" s="23">
        <f>+'QTR Raw'!F83</f>
        <v>0</v>
      </c>
      <c r="AM160" s="23" t="e">
        <f t="shared" si="1307"/>
        <v>#DIV/0!</v>
      </c>
      <c r="AN160" s="23">
        <f>+'QTR Raw'!H83</f>
        <v>0</v>
      </c>
      <c r="AO160" s="23" t="e">
        <f t="shared" ref="AO160" si="1308">+AO210</f>
        <v>#DIV/0!</v>
      </c>
      <c r="AP160" s="23">
        <f>+'QTR Raw'!J83</f>
        <v>0</v>
      </c>
      <c r="AQ160" s="23" t="e">
        <f t="shared" ref="AQ160" si="1309">+AQ210</f>
        <v>#DIV/0!</v>
      </c>
      <c r="AR160" s="23">
        <f>+'QTR Raw'!L83</f>
        <v>0</v>
      </c>
      <c r="AS160" s="23" t="e">
        <f t="shared" ref="AS160" si="1310">+AS210</f>
        <v>#DIV/0!</v>
      </c>
      <c r="AT160" s="23">
        <f>+'QTR Raw'!N83</f>
        <v>0</v>
      </c>
      <c r="AU160" s="23" t="e">
        <f t="shared" ref="AU160" si="1311">+AU210</f>
        <v>#DIV/0!</v>
      </c>
      <c r="AV160" s="23">
        <f>+'QTR Raw'!P83</f>
        <v>0</v>
      </c>
      <c r="AW160" s="23" t="e">
        <f t="shared" ref="AW160" si="1312">+AW210</f>
        <v>#DIV/0!</v>
      </c>
      <c r="AX160" s="23">
        <f>+'QTR Raw'!R83</f>
        <v>0</v>
      </c>
      <c r="AY160" s="23" t="e">
        <f t="shared" ref="AY160" si="1313">+AY210</f>
        <v>#DIV/0!</v>
      </c>
      <c r="AZ160" s="23">
        <f>+'QTR Raw'!T83</f>
        <v>0</v>
      </c>
      <c r="BA160" s="23" t="e">
        <f t="shared" ref="BA160" si="1314">+BA210</f>
        <v>#DIV/0!</v>
      </c>
      <c r="BB160" s="23">
        <f>+'QTR Raw'!V83</f>
        <v>0</v>
      </c>
      <c r="BC160" s="23" t="e">
        <f t="shared" ref="BC160" si="1315">+BC210</f>
        <v>#DIV/0!</v>
      </c>
      <c r="BD160" s="23">
        <f>+'QTR Raw'!X83</f>
        <v>0</v>
      </c>
      <c r="BE160" s="23" t="e">
        <f t="shared" ref="BE160" si="1316">+BE210</f>
        <v>#DIV/0!</v>
      </c>
      <c r="BF160" s="23">
        <f>+'QTR Raw'!Z83</f>
        <v>0</v>
      </c>
      <c r="BG160" s="23" t="e">
        <f t="shared" ref="BG160" si="1317">+BG210</f>
        <v>#DIV/0!</v>
      </c>
      <c r="BH160" s="23">
        <f>+'QTR Raw'!AB83</f>
        <v>0</v>
      </c>
      <c r="BI160" s="23" t="e">
        <f t="shared" ref="BI160" si="1318">+BI210</f>
        <v>#DIV/0!</v>
      </c>
      <c r="BJ160" s="23">
        <f>+'QTR Raw'!AD83</f>
        <v>0</v>
      </c>
      <c r="BK160" s="23" t="e">
        <f t="shared" ref="BK160" si="1319">+BK210</f>
        <v>#DIV/0!</v>
      </c>
      <c r="BL160" s="23">
        <f>+'QTR Raw'!AF83</f>
        <v>0</v>
      </c>
      <c r="BM160" s="23" t="e">
        <f t="shared" ref="BM160" si="1320">+BM210</f>
        <v>#DIV/0!</v>
      </c>
      <c r="BN160" s="23">
        <f>+'QTR Raw'!AH83</f>
        <v>0</v>
      </c>
      <c r="BO160" s="23" t="e">
        <f t="shared" ref="BO160" si="1321">+BO210</f>
        <v>#DIV/0!</v>
      </c>
      <c r="BP160" s="23">
        <f>+'QTR Raw'!AJ83</f>
        <v>0</v>
      </c>
      <c r="BQ160" s="23" t="e">
        <f t="shared" ref="BQ160" si="1322">+BQ210</f>
        <v>#DIV/0!</v>
      </c>
      <c r="BR160" s="23">
        <f>+'QTR Raw'!AL83</f>
        <v>0</v>
      </c>
      <c r="BS160" s="23" t="e">
        <f t="shared" ref="BS160" si="1323">+BS210</f>
        <v>#DIV/0!</v>
      </c>
      <c r="BT160" s="23">
        <f>+'QTR Raw'!AN83</f>
        <v>0</v>
      </c>
      <c r="BU160" s="23">
        <f t="shared" ref="BU160" si="1324">+BU210</f>
        <v>49.019999999999996</v>
      </c>
      <c r="BV160" s="23">
        <f>+'QTR Raw'!AP83</f>
        <v>58.697000000000003</v>
      </c>
      <c r="BW160" s="23">
        <f t="shared" ref="BW160" si="1325">+BW210</f>
        <v>142.22334449627203</v>
      </c>
      <c r="BX160" s="23">
        <f>+'QTR Raw'!AR83</f>
        <v>108.789</v>
      </c>
      <c r="BY160" s="23">
        <f t="shared" ref="BY160" si="1326">+BY210</f>
        <v>203.3491824119661</v>
      </c>
      <c r="BZ160" s="23">
        <f>+'QTR Raw'!AT83</f>
        <v>32.673000000000002</v>
      </c>
      <c r="CA160" s="23">
        <f t="shared" ref="CA160" si="1327">+CA210</f>
        <v>356.12057832494281</v>
      </c>
      <c r="CB160" s="23">
        <f>+'QTR Raw'!AV83</f>
        <v>57.545999999999999</v>
      </c>
      <c r="CC160" s="23">
        <f t="shared" ref="CC160" si="1328">+CC210</f>
        <v>420.22349936136879</v>
      </c>
      <c r="CD160" s="23">
        <f>+'QTR Raw'!AX83</f>
        <v>45.482999999999997</v>
      </c>
      <c r="CE160" s="23">
        <f t="shared" ref="CE160" si="1329">+CE210</f>
        <v>486.3285727373592</v>
      </c>
      <c r="CF160" s="23">
        <f>+'QTR Raw'!AZ83</f>
        <v>45.536000000000001</v>
      </c>
      <c r="CG160" s="23">
        <f t="shared" ref="CG160:CI160" si="1330">+CG210</f>
        <v>510.78136317398264</v>
      </c>
      <c r="CH160" s="23">
        <f t="shared" si="1306"/>
        <v>52.840499999999999</v>
      </c>
      <c r="CI160" s="23">
        <f t="shared" si="1330"/>
        <v>367.73284326705772</v>
      </c>
      <c r="CJ160" s="23">
        <f>+'QTR Raw'!BD83</f>
        <v>52.530999999999999</v>
      </c>
      <c r="CK160" s="24">
        <f t="shared" ref="CK160:DB160" si="1331">+CK210</f>
        <v>186.86718869648001</v>
      </c>
      <c r="CL160" s="24">
        <f t="shared" si="1331"/>
        <v>4.5926263938786747</v>
      </c>
      <c r="CM160" s="24">
        <f t="shared" si="1331"/>
        <v>201.63708491971278</v>
      </c>
      <c r="CN160" s="24">
        <f t="shared" si="1331"/>
        <v>399.87538639540219</v>
      </c>
      <c r="CO160" s="24">
        <f t="shared" si="1331"/>
        <v>389.16901110046661</v>
      </c>
      <c r="CP160" s="24">
        <f t="shared" si="1331"/>
        <v>165.12490535016238</v>
      </c>
      <c r="CQ160" s="24">
        <f t="shared" si="1331"/>
        <v>377.70170860615957</v>
      </c>
      <c r="CR160" s="24">
        <f t="shared" si="1331"/>
        <v>589.06849247081914</v>
      </c>
      <c r="CS160" s="24">
        <f t="shared" si="1331"/>
        <v>564.72240951426511</v>
      </c>
      <c r="CT160" s="24">
        <f t="shared" si="1331"/>
        <v>305.30144536379549</v>
      </c>
      <c r="CU160" s="24">
        <f t="shared" si="1331"/>
        <v>533.05677621500445</v>
      </c>
      <c r="CV160" s="24">
        <f t="shared" si="1331"/>
        <v>758.63479485007861</v>
      </c>
      <c r="CW160" s="24">
        <f t="shared" si="1331"/>
        <v>722.97639455605179</v>
      </c>
      <c r="CX160" s="24">
        <f t="shared" si="1331"/>
        <v>427.72446703226012</v>
      </c>
      <c r="CY160" s="24">
        <f t="shared" si="1331"/>
        <v>673.05088956449208</v>
      </c>
      <c r="CZ160" s="24">
        <f t="shared" si="1331"/>
        <v>916.04749487380457</v>
      </c>
      <c r="DA160" s="24">
        <f t="shared" si="1331"/>
        <v>870.00374589042929</v>
      </c>
      <c r="DB160" s="24">
        <f t="shared" si="1331"/>
        <v>536.85336549137423</v>
      </c>
      <c r="DE160" s="123"/>
      <c r="DF160" s="23">
        <v>54.996200000000002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2">C159+C160</f>
        <v>0</v>
      </c>
      <c r="D161" s="22">
        <f t="shared" si="1332"/>
        <v>0</v>
      </c>
      <c r="E161" s="22">
        <f t="shared" si="1332"/>
        <v>0</v>
      </c>
      <c r="F161" s="22">
        <f t="shared" si="1332"/>
        <v>0</v>
      </c>
      <c r="G161" s="22">
        <f t="shared" si="1332"/>
        <v>0</v>
      </c>
      <c r="H161" s="22">
        <f t="shared" si="1332"/>
        <v>0</v>
      </c>
      <c r="I161" s="22">
        <f t="shared" si="1332"/>
        <v>0</v>
      </c>
      <c r="J161" s="22">
        <f t="shared" si="1332"/>
        <v>0</v>
      </c>
      <c r="K161" s="22">
        <f t="shared" si="1332"/>
        <v>0</v>
      </c>
      <c r="L161" s="22">
        <f t="shared" si="1332"/>
        <v>0</v>
      </c>
      <c r="M161" s="22">
        <f t="shared" si="1332"/>
        <v>0</v>
      </c>
      <c r="N161" s="22">
        <f t="shared" si="1332"/>
        <v>0</v>
      </c>
      <c r="O161" s="22">
        <f t="shared" si="1332"/>
        <v>0</v>
      </c>
      <c r="P161" s="22">
        <f t="shared" si="1332"/>
        <v>69.978800000000007</v>
      </c>
      <c r="Q161" s="22">
        <f t="shared" si="1332"/>
        <v>68.711100000000002</v>
      </c>
      <c r="R161" s="22">
        <f t="shared" si="1332"/>
        <v>61.0764</v>
      </c>
      <c r="S161" s="22">
        <f t="shared" si="1332"/>
        <v>12.7636</v>
      </c>
      <c r="T161" s="22">
        <f t="shared" si="1332"/>
        <v>47.506</v>
      </c>
      <c r="U161" s="22">
        <f t="shared" si="1332"/>
        <v>71.822000000000003</v>
      </c>
      <c r="V161" s="22">
        <f t="shared" si="1332"/>
        <v>72.982300000000009</v>
      </c>
      <c r="W161" s="22">
        <f t="shared" ref="W161" si="1333">W159+W160</f>
        <v>69.816900000000004</v>
      </c>
      <c r="X161" s="22">
        <f t="shared" ref="X161:Y161" si="1334">X159+X160</f>
        <v>242.74979999999999</v>
      </c>
      <c r="Y161" s="22">
        <f t="shared" si="1334"/>
        <v>395.35300000000001</v>
      </c>
      <c r="Z161" s="22">
        <f t="shared" ref="Z161:AA161" si="1335">Z159+Z160</f>
        <v>255.01329999999999</v>
      </c>
      <c r="AA161" s="22">
        <f t="shared" si="1335"/>
        <v>61.077500000000001</v>
      </c>
      <c r="AB161" s="21">
        <f t="shared" ref="AB161:AD161" si="1336">AB159+AB160</f>
        <v>165.12490535016238</v>
      </c>
      <c r="AC161" s="21">
        <f t="shared" si="1336"/>
        <v>305.30144536379549</v>
      </c>
      <c r="AD161" s="21">
        <f t="shared" si="1336"/>
        <v>427.72446703226012</v>
      </c>
      <c r="AE161" s="21">
        <f t="shared" ref="AE161" si="1337">AE159+AE160</f>
        <v>536.85336549137423</v>
      </c>
      <c r="AJ161" s="22">
        <f t="shared" ref="AJ161" si="1338">AJ159+AJ160</f>
        <v>0</v>
      </c>
      <c r="AK161" s="22" t="e">
        <f t="shared" ref="AK161" si="1339">AK159+AK160</f>
        <v>#DIV/0!</v>
      </c>
      <c r="AL161" s="22">
        <f t="shared" ref="AL161:AM161" si="1340">AL159+AL160</f>
        <v>0</v>
      </c>
      <c r="AM161" s="22" t="e">
        <f t="shared" si="1340"/>
        <v>#DIV/0!</v>
      </c>
      <c r="AN161" s="22">
        <f t="shared" ref="AN161:AO161" si="1341">AN159+AN160</f>
        <v>0</v>
      </c>
      <c r="AO161" s="22" t="e">
        <f t="shared" si="1341"/>
        <v>#DIV/0!</v>
      </c>
      <c r="AP161" s="22">
        <f t="shared" ref="AP161:CE161" si="1342">AP159+AP160</f>
        <v>0</v>
      </c>
      <c r="AQ161" s="22" t="e">
        <f t="shared" si="1342"/>
        <v>#DIV/0!</v>
      </c>
      <c r="AR161" s="22">
        <f t="shared" si="1342"/>
        <v>0</v>
      </c>
      <c r="AS161" s="22" t="e">
        <f t="shared" si="1342"/>
        <v>#DIV/0!</v>
      </c>
      <c r="AT161" s="22">
        <f t="shared" si="1342"/>
        <v>0</v>
      </c>
      <c r="AU161" s="22" t="e">
        <f t="shared" si="1342"/>
        <v>#DIV/0!</v>
      </c>
      <c r="AV161" s="22">
        <f t="shared" si="1342"/>
        <v>0</v>
      </c>
      <c r="AW161" s="22" t="e">
        <f t="shared" si="1342"/>
        <v>#DIV/0!</v>
      </c>
      <c r="AX161" s="22">
        <f t="shared" si="1342"/>
        <v>0</v>
      </c>
      <c r="AY161" s="22" t="e">
        <f t="shared" si="1342"/>
        <v>#DIV/0!</v>
      </c>
      <c r="AZ161" s="22">
        <f t="shared" si="1342"/>
        <v>0</v>
      </c>
      <c r="BA161" s="22" t="e">
        <f t="shared" si="1342"/>
        <v>#DIV/0!</v>
      </c>
      <c r="BB161" s="22">
        <f t="shared" si="1342"/>
        <v>0</v>
      </c>
      <c r="BC161" s="22" t="e">
        <f t="shared" si="1342"/>
        <v>#DIV/0!</v>
      </c>
      <c r="BD161" s="22">
        <f t="shared" si="1342"/>
        <v>0</v>
      </c>
      <c r="BE161" s="22" t="e">
        <f t="shared" si="1342"/>
        <v>#DIV/0!</v>
      </c>
      <c r="BF161" s="22">
        <f t="shared" si="1342"/>
        <v>0</v>
      </c>
      <c r="BG161" s="22" t="e">
        <f t="shared" si="1342"/>
        <v>#DIV/0!</v>
      </c>
      <c r="BH161" s="22">
        <f t="shared" si="1342"/>
        <v>0</v>
      </c>
      <c r="BI161" s="22" t="e">
        <f t="shared" si="1342"/>
        <v>#DIV/0!</v>
      </c>
      <c r="BJ161" s="22">
        <f t="shared" si="1342"/>
        <v>0</v>
      </c>
      <c r="BK161" s="22" t="e">
        <f t="shared" si="1342"/>
        <v>#DIV/0!</v>
      </c>
      <c r="BL161" s="22">
        <f t="shared" si="1342"/>
        <v>0</v>
      </c>
      <c r="BM161" s="22" t="e">
        <f t="shared" si="1342"/>
        <v>#DIV/0!</v>
      </c>
      <c r="BN161" s="22">
        <f t="shared" si="1342"/>
        <v>0</v>
      </c>
      <c r="BO161" s="22" t="e">
        <f t="shared" si="1342"/>
        <v>#DIV/0!</v>
      </c>
      <c r="BP161" s="22">
        <f t="shared" si="1342"/>
        <v>0</v>
      </c>
      <c r="BQ161" s="22" t="e">
        <f t="shared" si="1342"/>
        <v>#DIV/0!</v>
      </c>
      <c r="BR161" s="22">
        <f t="shared" si="1342"/>
        <v>0</v>
      </c>
      <c r="BS161" s="22" t="e">
        <f t="shared" si="1342"/>
        <v>#DIV/0!</v>
      </c>
      <c r="BT161" s="22">
        <f t="shared" si="1342"/>
        <v>0</v>
      </c>
      <c r="BU161" s="22">
        <f t="shared" si="1342"/>
        <v>49.019999999999996</v>
      </c>
      <c r="BV161" s="22">
        <f t="shared" si="1342"/>
        <v>69.816000000000003</v>
      </c>
      <c r="BW161" s="22">
        <f t="shared" si="1342"/>
        <v>142.22334449627203</v>
      </c>
      <c r="BX161" s="22">
        <f t="shared" si="1342"/>
        <v>133.23099999999999</v>
      </c>
      <c r="BY161" s="22">
        <f t="shared" si="1342"/>
        <v>203.3491824119661</v>
      </c>
      <c r="BZ161" s="22">
        <f t="shared" si="1342"/>
        <v>242.75</v>
      </c>
      <c r="CA161" s="22">
        <f t="shared" si="1342"/>
        <v>356.12057832494281</v>
      </c>
      <c r="CB161" s="22">
        <f t="shared" si="1342"/>
        <v>386.47800000000001</v>
      </c>
      <c r="CC161" s="22">
        <f t="shared" si="1342"/>
        <v>420.22349936136879</v>
      </c>
      <c r="CD161" s="22">
        <f t="shared" si="1342"/>
        <v>395.35300000000001</v>
      </c>
      <c r="CE161" s="22">
        <f t="shared" si="1342"/>
        <v>486.3285727373592</v>
      </c>
      <c r="CF161" s="22">
        <f t="shared" ref="CF161:CG161" si="1343">CF159+CF160</f>
        <v>463.84399999999999</v>
      </c>
      <c r="CG161" s="22">
        <f t="shared" si="1343"/>
        <v>510.78136317398264</v>
      </c>
      <c r="CH161" s="22">
        <f t="shared" ref="CH161:CI161" si="1344">CH159+CH160</f>
        <v>255.01329999999999</v>
      </c>
      <c r="CI161" s="22">
        <f t="shared" si="1344"/>
        <v>367.73284326705772</v>
      </c>
      <c r="CJ161" s="22">
        <f t="shared" ref="CJ161:DB161" si="1345">CJ159+CJ160</f>
        <v>178.47</v>
      </c>
      <c r="CK161" s="21">
        <f t="shared" si="1345"/>
        <v>186.86718869648001</v>
      </c>
      <c r="CL161" s="21">
        <f t="shared" si="1345"/>
        <v>4.5926263938786747</v>
      </c>
      <c r="CM161" s="21">
        <f t="shared" si="1345"/>
        <v>201.63708491971278</v>
      </c>
      <c r="CN161" s="21">
        <f t="shared" si="1345"/>
        <v>399.87538639540219</v>
      </c>
      <c r="CO161" s="21">
        <f t="shared" si="1345"/>
        <v>389.16901110046661</v>
      </c>
      <c r="CP161" s="21">
        <f t="shared" si="1345"/>
        <v>165.12490535016238</v>
      </c>
      <c r="CQ161" s="21">
        <f t="shared" si="1345"/>
        <v>377.70170860615957</v>
      </c>
      <c r="CR161" s="21">
        <f t="shared" si="1345"/>
        <v>589.06849247081914</v>
      </c>
      <c r="CS161" s="21">
        <f t="shared" si="1345"/>
        <v>564.72240951426511</v>
      </c>
      <c r="CT161" s="21">
        <f t="shared" si="1345"/>
        <v>305.30144536379549</v>
      </c>
      <c r="CU161" s="21">
        <f t="shared" si="1345"/>
        <v>533.05677621500445</v>
      </c>
      <c r="CV161" s="21">
        <f t="shared" si="1345"/>
        <v>758.63479485007861</v>
      </c>
      <c r="CW161" s="21">
        <f t="shared" si="1345"/>
        <v>722.97639455605179</v>
      </c>
      <c r="CX161" s="21">
        <f t="shared" si="1345"/>
        <v>427.72446703226012</v>
      </c>
      <c r="CY161" s="21">
        <f t="shared" si="1345"/>
        <v>673.05088956449208</v>
      </c>
      <c r="CZ161" s="21">
        <f t="shared" si="1345"/>
        <v>916.04749487380457</v>
      </c>
      <c r="DA161" s="21">
        <f t="shared" si="1345"/>
        <v>870.00374589042929</v>
      </c>
      <c r="DB161" s="21">
        <f t="shared" si="1345"/>
        <v>536.85336549137423</v>
      </c>
      <c r="DE161" s="126"/>
      <c r="DF161" s="22">
        <v>61.077500000000001</v>
      </c>
    </row>
    <row r="162" spans="1:110" s="23" customFormat="1" x14ac:dyDescent="0.2">
      <c r="AB162" s="24"/>
      <c r="AC162" s="24"/>
      <c r="AD162" s="24"/>
      <c r="AE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46.287100000000002</v>
      </c>
      <c r="Q163" s="23">
        <f>-'Annual Raw'!R49</f>
        <v>31.810400000000001</v>
      </c>
      <c r="R163" s="23">
        <f>-'Annual Raw'!S49</f>
        <v>71.416799999999995</v>
      </c>
      <c r="S163" s="23">
        <f>-'Annual Raw'!T49</f>
        <v>78.083399999999997</v>
      </c>
      <c r="T163" s="23">
        <f>-'Annual Raw'!U49</f>
        <v>90.691000000000003</v>
      </c>
      <c r="U163" s="23">
        <f>-'Annual Raw'!V49</f>
        <v>77.078999999999994</v>
      </c>
      <c r="V163" s="23">
        <f>-'Annual Raw'!W49</f>
        <v>53.292299999999997</v>
      </c>
      <c r="W163" s="23">
        <f>-'Annual Raw'!X49</f>
        <v>-9.56</v>
      </c>
      <c r="X163" s="23">
        <f>-'Annual Raw'!Y49</f>
        <v>-115.1465</v>
      </c>
      <c r="Y163" s="23">
        <f>-'Annual Raw'!Z49</f>
        <v>-122.6601</v>
      </c>
      <c r="Z163" s="23">
        <f>-'Annual Raw'!AA49</f>
        <v>-118.8539</v>
      </c>
      <c r="AA163" s="23">
        <f>-'Annual Raw'!AB49</f>
        <v>-106.7064</v>
      </c>
      <c r="AB163" s="24">
        <f t="shared" ref="AB163:AB164" si="1346">+CP163</f>
        <v>-116.38800000000001</v>
      </c>
      <c r="AC163" s="24">
        <f t="shared" ref="AC163:AC164" si="1347">+CT163</f>
        <v>-116.38800000000001</v>
      </c>
      <c r="AD163" s="24">
        <f t="shared" ref="AD163:AD164" si="1348">+CX163</f>
        <v>-116.38800000000001</v>
      </c>
      <c r="AE163" s="24">
        <f t="shared" ref="AE163:AE164" si="1349">+DB163</f>
        <v>-116.38800000000001</v>
      </c>
      <c r="AJ163" s="23">
        <f>+'QTR Raw'!D96</f>
        <v>0</v>
      </c>
      <c r="AK163" s="23">
        <f t="shared" ref="AK163:CE163" si="1350">+AJ163</f>
        <v>0</v>
      </c>
      <c r="AL163" s="23">
        <f>+'QTR Raw'!F96</f>
        <v>0</v>
      </c>
      <c r="AM163" s="23">
        <f t="shared" si="1350"/>
        <v>0</v>
      </c>
      <c r="AN163" s="23">
        <f>+'QTR Raw'!H96</f>
        <v>0</v>
      </c>
      <c r="AO163" s="23">
        <f t="shared" si="1350"/>
        <v>0</v>
      </c>
      <c r="AP163" s="23">
        <f>+'QTR Raw'!J96</f>
        <v>0</v>
      </c>
      <c r="AQ163" s="23">
        <f t="shared" si="1350"/>
        <v>0</v>
      </c>
      <c r="AR163" s="23">
        <f>+'QTR Raw'!L96</f>
        <v>0</v>
      </c>
      <c r="AS163" s="23">
        <f t="shared" si="1350"/>
        <v>0</v>
      </c>
      <c r="AT163" s="23">
        <f>+'QTR Raw'!N96</f>
        <v>0</v>
      </c>
      <c r="AU163" s="23">
        <f t="shared" si="1350"/>
        <v>0</v>
      </c>
      <c r="AV163" s="23">
        <f>+'QTR Raw'!P96</f>
        <v>0</v>
      </c>
      <c r="AW163" s="23">
        <f t="shared" si="1350"/>
        <v>0</v>
      </c>
      <c r="AX163" s="23">
        <f>+'QTR Raw'!R96</f>
        <v>0</v>
      </c>
      <c r="AY163" s="23">
        <f t="shared" si="1350"/>
        <v>0</v>
      </c>
      <c r="AZ163" s="23">
        <f>+'QTR Raw'!T96</f>
        <v>0</v>
      </c>
      <c r="BA163" s="23">
        <f t="shared" si="1350"/>
        <v>0</v>
      </c>
      <c r="BB163" s="23">
        <f>+'QTR Raw'!V96</f>
        <v>0</v>
      </c>
      <c r="BC163" s="23">
        <f t="shared" si="1350"/>
        <v>0</v>
      </c>
      <c r="BD163" s="23">
        <f>+'QTR Raw'!X96</f>
        <v>0</v>
      </c>
      <c r="BE163" s="23">
        <f t="shared" si="1350"/>
        <v>0</v>
      </c>
      <c r="BF163" s="23">
        <f>+'QTR Raw'!Z96</f>
        <v>0</v>
      </c>
      <c r="BG163" s="23">
        <f t="shared" si="1350"/>
        <v>0</v>
      </c>
      <c r="BH163" s="23">
        <f>+'QTR Raw'!AB96</f>
        <v>0</v>
      </c>
      <c r="BI163" s="23">
        <f t="shared" si="1350"/>
        <v>0</v>
      </c>
      <c r="BJ163" s="23">
        <f>+'QTR Raw'!AD96</f>
        <v>0</v>
      </c>
      <c r="BK163" s="23">
        <f t="shared" si="1350"/>
        <v>0</v>
      </c>
      <c r="BL163" s="23">
        <f>+'QTR Raw'!AF96</f>
        <v>0</v>
      </c>
      <c r="BM163" s="23">
        <f t="shared" si="1350"/>
        <v>0</v>
      </c>
      <c r="BN163" s="23">
        <f>+'QTR Raw'!AH96</f>
        <v>0</v>
      </c>
      <c r="BO163" s="23">
        <f t="shared" si="1350"/>
        <v>0</v>
      </c>
      <c r="BP163" s="23">
        <f>+'QTR Raw'!AJ96</f>
        <v>0</v>
      </c>
      <c r="BQ163" s="23">
        <f t="shared" si="1350"/>
        <v>0</v>
      </c>
      <c r="BR163" s="23">
        <f>+'QTR Raw'!AL96</f>
        <v>0</v>
      </c>
      <c r="BS163" s="23">
        <f t="shared" si="1350"/>
        <v>0</v>
      </c>
      <c r="BT163" s="23">
        <f>+'QTR Raw'!AN96</f>
        <v>0</v>
      </c>
      <c r="BU163" s="23">
        <f t="shared" si="1350"/>
        <v>0</v>
      </c>
      <c r="BV163" s="23">
        <f>+'QTR Raw'!AP96</f>
        <v>-9.56</v>
      </c>
      <c r="BW163" s="23">
        <f t="shared" si="1350"/>
        <v>-9.56</v>
      </c>
      <c r="BX163" s="23">
        <f>+'QTR Raw'!AR96</f>
        <v>-60.23</v>
      </c>
      <c r="BY163" s="23">
        <f t="shared" si="1350"/>
        <v>-60.23</v>
      </c>
      <c r="BZ163" s="23">
        <f>+'QTR Raw'!AT96</f>
        <v>-115.14700000000001</v>
      </c>
      <c r="CA163" s="23">
        <f t="shared" si="1350"/>
        <v>-115.14700000000001</v>
      </c>
      <c r="CB163" s="23">
        <f>+'QTR Raw'!AV96</f>
        <v>-119.84099999999999</v>
      </c>
      <c r="CC163" s="23">
        <f t="shared" si="1350"/>
        <v>-119.84099999999999</v>
      </c>
      <c r="CD163" s="23">
        <f>+'QTR Raw'!AX96</f>
        <v>-122.66</v>
      </c>
      <c r="CE163" s="23">
        <f t="shared" si="1350"/>
        <v>-122.66</v>
      </c>
      <c r="CF163" s="23">
        <f>+'QTR Raw'!AZ96</f>
        <v>-124.041</v>
      </c>
      <c r="CG163" s="23">
        <f t="shared" ref="CG163:CI164" si="1351">+CF163</f>
        <v>-124.041</v>
      </c>
      <c r="CH163" s="23">
        <f t="shared" ref="CH163:CH164" si="1352">Z163</f>
        <v>-118.8539</v>
      </c>
      <c r="CI163" s="23">
        <f t="shared" si="1351"/>
        <v>-118.8539</v>
      </c>
      <c r="CJ163" s="23">
        <f>+'QTR Raw'!BD96</f>
        <v>-116.38800000000001</v>
      </c>
      <c r="CK163" s="24">
        <f t="shared" ref="CK163:CK164" si="1353">+CJ163</f>
        <v>-116.38800000000001</v>
      </c>
      <c r="CL163" s="24">
        <f t="shared" ref="CL163:CL164" si="1354">+CK163</f>
        <v>-116.38800000000001</v>
      </c>
      <c r="CM163" s="24">
        <f t="shared" ref="CM163:CM164" si="1355">+CL163</f>
        <v>-116.38800000000001</v>
      </c>
      <c r="CN163" s="24">
        <f t="shared" ref="CN163:CN164" si="1356">+CM163</f>
        <v>-116.38800000000001</v>
      </c>
      <c r="CO163" s="24">
        <f t="shared" ref="CO163:CO164" si="1357">+CN163</f>
        <v>-116.38800000000001</v>
      </c>
      <c r="CP163" s="24">
        <f t="shared" ref="CP163:CP164" si="1358">+CO163</f>
        <v>-116.38800000000001</v>
      </c>
      <c r="CQ163" s="24">
        <f t="shared" ref="CQ163:CQ164" si="1359">+CP163</f>
        <v>-116.38800000000001</v>
      </c>
      <c r="CR163" s="24">
        <f t="shared" ref="CR163:CR164" si="1360">+CQ163</f>
        <v>-116.38800000000001</v>
      </c>
      <c r="CS163" s="24">
        <f t="shared" ref="CS163:CS164" si="1361">+CR163</f>
        <v>-116.38800000000001</v>
      </c>
      <c r="CT163" s="24">
        <f t="shared" ref="CT163:CT164" si="1362">+CS163</f>
        <v>-116.38800000000001</v>
      </c>
      <c r="CU163" s="24">
        <f t="shared" ref="CU163:CU164" si="1363">+CT163</f>
        <v>-116.38800000000001</v>
      </c>
      <c r="CV163" s="24">
        <f t="shared" ref="CV163:CV164" si="1364">+CU163</f>
        <v>-116.38800000000001</v>
      </c>
      <c r="CW163" s="24">
        <f t="shared" ref="CW163:CW164" si="1365">+CV163</f>
        <v>-116.38800000000001</v>
      </c>
      <c r="CX163" s="24">
        <f t="shared" ref="CX163:CX164" si="1366">+CW163</f>
        <v>-116.38800000000001</v>
      </c>
      <c r="CY163" s="24">
        <f t="shared" ref="CY163:CY164" si="1367">+CX163</f>
        <v>-116.38800000000001</v>
      </c>
      <c r="CZ163" s="24">
        <f t="shared" ref="CZ163:CZ164" si="1368">+CY163</f>
        <v>-116.38800000000001</v>
      </c>
      <c r="DA163" s="24">
        <f t="shared" ref="DA163:DA164" si="1369">+CZ163</f>
        <v>-116.38800000000001</v>
      </c>
      <c r="DB163" s="24">
        <f t="shared" ref="DB163:DB164" si="1370">+DA163</f>
        <v>-116.38800000000001</v>
      </c>
      <c r="DE163" s="123"/>
      <c r="DF163" s="23">
        <v>-106.7064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46"/>
        <v>0</v>
      </c>
      <c r="AC164" s="24">
        <f t="shared" si="1347"/>
        <v>0</v>
      </c>
      <c r="AD164" s="24">
        <f t="shared" si="1348"/>
        <v>0</v>
      </c>
      <c r="AE164" s="24">
        <f t="shared" si="1349"/>
        <v>0</v>
      </c>
      <c r="AJ164" s="23">
        <f>+'QTR Raw'!D95</f>
        <v>0</v>
      </c>
      <c r="AK164" s="23">
        <f t="shared" ref="AK164:CE164" si="1371">+AJ164</f>
        <v>0</v>
      </c>
      <c r="AL164" s="23">
        <f>+'QTR Raw'!F95</f>
        <v>0</v>
      </c>
      <c r="AM164" s="23">
        <f t="shared" si="1371"/>
        <v>0</v>
      </c>
      <c r="AN164" s="23">
        <f>+'QTR Raw'!H95</f>
        <v>0</v>
      </c>
      <c r="AO164" s="23">
        <f t="shared" si="1371"/>
        <v>0</v>
      </c>
      <c r="AP164" s="23">
        <f>+'QTR Raw'!J95</f>
        <v>0</v>
      </c>
      <c r="AQ164" s="23">
        <f t="shared" si="1371"/>
        <v>0</v>
      </c>
      <c r="AR164" s="23">
        <f>+'QTR Raw'!L95</f>
        <v>0</v>
      </c>
      <c r="AS164" s="23">
        <f t="shared" si="1371"/>
        <v>0</v>
      </c>
      <c r="AT164" s="23">
        <f>+'QTR Raw'!N95</f>
        <v>0</v>
      </c>
      <c r="AU164" s="23">
        <f t="shared" si="1371"/>
        <v>0</v>
      </c>
      <c r="AV164" s="23">
        <f>+'QTR Raw'!P95</f>
        <v>0</v>
      </c>
      <c r="AW164" s="23">
        <f t="shared" si="1371"/>
        <v>0</v>
      </c>
      <c r="AX164" s="23">
        <f>+'QTR Raw'!R95</f>
        <v>0</v>
      </c>
      <c r="AY164" s="23">
        <f t="shared" si="1371"/>
        <v>0</v>
      </c>
      <c r="AZ164" s="23">
        <f>+'QTR Raw'!T95</f>
        <v>0</v>
      </c>
      <c r="BA164" s="23">
        <f t="shared" si="1371"/>
        <v>0</v>
      </c>
      <c r="BB164" s="23">
        <f>+'QTR Raw'!V95</f>
        <v>0</v>
      </c>
      <c r="BC164" s="23">
        <f t="shared" si="1371"/>
        <v>0</v>
      </c>
      <c r="BD164" s="23">
        <f>+'QTR Raw'!X95</f>
        <v>0</v>
      </c>
      <c r="BE164" s="23">
        <f t="shared" si="1371"/>
        <v>0</v>
      </c>
      <c r="BF164" s="23">
        <f>+'QTR Raw'!Z95</f>
        <v>0</v>
      </c>
      <c r="BG164" s="23">
        <f t="shared" si="1371"/>
        <v>0</v>
      </c>
      <c r="BH164" s="23">
        <f>+'QTR Raw'!AB95</f>
        <v>0</v>
      </c>
      <c r="BI164" s="23">
        <f t="shared" si="1371"/>
        <v>0</v>
      </c>
      <c r="BJ164" s="23">
        <f>+'QTR Raw'!AD95</f>
        <v>0</v>
      </c>
      <c r="BK164" s="23">
        <f t="shared" si="1371"/>
        <v>0</v>
      </c>
      <c r="BL164" s="23">
        <f>+'QTR Raw'!AF95</f>
        <v>0</v>
      </c>
      <c r="BM164" s="23">
        <f t="shared" si="1371"/>
        <v>0</v>
      </c>
      <c r="BN164" s="23">
        <f>+'QTR Raw'!AH95</f>
        <v>0</v>
      </c>
      <c r="BO164" s="23">
        <f t="shared" si="1371"/>
        <v>0</v>
      </c>
      <c r="BP164" s="23">
        <f>+'QTR Raw'!AJ95</f>
        <v>0</v>
      </c>
      <c r="BQ164" s="23">
        <f t="shared" si="1371"/>
        <v>0</v>
      </c>
      <c r="BR164" s="23">
        <f>+'QTR Raw'!AL95</f>
        <v>0</v>
      </c>
      <c r="BS164" s="23">
        <f t="shared" si="1371"/>
        <v>0</v>
      </c>
      <c r="BT164" s="23">
        <f>+'QTR Raw'!AN95</f>
        <v>0</v>
      </c>
      <c r="BU164" s="23">
        <f t="shared" si="1371"/>
        <v>0</v>
      </c>
      <c r="BV164" s="23">
        <f>+'QTR Raw'!AP95</f>
        <v>0</v>
      </c>
      <c r="BW164" s="23">
        <f t="shared" si="1371"/>
        <v>0</v>
      </c>
      <c r="BX164" s="23">
        <f>+'QTR Raw'!AR95</f>
        <v>0</v>
      </c>
      <c r="BY164" s="23">
        <f t="shared" si="1371"/>
        <v>0</v>
      </c>
      <c r="BZ164" s="23">
        <f>+'QTR Raw'!AT95</f>
        <v>0</v>
      </c>
      <c r="CA164" s="23">
        <f t="shared" si="1371"/>
        <v>0</v>
      </c>
      <c r="CB164" s="23">
        <f>+'QTR Raw'!AV95</f>
        <v>0</v>
      </c>
      <c r="CC164" s="23">
        <f t="shared" si="1371"/>
        <v>0</v>
      </c>
      <c r="CD164" s="23">
        <f>+'QTR Raw'!AX95</f>
        <v>0</v>
      </c>
      <c r="CE164" s="23">
        <f t="shared" si="1371"/>
        <v>0</v>
      </c>
      <c r="CF164" s="23">
        <f>+'QTR Raw'!AZ95</f>
        <v>0</v>
      </c>
      <c r="CG164" s="23">
        <f t="shared" si="1351"/>
        <v>0</v>
      </c>
      <c r="CH164" s="23">
        <f t="shared" si="1352"/>
        <v>0</v>
      </c>
      <c r="CI164" s="23">
        <f t="shared" si="1351"/>
        <v>0</v>
      </c>
      <c r="CJ164" s="23">
        <f>+'QTR Raw'!BD95</f>
        <v>0</v>
      </c>
      <c r="CK164" s="24">
        <f t="shared" si="1353"/>
        <v>0</v>
      </c>
      <c r="CL164" s="24">
        <f t="shared" si="1354"/>
        <v>0</v>
      </c>
      <c r="CM164" s="24">
        <f t="shared" si="1355"/>
        <v>0</v>
      </c>
      <c r="CN164" s="24">
        <f t="shared" si="1356"/>
        <v>0</v>
      </c>
      <c r="CO164" s="24">
        <f t="shared" si="1357"/>
        <v>0</v>
      </c>
      <c r="CP164" s="24">
        <f t="shared" si="1358"/>
        <v>0</v>
      </c>
      <c r="CQ164" s="24">
        <f t="shared" si="1359"/>
        <v>0</v>
      </c>
      <c r="CR164" s="24">
        <f t="shared" si="1360"/>
        <v>0</v>
      </c>
      <c r="CS164" s="24">
        <f t="shared" si="1361"/>
        <v>0</v>
      </c>
      <c r="CT164" s="24">
        <f t="shared" si="1362"/>
        <v>0</v>
      </c>
      <c r="CU164" s="24">
        <f t="shared" si="1363"/>
        <v>0</v>
      </c>
      <c r="CV164" s="24">
        <f t="shared" si="1364"/>
        <v>0</v>
      </c>
      <c r="CW164" s="24">
        <f t="shared" si="1365"/>
        <v>0</v>
      </c>
      <c r="CX164" s="24">
        <f t="shared" si="1366"/>
        <v>0</v>
      </c>
      <c r="CY164" s="24">
        <f t="shared" si="1367"/>
        <v>0</v>
      </c>
      <c r="CZ164" s="24">
        <f t="shared" si="1368"/>
        <v>0</v>
      </c>
      <c r="DA164" s="24">
        <f t="shared" si="1369"/>
        <v>0</v>
      </c>
      <c r="DB164" s="24">
        <f t="shared" si="1370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2">B163+B161+B157+B140+B138+B164</f>
        <v>0</v>
      </c>
      <c r="C165" s="26">
        <f t="shared" si="1372"/>
        <v>0</v>
      </c>
      <c r="D165" s="26">
        <f t="shared" si="1372"/>
        <v>0</v>
      </c>
      <c r="E165" s="26">
        <f t="shared" si="1372"/>
        <v>0</v>
      </c>
      <c r="F165" s="26">
        <f t="shared" si="1372"/>
        <v>0</v>
      </c>
      <c r="G165" s="26">
        <f t="shared" si="1372"/>
        <v>0</v>
      </c>
      <c r="H165" s="26">
        <f t="shared" si="1372"/>
        <v>0</v>
      </c>
      <c r="I165" s="26">
        <f t="shared" si="1372"/>
        <v>0</v>
      </c>
      <c r="J165" s="26">
        <f t="shared" si="1372"/>
        <v>0</v>
      </c>
      <c r="K165" s="26">
        <f t="shared" si="1372"/>
        <v>0</v>
      </c>
      <c r="L165" s="26">
        <f t="shared" si="1372"/>
        <v>0</v>
      </c>
      <c r="M165" s="26">
        <f t="shared" si="1372"/>
        <v>0</v>
      </c>
      <c r="N165" s="26">
        <f t="shared" si="1372"/>
        <v>0</v>
      </c>
      <c r="O165" s="26">
        <f t="shared" si="1372"/>
        <v>0</v>
      </c>
      <c r="P165" s="26">
        <f t="shared" si="1372"/>
        <v>1210.9629000000002</v>
      </c>
      <c r="Q165" s="26">
        <f t="shared" si="1372"/>
        <v>1103.1911</v>
      </c>
      <c r="R165" s="26">
        <f t="shared" si="1372"/>
        <v>1012.3801</v>
      </c>
      <c r="S165" s="26">
        <f t="shared" si="1372"/>
        <v>940.23530000000005</v>
      </c>
      <c r="T165" s="26">
        <f t="shared" si="1372"/>
        <v>796.45900000000006</v>
      </c>
      <c r="U165" s="26">
        <f t="shared" si="1372"/>
        <v>863.25299999999993</v>
      </c>
      <c r="V165" s="26">
        <f t="shared" si="1372"/>
        <v>932.41060000000004</v>
      </c>
      <c r="W165" s="26">
        <f t="shared" si="1372"/>
        <v>1107.1695000000002</v>
      </c>
      <c r="X165" s="26">
        <f t="shared" ref="X165:Y165" si="1373">X163+X161+X157+X140+X138+X164</f>
        <v>1452.5119</v>
      </c>
      <c r="Y165" s="26">
        <f t="shared" si="1373"/>
        <v>1761.1033000000002</v>
      </c>
      <c r="Z165" s="26">
        <f t="shared" ref="Z165:AA165" si="1374">Z163+Z161+Z157+Z140+Z138+Z164</f>
        <v>2042.0813999999998</v>
      </c>
      <c r="AA165" s="26">
        <f t="shared" si="1374"/>
        <v>2337.9607999999998</v>
      </c>
      <c r="AB165" s="27">
        <f t="shared" ref="AB165:AD165" si="1375">AB163+AB161+AB157+AB140+AB138+AB164</f>
        <v>2351.2563687959878</v>
      </c>
      <c r="AC165" s="27">
        <f t="shared" si="1375"/>
        <v>2497.7080123678224</v>
      </c>
      <c r="AD165" s="27">
        <f t="shared" si="1375"/>
        <v>2640.5138966595068</v>
      </c>
      <c r="AE165" s="27">
        <f t="shared" ref="AE165" si="1376">AE163+AE161+AE157+AE140+AE138+AE164</f>
        <v>2785.6555755205727</v>
      </c>
      <c r="AJ165" s="26">
        <f t="shared" ref="AJ165" si="1377">AJ163+AJ161+AJ157+AJ140+AJ138+AJ164</f>
        <v>0</v>
      </c>
      <c r="AK165" s="26" t="e">
        <f t="shared" ref="AK165:AL165" si="1378">AK163+AK161+AK157+AK140+AK138+AK164</f>
        <v>#DIV/0!</v>
      </c>
      <c r="AL165" s="26">
        <f t="shared" si="1378"/>
        <v>0</v>
      </c>
      <c r="AM165" s="26" t="e">
        <f t="shared" ref="AM165:AO165" si="1379">AM163+AM161+AM157+AM140+AM138+AM164</f>
        <v>#DIV/0!</v>
      </c>
      <c r="AN165" s="26">
        <f t="shared" si="1379"/>
        <v>0</v>
      </c>
      <c r="AO165" s="26" t="e">
        <f t="shared" si="1379"/>
        <v>#DIV/0!</v>
      </c>
      <c r="AP165" s="26">
        <f t="shared" ref="AP165:CE165" si="1380">AP163+AP161+AP157+AP140+AP138+AP164</f>
        <v>0</v>
      </c>
      <c r="AQ165" s="26" t="e">
        <f t="shared" si="1380"/>
        <v>#DIV/0!</v>
      </c>
      <c r="AR165" s="26">
        <f t="shared" si="1380"/>
        <v>0</v>
      </c>
      <c r="AS165" s="26" t="e">
        <f t="shared" si="1380"/>
        <v>#DIV/0!</v>
      </c>
      <c r="AT165" s="26">
        <f t="shared" si="1380"/>
        <v>0</v>
      </c>
      <c r="AU165" s="26" t="e">
        <f t="shared" si="1380"/>
        <v>#DIV/0!</v>
      </c>
      <c r="AV165" s="26">
        <f t="shared" si="1380"/>
        <v>0</v>
      </c>
      <c r="AW165" s="26" t="e">
        <f t="shared" si="1380"/>
        <v>#DIV/0!</v>
      </c>
      <c r="AX165" s="26">
        <f t="shared" si="1380"/>
        <v>0</v>
      </c>
      <c r="AY165" s="26" t="e">
        <f t="shared" si="1380"/>
        <v>#DIV/0!</v>
      </c>
      <c r="AZ165" s="26">
        <f t="shared" si="1380"/>
        <v>0</v>
      </c>
      <c r="BA165" s="26" t="e">
        <f t="shared" si="1380"/>
        <v>#DIV/0!</v>
      </c>
      <c r="BB165" s="26">
        <f t="shared" si="1380"/>
        <v>0</v>
      </c>
      <c r="BC165" s="26" t="e">
        <f t="shared" si="1380"/>
        <v>#DIV/0!</v>
      </c>
      <c r="BD165" s="26">
        <f t="shared" si="1380"/>
        <v>0</v>
      </c>
      <c r="BE165" s="26" t="e">
        <f t="shared" si="1380"/>
        <v>#DIV/0!</v>
      </c>
      <c r="BF165" s="26">
        <f t="shared" si="1380"/>
        <v>0</v>
      </c>
      <c r="BG165" s="26" t="e">
        <f t="shared" si="1380"/>
        <v>#DIV/0!</v>
      </c>
      <c r="BH165" s="26">
        <f t="shared" ref="BH165" si="1381">BH163+BH161+BH157+BH140+BH138+BH164</f>
        <v>0</v>
      </c>
      <c r="BI165" s="26" t="e">
        <f t="shared" si="1380"/>
        <v>#DIV/0!</v>
      </c>
      <c r="BJ165" s="26">
        <f t="shared" si="1380"/>
        <v>0</v>
      </c>
      <c r="BK165" s="26" t="e">
        <f t="shared" si="1380"/>
        <v>#DIV/0!</v>
      </c>
      <c r="BL165" s="26">
        <f t="shared" si="1380"/>
        <v>0</v>
      </c>
      <c r="BM165" s="26" t="e">
        <f t="shared" si="1380"/>
        <v>#DIV/0!</v>
      </c>
      <c r="BN165" s="26">
        <f t="shared" si="1380"/>
        <v>0</v>
      </c>
      <c r="BO165" s="26" t="e">
        <f t="shared" si="1380"/>
        <v>#DIV/0!</v>
      </c>
      <c r="BP165" s="26">
        <f t="shared" si="1380"/>
        <v>0</v>
      </c>
      <c r="BQ165" s="26" t="e">
        <f t="shared" si="1380"/>
        <v>#DIV/0!</v>
      </c>
      <c r="BR165" s="26">
        <f t="shared" si="1380"/>
        <v>0</v>
      </c>
      <c r="BS165" s="26" t="e">
        <f t="shared" si="1380"/>
        <v>#DIV/0!</v>
      </c>
      <c r="BT165" s="26">
        <f t="shared" si="1380"/>
        <v>0</v>
      </c>
      <c r="BU165" s="26">
        <f t="shared" si="1380"/>
        <v>49.019999999999996</v>
      </c>
      <c r="BV165" s="26">
        <f t="shared" si="1380"/>
        <v>1107.1699999999998</v>
      </c>
      <c r="BW165" s="26">
        <f t="shared" si="1380"/>
        <v>1191.5689999999997</v>
      </c>
      <c r="BX165" s="26">
        <f t="shared" si="1380"/>
        <v>1234.0609999999999</v>
      </c>
      <c r="BY165" s="26">
        <f t="shared" si="1380"/>
        <v>1332.1220000000001</v>
      </c>
      <c r="BZ165" s="26">
        <f t="shared" si="1380"/>
        <v>1452.5120000000002</v>
      </c>
      <c r="CA165" s="26">
        <f t="shared" si="1380"/>
        <v>1546.3690000000001</v>
      </c>
      <c r="CB165" s="26">
        <f t="shared" si="1380"/>
        <v>1593.6209999999999</v>
      </c>
      <c r="CC165" s="26">
        <f t="shared" si="1380"/>
        <v>1695.1489999999999</v>
      </c>
      <c r="CD165" s="26">
        <f t="shared" si="1380"/>
        <v>1761.1030000000001</v>
      </c>
      <c r="CE165" s="26">
        <f t="shared" si="1380"/>
        <v>1805.96</v>
      </c>
      <c r="CF165" s="26">
        <f t="shared" ref="CF165:CG165" si="1382">CF163+CF161+CF157+CF140+CF138+CF164</f>
        <v>1879.48</v>
      </c>
      <c r="CG165" s="26">
        <f t="shared" si="1382"/>
        <v>1927.452</v>
      </c>
      <c r="CH165" s="26">
        <f t="shared" ref="CH165:CI165" si="1383">CH163+CH161+CH157+CH140+CH138+CH164</f>
        <v>2042.0813999999998</v>
      </c>
      <c r="CI165" s="26">
        <f t="shared" si="1383"/>
        <v>2082.2723999999998</v>
      </c>
      <c r="CJ165" s="26">
        <f t="shared" ref="CJ165:DB165" si="1384">CJ163+CJ161+CJ157+CJ140+CJ138+CJ164</f>
        <v>2114.2739999999999</v>
      </c>
      <c r="CK165" s="27">
        <f t="shared" si="1384"/>
        <v>2137.913</v>
      </c>
      <c r="CL165" s="27">
        <f t="shared" si="1384"/>
        <v>2193.8770693838278</v>
      </c>
      <c r="CM165" s="27">
        <f t="shared" si="1384"/>
        <v>2248.1689659136855</v>
      </c>
      <c r="CN165" s="27">
        <f t="shared" si="1384"/>
        <v>2276.6738526008012</v>
      </c>
      <c r="CO165" s="27">
        <f t="shared" si="1384"/>
        <v>2298.3430082437726</v>
      </c>
      <c r="CP165" s="27">
        <f t="shared" si="1384"/>
        <v>2351.2563687959878</v>
      </c>
      <c r="CQ165" s="27">
        <f t="shared" si="1384"/>
        <v>2403.223226782718</v>
      </c>
      <c r="CR165" s="27">
        <f t="shared" si="1384"/>
        <v>2427.1480427191036</v>
      </c>
      <c r="CS165" s="27">
        <f t="shared" si="1384"/>
        <v>2445.4387013558016</v>
      </c>
      <c r="CT165" s="27">
        <f t="shared" si="1384"/>
        <v>2497.7080123678224</v>
      </c>
      <c r="CU165" s="27">
        <f t="shared" si="1384"/>
        <v>2549.6330553485914</v>
      </c>
      <c r="CV165" s="27">
        <f t="shared" si="1384"/>
        <v>2571.079952528743</v>
      </c>
      <c r="CW165" s="27">
        <f t="shared" si="1384"/>
        <v>2586.8864073634868</v>
      </c>
      <c r="CX165" s="27">
        <f t="shared" si="1384"/>
        <v>2640.5138966595068</v>
      </c>
      <c r="CY165" s="27">
        <f t="shared" si="1384"/>
        <v>2694.2300709094179</v>
      </c>
      <c r="CZ165" s="27">
        <f t="shared" si="1384"/>
        <v>2714.5776407881185</v>
      </c>
      <c r="DA165" s="27">
        <f t="shared" si="1384"/>
        <v>2729.0284150944044</v>
      </c>
      <c r="DB165" s="27">
        <f t="shared" si="1384"/>
        <v>2785.6555755205727</v>
      </c>
      <c r="DE165" s="121"/>
      <c r="DF165" s="26">
        <v>2337.9607999999998</v>
      </c>
    </row>
    <row r="166" spans="1:110" s="23" customFormat="1" x14ac:dyDescent="0.2">
      <c r="A166" s="28" t="s">
        <v>439</v>
      </c>
      <c r="B166" s="23">
        <f t="shared" ref="B166:W166" si="1385">B165-B129</f>
        <v>0</v>
      </c>
      <c r="C166" s="23">
        <f t="shared" si="1385"/>
        <v>0</v>
      </c>
      <c r="D166" s="23">
        <f t="shared" si="1385"/>
        <v>0</v>
      </c>
      <c r="E166" s="23">
        <f t="shared" si="1385"/>
        <v>0</v>
      </c>
      <c r="F166" s="23">
        <f t="shared" si="1385"/>
        <v>0</v>
      </c>
      <c r="G166" s="23">
        <f t="shared" si="1385"/>
        <v>0</v>
      </c>
      <c r="H166" s="23">
        <f t="shared" si="1385"/>
        <v>0</v>
      </c>
      <c r="I166" s="23">
        <f t="shared" si="1385"/>
        <v>0</v>
      </c>
      <c r="J166" s="23">
        <f t="shared" si="1385"/>
        <v>0</v>
      </c>
      <c r="K166" s="23">
        <f t="shared" si="1385"/>
        <v>0</v>
      </c>
      <c r="L166" s="23">
        <f t="shared" si="1385"/>
        <v>0</v>
      </c>
      <c r="M166" s="23">
        <f t="shared" si="1385"/>
        <v>0</v>
      </c>
      <c r="N166" s="23">
        <f t="shared" si="1385"/>
        <v>0</v>
      </c>
      <c r="O166" s="23">
        <f t="shared" si="1385"/>
        <v>0</v>
      </c>
      <c r="P166" s="23">
        <f t="shared" si="1385"/>
        <v>0</v>
      </c>
      <c r="Q166" s="23">
        <f t="shared" si="1385"/>
        <v>0</v>
      </c>
      <c r="R166" s="23">
        <f t="shared" si="1385"/>
        <v>0</v>
      </c>
      <c r="S166" s="23">
        <f t="shared" si="1385"/>
        <v>0</v>
      </c>
      <c r="T166" s="23">
        <f t="shared" si="1385"/>
        <v>0</v>
      </c>
      <c r="U166" s="23">
        <f t="shared" si="1385"/>
        <v>0</v>
      </c>
      <c r="V166" s="23">
        <f t="shared" si="1385"/>
        <v>0</v>
      </c>
      <c r="W166" s="23">
        <f t="shared" si="1385"/>
        <v>0</v>
      </c>
      <c r="X166" s="23">
        <f t="shared" ref="X166:Y166" si="1386">X165-X129</f>
        <v>0</v>
      </c>
      <c r="Y166" s="23">
        <f t="shared" si="1386"/>
        <v>0</v>
      </c>
      <c r="Z166" s="23">
        <f t="shared" ref="Z166:AA166" si="1387">Z165-Z129</f>
        <v>0</v>
      </c>
      <c r="AA166" s="23">
        <f t="shared" si="1387"/>
        <v>0</v>
      </c>
      <c r="AB166" s="24">
        <f t="shared" ref="AB166:AD166" si="1388">AB165-AB129</f>
        <v>0</v>
      </c>
      <c r="AC166" s="24">
        <f t="shared" si="1388"/>
        <v>0</v>
      </c>
      <c r="AD166" s="24">
        <f t="shared" si="1388"/>
        <v>0</v>
      </c>
      <c r="AE166" s="24">
        <f t="shared" ref="AE166" si="1389">AE165-AE129</f>
        <v>0</v>
      </c>
      <c r="AJ166" s="23">
        <f t="shared" ref="AJ166" si="1390">AJ165-AJ129</f>
        <v>0</v>
      </c>
      <c r="AK166" s="23" t="e">
        <f t="shared" ref="AK166" si="1391">AK165-AK129</f>
        <v>#DIV/0!</v>
      </c>
      <c r="AL166" s="23">
        <f t="shared" ref="AL166:AM166" si="1392">AL165-AL129</f>
        <v>0</v>
      </c>
      <c r="AM166" s="23" t="e">
        <f t="shared" si="1392"/>
        <v>#DIV/0!</v>
      </c>
      <c r="AN166" s="23">
        <f t="shared" ref="AN166:AO166" si="1393">AN165-AN129</f>
        <v>0</v>
      </c>
      <c r="AO166" s="23" t="e">
        <f t="shared" si="1393"/>
        <v>#DIV/0!</v>
      </c>
      <c r="AP166" s="23">
        <f t="shared" ref="AP166:CE166" si="1394">AP165-AP129</f>
        <v>0</v>
      </c>
      <c r="AQ166" s="23" t="e">
        <f t="shared" si="1394"/>
        <v>#DIV/0!</v>
      </c>
      <c r="AR166" s="23">
        <f t="shared" si="1394"/>
        <v>0</v>
      </c>
      <c r="AS166" s="23" t="e">
        <f t="shared" si="1394"/>
        <v>#DIV/0!</v>
      </c>
      <c r="AT166" s="23">
        <f t="shared" si="1394"/>
        <v>0</v>
      </c>
      <c r="AU166" s="23" t="e">
        <f t="shared" si="1394"/>
        <v>#DIV/0!</v>
      </c>
      <c r="AV166" s="23">
        <f t="shared" si="1394"/>
        <v>0</v>
      </c>
      <c r="AW166" s="23" t="e">
        <f t="shared" si="1394"/>
        <v>#DIV/0!</v>
      </c>
      <c r="AX166" s="23">
        <f t="shared" si="1394"/>
        <v>0</v>
      </c>
      <c r="AY166" s="23" t="e">
        <f t="shared" si="1394"/>
        <v>#DIV/0!</v>
      </c>
      <c r="AZ166" s="23">
        <f t="shared" si="1394"/>
        <v>0</v>
      </c>
      <c r="BA166" s="23" t="e">
        <f t="shared" si="1394"/>
        <v>#DIV/0!</v>
      </c>
      <c r="BB166" s="23">
        <f t="shared" si="1394"/>
        <v>0</v>
      </c>
      <c r="BC166" s="23" t="e">
        <f t="shared" si="1394"/>
        <v>#DIV/0!</v>
      </c>
      <c r="BD166" s="23">
        <f t="shared" si="1394"/>
        <v>0</v>
      </c>
      <c r="BE166" s="23" t="e">
        <f t="shared" si="1394"/>
        <v>#DIV/0!</v>
      </c>
      <c r="BF166" s="23">
        <f t="shared" si="1394"/>
        <v>0</v>
      </c>
      <c r="BG166" s="23" t="e">
        <f t="shared" si="1394"/>
        <v>#DIV/0!</v>
      </c>
      <c r="BH166" s="23">
        <f t="shared" ref="BH166" si="1395">BH165-BH129</f>
        <v>0</v>
      </c>
      <c r="BI166" s="23" t="e">
        <f t="shared" si="1394"/>
        <v>#DIV/0!</v>
      </c>
      <c r="BJ166" s="23">
        <f t="shared" si="1394"/>
        <v>0</v>
      </c>
      <c r="BK166" s="23" t="e">
        <f t="shared" si="1394"/>
        <v>#DIV/0!</v>
      </c>
      <c r="BL166" s="23">
        <f t="shared" si="1394"/>
        <v>0</v>
      </c>
      <c r="BM166" s="23" t="e">
        <f t="shared" si="1394"/>
        <v>#DIV/0!</v>
      </c>
      <c r="BN166" s="23">
        <f t="shared" si="1394"/>
        <v>0</v>
      </c>
      <c r="BO166" s="23" t="e">
        <f t="shared" si="1394"/>
        <v>#DIV/0!</v>
      </c>
      <c r="BP166" s="23">
        <f t="shared" si="1394"/>
        <v>0</v>
      </c>
      <c r="BQ166" s="23" t="e">
        <f t="shared" si="1394"/>
        <v>#DIV/0!</v>
      </c>
      <c r="BR166" s="23">
        <f t="shared" si="1394"/>
        <v>0</v>
      </c>
      <c r="BS166" s="23" t="e">
        <f t="shared" si="1394"/>
        <v>#DIV/0!</v>
      </c>
      <c r="BT166" s="23">
        <f t="shared" si="1394"/>
        <v>0</v>
      </c>
      <c r="BU166" s="23">
        <f t="shared" si="1394"/>
        <v>0</v>
      </c>
      <c r="BV166" s="23">
        <f t="shared" si="1394"/>
        <v>0</v>
      </c>
      <c r="BW166" s="23">
        <f t="shared" si="1394"/>
        <v>0</v>
      </c>
      <c r="BX166" s="23">
        <f t="shared" si="1394"/>
        <v>9.9999999997635314E-4</v>
      </c>
      <c r="BY166" s="23">
        <f t="shared" si="1394"/>
        <v>1.0000000002037268E-3</v>
      </c>
      <c r="BZ166" s="23">
        <f t="shared" si="1394"/>
        <v>0</v>
      </c>
      <c r="CA166" s="23">
        <f t="shared" si="1394"/>
        <v>0</v>
      </c>
      <c r="CB166" s="23">
        <f t="shared" si="1394"/>
        <v>9.9999999974897946E-4</v>
      </c>
      <c r="CC166" s="23">
        <f t="shared" si="1394"/>
        <v>9.9999999974897946E-4</v>
      </c>
      <c r="CD166" s="23">
        <f t="shared" si="1394"/>
        <v>9.9999999974897946E-4</v>
      </c>
      <c r="CE166" s="23">
        <f t="shared" si="1394"/>
        <v>9.9999999974897946E-4</v>
      </c>
      <c r="CF166" s="23">
        <f t="shared" ref="CF166:CG166" si="1396">CF165-CF129</f>
        <v>0</v>
      </c>
      <c r="CG166" s="23">
        <f t="shared" si="1396"/>
        <v>0</v>
      </c>
      <c r="CH166" s="23">
        <f t="shared" ref="CH166:CI166" si="1397">CH165-CH129</f>
        <v>0</v>
      </c>
      <c r="CI166" s="23">
        <f t="shared" si="1397"/>
        <v>0</v>
      </c>
      <c r="CJ166" s="23">
        <f t="shared" ref="CJ166:DB166" si="1398">CJ165-CJ129</f>
        <v>0</v>
      </c>
      <c r="CK166" s="24">
        <f t="shared" si="1398"/>
        <v>0</v>
      </c>
      <c r="CL166" s="24">
        <f t="shared" si="1398"/>
        <v>0</v>
      </c>
      <c r="CM166" s="24">
        <f t="shared" si="1398"/>
        <v>0</v>
      </c>
      <c r="CN166" s="24">
        <f t="shared" si="1398"/>
        <v>0</v>
      </c>
      <c r="CO166" s="24">
        <f t="shared" si="1398"/>
        <v>0</v>
      </c>
      <c r="CP166" s="24">
        <f t="shared" si="1398"/>
        <v>0</v>
      </c>
      <c r="CQ166" s="24">
        <f t="shared" si="1398"/>
        <v>0</v>
      </c>
      <c r="CR166" s="24">
        <f t="shared" si="1398"/>
        <v>0</v>
      </c>
      <c r="CS166" s="24">
        <f t="shared" si="1398"/>
        <v>0</v>
      </c>
      <c r="CT166" s="24">
        <f t="shared" si="1398"/>
        <v>0</v>
      </c>
      <c r="CU166" s="24">
        <f t="shared" si="1398"/>
        <v>0</v>
      </c>
      <c r="CV166" s="24">
        <f t="shared" si="1398"/>
        <v>0</v>
      </c>
      <c r="CW166" s="24">
        <f t="shared" si="1398"/>
        <v>0</v>
      </c>
      <c r="CX166" s="24">
        <f t="shared" si="1398"/>
        <v>0</v>
      </c>
      <c r="CY166" s="24">
        <f t="shared" si="1398"/>
        <v>0</v>
      </c>
      <c r="CZ166" s="24">
        <f t="shared" si="1398"/>
        <v>0</v>
      </c>
      <c r="DA166" s="24">
        <f t="shared" si="1398"/>
        <v>0</v>
      </c>
      <c r="DB166" s="24">
        <f t="shared" si="1398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99">B128-B161</f>
        <v>0</v>
      </c>
      <c r="C168" s="22">
        <f t="shared" si="1399"/>
        <v>0</v>
      </c>
      <c r="D168" s="22">
        <f t="shared" si="1399"/>
        <v>0</v>
      </c>
      <c r="E168" s="22">
        <f t="shared" si="1399"/>
        <v>0</v>
      </c>
      <c r="F168" s="22">
        <f t="shared" si="1399"/>
        <v>0</v>
      </c>
      <c r="G168" s="22">
        <f t="shared" si="1399"/>
        <v>0</v>
      </c>
      <c r="H168" s="22">
        <f t="shared" si="1399"/>
        <v>0</v>
      </c>
      <c r="I168" s="22">
        <f t="shared" si="1399"/>
        <v>0</v>
      </c>
      <c r="J168" s="22">
        <f t="shared" si="1399"/>
        <v>0</v>
      </c>
      <c r="K168" s="22">
        <f t="shared" si="1399"/>
        <v>0</v>
      </c>
      <c r="L168" s="22">
        <f t="shared" si="1399"/>
        <v>0</v>
      </c>
      <c r="M168" s="22">
        <f t="shared" si="1399"/>
        <v>0</v>
      </c>
      <c r="N168" s="22">
        <f t="shared" si="1399"/>
        <v>0</v>
      </c>
      <c r="O168" s="22">
        <f t="shared" si="1399"/>
        <v>0</v>
      </c>
      <c r="P168" s="22">
        <f t="shared" si="1399"/>
        <v>940.28089999999997</v>
      </c>
      <c r="Q168" s="22">
        <f t="shared" si="1399"/>
        <v>920.40870000000007</v>
      </c>
      <c r="R168" s="22">
        <f t="shared" si="1399"/>
        <v>910.84419999999989</v>
      </c>
      <c r="S168" s="22">
        <f t="shared" si="1399"/>
        <v>955.62919999999997</v>
      </c>
      <c r="T168" s="22">
        <f t="shared" si="1399"/>
        <v>706.58300000000008</v>
      </c>
      <c r="U168" s="22">
        <f t="shared" si="1399"/>
        <v>785.46100000000001</v>
      </c>
      <c r="V168" s="22">
        <f t="shared" si="1399"/>
        <v>785.45060000000001</v>
      </c>
      <c r="W168" s="22">
        <f t="shared" si="1399"/>
        <v>775.06700000000001</v>
      </c>
      <c r="X168" s="22">
        <f t="shared" ref="X168:Y168" si="1400">X128-X161</f>
        <v>-221.2577</v>
      </c>
      <c r="Y168" s="22">
        <f t="shared" si="1400"/>
        <v>-335.80840000000001</v>
      </c>
      <c r="Z168" s="22">
        <f t="shared" ref="Z168:AA168" si="1401">Z128-Z161</f>
        <v>-76.949399999999997</v>
      </c>
      <c r="AA168" s="22">
        <f t="shared" si="1401"/>
        <v>343.94069999999999</v>
      </c>
      <c r="AB168" s="21">
        <f t="shared" ref="AB168:AD168" si="1402">AB128-AB161</f>
        <v>45.576094649837614</v>
      </c>
      <c r="AC168" s="21">
        <f t="shared" si="1402"/>
        <v>-94.600445363795501</v>
      </c>
      <c r="AD168" s="21">
        <f t="shared" si="1402"/>
        <v>-217.02346703226013</v>
      </c>
      <c r="AE168" s="21">
        <f t="shared" ref="AE168" si="1403">AE128-AE161</f>
        <v>-326.15236549137421</v>
      </c>
      <c r="AJ168" s="22">
        <f t="shared" ref="AJ168:AM168" si="1404">AJ128-AJ161</f>
        <v>0</v>
      </c>
      <c r="AK168" s="22" t="e">
        <f t="shared" si="1404"/>
        <v>#DIV/0!</v>
      </c>
      <c r="AL168" s="22">
        <f t="shared" si="1404"/>
        <v>0</v>
      </c>
      <c r="AM168" s="22" t="e">
        <f t="shared" si="1404"/>
        <v>#DIV/0!</v>
      </c>
      <c r="AN168" s="22">
        <f t="shared" ref="AN168:AO168" si="1405">AN128-AN161</f>
        <v>0</v>
      </c>
      <c r="AO168" s="22" t="e">
        <f t="shared" si="1405"/>
        <v>#DIV/0!</v>
      </c>
      <c r="AP168" s="22">
        <f t="shared" ref="AP168:CE168" si="1406">AP128-AP161</f>
        <v>0</v>
      </c>
      <c r="AQ168" s="22" t="e">
        <f t="shared" si="1406"/>
        <v>#DIV/0!</v>
      </c>
      <c r="AR168" s="22">
        <f t="shared" si="1406"/>
        <v>0</v>
      </c>
      <c r="AS168" s="22" t="e">
        <f t="shared" si="1406"/>
        <v>#DIV/0!</v>
      </c>
      <c r="AT168" s="22">
        <f t="shared" si="1406"/>
        <v>0</v>
      </c>
      <c r="AU168" s="22" t="e">
        <f t="shared" si="1406"/>
        <v>#DIV/0!</v>
      </c>
      <c r="AV168" s="22">
        <f t="shared" si="1406"/>
        <v>0</v>
      </c>
      <c r="AW168" s="22" t="e">
        <f t="shared" si="1406"/>
        <v>#DIV/0!</v>
      </c>
      <c r="AX168" s="22">
        <f t="shared" si="1406"/>
        <v>0</v>
      </c>
      <c r="AY168" s="22" t="e">
        <f t="shared" si="1406"/>
        <v>#DIV/0!</v>
      </c>
      <c r="AZ168" s="22">
        <f t="shared" si="1406"/>
        <v>0</v>
      </c>
      <c r="BA168" s="22" t="e">
        <f t="shared" si="1406"/>
        <v>#DIV/0!</v>
      </c>
      <c r="BB168" s="22">
        <f t="shared" si="1406"/>
        <v>0</v>
      </c>
      <c r="BC168" s="22" t="e">
        <f t="shared" si="1406"/>
        <v>#DIV/0!</v>
      </c>
      <c r="BD168" s="22">
        <f t="shared" si="1406"/>
        <v>0</v>
      </c>
      <c r="BE168" s="22" t="e">
        <f t="shared" si="1406"/>
        <v>#DIV/0!</v>
      </c>
      <c r="BF168" s="22">
        <f t="shared" si="1406"/>
        <v>0</v>
      </c>
      <c r="BG168" s="22" t="e">
        <f t="shared" si="1406"/>
        <v>#DIV/0!</v>
      </c>
      <c r="BH168" s="22">
        <f t="shared" si="1406"/>
        <v>0</v>
      </c>
      <c r="BI168" s="22" t="e">
        <f t="shared" si="1406"/>
        <v>#DIV/0!</v>
      </c>
      <c r="BJ168" s="22">
        <f t="shared" si="1406"/>
        <v>0</v>
      </c>
      <c r="BK168" s="22" t="e">
        <f t="shared" si="1406"/>
        <v>#DIV/0!</v>
      </c>
      <c r="BL168" s="22">
        <f t="shared" si="1406"/>
        <v>0</v>
      </c>
      <c r="BM168" s="22" t="e">
        <f t="shared" si="1406"/>
        <v>#DIV/0!</v>
      </c>
      <c r="BN168" s="22">
        <f t="shared" si="1406"/>
        <v>0</v>
      </c>
      <c r="BO168" s="22" t="e">
        <f t="shared" si="1406"/>
        <v>#DIV/0!</v>
      </c>
      <c r="BP168" s="22">
        <f t="shared" si="1406"/>
        <v>0</v>
      </c>
      <c r="BQ168" s="22" t="e">
        <f t="shared" si="1406"/>
        <v>#DIV/0!</v>
      </c>
      <c r="BR168" s="22">
        <f t="shared" si="1406"/>
        <v>0</v>
      </c>
      <c r="BS168" s="22" t="e">
        <f t="shared" si="1406"/>
        <v>#DIV/0!</v>
      </c>
      <c r="BT168" s="22">
        <f t="shared" si="1406"/>
        <v>0</v>
      </c>
      <c r="BU168" s="22">
        <f t="shared" si="1406"/>
        <v>-49.019999999999996</v>
      </c>
      <c r="BV168" s="22">
        <f t="shared" si="1406"/>
        <v>775.06799999999998</v>
      </c>
      <c r="BW168" s="22">
        <f t="shared" si="1406"/>
        <v>702.66065550372798</v>
      </c>
      <c r="BX168" s="22">
        <f t="shared" si="1406"/>
        <v>689.64699999999993</v>
      </c>
      <c r="BY168" s="22">
        <f t="shared" si="1406"/>
        <v>619.5288175880338</v>
      </c>
      <c r="BZ168" s="22">
        <f t="shared" si="1406"/>
        <v>-221.25800000000001</v>
      </c>
      <c r="CA168" s="22">
        <f t="shared" si="1406"/>
        <v>-334.62857832494279</v>
      </c>
      <c r="CB168" s="22">
        <f t="shared" si="1406"/>
        <v>-360.60399999999998</v>
      </c>
      <c r="CC168" s="22">
        <f t="shared" si="1406"/>
        <v>-394.34949936136877</v>
      </c>
      <c r="CD168" s="22">
        <f t="shared" si="1406"/>
        <v>-335.80900000000003</v>
      </c>
      <c r="CE168" s="22">
        <f t="shared" si="1406"/>
        <v>-426.78457273735921</v>
      </c>
      <c r="CF168" s="22">
        <f t="shared" ref="CF168:CG168" si="1407">CF128-CF161</f>
        <v>-347.875</v>
      </c>
      <c r="CG168" s="22">
        <f t="shared" si="1407"/>
        <v>-394.81236317398265</v>
      </c>
      <c r="CH168" s="22">
        <f t="shared" ref="CH168:CI168" si="1408">CH128-CH161</f>
        <v>-76.949399999999997</v>
      </c>
      <c r="CI168" s="22">
        <f t="shared" si="1408"/>
        <v>-189.66894326705773</v>
      </c>
      <c r="CJ168" s="22">
        <f t="shared" ref="CJ168:DB168" si="1409">CJ128-CJ161</f>
        <v>32.230999999999995</v>
      </c>
      <c r="CK168" s="21">
        <f t="shared" si="1409"/>
        <v>23.83381130351998</v>
      </c>
      <c r="CL168" s="21">
        <f t="shared" si="1409"/>
        <v>206.10837360612132</v>
      </c>
      <c r="CM168" s="21">
        <f t="shared" si="1409"/>
        <v>9.0639150802872166</v>
      </c>
      <c r="CN168" s="21">
        <f t="shared" si="1409"/>
        <v>-189.17438639540219</v>
      </c>
      <c r="CO168" s="21">
        <f t="shared" si="1409"/>
        <v>-178.46801110046661</v>
      </c>
      <c r="CP168" s="21">
        <f t="shared" si="1409"/>
        <v>45.576094649837614</v>
      </c>
      <c r="CQ168" s="21">
        <f t="shared" si="1409"/>
        <v>-167.00070860615958</v>
      </c>
      <c r="CR168" s="21">
        <f t="shared" si="1409"/>
        <v>-378.36749247081912</v>
      </c>
      <c r="CS168" s="21">
        <f t="shared" si="1409"/>
        <v>-354.02140951426509</v>
      </c>
      <c r="CT168" s="21">
        <f t="shared" si="1409"/>
        <v>-94.600445363795501</v>
      </c>
      <c r="CU168" s="21">
        <f t="shared" si="1409"/>
        <v>-322.35577621500443</v>
      </c>
      <c r="CV168" s="21">
        <f t="shared" si="1409"/>
        <v>-547.93379485007858</v>
      </c>
      <c r="CW168" s="21">
        <f t="shared" si="1409"/>
        <v>-512.27539455605176</v>
      </c>
      <c r="CX168" s="21">
        <f t="shared" si="1409"/>
        <v>-217.02346703226013</v>
      </c>
      <c r="CY168" s="21">
        <f t="shared" si="1409"/>
        <v>-462.34988956449206</v>
      </c>
      <c r="CZ168" s="21">
        <f t="shared" si="1409"/>
        <v>-705.34649487380455</v>
      </c>
      <c r="DA168" s="21">
        <f t="shared" si="1409"/>
        <v>-659.30274589042926</v>
      </c>
      <c r="DB168" s="21">
        <f t="shared" si="1409"/>
        <v>-326.15236549137421</v>
      </c>
      <c r="DE168" s="126"/>
      <c r="DF168" s="22">
        <v>343.94069999999999</v>
      </c>
    </row>
    <row r="169" spans="1:110" x14ac:dyDescent="0.2">
      <c r="AA169" s="2"/>
      <c r="CE169" s="111"/>
      <c r="CG169" s="111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10.4076</v>
      </c>
      <c r="T170" s="49">
        <f>'Annual Raw'!U85</f>
        <v>5.4</v>
      </c>
      <c r="U170" s="49">
        <f>'Annual Raw'!V85</f>
        <v>0</v>
      </c>
      <c r="V170" s="49">
        <f>'Annual Raw'!W85</f>
        <v>16.624700000000001</v>
      </c>
      <c r="W170" s="49">
        <f>'Annual Raw'!X85</f>
        <v>17.0547</v>
      </c>
      <c r="X170" s="49">
        <f>'Annual Raw'!Y85</f>
        <v>6.5468000000000002</v>
      </c>
      <c r="Y170" s="49">
        <f>'Annual Raw'!Z85</f>
        <v>56.790999999999997</v>
      </c>
      <c r="Z170" s="49">
        <f>'Annual Raw'!AA85</f>
        <v>235.27</v>
      </c>
      <c r="AA170" s="49">
        <f>'Annual Raw'!AB85</f>
        <v>190.67</v>
      </c>
      <c r="AB170" s="50"/>
      <c r="AC170" s="50"/>
      <c r="AD170" s="50"/>
      <c r="AE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190.67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179</v>
      </c>
      <c r="AA171" s="29">
        <f>'Annual Raw'!AB95</f>
        <v>134.4</v>
      </c>
      <c r="AB171" s="30"/>
      <c r="AC171" s="30"/>
      <c r="AD171" s="30"/>
      <c r="AE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134.4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10.4076</v>
      </c>
      <c r="T172" s="29">
        <f>'Annual Raw'!U93</f>
        <v>5.4</v>
      </c>
      <c r="U172" s="29">
        <f>'Annual Raw'!V93</f>
        <v>0</v>
      </c>
      <c r="V172" s="29">
        <f>'Annual Raw'!W93</f>
        <v>16.624700000000001</v>
      </c>
      <c r="W172" s="29">
        <f>'Annual Raw'!X93</f>
        <v>17.0547</v>
      </c>
      <c r="X172" s="29">
        <f>'Annual Raw'!Y93</f>
        <v>6.5468000000000002</v>
      </c>
      <c r="Y172" s="29">
        <f>'Annual Raw'!Z93</f>
        <v>56.790999999999997</v>
      </c>
      <c r="Z172" s="29">
        <f>'Annual Raw'!AA93</f>
        <v>56.27</v>
      </c>
      <c r="AA172" s="29">
        <f>'Annual Raw'!AB93</f>
        <v>56.27</v>
      </c>
      <c r="AB172" s="30"/>
      <c r="AC172" s="30"/>
      <c r="AD172" s="30"/>
      <c r="AE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56.27</v>
      </c>
    </row>
    <row r="173" spans="1:110" s="29" customFormat="1" x14ac:dyDescent="0.2">
      <c r="A173" s="29" t="s">
        <v>84</v>
      </c>
      <c r="B173" s="29">
        <f t="shared" ref="B173:V173" si="1410">B170-B171-B172</f>
        <v>0</v>
      </c>
      <c r="C173" s="29">
        <f t="shared" si="1410"/>
        <v>0</v>
      </c>
      <c r="D173" s="29">
        <f t="shared" si="1410"/>
        <v>0</v>
      </c>
      <c r="E173" s="29">
        <f t="shared" si="1410"/>
        <v>0</v>
      </c>
      <c r="F173" s="29">
        <f t="shared" si="1410"/>
        <v>0</v>
      </c>
      <c r="G173" s="29">
        <f t="shared" si="1410"/>
        <v>0</v>
      </c>
      <c r="H173" s="29">
        <f t="shared" si="1410"/>
        <v>0</v>
      </c>
      <c r="I173" s="29">
        <f t="shared" si="1410"/>
        <v>0</v>
      </c>
      <c r="J173" s="29">
        <f t="shared" si="1410"/>
        <v>0</v>
      </c>
      <c r="K173" s="29">
        <f t="shared" si="1410"/>
        <v>0</v>
      </c>
      <c r="L173" s="29">
        <f t="shared" si="1410"/>
        <v>0</v>
      </c>
      <c r="M173" s="29">
        <f t="shared" si="1410"/>
        <v>0</v>
      </c>
      <c r="N173" s="29">
        <f t="shared" si="1410"/>
        <v>0</v>
      </c>
      <c r="O173" s="29">
        <f t="shared" si="1410"/>
        <v>0</v>
      </c>
      <c r="P173" s="29">
        <f t="shared" si="1410"/>
        <v>0</v>
      </c>
      <c r="Q173" s="29">
        <f t="shared" si="1410"/>
        <v>0</v>
      </c>
      <c r="R173" s="29">
        <f t="shared" si="1410"/>
        <v>0</v>
      </c>
      <c r="S173" s="29">
        <f t="shared" si="1410"/>
        <v>0</v>
      </c>
      <c r="T173" s="29">
        <f t="shared" si="1410"/>
        <v>0</v>
      </c>
      <c r="U173" s="29">
        <f t="shared" si="1410"/>
        <v>0</v>
      </c>
      <c r="V173" s="29">
        <f t="shared" si="1410"/>
        <v>0</v>
      </c>
      <c r="W173" s="29">
        <f t="shared" ref="W173" si="1411">W170-W171-W172</f>
        <v>0</v>
      </c>
      <c r="X173" s="29">
        <f t="shared" ref="X173:Y173" si="1412">X170-X171-X172</f>
        <v>0</v>
      </c>
      <c r="Y173" s="29">
        <f t="shared" si="1412"/>
        <v>0</v>
      </c>
      <c r="Z173" s="29">
        <f t="shared" ref="Z173:AA173" si="1413">Z170-Z171-Z172</f>
        <v>0</v>
      </c>
      <c r="AA173" s="29">
        <f t="shared" si="1413"/>
        <v>0</v>
      </c>
      <c r="AB173" s="30">
        <f t="shared" ref="AB173:AD173" si="1414">AB170-AB171-AB172</f>
        <v>0</v>
      </c>
      <c r="AC173" s="30">
        <f t="shared" si="1414"/>
        <v>0</v>
      </c>
      <c r="AD173" s="30">
        <f t="shared" si="1414"/>
        <v>0</v>
      </c>
      <c r="AE173" s="30">
        <f t="shared" ref="AE173" si="1415">AE170-AE171-AE172</f>
        <v>0</v>
      </c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16">B170/B120</f>
        <v>#DIV/0!</v>
      </c>
      <c r="C175" s="95" t="e">
        <f t="shared" si="1416"/>
        <v>#DIV/0!</v>
      </c>
      <c r="D175" s="95" t="e">
        <f t="shared" si="1416"/>
        <v>#DIV/0!</v>
      </c>
      <c r="E175" s="95" t="e">
        <f t="shared" si="1416"/>
        <v>#DIV/0!</v>
      </c>
      <c r="F175" s="95" t="e">
        <f t="shared" si="1416"/>
        <v>#DIV/0!</v>
      </c>
      <c r="G175" s="95" t="e">
        <f t="shared" si="1416"/>
        <v>#DIV/0!</v>
      </c>
      <c r="H175" s="95" t="e">
        <f t="shared" si="1416"/>
        <v>#DIV/0!</v>
      </c>
      <c r="I175" s="95" t="e">
        <f t="shared" si="1416"/>
        <v>#DIV/0!</v>
      </c>
      <c r="J175" s="95" t="e">
        <f t="shared" si="1416"/>
        <v>#DIV/0!</v>
      </c>
      <c r="K175" s="95" t="e">
        <f t="shared" si="1416"/>
        <v>#DIV/0!</v>
      </c>
      <c r="L175" s="95" t="e">
        <f t="shared" si="1416"/>
        <v>#DIV/0!</v>
      </c>
      <c r="M175" s="95" t="e">
        <f t="shared" si="1416"/>
        <v>#DIV/0!</v>
      </c>
      <c r="N175" s="95" t="e">
        <f t="shared" si="1416"/>
        <v>#DIV/0!</v>
      </c>
      <c r="O175" s="95" t="e">
        <f t="shared" si="1416"/>
        <v>#DIV/0!</v>
      </c>
      <c r="P175" s="95">
        <f t="shared" si="1416"/>
        <v>0</v>
      </c>
      <c r="Q175" s="95">
        <f t="shared" si="1416"/>
        <v>0</v>
      </c>
      <c r="R175" s="95">
        <f t="shared" si="1416"/>
        <v>0</v>
      </c>
      <c r="S175" s="95">
        <f t="shared" si="1416"/>
        <v>-0.36962088253573649</v>
      </c>
      <c r="T175" s="95">
        <f t="shared" si="1416"/>
        <v>0.12744866650932263</v>
      </c>
      <c r="U175" s="95">
        <f t="shared" si="1416"/>
        <v>0</v>
      </c>
      <c r="V175" s="95">
        <f t="shared" si="1416"/>
        <v>0.22472582954052372</v>
      </c>
      <c r="W175" s="95">
        <f t="shared" si="1416"/>
        <v>6.5023394345705601E-2</v>
      </c>
      <c r="X175" s="95">
        <f t="shared" ref="X175:Y175" si="1417">X170/X120</f>
        <v>4.5749192289303055E-3</v>
      </c>
      <c r="Y175" s="95">
        <f t="shared" si="1417"/>
        <v>3.3376029685865914E-2</v>
      </c>
      <c r="Z175" s="95">
        <f t="shared" ref="Z175:AA175" si="1418">Z170/Z120</f>
        <v>0.12621691734801019</v>
      </c>
      <c r="AA175" s="95">
        <f t="shared" si="1418"/>
        <v>9.8568556273846988E-2</v>
      </c>
      <c r="AB175" s="87">
        <f t="shared" ref="AB175:AD175" si="1419">AB170/AB120</f>
        <v>0</v>
      </c>
      <c r="AC175" s="87">
        <f t="shared" si="1419"/>
        <v>0</v>
      </c>
      <c r="AD175" s="87">
        <f t="shared" si="1419"/>
        <v>0</v>
      </c>
      <c r="AE175" s="87">
        <f t="shared" ref="AE175" si="1420">AE170/AE120</f>
        <v>0</v>
      </c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9.8568556273846988E-2</v>
      </c>
    </row>
    <row r="176" spans="1:110" x14ac:dyDescent="0.2">
      <c r="A176" s="152" t="s">
        <v>492</v>
      </c>
      <c r="AA176" s="2"/>
      <c r="CE176" s="111"/>
      <c r="CG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21">B144/B8*365</f>
        <v>#DIV/0!</v>
      </c>
      <c r="C179" s="67" t="e">
        <f t="shared" si="1421"/>
        <v>#DIV/0!</v>
      </c>
      <c r="D179" s="67" t="e">
        <f t="shared" si="1421"/>
        <v>#DIV/0!</v>
      </c>
      <c r="E179" s="67" t="e">
        <f t="shared" si="1421"/>
        <v>#DIV/0!</v>
      </c>
      <c r="F179" s="67" t="e">
        <f t="shared" si="1421"/>
        <v>#DIV/0!</v>
      </c>
      <c r="G179" s="67" t="e">
        <f t="shared" si="1421"/>
        <v>#DIV/0!</v>
      </c>
      <c r="H179" s="67" t="e">
        <f t="shared" si="1421"/>
        <v>#DIV/0!</v>
      </c>
      <c r="I179" s="67" t="e">
        <f t="shared" si="1421"/>
        <v>#DIV/0!</v>
      </c>
      <c r="J179" s="67" t="e">
        <f t="shared" si="1421"/>
        <v>#DIV/0!</v>
      </c>
      <c r="K179" s="67" t="e">
        <f t="shared" si="1421"/>
        <v>#DIV/0!</v>
      </c>
      <c r="L179" s="67" t="e">
        <f t="shared" si="1421"/>
        <v>#DIV/0!</v>
      </c>
      <c r="M179" s="67" t="e">
        <f t="shared" si="1421"/>
        <v>#DIV/0!</v>
      </c>
      <c r="N179" s="67" t="e">
        <f t="shared" si="1421"/>
        <v>#DIV/0!</v>
      </c>
      <c r="O179" s="67" t="e">
        <f t="shared" si="1421"/>
        <v>#DIV/0!</v>
      </c>
      <c r="P179" s="67">
        <f t="shared" si="1421"/>
        <v>159.09778472050127</v>
      </c>
      <c r="Q179" s="67">
        <f t="shared" si="1421"/>
        <v>118.68035035561711</v>
      </c>
      <c r="R179" s="67">
        <f t="shared" si="1421"/>
        <v>156.42549102480055</v>
      </c>
      <c r="S179" s="67">
        <f t="shared" si="1421"/>
        <v>92.982156321992093</v>
      </c>
      <c r="T179" s="67">
        <f t="shared" si="1421"/>
        <v>40.501984063829561</v>
      </c>
      <c r="U179" s="67">
        <f t="shared" si="1421"/>
        <v>59.308523932453099</v>
      </c>
      <c r="V179" s="67">
        <f t="shared" si="1421"/>
        <v>54.509030740277304</v>
      </c>
      <c r="W179" s="67">
        <f t="shared" si="1421"/>
        <v>39.000345530060891</v>
      </c>
      <c r="X179" s="67">
        <f t="shared" si="1421"/>
        <v>42.49198492588021</v>
      </c>
      <c r="Y179" s="67">
        <f t="shared" si="1421"/>
        <v>34.931552350424539</v>
      </c>
      <c r="Z179" s="67">
        <f t="shared" si="1421"/>
        <v>58.949080990826374</v>
      </c>
      <c r="AA179" s="67">
        <f t="shared" ref="AA179" si="1422">AA144/AA8*365</f>
        <v>72.56332381080739</v>
      </c>
      <c r="AB179" s="18">
        <f t="shared" si="1421"/>
        <v>110.68082144093444</v>
      </c>
      <c r="AC179" s="18">
        <f t="shared" si="1421"/>
        <v>110.84711228086704</v>
      </c>
      <c r="AD179" s="18">
        <f t="shared" si="1421"/>
        <v>110.87979842335517</v>
      </c>
      <c r="AE179" s="18">
        <f t="shared" si="1421"/>
        <v>110.88482712844876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23">+AJ179</f>
        <v>#DIV/0!</v>
      </c>
      <c r="AL179" s="67" t="e">
        <f>AL144/AL8*90</f>
        <v>#DIV/0!</v>
      </c>
      <c r="AM179" s="67" t="e">
        <f t="shared" ref="AM179:AM180" si="1424">+AL179</f>
        <v>#DIV/0!</v>
      </c>
      <c r="AN179" s="67" t="e">
        <f>AN144/AN8*90</f>
        <v>#DIV/0!</v>
      </c>
      <c r="AO179" s="67" t="e">
        <f t="shared" ref="AO179:AO180" si="1425">+AN179</f>
        <v>#DIV/0!</v>
      </c>
      <c r="AP179" s="67" t="e">
        <f>AP144/AP8*90</f>
        <v>#DIV/0!</v>
      </c>
      <c r="AQ179" s="67" t="e">
        <f t="shared" ref="AQ179:AQ180" si="1426">+AP179</f>
        <v>#DIV/0!</v>
      </c>
      <c r="AR179" s="67" t="e">
        <f>AR144/AR8*90</f>
        <v>#DIV/0!</v>
      </c>
      <c r="AS179" s="67" t="e">
        <f t="shared" ref="AS179:AS180" si="1427">+AR179</f>
        <v>#DIV/0!</v>
      </c>
      <c r="AT179" s="67" t="e">
        <f>AT144/AT8*90</f>
        <v>#DIV/0!</v>
      </c>
      <c r="AU179" s="67" t="e">
        <f t="shared" ref="AU179:AU180" si="1428">+AT179</f>
        <v>#DIV/0!</v>
      </c>
      <c r="AV179" s="67" t="e">
        <f>AV144/AV8*90</f>
        <v>#DIV/0!</v>
      </c>
      <c r="AW179" s="67" t="e">
        <f t="shared" ref="AW179:AW180" si="1429">+AV179</f>
        <v>#DIV/0!</v>
      </c>
      <c r="AX179" s="67" t="e">
        <f>AX144/AX8*90</f>
        <v>#DIV/0!</v>
      </c>
      <c r="AY179" s="67" t="e">
        <f t="shared" ref="AY179:AY180" si="1430">+AX179</f>
        <v>#DIV/0!</v>
      </c>
      <c r="AZ179" s="67" t="e">
        <f>AZ144/AZ8*90</f>
        <v>#DIV/0!</v>
      </c>
      <c r="BA179" s="67" t="e">
        <f t="shared" ref="BA179:BA180" si="1431">+AZ179</f>
        <v>#DIV/0!</v>
      </c>
      <c r="BB179" s="67" t="e">
        <f>BB144/BB8*90</f>
        <v>#DIV/0!</v>
      </c>
      <c r="BC179" s="67" t="e">
        <f t="shared" ref="BC179:BC180" si="1432">+BB179</f>
        <v>#DIV/0!</v>
      </c>
      <c r="BD179" s="67" t="e">
        <f>BD144/BD8*90</f>
        <v>#DIV/0!</v>
      </c>
      <c r="BE179" s="67" t="e">
        <f t="shared" ref="BE179:BE180" si="1433">+BD179</f>
        <v>#DIV/0!</v>
      </c>
      <c r="BF179" s="67" t="e">
        <f>BF144/BF8*90</f>
        <v>#DIV/0!</v>
      </c>
      <c r="BG179" s="67" t="e">
        <f t="shared" ref="BG179:BG180" si="1434">+BF179</f>
        <v>#DIV/0!</v>
      </c>
      <c r="BH179" s="67" t="e">
        <f>BH144/BH8*90</f>
        <v>#DIV/0!</v>
      </c>
      <c r="BI179" s="67" t="e">
        <f t="shared" ref="BI179:BI180" si="1435">+BH179</f>
        <v>#DIV/0!</v>
      </c>
      <c r="BJ179" s="67" t="e">
        <f>BJ144/BJ8*90</f>
        <v>#DIV/0!</v>
      </c>
      <c r="BK179" s="67" t="e">
        <f t="shared" ref="BK179:BK180" si="1436">+BJ179</f>
        <v>#DIV/0!</v>
      </c>
      <c r="BL179" s="67" t="e">
        <f>BL144/BL8*90</f>
        <v>#DIV/0!</v>
      </c>
      <c r="BM179" s="67" t="e">
        <f t="shared" ref="BM179:BM180" si="1437">+BL179</f>
        <v>#DIV/0!</v>
      </c>
      <c r="BN179" s="67" t="e">
        <f>BN144/BN8*90</f>
        <v>#DIV/0!</v>
      </c>
      <c r="BO179" s="67" t="e">
        <f t="shared" ref="BO179:BO180" si="1438">+BN179</f>
        <v>#DIV/0!</v>
      </c>
      <c r="BP179" s="67" t="e">
        <f>BP144/BP8*90</f>
        <v>#DIV/0!</v>
      </c>
      <c r="BQ179" s="67" t="e">
        <f t="shared" ref="BQ179:BQ180" si="1439">+BP179</f>
        <v>#DIV/0!</v>
      </c>
      <c r="BR179" s="67" t="e">
        <f>BR144/BR8*90</f>
        <v>#DIV/0!</v>
      </c>
      <c r="BS179" s="67" t="e">
        <f t="shared" ref="BS179:BS180" si="1440">+BR179</f>
        <v>#DIV/0!</v>
      </c>
      <c r="BT179" s="67">
        <f>BT144/BT8*90</f>
        <v>0</v>
      </c>
      <c r="BU179" s="67">
        <f t="shared" ref="BU179:BU180" si="1441">+BT179</f>
        <v>0</v>
      </c>
      <c r="BV179" s="67">
        <f>BV144/BV8*90</f>
        <v>29.175447260079121</v>
      </c>
      <c r="BW179" s="67">
        <f t="shared" ref="BW179:BW180" si="1442">+BV179</f>
        <v>29.175447260079121</v>
      </c>
      <c r="BX179" s="67">
        <f>BX144/BX8*90</f>
        <v>35.053987291095254</v>
      </c>
      <c r="BY179" s="67">
        <f t="shared" ref="BY179:BY180" si="1443">+BX179</f>
        <v>35.053987291095254</v>
      </c>
      <c r="BZ179" s="67">
        <f>BZ144/BZ8*90</f>
        <v>39.486786531546258</v>
      </c>
      <c r="CA179" s="67">
        <f t="shared" ref="CA179:CA180" si="1444">+BZ179</f>
        <v>39.486786531546258</v>
      </c>
      <c r="CB179" s="67">
        <f>CB144/CB8*90</f>
        <v>44.225225070146152</v>
      </c>
      <c r="CC179" s="67">
        <f t="shared" ref="CC179:CC180" si="1445">+CB179</f>
        <v>44.225225070146152</v>
      </c>
      <c r="CD179" s="67">
        <f>CD144/CD8*90</f>
        <v>40.352829291488355</v>
      </c>
      <c r="CE179" s="67">
        <f t="shared" si="1423"/>
        <v>40.352829291488355</v>
      </c>
      <c r="CF179" s="67">
        <f>CF144/CF8*90</f>
        <v>46.386184525171032</v>
      </c>
      <c r="CG179" s="67">
        <f t="shared" ref="CG179:CI180" si="1446">+CF179</f>
        <v>46.386184525171032</v>
      </c>
      <c r="CH179" s="67">
        <f>CH144/CH8*90</f>
        <v>43.786481739236116</v>
      </c>
      <c r="CI179" s="67">
        <f t="shared" si="1446"/>
        <v>43.786481739236116</v>
      </c>
      <c r="CJ179" s="67">
        <f>CJ144/CJ8*90</f>
        <v>80.272231370934534</v>
      </c>
      <c r="CK179" s="30">
        <f t="shared" ref="CK179:CK180" si="1447">+CJ179</f>
        <v>80.272231370934534</v>
      </c>
      <c r="CL179" s="30">
        <f t="shared" ref="CL179:CL180" si="1448">+CK179</f>
        <v>80.272231370934534</v>
      </c>
      <c r="CM179" s="30">
        <f t="shared" ref="CM179:CM180" si="1449">+CL179</f>
        <v>80.272231370934534</v>
      </c>
      <c r="CN179" s="30">
        <f t="shared" ref="CN179:CN180" si="1450">+CM179</f>
        <v>80.272231370934534</v>
      </c>
      <c r="CO179" s="30">
        <f t="shared" ref="CO179:CO180" si="1451">+CN179</f>
        <v>80.272231370934534</v>
      </c>
      <c r="CP179" s="30">
        <f t="shared" ref="CP179:CP180" si="1452">+CO179</f>
        <v>80.272231370934534</v>
      </c>
      <c r="CQ179" s="30">
        <f t="shared" ref="CQ179:CQ180" si="1453">+CP179</f>
        <v>80.272231370934534</v>
      </c>
      <c r="CR179" s="30">
        <f t="shared" ref="CR179:CR180" si="1454">+CQ179</f>
        <v>80.272231370934534</v>
      </c>
      <c r="CS179" s="30">
        <f t="shared" ref="CS179:CS180" si="1455">+CR179</f>
        <v>80.272231370934534</v>
      </c>
      <c r="CT179" s="30">
        <f t="shared" ref="CT179:CT180" si="1456">+CS179</f>
        <v>80.272231370934534</v>
      </c>
      <c r="CU179" s="30">
        <f t="shared" ref="CU179:CU180" si="1457">+CT179</f>
        <v>80.272231370934534</v>
      </c>
      <c r="CV179" s="30">
        <f t="shared" ref="CV179:CV180" si="1458">+CU179</f>
        <v>80.272231370934534</v>
      </c>
      <c r="CW179" s="30">
        <f t="shared" ref="CW179:CW180" si="1459">+CV179</f>
        <v>80.272231370934534</v>
      </c>
      <c r="CX179" s="30">
        <f t="shared" ref="CX179:CX180" si="1460">+CW179</f>
        <v>80.272231370934534</v>
      </c>
      <c r="CY179" s="30">
        <f t="shared" ref="CY179:CY180" si="1461">+CX179</f>
        <v>80.272231370934534</v>
      </c>
      <c r="CZ179" s="30">
        <f t="shared" ref="CZ179:CZ180" si="1462">+CY179</f>
        <v>80.272231370934534</v>
      </c>
      <c r="DA179" s="30">
        <f t="shared" ref="DA179:DA180" si="1463">+CZ179</f>
        <v>80.272231370934534</v>
      </c>
      <c r="DB179" s="30">
        <f t="shared" ref="DB179:DB180" si="1464">+DA179</f>
        <v>80.272231370934534</v>
      </c>
      <c r="DE179" s="139"/>
      <c r="DF179" s="62">
        <v>72.56332381080739</v>
      </c>
    </row>
    <row r="180" spans="1:110" s="62" customFormat="1" outlineLevel="1" x14ac:dyDescent="0.2">
      <c r="A180" s="68" t="s">
        <v>465</v>
      </c>
      <c r="B180" s="67" t="e">
        <f t="shared" ref="B180:AE180" si="1465">B145/B8*365</f>
        <v>#DIV/0!</v>
      </c>
      <c r="C180" s="67" t="e">
        <f t="shared" si="1465"/>
        <v>#DIV/0!</v>
      </c>
      <c r="D180" s="67" t="e">
        <f t="shared" si="1465"/>
        <v>#DIV/0!</v>
      </c>
      <c r="E180" s="67" t="e">
        <f t="shared" si="1465"/>
        <v>#DIV/0!</v>
      </c>
      <c r="F180" s="67" t="e">
        <f t="shared" si="1465"/>
        <v>#DIV/0!</v>
      </c>
      <c r="G180" s="67" t="e">
        <f t="shared" si="1465"/>
        <v>#DIV/0!</v>
      </c>
      <c r="H180" s="67" t="e">
        <f t="shared" si="1465"/>
        <v>#DIV/0!</v>
      </c>
      <c r="I180" s="67" t="e">
        <f t="shared" si="1465"/>
        <v>#DIV/0!</v>
      </c>
      <c r="J180" s="67" t="e">
        <f t="shared" si="1465"/>
        <v>#DIV/0!</v>
      </c>
      <c r="K180" s="67" t="e">
        <f t="shared" si="1465"/>
        <v>#DIV/0!</v>
      </c>
      <c r="L180" s="67" t="e">
        <f t="shared" si="1465"/>
        <v>#DIV/0!</v>
      </c>
      <c r="M180" s="67" t="e">
        <f t="shared" si="1465"/>
        <v>#DIV/0!</v>
      </c>
      <c r="N180" s="67" t="e">
        <f t="shared" si="1465"/>
        <v>#DIV/0!</v>
      </c>
      <c r="O180" s="67" t="e">
        <f t="shared" si="1465"/>
        <v>#DIV/0!</v>
      </c>
      <c r="P180" s="67">
        <f t="shared" si="1465"/>
        <v>39.69376615215775</v>
      </c>
      <c r="Q180" s="67">
        <f t="shared" si="1465"/>
        <v>44.229415343130057</v>
      </c>
      <c r="R180" s="67">
        <f t="shared" si="1465"/>
        <v>32.778699742157542</v>
      </c>
      <c r="S180" s="67">
        <f t="shared" si="1465"/>
        <v>21.869493458759273</v>
      </c>
      <c r="T180" s="67">
        <f t="shared" si="1465"/>
        <v>43.246393495382897</v>
      </c>
      <c r="U180" s="67">
        <f t="shared" si="1465"/>
        <v>26.680163441143105</v>
      </c>
      <c r="V180" s="67">
        <f t="shared" si="1465"/>
        <v>33.541903949744871</v>
      </c>
      <c r="W180" s="67">
        <f t="shared" si="1465"/>
        <v>49.392656168131772</v>
      </c>
      <c r="X180" s="67">
        <f t="shared" si="1465"/>
        <v>29.822580979815012</v>
      </c>
      <c r="Y180" s="67">
        <f t="shared" si="1465"/>
        <v>42.913098705011961</v>
      </c>
      <c r="Z180" s="67">
        <f t="shared" si="1465"/>
        <v>57.700949714697508</v>
      </c>
      <c r="AA180" s="67">
        <f t="shared" ref="AA180" si="1466">AA145/AA8*365</f>
        <v>42.973678755307219</v>
      </c>
      <c r="AB180" s="18">
        <f t="shared" si="1465"/>
        <v>51.8099915963247</v>
      </c>
      <c r="AC180" s="18">
        <f t="shared" si="1465"/>
        <v>51.887832787845426</v>
      </c>
      <c r="AD180" s="18">
        <f t="shared" si="1465"/>
        <v>51.903133259468056</v>
      </c>
      <c r="AE180" s="18">
        <f t="shared" si="1465"/>
        <v>51.905487209910838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24"/>
        <v>#DIV/0!</v>
      </c>
      <c r="AN180" s="67" t="e">
        <f>AN145/AN8*90</f>
        <v>#DIV/0!</v>
      </c>
      <c r="AO180" s="67" t="e">
        <f t="shared" si="1425"/>
        <v>#DIV/0!</v>
      </c>
      <c r="AP180" s="67" t="e">
        <f>AP145/AP8*90</f>
        <v>#DIV/0!</v>
      </c>
      <c r="AQ180" s="67" t="e">
        <f t="shared" si="1426"/>
        <v>#DIV/0!</v>
      </c>
      <c r="AR180" s="67" t="e">
        <f>AR145/AR8*90</f>
        <v>#DIV/0!</v>
      </c>
      <c r="AS180" s="67" t="e">
        <f t="shared" si="1427"/>
        <v>#DIV/0!</v>
      </c>
      <c r="AT180" s="67" t="e">
        <f>AT145/AT8*90</f>
        <v>#DIV/0!</v>
      </c>
      <c r="AU180" s="67" t="e">
        <f t="shared" si="1428"/>
        <v>#DIV/0!</v>
      </c>
      <c r="AV180" s="67" t="e">
        <f>AV145/AV8*90</f>
        <v>#DIV/0!</v>
      </c>
      <c r="AW180" s="67" t="e">
        <f t="shared" si="1429"/>
        <v>#DIV/0!</v>
      </c>
      <c r="AX180" s="67" t="e">
        <f>AX145/AX8*90</f>
        <v>#DIV/0!</v>
      </c>
      <c r="AY180" s="67" t="e">
        <f t="shared" si="1430"/>
        <v>#DIV/0!</v>
      </c>
      <c r="AZ180" s="67" t="e">
        <f>AZ145/AZ8*90</f>
        <v>#DIV/0!</v>
      </c>
      <c r="BA180" s="67" t="e">
        <f t="shared" si="1431"/>
        <v>#DIV/0!</v>
      </c>
      <c r="BB180" s="67" t="e">
        <f>BB145/BB8*90</f>
        <v>#DIV/0!</v>
      </c>
      <c r="BC180" s="67" t="e">
        <f t="shared" si="1432"/>
        <v>#DIV/0!</v>
      </c>
      <c r="BD180" s="67" t="e">
        <f>BD145/BD8*90</f>
        <v>#DIV/0!</v>
      </c>
      <c r="BE180" s="67" t="e">
        <f t="shared" si="1433"/>
        <v>#DIV/0!</v>
      </c>
      <c r="BF180" s="67" t="e">
        <f>BF145/BF8*90</f>
        <v>#DIV/0!</v>
      </c>
      <c r="BG180" s="67" t="e">
        <f t="shared" si="1434"/>
        <v>#DIV/0!</v>
      </c>
      <c r="BH180" s="67" t="e">
        <f>BH145/BH8*90</f>
        <v>#DIV/0!</v>
      </c>
      <c r="BI180" s="67" t="e">
        <f t="shared" si="1435"/>
        <v>#DIV/0!</v>
      </c>
      <c r="BJ180" s="67" t="e">
        <f>BJ145/BJ8*90</f>
        <v>#DIV/0!</v>
      </c>
      <c r="BK180" s="67" t="e">
        <f t="shared" si="1436"/>
        <v>#DIV/0!</v>
      </c>
      <c r="BL180" s="67" t="e">
        <f>BL145/BL8*90</f>
        <v>#DIV/0!</v>
      </c>
      <c r="BM180" s="67" t="e">
        <f t="shared" si="1437"/>
        <v>#DIV/0!</v>
      </c>
      <c r="BN180" s="67" t="e">
        <f>BN145/BN8*90</f>
        <v>#DIV/0!</v>
      </c>
      <c r="BO180" s="67" t="e">
        <f t="shared" si="1438"/>
        <v>#DIV/0!</v>
      </c>
      <c r="BP180" s="67" t="e">
        <f>BP145/BP8*90</f>
        <v>#DIV/0!</v>
      </c>
      <c r="BQ180" s="67" t="e">
        <f t="shared" si="1439"/>
        <v>#DIV/0!</v>
      </c>
      <c r="BR180" s="67" t="e">
        <f>BR145/BR8*90</f>
        <v>#DIV/0!</v>
      </c>
      <c r="BS180" s="67" t="e">
        <f t="shared" si="1440"/>
        <v>#DIV/0!</v>
      </c>
      <c r="BT180" s="67">
        <f>BT145/BT8*90</f>
        <v>0</v>
      </c>
      <c r="BU180" s="67">
        <f t="shared" si="1441"/>
        <v>0</v>
      </c>
      <c r="BV180" s="67">
        <f>BV145/BV8*90</f>
        <v>36.949801665047431</v>
      </c>
      <c r="BW180" s="67">
        <f t="shared" si="1442"/>
        <v>36.949801665047431</v>
      </c>
      <c r="BX180" s="67">
        <f>BX145/BX8*90</f>
        <v>27.710046167737101</v>
      </c>
      <c r="BY180" s="67">
        <f t="shared" si="1443"/>
        <v>27.710046167737101</v>
      </c>
      <c r="BZ180" s="67">
        <f>BZ145/BZ8*90</f>
        <v>27.713291925465839</v>
      </c>
      <c r="CA180" s="67">
        <f t="shared" si="1444"/>
        <v>27.713291925465839</v>
      </c>
      <c r="CB180" s="67">
        <f>CB145/CB8*90</f>
        <v>36.828843406262372</v>
      </c>
      <c r="CC180" s="67">
        <f t="shared" si="1445"/>
        <v>36.828843406262372</v>
      </c>
      <c r="CD180" s="67">
        <f>CD145/CD8*90</f>
        <v>49.573307972737368</v>
      </c>
      <c r="CE180" s="114">
        <f t="shared" ref="CE180" si="1467">+CD180</f>
        <v>49.573307972737368</v>
      </c>
      <c r="CF180" s="67">
        <f>CF145/CF8*90</f>
        <v>40.462290241417314</v>
      </c>
      <c r="CG180" s="67">
        <f t="shared" si="1446"/>
        <v>40.462290241417314</v>
      </c>
      <c r="CH180" s="67">
        <f>CH145/CH8*90</f>
        <v>42.859388790341946</v>
      </c>
      <c r="CI180" s="67">
        <f t="shared" si="1446"/>
        <v>42.859388790341946</v>
      </c>
      <c r="CJ180" s="67">
        <f>CJ145/CJ8*90</f>
        <v>37.575648414985586</v>
      </c>
      <c r="CK180" s="30">
        <f t="shared" si="1447"/>
        <v>37.575648414985586</v>
      </c>
      <c r="CL180" s="30">
        <f t="shared" si="1448"/>
        <v>37.575648414985586</v>
      </c>
      <c r="CM180" s="30">
        <f t="shared" si="1449"/>
        <v>37.575648414985586</v>
      </c>
      <c r="CN180" s="30">
        <f t="shared" si="1450"/>
        <v>37.575648414985586</v>
      </c>
      <c r="CO180" s="30">
        <f t="shared" si="1451"/>
        <v>37.575648414985586</v>
      </c>
      <c r="CP180" s="30">
        <f t="shared" si="1452"/>
        <v>37.575648414985586</v>
      </c>
      <c r="CQ180" s="30">
        <f t="shared" si="1453"/>
        <v>37.575648414985586</v>
      </c>
      <c r="CR180" s="30">
        <f t="shared" si="1454"/>
        <v>37.575648414985586</v>
      </c>
      <c r="CS180" s="30">
        <f t="shared" si="1455"/>
        <v>37.575648414985586</v>
      </c>
      <c r="CT180" s="30">
        <f t="shared" si="1456"/>
        <v>37.575648414985586</v>
      </c>
      <c r="CU180" s="30">
        <f t="shared" si="1457"/>
        <v>37.575648414985586</v>
      </c>
      <c r="CV180" s="30">
        <f t="shared" si="1458"/>
        <v>37.575648414985586</v>
      </c>
      <c r="CW180" s="30">
        <f t="shared" si="1459"/>
        <v>37.575648414985586</v>
      </c>
      <c r="CX180" s="30">
        <f t="shared" si="1460"/>
        <v>37.575648414985586</v>
      </c>
      <c r="CY180" s="30">
        <f t="shared" si="1461"/>
        <v>37.575648414985586</v>
      </c>
      <c r="CZ180" s="30">
        <f t="shared" si="1462"/>
        <v>37.575648414985586</v>
      </c>
      <c r="DA180" s="30">
        <f t="shared" si="1463"/>
        <v>37.575648414985586</v>
      </c>
      <c r="DB180" s="30">
        <f t="shared" si="1464"/>
        <v>37.575648414985586</v>
      </c>
      <c r="DE180" s="139"/>
      <c r="DF180" s="62">
        <v>42.973678755307219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68">C182-C180-C179</f>
        <v>#DIV/0!</v>
      </c>
      <c r="D181" s="67" t="e">
        <f t="shared" si="1468"/>
        <v>#DIV/0!</v>
      </c>
      <c r="E181" s="67" t="e">
        <f t="shared" si="1468"/>
        <v>#DIV/0!</v>
      </c>
      <c r="F181" s="67" t="e">
        <f t="shared" si="1468"/>
        <v>#DIV/0!</v>
      </c>
      <c r="G181" s="67" t="e">
        <f t="shared" si="1468"/>
        <v>#DIV/0!</v>
      </c>
      <c r="H181" s="67" t="e">
        <f t="shared" si="1468"/>
        <v>#DIV/0!</v>
      </c>
      <c r="I181" s="67" t="e">
        <f t="shared" si="1468"/>
        <v>#DIV/0!</v>
      </c>
      <c r="J181" s="67" t="e">
        <f t="shared" si="1468"/>
        <v>#DIV/0!</v>
      </c>
      <c r="K181" s="67" t="e">
        <f t="shared" si="1468"/>
        <v>#DIV/0!</v>
      </c>
      <c r="L181" s="67" t="e">
        <f t="shared" si="1468"/>
        <v>#DIV/0!</v>
      </c>
      <c r="M181" s="67" t="e">
        <f t="shared" si="1468"/>
        <v>#DIV/0!</v>
      </c>
      <c r="N181" s="67" t="e">
        <f t="shared" si="1468"/>
        <v>#DIV/0!</v>
      </c>
      <c r="O181" s="67" t="e">
        <f t="shared" si="1468"/>
        <v>#DIV/0!</v>
      </c>
      <c r="P181" s="67">
        <f t="shared" si="1468"/>
        <v>140.13175956738772</v>
      </c>
      <c r="Q181" s="67">
        <f t="shared" si="1468"/>
        <v>35.753880667481425</v>
      </c>
      <c r="R181" s="67">
        <f t="shared" si="1468"/>
        <v>35.085306085797612</v>
      </c>
      <c r="S181" s="67">
        <f t="shared" si="1468"/>
        <v>71.499179303090116</v>
      </c>
      <c r="T181" s="67">
        <f t="shared" si="1468"/>
        <v>30.491860386980868</v>
      </c>
      <c r="U181" s="67">
        <f t="shared" si="1468"/>
        <v>37.596494401236498</v>
      </c>
      <c r="V181" s="67">
        <f>V182-V180-V179</f>
        <v>33.376690129370438</v>
      </c>
      <c r="W181" s="67">
        <f t="shared" ref="W181" si="1469">W182-W180-W179</f>
        <v>27.193092831082787</v>
      </c>
      <c r="X181" s="67">
        <f t="shared" ref="X181:Y181" si="1470">X182-X180-X179</f>
        <v>25.682793895823913</v>
      </c>
      <c r="Y181" s="67">
        <f t="shared" si="1470"/>
        <v>80.183759438744559</v>
      </c>
      <c r="Z181" s="67">
        <f t="shared" ref="Z181:AA181" si="1471">Z182-Z180-Z179</f>
        <v>133.05514871550236</v>
      </c>
      <c r="AA181" s="67">
        <f t="shared" si="1471"/>
        <v>224.55333778517507</v>
      </c>
      <c r="AB181" s="18">
        <f t="shared" ref="AB181:AD181" si="1472">AB182-AB180-AB179</f>
        <v>171.83572708910447</v>
      </c>
      <c r="AC181" s="18">
        <f t="shared" si="1472"/>
        <v>172.09389925494204</v>
      </c>
      <c r="AD181" s="18">
        <f t="shared" si="1472"/>
        <v>172.14464559913307</v>
      </c>
      <c r="AE181" s="18">
        <f t="shared" ref="AE181" si="1473">AE182-AE180-AE179</f>
        <v>172.15245283425128</v>
      </c>
      <c r="AI181" s="67" t="e">
        <f t="shared" ref="AI181:AK181" si="1474">AI182-AI180-AI179</f>
        <v>#DIV/0!</v>
      </c>
      <c r="AJ181" s="67" t="e">
        <f t="shared" ref="AJ181:AM181" si="1475">AJ182-AJ180-AJ179</f>
        <v>#DIV/0!</v>
      </c>
      <c r="AK181" s="67" t="e">
        <f t="shared" si="1474"/>
        <v>#DIV/0!</v>
      </c>
      <c r="AL181" s="67" t="e">
        <f t="shared" si="1475"/>
        <v>#DIV/0!</v>
      </c>
      <c r="AM181" s="67" t="e">
        <f t="shared" si="1475"/>
        <v>#DIV/0!</v>
      </c>
      <c r="AN181" s="67" t="e">
        <f t="shared" ref="AN181:AY181" si="1476">AN182-AN180-AN179</f>
        <v>#DIV/0!</v>
      </c>
      <c r="AO181" s="67" t="e">
        <f t="shared" si="1476"/>
        <v>#DIV/0!</v>
      </c>
      <c r="AP181" s="67" t="e">
        <f t="shared" si="1476"/>
        <v>#DIV/0!</v>
      </c>
      <c r="AQ181" s="67" t="e">
        <f t="shared" si="1476"/>
        <v>#DIV/0!</v>
      </c>
      <c r="AR181" s="67" t="e">
        <f t="shared" si="1476"/>
        <v>#DIV/0!</v>
      </c>
      <c r="AS181" s="67" t="e">
        <f t="shared" si="1476"/>
        <v>#DIV/0!</v>
      </c>
      <c r="AT181" s="67" t="e">
        <f t="shared" si="1476"/>
        <v>#DIV/0!</v>
      </c>
      <c r="AU181" s="67" t="e">
        <f t="shared" si="1476"/>
        <v>#DIV/0!</v>
      </c>
      <c r="AV181" s="67" t="e">
        <f t="shared" si="1476"/>
        <v>#DIV/0!</v>
      </c>
      <c r="AW181" s="67" t="e">
        <f t="shared" si="1476"/>
        <v>#DIV/0!</v>
      </c>
      <c r="AX181" s="67" t="e">
        <f t="shared" si="1476"/>
        <v>#DIV/0!</v>
      </c>
      <c r="AY181" s="67" t="e">
        <f t="shared" si="1476"/>
        <v>#DIV/0!</v>
      </c>
      <c r="AZ181" s="67" t="e">
        <f t="shared" ref="AZ181:BC181" si="1477">AZ182-AZ180-AZ179</f>
        <v>#DIV/0!</v>
      </c>
      <c r="BA181" s="67" t="e">
        <f t="shared" si="1477"/>
        <v>#DIV/0!</v>
      </c>
      <c r="BB181" s="67" t="e">
        <f t="shared" si="1477"/>
        <v>#DIV/0!</v>
      </c>
      <c r="BC181" s="67" t="e">
        <f t="shared" si="1477"/>
        <v>#DIV/0!</v>
      </c>
      <c r="BD181" s="67" t="e">
        <f t="shared" ref="BD181:CE181" si="1478">BD182-BD180-BD179</f>
        <v>#DIV/0!</v>
      </c>
      <c r="BE181" s="67" t="e">
        <f t="shared" si="1478"/>
        <v>#DIV/0!</v>
      </c>
      <c r="BF181" s="67" t="e">
        <f t="shared" si="1478"/>
        <v>#DIV/0!</v>
      </c>
      <c r="BG181" s="67" t="e">
        <f t="shared" si="1478"/>
        <v>#DIV/0!</v>
      </c>
      <c r="BH181" s="67" t="e">
        <f t="shared" si="1478"/>
        <v>#DIV/0!</v>
      </c>
      <c r="BI181" s="67" t="e">
        <f t="shared" si="1478"/>
        <v>#DIV/0!</v>
      </c>
      <c r="BJ181" s="67" t="e">
        <f t="shared" si="1478"/>
        <v>#DIV/0!</v>
      </c>
      <c r="BK181" s="67" t="e">
        <f t="shared" si="1478"/>
        <v>#DIV/0!</v>
      </c>
      <c r="BL181" s="67" t="e">
        <f t="shared" si="1478"/>
        <v>#DIV/0!</v>
      </c>
      <c r="BM181" s="67" t="e">
        <f t="shared" si="1478"/>
        <v>#DIV/0!</v>
      </c>
      <c r="BN181" s="67" t="e">
        <f t="shared" si="1478"/>
        <v>#DIV/0!</v>
      </c>
      <c r="BO181" s="67" t="e">
        <f t="shared" si="1478"/>
        <v>#DIV/0!</v>
      </c>
      <c r="BP181" s="67" t="e">
        <f t="shared" si="1478"/>
        <v>#DIV/0!</v>
      </c>
      <c r="BQ181" s="67" t="e">
        <f t="shared" si="1478"/>
        <v>#DIV/0!</v>
      </c>
      <c r="BR181" s="67" t="e">
        <f t="shared" si="1478"/>
        <v>#DIV/0!</v>
      </c>
      <c r="BS181" s="67" t="e">
        <f t="shared" si="1478"/>
        <v>#DIV/0!</v>
      </c>
      <c r="BT181" s="67">
        <f t="shared" si="1478"/>
        <v>0</v>
      </c>
      <c r="BU181" s="67">
        <f t="shared" si="1478"/>
        <v>0</v>
      </c>
      <c r="BV181" s="67">
        <f t="shared" si="1478"/>
        <v>30.138968658246601</v>
      </c>
      <c r="BW181" s="67">
        <f t="shared" si="1478"/>
        <v>28.055382063286647</v>
      </c>
      <c r="BX181" s="67">
        <f t="shared" si="1478"/>
        <v>41.001448065554769</v>
      </c>
      <c r="BY181" s="67">
        <f t="shared" si="1478"/>
        <v>32.976052482304468</v>
      </c>
      <c r="BZ181" s="67">
        <f t="shared" si="1478"/>
        <v>29.569663288656429</v>
      </c>
      <c r="CA181" s="67">
        <f t="shared" si="1478"/>
        <v>32.955108512535929</v>
      </c>
      <c r="CB181" s="67">
        <f t="shared" si="1478"/>
        <v>37.85165166199026</v>
      </c>
      <c r="CC181" s="67">
        <f t="shared" si="1478"/>
        <v>26.645388317750204</v>
      </c>
      <c r="CD181" s="67">
        <f t="shared" si="1478"/>
        <v>66.381042954509439</v>
      </c>
      <c r="CE181" s="114">
        <f t="shared" si="1478"/>
        <v>88.606576646042157</v>
      </c>
      <c r="CF181" s="67">
        <f t="shared" ref="CF181:CG181" si="1479">CF182-CF180-CF179</f>
        <v>66.274853922771385</v>
      </c>
      <c r="CG181" s="67">
        <f t="shared" si="1479"/>
        <v>65.771830916159686</v>
      </c>
      <c r="CH181" s="67">
        <f t="shared" ref="CH181" si="1480">CH182-CH180-CH179</f>
        <v>98.831342942383316</v>
      </c>
      <c r="CI181" s="67">
        <f>CH181</f>
        <v>98.831342942383316</v>
      </c>
      <c r="CJ181" s="67">
        <f t="shared" ref="CJ181" si="1481">CJ182-CJ180-CJ179</f>
        <v>124.62536023054754</v>
      </c>
      <c r="CK181" s="30">
        <f t="shared" ref="CK181:DB181" si="1482">CJ181</f>
        <v>124.62536023054754</v>
      </c>
      <c r="CL181" s="30">
        <f t="shared" si="1482"/>
        <v>124.62536023054754</v>
      </c>
      <c r="CM181" s="30">
        <f t="shared" si="1482"/>
        <v>124.62536023054754</v>
      </c>
      <c r="CN181" s="30">
        <f t="shared" si="1482"/>
        <v>124.62536023054754</v>
      </c>
      <c r="CO181" s="30">
        <f t="shared" si="1482"/>
        <v>124.62536023054754</v>
      </c>
      <c r="CP181" s="30">
        <f t="shared" si="1482"/>
        <v>124.62536023054754</v>
      </c>
      <c r="CQ181" s="30">
        <f t="shared" si="1482"/>
        <v>124.62536023054754</v>
      </c>
      <c r="CR181" s="30">
        <f t="shared" si="1482"/>
        <v>124.62536023054754</v>
      </c>
      <c r="CS181" s="30">
        <f t="shared" si="1482"/>
        <v>124.62536023054754</v>
      </c>
      <c r="CT181" s="30">
        <f t="shared" si="1482"/>
        <v>124.62536023054754</v>
      </c>
      <c r="CU181" s="30">
        <f t="shared" si="1482"/>
        <v>124.62536023054754</v>
      </c>
      <c r="CV181" s="30">
        <f t="shared" si="1482"/>
        <v>124.62536023054754</v>
      </c>
      <c r="CW181" s="30">
        <f t="shared" si="1482"/>
        <v>124.62536023054754</v>
      </c>
      <c r="CX181" s="30">
        <f t="shared" si="1482"/>
        <v>124.62536023054754</v>
      </c>
      <c r="CY181" s="30">
        <f t="shared" si="1482"/>
        <v>124.62536023054754</v>
      </c>
      <c r="CZ181" s="30">
        <f t="shared" si="1482"/>
        <v>124.62536023054754</v>
      </c>
      <c r="DA181" s="30">
        <f t="shared" si="1482"/>
        <v>124.62536023054754</v>
      </c>
      <c r="DB181" s="30">
        <f t="shared" si="1482"/>
        <v>124.62536023054754</v>
      </c>
      <c r="DE181" s="139"/>
      <c r="DF181" s="62">
        <v>224.55333778517507</v>
      </c>
    </row>
    <row r="182" spans="1:110" s="7" customFormat="1" outlineLevel="1" x14ac:dyDescent="0.2">
      <c r="A182" s="69" t="s">
        <v>467</v>
      </c>
      <c r="B182" s="70" t="e">
        <f t="shared" ref="B182:AE182" si="1483">B148/B8*365</f>
        <v>#DIV/0!</v>
      </c>
      <c r="C182" s="70" t="e">
        <f t="shared" si="1483"/>
        <v>#DIV/0!</v>
      </c>
      <c r="D182" s="70" t="e">
        <f t="shared" si="1483"/>
        <v>#DIV/0!</v>
      </c>
      <c r="E182" s="70" t="e">
        <f t="shared" si="1483"/>
        <v>#DIV/0!</v>
      </c>
      <c r="F182" s="70" t="e">
        <f t="shared" si="1483"/>
        <v>#DIV/0!</v>
      </c>
      <c r="G182" s="70" t="e">
        <f t="shared" si="1483"/>
        <v>#DIV/0!</v>
      </c>
      <c r="H182" s="70" t="e">
        <f t="shared" si="1483"/>
        <v>#DIV/0!</v>
      </c>
      <c r="I182" s="70" t="e">
        <f t="shared" si="1483"/>
        <v>#DIV/0!</v>
      </c>
      <c r="J182" s="70" t="e">
        <f t="shared" si="1483"/>
        <v>#DIV/0!</v>
      </c>
      <c r="K182" s="70" t="e">
        <f t="shared" si="1483"/>
        <v>#DIV/0!</v>
      </c>
      <c r="L182" s="70" t="e">
        <f t="shared" si="1483"/>
        <v>#DIV/0!</v>
      </c>
      <c r="M182" s="70" t="e">
        <f t="shared" si="1483"/>
        <v>#DIV/0!</v>
      </c>
      <c r="N182" s="70" t="e">
        <f t="shared" si="1483"/>
        <v>#DIV/0!</v>
      </c>
      <c r="O182" s="70" t="e">
        <f t="shared" si="1483"/>
        <v>#DIV/0!</v>
      </c>
      <c r="P182" s="70">
        <f t="shared" si="1483"/>
        <v>338.92331044004675</v>
      </c>
      <c r="Q182" s="70">
        <f t="shared" si="1483"/>
        <v>198.66364636622859</v>
      </c>
      <c r="R182" s="70">
        <f t="shared" si="1483"/>
        <v>224.28949685275572</v>
      </c>
      <c r="S182" s="70">
        <f t="shared" si="1483"/>
        <v>186.35082908384149</v>
      </c>
      <c r="T182" s="70">
        <f t="shared" si="1483"/>
        <v>114.24023794619332</v>
      </c>
      <c r="U182" s="70">
        <f t="shared" si="1483"/>
        <v>123.58518177483271</v>
      </c>
      <c r="V182" s="70">
        <f t="shared" si="1483"/>
        <v>121.42762481939261</v>
      </c>
      <c r="W182" s="70">
        <f t="shared" si="1483"/>
        <v>115.58609452927544</v>
      </c>
      <c r="X182" s="70">
        <f t="shared" si="1483"/>
        <v>97.997359801519139</v>
      </c>
      <c r="Y182" s="70">
        <f t="shared" si="1483"/>
        <v>158.02841049418106</v>
      </c>
      <c r="Z182" s="70">
        <f t="shared" si="1483"/>
        <v>249.70517942102626</v>
      </c>
      <c r="AA182" s="70">
        <f t="shared" ref="AA182" si="1484">AA148/AA8*365</f>
        <v>340.09034035128968</v>
      </c>
      <c r="AB182" s="71">
        <f t="shared" si="1483"/>
        <v>334.32654012636362</v>
      </c>
      <c r="AC182" s="71">
        <f t="shared" si="1483"/>
        <v>334.82884432365449</v>
      </c>
      <c r="AD182" s="71">
        <f t="shared" si="1483"/>
        <v>334.9275772819563</v>
      </c>
      <c r="AE182" s="71">
        <f t="shared" si="1483"/>
        <v>334.9427671726109</v>
      </c>
      <c r="AI182" s="70" t="e">
        <f t="shared" ref="AI182:CD182" si="1485">AI148/AI8*90</f>
        <v>#DIV/0!</v>
      </c>
      <c r="AJ182" s="70" t="e">
        <f t="shared" si="1485"/>
        <v>#DIV/0!</v>
      </c>
      <c r="AK182" s="70" t="e">
        <f t="shared" si="1485"/>
        <v>#DIV/0!</v>
      </c>
      <c r="AL182" s="70" t="e">
        <f t="shared" si="1485"/>
        <v>#DIV/0!</v>
      </c>
      <c r="AM182" s="70" t="e">
        <f t="shared" si="1485"/>
        <v>#DIV/0!</v>
      </c>
      <c r="AN182" s="70" t="e">
        <f t="shared" si="1485"/>
        <v>#DIV/0!</v>
      </c>
      <c r="AO182" s="70" t="e">
        <f t="shared" si="1485"/>
        <v>#DIV/0!</v>
      </c>
      <c r="AP182" s="70" t="e">
        <f t="shared" si="1485"/>
        <v>#DIV/0!</v>
      </c>
      <c r="AQ182" s="70" t="e">
        <f t="shared" si="1485"/>
        <v>#DIV/0!</v>
      </c>
      <c r="AR182" s="70" t="e">
        <f t="shared" si="1485"/>
        <v>#DIV/0!</v>
      </c>
      <c r="AS182" s="70" t="e">
        <f t="shared" si="1485"/>
        <v>#DIV/0!</v>
      </c>
      <c r="AT182" s="70" t="e">
        <f t="shared" si="1485"/>
        <v>#DIV/0!</v>
      </c>
      <c r="AU182" s="70" t="e">
        <f t="shared" si="1485"/>
        <v>#DIV/0!</v>
      </c>
      <c r="AV182" s="70" t="e">
        <f t="shared" si="1485"/>
        <v>#DIV/0!</v>
      </c>
      <c r="AW182" s="70" t="e">
        <f t="shared" si="1485"/>
        <v>#DIV/0!</v>
      </c>
      <c r="AX182" s="70" t="e">
        <f t="shared" si="1485"/>
        <v>#DIV/0!</v>
      </c>
      <c r="AY182" s="70" t="e">
        <f t="shared" si="1485"/>
        <v>#DIV/0!</v>
      </c>
      <c r="AZ182" s="70" t="e">
        <f t="shared" si="1485"/>
        <v>#DIV/0!</v>
      </c>
      <c r="BA182" s="70" t="e">
        <f t="shared" si="1485"/>
        <v>#DIV/0!</v>
      </c>
      <c r="BB182" s="70" t="e">
        <f t="shared" si="1485"/>
        <v>#DIV/0!</v>
      </c>
      <c r="BC182" s="70" t="e">
        <f t="shared" si="1485"/>
        <v>#DIV/0!</v>
      </c>
      <c r="BD182" s="70" t="e">
        <f t="shared" si="1485"/>
        <v>#DIV/0!</v>
      </c>
      <c r="BE182" s="70" t="e">
        <f t="shared" si="1485"/>
        <v>#DIV/0!</v>
      </c>
      <c r="BF182" s="70" t="e">
        <f t="shared" si="1485"/>
        <v>#DIV/0!</v>
      </c>
      <c r="BG182" s="70" t="e">
        <f t="shared" si="1485"/>
        <v>#DIV/0!</v>
      </c>
      <c r="BH182" s="70" t="e">
        <f t="shared" si="1485"/>
        <v>#DIV/0!</v>
      </c>
      <c r="BI182" s="70" t="e">
        <f t="shared" si="1485"/>
        <v>#DIV/0!</v>
      </c>
      <c r="BJ182" s="70" t="e">
        <f t="shared" si="1485"/>
        <v>#DIV/0!</v>
      </c>
      <c r="BK182" s="70" t="e">
        <f t="shared" si="1485"/>
        <v>#DIV/0!</v>
      </c>
      <c r="BL182" s="70" t="e">
        <f t="shared" si="1485"/>
        <v>#DIV/0!</v>
      </c>
      <c r="BM182" s="70" t="e">
        <f t="shared" si="1485"/>
        <v>#DIV/0!</v>
      </c>
      <c r="BN182" s="70" t="e">
        <f t="shared" si="1485"/>
        <v>#DIV/0!</v>
      </c>
      <c r="BO182" s="70" t="e">
        <f t="shared" si="1485"/>
        <v>#DIV/0!</v>
      </c>
      <c r="BP182" s="70" t="e">
        <f t="shared" si="1485"/>
        <v>#DIV/0!</v>
      </c>
      <c r="BQ182" s="70" t="e">
        <f t="shared" si="1485"/>
        <v>#DIV/0!</v>
      </c>
      <c r="BR182" s="70" t="e">
        <f t="shared" si="1485"/>
        <v>#DIV/0!</v>
      </c>
      <c r="BS182" s="70" t="e">
        <f t="shared" si="1485"/>
        <v>#DIV/0!</v>
      </c>
      <c r="BT182" s="70">
        <f t="shared" si="1485"/>
        <v>0</v>
      </c>
      <c r="BU182" s="70">
        <f t="shared" si="1485"/>
        <v>0</v>
      </c>
      <c r="BV182" s="70">
        <f t="shared" si="1485"/>
        <v>96.264217583373153</v>
      </c>
      <c r="BW182" s="70">
        <f t="shared" si="1485"/>
        <v>94.180630988413199</v>
      </c>
      <c r="BX182" s="70">
        <f t="shared" si="1485"/>
        <v>103.76548152438713</v>
      </c>
      <c r="BY182" s="70">
        <f t="shared" si="1485"/>
        <v>95.740085941136826</v>
      </c>
      <c r="BZ182" s="70">
        <f t="shared" si="1485"/>
        <v>96.769741745668526</v>
      </c>
      <c r="CA182" s="70">
        <f t="shared" si="1485"/>
        <v>100.15518696954803</v>
      </c>
      <c r="CB182" s="70">
        <f t="shared" si="1485"/>
        <v>118.90572013839879</v>
      </c>
      <c r="CC182" s="70">
        <f t="shared" si="1485"/>
        <v>107.69945679415873</v>
      </c>
      <c r="CD182" s="70">
        <f t="shared" si="1485"/>
        <v>156.30718021873517</v>
      </c>
      <c r="CE182" s="115">
        <f>CE148/CE10*90</f>
        <v>178.53271391026789</v>
      </c>
      <c r="CF182" s="70">
        <f>CF148/CF8*90</f>
        <v>153.12332868935974</v>
      </c>
      <c r="CG182" s="70">
        <f>CG148/CG10*90</f>
        <v>152.62030568274804</v>
      </c>
      <c r="CH182" s="70">
        <f>CH148/CH8*90</f>
        <v>185.47721347196136</v>
      </c>
      <c r="CI182" s="70">
        <f>CI179+CI180+CI181</f>
        <v>185.47721347196136</v>
      </c>
      <c r="CJ182" s="70">
        <f>CJ148/CJ8*90</f>
        <v>242.47324001646766</v>
      </c>
      <c r="CK182" s="50">
        <f t="shared" ref="CK182:DB182" si="1486">CK179+CK180+CK181</f>
        <v>242.47324001646768</v>
      </c>
      <c r="CL182" s="50">
        <f t="shared" si="1486"/>
        <v>242.47324001646768</v>
      </c>
      <c r="CM182" s="50">
        <f t="shared" si="1486"/>
        <v>242.47324001646768</v>
      </c>
      <c r="CN182" s="50">
        <f t="shared" si="1486"/>
        <v>242.47324001646768</v>
      </c>
      <c r="CO182" s="50">
        <f t="shared" si="1486"/>
        <v>242.47324001646768</v>
      </c>
      <c r="CP182" s="50">
        <f t="shared" si="1486"/>
        <v>242.47324001646768</v>
      </c>
      <c r="CQ182" s="50">
        <f t="shared" si="1486"/>
        <v>242.47324001646768</v>
      </c>
      <c r="CR182" s="50">
        <f t="shared" si="1486"/>
        <v>242.47324001646768</v>
      </c>
      <c r="CS182" s="50">
        <f t="shared" si="1486"/>
        <v>242.47324001646768</v>
      </c>
      <c r="CT182" s="50">
        <f t="shared" si="1486"/>
        <v>242.47324001646768</v>
      </c>
      <c r="CU182" s="50">
        <f t="shared" si="1486"/>
        <v>242.47324001646768</v>
      </c>
      <c r="CV182" s="50">
        <f t="shared" si="1486"/>
        <v>242.47324001646768</v>
      </c>
      <c r="CW182" s="50">
        <f t="shared" si="1486"/>
        <v>242.47324001646768</v>
      </c>
      <c r="CX182" s="50">
        <f t="shared" si="1486"/>
        <v>242.47324001646768</v>
      </c>
      <c r="CY182" s="50">
        <f t="shared" si="1486"/>
        <v>242.47324001646768</v>
      </c>
      <c r="CZ182" s="50">
        <f t="shared" si="1486"/>
        <v>242.47324001646768</v>
      </c>
      <c r="DA182" s="50">
        <f t="shared" si="1486"/>
        <v>242.47324001646768</v>
      </c>
      <c r="DB182" s="50">
        <f t="shared" si="1486"/>
        <v>242.47324001646768</v>
      </c>
      <c r="DE182" s="138"/>
      <c r="DF182" s="7">
        <v>340.09034035128968</v>
      </c>
    </row>
    <row r="183" spans="1:110" s="62" customFormat="1" outlineLevel="1" x14ac:dyDescent="0.2">
      <c r="A183" s="68" t="s">
        <v>468</v>
      </c>
      <c r="B183" s="67" t="e">
        <f t="shared" ref="B183:AE183" si="1487">B153/B8*365</f>
        <v>#DIV/0!</v>
      </c>
      <c r="C183" s="67" t="e">
        <f t="shared" si="1487"/>
        <v>#DIV/0!</v>
      </c>
      <c r="D183" s="67" t="e">
        <f t="shared" si="1487"/>
        <v>#DIV/0!</v>
      </c>
      <c r="E183" s="67" t="e">
        <f t="shared" si="1487"/>
        <v>#DIV/0!</v>
      </c>
      <c r="F183" s="67" t="e">
        <f t="shared" si="1487"/>
        <v>#DIV/0!</v>
      </c>
      <c r="G183" s="67" t="e">
        <f t="shared" si="1487"/>
        <v>#DIV/0!</v>
      </c>
      <c r="H183" s="67" t="e">
        <f t="shared" si="1487"/>
        <v>#DIV/0!</v>
      </c>
      <c r="I183" s="67" t="e">
        <f t="shared" si="1487"/>
        <v>#DIV/0!</v>
      </c>
      <c r="J183" s="67" t="e">
        <f t="shared" si="1487"/>
        <v>#DIV/0!</v>
      </c>
      <c r="K183" s="67" t="e">
        <f t="shared" si="1487"/>
        <v>#DIV/0!</v>
      </c>
      <c r="L183" s="67" t="e">
        <f t="shared" si="1487"/>
        <v>#DIV/0!</v>
      </c>
      <c r="M183" s="67" t="e">
        <f t="shared" si="1487"/>
        <v>#DIV/0!</v>
      </c>
      <c r="N183" s="67" t="e">
        <f t="shared" si="1487"/>
        <v>#DIV/0!</v>
      </c>
      <c r="O183" s="67" t="e">
        <f t="shared" si="1487"/>
        <v>#DIV/0!</v>
      </c>
      <c r="P183" s="67">
        <f t="shared" si="1487"/>
        <v>78.1724054766878</v>
      </c>
      <c r="Q183" s="67">
        <f t="shared" si="1487"/>
        <v>88.565603459993042</v>
      </c>
      <c r="R183" s="67">
        <f t="shared" si="1487"/>
        <v>138.76837017777561</v>
      </c>
      <c r="S183" s="67">
        <f t="shared" si="1487"/>
        <v>116.3155043692405</v>
      </c>
      <c r="T183" s="67">
        <f t="shared" si="1487"/>
        <v>67.933815025835273</v>
      </c>
      <c r="U183" s="67">
        <f t="shared" si="1487"/>
        <v>100.29652893105548</v>
      </c>
      <c r="V183" s="67">
        <f t="shared" si="1487"/>
        <v>55.079518545912642</v>
      </c>
      <c r="W183" s="67">
        <f t="shared" si="1487"/>
        <v>36.25767236407934</v>
      </c>
      <c r="X183" s="67">
        <f t="shared" si="1487"/>
        <v>24.202623211055094</v>
      </c>
      <c r="Y183" s="67">
        <f t="shared" si="1487"/>
        <v>27.389815121463627</v>
      </c>
      <c r="Z183" s="67">
        <f t="shared" si="1487"/>
        <v>36.833161082052484</v>
      </c>
      <c r="AA183" s="67">
        <f t="shared" ref="AA183" si="1488">AA153/AA8*365</f>
        <v>35.529581082552376</v>
      </c>
      <c r="AB183" s="18">
        <f t="shared" si="1487"/>
        <v>48.905937155497803</v>
      </c>
      <c r="AC183" s="18">
        <f t="shared" si="1487"/>
        <v>48.979415191361674</v>
      </c>
      <c r="AD183" s="18">
        <f t="shared" si="1487"/>
        <v>48.993858040715061</v>
      </c>
      <c r="AE183" s="18">
        <f t="shared" si="1487"/>
        <v>48.996080047491645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89">+AJ183</f>
        <v>#DIV/0!</v>
      </c>
      <c r="AL183" s="67" t="e">
        <f>AL153/AL8*90</f>
        <v>#DIV/0!</v>
      </c>
      <c r="AM183" s="67" t="e">
        <f t="shared" ref="AM183" si="1490">+AL183</f>
        <v>#DIV/0!</v>
      </c>
      <c r="AN183" s="67" t="e">
        <f>AN153/AN8*90</f>
        <v>#DIV/0!</v>
      </c>
      <c r="AO183" s="67" t="e">
        <f t="shared" ref="AO183" si="1491">+AN183</f>
        <v>#DIV/0!</v>
      </c>
      <c r="AP183" s="67" t="e">
        <f>AP153/AP8*90</f>
        <v>#DIV/0!</v>
      </c>
      <c r="AQ183" s="67" t="e">
        <f t="shared" ref="AQ183" si="1492">+AP183</f>
        <v>#DIV/0!</v>
      </c>
      <c r="AR183" s="67" t="e">
        <f>AR153/AR8*90</f>
        <v>#DIV/0!</v>
      </c>
      <c r="AS183" s="67" t="e">
        <f t="shared" ref="AS183" si="1493">+AR183</f>
        <v>#DIV/0!</v>
      </c>
      <c r="AT183" s="67" t="e">
        <f>AT153/AT8*90</f>
        <v>#DIV/0!</v>
      </c>
      <c r="AU183" s="67" t="e">
        <f t="shared" ref="AU183" si="1494">+AT183</f>
        <v>#DIV/0!</v>
      </c>
      <c r="AV183" s="67" t="e">
        <f>AV153/AV8*90</f>
        <v>#DIV/0!</v>
      </c>
      <c r="AW183" s="67" t="e">
        <f t="shared" ref="AW183" si="1495">+AV183</f>
        <v>#DIV/0!</v>
      </c>
      <c r="AX183" s="67" t="e">
        <f>AX153/AX8*90</f>
        <v>#DIV/0!</v>
      </c>
      <c r="AY183" s="67" t="e">
        <f t="shared" ref="AY183" si="1496">+AX183</f>
        <v>#DIV/0!</v>
      </c>
      <c r="AZ183" s="67" t="e">
        <f>AZ153/AZ8*90</f>
        <v>#DIV/0!</v>
      </c>
      <c r="BA183" s="67" t="e">
        <f t="shared" ref="BA183" si="1497">+AZ183</f>
        <v>#DIV/0!</v>
      </c>
      <c r="BB183" s="67" t="e">
        <f>BB153/BB8*90</f>
        <v>#DIV/0!</v>
      </c>
      <c r="BC183" s="67" t="e">
        <f t="shared" ref="BC183" si="1498">+BB183</f>
        <v>#DIV/0!</v>
      </c>
      <c r="BD183" s="67" t="e">
        <f>BD153/BD8*90</f>
        <v>#DIV/0!</v>
      </c>
      <c r="BE183" s="67" t="e">
        <f t="shared" ref="BE183" si="1499">+BD183</f>
        <v>#DIV/0!</v>
      </c>
      <c r="BF183" s="67" t="e">
        <f>BF153/BF8*90</f>
        <v>#DIV/0!</v>
      </c>
      <c r="BG183" s="67" t="e">
        <f t="shared" ref="BG183" si="1500">+BF183</f>
        <v>#DIV/0!</v>
      </c>
      <c r="BH183" s="67" t="e">
        <f>BH153/BH8*90</f>
        <v>#DIV/0!</v>
      </c>
      <c r="BI183" s="67" t="e">
        <f t="shared" ref="BI183" si="1501">+BH183</f>
        <v>#DIV/0!</v>
      </c>
      <c r="BJ183" s="67" t="e">
        <f>BJ153/BJ8*90</f>
        <v>#DIV/0!</v>
      </c>
      <c r="BK183" s="67" t="e">
        <f t="shared" ref="BK183" si="1502">+BJ183</f>
        <v>#DIV/0!</v>
      </c>
      <c r="BL183" s="67" t="e">
        <f>BL153/BL8*90</f>
        <v>#DIV/0!</v>
      </c>
      <c r="BM183" s="67" t="e">
        <f t="shared" ref="BM183" si="1503">+BL183</f>
        <v>#DIV/0!</v>
      </c>
      <c r="BN183" s="67" t="e">
        <f>BN153/BN8*90</f>
        <v>#DIV/0!</v>
      </c>
      <c r="BO183" s="67" t="e">
        <f t="shared" ref="BO183" si="1504">+BN183</f>
        <v>#DIV/0!</v>
      </c>
      <c r="BP183" s="67" t="e">
        <f>BP153/BP8*90</f>
        <v>#DIV/0!</v>
      </c>
      <c r="BQ183" s="67" t="e">
        <f t="shared" ref="BQ183" si="1505">+BP183</f>
        <v>#DIV/0!</v>
      </c>
      <c r="BR183" s="67" t="e">
        <f>BR153/BR8*90</f>
        <v>#DIV/0!</v>
      </c>
      <c r="BS183" s="67" t="e">
        <f t="shared" ref="BS183" si="1506">+BR183</f>
        <v>#DIV/0!</v>
      </c>
      <c r="BT183" s="67">
        <f>BT153/BT8*90</f>
        <v>0</v>
      </c>
      <c r="BU183" s="67">
        <f t="shared" ref="BU183" si="1507">+BT183</f>
        <v>0</v>
      </c>
      <c r="BV183" s="67">
        <f>BV153/BV8*90</f>
        <v>27.123767451597146</v>
      </c>
      <c r="BW183" s="67">
        <f t="shared" ref="BW183" si="1508">+BV183</f>
        <v>27.123767451597146</v>
      </c>
      <c r="BX183" s="67">
        <f>BX153/BX8*90</f>
        <v>27.555801632055058</v>
      </c>
      <c r="BY183" s="67">
        <f t="shared" ref="BY183" si="1509">+BX183</f>
        <v>27.555801632055058</v>
      </c>
      <c r="BZ183" s="67">
        <f>BZ153/BZ8*90</f>
        <v>22.490879372343905</v>
      </c>
      <c r="CA183" s="67">
        <f t="shared" ref="CA183" si="1510">+BZ183</f>
        <v>22.490879372343905</v>
      </c>
      <c r="CB183" s="67">
        <f>CB153/CB8*90</f>
        <v>31.116485635102336</v>
      </c>
      <c r="CC183" s="67">
        <f t="shared" ref="CC183" si="1511">+CB183</f>
        <v>31.116485635102336</v>
      </c>
      <c r="CD183" s="67">
        <f>CD153/CD8*90</f>
        <v>31.640830559518154</v>
      </c>
      <c r="CE183" s="114">
        <f t="shared" si="1489"/>
        <v>31.640830559518154</v>
      </c>
      <c r="CF183" s="67">
        <f>CF153/CF8*90</f>
        <v>36.21371982283587</v>
      </c>
      <c r="CG183" s="67">
        <f t="shared" ref="CG183:CI183" si="1512">+CF183</f>
        <v>36.21371982283587</v>
      </c>
      <c r="CH183" s="67">
        <f>CH153/CH8*90</f>
        <v>27.359112440932122</v>
      </c>
      <c r="CI183" s="67">
        <f t="shared" si="1512"/>
        <v>27.359112440932122</v>
      </c>
      <c r="CJ183" s="67">
        <f>CJ153/CJ8*90</f>
        <v>35.469457595718403</v>
      </c>
      <c r="CK183" s="30">
        <f t="shared" ref="CK183" si="1513">+CJ183</f>
        <v>35.469457595718403</v>
      </c>
      <c r="CL183" s="30">
        <f t="shared" ref="CL183" si="1514">+CK183</f>
        <v>35.469457595718403</v>
      </c>
      <c r="CM183" s="30">
        <f t="shared" ref="CM183" si="1515">+CL183</f>
        <v>35.469457595718403</v>
      </c>
      <c r="CN183" s="30">
        <f t="shared" ref="CN183" si="1516">+CM183</f>
        <v>35.469457595718403</v>
      </c>
      <c r="CO183" s="30">
        <f t="shared" ref="CO183" si="1517">+CN183</f>
        <v>35.469457595718403</v>
      </c>
      <c r="CP183" s="30">
        <f t="shared" ref="CP183" si="1518">+CO183</f>
        <v>35.469457595718403</v>
      </c>
      <c r="CQ183" s="30">
        <f t="shared" ref="CQ183" si="1519">+CP183</f>
        <v>35.469457595718403</v>
      </c>
      <c r="CR183" s="30">
        <f t="shared" ref="CR183" si="1520">+CQ183</f>
        <v>35.469457595718403</v>
      </c>
      <c r="CS183" s="30">
        <f t="shared" ref="CS183" si="1521">+CR183</f>
        <v>35.469457595718403</v>
      </c>
      <c r="CT183" s="30">
        <f t="shared" ref="CT183" si="1522">+CS183</f>
        <v>35.469457595718403</v>
      </c>
      <c r="CU183" s="30">
        <f t="shared" ref="CU183" si="1523">+CT183</f>
        <v>35.469457595718403</v>
      </c>
      <c r="CV183" s="30">
        <f t="shared" ref="CV183" si="1524">+CU183</f>
        <v>35.469457595718403</v>
      </c>
      <c r="CW183" s="30">
        <f t="shared" ref="CW183" si="1525">+CV183</f>
        <v>35.469457595718403</v>
      </c>
      <c r="CX183" s="30">
        <f t="shared" ref="CX183" si="1526">+CW183</f>
        <v>35.469457595718403</v>
      </c>
      <c r="CY183" s="30">
        <f t="shared" ref="CY183" si="1527">+CX183</f>
        <v>35.469457595718403</v>
      </c>
      <c r="CZ183" s="30">
        <f t="shared" ref="CZ183" si="1528">+CY183</f>
        <v>35.469457595718403</v>
      </c>
      <c r="DA183" s="30">
        <f t="shared" ref="DA183" si="1529">+CZ183</f>
        <v>35.469457595718403</v>
      </c>
      <c r="DB183" s="30">
        <f t="shared" ref="DB183" si="1530">+DA183</f>
        <v>35.469457595718403</v>
      </c>
      <c r="DE183" s="139"/>
      <c r="DF183" s="62">
        <v>35.529581082552376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31">C185-C183</f>
        <v>#DIV/0!</v>
      </c>
      <c r="D184" s="67" t="e">
        <f t="shared" si="1531"/>
        <v>#DIV/0!</v>
      </c>
      <c r="E184" s="67" t="e">
        <f t="shared" si="1531"/>
        <v>#DIV/0!</v>
      </c>
      <c r="F184" s="67" t="e">
        <f t="shared" si="1531"/>
        <v>#DIV/0!</v>
      </c>
      <c r="G184" s="67" t="e">
        <f t="shared" si="1531"/>
        <v>#DIV/0!</v>
      </c>
      <c r="H184" s="67" t="e">
        <f t="shared" si="1531"/>
        <v>#DIV/0!</v>
      </c>
      <c r="I184" s="67" t="e">
        <f t="shared" si="1531"/>
        <v>#DIV/0!</v>
      </c>
      <c r="J184" s="67" t="e">
        <f t="shared" si="1531"/>
        <v>#DIV/0!</v>
      </c>
      <c r="K184" s="67" t="e">
        <f t="shared" si="1531"/>
        <v>#DIV/0!</v>
      </c>
      <c r="L184" s="67" t="e">
        <f t="shared" si="1531"/>
        <v>#DIV/0!</v>
      </c>
      <c r="M184" s="67" t="e">
        <f t="shared" si="1531"/>
        <v>#DIV/0!</v>
      </c>
      <c r="N184" s="67" t="e">
        <f t="shared" si="1531"/>
        <v>#DIV/0!</v>
      </c>
      <c r="O184" s="67" t="e">
        <f t="shared" si="1531"/>
        <v>#DIV/0!</v>
      </c>
      <c r="P184" s="67">
        <f t="shared" si="1531"/>
        <v>263.44734617835519</v>
      </c>
      <c r="Q184" s="67">
        <f t="shared" si="1531"/>
        <v>190.22702396862991</v>
      </c>
      <c r="R184" s="67">
        <f t="shared" si="1531"/>
        <v>225.8235379306573</v>
      </c>
      <c r="S184" s="67">
        <f t="shared" si="1531"/>
        <v>144.91491169274087</v>
      </c>
      <c r="T184" s="67">
        <f t="shared" si="1531"/>
        <v>231.58504065385694</v>
      </c>
      <c r="U184" s="67">
        <f t="shared" si="1531"/>
        <v>239.00457109032016</v>
      </c>
      <c r="V184" s="67">
        <f t="shared" si="1531"/>
        <v>192.08538262440567</v>
      </c>
      <c r="W184" s="67">
        <f t="shared" ref="W184" si="1532">W185-W183</f>
        <v>97.604590295205284</v>
      </c>
      <c r="X184" s="67">
        <f t="shared" ref="X184:Y184" si="1533">X185-X183</f>
        <v>28.546304509738253</v>
      </c>
      <c r="Y184" s="67">
        <f t="shared" si="1533"/>
        <v>53.661817494236303</v>
      </c>
      <c r="Z184" s="67">
        <f t="shared" ref="Z184:AA184" si="1534">Z185-Z183</f>
        <v>99.963015525477502</v>
      </c>
      <c r="AA184" s="67">
        <f t="shared" si="1534"/>
        <v>112.80391890963116</v>
      </c>
      <c r="AB184" s="18">
        <f t="shared" ref="AB184:AD184" si="1535">AB185-AB183</f>
        <v>59.99158092622627</v>
      </c>
      <c r="AC184" s="18">
        <f t="shared" si="1535"/>
        <v>60.081714431301755</v>
      </c>
      <c r="AD184" s="18">
        <f t="shared" si="1535"/>
        <v>60.099431081184882</v>
      </c>
      <c r="AE184" s="18">
        <f t="shared" ref="AE184" si="1536">AE185-AE183</f>
        <v>60.102156756370945</v>
      </c>
      <c r="AI184" s="67" t="e">
        <f t="shared" ref="AI184:AK184" si="1537">AI185-AI183</f>
        <v>#DIV/0!</v>
      </c>
      <c r="AJ184" s="67" t="e">
        <f t="shared" ref="AJ184:AM184" si="1538">AJ185-AJ183</f>
        <v>#DIV/0!</v>
      </c>
      <c r="AK184" s="67" t="e">
        <f t="shared" si="1537"/>
        <v>#DIV/0!</v>
      </c>
      <c r="AL184" s="67" t="e">
        <f t="shared" si="1538"/>
        <v>#DIV/0!</v>
      </c>
      <c r="AM184" s="67" t="e">
        <f t="shared" si="1538"/>
        <v>#DIV/0!</v>
      </c>
      <c r="AN184" s="67" t="e">
        <f t="shared" ref="AN184:AY184" si="1539">AN185-AN183</f>
        <v>#DIV/0!</v>
      </c>
      <c r="AO184" s="67" t="e">
        <f t="shared" si="1539"/>
        <v>#DIV/0!</v>
      </c>
      <c r="AP184" s="67" t="e">
        <f t="shared" si="1539"/>
        <v>#DIV/0!</v>
      </c>
      <c r="AQ184" s="67" t="e">
        <f t="shared" si="1539"/>
        <v>#DIV/0!</v>
      </c>
      <c r="AR184" s="67" t="e">
        <f t="shared" si="1539"/>
        <v>#DIV/0!</v>
      </c>
      <c r="AS184" s="67" t="e">
        <f t="shared" si="1539"/>
        <v>#DIV/0!</v>
      </c>
      <c r="AT184" s="67" t="e">
        <f t="shared" si="1539"/>
        <v>#DIV/0!</v>
      </c>
      <c r="AU184" s="67" t="e">
        <f t="shared" si="1539"/>
        <v>#DIV/0!</v>
      </c>
      <c r="AV184" s="67" t="e">
        <f t="shared" si="1539"/>
        <v>#DIV/0!</v>
      </c>
      <c r="AW184" s="67" t="e">
        <f t="shared" si="1539"/>
        <v>#DIV/0!</v>
      </c>
      <c r="AX184" s="67" t="e">
        <f t="shared" si="1539"/>
        <v>#DIV/0!</v>
      </c>
      <c r="AY184" s="67" t="e">
        <f t="shared" si="1539"/>
        <v>#DIV/0!</v>
      </c>
      <c r="AZ184" s="67" t="e">
        <f t="shared" ref="AZ184:BC184" si="1540">AZ185-AZ183</f>
        <v>#DIV/0!</v>
      </c>
      <c r="BA184" s="67" t="e">
        <f t="shared" si="1540"/>
        <v>#DIV/0!</v>
      </c>
      <c r="BB184" s="67" t="e">
        <f t="shared" si="1540"/>
        <v>#DIV/0!</v>
      </c>
      <c r="BC184" s="67" t="e">
        <f t="shared" si="1540"/>
        <v>#DIV/0!</v>
      </c>
      <c r="BD184" s="67" t="e">
        <f t="shared" ref="BD184:CE184" si="1541">BD185-BD183</f>
        <v>#DIV/0!</v>
      </c>
      <c r="BE184" s="67" t="e">
        <f t="shared" si="1541"/>
        <v>#DIV/0!</v>
      </c>
      <c r="BF184" s="67" t="e">
        <f t="shared" si="1541"/>
        <v>#DIV/0!</v>
      </c>
      <c r="BG184" s="67" t="e">
        <f t="shared" si="1541"/>
        <v>#DIV/0!</v>
      </c>
      <c r="BH184" s="67" t="e">
        <f t="shared" si="1541"/>
        <v>#DIV/0!</v>
      </c>
      <c r="BI184" s="67" t="e">
        <f t="shared" si="1541"/>
        <v>#DIV/0!</v>
      </c>
      <c r="BJ184" s="67" t="e">
        <f t="shared" si="1541"/>
        <v>#DIV/0!</v>
      </c>
      <c r="BK184" s="67" t="e">
        <f t="shared" si="1541"/>
        <v>#DIV/0!</v>
      </c>
      <c r="BL184" s="67" t="e">
        <f t="shared" si="1541"/>
        <v>#DIV/0!</v>
      </c>
      <c r="BM184" s="67" t="e">
        <f t="shared" si="1541"/>
        <v>#DIV/0!</v>
      </c>
      <c r="BN184" s="67" t="e">
        <f t="shared" si="1541"/>
        <v>#DIV/0!</v>
      </c>
      <c r="BO184" s="67" t="e">
        <f t="shared" si="1541"/>
        <v>#DIV/0!</v>
      </c>
      <c r="BP184" s="67" t="e">
        <f t="shared" si="1541"/>
        <v>#DIV/0!</v>
      </c>
      <c r="BQ184" s="67" t="e">
        <f t="shared" si="1541"/>
        <v>#DIV/0!</v>
      </c>
      <c r="BR184" s="67" t="e">
        <f t="shared" si="1541"/>
        <v>#DIV/0!</v>
      </c>
      <c r="BS184" s="67" t="e">
        <f t="shared" si="1541"/>
        <v>#DIV/0!</v>
      </c>
      <c r="BT184" s="67">
        <f t="shared" si="1541"/>
        <v>0</v>
      </c>
      <c r="BU184" s="67">
        <f t="shared" si="1541"/>
        <v>0</v>
      </c>
      <c r="BV184" s="67">
        <f t="shared" si="1541"/>
        <v>73.016516282789695</v>
      </c>
      <c r="BW184" s="67">
        <f t="shared" si="1541"/>
        <v>67.968691446359259</v>
      </c>
      <c r="BX184" s="67">
        <f t="shared" si="1541"/>
        <v>52.199969335082379</v>
      </c>
      <c r="BY184" s="67">
        <f t="shared" si="1541"/>
        <v>41.982637433102319</v>
      </c>
      <c r="BZ184" s="67">
        <f t="shared" si="1541"/>
        <v>21.633187316116377</v>
      </c>
      <c r="CA184" s="67">
        <f t="shared" si="1541"/>
        <v>24.109981521099179</v>
      </c>
      <c r="CB184" s="67">
        <f t="shared" si="1541"/>
        <v>20.820546365310804</v>
      </c>
      <c r="CC184" s="67">
        <f t="shared" si="1541"/>
        <v>14.65646856960057</v>
      </c>
      <c r="CD184" s="67">
        <f t="shared" si="1541"/>
        <v>22.561103185924875</v>
      </c>
      <c r="CE184" s="114">
        <f t="shared" si="1541"/>
        <v>30.114954958343514</v>
      </c>
      <c r="CF184" s="67">
        <f t="shared" ref="CF184:CG184" si="1542">CF185-CF183</f>
        <v>20.658584766380407</v>
      </c>
      <c r="CG184" s="67">
        <f t="shared" si="1542"/>
        <v>20.501787085111474</v>
      </c>
      <c r="CH184" s="67">
        <f t="shared" ref="CH184" si="1543">CH185-CH183</f>
        <v>74.251009181745303</v>
      </c>
      <c r="CI184" s="67">
        <f>CH184</f>
        <v>74.251009181745303</v>
      </c>
      <c r="CJ184" s="67">
        <f t="shared" ref="CJ184" si="1544">CJ185-CJ183</f>
        <v>43.509417455743112</v>
      </c>
      <c r="CK184" s="30">
        <f t="shared" ref="CK184:DB184" si="1545">CJ184</f>
        <v>43.509417455743112</v>
      </c>
      <c r="CL184" s="30">
        <f t="shared" si="1545"/>
        <v>43.509417455743112</v>
      </c>
      <c r="CM184" s="30">
        <f t="shared" si="1545"/>
        <v>43.509417455743112</v>
      </c>
      <c r="CN184" s="30">
        <f t="shared" si="1545"/>
        <v>43.509417455743112</v>
      </c>
      <c r="CO184" s="30">
        <f t="shared" si="1545"/>
        <v>43.509417455743112</v>
      </c>
      <c r="CP184" s="30">
        <f t="shared" si="1545"/>
        <v>43.509417455743112</v>
      </c>
      <c r="CQ184" s="30">
        <f t="shared" si="1545"/>
        <v>43.509417455743112</v>
      </c>
      <c r="CR184" s="30">
        <f t="shared" si="1545"/>
        <v>43.509417455743112</v>
      </c>
      <c r="CS184" s="30">
        <f t="shared" si="1545"/>
        <v>43.509417455743112</v>
      </c>
      <c r="CT184" s="30">
        <f t="shared" si="1545"/>
        <v>43.509417455743112</v>
      </c>
      <c r="CU184" s="30">
        <f t="shared" si="1545"/>
        <v>43.509417455743112</v>
      </c>
      <c r="CV184" s="30">
        <f t="shared" si="1545"/>
        <v>43.509417455743112</v>
      </c>
      <c r="CW184" s="30">
        <f t="shared" si="1545"/>
        <v>43.509417455743112</v>
      </c>
      <c r="CX184" s="30">
        <f t="shared" si="1545"/>
        <v>43.509417455743112</v>
      </c>
      <c r="CY184" s="30">
        <f t="shared" si="1545"/>
        <v>43.509417455743112</v>
      </c>
      <c r="CZ184" s="30">
        <f t="shared" si="1545"/>
        <v>43.509417455743112</v>
      </c>
      <c r="DA184" s="30">
        <f t="shared" si="1545"/>
        <v>43.509417455743112</v>
      </c>
      <c r="DB184" s="30">
        <f t="shared" si="1545"/>
        <v>43.509417455743112</v>
      </c>
      <c r="DE184" s="139"/>
      <c r="DF184" s="62">
        <v>112.80391890963116</v>
      </c>
    </row>
    <row r="185" spans="1:110" s="7" customFormat="1" outlineLevel="1" x14ac:dyDescent="0.2">
      <c r="A185" s="69" t="s">
        <v>469</v>
      </c>
      <c r="B185" s="70" t="e">
        <f t="shared" ref="B185:AE185" si="1546">B156/B8*365</f>
        <v>#DIV/0!</v>
      </c>
      <c r="C185" s="70" t="e">
        <f t="shared" si="1546"/>
        <v>#DIV/0!</v>
      </c>
      <c r="D185" s="70" t="e">
        <f t="shared" si="1546"/>
        <v>#DIV/0!</v>
      </c>
      <c r="E185" s="70" t="e">
        <f t="shared" si="1546"/>
        <v>#DIV/0!</v>
      </c>
      <c r="F185" s="70" t="e">
        <f t="shared" si="1546"/>
        <v>#DIV/0!</v>
      </c>
      <c r="G185" s="70" t="e">
        <f t="shared" si="1546"/>
        <v>#DIV/0!</v>
      </c>
      <c r="H185" s="70" t="e">
        <f t="shared" si="1546"/>
        <v>#DIV/0!</v>
      </c>
      <c r="I185" s="70" t="e">
        <f t="shared" si="1546"/>
        <v>#DIV/0!</v>
      </c>
      <c r="J185" s="70" t="e">
        <f t="shared" si="1546"/>
        <v>#DIV/0!</v>
      </c>
      <c r="K185" s="70" t="e">
        <f t="shared" si="1546"/>
        <v>#DIV/0!</v>
      </c>
      <c r="L185" s="70" t="e">
        <f t="shared" si="1546"/>
        <v>#DIV/0!</v>
      </c>
      <c r="M185" s="70" t="e">
        <f t="shared" si="1546"/>
        <v>#DIV/0!</v>
      </c>
      <c r="N185" s="70" t="e">
        <f t="shared" si="1546"/>
        <v>#DIV/0!</v>
      </c>
      <c r="O185" s="70" t="e">
        <f t="shared" si="1546"/>
        <v>#DIV/0!</v>
      </c>
      <c r="P185" s="70">
        <f t="shared" si="1546"/>
        <v>341.61975165504299</v>
      </c>
      <c r="Q185" s="70">
        <f t="shared" si="1546"/>
        <v>278.79262742862295</v>
      </c>
      <c r="R185" s="70">
        <f t="shared" si="1546"/>
        <v>364.5919081084329</v>
      </c>
      <c r="S185" s="70">
        <f t="shared" si="1546"/>
        <v>261.23041606198137</v>
      </c>
      <c r="T185" s="70">
        <f t="shared" si="1546"/>
        <v>299.51885567969219</v>
      </c>
      <c r="U185" s="70">
        <f t="shared" si="1546"/>
        <v>339.30110002137565</v>
      </c>
      <c r="V185" s="70">
        <f t="shared" si="1546"/>
        <v>247.1649011703183</v>
      </c>
      <c r="W185" s="70">
        <f t="shared" si="1546"/>
        <v>133.86226265928462</v>
      </c>
      <c r="X185" s="70">
        <f t="shared" si="1546"/>
        <v>52.748927720793347</v>
      </c>
      <c r="Y185" s="70">
        <f t="shared" si="1546"/>
        <v>81.05163261569993</v>
      </c>
      <c r="Z185" s="70">
        <f t="shared" si="1546"/>
        <v>136.79617660752999</v>
      </c>
      <c r="AA185" s="70">
        <f t="shared" ref="AA185" si="1547">AA156/AA8*365</f>
        <v>148.33349999218353</v>
      </c>
      <c r="AB185" s="71">
        <f t="shared" si="1546"/>
        <v>108.89751808172407</v>
      </c>
      <c r="AC185" s="71">
        <f t="shared" si="1546"/>
        <v>109.06112962266343</v>
      </c>
      <c r="AD185" s="71">
        <f t="shared" si="1546"/>
        <v>109.09328912189994</v>
      </c>
      <c r="AE185" s="71">
        <f t="shared" si="1546"/>
        <v>109.09823680386259</v>
      </c>
      <c r="AI185" s="70" t="e">
        <f t="shared" ref="AI185:CD185" si="1548">AI156/AI8*90</f>
        <v>#DIV/0!</v>
      </c>
      <c r="AJ185" s="70" t="e">
        <f t="shared" si="1548"/>
        <v>#DIV/0!</v>
      </c>
      <c r="AK185" s="70" t="e">
        <f>AK156/AK8*90</f>
        <v>#DIV/0!</v>
      </c>
      <c r="AL185" s="70" t="e">
        <f t="shared" si="1548"/>
        <v>#DIV/0!</v>
      </c>
      <c r="AM185" s="70" t="e">
        <f t="shared" si="1548"/>
        <v>#DIV/0!</v>
      </c>
      <c r="AN185" s="70" t="e">
        <f t="shared" si="1548"/>
        <v>#DIV/0!</v>
      </c>
      <c r="AO185" s="70" t="e">
        <f t="shared" si="1548"/>
        <v>#DIV/0!</v>
      </c>
      <c r="AP185" s="70" t="e">
        <f t="shared" si="1548"/>
        <v>#DIV/0!</v>
      </c>
      <c r="AQ185" s="70" t="e">
        <f t="shared" si="1548"/>
        <v>#DIV/0!</v>
      </c>
      <c r="AR185" s="70" t="e">
        <f t="shared" si="1548"/>
        <v>#DIV/0!</v>
      </c>
      <c r="AS185" s="70" t="e">
        <f t="shared" si="1548"/>
        <v>#DIV/0!</v>
      </c>
      <c r="AT185" s="70" t="e">
        <f t="shared" si="1548"/>
        <v>#DIV/0!</v>
      </c>
      <c r="AU185" s="70" t="e">
        <f t="shared" si="1548"/>
        <v>#DIV/0!</v>
      </c>
      <c r="AV185" s="70" t="e">
        <f t="shared" si="1548"/>
        <v>#DIV/0!</v>
      </c>
      <c r="AW185" s="70" t="e">
        <f t="shared" si="1548"/>
        <v>#DIV/0!</v>
      </c>
      <c r="AX185" s="70" t="e">
        <f t="shared" si="1548"/>
        <v>#DIV/0!</v>
      </c>
      <c r="AY185" s="70" t="e">
        <f t="shared" si="1548"/>
        <v>#DIV/0!</v>
      </c>
      <c r="AZ185" s="70" t="e">
        <f t="shared" si="1548"/>
        <v>#DIV/0!</v>
      </c>
      <c r="BA185" s="70" t="e">
        <f t="shared" si="1548"/>
        <v>#DIV/0!</v>
      </c>
      <c r="BB185" s="70" t="e">
        <f t="shared" si="1548"/>
        <v>#DIV/0!</v>
      </c>
      <c r="BC185" s="70" t="e">
        <f t="shared" si="1548"/>
        <v>#DIV/0!</v>
      </c>
      <c r="BD185" s="70" t="e">
        <f t="shared" si="1548"/>
        <v>#DIV/0!</v>
      </c>
      <c r="BE185" s="70" t="e">
        <f t="shared" si="1548"/>
        <v>#DIV/0!</v>
      </c>
      <c r="BF185" s="70" t="e">
        <f t="shared" si="1548"/>
        <v>#DIV/0!</v>
      </c>
      <c r="BG185" s="70" t="e">
        <f t="shared" si="1548"/>
        <v>#DIV/0!</v>
      </c>
      <c r="BH185" s="70" t="e">
        <f t="shared" si="1548"/>
        <v>#DIV/0!</v>
      </c>
      <c r="BI185" s="70" t="e">
        <f t="shared" si="1548"/>
        <v>#DIV/0!</v>
      </c>
      <c r="BJ185" s="70" t="e">
        <f t="shared" si="1548"/>
        <v>#DIV/0!</v>
      </c>
      <c r="BK185" s="70" t="e">
        <f t="shared" si="1548"/>
        <v>#DIV/0!</v>
      </c>
      <c r="BL185" s="70" t="e">
        <f t="shared" si="1548"/>
        <v>#DIV/0!</v>
      </c>
      <c r="BM185" s="70" t="e">
        <f t="shared" si="1548"/>
        <v>#DIV/0!</v>
      </c>
      <c r="BN185" s="70" t="e">
        <f t="shared" si="1548"/>
        <v>#DIV/0!</v>
      </c>
      <c r="BO185" s="70" t="e">
        <f t="shared" si="1548"/>
        <v>#DIV/0!</v>
      </c>
      <c r="BP185" s="70" t="e">
        <f t="shared" si="1548"/>
        <v>#DIV/0!</v>
      </c>
      <c r="BQ185" s="70" t="e">
        <f t="shared" si="1548"/>
        <v>#DIV/0!</v>
      </c>
      <c r="BR185" s="70" t="e">
        <f t="shared" si="1548"/>
        <v>#DIV/0!</v>
      </c>
      <c r="BS185" s="70" t="e">
        <f t="shared" si="1548"/>
        <v>#DIV/0!</v>
      </c>
      <c r="BT185" s="70">
        <f t="shared" si="1548"/>
        <v>0</v>
      </c>
      <c r="BU185" s="70">
        <f t="shared" si="1548"/>
        <v>0</v>
      </c>
      <c r="BV185" s="70">
        <f t="shared" si="1548"/>
        <v>100.14028373438684</v>
      </c>
      <c r="BW185" s="70">
        <f t="shared" si="1548"/>
        <v>95.092458897956405</v>
      </c>
      <c r="BX185" s="70">
        <f t="shared" si="1548"/>
        <v>79.755770967137437</v>
      </c>
      <c r="BY185" s="70">
        <f t="shared" si="1548"/>
        <v>69.538439065157377</v>
      </c>
      <c r="BZ185" s="70">
        <f t="shared" si="1548"/>
        <v>44.124066688460282</v>
      </c>
      <c r="CA185" s="70">
        <f t="shared" si="1548"/>
        <v>46.600860893443084</v>
      </c>
      <c r="CB185" s="70">
        <f t="shared" si="1548"/>
        <v>51.93703200041314</v>
      </c>
      <c r="CC185" s="70">
        <f t="shared" si="1548"/>
        <v>45.772954204702906</v>
      </c>
      <c r="CD185" s="70">
        <f t="shared" si="1548"/>
        <v>54.201933745443029</v>
      </c>
      <c r="CE185" s="115">
        <f>CE156/CE10*90</f>
        <v>61.755785517861668</v>
      </c>
      <c r="CF185" s="70">
        <f>CF156/CF8*90</f>
        <v>56.872304589216277</v>
      </c>
      <c r="CG185" s="70">
        <f>CG156/CG10*90</f>
        <v>56.715506907947344</v>
      </c>
      <c r="CH185" s="70">
        <f>CH156/CH8*90</f>
        <v>101.61012162267743</v>
      </c>
      <c r="CI185" s="70">
        <f>CI183+CI184</f>
        <v>101.61012162267743</v>
      </c>
      <c r="CJ185" s="70">
        <f>CJ156/CJ8*90</f>
        <v>78.978875051461515</v>
      </c>
      <c r="CK185" s="50">
        <f t="shared" ref="CK185:DB185" si="1549">CK183+CK184</f>
        <v>78.978875051461515</v>
      </c>
      <c r="CL185" s="50">
        <f t="shared" si="1549"/>
        <v>78.978875051461515</v>
      </c>
      <c r="CM185" s="50">
        <f t="shared" si="1549"/>
        <v>78.978875051461515</v>
      </c>
      <c r="CN185" s="50">
        <f t="shared" si="1549"/>
        <v>78.978875051461515</v>
      </c>
      <c r="CO185" s="50">
        <f t="shared" si="1549"/>
        <v>78.978875051461515</v>
      </c>
      <c r="CP185" s="50">
        <f t="shared" si="1549"/>
        <v>78.978875051461515</v>
      </c>
      <c r="CQ185" s="50">
        <f t="shared" si="1549"/>
        <v>78.978875051461515</v>
      </c>
      <c r="CR185" s="50">
        <f t="shared" si="1549"/>
        <v>78.978875051461515</v>
      </c>
      <c r="CS185" s="50">
        <f t="shared" si="1549"/>
        <v>78.978875051461515</v>
      </c>
      <c r="CT185" s="50">
        <f t="shared" si="1549"/>
        <v>78.978875051461515</v>
      </c>
      <c r="CU185" s="50">
        <f t="shared" si="1549"/>
        <v>78.978875051461515</v>
      </c>
      <c r="CV185" s="50">
        <f t="shared" si="1549"/>
        <v>78.978875051461515</v>
      </c>
      <c r="CW185" s="50">
        <f t="shared" si="1549"/>
        <v>78.978875051461515</v>
      </c>
      <c r="CX185" s="50">
        <f t="shared" si="1549"/>
        <v>78.978875051461515</v>
      </c>
      <c r="CY185" s="50">
        <f t="shared" si="1549"/>
        <v>78.978875051461515</v>
      </c>
      <c r="CZ185" s="50">
        <f t="shared" si="1549"/>
        <v>78.978875051461515</v>
      </c>
      <c r="DA185" s="50">
        <f t="shared" si="1549"/>
        <v>78.978875051461515</v>
      </c>
      <c r="DB185" s="50">
        <f t="shared" si="1549"/>
        <v>78.978875051461515</v>
      </c>
      <c r="DE185" s="138"/>
      <c r="DF185" s="7">
        <v>148.33349999218353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50">C182-C185</f>
        <v>#DIV/0!</v>
      </c>
      <c r="D186" s="70" t="e">
        <f t="shared" si="1550"/>
        <v>#DIV/0!</v>
      </c>
      <c r="E186" s="70" t="e">
        <f t="shared" si="1550"/>
        <v>#DIV/0!</v>
      </c>
      <c r="F186" s="70" t="e">
        <f t="shared" si="1550"/>
        <v>#DIV/0!</v>
      </c>
      <c r="G186" s="70" t="e">
        <f t="shared" si="1550"/>
        <v>#DIV/0!</v>
      </c>
      <c r="H186" s="70" t="e">
        <f t="shared" si="1550"/>
        <v>#DIV/0!</v>
      </c>
      <c r="I186" s="70" t="e">
        <f t="shared" si="1550"/>
        <v>#DIV/0!</v>
      </c>
      <c r="J186" s="70" t="e">
        <f t="shared" si="1550"/>
        <v>#DIV/0!</v>
      </c>
      <c r="K186" s="70" t="e">
        <f t="shared" si="1550"/>
        <v>#DIV/0!</v>
      </c>
      <c r="L186" s="70" t="e">
        <f t="shared" si="1550"/>
        <v>#DIV/0!</v>
      </c>
      <c r="M186" s="70" t="e">
        <f t="shared" si="1550"/>
        <v>#DIV/0!</v>
      </c>
      <c r="N186" s="70" t="e">
        <f t="shared" si="1550"/>
        <v>#DIV/0!</v>
      </c>
      <c r="O186" s="70" t="e">
        <f t="shared" si="1550"/>
        <v>#DIV/0!</v>
      </c>
      <c r="P186" s="70">
        <f t="shared" si="1550"/>
        <v>-2.6964412149962413</v>
      </c>
      <c r="Q186" s="70">
        <f t="shared" si="1550"/>
        <v>-80.128981062394359</v>
      </c>
      <c r="R186" s="70">
        <f t="shared" si="1550"/>
        <v>-140.30241125567719</v>
      </c>
      <c r="S186" s="70">
        <f t="shared" si="1550"/>
        <v>-74.879586978139884</v>
      </c>
      <c r="T186" s="70">
        <f t="shared" si="1550"/>
        <v>-185.27861773349889</v>
      </c>
      <c r="U186" s="70">
        <f t="shared" si="1550"/>
        <v>-215.71591824654294</v>
      </c>
      <c r="V186" s="70">
        <f t="shared" si="1550"/>
        <v>-125.7372763509257</v>
      </c>
      <c r="W186" s="70">
        <f t="shared" ref="W186" si="1551">W182-W185</f>
        <v>-18.276168130009182</v>
      </c>
      <c r="X186" s="70">
        <f t="shared" ref="X186:Y186" si="1552">X182-X185</f>
        <v>45.248432080725792</v>
      </c>
      <c r="Y186" s="70">
        <f t="shared" si="1552"/>
        <v>76.97677787848113</v>
      </c>
      <c r="Z186" s="70">
        <f t="shared" ref="Z186:AA186" si="1553">Z182-Z185</f>
        <v>112.90900281349627</v>
      </c>
      <c r="AA186" s="70">
        <f t="shared" si="1553"/>
        <v>191.75684035910615</v>
      </c>
      <c r="AB186" s="71">
        <f t="shared" ref="AB186:AD186" si="1554">AB182-AB185</f>
        <v>225.42902204463957</v>
      </c>
      <c r="AC186" s="71">
        <f t="shared" si="1554"/>
        <v>225.76771470099106</v>
      </c>
      <c r="AD186" s="71">
        <f t="shared" si="1554"/>
        <v>225.83428816005636</v>
      </c>
      <c r="AE186" s="71">
        <f t="shared" ref="AE186" si="1555">AE182-AE185</f>
        <v>225.84453036874831</v>
      </c>
      <c r="AI186" s="70" t="e">
        <f t="shared" ref="AI186:AK186" si="1556">AI182-AI185</f>
        <v>#DIV/0!</v>
      </c>
      <c r="AJ186" s="70" t="e">
        <f t="shared" ref="AJ186:AM186" si="1557">AJ182-AJ185</f>
        <v>#DIV/0!</v>
      </c>
      <c r="AK186" s="70" t="e">
        <f t="shared" si="1556"/>
        <v>#DIV/0!</v>
      </c>
      <c r="AL186" s="70" t="e">
        <f t="shared" si="1557"/>
        <v>#DIV/0!</v>
      </c>
      <c r="AM186" s="70" t="e">
        <f t="shared" si="1557"/>
        <v>#DIV/0!</v>
      </c>
      <c r="AN186" s="70" t="e">
        <f t="shared" ref="AN186:AY186" si="1558">AN182-AN185</f>
        <v>#DIV/0!</v>
      </c>
      <c r="AO186" s="70" t="e">
        <f t="shared" si="1558"/>
        <v>#DIV/0!</v>
      </c>
      <c r="AP186" s="70" t="e">
        <f t="shared" si="1558"/>
        <v>#DIV/0!</v>
      </c>
      <c r="AQ186" s="70" t="e">
        <f t="shared" si="1558"/>
        <v>#DIV/0!</v>
      </c>
      <c r="AR186" s="70" t="e">
        <f t="shared" si="1558"/>
        <v>#DIV/0!</v>
      </c>
      <c r="AS186" s="70" t="e">
        <f t="shared" si="1558"/>
        <v>#DIV/0!</v>
      </c>
      <c r="AT186" s="70" t="e">
        <f t="shared" si="1558"/>
        <v>#DIV/0!</v>
      </c>
      <c r="AU186" s="70" t="e">
        <f t="shared" si="1558"/>
        <v>#DIV/0!</v>
      </c>
      <c r="AV186" s="70" t="e">
        <f t="shared" si="1558"/>
        <v>#DIV/0!</v>
      </c>
      <c r="AW186" s="70" t="e">
        <f t="shared" si="1558"/>
        <v>#DIV/0!</v>
      </c>
      <c r="AX186" s="70" t="e">
        <f t="shared" si="1558"/>
        <v>#DIV/0!</v>
      </c>
      <c r="AY186" s="70" t="e">
        <f t="shared" si="1558"/>
        <v>#DIV/0!</v>
      </c>
      <c r="AZ186" s="70" t="e">
        <f t="shared" ref="AZ186:BC186" si="1559">AZ182-AZ185</f>
        <v>#DIV/0!</v>
      </c>
      <c r="BA186" s="70" t="e">
        <f t="shared" si="1559"/>
        <v>#DIV/0!</v>
      </c>
      <c r="BB186" s="70" t="e">
        <f t="shared" si="1559"/>
        <v>#DIV/0!</v>
      </c>
      <c r="BC186" s="70" t="e">
        <f t="shared" si="1559"/>
        <v>#DIV/0!</v>
      </c>
      <c r="BD186" s="70" t="e">
        <f t="shared" ref="BD186:CE186" si="1560">BD182-BD185</f>
        <v>#DIV/0!</v>
      </c>
      <c r="BE186" s="70" t="e">
        <f t="shared" si="1560"/>
        <v>#DIV/0!</v>
      </c>
      <c r="BF186" s="70" t="e">
        <f t="shared" si="1560"/>
        <v>#DIV/0!</v>
      </c>
      <c r="BG186" s="70" t="e">
        <f t="shared" si="1560"/>
        <v>#DIV/0!</v>
      </c>
      <c r="BH186" s="70" t="e">
        <f t="shared" si="1560"/>
        <v>#DIV/0!</v>
      </c>
      <c r="BI186" s="70" t="e">
        <f t="shared" si="1560"/>
        <v>#DIV/0!</v>
      </c>
      <c r="BJ186" s="70" t="e">
        <f t="shared" si="1560"/>
        <v>#DIV/0!</v>
      </c>
      <c r="BK186" s="70" t="e">
        <f t="shared" si="1560"/>
        <v>#DIV/0!</v>
      </c>
      <c r="BL186" s="70" t="e">
        <f t="shared" si="1560"/>
        <v>#DIV/0!</v>
      </c>
      <c r="BM186" s="70" t="e">
        <f t="shared" si="1560"/>
        <v>#DIV/0!</v>
      </c>
      <c r="BN186" s="70" t="e">
        <f t="shared" si="1560"/>
        <v>#DIV/0!</v>
      </c>
      <c r="BO186" s="70" t="e">
        <f t="shared" si="1560"/>
        <v>#DIV/0!</v>
      </c>
      <c r="BP186" s="70" t="e">
        <f t="shared" si="1560"/>
        <v>#DIV/0!</v>
      </c>
      <c r="BQ186" s="70" t="e">
        <f t="shared" si="1560"/>
        <v>#DIV/0!</v>
      </c>
      <c r="BR186" s="70" t="e">
        <f t="shared" si="1560"/>
        <v>#DIV/0!</v>
      </c>
      <c r="BS186" s="70" t="e">
        <f t="shared" si="1560"/>
        <v>#DIV/0!</v>
      </c>
      <c r="BT186" s="70">
        <f t="shared" si="1560"/>
        <v>0</v>
      </c>
      <c r="BU186" s="70">
        <f t="shared" si="1560"/>
        <v>0</v>
      </c>
      <c r="BV186" s="70">
        <f t="shared" si="1560"/>
        <v>-3.8760661510136885</v>
      </c>
      <c r="BW186" s="70">
        <f t="shared" si="1560"/>
        <v>-0.91182790954320581</v>
      </c>
      <c r="BX186" s="70">
        <f t="shared" si="1560"/>
        <v>24.00971055724969</v>
      </c>
      <c r="BY186" s="70">
        <f t="shared" si="1560"/>
        <v>26.201646875979449</v>
      </c>
      <c r="BZ186" s="70">
        <f t="shared" si="1560"/>
        <v>52.645675057208244</v>
      </c>
      <c r="CA186" s="70">
        <f t="shared" si="1560"/>
        <v>53.554326076104942</v>
      </c>
      <c r="CB186" s="70">
        <f t="shared" si="1560"/>
        <v>66.968688137985652</v>
      </c>
      <c r="CC186" s="70">
        <f t="shared" si="1560"/>
        <v>61.926502589455829</v>
      </c>
      <c r="CD186" s="70">
        <f t="shared" si="1560"/>
        <v>102.10524647329214</v>
      </c>
      <c r="CE186" s="115">
        <f t="shared" si="1560"/>
        <v>116.77692839240622</v>
      </c>
      <c r="CF186" s="70">
        <f t="shared" ref="CF186:CG186" si="1561">CF182-CF185</f>
        <v>96.251024100143468</v>
      </c>
      <c r="CG186" s="70">
        <f t="shared" si="1561"/>
        <v>95.904798774800696</v>
      </c>
      <c r="CH186" s="70">
        <f t="shared" ref="CH186:CI186" si="1562">CH182-CH185</f>
        <v>83.867091849283938</v>
      </c>
      <c r="CI186" s="70">
        <f t="shared" si="1562"/>
        <v>83.867091849283938</v>
      </c>
      <c r="CJ186" s="70">
        <f t="shared" ref="CJ186:DB186" si="1563">CJ182-CJ185</f>
        <v>163.49436496500613</v>
      </c>
      <c r="CK186" s="50">
        <f t="shared" si="1563"/>
        <v>163.49436496500618</v>
      </c>
      <c r="CL186" s="50">
        <f t="shared" si="1563"/>
        <v>163.49436496500618</v>
      </c>
      <c r="CM186" s="50">
        <f t="shared" si="1563"/>
        <v>163.49436496500618</v>
      </c>
      <c r="CN186" s="50">
        <f t="shared" si="1563"/>
        <v>163.49436496500618</v>
      </c>
      <c r="CO186" s="50">
        <f t="shared" si="1563"/>
        <v>163.49436496500618</v>
      </c>
      <c r="CP186" s="50">
        <f t="shared" si="1563"/>
        <v>163.49436496500618</v>
      </c>
      <c r="CQ186" s="50">
        <f t="shared" si="1563"/>
        <v>163.49436496500618</v>
      </c>
      <c r="CR186" s="50">
        <f t="shared" si="1563"/>
        <v>163.49436496500618</v>
      </c>
      <c r="CS186" s="50">
        <f t="shared" si="1563"/>
        <v>163.49436496500618</v>
      </c>
      <c r="CT186" s="50">
        <f t="shared" si="1563"/>
        <v>163.49436496500618</v>
      </c>
      <c r="CU186" s="50">
        <f t="shared" si="1563"/>
        <v>163.49436496500618</v>
      </c>
      <c r="CV186" s="50">
        <f t="shared" si="1563"/>
        <v>163.49436496500618</v>
      </c>
      <c r="CW186" s="50">
        <f t="shared" si="1563"/>
        <v>163.49436496500618</v>
      </c>
      <c r="CX186" s="50">
        <f t="shared" si="1563"/>
        <v>163.49436496500618</v>
      </c>
      <c r="CY186" s="50">
        <f t="shared" si="1563"/>
        <v>163.49436496500618</v>
      </c>
      <c r="CZ186" s="50">
        <f t="shared" si="1563"/>
        <v>163.49436496500618</v>
      </c>
      <c r="DA186" s="50">
        <f t="shared" si="1563"/>
        <v>163.49436496500618</v>
      </c>
      <c r="DB186" s="50">
        <f t="shared" si="1563"/>
        <v>163.49436496500618</v>
      </c>
      <c r="DE186" s="138"/>
      <c r="DF186" s="7">
        <v>191.75684035910615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64">C10/B10-1</f>
        <v>#DIV/0!</v>
      </c>
      <c r="D188" s="86" t="e">
        <f t="shared" si="1564"/>
        <v>#DIV/0!</v>
      </c>
      <c r="E188" s="86" t="e">
        <f t="shared" si="1564"/>
        <v>#DIV/0!</v>
      </c>
      <c r="F188" s="86" t="e">
        <f t="shared" si="1564"/>
        <v>#DIV/0!</v>
      </c>
      <c r="G188" s="86" t="e">
        <f t="shared" si="1564"/>
        <v>#DIV/0!</v>
      </c>
      <c r="H188" s="86" t="e">
        <f t="shared" si="1564"/>
        <v>#DIV/0!</v>
      </c>
      <c r="I188" s="86" t="e">
        <f t="shared" si="1564"/>
        <v>#DIV/0!</v>
      </c>
      <c r="J188" s="86" t="e">
        <f t="shared" si="1564"/>
        <v>#DIV/0!</v>
      </c>
      <c r="K188" s="86" t="e">
        <f t="shared" si="1564"/>
        <v>#DIV/0!</v>
      </c>
      <c r="L188" s="86" t="e">
        <f t="shared" si="1564"/>
        <v>#DIV/0!</v>
      </c>
      <c r="M188" s="86" t="e">
        <f t="shared" si="1564"/>
        <v>#DIV/0!</v>
      </c>
      <c r="N188" s="86" t="e">
        <f t="shared" si="1564"/>
        <v>#DIV/0!</v>
      </c>
      <c r="O188" s="86" t="e">
        <f t="shared" si="1564"/>
        <v>#DIV/0!</v>
      </c>
      <c r="P188" s="86" t="e">
        <f t="shared" si="1564"/>
        <v>#DIV/0!</v>
      </c>
      <c r="Q188" s="86">
        <f t="shared" si="1564"/>
        <v>0.51327681381353907</v>
      </c>
      <c r="R188" s="86">
        <f t="shared" si="1564"/>
        <v>-0.15531188001931095</v>
      </c>
      <c r="S188" s="86">
        <f t="shared" si="1564"/>
        <v>0.52558929266107568</v>
      </c>
      <c r="T188" s="86">
        <f t="shared" si="1564"/>
        <v>0.28866994265650514</v>
      </c>
      <c r="U188" s="86">
        <f t="shared" si="1564"/>
        <v>7.5443938702683955E-2</v>
      </c>
      <c r="V188" s="86">
        <f t="shared" si="1564"/>
        <v>0.21802177022871905</v>
      </c>
      <c r="W188" s="86">
        <f t="shared" si="1564"/>
        <v>0.5260415492485262</v>
      </c>
      <c r="X188" s="86">
        <f t="shared" si="1564"/>
        <v>0.27478645207238861</v>
      </c>
      <c r="Y188" s="86">
        <f t="shared" si="1564"/>
        <v>-7.7009941044333896E-2</v>
      </c>
      <c r="Z188" s="86">
        <f>Z10/Y10-1</f>
        <v>-0.21733244266645213</v>
      </c>
      <c r="AA188" s="86">
        <f>AA10/Z10-1</f>
        <v>3.8455438662486019E-2</v>
      </c>
      <c r="AB188" s="87">
        <f t="shared" ref="AB188:AE188" si="1565">AB10/AA10-1</f>
        <v>0.21214952322794689</v>
      </c>
      <c r="AC188" s="87">
        <f t="shared" si="1565"/>
        <v>0.1079250338647364</v>
      </c>
      <c r="AD188" s="87">
        <f t="shared" si="1565"/>
        <v>0.10773240178027388</v>
      </c>
      <c r="AE188" s="87">
        <f t="shared" si="1565"/>
        <v>0.1077922706745611</v>
      </c>
      <c r="AN188" s="86" t="e">
        <f t="shared" ref="AN188:CI188" si="1566">+(AN10+AM10)/(AJ10+AI10)-1</f>
        <v>#DIV/0!</v>
      </c>
      <c r="AO188" s="86" t="e">
        <f t="shared" si="1566"/>
        <v>#DIV/0!</v>
      </c>
      <c r="AP188" s="86" t="e">
        <f t="shared" si="1566"/>
        <v>#DIV/0!</v>
      </c>
      <c r="AQ188" s="86" t="e">
        <f t="shared" si="1566"/>
        <v>#DIV/0!</v>
      </c>
      <c r="AR188" s="86" t="e">
        <f t="shared" si="1566"/>
        <v>#DIV/0!</v>
      </c>
      <c r="AS188" s="86" t="e">
        <f t="shared" si="1566"/>
        <v>#DIV/0!</v>
      </c>
      <c r="AT188" s="86" t="e">
        <f t="shared" si="1566"/>
        <v>#DIV/0!</v>
      </c>
      <c r="AU188" s="86" t="e">
        <f t="shared" si="1566"/>
        <v>#DIV/0!</v>
      </c>
      <c r="AV188" s="86" t="e">
        <f t="shared" si="1566"/>
        <v>#DIV/0!</v>
      </c>
      <c r="AW188" s="86" t="e">
        <f t="shared" si="1566"/>
        <v>#DIV/0!</v>
      </c>
      <c r="AX188" s="86" t="e">
        <f t="shared" si="1566"/>
        <v>#DIV/0!</v>
      </c>
      <c r="AY188" s="86" t="e">
        <f t="shared" si="1566"/>
        <v>#DIV/0!</v>
      </c>
      <c r="AZ188" s="86" t="e">
        <f t="shared" si="1566"/>
        <v>#DIV/0!</v>
      </c>
      <c r="BA188" s="86" t="e">
        <f t="shared" si="1566"/>
        <v>#DIV/0!</v>
      </c>
      <c r="BB188" s="86" t="e">
        <f t="shared" si="1566"/>
        <v>#DIV/0!</v>
      </c>
      <c r="BC188" s="86" t="e">
        <f t="shared" si="1566"/>
        <v>#DIV/0!</v>
      </c>
      <c r="BD188" s="86" t="e">
        <f t="shared" si="1566"/>
        <v>#DIV/0!</v>
      </c>
      <c r="BE188" s="86" t="e">
        <f t="shared" si="1566"/>
        <v>#DIV/0!</v>
      </c>
      <c r="BF188" s="86" t="e">
        <f t="shared" si="1566"/>
        <v>#DIV/0!</v>
      </c>
      <c r="BG188" s="86" t="e">
        <f t="shared" si="1566"/>
        <v>#DIV/0!</v>
      </c>
      <c r="BH188" s="86" t="e">
        <f t="shared" si="1566"/>
        <v>#DIV/0!</v>
      </c>
      <c r="BI188" s="86" t="e">
        <f t="shared" si="1566"/>
        <v>#DIV/0!</v>
      </c>
      <c r="BJ188" s="86" t="e">
        <f t="shared" si="1566"/>
        <v>#DIV/0!</v>
      </c>
      <c r="BK188" s="86" t="e">
        <f t="shared" si="1566"/>
        <v>#DIV/0!</v>
      </c>
      <c r="BL188" s="86" t="e">
        <f t="shared" si="1566"/>
        <v>#DIV/0!</v>
      </c>
      <c r="BM188" s="86" t="e">
        <f t="shared" si="1566"/>
        <v>#DIV/0!</v>
      </c>
      <c r="BN188" s="86" t="e">
        <f t="shared" si="1566"/>
        <v>#DIV/0!</v>
      </c>
      <c r="BO188" s="86" t="e">
        <f t="shared" si="1566"/>
        <v>#DIV/0!</v>
      </c>
      <c r="BP188" s="86" t="e">
        <f t="shared" si="1566"/>
        <v>#DIV/0!</v>
      </c>
      <c r="BQ188" s="86" t="e">
        <f t="shared" si="1566"/>
        <v>#DIV/0!</v>
      </c>
      <c r="BR188" s="86" t="e">
        <f t="shared" si="1566"/>
        <v>#DIV/0!</v>
      </c>
      <c r="BS188" s="86" t="e">
        <f t="shared" si="1566"/>
        <v>#DIV/0!</v>
      </c>
      <c r="BT188" s="86" t="e">
        <f t="shared" si="1566"/>
        <v>#DIV/0!</v>
      </c>
      <c r="BU188" s="86" t="e">
        <f t="shared" si="1566"/>
        <v>#DIV/0!</v>
      </c>
      <c r="BV188" s="86" t="e">
        <f t="shared" si="1566"/>
        <v>#DIV/0!</v>
      </c>
      <c r="BW188" s="86" t="e">
        <f t="shared" si="1566"/>
        <v>#DIV/0!</v>
      </c>
      <c r="BX188" s="86">
        <f t="shared" si="1566"/>
        <v>1.7778538538538537</v>
      </c>
      <c r="BY188" s="86">
        <f t="shared" si="1566"/>
        <v>0.18191984921240389</v>
      </c>
      <c r="BZ188" s="86">
        <f t="shared" si="1566"/>
        <v>9.9085637134574966E-2</v>
      </c>
      <c r="CA188" s="86">
        <f t="shared" si="1566"/>
        <v>-6.1338429450519816E-2</v>
      </c>
      <c r="CB188" s="86">
        <f t="shared" si="1566"/>
        <v>-8.6786812325139961E-2</v>
      </c>
      <c r="CC188" s="86">
        <f t="shared" si="1566"/>
        <v>6.7848995622841191E-2</v>
      </c>
      <c r="CD188" s="86">
        <f t="shared" si="1566"/>
        <v>-6.7934077168679718E-2</v>
      </c>
      <c r="CE188" s="86">
        <f t="shared" si="1566"/>
        <v>-0.31548143338998647</v>
      </c>
      <c r="CF188" s="86">
        <f t="shared" si="1566"/>
        <v>-0.28475958829406567</v>
      </c>
      <c r="CG188" s="86">
        <f t="shared" si="1566"/>
        <v>-0.31339044305786856</v>
      </c>
      <c r="CH188" s="86">
        <f t="shared" si="1566"/>
        <v>-0.15600167113882935</v>
      </c>
      <c r="CI188" s="86">
        <f t="shared" si="1566"/>
        <v>0.28461509030461318</v>
      </c>
      <c r="CJ188" s="86">
        <f>+(CJ10+CI10)/(CF10+CE10)-1</f>
        <v>0.15976272600282027</v>
      </c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3.8455438662486019E-2</v>
      </c>
    </row>
    <row r="189" spans="1:110" s="86" customFormat="1" x14ac:dyDescent="0.2">
      <c r="A189" s="86" t="s">
        <v>441</v>
      </c>
      <c r="C189" s="86" t="e">
        <f t="shared" ref="C189" si="1567">C186/B186-1</f>
        <v>#DIV/0!</v>
      </c>
      <c r="D189" s="86" t="e">
        <f t="shared" ref="D189" si="1568">D186/C186-1</f>
        <v>#DIV/0!</v>
      </c>
      <c r="E189" s="86" t="e">
        <f>E186/D186-1</f>
        <v>#DIV/0!</v>
      </c>
      <c r="F189" s="86" t="e">
        <f t="shared" ref="F189" si="1569">F186/E186-1</f>
        <v>#DIV/0!</v>
      </c>
      <c r="G189" s="86" t="e">
        <f t="shared" ref="G189" si="1570">G186/F186-1</f>
        <v>#DIV/0!</v>
      </c>
      <c r="H189" s="86" t="e">
        <f t="shared" ref="H189" si="1571">H186/G186-1</f>
        <v>#DIV/0!</v>
      </c>
      <c r="I189" s="86" t="e">
        <f t="shared" ref="I189" si="1572">I186/H186-1</f>
        <v>#DIV/0!</v>
      </c>
      <c r="J189" s="86" t="e">
        <f t="shared" ref="J189" si="1573">J186/I186-1</f>
        <v>#DIV/0!</v>
      </c>
      <c r="K189" s="86" t="e">
        <f>K186/J186-1</f>
        <v>#DIV/0!</v>
      </c>
      <c r="L189" s="86" t="e">
        <f t="shared" ref="L189" si="1574">L186/K186-1</f>
        <v>#DIV/0!</v>
      </c>
      <c r="M189" s="86" t="e">
        <f t="shared" ref="M189" si="1575">M186/L186-1</f>
        <v>#DIV/0!</v>
      </c>
      <c r="N189" s="86" t="e">
        <f t="shared" ref="N189" si="1576">N186/M186-1</f>
        <v>#DIV/0!</v>
      </c>
      <c r="O189" s="86" t="e">
        <f t="shared" ref="O189" si="1577">O186/N186-1</f>
        <v>#DIV/0!</v>
      </c>
      <c r="P189" s="86" t="e">
        <f t="shared" ref="P189" si="1578">P186/O186-1</f>
        <v>#DIV/0!</v>
      </c>
      <c r="Q189" s="86">
        <f t="shared" ref="Q189" si="1579">Q186/P186-1</f>
        <v>28.716568867423298</v>
      </c>
      <c r="R189" s="86">
        <f t="shared" ref="R189" si="1580">R186/Q186-1</f>
        <v>0.75095713679957243</v>
      </c>
      <c r="S189" s="86">
        <f t="shared" ref="S189" si="1581">S186/R186-1</f>
        <v>-0.46629864513386998</v>
      </c>
      <c r="T189" s="86">
        <f t="shared" ref="T189" si="1582">T186/S186-1</f>
        <v>1.4743541626049375</v>
      </c>
      <c r="U189" s="86">
        <f t="shared" ref="U189" si="1583">U186/T186-1</f>
        <v>0.16427853837308115</v>
      </c>
      <c r="V189" s="86">
        <f t="shared" ref="V189" si="1584">V186/U186-1</f>
        <v>-0.41711637521705813</v>
      </c>
      <c r="W189" s="86">
        <f t="shared" ref="W189:AA189" si="1585">W186/V186-1</f>
        <v>-0.85464797186316155</v>
      </c>
      <c r="X189" s="86">
        <f t="shared" si="1585"/>
        <v>-3.475816142576877</v>
      </c>
      <c r="Y189" s="86">
        <f t="shared" si="1585"/>
        <v>0.70120320945375858</v>
      </c>
      <c r="Z189" s="86">
        <f t="shared" si="1585"/>
        <v>0.46679305012921302</v>
      </c>
      <c r="AA189" s="86">
        <f t="shared" si="1585"/>
        <v>0.69833082908234689</v>
      </c>
      <c r="AB189" s="87">
        <f t="shared" ref="AB189" si="1586">AB186/AA186-1</f>
        <v>0.17559833392370772</v>
      </c>
      <c r="AC189" s="87">
        <f t="shared" ref="AC189" si="1587">AC186/AB186-1</f>
        <v>1.5024359032371759E-3</v>
      </c>
      <c r="AD189" s="87">
        <f t="shared" ref="AD189" si="1588">AD186/AC186-1</f>
        <v>2.9487590443766365E-4</v>
      </c>
      <c r="AE189" s="87">
        <f t="shared" ref="AE189" si="1589">AE186/AD186-1</f>
        <v>4.5352761865347091E-5</v>
      </c>
      <c r="AN189" s="86" t="e">
        <f t="shared" ref="AN189:CI189" si="1590">+AN186/AJ186-1</f>
        <v>#DIV/0!</v>
      </c>
      <c r="AO189" s="86" t="e">
        <f t="shared" si="1590"/>
        <v>#DIV/0!</v>
      </c>
      <c r="AP189" s="86" t="e">
        <f t="shared" si="1590"/>
        <v>#DIV/0!</v>
      </c>
      <c r="AQ189" s="86" t="e">
        <f t="shared" si="1590"/>
        <v>#DIV/0!</v>
      </c>
      <c r="AR189" s="86" t="e">
        <f t="shared" si="1590"/>
        <v>#DIV/0!</v>
      </c>
      <c r="AS189" s="86" t="e">
        <f t="shared" si="1590"/>
        <v>#DIV/0!</v>
      </c>
      <c r="AT189" s="86" t="e">
        <f t="shared" si="1590"/>
        <v>#DIV/0!</v>
      </c>
      <c r="AU189" s="86" t="e">
        <f t="shared" si="1590"/>
        <v>#DIV/0!</v>
      </c>
      <c r="AV189" s="86" t="e">
        <f t="shared" si="1590"/>
        <v>#DIV/0!</v>
      </c>
      <c r="AW189" s="86" t="e">
        <f t="shared" si="1590"/>
        <v>#DIV/0!</v>
      </c>
      <c r="AX189" s="86" t="e">
        <f t="shared" si="1590"/>
        <v>#DIV/0!</v>
      </c>
      <c r="AY189" s="86" t="e">
        <f t="shared" si="1590"/>
        <v>#DIV/0!</v>
      </c>
      <c r="AZ189" s="86" t="e">
        <f t="shared" si="1590"/>
        <v>#DIV/0!</v>
      </c>
      <c r="BA189" s="86" t="e">
        <f t="shared" si="1590"/>
        <v>#DIV/0!</v>
      </c>
      <c r="BB189" s="86" t="e">
        <f t="shared" si="1590"/>
        <v>#DIV/0!</v>
      </c>
      <c r="BC189" s="86" t="e">
        <f t="shared" si="1590"/>
        <v>#DIV/0!</v>
      </c>
      <c r="BD189" s="86" t="e">
        <f t="shared" si="1590"/>
        <v>#DIV/0!</v>
      </c>
      <c r="BE189" s="86" t="e">
        <f t="shared" si="1590"/>
        <v>#DIV/0!</v>
      </c>
      <c r="BF189" s="86" t="e">
        <f t="shared" si="1590"/>
        <v>#DIV/0!</v>
      </c>
      <c r="BG189" s="86" t="e">
        <f t="shared" si="1590"/>
        <v>#DIV/0!</v>
      </c>
      <c r="BH189" s="86" t="e">
        <f t="shared" si="1590"/>
        <v>#DIV/0!</v>
      </c>
      <c r="BI189" s="86" t="e">
        <f t="shared" si="1590"/>
        <v>#DIV/0!</v>
      </c>
      <c r="BJ189" s="86" t="e">
        <f t="shared" si="1590"/>
        <v>#DIV/0!</v>
      </c>
      <c r="BK189" s="86" t="e">
        <f t="shared" si="1590"/>
        <v>#DIV/0!</v>
      </c>
      <c r="BL189" s="86" t="e">
        <f t="shared" si="1590"/>
        <v>#DIV/0!</v>
      </c>
      <c r="BM189" s="86" t="e">
        <f t="shared" si="1590"/>
        <v>#DIV/0!</v>
      </c>
      <c r="BN189" s="86" t="e">
        <f t="shared" si="1590"/>
        <v>#DIV/0!</v>
      </c>
      <c r="BO189" s="86" t="e">
        <f t="shared" si="1590"/>
        <v>#DIV/0!</v>
      </c>
      <c r="BP189" s="86" t="e">
        <f t="shared" si="1590"/>
        <v>#DIV/0!</v>
      </c>
      <c r="BQ189" s="86" t="e">
        <f t="shared" si="1590"/>
        <v>#DIV/0!</v>
      </c>
      <c r="BR189" s="86" t="e">
        <f t="shared" si="1590"/>
        <v>#DIV/0!</v>
      </c>
      <c r="BS189" s="86" t="e">
        <f t="shared" si="1590"/>
        <v>#DIV/0!</v>
      </c>
      <c r="BT189" s="86" t="e">
        <f t="shared" si="1590"/>
        <v>#DIV/0!</v>
      </c>
      <c r="BU189" s="86" t="e">
        <f t="shared" si="1590"/>
        <v>#DIV/0!</v>
      </c>
      <c r="BV189" s="86" t="e">
        <f t="shared" si="1590"/>
        <v>#DIV/0!</v>
      </c>
      <c r="BW189" s="86" t="e">
        <f t="shared" si="1590"/>
        <v>#DIV/0!</v>
      </c>
      <c r="BX189" s="86" t="e">
        <f t="shared" si="1590"/>
        <v>#DIV/0!</v>
      </c>
      <c r="BY189" s="86" t="e">
        <f t="shared" si="1590"/>
        <v>#DIV/0!</v>
      </c>
      <c r="BZ189" s="86">
        <f t="shared" si="1590"/>
        <v>-14.582243699179406</v>
      </c>
      <c r="CA189" s="86">
        <f t="shared" si="1590"/>
        <v>-59.732931417874461</v>
      </c>
      <c r="CB189" s="86">
        <f t="shared" si="1590"/>
        <v>1.7892334636147695</v>
      </c>
      <c r="CC189" s="86">
        <f t="shared" si="1590"/>
        <v>1.3634584071212488</v>
      </c>
      <c r="CD189" s="86">
        <f t="shared" si="1590"/>
        <v>0.93948023958925186</v>
      </c>
      <c r="CE189" s="86">
        <f t="shared" si="1590"/>
        <v>1.1805321240800781</v>
      </c>
      <c r="CF189" s="86">
        <f t="shared" si="1590"/>
        <v>0.43725413736376351</v>
      </c>
      <c r="CG189" s="86">
        <f t="shared" si="1590"/>
        <v>0.54868747248016425</v>
      </c>
      <c r="CH189" s="86">
        <f t="shared" si="1590"/>
        <v>-0.17862113117545619</v>
      </c>
      <c r="CI189" s="86">
        <f t="shared" si="1590"/>
        <v>-0.28181796692352756</v>
      </c>
      <c r="CJ189" s="86">
        <f>+CJ186/CF186-1</f>
        <v>0.69862467951405849</v>
      </c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0.69833082908234689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91">IF(E189&gt;E188,"RF",0)</f>
        <v>#DIV/0!</v>
      </c>
      <c r="F190" s="103" t="e">
        <f t="shared" si="1591"/>
        <v>#DIV/0!</v>
      </c>
      <c r="G190" s="103" t="e">
        <f t="shared" si="1591"/>
        <v>#DIV/0!</v>
      </c>
      <c r="H190" s="103" t="e">
        <f t="shared" si="1591"/>
        <v>#DIV/0!</v>
      </c>
      <c r="I190" s="103" t="e">
        <f t="shared" si="1591"/>
        <v>#DIV/0!</v>
      </c>
      <c r="J190" s="103" t="e">
        <f t="shared" si="1591"/>
        <v>#DIV/0!</v>
      </c>
      <c r="K190" s="103" t="e">
        <f t="shared" si="1591"/>
        <v>#DIV/0!</v>
      </c>
      <c r="L190" s="103" t="e">
        <f t="shared" si="1591"/>
        <v>#DIV/0!</v>
      </c>
      <c r="M190" s="103" t="e">
        <f t="shared" si="1591"/>
        <v>#DIV/0!</v>
      </c>
      <c r="N190" s="103" t="e">
        <f t="shared" si="1591"/>
        <v>#DIV/0!</v>
      </c>
      <c r="O190" s="103" t="e">
        <f t="shared" si="1591"/>
        <v>#DIV/0!</v>
      </c>
      <c r="P190" s="103" t="e">
        <f t="shared" si="1591"/>
        <v>#DIV/0!</v>
      </c>
      <c r="Q190" s="103" t="str">
        <f t="shared" si="1591"/>
        <v>RF</v>
      </c>
      <c r="R190" s="103" t="str">
        <f t="shared" si="1591"/>
        <v>RF</v>
      </c>
      <c r="S190" s="103">
        <f t="shared" si="1591"/>
        <v>0</v>
      </c>
      <c r="T190" s="103" t="str">
        <f t="shared" si="1591"/>
        <v>RF</v>
      </c>
      <c r="U190" s="103" t="str">
        <f t="shared" si="1591"/>
        <v>RF</v>
      </c>
      <c r="V190" s="103">
        <f>IF(V189&gt;V188,"RF",0)</f>
        <v>0</v>
      </c>
      <c r="W190" s="103">
        <f t="shared" ref="W190" si="1592">IF(W189&gt;W188,"RF",0)</f>
        <v>0</v>
      </c>
      <c r="X190" s="103">
        <f t="shared" ref="X190:Y190" si="1593">IF(X189&gt;X188,"RF",0)</f>
        <v>0</v>
      </c>
      <c r="Y190" s="103" t="str">
        <f t="shared" si="1593"/>
        <v>RF</v>
      </c>
      <c r="Z190" s="103" t="str">
        <f t="shared" ref="Z190:AA190" si="1594">IF(Z189&gt;Z188,"RF",0)</f>
        <v>RF</v>
      </c>
      <c r="AA190" s="103" t="str">
        <f t="shared" si="1594"/>
        <v>RF</v>
      </c>
      <c r="AB190" s="73">
        <f t="shared" ref="AB190:AD190" si="1595">IF(AB189&gt;AB188,"RF",0)</f>
        <v>0</v>
      </c>
      <c r="AC190" s="73">
        <f t="shared" si="1595"/>
        <v>0</v>
      </c>
      <c r="AD190" s="73">
        <f t="shared" si="1595"/>
        <v>0</v>
      </c>
      <c r="AE190" s="73">
        <f t="shared" ref="AE190" si="1596">IF(AE189&gt;AE188,"RF",0)</f>
        <v>0</v>
      </c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</row>
    <row r="192" spans="1:110" x14ac:dyDescent="0.2">
      <c r="A192" s="152" t="s">
        <v>495</v>
      </c>
      <c r="AA192" s="2"/>
    </row>
    <row r="193" spans="1:110" s="23" customFormat="1" x14ac:dyDescent="0.2">
      <c r="A193" s="23" t="s">
        <v>22</v>
      </c>
      <c r="C193" s="23">
        <f t="shared" ref="C193:AE193" si="1597">C48</f>
        <v>0</v>
      </c>
      <c r="D193" s="23">
        <f t="shared" si="1597"/>
        <v>0</v>
      </c>
      <c r="E193" s="23">
        <f t="shared" si="1597"/>
        <v>0</v>
      </c>
      <c r="F193" s="23">
        <f t="shared" si="1597"/>
        <v>0</v>
      </c>
      <c r="G193" s="23">
        <f t="shared" si="1597"/>
        <v>0</v>
      </c>
      <c r="H193" s="23">
        <f t="shared" si="1597"/>
        <v>0</v>
      </c>
      <c r="I193" s="23">
        <f t="shared" si="1597"/>
        <v>0</v>
      </c>
      <c r="J193" s="23">
        <f t="shared" si="1597"/>
        <v>0</v>
      </c>
      <c r="K193" s="23">
        <f t="shared" si="1597"/>
        <v>0</v>
      </c>
      <c r="L193" s="23">
        <f t="shared" si="1597"/>
        <v>0</v>
      </c>
      <c r="M193" s="23">
        <f t="shared" si="1597"/>
        <v>0</v>
      </c>
      <c r="N193" s="23">
        <f t="shared" si="1597"/>
        <v>0</v>
      </c>
      <c r="O193" s="23">
        <f t="shared" si="1597"/>
        <v>0</v>
      </c>
      <c r="P193" s="23">
        <f t="shared" si="1597"/>
        <v>60.329600000000006</v>
      </c>
      <c r="Q193" s="23">
        <f t="shared" si="1597"/>
        <v>-86.632099999999994</v>
      </c>
      <c r="R193" s="23">
        <f t="shared" si="1597"/>
        <v>-73.623800000000017</v>
      </c>
      <c r="S193" s="23">
        <f t="shared" si="1597"/>
        <v>-79.210400000000035</v>
      </c>
      <c r="T193" s="23">
        <f t="shared" si="1597"/>
        <v>39.971999999999994</v>
      </c>
      <c r="U193" s="23">
        <f t="shared" si="1597"/>
        <v>-36.234999999999999</v>
      </c>
      <c r="V193" s="23">
        <f t="shared" si="1597"/>
        <v>66.586600000000033</v>
      </c>
      <c r="W193" s="23">
        <f t="shared" si="1597"/>
        <v>188.30789999999996</v>
      </c>
      <c r="X193" s="23">
        <f t="shared" si="1597"/>
        <v>382.55920000000009</v>
      </c>
      <c r="Y193" s="23">
        <f t="shared" si="1597"/>
        <v>318.97750000000008</v>
      </c>
      <c r="Z193" s="23">
        <f t="shared" si="1597"/>
        <v>162.14870000000013</v>
      </c>
      <c r="AA193" s="23">
        <f t="shared" ref="AA193" si="1598">AA48</f>
        <v>106.85940000000011</v>
      </c>
      <c r="AB193" s="24">
        <f t="shared" si="1597"/>
        <v>157.37929941215958</v>
      </c>
      <c r="AC193" s="24">
        <f t="shared" si="1597"/>
        <v>146.45164357183458</v>
      </c>
      <c r="AD193" s="24">
        <f t="shared" si="1597"/>
        <v>142.80588429168506</v>
      </c>
      <c r="AE193" s="24">
        <f t="shared" si="1597"/>
        <v>145.1416788610654</v>
      </c>
      <c r="AI193" s="23">
        <f t="shared" ref="AI193:BN193" si="1599">AI48</f>
        <v>0</v>
      </c>
      <c r="AJ193" s="23">
        <f t="shared" si="1599"/>
        <v>0</v>
      </c>
      <c r="AK193" s="23">
        <f t="shared" si="1599"/>
        <v>0</v>
      </c>
      <c r="AL193" s="23">
        <f t="shared" si="1599"/>
        <v>0</v>
      </c>
      <c r="AM193" s="23">
        <f t="shared" si="1599"/>
        <v>0</v>
      </c>
      <c r="AN193" s="23">
        <f t="shared" si="1599"/>
        <v>0</v>
      </c>
      <c r="AO193" s="23">
        <f t="shared" si="1599"/>
        <v>0</v>
      </c>
      <c r="AP193" s="23">
        <f t="shared" si="1599"/>
        <v>0</v>
      </c>
      <c r="AQ193" s="23">
        <f t="shared" si="1599"/>
        <v>0</v>
      </c>
      <c r="AR193" s="23">
        <f t="shared" si="1599"/>
        <v>0</v>
      </c>
      <c r="AS193" s="23">
        <f t="shared" si="1599"/>
        <v>0</v>
      </c>
      <c r="AT193" s="23">
        <f t="shared" si="1599"/>
        <v>0</v>
      </c>
      <c r="AU193" s="23">
        <f t="shared" si="1599"/>
        <v>0</v>
      </c>
      <c r="AV193" s="23">
        <f t="shared" si="1599"/>
        <v>0</v>
      </c>
      <c r="AW193" s="23">
        <f t="shared" si="1599"/>
        <v>0</v>
      </c>
      <c r="AX193" s="23">
        <f t="shared" si="1599"/>
        <v>0</v>
      </c>
      <c r="AY193" s="23">
        <f t="shared" si="1599"/>
        <v>0</v>
      </c>
      <c r="AZ193" s="23">
        <f t="shared" si="1599"/>
        <v>0</v>
      </c>
      <c r="BA193" s="23">
        <f t="shared" si="1599"/>
        <v>0</v>
      </c>
      <c r="BB193" s="23">
        <f t="shared" si="1599"/>
        <v>0</v>
      </c>
      <c r="BC193" s="23">
        <f t="shared" si="1599"/>
        <v>0</v>
      </c>
      <c r="BD193" s="23">
        <f t="shared" si="1599"/>
        <v>0</v>
      </c>
      <c r="BE193" s="23">
        <f t="shared" si="1599"/>
        <v>0</v>
      </c>
      <c r="BF193" s="23">
        <f t="shared" si="1599"/>
        <v>0</v>
      </c>
      <c r="BG193" s="23">
        <f t="shared" si="1599"/>
        <v>0</v>
      </c>
      <c r="BH193" s="23">
        <f t="shared" si="1599"/>
        <v>0</v>
      </c>
      <c r="BI193" s="23">
        <f t="shared" si="1599"/>
        <v>0</v>
      </c>
      <c r="BJ193" s="23">
        <f t="shared" si="1599"/>
        <v>0</v>
      </c>
      <c r="BK193" s="23">
        <f t="shared" si="1599"/>
        <v>0</v>
      </c>
      <c r="BL193" s="23">
        <f t="shared" si="1599"/>
        <v>0</v>
      </c>
      <c r="BM193" s="23">
        <f t="shared" si="1599"/>
        <v>0</v>
      </c>
      <c r="BN193" s="23">
        <f t="shared" si="1599"/>
        <v>0</v>
      </c>
      <c r="BO193" s="23">
        <f t="shared" ref="BO193:CT193" si="1600">BO48</f>
        <v>0</v>
      </c>
      <c r="BP193" s="23">
        <f t="shared" si="1600"/>
        <v>0</v>
      </c>
      <c r="BQ193" s="23">
        <f t="shared" si="1600"/>
        <v>0</v>
      </c>
      <c r="BR193" s="23">
        <f t="shared" si="1600"/>
        <v>0</v>
      </c>
      <c r="BS193" s="23">
        <f t="shared" si="1600"/>
        <v>0</v>
      </c>
      <c r="BT193" s="23">
        <f t="shared" si="1600"/>
        <v>39.378000000000029</v>
      </c>
      <c r="BU193" s="23">
        <f t="shared" si="1600"/>
        <v>49.019999999999996</v>
      </c>
      <c r="BV193" s="23">
        <f t="shared" si="1600"/>
        <v>81.564999999999998</v>
      </c>
      <c r="BW193" s="23">
        <f t="shared" si="1600"/>
        <v>84.398999999999987</v>
      </c>
      <c r="BX193" s="23">
        <f t="shared" si="1600"/>
        <v>63.590000000000011</v>
      </c>
      <c r="BY193" s="23">
        <f t="shared" si="1600"/>
        <v>98.060999999999979</v>
      </c>
      <c r="BZ193" s="23">
        <f t="shared" si="1600"/>
        <v>136.51</v>
      </c>
      <c r="CA193" s="23">
        <f t="shared" si="1600"/>
        <v>93.857000000000042</v>
      </c>
      <c r="CB193" s="23">
        <f t="shared" si="1600"/>
        <v>66.000999999999976</v>
      </c>
      <c r="CC193" s="23">
        <f t="shared" si="1600"/>
        <v>101.52800000000001</v>
      </c>
      <c r="CD193" s="23">
        <f t="shared" si="1600"/>
        <v>57.592999999999968</v>
      </c>
      <c r="CE193" s="23">
        <f t="shared" si="1600"/>
        <v>44.857000000000014</v>
      </c>
      <c r="CF193" s="23">
        <f t="shared" si="1600"/>
        <v>15.78100000000002</v>
      </c>
      <c r="CG193" s="23">
        <f t="shared" si="1600"/>
        <v>47.97200000000003</v>
      </c>
      <c r="CH193" s="23">
        <f t="shared" si="1600"/>
        <v>53.53799999999999</v>
      </c>
      <c r="CI193" s="23">
        <f t="shared" si="1600"/>
        <v>40.191000000000017</v>
      </c>
      <c r="CJ193" s="23">
        <f t="shared" si="1600"/>
        <v>29.093000000000028</v>
      </c>
      <c r="CK193" s="24">
        <f t="shared" si="1600"/>
        <v>23.638999999999982</v>
      </c>
      <c r="CL193" s="24">
        <f t="shared" si="1600"/>
        <v>55.964069383827976</v>
      </c>
      <c r="CM193" s="24">
        <f t="shared" si="1600"/>
        <v>54.291896529857269</v>
      </c>
      <c r="CN193" s="24">
        <f t="shared" si="1600"/>
        <v>28.504886687115985</v>
      </c>
      <c r="CO193" s="24">
        <f t="shared" si="1600"/>
        <v>21.669155642971251</v>
      </c>
      <c r="CP193" s="24">
        <f t="shared" si="1600"/>
        <v>52.913360552215053</v>
      </c>
      <c r="CQ193" s="24">
        <f t="shared" si="1600"/>
        <v>51.96685798673029</v>
      </c>
      <c r="CR193" s="24">
        <f t="shared" si="1600"/>
        <v>23.924815936385521</v>
      </c>
      <c r="CS193" s="24">
        <f t="shared" si="1600"/>
        <v>18.290658636698257</v>
      </c>
      <c r="CT193" s="24">
        <f t="shared" si="1600"/>
        <v>52.26931101202063</v>
      </c>
      <c r="CU193" s="24">
        <f t="shared" ref="CU193:DB193" si="1601">CU48</f>
        <v>51.925042980768843</v>
      </c>
      <c r="CV193" s="24">
        <f t="shared" si="1601"/>
        <v>21.446897180152177</v>
      </c>
      <c r="CW193" s="24">
        <f t="shared" si="1601"/>
        <v>15.806454834742986</v>
      </c>
      <c r="CX193" s="24">
        <f t="shared" si="1601"/>
        <v>53.627489296020649</v>
      </c>
      <c r="CY193" s="24">
        <f t="shared" si="1601"/>
        <v>53.716174249910708</v>
      </c>
      <c r="CZ193" s="24">
        <f t="shared" si="1601"/>
        <v>20.347569878700529</v>
      </c>
      <c r="DA193" s="24">
        <f t="shared" si="1601"/>
        <v>14.450774306285844</v>
      </c>
      <c r="DB193" s="24">
        <f t="shared" si="1601"/>
        <v>56.627160426168317</v>
      </c>
      <c r="DE193" s="123"/>
      <c r="DF193" s="23">
        <v>106.85940000000011</v>
      </c>
    </row>
    <row r="194" spans="1:110" s="23" customFormat="1" x14ac:dyDescent="0.2">
      <c r="A194" s="23" t="s">
        <v>88</v>
      </c>
      <c r="C194" s="23">
        <f t="shared" ref="C194:AE194" si="1602">C32</f>
        <v>0</v>
      </c>
      <c r="D194" s="23">
        <f t="shared" si="1602"/>
        <v>0</v>
      </c>
      <c r="E194" s="23">
        <f t="shared" si="1602"/>
        <v>0</v>
      </c>
      <c r="F194" s="23">
        <f t="shared" si="1602"/>
        <v>0</v>
      </c>
      <c r="G194" s="23">
        <f t="shared" si="1602"/>
        <v>0</v>
      </c>
      <c r="H194" s="23">
        <f t="shared" si="1602"/>
        <v>0</v>
      </c>
      <c r="I194" s="23">
        <f t="shared" si="1602"/>
        <v>0</v>
      </c>
      <c r="J194" s="23">
        <f t="shared" si="1602"/>
        <v>0</v>
      </c>
      <c r="K194" s="23">
        <f t="shared" si="1602"/>
        <v>0</v>
      </c>
      <c r="L194" s="23">
        <f t="shared" si="1602"/>
        <v>0</v>
      </c>
      <c r="M194" s="23">
        <f t="shared" si="1602"/>
        <v>0</v>
      </c>
      <c r="N194" s="23">
        <f t="shared" si="1602"/>
        <v>0</v>
      </c>
      <c r="O194" s="23">
        <f t="shared" si="1602"/>
        <v>0</v>
      </c>
      <c r="P194" s="23">
        <f t="shared" si="1602"/>
        <v>35.683999999999997</v>
      </c>
      <c r="Q194" s="23">
        <f t="shared" si="1602"/>
        <v>72.391900000000007</v>
      </c>
      <c r="R194" s="23">
        <f t="shared" si="1602"/>
        <v>81.361900000000006</v>
      </c>
      <c r="S194" s="23">
        <f t="shared" si="1602"/>
        <v>72.765699999999995</v>
      </c>
      <c r="T194" s="23">
        <f t="shared" si="1602"/>
        <v>49.317</v>
      </c>
      <c r="U194" s="23">
        <f t="shared" si="1602"/>
        <v>51.761000000000003</v>
      </c>
      <c r="V194" s="23">
        <f t="shared" si="1602"/>
        <v>55.383499999999998</v>
      </c>
      <c r="W194" s="23">
        <f t="shared" si="1602"/>
        <v>66.861900000000006</v>
      </c>
      <c r="X194" s="23">
        <f t="shared" si="1602"/>
        <v>68.633399999999995</v>
      </c>
      <c r="Y194" s="23">
        <f t="shared" si="1602"/>
        <v>70.337100000000007</v>
      </c>
      <c r="Z194" s="23">
        <f t="shared" si="1602"/>
        <v>79.384500000000003</v>
      </c>
      <c r="AA194" s="23">
        <f t="shared" ref="AA194" si="1603">AA32</f>
        <v>92.8887</v>
      </c>
      <c r="AB194" s="24">
        <f t="shared" si="1602"/>
        <v>88.613346672602759</v>
      </c>
      <c r="AC194" s="24">
        <f t="shared" si="1602"/>
        <v>82.417752826453508</v>
      </c>
      <c r="AD194" s="24">
        <f t="shared" si="1602"/>
        <v>76.65533732812429</v>
      </c>
      <c r="AE194" s="24">
        <f t="shared" si="1602"/>
        <v>71.295813576252954</v>
      </c>
      <c r="AI194" s="23">
        <f t="shared" ref="AI194:BN194" si="1604">AI32</f>
        <v>0</v>
      </c>
      <c r="AJ194" s="23">
        <f t="shared" si="1604"/>
        <v>0</v>
      </c>
      <c r="AK194" s="23">
        <f t="shared" si="1604"/>
        <v>0</v>
      </c>
      <c r="AL194" s="23">
        <f t="shared" si="1604"/>
        <v>0</v>
      </c>
      <c r="AM194" s="23">
        <f t="shared" si="1604"/>
        <v>0</v>
      </c>
      <c r="AN194" s="23">
        <f t="shared" si="1604"/>
        <v>0</v>
      </c>
      <c r="AO194" s="23">
        <f t="shared" si="1604"/>
        <v>0</v>
      </c>
      <c r="AP194" s="23">
        <f t="shared" si="1604"/>
        <v>0</v>
      </c>
      <c r="AQ194" s="23">
        <f t="shared" si="1604"/>
        <v>0</v>
      </c>
      <c r="AR194" s="23">
        <f t="shared" si="1604"/>
        <v>0</v>
      </c>
      <c r="AS194" s="23">
        <f t="shared" si="1604"/>
        <v>0</v>
      </c>
      <c r="AT194" s="23">
        <f t="shared" si="1604"/>
        <v>0</v>
      </c>
      <c r="AU194" s="23">
        <f t="shared" si="1604"/>
        <v>0</v>
      </c>
      <c r="AV194" s="23">
        <f t="shared" si="1604"/>
        <v>0</v>
      </c>
      <c r="AW194" s="23">
        <f t="shared" si="1604"/>
        <v>0</v>
      </c>
      <c r="AX194" s="23">
        <f t="shared" si="1604"/>
        <v>0</v>
      </c>
      <c r="AY194" s="23">
        <f t="shared" si="1604"/>
        <v>0</v>
      </c>
      <c r="AZ194" s="23">
        <f t="shared" si="1604"/>
        <v>0</v>
      </c>
      <c r="BA194" s="23">
        <f t="shared" si="1604"/>
        <v>0</v>
      </c>
      <c r="BB194" s="23">
        <f t="shared" si="1604"/>
        <v>0</v>
      </c>
      <c r="BC194" s="23">
        <f t="shared" si="1604"/>
        <v>0</v>
      </c>
      <c r="BD194" s="23">
        <f t="shared" si="1604"/>
        <v>0</v>
      </c>
      <c r="BE194" s="23">
        <f t="shared" si="1604"/>
        <v>0</v>
      </c>
      <c r="BF194" s="23">
        <f t="shared" si="1604"/>
        <v>0</v>
      </c>
      <c r="BG194" s="23">
        <f t="shared" si="1604"/>
        <v>0</v>
      </c>
      <c r="BH194" s="23">
        <f t="shared" si="1604"/>
        <v>0</v>
      </c>
      <c r="BI194" s="23">
        <f t="shared" si="1604"/>
        <v>0</v>
      </c>
      <c r="BJ194" s="23">
        <f t="shared" si="1604"/>
        <v>0</v>
      </c>
      <c r="BK194" s="23">
        <f t="shared" si="1604"/>
        <v>0</v>
      </c>
      <c r="BL194" s="23">
        <f t="shared" si="1604"/>
        <v>0</v>
      </c>
      <c r="BM194" s="23">
        <f t="shared" si="1604"/>
        <v>0</v>
      </c>
      <c r="BN194" s="23">
        <f t="shared" si="1604"/>
        <v>0</v>
      </c>
      <c r="BO194" s="23">
        <f t="shared" ref="BO194:CT194" si="1605">BO32</f>
        <v>0</v>
      </c>
      <c r="BP194" s="23">
        <f t="shared" si="1605"/>
        <v>0</v>
      </c>
      <c r="BQ194" s="23">
        <f t="shared" si="1605"/>
        <v>0</v>
      </c>
      <c r="BR194" s="23">
        <f t="shared" si="1605"/>
        <v>0</v>
      </c>
      <c r="BS194" s="23">
        <f t="shared" si="1605"/>
        <v>0</v>
      </c>
      <c r="BT194" s="23">
        <f t="shared" si="1605"/>
        <v>16.617000000000001</v>
      </c>
      <c r="BU194" s="23">
        <f t="shared" si="1605"/>
        <v>16.821000000000002</v>
      </c>
      <c r="BV194" s="23">
        <f t="shared" si="1605"/>
        <v>17.288</v>
      </c>
      <c r="BW194" s="23">
        <f t="shared" si="1605"/>
        <v>17.623999999999999</v>
      </c>
      <c r="BX194" s="23">
        <f t="shared" si="1605"/>
        <v>16.895</v>
      </c>
      <c r="BY194" s="23">
        <f t="shared" si="1605"/>
        <v>16.818000000000001</v>
      </c>
      <c r="BZ194" s="23">
        <f t="shared" si="1605"/>
        <v>17.297000000000001</v>
      </c>
      <c r="CA194" s="23">
        <f t="shared" si="1605"/>
        <v>17.507999999999999</v>
      </c>
      <c r="CB194" s="23">
        <f t="shared" si="1605"/>
        <v>17.503</v>
      </c>
      <c r="CC194" s="23">
        <f t="shared" si="1605"/>
        <v>17.66</v>
      </c>
      <c r="CD194" s="23">
        <f t="shared" si="1605"/>
        <v>17.667000000000002</v>
      </c>
      <c r="CE194" s="23">
        <f t="shared" si="1605"/>
        <v>18.64</v>
      </c>
      <c r="CF194" s="23">
        <f t="shared" si="1605"/>
        <v>19.460999999999999</v>
      </c>
      <c r="CG194" s="23">
        <f t="shared" si="1605"/>
        <v>20.145</v>
      </c>
      <c r="CH194" s="23">
        <f t="shared" si="1605"/>
        <v>21.138999999999999</v>
      </c>
      <c r="CI194" s="23">
        <f t="shared" si="1605"/>
        <v>22.937000000000001</v>
      </c>
      <c r="CJ194" s="23">
        <f t="shared" si="1605"/>
        <v>23.55</v>
      </c>
      <c r="CK194" s="24">
        <f t="shared" si="1605"/>
        <v>23.599</v>
      </c>
      <c r="CL194" s="24">
        <f t="shared" si="1605"/>
        <v>23.175227590761992</v>
      </c>
      <c r="CM194" s="24">
        <f t="shared" si="1605"/>
        <v>22.759064955447936</v>
      </c>
      <c r="CN194" s="24">
        <f t="shared" si="1605"/>
        <v>22.350375443681568</v>
      </c>
      <c r="CO194" s="24">
        <f t="shared" si="1605"/>
        <v>21.94902485894734</v>
      </c>
      <c r="CP194" s="24">
        <f t="shared" si="1605"/>
        <v>21.554881414525919</v>
      </c>
      <c r="CQ194" s="24">
        <f t="shared" si="1605"/>
        <v>21.167815690220941</v>
      </c>
      <c r="CR194" s="24">
        <f t="shared" si="1605"/>
        <v>20.787700589862826</v>
      </c>
      <c r="CS194" s="24">
        <f t="shared" si="1605"/>
        <v>20.414411299575754</v>
      </c>
      <c r="CT194" s="24">
        <f t="shared" si="1605"/>
        <v>20.047825246793987</v>
      </c>
      <c r="CU194" s="24">
        <f t="shared" ref="CU194:DB194" si="1606">CU32</f>
        <v>19.687822060014188</v>
      </c>
      <c r="CV194" s="24">
        <f t="shared" si="1606"/>
        <v>19.334283529270451</v>
      </c>
      <c r="CW194" s="24">
        <f t="shared" si="1606"/>
        <v>18.987093567319103</v>
      </c>
      <c r="CX194" s="24">
        <f t="shared" si="1606"/>
        <v>18.646138171520544</v>
      </c>
      <c r="CY194" s="24">
        <f t="shared" si="1606"/>
        <v>18.31130538640549</v>
      </c>
      <c r="CZ194" s="24">
        <f t="shared" si="1606"/>
        <v>17.98248526691356</v>
      </c>
      <c r="DA194" s="24">
        <f t="shared" si="1606"/>
        <v>17.65956984229188</v>
      </c>
      <c r="DB194" s="24">
        <f t="shared" si="1606"/>
        <v>17.342453080642027</v>
      </c>
      <c r="DE194" s="123"/>
      <c r="DF194" s="23">
        <v>92.8887</v>
      </c>
    </row>
    <row r="195" spans="1:110" s="22" customFormat="1" x14ac:dyDescent="0.2">
      <c r="A195" s="22" t="s">
        <v>89</v>
      </c>
      <c r="C195" s="22">
        <f t="shared" ref="C195:W195" si="1607">C193+C194</f>
        <v>0</v>
      </c>
      <c r="D195" s="22">
        <f t="shared" si="1607"/>
        <v>0</v>
      </c>
      <c r="E195" s="22">
        <f t="shared" si="1607"/>
        <v>0</v>
      </c>
      <c r="F195" s="22">
        <f t="shared" si="1607"/>
        <v>0</v>
      </c>
      <c r="G195" s="22">
        <f t="shared" si="1607"/>
        <v>0</v>
      </c>
      <c r="H195" s="22">
        <f t="shared" si="1607"/>
        <v>0</v>
      </c>
      <c r="I195" s="22">
        <f t="shared" si="1607"/>
        <v>0</v>
      </c>
      <c r="J195" s="22">
        <f t="shared" si="1607"/>
        <v>0</v>
      </c>
      <c r="K195" s="22">
        <f t="shared" si="1607"/>
        <v>0</v>
      </c>
      <c r="L195" s="22">
        <f t="shared" si="1607"/>
        <v>0</v>
      </c>
      <c r="M195" s="22">
        <f t="shared" si="1607"/>
        <v>0</v>
      </c>
      <c r="N195" s="22">
        <f t="shared" si="1607"/>
        <v>0</v>
      </c>
      <c r="O195" s="22">
        <f t="shared" si="1607"/>
        <v>0</v>
      </c>
      <c r="P195" s="22">
        <f t="shared" si="1607"/>
        <v>96.013599999999997</v>
      </c>
      <c r="Q195" s="22">
        <f t="shared" si="1607"/>
        <v>-14.240199999999987</v>
      </c>
      <c r="R195" s="22">
        <f t="shared" si="1607"/>
        <v>7.7380999999999887</v>
      </c>
      <c r="S195" s="22">
        <f t="shared" si="1607"/>
        <v>-6.4447000000000401</v>
      </c>
      <c r="T195" s="22">
        <f t="shared" si="1607"/>
        <v>89.288999999999987</v>
      </c>
      <c r="U195" s="22">
        <f t="shared" si="1607"/>
        <v>15.526000000000003</v>
      </c>
      <c r="V195" s="22">
        <f t="shared" si="1607"/>
        <v>121.97010000000003</v>
      </c>
      <c r="W195" s="22">
        <f t="shared" si="1607"/>
        <v>255.16979999999995</v>
      </c>
      <c r="X195" s="22">
        <f t="shared" ref="X195:Y195" si="1608">X193+X194</f>
        <v>451.19260000000008</v>
      </c>
      <c r="Y195" s="22">
        <f t="shared" si="1608"/>
        <v>389.3146000000001</v>
      </c>
      <c r="Z195" s="22">
        <f t="shared" ref="Z195:AA195" si="1609">Z193+Z194</f>
        <v>241.53320000000014</v>
      </c>
      <c r="AA195" s="22">
        <f t="shared" si="1609"/>
        <v>199.74810000000011</v>
      </c>
      <c r="AB195" s="21">
        <f t="shared" ref="AB195:AD195" si="1610">AB193+AB194</f>
        <v>245.99264608476233</v>
      </c>
      <c r="AC195" s="21">
        <f t="shared" si="1610"/>
        <v>228.86939639828807</v>
      </c>
      <c r="AD195" s="21">
        <f t="shared" si="1610"/>
        <v>219.46122161980935</v>
      </c>
      <c r="AE195" s="21">
        <f t="shared" ref="AE195" si="1611">AE193+AE194</f>
        <v>216.43749243731835</v>
      </c>
      <c r="AI195" s="22">
        <f t="shared" ref="AI195" si="1612">AI193+AI194</f>
        <v>0</v>
      </c>
      <c r="AJ195" s="22">
        <f t="shared" ref="AJ195:AL195" si="1613">AJ193+AJ194</f>
        <v>0</v>
      </c>
      <c r="AK195" s="22">
        <f t="shared" si="1613"/>
        <v>0</v>
      </c>
      <c r="AL195" s="22">
        <f t="shared" si="1613"/>
        <v>0</v>
      </c>
      <c r="AM195" s="22">
        <f t="shared" ref="AM195" si="1614">AM193+AM194</f>
        <v>0</v>
      </c>
      <c r="AN195" s="22">
        <f t="shared" ref="AN195:CD195" si="1615">AN193+AN194</f>
        <v>0</v>
      </c>
      <c r="AO195" s="22">
        <f t="shared" si="1615"/>
        <v>0</v>
      </c>
      <c r="AP195" s="22">
        <f t="shared" si="1615"/>
        <v>0</v>
      </c>
      <c r="AQ195" s="22">
        <f t="shared" si="1615"/>
        <v>0</v>
      </c>
      <c r="AR195" s="22">
        <f t="shared" si="1615"/>
        <v>0</v>
      </c>
      <c r="AS195" s="22">
        <f t="shared" si="1615"/>
        <v>0</v>
      </c>
      <c r="AT195" s="22">
        <f t="shared" si="1615"/>
        <v>0</v>
      </c>
      <c r="AU195" s="22">
        <f t="shared" si="1615"/>
        <v>0</v>
      </c>
      <c r="AV195" s="22">
        <f t="shared" si="1615"/>
        <v>0</v>
      </c>
      <c r="AW195" s="22">
        <f t="shared" si="1615"/>
        <v>0</v>
      </c>
      <c r="AX195" s="22">
        <f t="shared" si="1615"/>
        <v>0</v>
      </c>
      <c r="AY195" s="22">
        <f t="shared" si="1615"/>
        <v>0</v>
      </c>
      <c r="AZ195" s="22">
        <f t="shared" si="1615"/>
        <v>0</v>
      </c>
      <c r="BA195" s="22">
        <f t="shared" si="1615"/>
        <v>0</v>
      </c>
      <c r="BB195" s="22">
        <f t="shared" si="1615"/>
        <v>0</v>
      </c>
      <c r="BC195" s="22">
        <f t="shared" si="1615"/>
        <v>0</v>
      </c>
      <c r="BD195" s="22">
        <f t="shared" si="1615"/>
        <v>0</v>
      </c>
      <c r="BE195" s="22">
        <f t="shared" si="1615"/>
        <v>0</v>
      </c>
      <c r="BF195" s="22">
        <f t="shared" si="1615"/>
        <v>0</v>
      </c>
      <c r="BG195" s="22">
        <f t="shared" si="1615"/>
        <v>0</v>
      </c>
      <c r="BH195" s="22">
        <f t="shared" si="1615"/>
        <v>0</v>
      </c>
      <c r="BI195" s="22">
        <f t="shared" si="1615"/>
        <v>0</v>
      </c>
      <c r="BJ195" s="22">
        <f t="shared" si="1615"/>
        <v>0</v>
      </c>
      <c r="BK195" s="22">
        <f t="shared" si="1615"/>
        <v>0</v>
      </c>
      <c r="BL195" s="22">
        <f t="shared" si="1615"/>
        <v>0</v>
      </c>
      <c r="BM195" s="22">
        <f t="shared" si="1615"/>
        <v>0</v>
      </c>
      <c r="BN195" s="22">
        <f t="shared" si="1615"/>
        <v>0</v>
      </c>
      <c r="BO195" s="22">
        <f t="shared" si="1615"/>
        <v>0</v>
      </c>
      <c r="BP195" s="22">
        <f t="shared" si="1615"/>
        <v>0</v>
      </c>
      <c r="BQ195" s="22">
        <f t="shared" si="1615"/>
        <v>0</v>
      </c>
      <c r="BR195" s="22">
        <f t="shared" si="1615"/>
        <v>0</v>
      </c>
      <c r="BS195" s="22">
        <f t="shared" si="1615"/>
        <v>0</v>
      </c>
      <c r="BT195" s="22">
        <f t="shared" si="1615"/>
        <v>55.995000000000033</v>
      </c>
      <c r="BU195" s="22">
        <f t="shared" si="1615"/>
        <v>65.840999999999994</v>
      </c>
      <c r="BV195" s="22">
        <f t="shared" si="1615"/>
        <v>98.852999999999994</v>
      </c>
      <c r="BW195" s="22">
        <f t="shared" si="1615"/>
        <v>102.02299999999998</v>
      </c>
      <c r="BX195" s="22">
        <f t="shared" si="1615"/>
        <v>80.485000000000014</v>
      </c>
      <c r="BY195" s="22">
        <f t="shared" si="1615"/>
        <v>114.87899999999998</v>
      </c>
      <c r="BZ195" s="22">
        <f t="shared" si="1615"/>
        <v>153.80699999999999</v>
      </c>
      <c r="CA195" s="22">
        <f t="shared" si="1615"/>
        <v>111.36500000000004</v>
      </c>
      <c r="CB195" s="22">
        <f t="shared" si="1615"/>
        <v>83.503999999999976</v>
      </c>
      <c r="CC195" s="22">
        <f t="shared" si="1615"/>
        <v>119.188</v>
      </c>
      <c r="CD195" s="22">
        <f t="shared" si="1615"/>
        <v>75.259999999999962</v>
      </c>
      <c r="CE195" s="22">
        <f t="shared" ref="CE195:CF195" si="1616">CE193+CE194</f>
        <v>63.497000000000014</v>
      </c>
      <c r="CF195" s="22">
        <f t="shared" si="1616"/>
        <v>35.242000000000019</v>
      </c>
      <c r="CG195" s="22">
        <f t="shared" ref="CG195:CH195" si="1617">CG193+CG194</f>
        <v>68.117000000000033</v>
      </c>
      <c r="CH195" s="22">
        <f t="shared" si="1617"/>
        <v>74.676999999999992</v>
      </c>
      <c r="CI195" s="22">
        <f t="shared" ref="CI195:CJ195" si="1618">CI193+CI194</f>
        <v>63.128000000000014</v>
      </c>
      <c r="CJ195" s="22">
        <f t="shared" si="1618"/>
        <v>52.643000000000029</v>
      </c>
      <c r="CK195" s="21">
        <f t="shared" ref="CK195:DB195" si="1619">CK193+CK194</f>
        <v>47.237999999999985</v>
      </c>
      <c r="CL195" s="21">
        <f t="shared" si="1619"/>
        <v>79.139296974589968</v>
      </c>
      <c r="CM195" s="21">
        <f t="shared" si="1619"/>
        <v>77.050961485305208</v>
      </c>
      <c r="CN195" s="21">
        <f t="shared" si="1619"/>
        <v>50.855262130797556</v>
      </c>
      <c r="CO195" s="21">
        <f t="shared" si="1619"/>
        <v>43.618180501918587</v>
      </c>
      <c r="CP195" s="21">
        <f t="shared" si="1619"/>
        <v>74.468241966740976</v>
      </c>
      <c r="CQ195" s="21">
        <f t="shared" si="1619"/>
        <v>73.134673676951223</v>
      </c>
      <c r="CR195" s="21">
        <f t="shared" si="1619"/>
        <v>44.712516526248351</v>
      </c>
      <c r="CS195" s="21">
        <f t="shared" si="1619"/>
        <v>38.705069936274015</v>
      </c>
      <c r="CT195" s="21">
        <f t="shared" si="1619"/>
        <v>72.317136258814614</v>
      </c>
      <c r="CU195" s="21">
        <f t="shared" si="1619"/>
        <v>71.612865040783035</v>
      </c>
      <c r="CV195" s="21">
        <f t="shared" si="1619"/>
        <v>40.781180709422628</v>
      </c>
      <c r="CW195" s="21">
        <f t="shared" si="1619"/>
        <v>34.793548402062086</v>
      </c>
      <c r="CX195" s="21">
        <f t="shared" si="1619"/>
        <v>72.273627467541189</v>
      </c>
      <c r="CY195" s="21">
        <f t="shared" si="1619"/>
        <v>72.027479636316201</v>
      </c>
      <c r="CZ195" s="21">
        <f t="shared" si="1619"/>
        <v>38.330055145614089</v>
      </c>
      <c r="DA195" s="21">
        <f t="shared" si="1619"/>
        <v>32.110344148577724</v>
      </c>
      <c r="DB195" s="21">
        <f t="shared" si="1619"/>
        <v>73.969613506810347</v>
      </c>
      <c r="DE195" s="126"/>
      <c r="DF195" s="22">
        <v>199.74810000000011</v>
      </c>
    </row>
    <row r="196" spans="1:110" s="23" customFormat="1" x14ac:dyDescent="0.2">
      <c r="A196" s="23" t="s">
        <v>65</v>
      </c>
      <c r="C196" s="23">
        <f t="shared" ref="C196:AA196" si="1620">B148-C148+B163+B164-C163-C164</f>
        <v>0</v>
      </c>
      <c r="D196" s="23">
        <f t="shared" si="1620"/>
        <v>0</v>
      </c>
      <c r="E196" s="23">
        <f>D148-E148+D163+D164-E163-E164</f>
        <v>0</v>
      </c>
      <c r="F196" s="23">
        <f t="shared" si="1620"/>
        <v>0</v>
      </c>
      <c r="G196" s="23">
        <f t="shared" si="1620"/>
        <v>0</v>
      </c>
      <c r="H196" s="23">
        <f t="shared" si="1620"/>
        <v>0</v>
      </c>
      <c r="I196" s="23">
        <f t="shared" si="1620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20"/>
        <v>0</v>
      </c>
      <c r="M196" s="23">
        <f t="shared" si="1620"/>
        <v>0</v>
      </c>
      <c r="N196" s="23">
        <f t="shared" si="1620"/>
        <v>0</v>
      </c>
      <c r="O196" s="23">
        <f t="shared" si="1620"/>
        <v>0</v>
      </c>
      <c r="P196" s="23">
        <f t="shared" si="1620"/>
        <v>-256.11869999999999</v>
      </c>
      <c r="Q196" s="23">
        <f t="shared" si="1620"/>
        <v>34.897100000000009</v>
      </c>
      <c r="R196" s="23">
        <f t="shared" si="1620"/>
        <v>-32.224499999999992</v>
      </c>
      <c r="S196" s="23">
        <f t="shared" si="1620"/>
        <v>-50.177300000000017</v>
      </c>
      <c r="T196" s="23">
        <f t="shared" si="1620"/>
        <v>35.936400000000035</v>
      </c>
      <c r="U196" s="23">
        <f t="shared" si="1620"/>
        <v>-15.312000000000026</v>
      </c>
      <c r="V196" s="23">
        <f t="shared" si="1620"/>
        <v>-16.729599999999976</v>
      </c>
      <c r="W196" s="23">
        <f t="shared" si="1620"/>
        <v>-48.691700000000012</v>
      </c>
      <c r="X196" s="23">
        <f t="shared" si="1620"/>
        <v>76.660900000000026</v>
      </c>
      <c r="Y196" s="23">
        <f t="shared" si="1620"/>
        <v>-181.44880000000012</v>
      </c>
      <c r="Z196" s="23">
        <f t="shared" si="1620"/>
        <v>-140.12299999999982</v>
      </c>
      <c r="AA196" s="23">
        <f t="shared" si="1620"/>
        <v>-307.23610000000008</v>
      </c>
      <c r="AB196" s="24">
        <f t="shared" ref="AB196" si="1621">AA148-AB148+AA163+AA164-AB163-AB164</f>
        <v>-183.31828037152664</v>
      </c>
      <c r="AC196" s="24">
        <f t="shared" ref="AC196" si="1622">AB148-AC148+AB163+AB164-AC163-AC164</f>
        <v>-131.53752582546531</v>
      </c>
      <c r="AD196" s="24">
        <f t="shared" ref="AD196" si="1623">AC148-AD148+AC163+AC164-AD163-AD164</f>
        <v>-143.91423675430295</v>
      </c>
      <c r="AE196" s="24">
        <f t="shared" ref="AE196" si="1624">AD148-AE148+AD163+AD164-AE163-AE164</f>
        <v>-159.14592817358519</v>
      </c>
      <c r="AI196" s="23">
        <f>AH148-AI148+AH163+AH164-AI163-AJ164</f>
        <v>0</v>
      </c>
      <c r="AJ196" s="23">
        <f t="shared" ref="AJ196:AL196" si="1625">AI148-AJ148+AI163+AI164-AJ163-AK164</f>
        <v>0</v>
      </c>
      <c r="AK196" s="23" t="e">
        <f t="shared" si="1625"/>
        <v>#DIV/0!</v>
      </c>
      <c r="AL196" s="23" t="e">
        <f t="shared" si="1625"/>
        <v>#DIV/0!</v>
      </c>
      <c r="AM196" s="23" t="e">
        <f t="shared" ref="AM196" si="1626">AL148-AM148+AL163+AL164-AM163-AM164</f>
        <v>#DIV/0!</v>
      </c>
      <c r="AN196" s="23" t="e">
        <f t="shared" ref="AN196" si="1627">AM148-AN148+AM163+AM164-AN163-AN164</f>
        <v>#DIV/0!</v>
      </c>
      <c r="AO196" s="23" t="e">
        <f t="shared" ref="AO196" si="1628">AN148-AO148+AN163+AN164-AO163-AO164</f>
        <v>#DIV/0!</v>
      </c>
      <c r="AP196" s="23" t="e">
        <f t="shared" ref="AP196" si="1629">AO148-AP148+AO163+AO164-AP163-AP164</f>
        <v>#DIV/0!</v>
      </c>
      <c r="AQ196" s="23" t="e">
        <f t="shared" ref="AQ196" si="1630">AP148-AQ148+AP163+AP164-AQ163-AQ164</f>
        <v>#DIV/0!</v>
      </c>
      <c r="AR196" s="23" t="e">
        <f t="shared" ref="AR196" si="1631">AQ148-AR148+AQ163+AQ164-AR163-AR164</f>
        <v>#DIV/0!</v>
      </c>
      <c r="AS196" s="23" t="e">
        <f t="shared" ref="AS196" si="1632">AR148-AS148+AR163+AR164-AS163-AS164</f>
        <v>#DIV/0!</v>
      </c>
      <c r="AT196" s="23" t="e">
        <f t="shared" ref="AT196" si="1633">AS148-AT148+AS163+AS164-AT163-AT164</f>
        <v>#DIV/0!</v>
      </c>
      <c r="AU196" s="23" t="e">
        <f t="shared" ref="AU196" si="1634">AT148-AU148+AT163+AT164-AU163-AU164</f>
        <v>#DIV/0!</v>
      </c>
      <c r="AV196" s="23" t="e">
        <f t="shared" ref="AV196" si="1635">AU148-AV148+AU163+AU164-AV163-AV164</f>
        <v>#DIV/0!</v>
      </c>
      <c r="AW196" s="23" t="e">
        <f t="shared" ref="AW196" si="1636">AV148-AW148+AV163+AV164-AW163-AW164</f>
        <v>#DIV/0!</v>
      </c>
      <c r="AX196" s="23" t="e">
        <f t="shared" ref="AX196" si="1637">AW148-AX148+AW163+AW164-AX163-AX164</f>
        <v>#DIV/0!</v>
      </c>
      <c r="AY196" s="23" t="e">
        <f t="shared" ref="AY196" si="1638">AX148-AY148+AX163+AX164-AY163-AY164</f>
        <v>#DIV/0!</v>
      </c>
      <c r="AZ196" s="23" t="e">
        <f t="shared" ref="AZ196" si="1639">AY148-AZ148+AY163+AY164-AZ163-AZ164</f>
        <v>#DIV/0!</v>
      </c>
      <c r="BA196" s="23" t="e">
        <f t="shared" ref="BA196" si="1640">AZ148-BA148+AZ163+AZ164-BA163-BA164</f>
        <v>#DIV/0!</v>
      </c>
      <c r="BB196" s="23" t="e">
        <f t="shared" ref="BB196" si="1641">BA148-BB148+BA163+BA164-BB163-BB164</f>
        <v>#DIV/0!</v>
      </c>
      <c r="BC196" s="23" t="e">
        <f t="shared" ref="BC196" si="1642">BB148-BC148+BB163+BB164-BC163-BC164</f>
        <v>#DIV/0!</v>
      </c>
      <c r="BD196" s="23" t="e">
        <f t="shared" ref="BD196" si="1643">BC148-BD148+BC163+BC164-BD163-BD164</f>
        <v>#DIV/0!</v>
      </c>
      <c r="BE196" s="23" t="e">
        <f t="shared" ref="BE196" si="1644">BD148-BE148+BD163+BD164-BE163-BE164</f>
        <v>#DIV/0!</v>
      </c>
      <c r="BF196" s="23" t="e">
        <f t="shared" ref="BF196" si="1645">BE148-BF148+BE163+BE164-BF163-BF164</f>
        <v>#DIV/0!</v>
      </c>
      <c r="BG196" s="23" t="e">
        <f t="shared" ref="BG196" si="1646">BF148-BG148+BF163+BF164-BG163-BG164</f>
        <v>#DIV/0!</v>
      </c>
      <c r="BH196" s="23" t="e">
        <f t="shared" ref="BH196" si="1647">BG148-BH148+BG163+BG164-BH163-BH164</f>
        <v>#DIV/0!</v>
      </c>
      <c r="BI196" s="23" t="e">
        <f t="shared" ref="BI196" si="1648">BH148-BI148+BH163+BH164-BI163-BI164</f>
        <v>#DIV/0!</v>
      </c>
      <c r="BJ196" s="23" t="e">
        <f t="shared" ref="BJ196" si="1649">BI148-BJ148+BI163+BI164-BJ163-BJ164</f>
        <v>#DIV/0!</v>
      </c>
      <c r="BK196" s="23" t="e">
        <f t="shared" ref="BK196" si="1650">BJ148-BK148+BJ163+BJ164-BK163-BK164</f>
        <v>#DIV/0!</v>
      </c>
      <c r="BL196" s="23" t="e">
        <f t="shared" ref="BL196" si="1651">BK148-BL148+BK163+BK164-BL163-BL164</f>
        <v>#DIV/0!</v>
      </c>
      <c r="BM196" s="23" t="e">
        <f t="shared" ref="BM196" si="1652">BL148-BM148+BL163+BL164-BM163-BM164</f>
        <v>#DIV/0!</v>
      </c>
      <c r="BN196" s="23" t="e">
        <f t="shared" ref="BN196" si="1653">BM148-BN148+BM163+BM164-BN163-BN164</f>
        <v>#DIV/0!</v>
      </c>
      <c r="BO196" s="23" t="e">
        <f t="shared" ref="BO196" si="1654">BN148-BO148+BN163+BN164-BO163-BO164</f>
        <v>#DIV/0!</v>
      </c>
      <c r="BP196" s="23" t="e">
        <f t="shared" ref="BP196" si="1655">BO148-BP148+BO163+BO164-BP163-BP164</f>
        <v>#DIV/0!</v>
      </c>
      <c r="BQ196" s="23" t="e">
        <f t="shared" ref="BQ196" si="1656">BP148-BQ148+BP163+BP164-BQ163-BQ164</f>
        <v>#DIV/0!</v>
      </c>
      <c r="BR196" s="23" t="e">
        <f t="shared" ref="BR196" si="1657">BQ148-BR148+BQ163+BQ164-BR163-BR164</f>
        <v>#DIV/0!</v>
      </c>
      <c r="BS196" s="23" t="e">
        <f t="shared" ref="BS196" si="1658">BR148-BS148+BR163+BR164-BS163-BS164</f>
        <v>#DIV/0!</v>
      </c>
      <c r="BT196" s="23" t="e">
        <f t="shared" ref="BT196" si="1659">BS148-BT148+BS163+BS164-BT163-BT164</f>
        <v>#DIV/0!</v>
      </c>
      <c r="BU196" s="23">
        <f t="shared" ref="BU196" si="1660">BT148-BU148+BT163+BT164-BU163-BU164</f>
        <v>0</v>
      </c>
      <c r="BV196" s="23">
        <f t="shared" ref="BV196" si="1661">BU148-BV148+BU163+BU164-BV163-BV164</f>
        <v>-388.976</v>
      </c>
      <c r="BW196" s="23">
        <f t="shared" ref="BW196" si="1662">BV148-BW148+BV163+BV164-BW163-BW164</f>
        <v>-20.331309869512324</v>
      </c>
      <c r="BX196" s="23">
        <f t="shared" ref="BX196" si="1663">BW148-BX148+BW163+BW164-BX163-BX164</f>
        <v>131.15230986951232</v>
      </c>
      <c r="BY196" s="23">
        <f t="shared" ref="BY196" si="1664">BX148-BY148+BX163+BX164-BY163-BY164</f>
        <v>-49.812326465527512</v>
      </c>
      <c r="BZ196" s="23">
        <f t="shared" ref="BZ196" si="1665">BY148-BZ148+BY163+BY164-BZ163-BZ164</f>
        <v>31.977326465527526</v>
      </c>
      <c r="CA196" s="23">
        <f t="shared" ref="CA196" si="1666">BZ148-CA148+BZ163+BZ164-CA163-CA164</f>
        <v>29.329847576332156</v>
      </c>
      <c r="CB196" s="23">
        <f t="shared" ref="CB196" si="1667">CA148-CB148+CA163+CA164-CB163-CB164</f>
        <v>2.7461524236678372</v>
      </c>
      <c r="CC196" s="23">
        <f t="shared" ref="CC196" si="1668">CB148-CC148+CB163+CB164-CC163-CC164</f>
        <v>-110.01828954607267</v>
      </c>
      <c r="CD196" s="23">
        <f t="shared" ref="CD196" si="1669">CC148-CD148+CC163+CC164-CD163-CD164</f>
        <v>3.521289546072623</v>
      </c>
      <c r="CE196" s="23">
        <f t="shared" ref="CE196" si="1670">CD148-CE148+CD163+CD164-CE163-CE164</f>
        <v>71.154555699970047</v>
      </c>
      <c r="CF196" s="23">
        <f t="shared" ref="CF196" si="1671">CE148-CF148+CE163+CE164-CF163-CF164</f>
        <v>14.194444300030028</v>
      </c>
      <c r="CG196" s="23">
        <f t="shared" ref="CG196" si="1672">CF148-CG148+CF163+CF164-CG163-CG164</f>
        <v>-1.7746038343973396</v>
      </c>
      <c r="CH196" s="23">
        <f t="shared" ref="CH196:CJ196" si="1673">CG148-CH148+CG163+CG164-CH163-CH164</f>
        <v>-306.49459616560262</v>
      </c>
      <c r="CI196" s="23">
        <f t="shared" si="1673"/>
        <v>109.67473718389829</v>
      </c>
      <c r="CJ196" s="23">
        <f t="shared" si="1673"/>
        <v>-28.187537183898343</v>
      </c>
      <c r="CK196" s="24">
        <f t="shared" ref="CK196" si="1674">CJ148-CK148+CJ163+CJ164-CK163-CK164</f>
        <v>-57.603559386578809</v>
      </c>
      <c r="CL196" s="24">
        <f t="shared" ref="CL196" si="1675">CK148-CL148+CK163+CK164-CL163-CL164</f>
        <v>-387.69449612356016</v>
      </c>
      <c r="CM196" s="24">
        <f t="shared" ref="CM196" si="1676">CL148-CM148+CL163+CL164-CM163-CM164</f>
        <v>177.95850037125683</v>
      </c>
      <c r="CN196" s="24">
        <f t="shared" ref="CN196" si="1677">CM148-CN148+CM163+CM164-CN163-CN164</f>
        <v>218.57905060568532</v>
      </c>
      <c r="CO196" s="24">
        <f t="shared" ref="CO196" si="1678">CN148-CO148+CN163+CN164-CO163-CO164</f>
        <v>-80.567003390838408</v>
      </c>
      <c r="CP196" s="24">
        <f t="shared" ref="CP196" si="1679">CO148-CP148+CO163+CO164-CP163-CP164</f>
        <v>-442.71407244749139</v>
      </c>
      <c r="CQ196" s="24">
        <f t="shared" ref="CQ196" si="1680">CP148-CQ148+CP163+CP164-CQ163-CQ164</f>
        <v>206.80214245343677</v>
      </c>
      <c r="CR196" s="24">
        <f t="shared" ref="CR196" si="1681">CQ148-CR148+CQ163+CQ164-CR163-CR164</f>
        <v>247.15958970674149</v>
      </c>
      <c r="CS196" s="24">
        <f t="shared" ref="CS196" si="1682">CR148-CS148+CR163+CR164-CS163-CS164</f>
        <v>-93.509139180239799</v>
      </c>
      <c r="CT196" s="24">
        <f t="shared" ref="CT196" si="1683">CS148-CT148+CS163+CS164-CT163-CT164</f>
        <v>-491.99011880540377</v>
      </c>
      <c r="CU196" s="24">
        <f t="shared" ref="CU196" si="1684">CT148-CU148+CT163+CT164-CU163-CU164</f>
        <v>231.56987457835635</v>
      </c>
      <c r="CV196" s="24">
        <f t="shared" ref="CV196" si="1685">CU148-CV148+CU163+CU164-CV163-CV164</f>
        <v>274.06625326947142</v>
      </c>
      <c r="CW196" s="24">
        <f t="shared" ref="CW196" si="1686">CV148-CW148+CV163+CV164-CW163-CW164</f>
        <v>-104.48502166708295</v>
      </c>
      <c r="CX196" s="24">
        <f t="shared" ref="CX196" si="1687">CW148-CX148+CW163+CW164-CX163-CX164</f>
        <v>-545.06534293504774</v>
      </c>
      <c r="CY196" s="24">
        <f t="shared" ref="CY196" si="1688">CX148-CY148+CX163+CX164-CY163-CY164</f>
        <v>257.01409454934674</v>
      </c>
      <c r="CZ196" s="24">
        <f t="shared" ref="CZ196" si="1689">CY148-CZ148+CY163+CY164-CZ163-CZ164</f>
        <v>303.53438512579146</v>
      </c>
      <c r="DA196" s="24">
        <f t="shared" ref="DA196" si="1690">CZ148-DA148+CZ163+CZ164-DA163-DA164</f>
        <v>-115.90782462936545</v>
      </c>
      <c r="DB196" s="24">
        <f t="shared" ref="DB196" si="1691">DA148-DB148+DA163+DA164-DB163-DB164</f>
        <v>-603.78658321935791</v>
      </c>
      <c r="DE196" s="123"/>
      <c r="DF196" s="23">
        <v>-307.23610000000008</v>
      </c>
    </row>
    <row r="197" spans="1:110" s="23" customFormat="1" x14ac:dyDescent="0.2">
      <c r="A197" s="23" t="s">
        <v>73</v>
      </c>
      <c r="C197" s="23">
        <f t="shared" ref="C197:AA197" si="1692">B156-C156</f>
        <v>0</v>
      </c>
      <c r="D197" s="23">
        <f t="shared" si="1692"/>
        <v>0</v>
      </c>
      <c r="E197" s="23">
        <f>D156-E156</f>
        <v>0</v>
      </c>
      <c r="F197" s="23">
        <f t="shared" si="1692"/>
        <v>0</v>
      </c>
      <c r="G197" s="23">
        <f t="shared" si="1692"/>
        <v>0</v>
      </c>
      <c r="H197" s="23">
        <f t="shared" si="1692"/>
        <v>0</v>
      </c>
      <c r="I197" s="23">
        <f t="shared" si="1692"/>
        <v>0</v>
      </c>
      <c r="J197" s="23">
        <f>I156-J156</f>
        <v>0</v>
      </c>
      <c r="K197" s="23">
        <f>J156-K156</f>
        <v>0</v>
      </c>
      <c r="L197" s="23">
        <f t="shared" si="1692"/>
        <v>0</v>
      </c>
      <c r="M197" s="23">
        <f t="shared" si="1692"/>
        <v>0</v>
      </c>
      <c r="N197" s="23">
        <f t="shared" si="1692"/>
        <v>0</v>
      </c>
      <c r="O197" s="23">
        <f t="shared" si="1692"/>
        <v>0</v>
      </c>
      <c r="P197" s="23">
        <f t="shared" si="1692"/>
        <v>-211.50099999999998</v>
      </c>
      <c r="Q197" s="23">
        <f t="shared" si="1692"/>
        <v>-54.307299999999998</v>
      </c>
      <c r="R197" s="23">
        <f t="shared" si="1692"/>
        <v>-30.087899999999991</v>
      </c>
      <c r="S197" s="23">
        <f t="shared" si="1692"/>
        <v>-20.270400000000052</v>
      </c>
      <c r="T197" s="23">
        <f t="shared" si="1692"/>
        <v>-147.88739999999996</v>
      </c>
      <c r="U197" s="23">
        <f t="shared" si="1692"/>
        <v>-101.29600000000005</v>
      </c>
      <c r="V197" s="23">
        <f t="shared" si="1692"/>
        <v>63.730999999999995</v>
      </c>
      <c r="W197" s="23">
        <f t="shared" si="1692"/>
        <v>87.035800000000052</v>
      </c>
      <c r="X197" s="23">
        <f t="shared" si="1692"/>
        <v>206.32379999999995</v>
      </c>
      <c r="Y197" s="23">
        <f t="shared" si="1692"/>
        <v>-87.099300000000028</v>
      </c>
      <c r="Z197" s="23">
        <f t="shared" si="1692"/>
        <v>-94.798199999999952</v>
      </c>
      <c r="AA197" s="23">
        <f t="shared" si="1692"/>
        <v>-49.17470000000003</v>
      </c>
      <c r="AB197" s="24">
        <f t="shared" ref="AB197" si="1693">AA156-AB156</f>
        <v>48.376057337663326</v>
      </c>
      <c r="AC197" s="24">
        <f t="shared" ref="AC197" si="1694">AB156-AC156</f>
        <v>-42.844669440810321</v>
      </c>
      <c r="AD197" s="24">
        <f t="shared" ref="AD197" si="1695">AC156-AD156</f>
        <v>-46.876036802958595</v>
      </c>
      <c r="AE197" s="24">
        <f t="shared" ref="AE197" si="1696">AD156-AE156</f>
        <v>-51.837334195380947</v>
      </c>
      <c r="AI197" s="23">
        <f t="shared" ref="AI197" si="1697">AH156-AI156</f>
        <v>0</v>
      </c>
      <c r="AJ197" s="23">
        <f t="shared" ref="AJ197" si="1698">AI156-AJ156</f>
        <v>0</v>
      </c>
      <c r="AK197" s="23" t="e">
        <f t="shared" ref="AK197" si="1699">AJ156-AK156</f>
        <v>#DIV/0!</v>
      </c>
      <c r="AL197" s="23" t="e">
        <f t="shared" ref="AL197" si="1700">AK156-AL156</f>
        <v>#DIV/0!</v>
      </c>
      <c r="AM197" s="23" t="e">
        <f t="shared" ref="AM197" si="1701">AL156-AM156</f>
        <v>#DIV/0!</v>
      </c>
      <c r="AN197" s="23" t="e">
        <f t="shared" ref="AN197" si="1702">AM156-AN156</f>
        <v>#DIV/0!</v>
      </c>
      <c r="AO197" s="23" t="e">
        <f t="shared" ref="AO197" si="1703">AN156-AO156</f>
        <v>#DIV/0!</v>
      </c>
      <c r="AP197" s="23" t="e">
        <f t="shared" ref="AP197" si="1704">AO156-AP156</f>
        <v>#DIV/0!</v>
      </c>
      <c r="AQ197" s="23" t="e">
        <f t="shared" ref="AQ197" si="1705">AP156-AQ156</f>
        <v>#DIV/0!</v>
      </c>
      <c r="AR197" s="23" t="e">
        <f t="shared" ref="AR197" si="1706">AQ156-AR156</f>
        <v>#DIV/0!</v>
      </c>
      <c r="AS197" s="23" t="e">
        <f t="shared" ref="AS197" si="1707">AR156-AS156</f>
        <v>#DIV/0!</v>
      </c>
      <c r="AT197" s="23" t="e">
        <f t="shared" ref="AT197" si="1708">AS156-AT156</f>
        <v>#DIV/0!</v>
      </c>
      <c r="AU197" s="23" t="e">
        <f t="shared" ref="AU197" si="1709">AT156-AU156</f>
        <v>#DIV/0!</v>
      </c>
      <c r="AV197" s="23" t="e">
        <f t="shared" ref="AV197" si="1710">AU156-AV156</f>
        <v>#DIV/0!</v>
      </c>
      <c r="AW197" s="23" t="e">
        <f t="shared" ref="AW197" si="1711">AV156-AW156</f>
        <v>#DIV/0!</v>
      </c>
      <c r="AX197" s="23" t="e">
        <f t="shared" ref="AX197" si="1712">AW156-AX156</f>
        <v>#DIV/0!</v>
      </c>
      <c r="AY197" s="23" t="e">
        <f t="shared" ref="AY197" si="1713">AX156-AY156</f>
        <v>#DIV/0!</v>
      </c>
      <c r="AZ197" s="23" t="e">
        <f t="shared" ref="AZ197" si="1714">AY156-AZ156</f>
        <v>#DIV/0!</v>
      </c>
      <c r="BA197" s="23" t="e">
        <f t="shared" ref="BA197" si="1715">AZ156-BA156</f>
        <v>#DIV/0!</v>
      </c>
      <c r="BB197" s="23" t="e">
        <f t="shared" ref="BB197" si="1716">BA156-BB156</f>
        <v>#DIV/0!</v>
      </c>
      <c r="BC197" s="23" t="e">
        <f t="shared" ref="BC197" si="1717">BB156-BC156</f>
        <v>#DIV/0!</v>
      </c>
      <c r="BD197" s="23" t="e">
        <f t="shared" ref="BD197" si="1718">BC156-BD156</f>
        <v>#DIV/0!</v>
      </c>
      <c r="BE197" s="23" t="e">
        <f t="shared" ref="BE197" si="1719">BD156-BE156</f>
        <v>#DIV/0!</v>
      </c>
      <c r="BF197" s="23" t="e">
        <f t="shared" ref="BF197" si="1720">BE156-BF156</f>
        <v>#DIV/0!</v>
      </c>
      <c r="BG197" s="23" t="e">
        <f t="shared" ref="BG197" si="1721">BF156-BG156</f>
        <v>#DIV/0!</v>
      </c>
      <c r="BH197" s="23" t="e">
        <f t="shared" ref="BH197" si="1722">BG156-BH156</f>
        <v>#DIV/0!</v>
      </c>
      <c r="BI197" s="23" t="e">
        <f t="shared" ref="BI197" si="1723">BH156-BI156</f>
        <v>#DIV/0!</v>
      </c>
      <c r="BJ197" s="23" t="e">
        <f t="shared" ref="BJ197" si="1724">BI156-BJ156</f>
        <v>#DIV/0!</v>
      </c>
      <c r="BK197" s="23" t="e">
        <f t="shared" ref="BK197" si="1725">BJ156-BK156</f>
        <v>#DIV/0!</v>
      </c>
      <c r="BL197" s="23" t="e">
        <f t="shared" ref="BL197" si="1726">BK156-BL156</f>
        <v>#DIV/0!</v>
      </c>
      <c r="BM197" s="23" t="e">
        <f t="shared" ref="BM197" si="1727">BL156-BM156</f>
        <v>#DIV/0!</v>
      </c>
      <c r="BN197" s="23" t="e">
        <f t="shared" ref="BN197" si="1728">BM156-BN156</f>
        <v>#DIV/0!</v>
      </c>
      <c r="BO197" s="23" t="e">
        <f t="shared" ref="BO197" si="1729">BN156-BO156</f>
        <v>#DIV/0!</v>
      </c>
      <c r="BP197" s="23" t="e">
        <f t="shared" ref="BP197" si="1730">BO156-BP156</f>
        <v>#DIV/0!</v>
      </c>
      <c r="BQ197" s="23" t="e">
        <f t="shared" ref="BQ197" si="1731">BP156-BQ156</f>
        <v>#DIV/0!</v>
      </c>
      <c r="BR197" s="23" t="e">
        <f t="shared" ref="BR197" si="1732">BQ156-BR156</f>
        <v>#DIV/0!</v>
      </c>
      <c r="BS197" s="23" t="e">
        <f t="shared" ref="BS197" si="1733">BR156-BS156</f>
        <v>#DIV/0!</v>
      </c>
      <c r="BT197" s="23" t="e">
        <f t="shared" ref="BT197" si="1734">BS156-BT156</f>
        <v>#DIV/0!</v>
      </c>
      <c r="BU197" s="23">
        <f t="shared" ref="BU197" si="1735">BT156-BU156</f>
        <v>0</v>
      </c>
      <c r="BV197" s="23">
        <f t="shared" ref="BV197" si="1736">BU156-BV156</f>
        <v>-414.58300000000003</v>
      </c>
      <c r="BW197" s="23">
        <f t="shared" ref="BW197" si="1737">BV156-BW156</f>
        <v>-8.3396543657843836</v>
      </c>
      <c r="BX197" s="23">
        <f t="shared" ref="BX197" si="1738">BW156-BX156</f>
        <v>162.83465436578439</v>
      </c>
      <c r="BY197" s="23">
        <f t="shared" ref="BY197" si="1739">BX156-BY156</f>
        <v>-21.869508877493615</v>
      </c>
      <c r="BZ197" s="23">
        <f t="shared" ref="BZ197" si="1740">BY156-BZ156</f>
        <v>94.491508877493629</v>
      </c>
      <c r="CA197" s="23">
        <f t="shared" ref="CA197" si="1741">BZ156-CA156</f>
        <v>9.8162692513893433</v>
      </c>
      <c r="CB197" s="23">
        <f t="shared" ref="CB197" si="1742">CA156-CB156</f>
        <v>10.028730748610656</v>
      </c>
      <c r="CC197" s="23">
        <f t="shared" ref="CC197" si="1743">CB156-CC156</f>
        <v>-42.235788907441531</v>
      </c>
      <c r="CD197" s="23">
        <f t="shared" ref="CD197" si="1744">CC156-CD156</f>
        <v>38.876788907441522</v>
      </c>
      <c r="CE197" s="23">
        <f t="shared" ref="CE197" si="1745">CD156-CE156</f>
        <v>25.035982962610746</v>
      </c>
      <c r="CF197" s="23">
        <f t="shared" ref="CF197" si="1746">CE156-CF156</f>
        <v>-6.0029829626107301</v>
      </c>
      <c r="CG197" s="23">
        <f t="shared" ref="CG197" si="1747">CF156-CG156</f>
        <v>-0.73996700837994922</v>
      </c>
      <c r="CH197" s="23">
        <f t="shared" ref="CH197:CJ197" si="1748">CG156-CH156</f>
        <v>-237.46993299162006</v>
      </c>
      <c r="CI197" s="23">
        <f t="shared" si="1748"/>
        <v>60.083193916840571</v>
      </c>
      <c r="CJ197" s="23">
        <f t="shared" si="1748"/>
        <v>125.44470608315942</v>
      </c>
      <c r="CK197" s="24">
        <f t="shared" ref="CK197" si="1749">CJ156-CK156</f>
        <v>-18.762748083058852</v>
      </c>
      <c r="CL197" s="24">
        <f t="shared" ref="CL197" si="1750">CK156-CL156</f>
        <v>-126.28063684636885</v>
      </c>
      <c r="CM197" s="24">
        <f t="shared" ref="CM197" si="1751">CL156-CM156</f>
        <v>57.965003330727939</v>
      </c>
      <c r="CN197" s="24">
        <f t="shared" ref="CN197" si="1752">CM156-CN156</f>
        <v>71.196011260793483</v>
      </c>
      <c r="CO197" s="24">
        <f t="shared" ref="CO197" si="1753">CN156-CO156</f>
        <v>-26.242447593984224</v>
      </c>
      <c r="CP197" s="24">
        <f t="shared" ref="CP197" si="1754">CO156-CP156</f>
        <v>-144.20172473044619</v>
      </c>
      <c r="CQ197" s="24">
        <f t="shared" ref="CQ197" si="1755">CP156-CQ156</f>
        <v>67.360012874390804</v>
      </c>
      <c r="CR197" s="24">
        <f t="shared" ref="CR197" si="1756">CQ156-CR156</f>
        <v>80.505322368330212</v>
      </c>
      <c r="CS197" s="24">
        <f t="shared" ref="CS197" si="1757">CR156-CS156</f>
        <v>-30.457986287411813</v>
      </c>
      <c r="CT197" s="24">
        <f t="shared" ref="CT197" si="1758">CS156-CT156</f>
        <v>-160.25201839611952</v>
      </c>
      <c r="CU197" s="24">
        <f t="shared" ref="CU197" si="1759">CT156-CU156</f>
        <v>75.427408767930388</v>
      </c>
      <c r="CV197" s="24">
        <f t="shared" ref="CV197" si="1760">CU156-CV156</f>
        <v>89.269415343819958</v>
      </c>
      <c r="CW197" s="24">
        <f t="shared" ref="CW197" si="1761">CV156-CW156</f>
        <v>-34.033072970994056</v>
      </c>
      <c r="CX197" s="24">
        <f t="shared" ref="CX197" si="1762">CW156-CX156</f>
        <v>-177.53978794371488</v>
      </c>
      <c r="CY197" s="24">
        <f t="shared" ref="CY197" si="1763">CX156-CY156</f>
        <v>83.715151653430951</v>
      </c>
      <c r="CZ197" s="24">
        <f t="shared" ref="CZ197" si="1764">CY156-CZ156</f>
        <v>98.86783496209307</v>
      </c>
      <c r="DA197" s="24">
        <f t="shared" ref="DA197" si="1765">CZ156-DA156</f>
        <v>-37.753731497412446</v>
      </c>
      <c r="DB197" s="24">
        <f t="shared" ref="DB197" si="1766">DA156-DB156</f>
        <v>-196.66658931349252</v>
      </c>
      <c r="DE197" s="123"/>
      <c r="DF197" s="23">
        <v>-49.17470000000003</v>
      </c>
    </row>
    <row r="198" spans="1:110" s="22" customFormat="1" x14ac:dyDescent="0.2">
      <c r="A198" s="22" t="s">
        <v>90</v>
      </c>
      <c r="C198" s="22">
        <f t="shared" ref="C198:W198" si="1767">C196-C197</f>
        <v>0</v>
      </c>
      <c r="D198" s="22">
        <f t="shared" si="1767"/>
        <v>0</v>
      </c>
      <c r="E198" s="22">
        <f t="shared" si="1767"/>
        <v>0</v>
      </c>
      <c r="F198" s="22">
        <f t="shared" si="1767"/>
        <v>0</v>
      </c>
      <c r="G198" s="22">
        <f t="shared" si="1767"/>
        <v>0</v>
      </c>
      <c r="H198" s="22">
        <f t="shared" si="1767"/>
        <v>0</v>
      </c>
      <c r="I198" s="22">
        <f t="shared" si="1767"/>
        <v>0</v>
      </c>
      <c r="J198" s="22">
        <f>J196-J197</f>
        <v>0</v>
      </c>
      <c r="K198" s="22">
        <f t="shared" si="1767"/>
        <v>0</v>
      </c>
      <c r="L198" s="22">
        <f t="shared" si="1767"/>
        <v>0</v>
      </c>
      <c r="M198" s="22">
        <f t="shared" si="1767"/>
        <v>0</v>
      </c>
      <c r="N198" s="22">
        <f t="shared" si="1767"/>
        <v>0</v>
      </c>
      <c r="O198" s="22">
        <f t="shared" si="1767"/>
        <v>0</v>
      </c>
      <c r="P198" s="22">
        <f t="shared" si="1767"/>
        <v>-44.617700000000013</v>
      </c>
      <c r="Q198" s="22">
        <f t="shared" si="1767"/>
        <v>89.204400000000007</v>
      </c>
      <c r="R198" s="22">
        <f t="shared" si="1767"/>
        <v>-2.1366000000000014</v>
      </c>
      <c r="S198" s="22">
        <f t="shared" si="1767"/>
        <v>-29.906899999999965</v>
      </c>
      <c r="T198" s="22">
        <f t="shared" si="1767"/>
        <v>183.82380000000001</v>
      </c>
      <c r="U198" s="22">
        <f t="shared" si="1767"/>
        <v>85.984000000000023</v>
      </c>
      <c r="V198" s="22">
        <f t="shared" si="1767"/>
        <v>-80.460599999999971</v>
      </c>
      <c r="W198" s="22">
        <f t="shared" si="1767"/>
        <v>-135.72750000000008</v>
      </c>
      <c r="X198" s="22">
        <f t="shared" ref="X198:Y198" si="1768">X196-X197</f>
        <v>-129.66289999999992</v>
      </c>
      <c r="Y198" s="22">
        <f t="shared" si="1768"/>
        <v>-94.349500000000091</v>
      </c>
      <c r="Z198" s="22">
        <f t="shared" ref="Z198:AA198" si="1769">Z196-Z197</f>
        <v>-45.324799999999868</v>
      </c>
      <c r="AA198" s="22">
        <f t="shared" si="1769"/>
        <v>-258.06140000000005</v>
      </c>
      <c r="AB198" s="21">
        <f t="shared" ref="AB198:AD198" si="1770">AB196-AB197</f>
        <v>-231.69433770918997</v>
      </c>
      <c r="AC198" s="21">
        <f t="shared" si="1770"/>
        <v>-88.692856384654988</v>
      </c>
      <c r="AD198" s="21">
        <f t="shared" si="1770"/>
        <v>-97.038199951344353</v>
      </c>
      <c r="AE198" s="21">
        <f t="shared" ref="AE198" si="1771">AE196-AE197</f>
        <v>-107.30859397820424</v>
      </c>
      <c r="AI198" s="22">
        <f t="shared" ref="AI198" si="1772">AI196-AI197</f>
        <v>0</v>
      </c>
      <c r="AJ198" s="22">
        <f t="shared" ref="AJ198:AL198" si="1773">AJ196-AJ197</f>
        <v>0</v>
      </c>
      <c r="AK198" s="22" t="e">
        <f t="shared" si="1773"/>
        <v>#DIV/0!</v>
      </c>
      <c r="AL198" s="22" t="e">
        <f t="shared" si="1773"/>
        <v>#DIV/0!</v>
      </c>
      <c r="AM198" s="22" t="e">
        <f t="shared" ref="AM198" si="1774">AM196-AM197</f>
        <v>#DIV/0!</v>
      </c>
      <c r="AN198" s="22" t="e">
        <f t="shared" ref="AN198:CD198" si="1775">AN196-AN197</f>
        <v>#DIV/0!</v>
      </c>
      <c r="AO198" s="22" t="e">
        <f t="shared" si="1775"/>
        <v>#DIV/0!</v>
      </c>
      <c r="AP198" s="22" t="e">
        <f t="shared" si="1775"/>
        <v>#DIV/0!</v>
      </c>
      <c r="AQ198" s="22" t="e">
        <f t="shared" si="1775"/>
        <v>#DIV/0!</v>
      </c>
      <c r="AR198" s="22" t="e">
        <f t="shared" si="1775"/>
        <v>#DIV/0!</v>
      </c>
      <c r="AS198" s="22" t="e">
        <f t="shared" si="1775"/>
        <v>#DIV/0!</v>
      </c>
      <c r="AT198" s="22" t="e">
        <f t="shared" si="1775"/>
        <v>#DIV/0!</v>
      </c>
      <c r="AU198" s="22" t="e">
        <f t="shared" si="1775"/>
        <v>#DIV/0!</v>
      </c>
      <c r="AV198" s="22" t="e">
        <f t="shared" si="1775"/>
        <v>#DIV/0!</v>
      </c>
      <c r="AW198" s="22" t="e">
        <f t="shared" si="1775"/>
        <v>#DIV/0!</v>
      </c>
      <c r="AX198" s="22" t="e">
        <f t="shared" si="1775"/>
        <v>#DIV/0!</v>
      </c>
      <c r="AY198" s="22" t="e">
        <f t="shared" si="1775"/>
        <v>#DIV/0!</v>
      </c>
      <c r="AZ198" s="22" t="e">
        <f t="shared" si="1775"/>
        <v>#DIV/0!</v>
      </c>
      <c r="BA198" s="22" t="e">
        <f t="shared" si="1775"/>
        <v>#DIV/0!</v>
      </c>
      <c r="BB198" s="22" t="e">
        <f t="shared" si="1775"/>
        <v>#DIV/0!</v>
      </c>
      <c r="BC198" s="22" t="e">
        <f t="shared" si="1775"/>
        <v>#DIV/0!</v>
      </c>
      <c r="BD198" s="22" t="e">
        <f t="shared" si="1775"/>
        <v>#DIV/0!</v>
      </c>
      <c r="BE198" s="22" t="e">
        <f t="shared" si="1775"/>
        <v>#DIV/0!</v>
      </c>
      <c r="BF198" s="22" t="e">
        <f t="shared" si="1775"/>
        <v>#DIV/0!</v>
      </c>
      <c r="BG198" s="22" t="e">
        <f t="shared" si="1775"/>
        <v>#DIV/0!</v>
      </c>
      <c r="BH198" s="22" t="e">
        <f t="shared" si="1775"/>
        <v>#DIV/0!</v>
      </c>
      <c r="BI198" s="22" t="e">
        <f t="shared" si="1775"/>
        <v>#DIV/0!</v>
      </c>
      <c r="BJ198" s="22" t="e">
        <f t="shared" si="1775"/>
        <v>#DIV/0!</v>
      </c>
      <c r="BK198" s="22" t="e">
        <f t="shared" si="1775"/>
        <v>#DIV/0!</v>
      </c>
      <c r="BL198" s="22" t="e">
        <f t="shared" si="1775"/>
        <v>#DIV/0!</v>
      </c>
      <c r="BM198" s="22" t="e">
        <f t="shared" si="1775"/>
        <v>#DIV/0!</v>
      </c>
      <c r="BN198" s="22" t="e">
        <f t="shared" si="1775"/>
        <v>#DIV/0!</v>
      </c>
      <c r="BO198" s="22" t="e">
        <f t="shared" si="1775"/>
        <v>#DIV/0!</v>
      </c>
      <c r="BP198" s="22" t="e">
        <f t="shared" si="1775"/>
        <v>#DIV/0!</v>
      </c>
      <c r="BQ198" s="22" t="e">
        <f t="shared" si="1775"/>
        <v>#DIV/0!</v>
      </c>
      <c r="BR198" s="22" t="e">
        <f t="shared" si="1775"/>
        <v>#DIV/0!</v>
      </c>
      <c r="BS198" s="22" t="e">
        <f t="shared" si="1775"/>
        <v>#DIV/0!</v>
      </c>
      <c r="BT198" s="22" t="e">
        <f t="shared" si="1775"/>
        <v>#DIV/0!</v>
      </c>
      <c r="BU198" s="22">
        <f t="shared" si="1775"/>
        <v>0</v>
      </c>
      <c r="BV198" s="22">
        <f t="shared" si="1775"/>
        <v>25.607000000000028</v>
      </c>
      <c r="BW198" s="22">
        <f t="shared" si="1775"/>
        <v>-11.991655503727941</v>
      </c>
      <c r="BX198" s="22">
        <f t="shared" si="1775"/>
        <v>-31.682344496272066</v>
      </c>
      <c r="BY198" s="22">
        <f t="shared" si="1775"/>
        <v>-27.942817588033897</v>
      </c>
      <c r="BZ198" s="22">
        <f t="shared" si="1775"/>
        <v>-62.514182411966104</v>
      </c>
      <c r="CA198" s="22">
        <f t="shared" si="1775"/>
        <v>19.513578324942813</v>
      </c>
      <c r="CB198" s="22">
        <f t="shared" si="1775"/>
        <v>-7.2825783249428184</v>
      </c>
      <c r="CC198" s="22">
        <f t="shared" si="1775"/>
        <v>-67.782500638631134</v>
      </c>
      <c r="CD198" s="22">
        <f t="shared" si="1775"/>
        <v>-35.355499361368899</v>
      </c>
      <c r="CE198" s="22">
        <f t="shared" ref="CE198:CF198" si="1776">CE196-CE197</f>
        <v>46.118572737359301</v>
      </c>
      <c r="CF198" s="22">
        <f t="shared" si="1776"/>
        <v>20.197427262640758</v>
      </c>
      <c r="CG198" s="22">
        <f t="shared" ref="CG198:CH198" si="1777">CG196-CG197</f>
        <v>-1.0346368260173904</v>
      </c>
      <c r="CH198" s="22">
        <f t="shared" si="1777"/>
        <v>-69.02466317398256</v>
      </c>
      <c r="CI198" s="22">
        <f t="shared" ref="CI198:CJ198" si="1778">CI196-CI197</f>
        <v>49.591543267057716</v>
      </c>
      <c r="CJ198" s="22">
        <f t="shared" si="1778"/>
        <v>-153.63224326705776</v>
      </c>
      <c r="CK198" s="21">
        <f t="shared" ref="CK198:DB198" si="1779">CK196-CK197</f>
        <v>-38.840811303519956</v>
      </c>
      <c r="CL198" s="21">
        <f t="shared" si="1779"/>
        <v>-261.41385927719131</v>
      </c>
      <c r="CM198" s="21">
        <f t="shared" si="1779"/>
        <v>119.99349704052889</v>
      </c>
      <c r="CN198" s="21">
        <f t="shared" si="1779"/>
        <v>147.38303934489184</v>
      </c>
      <c r="CO198" s="21">
        <f t="shared" si="1779"/>
        <v>-54.324555796854185</v>
      </c>
      <c r="CP198" s="21">
        <f t="shared" si="1779"/>
        <v>-298.5123477170452</v>
      </c>
      <c r="CQ198" s="21">
        <f t="shared" si="1779"/>
        <v>139.44212957904597</v>
      </c>
      <c r="CR198" s="21">
        <f t="shared" si="1779"/>
        <v>166.65426733841127</v>
      </c>
      <c r="CS198" s="21">
        <f t="shared" si="1779"/>
        <v>-63.051152892827986</v>
      </c>
      <c r="CT198" s="21">
        <f t="shared" si="1779"/>
        <v>-331.73810040928424</v>
      </c>
      <c r="CU198" s="21">
        <f t="shared" si="1779"/>
        <v>156.14246581042596</v>
      </c>
      <c r="CV198" s="21">
        <f t="shared" si="1779"/>
        <v>184.79683792565146</v>
      </c>
      <c r="CW198" s="21">
        <f t="shared" si="1779"/>
        <v>-70.451948696088891</v>
      </c>
      <c r="CX198" s="21">
        <f t="shared" si="1779"/>
        <v>-367.52555499133285</v>
      </c>
      <c r="CY198" s="21">
        <f t="shared" si="1779"/>
        <v>173.29894289591579</v>
      </c>
      <c r="CZ198" s="21">
        <f t="shared" si="1779"/>
        <v>204.66655016369839</v>
      </c>
      <c r="DA198" s="21">
        <f t="shared" si="1779"/>
        <v>-78.154093131953005</v>
      </c>
      <c r="DB198" s="21">
        <f t="shared" si="1779"/>
        <v>-407.11999390586539</v>
      </c>
      <c r="DE198" s="126"/>
      <c r="DF198" s="22">
        <v>-258.06140000000005</v>
      </c>
    </row>
    <row r="199" spans="1:110" s="22" customFormat="1" x14ac:dyDescent="0.2">
      <c r="A199" s="22" t="s">
        <v>91</v>
      </c>
      <c r="C199" s="22">
        <f t="shared" ref="C199:W199" si="1780">C195+C198</f>
        <v>0</v>
      </c>
      <c r="D199" s="22">
        <f>D195+D198</f>
        <v>0</v>
      </c>
      <c r="E199" s="22">
        <f t="shared" si="1780"/>
        <v>0</v>
      </c>
      <c r="F199" s="22">
        <f t="shared" si="1780"/>
        <v>0</v>
      </c>
      <c r="G199" s="22">
        <f t="shared" si="1780"/>
        <v>0</v>
      </c>
      <c r="H199" s="22">
        <f t="shared" si="1780"/>
        <v>0</v>
      </c>
      <c r="I199" s="22">
        <f t="shared" si="1780"/>
        <v>0</v>
      </c>
      <c r="J199" s="22">
        <f>J195+J198</f>
        <v>0</v>
      </c>
      <c r="K199" s="22">
        <f t="shared" si="1780"/>
        <v>0</v>
      </c>
      <c r="L199" s="22">
        <f t="shared" si="1780"/>
        <v>0</v>
      </c>
      <c r="M199" s="22">
        <f t="shared" si="1780"/>
        <v>0</v>
      </c>
      <c r="N199" s="22">
        <f t="shared" si="1780"/>
        <v>0</v>
      </c>
      <c r="O199" s="22">
        <f t="shared" si="1780"/>
        <v>0</v>
      </c>
      <c r="P199" s="22">
        <f t="shared" si="1780"/>
        <v>51.395899999999983</v>
      </c>
      <c r="Q199" s="22">
        <f t="shared" si="1780"/>
        <v>74.964200000000019</v>
      </c>
      <c r="R199" s="22">
        <f t="shared" si="1780"/>
        <v>5.6014999999999873</v>
      </c>
      <c r="S199" s="22">
        <f t="shared" si="1780"/>
        <v>-36.351600000000005</v>
      </c>
      <c r="T199" s="22">
        <f t="shared" si="1780"/>
        <v>273.11279999999999</v>
      </c>
      <c r="U199" s="22">
        <f t="shared" si="1780"/>
        <v>101.51000000000002</v>
      </c>
      <c r="V199" s="22">
        <f t="shared" si="1780"/>
        <v>41.50950000000006</v>
      </c>
      <c r="W199" s="22">
        <f t="shared" si="1780"/>
        <v>119.44229999999988</v>
      </c>
      <c r="X199" s="22">
        <f t="shared" ref="X199:Y199" si="1781">X195+X198</f>
        <v>321.52970000000016</v>
      </c>
      <c r="Y199" s="22">
        <f t="shared" si="1781"/>
        <v>294.96510000000001</v>
      </c>
      <c r="Z199" s="22">
        <f t="shared" ref="Z199:AA199" si="1782">Z195+Z198</f>
        <v>196.20840000000027</v>
      </c>
      <c r="AA199" s="22">
        <f t="shared" si="1782"/>
        <v>-58.313299999999941</v>
      </c>
      <c r="AB199" s="21">
        <f t="shared" ref="AB199:AD199" si="1783">AB195+AB198</f>
        <v>14.298308375572361</v>
      </c>
      <c r="AC199" s="21">
        <f t="shared" si="1783"/>
        <v>140.17654001363309</v>
      </c>
      <c r="AD199" s="21">
        <f t="shared" si="1783"/>
        <v>122.423021668465</v>
      </c>
      <c r="AE199" s="21">
        <f t="shared" ref="AE199" si="1784">AE195+AE198</f>
        <v>109.12889845911411</v>
      </c>
      <c r="AI199" s="22">
        <f t="shared" ref="AI199" si="1785">AI195+AI198</f>
        <v>0</v>
      </c>
      <c r="AJ199" s="22">
        <f t="shared" ref="AJ199:AL199" si="1786">AJ195+AJ198</f>
        <v>0</v>
      </c>
      <c r="AK199" s="22" t="e">
        <f t="shared" si="1786"/>
        <v>#DIV/0!</v>
      </c>
      <c r="AL199" s="22" t="e">
        <f t="shared" si="1786"/>
        <v>#DIV/0!</v>
      </c>
      <c r="AM199" s="22" t="e">
        <f t="shared" ref="AM199" si="1787">AM195+AM198</f>
        <v>#DIV/0!</v>
      </c>
      <c r="AN199" s="22" t="e">
        <f t="shared" ref="AN199:CD199" si="1788">AN195+AN198</f>
        <v>#DIV/0!</v>
      </c>
      <c r="AO199" s="22" t="e">
        <f t="shared" si="1788"/>
        <v>#DIV/0!</v>
      </c>
      <c r="AP199" s="22" t="e">
        <f t="shared" si="1788"/>
        <v>#DIV/0!</v>
      </c>
      <c r="AQ199" s="22" t="e">
        <f t="shared" si="1788"/>
        <v>#DIV/0!</v>
      </c>
      <c r="AR199" s="22" t="e">
        <f t="shared" si="1788"/>
        <v>#DIV/0!</v>
      </c>
      <c r="AS199" s="22" t="e">
        <f t="shared" si="1788"/>
        <v>#DIV/0!</v>
      </c>
      <c r="AT199" s="22" t="e">
        <f t="shared" si="1788"/>
        <v>#DIV/0!</v>
      </c>
      <c r="AU199" s="22" t="e">
        <f t="shared" si="1788"/>
        <v>#DIV/0!</v>
      </c>
      <c r="AV199" s="22" t="e">
        <f t="shared" si="1788"/>
        <v>#DIV/0!</v>
      </c>
      <c r="AW199" s="22" t="e">
        <f t="shared" si="1788"/>
        <v>#DIV/0!</v>
      </c>
      <c r="AX199" s="22" t="e">
        <f t="shared" si="1788"/>
        <v>#DIV/0!</v>
      </c>
      <c r="AY199" s="22" t="e">
        <f t="shared" si="1788"/>
        <v>#DIV/0!</v>
      </c>
      <c r="AZ199" s="22" t="e">
        <f t="shared" si="1788"/>
        <v>#DIV/0!</v>
      </c>
      <c r="BA199" s="22" t="e">
        <f t="shared" si="1788"/>
        <v>#DIV/0!</v>
      </c>
      <c r="BB199" s="22" t="e">
        <f t="shared" si="1788"/>
        <v>#DIV/0!</v>
      </c>
      <c r="BC199" s="22" t="e">
        <f t="shared" si="1788"/>
        <v>#DIV/0!</v>
      </c>
      <c r="BD199" s="22" t="e">
        <f t="shared" si="1788"/>
        <v>#DIV/0!</v>
      </c>
      <c r="BE199" s="22" t="e">
        <f t="shared" si="1788"/>
        <v>#DIV/0!</v>
      </c>
      <c r="BF199" s="22" t="e">
        <f t="shared" si="1788"/>
        <v>#DIV/0!</v>
      </c>
      <c r="BG199" s="22" t="e">
        <f t="shared" si="1788"/>
        <v>#DIV/0!</v>
      </c>
      <c r="BH199" s="22" t="e">
        <f t="shared" si="1788"/>
        <v>#DIV/0!</v>
      </c>
      <c r="BI199" s="22" t="e">
        <f t="shared" si="1788"/>
        <v>#DIV/0!</v>
      </c>
      <c r="BJ199" s="22" t="e">
        <f t="shared" si="1788"/>
        <v>#DIV/0!</v>
      </c>
      <c r="BK199" s="22" t="e">
        <f t="shared" si="1788"/>
        <v>#DIV/0!</v>
      </c>
      <c r="BL199" s="22" t="e">
        <f t="shared" si="1788"/>
        <v>#DIV/0!</v>
      </c>
      <c r="BM199" s="22" t="e">
        <f t="shared" si="1788"/>
        <v>#DIV/0!</v>
      </c>
      <c r="BN199" s="22" t="e">
        <f t="shared" si="1788"/>
        <v>#DIV/0!</v>
      </c>
      <c r="BO199" s="22" t="e">
        <f t="shared" si="1788"/>
        <v>#DIV/0!</v>
      </c>
      <c r="BP199" s="22" t="e">
        <f t="shared" si="1788"/>
        <v>#DIV/0!</v>
      </c>
      <c r="BQ199" s="22" t="e">
        <f t="shared" si="1788"/>
        <v>#DIV/0!</v>
      </c>
      <c r="BR199" s="22" t="e">
        <f t="shared" si="1788"/>
        <v>#DIV/0!</v>
      </c>
      <c r="BS199" s="22" t="e">
        <f t="shared" si="1788"/>
        <v>#DIV/0!</v>
      </c>
      <c r="BT199" s="22" t="e">
        <f t="shared" si="1788"/>
        <v>#DIV/0!</v>
      </c>
      <c r="BU199" s="22">
        <f t="shared" si="1788"/>
        <v>65.840999999999994</v>
      </c>
      <c r="BV199" s="22">
        <f t="shared" si="1788"/>
        <v>124.46000000000002</v>
      </c>
      <c r="BW199" s="22">
        <f t="shared" si="1788"/>
        <v>90.031344496272041</v>
      </c>
      <c r="BX199" s="22">
        <f t="shared" si="1788"/>
        <v>48.802655503727948</v>
      </c>
      <c r="BY199" s="22">
        <f t="shared" si="1788"/>
        <v>86.936182411966087</v>
      </c>
      <c r="BZ199" s="22">
        <f t="shared" si="1788"/>
        <v>91.292817588033884</v>
      </c>
      <c r="CA199" s="22">
        <f t="shared" si="1788"/>
        <v>130.87857832494285</v>
      </c>
      <c r="CB199" s="22">
        <f t="shared" si="1788"/>
        <v>76.221421675057158</v>
      </c>
      <c r="CC199" s="22">
        <f t="shared" si="1788"/>
        <v>51.405499361368868</v>
      </c>
      <c r="CD199" s="22">
        <f t="shared" si="1788"/>
        <v>39.904500638631063</v>
      </c>
      <c r="CE199" s="22">
        <f t="shared" ref="CE199:CF199" si="1789">CE195+CE198</f>
        <v>109.61557273735932</v>
      </c>
      <c r="CF199" s="22">
        <f t="shared" si="1789"/>
        <v>55.439427262640777</v>
      </c>
      <c r="CG199" s="22">
        <f t="shared" ref="CG199:CH199" si="1790">CG195+CG198</f>
        <v>67.082363173982642</v>
      </c>
      <c r="CH199" s="22">
        <f t="shared" si="1790"/>
        <v>5.6523368260174323</v>
      </c>
      <c r="CI199" s="22">
        <f t="shared" ref="CI199:CJ199" si="1791">CI195+CI198</f>
        <v>112.71954326705773</v>
      </c>
      <c r="CJ199" s="22">
        <f t="shared" si="1791"/>
        <v>-100.98924326705773</v>
      </c>
      <c r="CK199" s="21">
        <f t="shared" ref="CK199:DB199" si="1792">CK195+CK198</f>
        <v>8.3971886964800291</v>
      </c>
      <c r="CL199" s="21">
        <f t="shared" si="1792"/>
        <v>-182.27456230260134</v>
      </c>
      <c r="CM199" s="21">
        <f t="shared" si="1792"/>
        <v>197.0444585258341</v>
      </c>
      <c r="CN199" s="21">
        <f t="shared" si="1792"/>
        <v>198.23830147568941</v>
      </c>
      <c r="CO199" s="21">
        <f t="shared" si="1792"/>
        <v>-10.706375294935597</v>
      </c>
      <c r="CP199" s="21">
        <f t="shared" si="1792"/>
        <v>-224.04410575030423</v>
      </c>
      <c r="CQ199" s="21">
        <f t="shared" si="1792"/>
        <v>212.57680325599719</v>
      </c>
      <c r="CR199" s="21">
        <f t="shared" si="1792"/>
        <v>211.36678386465962</v>
      </c>
      <c r="CS199" s="21">
        <f t="shared" si="1792"/>
        <v>-24.346082956553971</v>
      </c>
      <c r="CT199" s="21">
        <f t="shared" si="1792"/>
        <v>-259.42096415046962</v>
      </c>
      <c r="CU199" s="21">
        <f t="shared" si="1792"/>
        <v>227.75533085120901</v>
      </c>
      <c r="CV199" s="21">
        <f t="shared" si="1792"/>
        <v>225.5780186350741</v>
      </c>
      <c r="CW199" s="21">
        <f t="shared" si="1792"/>
        <v>-35.658400294026805</v>
      </c>
      <c r="CX199" s="21">
        <f t="shared" si="1792"/>
        <v>-295.25192752379166</v>
      </c>
      <c r="CY199" s="21">
        <f t="shared" si="1792"/>
        <v>245.32642253223199</v>
      </c>
      <c r="CZ199" s="21">
        <f t="shared" si="1792"/>
        <v>242.99660530931249</v>
      </c>
      <c r="DA199" s="21">
        <f t="shared" si="1792"/>
        <v>-46.043748983375281</v>
      </c>
      <c r="DB199" s="21">
        <f t="shared" si="1792"/>
        <v>-333.15038039905505</v>
      </c>
      <c r="DE199" s="126"/>
      <c r="DF199" s="22">
        <v>-58.313299999999941</v>
      </c>
    </row>
    <row r="200" spans="1:110" s="23" customFormat="1" x14ac:dyDescent="0.2">
      <c r="AB200" s="24"/>
      <c r="AC200" s="24"/>
      <c r="AD200" s="24"/>
      <c r="AE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93">C202+C203</f>
        <v>0</v>
      </c>
      <c r="D201" s="22">
        <f>D202+D203</f>
        <v>0</v>
      </c>
      <c r="E201" s="22">
        <f t="shared" si="1793"/>
        <v>0</v>
      </c>
      <c r="F201" s="22">
        <f t="shared" si="1793"/>
        <v>0</v>
      </c>
      <c r="G201" s="22">
        <f t="shared" si="1793"/>
        <v>0</v>
      </c>
      <c r="H201" s="22">
        <f t="shared" si="1793"/>
        <v>0</v>
      </c>
      <c r="I201" s="22">
        <f t="shared" si="1793"/>
        <v>0</v>
      </c>
      <c r="J201" s="22">
        <f t="shared" si="1793"/>
        <v>0</v>
      </c>
      <c r="K201" s="22">
        <f t="shared" si="1793"/>
        <v>0</v>
      </c>
      <c r="L201" s="22">
        <f t="shared" si="1793"/>
        <v>0</v>
      </c>
      <c r="M201" s="22">
        <f t="shared" si="1793"/>
        <v>0</v>
      </c>
      <c r="N201" s="22">
        <f t="shared" si="1793"/>
        <v>0</v>
      </c>
      <c r="O201" s="22">
        <f t="shared" si="1793"/>
        <v>0</v>
      </c>
      <c r="P201" s="22">
        <f t="shared" si="1793"/>
        <v>-1132.0504000000001</v>
      </c>
      <c r="Q201" s="22">
        <f t="shared" si="1793"/>
        <v>-55.092199999999849</v>
      </c>
      <c r="R201" s="22">
        <f t="shared" si="1793"/>
        <v>3.9510000000000485</v>
      </c>
      <c r="S201" s="22">
        <f t="shared" si="1793"/>
        <v>-19.026800000000094</v>
      </c>
      <c r="T201" s="22">
        <f t="shared" si="1793"/>
        <v>-54.622100000000046</v>
      </c>
      <c r="U201" s="22">
        <f t="shared" si="1793"/>
        <v>-180.22299999999979</v>
      </c>
      <c r="V201" s="22">
        <f t="shared" si="1793"/>
        <v>-42.920200000000257</v>
      </c>
      <c r="W201" s="22">
        <f t="shared" si="1793"/>
        <v>-109.05869999999997</v>
      </c>
      <c r="X201" s="22">
        <f t="shared" ref="X201:Y201" si="1794">X202+X203</f>
        <v>-111.38</v>
      </c>
      <c r="Y201" s="22">
        <f t="shared" si="1794"/>
        <v>-131.97579999999994</v>
      </c>
      <c r="Z201" s="22">
        <f t="shared" ref="Z201:AA201" si="1795">Z202+Z203</f>
        <v>-455.37749999999971</v>
      </c>
      <c r="AA201" s="22">
        <f t="shared" si="1795"/>
        <v>-324.64250000000015</v>
      </c>
      <c r="AB201" s="21">
        <f t="shared" ref="AB201:AD201" si="1796">AB202+AB203</f>
        <v>233.83282759076175</v>
      </c>
      <c r="AC201" s="21">
        <f t="shared" si="1796"/>
        <v>0</v>
      </c>
      <c r="AD201" s="21">
        <f t="shared" si="1796"/>
        <v>0</v>
      </c>
      <c r="AE201" s="21">
        <f t="shared" ref="AE201" si="1797">AE202+AE203</f>
        <v>0</v>
      </c>
      <c r="AI201" s="22">
        <f t="shared" ref="AI201" si="1798">AI202+AI203</f>
        <v>0</v>
      </c>
      <c r="AJ201" s="22">
        <f t="shared" ref="AJ201:AL201" si="1799">AJ202+AJ203</f>
        <v>0</v>
      </c>
      <c r="AK201" s="22">
        <f t="shared" si="1799"/>
        <v>0</v>
      </c>
      <c r="AL201" s="22">
        <f t="shared" si="1799"/>
        <v>0</v>
      </c>
      <c r="AM201" s="22">
        <f t="shared" ref="AM201" si="1800">AM202+AM203</f>
        <v>0</v>
      </c>
      <c r="AN201" s="22">
        <f t="shared" ref="AN201:CD201" si="1801">AN202+AN203</f>
        <v>0</v>
      </c>
      <c r="AO201" s="22">
        <f t="shared" si="1801"/>
        <v>0</v>
      </c>
      <c r="AP201" s="22">
        <f t="shared" si="1801"/>
        <v>0</v>
      </c>
      <c r="AQ201" s="22">
        <f t="shared" si="1801"/>
        <v>0</v>
      </c>
      <c r="AR201" s="22">
        <f t="shared" si="1801"/>
        <v>0</v>
      </c>
      <c r="AS201" s="22">
        <f t="shared" si="1801"/>
        <v>0</v>
      </c>
      <c r="AT201" s="22">
        <f t="shared" si="1801"/>
        <v>0</v>
      </c>
      <c r="AU201" s="22">
        <f t="shared" si="1801"/>
        <v>0</v>
      </c>
      <c r="AV201" s="22">
        <f t="shared" si="1801"/>
        <v>0</v>
      </c>
      <c r="AW201" s="22">
        <f t="shared" si="1801"/>
        <v>0</v>
      </c>
      <c r="AX201" s="22">
        <f t="shared" si="1801"/>
        <v>0</v>
      </c>
      <c r="AY201" s="22">
        <f t="shared" si="1801"/>
        <v>0</v>
      </c>
      <c r="AZ201" s="22">
        <f t="shared" si="1801"/>
        <v>0</v>
      </c>
      <c r="BA201" s="22">
        <f t="shared" si="1801"/>
        <v>0</v>
      </c>
      <c r="BB201" s="22">
        <f t="shared" si="1801"/>
        <v>0</v>
      </c>
      <c r="BC201" s="22">
        <f t="shared" si="1801"/>
        <v>0</v>
      </c>
      <c r="BD201" s="22">
        <f t="shared" si="1801"/>
        <v>0</v>
      </c>
      <c r="BE201" s="22">
        <f t="shared" si="1801"/>
        <v>0</v>
      </c>
      <c r="BF201" s="22">
        <f t="shared" si="1801"/>
        <v>0</v>
      </c>
      <c r="BG201" s="22">
        <f t="shared" si="1801"/>
        <v>0</v>
      </c>
      <c r="BH201" s="22">
        <f t="shared" si="1801"/>
        <v>0</v>
      </c>
      <c r="BI201" s="22">
        <f t="shared" si="1801"/>
        <v>0</v>
      </c>
      <c r="BJ201" s="22">
        <f t="shared" si="1801"/>
        <v>0</v>
      </c>
      <c r="BK201" s="22">
        <f t="shared" si="1801"/>
        <v>0</v>
      </c>
      <c r="BL201" s="22">
        <f t="shared" si="1801"/>
        <v>0</v>
      </c>
      <c r="BM201" s="22">
        <f t="shared" si="1801"/>
        <v>0</v>
      </c>
      <c r="BN201" s="22">
        <f t="shared" si="1801"/>
        <v>0</v>
      </c>
      <c r="BO201" s="22">
        <f t="shared" si="1801"/>
        <v>0</v>
      </c>
      <c r="BP201" s="22">
        <f t="shared" si="1801"/>
        <v>0</v>
      </c>
      <c r="BQ201" s="22">
        <f t="shared" si="1801"/>
        <v>0</v>
      </c>
      <c r="BR201" s="22">
        <f t="shared" si="1801"/>
        <v>0</v>
      </c>
      <c r="BS201" s="22">
        <f t="shared" si="1801"/>
        <v>0</v>
      </c>
      <c r="BT201" s="22">
        <f t="shared" si="1801"/>
        <v>-16.617000000000001</v>
      </c>
      <c r="BU201" s="22">
        <f t="shared" si="1801"/>
        <v>-16.821000000000002</v>
      </c>
      <c r="BV201" s="22">
        <f t="shared" si="1801"/>
        <v>-1080.2489999999998</v>
      </c>
      <c r="BW201" s="22">
        <f t="shared" si="1801"/>
        <v>-17.624000000000024</v>
      </c>
      <c r="BX201" s="22">
        <f t="shared" si="1801"/>
        <v>-36.697000000000138</v>
      </c>
      <c r="BY201" s="22">
        <f t="shared" si="1801"/>
        <v>-16.817999999999984</v>
      </c>
      <c r="BZ201" s="22">
        <f t="shared" si="1801"/>
        <v>-35.772000000000055</v>
      </c>
      <c r="CA201" s="22">
        <f t="shared" si="1801"/>
        <v>-17.508000000000038</v>
      </c>
      <c r="CB201" s="22">
        <f t="shared" si="1801"/>
        <v>-27.114999999999782</v>
      </c>
      <c r="CC201" s="22">
        <f t="shared" si="1801"/>
        <v>-17.660000000000082</v>
      </c>
      <c r="CD201" s="22">
        <f t="shared" si="1801"/>
        <v>-73.135999999999967</v>
      </c>
      <c r="CE201" s="22">
        <f t="shared" ref="CE201:CF201" si="1802">CE202+CE203</f>
        <v>-18.6400000000001</v>
      </c>
      <c r="CF201" s="22">
        <f t="shared" si="1802"/>
        <v>-135.66300000000001</v>
      </c>
      <c r="CG201" s="22">
        <f t="shared" ref="CG201:CH201" si="1803">CG202+CG203</f>
        <v>-20.144999999999982</v>
      </c>
      <c r="CH201" s="22">
        <f t="shared" si="1803"/>
        <v>-322.51179999999988</v>
      </c>
      <c r="CI201" s="22">
        <f t="shared" ref="CI201:CJ201" si="1804">CI202+CI203</f>
        <v>0</v>
      </c>
      <c r="CJ201" s="22">
        <f t="shared" si="1804"/>
        <v>-91.182200000000023</v>
      </c>
      <c r="CK201" s="21">
        <f t="shared" ref="CK201:DB201" si="1805">CK202+CK203</f>
        <v>0</v>
      </c>
      <c r="CL201" s="21">
        <f t="shared" si="1805"/>
        <v>0</v>
      </c>
      <c r="CM201" s="21">
        <f t="shared" si="1805"/>
        <v>0</v>
      </c>
      <c r="CN201" s="21">
        <f t="shared" si="1805"/>
        <v>0</v>
      </c>
      <c r="CO201" s="21">
        <f t="shared" si="1805"/>
        <v>0</v>
      </c>
      <c r="CP201" s="21">
        <f t="shared" si="1805"/>
        <v>0</v>
      </c>
      <c r="CQ201" s="21">
        <f t="shared" si="1805"/>
        <v>0</v>
      </c>
      <c r="CR201" s="21">
        <f t="shared" si="1805"/>
        <v>0</v>
      </c>
      <c r="CS201" s="21">
        <f t="shared" si="1805"/>
        <v>0</v>
      </c>
      <c r="CT201" s="21">
        <f t="shared" si="1805"/>
        <v>0</v>
      </c>
      <c r="CU201" s="21">
        <f t="shared" si="1805"/>
        <v>0</v>
      </c>
      <c r="CV201" s="21">
        <f t="shared" si="1805"/>
        <v>0</v>
      </c>
      <c r="CW201" s="21">
        <f t="shared" si="1805"/>
        <v>0</v>
      </c>
      <c r="CX201" s="21">
        <f t="shared" si="1805"/>
        <v>0</v>
      </c>
      <c r="CY201" s="21">
        <f t="shared" si="1805"/>
        <v>0</v>
      </c>
      <c r="CZ201" s="21">
        <f t="shared" si="1805"/>
        <v>0</v>
      </c>
      <c r="DA201" s="21">
        <f t="shared" si="1805"/>
        <v>0</v>
      </c>
      <c r="DB201" s="21">
        <f t="shared" si="1805"/>
        <v>0</v>
      </c>
      <c r="DE201" s="126"/>
      <c r="DF201" s="22">
        <v>-324.64250000000015</v>
      </c>
    </row>
    <row r="202" spans="1:110" s="23" customFormat="1" x14ac:dyDescent="0.2">
      <c r="A202" s="23" t="s">
        <v>93</v>
      </c>
      <c r="C202" s="23">
        <f t="shared" ref="C202:AA202" si="1806">B140-C140</f>
        <v>0</v>
      </c>
      <c r="D202" s="23">
        <f t="shared" si="1806"/>
        <v>0</v>
      </c>
      <c r="E202" s="23">
        <f>D140-E140</f>
        <v>0</v>
      </c>
      <c r="F202" s="23">
        <f t="shared" si="1806"/>
        <v>0</v>
      </c>
      <c r="G202" s="23">
        <f t="shared" si="1806"/>
        <v>0</v>
      </c>
      <c r="H202" s="23">
        <f t="shared" si="1806"/>
        <v>0</v>
      </c>
      <c r="I202" s="23">
        <f t="shared" si="1806"/>
        <v>0</v>
      </c>
      <c r="J202" s="23">
        <f>I140-J140</f>
        <v>0</v>
      </c>
      <c r="K202" s="23">
        <f>J140-K140</f>
        <v>0</v>
      </c>
      <c r="L202" s="23">
        <f t="shared" si="1806"/>
        <v>0</v>
      </c>
      <c r="M202" s="23">
        <f t="shared" si="1806"/>
        <v>0</v>
      </c>
      <c r="N202" s="23">
        <f t="shared" si="1806"/>
        <v>0</v>
      </c>
      <c r="O202" s="23">
        <f t="shared" si="1806"/>
        <v>0</v>
      </c>
      <c r="P202" s="23">
        <f t="shared" si="1806"/>
        <v>0</v>
      </c>
      <c r="Q202" s="23">
        <f t="shared" si="1806"/>
        <v>-6.8999999999999999E-3</v>
      </c>
      <c r="R202" s="23">
        <f t="shared" si="1806"/>
        <v>6.8999999999999999E-3</v>
      </c>
      <c r="S202" s="23">
        <f t="shared" si="1806"/>
        <v>0</v>
      </c>
      <c r="T202" s="23">
        <f t="shared" si="1806"/>
        <v>0</v>
      </c>
      <c r="U202" s="23">
        <f t="shared" si="1806"/>
        <v>-8.4000000000000005E-2</v>
      </c>
      <c r="V202" s="23">
        <f t="shared" si="1806"/>
        <v>-3.1999999999999945E-3</v>
      </c>
      <c r="W202" s="23">
        <f t="shared" si="1806"/>
        <v>-2.8999999999999998E-3</v>
      </c>
      <c r="X202" s="23">
        <f t="shared" si="1806"/>
        <v>9.01E-2</v>
      </c>
      <c r="Y202" s="23">
        <f t="shared" si="1806"/>
        <v>0</v>
      </c>
      <c r="Z202" s="23">
        <f t="shared" si="1806"/>
        <v>-136.49940000000001</v>
      </c>
      <c r="AA202" s="23">
        <f t="shared" si="1806"/>
        <v>-114.27549999999999</v>
      </c>
      <c r="AB202" s="24">
        <f t="shared" ref="AB202" si="1807">AA140-AB140</f>
        <v>-1.0000000000331966E-4</v>
      </c>
      <c r="AC202" s="24">
        <f t="shared" ref="AC202" si="1808">AB140-AC140</f>
        <v>0</v>
      </c>
      <c r="AD202" s="24">
        <f t="shared" ref="AD202" si="1809">AC140-AD140</f>
        <v>0</v>
      </c>
      <c r="AE202" s="24">
        <f t="shared" ref="AE202" si="1810">AD140-AE140</f>
        <v>0</v>
      </c>
      <c r="AI202" s="23">
        <f t="shared" ref="AI202" si="1811">AH140-AI140</f>
        <v>0</v>
      </c>
      <c r="AJ202" s="23">
        <f t="shared" ref="AJ202" si="1812">AI140-AJ140</f>
        <v>0</v>
      </c>
      <c r="AK202" s="23">
        <f t="shared" ref="AK202" si="1813">AJ140-AK140</f>
        <v>0</v>
      </c>
      <c r="AL202" s="23">
        <f t="shared" ref="AL202" si="1814">AK140-AL140</f>
        <v>0</v>
      </c>
      <c r="AM202" s="23">
        <f t="shared" ref="AM202" si="1815">AL140-AM140</f>
        <v>0</v>
      </c>
      <c r="AN202" s="23">
        <f t="shared" ref="AN202" si="1816">AM140-AN140</f>
        <v>0</v>
      </c>
      <c r="AO202" s="23">
        <f t="shared" ref="AO202" si="1817">AN140-AO140</f>
        <v>0</v>
      </c>
      <c r="AP202" s="23">
        <f t="shared" ref="AP202" si="1818">AO140-AP140</f>
        <v>0</v>
      </c>
      <c r="AQ202" s="23">
        <f t="shared" ref="AQ202" si="1819">AP140-AQ140</f>
        <v>0</v>
      </c>
      <c r="AR202" s="23">
        <f t="shared" ref="AR202" si="1820">AQ140-AR140</f>
        <v>0</v>
      </c>
      <c r="AS202" s="23">
        <f t="shared" ref="AS202" si="1821">AR140-AS140</f>
        <v>0</v>
      </c>
      <c r="AT202" s="23">
        <f t="shared" ref="AT202" si="1822">AS140-AT140</f>
        <v>0</v>
      </c>
      <c r="AU202" s="23">
        <f t="shared" ref="AU202" si="1823">AT140-AU140</f>
        <v>0</v>
      </c>
      <c r="AV202" s="23">
        <f t="shared" ref="AV202" si="1824">AU140-AV140</f>
        <v>0</v>
      </c>
      <c r="AW202" s="23">
        <f t="shared" ref="AW202" si="1825">AV140-AW140</f>
        <v>0</v>
      </c>
      <c r="AX202" s="23">
        <f t="shared" ref="AX202" si="1826">AW140-AX140</f>
        <v>0</v>
      </c>
      <c r="AY202" s="23">
        <f t="shared" ref="AY202" si="1827">AX140-AY140</f>
        <v>0</v>
      </c>
      <c r="AZ202" s="23">
        <f t="shared" ref="AZ202" si="1828">AY140-AZ140</f>
        <v>0</v>
      </c>
      <c r="BA202" s="23">
        <f t="shared" ref="BA202" si="1829">AZ140-BA140</f>
        <v>0</v>
      </c>
      <c r="BB202" s="23">
        <f t="shared" ref="BB202" si="1830">BA140-BB140</f>
        <v>0</v>
      </c>
      <c r="BC202" s="23">
        <f t="shared" ref="BC202" si="1831">BB140-BC140</f>
        <v>0</v>
      </c>
      <c r="BD202" s="23">
        <f t="shared" ref="BD202" si="1832">BC140-BD140</f>
        <v>0</v>
      </c>
      <c r="BE202" s="23">
        <f t="shared" ref="BE202" si="1833">BD140-BE140</f>
        <v>0</v>
      </c>
      <c r="BF202" s="23">
        <f t="shared" ref="BF202" si="1834">BE140-BF140</f>
        <v>0</v>
      </c>
      <c r="BG202" s="23">
        <f t="shared" ref="BG202" si="1835">BF140-BG140</f>
        <v>0</v>
      </c>
      <c r="BH202" s="23">
        <f t="shared" ref="BH202" si="1836">BG140-BH140</f>
        <v>0</v>
      </c>
      <c r="BI202" s="23">
        <f t="shared" ref="BI202" si="1837">BH140-BI140</f>
        <v>0</v>
      </c>
      <c r="BJ202" s="23">
        <f t="shared" ref="BJ202" si="1838">BI140-BJ140</f>
        <v>0</v>
      </c>
      <c r="BK202" s="23">
        <f t="shared" ref="BK202" si="1839">BJ140-BK140</f>
        <v>0</v>
      </c>
      <c r="BL202" s="23">
        <f t="shared" ref="BL202" si="1840">BK140-BL140</f>
        <v>0</v>
      </c>
      <c r="BM202" s="23">
        <f t="shared" ref="BM202" si="1841">BL140-BM140</f>
        <v>0</v>
      </c>
      <c r="BN202" s="23">
        <f t="shared" ref="BN202" si="1842">BM140-BN140</f>
        <v>0</v>
      </c>
      <c r="BO202" s="23">
        <f t="shared" ref="BO202" si="1843">BN140-BO140</f>
        <v>0</v>
      </c>
      <c r="BP202" s="23">
        <f t="shared" ref="BP202" si="1844">BO140-BP140</f>
        <v>0</v>
      </c>
      <c r="BQ202" s="23">
        <f t="shared" ref="BQ202" si="1845">BP140-BQ140</f>
        <v>0</v>
      </c>
      <c r="BR202" s="23">
        <f t="shared" ref="BR202" si="1846">BQ140-BR140</f>
        <v>0</v>
      </c>
      <c r="BS202" s="23">
        <f t="shared" ref="BS202" si="1847">BR140-BS140</f>
        <v>0</v>
      </c>
      <c r="BT202" s="23">
        <f t="shared" ref="BT202" si="1848">BS140-BT140</f>
        <v>0</v>
      </c>
      <c r="BU202" s="23">
        <f t="shared" ref="BU202" si="1849">BT140-BU140</f>
        <v>0</v>
      </c>
      <c r="BV202" s="23">
        <f t="shared" ref="BV202" si="1850">BU140-BV140</f>
        <v>-0.09</v>
      </c>
      <c r="BW202" s="23">
        <f t="shared" ref="BW202" si="1851">BV140-BW140</f>
        <v>0</v>
      </c>
      <c r="BX202" s="23">
        <f t="shared" ref="BX202" si="1852">BW140-BX140</f>
        <v>-5.0010000000000003</v>
      </c>
      <c r="BY202" s="23">
        <f t="shared" ref="BY202" si="1853">BX140-BY140</f>
        <v>0</v>
      </c>
      <c r="BZ202" s="23">
        <f t="shared" ref="BZ202" si="1854">BY140-BZ140</f>
        <v>5.0910000000000002</v>
      </c>
      <c r="CA202" s="23">
        <f t="shared" ref="CA202" si="1855">BZ140-CA140</f>
        <v>0</v>
      </c>
      <c r="CB202" s="23">
        <f t="shared" ref="CB202" si="1856">CA140-CB140</f>
        <v>0</v>
      </c>
      <c r="CC202" s="23">
        <f t="shared" ref="CC202" si="1857">CB140-CC140</f>
        <v>0</v>
      </c>
      <c r="CD202" s="23">
        <f t="shared" ref="CD202" si="1858">CC140-CD140</f>
        <v>0</v>
      </c>
      <c r="CE202" s="23">
        <f t="shared" ref="CE202" si="1859">CD140-CE140</f>
        <v>0</v>
      </c>
      <c r="CF202" s="23">
        <f t="shared" ref="CF202" si="1860">CE140-CF140</f>
        <v>0</v>
      </c>
      <c r="CG202" s="23">
        <f t="shared" ref="CG202" si="1861">CF140-CG140</f>
        <v>0</v>
      </c>
      <c r="CH202" s="23">
        <f t="shared" ref="CH202:CJ202" si="1862">CG140-CH140</f>
        <v>-136.49940000000001</v>
      </c>
      <c r="CI202" s="23">
        <f t="shared" si="1862"/>
        <v>0</v>
      </c>
      <c r="CJ202" s="23">
        <f t="shared" si="1862"/>
        <v>-114.2756</v>
      </c>
      <c r="CK202" s="24">
        <f t="shared" ref="CK202" si="1863">CJ140-CK140</f>
        <v>0</v>
      </c>
      <c r="CL202" s="24">
        <f t="shared" ref="CL202" si="1864">CK140-CL140</f>
        <v>0</v>
      </c>
      <c r="CM202" s="24">
        <f t="shared" ref="CM202" si="1865">CL140-CM140</f>
        <v>0</v>
      </c>
      <c r="CN202" s="24">
        <f t="shared" ref="CN202" si="1866">CM140-CN140</f>
        <v>0</v>
      </c>
      <c r="CO202" s="24">
        <f t="shared" ref="CO202" si="1867">CN140-CO140</f>
        <v>0</v>
      </c>
      <c r="CP202" s="24">
        <f t="shared" ref="CP202" si="1868">CO140-CP140</f>
        <v>0</v>
      </c>
      <c r="CQ202" s="24">
        <f t="shared" ref="CQ202" si="1869">CP140-CQ140</f>
        <v>0</v>
      </c>
      <c r="CR202" s="24">
        <f t="shared" ref="CR202" si="1870">CQ140-CR140</f>
        <v>0</v>
      </c>
      <c r="CS202" s="24">
        <f t="shared" ref="CS202" si="1871">CR140-CS140</f>
        <v>0</v>
      </c>
      <c r="CT202" s="24">
        <f t="shared" ref="CT202" si="1872">CS140-CT140</f>
        <v>0</v>
      </c>
      <c r="CU202" s="24">
        <f t="shared" ref="CU202" si="1873">CT140-CU140</f>
        <v>0</v>
      </c>
      <c r="CV202" s="24">
        <f t="shared" ref="CV202" si="1874">CU140-CV140</f>
        <v>0</v>
      </c>
      <c r="CW202" s="24">
        <f t="shared" ref="CW202" si="1875">CV140-CW140</f>
        <v>0</v>
      </c>
      <c r="CX202" s="24">
        <f t="shared" ref="CX202" si="1876">CW140-CX140</f>
        <v>0</v>
      </c>
      <c r="CY202" s="24">
        <f t="shared" ref="CY202" si="1877">CX140-CY140</f>
        <v>0</v>
      </c>
      <c r="CZ202" s="24">
        <f t="shared" ref="CZ202" si="1878">CY140-CZ140</f>
        <v>0</v>
      </c>
      <c r="DA202" s="24">
        <f t="shared" ref="DA202" si="1879">CZ140-DA140</f>
        <v>0</v>
      </c>
      <c r="DB202" s="24">
        <f t="shared" ref="DB202" si="1880">DA140-DB140</f>
        <v>0</v>
      </c>
      <c r="DE202" s="123"/>
      <c r="DF202" s="23">
        <v>-114.27549999999999</v>
      </c>
    </row>
    <row r="203" spans="1:110" s="23" customFormat="1" x14ac:dyDescent="0.2">
      <c r="A203" s="23" t="s">
        <v>94</v>
      </c>
      <c r="C203" s="23">
        <f t="shared" ref="C203:AE203" si="1881">B138-C32-C138</f>
        <v>0</v>
      </c>
      <c r="D203" s="23">
        <f t="shared" si="1881"/>
        <v>0</v>
      </c>
      <c r="E203" s="23">
        <f t="shared" si="1881"/>
        <v>0</v>
      </c>
      <c r="F203" s="23">
        <f t="shared" si="1881"/>
        <v>0</v>
      </c>
      <c r="G203" s="23">
        <f t="shared" si="1881"/>
        <v>0</v>
      </c>
      <c r="H203" s="23">
        <f t="shared" si="1881"/>
        <v>0</v>
      </c>
      <c r="I203" s="23">
        <f t="shared" si="1881"/>
        <v>0</v>
      </c>
      <c r="J203" s="23">
        <f t="shared" si="1881"/>
        <v>0</v>
      </c>
      <c r="K203" s="23">
        <f t="shared" si="1881"/>
        <v>0</v>
      </c>
      <c r="L203" s="23">
        <f t="shared" si="1881"/>
        <v>0</v>
      </c>
      <c r="M203" s="23">
        <f t="shared" si="1881"/>
        <v>0</v>
      </c>
      <c r="N203" s="23">
        <f t="shared" si="1881"/>
        <v>0</v>
      </c>
      <c r="O203" s="23">
        <f t="shared" si="1881"/>
        <v>0</v>
      </c>
      <c r="P203" s="23">
        <f t="shared" si="1881"/>
        <v>-1132.0504000000001</v>
      </c>
      <c r="Q203" s="23">
        <f t="shared" si="1881"/>
        <v>-55.085299999999847</v>
      </c>
      <c r="R203" s="23">
        <f t="shared" si="1881"/>
        <v>3.9441000000000486</v>
      </c>
      <c r="S203" s="23">
        <f t="shared" si="1881"/>
        <v>-19.026800000000094</v>
      </c>
      <c r="T203" s="23">
        <f t="shared" si="1881"/>
        <v>-54.622100000000046</v>
      </c>
      <c r="U203" s="23">
        <f t="shared" si="1881"/>
        <v>-180.13899999999978</v>
      </c>
      <c r="V203" s="23">
        <f t="shared" si="1881"/>
        <v>-42.917000000000257</v>
      </c>
      <c r="W203" s="23">
        <f t="shared" si="1881"/>
        <v>-109.05579999999998</v>
      </c>
      <c r="X203" s="23">
        <f t="shared" si="1881"/>
        <v>-111.4701</v>
      </c>
      <c r="Y203" s="23">
        <f t="shared" si="1881"/>
        <v>-131.97579999999994</v>
      </c>
      <c r="Z203" s="23">
        <f t="shared" si="1881"/>
        <v>-318.87809999999968</v>
      </c>
      <c r="AA203" s="23">
        <f t="shared" si="1881"/>
        <v>-210.36700000000019</v>
      </c>
      <c r="AB203" s="24">
        <f t="shared" si="1881"/>
        <v>233.83292759076176</v>
      </c>
      <c r="AC203" s="24">
        <f t="shared" si="1881"/>
        <v>0</v>
      </c>
      <c r="AD203" s="24">
        <f t="shared" si="1881"/>
        <v>0</v>
      </c>
      <c r="AE203" s="24">
        <f t="shared" si="1881"/>
        <v>0</v>
      </c>
      <c r="AI203" s="23">
        <f t="shared" ref="AI203:BN203" si="1882">AH138-AI32-AI138</f>
        <v>0</v>
      </c>
      <c r="AJ203" s="23">
        <f t="shared" si="1882"/>
        <v>0</v>
      </c>
      <c r="AK203" s="23">
        <f t="shared" si="1882"/>
        <v>0</v>
      </c>
      <c r="AL203" s="23">
        <f t="shared" si="1882"/>
        <v>0</v>
      </c>
      <c r="AM203" s="23">
        <f t="shared" si="1882"/>
        <v>0</v>
      </c>
      <c r="AN203" s="23">
        <f t="shared" si="1882"/>
        <v>0</v>
      </c>
      <c r="AO203" s="23">
        <f t="shared" si="1882"/>
        <v>0</v>
      </c>
      <c r="AP203" s="23">
        <f t="shared" si="1882"/>
        <v>0</v>
      </c>
      <c r="AQ203" s="23">
        <f t="shared" si="1882"/>
        <v>0</v>
      </c>
      <c r="AR203" s="23">
        <f t="shared" si="1882"/>
        <v>0</v>
      </c>
      <c r="AS203" s="23">
        <f t="shared" si="1882"/>
        <v>0</v>
      </c>
      <c r="AT203" s="23">
        <f t="shared" si="1882"/>
        <v>0</v>
      </c>
      <c r="AU203" s="23">
        <f t="shared" si="1882"/>
        <v>0</v>
      </c>
      <c r="AV203" s="23">
        <f t="shared" si="1882"/>
        <v>0</v>
      </c>
      <c r="AW203" s="23">
        <f t="shared" si="1882"/>
        <v>0</v>
      </c>
      <c r="AX203" s="23">
        <f t="shared" si="1882"/>
        <v>0</v>
      </c>
      <c r="AY203" s="23">
        <f t="shared" si="1882"/>
        <v>0</v>
      </c>
      <c r="AZ203" s="23">
        <f t="shared" si="1882"/>
        <v>0</v>
      </c>
      <c r="BA203" s="23">
        <f t="shared" si="1882"/>
        <v>0</v>
      </c>
      <c r="BB203" s="23">
        <f t="shared" si="1882"/>
        <v>0</v>
      </c>
      <c r="BC203" s="23">
        <f t="shared" si="1882"/>
        <v>0</v>
      </c>
      <c r="BD203" s="23">
        <f t="shared" si="1882"/>
        <v>0</v>
      </c>
      <c r="BE203" s="23">
        <f t="shared" si="1882"/>
        <v>0</v>
      </c>
      <c r="BF203" s="23">
        <f t="shared" si="1882"/>
        <v>0</v>
      </c>
      <c r="BG203" s="23">
        <f t="shared" si="1882"/>
        <v>0</v>
      </c>
      <c r="BH203" s="23">
        <f t="shared" si="1882"/>
        <v>0</v>
      </c>
      <c r="BI203" s="23">
        <f t="shared" si="1882"/>
        <v>0</v>
      </c>
      <c r="BJ203" s="23">
        <f t="shared" si="1882"/>
        <v>0</v>
      </c>
      <c r="BK203" s="23">
        <f t="shared" si="1882"/>
        <v>0</v>
      </c>
      <c r="BL203" s="23">
        <f t="shared" si="1882"/>
        <v>0</v>
      </c>
      <c r="BM203" s="23">
        <f t="shared" si="1882"/>
        <v>0</v>
      </c>
      <c r="BN203" s="23">
        <f t="shared" si="1882"/>
        <v>0</v>
      </c>
      <c r="BO203" s="23">
        <f t="shared" ref="BO203:CT203" si="1883">BN138-BO32-BO138</f>
        <v>0</v>
      </c>
      <c r="BP203" s="23">
        <f t="shared" si="1883"/>
        <v>0</v>
      </c>
      <c r="BQ203" s="23">
        <f t="shared" si="1883"/>
        <v>0</v>
      </c>
      <c r="BR203" s="23">
        <f t="shared" si="1883"/>
        <v>0</v>
      </c>
      <c r="BS203" s="23">
        <f t="shared" si="1883"/>
        <v>0</v>
      </c>
      <c r="BT203" s="23">
        <f t="shared" si="1883"/>
        <v>-16.617000000000001</v>
      </c>
      <c r="BU203" s="23">
        <f t="shared" si="1883"/>
        <v>-16.821000000000002</v>
      </c>
      <c r="BV203" s="23">
        <f t="shared" si="1883"/>
        <v>-1080.1589999999999</v>
      </c>
      <c r="BW203" s="23">
        <f t="shared" si="1883"/>
        <v>-17.624000000000024</v>
      </c>
      <c r="BX203" s="23">
        <f t="shared" si="1883"/>
        <v>-31.69600000000014</v>
      </c>
      <c r="BY203" s="23">
        <f t="shared" si="1883"/>
        <v>-16.817999999999984</v>
      </c>
      <c r="BZ203" s="23">
        <f t="shared" si="1883"/>
        <v>-40.863000000000056</v>
      </c>
      <c r="CA203" s="23">
        <f t="shared" si="1883"/>
        <v>-17.508000000000038</v>
      </c>
      <c r="CB203" s="23">
        <f t="shared" si="1883"/>
        <v>-27.114999999999782</v>
      </c>
      <c r="CC203" s="23">
        <f t="shared" si="1883"/>
        <v>-17.660000000000082</v>
      </c>
      <c r="CD203" s="23">
        <f t="shared" si="1883"/>
        <v>-73.135999999999967</v>
      </c>
      <c r="CE203" s="23">
        <f t="shared" si="1883"/>
        <v>-18.6400000000001</v>
      </c>
      <c r="CF203" s="23">
        <f t="shared" si="1883"/>
        <v>-135.66300000000001</v>
      </c>
      <c r="CG203" s="23">
        <f t="shared" si="1883"/>
        <v>-20.144999999999982</v>
      </c>
      <c r="CH203" s="23">
        <f t="shared" si="1883"/>
        <v>-186.01239999999984</v>
      </c>
      <c r="CI203" s="23">
        <f t="shared" si="1883"/>
        <v>0</v>
      </c>
      <c r="CJ203" s="23">
        <f t="shared" si="1883"/>
        <v>23.093399999999974</v>
      </c>
      <c r="CK203" s="24">
        <f t="shared" si="1883"/>
        <v>0</v>
      </c>
      <c r="CL203" s="24">
        <f t="shared" si="1883"/>
        <v>0</v>
      </c>
      <c r="CM203" s="24">
        <f t="shared" si="1883"/>
        <v>0</v>
      </c>
      <c r="CN203" s="24">
        <f t="shared" si="1883"/>
        <v>0</v>
      </c>
      <c r="CO203" s="24">
        <f t="shared" si="1883"/>
        <v>0</v>
      </c>
      <c r="CP203" s="24">
        <f t="shared" si="1883"/>
        <v>0</v>
      </c>
      <c r="CQ203" s="24">
        <f t="shared" si="1883"/>
        <v>0</v>
      </c>
      <c r="CR203" s="24">
        <f t="shared" si="1883"/>
        <v>0</v>
      </c>
      <c r="CS203" s="24">
        <f t="shared" si="1883"/>
        <v>0</v>
      </c>
      <c r="CT203" s="24">
        <f t="shared" si="1883"/>
        <v>0</v>
      </c>
      <c r="CU203" s="24">
        <f t="shared" ref="CU203:DB203" si="1884">CT138-CU32-CU138</f>
        <v>0</v>
      </c>
      <c r="CV203" s="24">
        <f t="shared" si="1884"/>
        <v>0</v>
      </c>
      <c r="CW203" s="24">
        <f t="shared" si="1884"/>
        <v>0</v>
      </c>
      <c r="CX203" s="24">
        <f t="shared" si="1884"/>
        <v>0</v>
      </c>
      <c r="CY203" s="24">
        <f t="shared" si="1884"/>
        <v>0</v>
      </c>
      <c r="CZ203" s="24">
        <f t="shared" si="1884"/>
        <v>0</v>
      </c>
      <c r="DA203" s="24">
        <f t="shared" si="1884"/>
        <v>0</v>
      </c>
      <c r="DB203" s="24">
        <f t="shared" si="1884"/>
        <v>0</v>
      </c>
      <c r="DE203" s="123"/>
      <c r="DF203" s="23">
        <v>-210.36700000000019</v>
      </c>
    </row>
    <row r="204" spans="1:110" s="23" customFormat="1" x14ac:dyDescent="0.2">
      <c r="AB204" s="24"/>
      <c r="AC204" s="24"/>
      <c r="AD204" s="24"/>
      <c r="AE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85">C206+C207</f>
        <v>0</v>
      </c>
      <c r="D205" s="22">
        <f t="shared" si="1885"/>
        <v>0</v>
      </c>
      <c r="E205" s="22">
        <f t="shared" si="1885"/>
        <v>0</v>
      </c>
      <c r="F205" s="22">
        <f t="shared" si="1885"/>
        <v>0</v>
      </c>
      <c r="G205" s="22">
        <f t="shared" si="1885"/>
        <v>0</v>
      </c>
      <c r="H205" s="22">
        <f t="shared" si="1885"/>
        <v>0</v>
      </c>
      <c r="I205" s="22">
        <f t="shared" si="1885"/>
        <v>0</v>
      </c>
      <c r="J205" s="22">
        <f t="shared" si="1885"/>
        <v>0</v>
      </c>
      <c r="K205" s="22">
        <f t="shared" si="1885"/>
        <v>0</v>
      </c>
      <c r="L205" s="22">
        <f t="shared" si="1885"/>
        <v>0</v>
      </c>
      <c r="M205" s="22">
        <f t="shared" si="1885"/>
        <v>0</v>
      </c>
      <c r="N205" s="22">
        <f t="shared" si="1885"/>
        <v>0</v>
      </c>
      <c r="O205" s="22">
        <f t="shared" si="1885"/>
        <v>0</v>
      </c>
      <c r="P205" s="22">
        <f t="shared" si="1885"/>
        <v>1150.6333</v>
      </c>
      <c r="Q205" s="22">
        <f t="shared" si="1885"/>
        <v>-21.13969999999992</v>
      </c>
      <c r="R205" s="22">
        <f t="shared" si="1885"/>
        <v>-17.187200000000118</v>
      </c>
      <c r="S205" s="22">
        <f t="shared" si="1885"/>
        <v>7.0656000000000816</v>
      </c>
      <c r="T205" s="22">
        <f t="shared" si="1885"/>
        <v>-183.74829999999992</v>
      </c>
      <c r="U205" s="22">
        <f t="shared" si="1885"/>
        <v>103.02899999999995</v>
      </c>
      <c r="V205" s="22">
        <f t="shared" si="1885"/>
        <v>2.5709999999999695</v>
      </c>
      <c r="W205" s="22">
        <f t="shared" si="1885"/>
        <v>-13.54899999999995</v>
      </c>
      <c r="X205" s="22">
        <f t="shared" ref="X205:Y205" si="1886">X206+X207</f>
        <v>-37.216800000000035</v>
      </c>
      <c r="Y205" s="22">
        <f t="shared" si="1886"/>
        <v>-10.38610000000017</v>
      </c>
      <c r="Z205" s="22">
        <f t="shared" ref="Z205:AA205" si="1887">Z206+Z207</f>
        <v>118.82939999999984</v>
      </c>
      <c r="AA205" s="22">
        <f t="shared" si="1887"/>
        <v>189.01999999999978</v>
      </c>
      <c r="AB205" s="21">
        <f t="shared" ref="AB205:AD205" si="1888">AB206+AB207</f>
        <v>-144.08373061617189</v>
      </c>
      <c r="AC205" s="21">
        <f t="shared" si="1888"/>
        <v>4.5474735088646412E-13</v>
      </c>
      <c r="AD205" s="21">
        <f t="shared" si="1888"/>
        <v>-9.0949470177292824E-13</v>
      </c>
      <c r="AE205" s="21">
        <f t="shared" ref="AE205" si="1889">AE206+AE207</f>
        <v>0</v>
      </c>
      <c r="AI205" s="22">
        <f t="shared" ref="AI205" si="1890">AI206+AI207</f>
        <v>0</v>
      </c>
      <c r="AJ205" s="22">
        <f t="shared" ref="AJ205:AL205" si="1891">AJ206+AJ207</f>
        <v>0</v>
      </c>
      <c r="AK205" s="22">
        <f t="shared" si="1891"/>
        <v>0</v>
      </c>
      <c r="AL205" s="22">
        <f t="shared" si="1891"/>
        <v>0</v>
      </c>
      <c r="AM205" s="22">
        <f t="shared" ref="AM205" si="1892">AM206+AM207</f>
        <v>0</v>
      </c>
      <c r="AN205" s="22">
        <f t="shared" ref="AN205:CD205" si="1893">AN206+AN207</f>
        <v>0</v>
      </c>
      <c r="AO205" s="22">
        <f t="shared" si="1893"/>
        <v>0</v>
      </c>
      <c r="AP205" s="22">
        <f t="shared" si="1893"/>
        <v>0</v>
      </c>
      <c r="AQ205" s="22">
        <f t="shared" si="1893"/>
        <v>0</v>
      </c>
      <c r="AR205" s="22">
        <f t="shared" si="1893"/>
        <v>0</v>
      </c>
      <c r="AS205" s="22">
        <f t="shared" si="1893"/>
        <v>0</v>
      </c>
      <c r="AT205" s="22">
        <f t="shared" si="1893"/>
        <v>0</v>
      </c>
      <c r="AU205" s="22">
        <f t="shared" si="1893"/>
        <v>0</v>
      </c>
      <c r="AV205" s="22">
        <f t="shared" si="1893"/>
        <v>0</v>
      </c>
      <c r="AW205" s="22">
        <f t="shared" si="1893"/>
        <v>0</v>
      </c>
      <c r="AX205" s="22">
        <f t="shared" si="1893"/>
        <v>0</v>
      </c>
      <c r="AY205" s="22">
        <f t="shared" si="1893"/>
        <v>0</v>
      </c>
      <c r="AZ205" s="22">
        <f t="shared" si="1893"/>
        <v>0</v>
      </c>
      <c r="BA205" s="22">
        <f t="shared" si="1893"/>
        <v>0</v>
      </c>
      <c r="BB205" s="22">
        <f t="shared" si="1893"/>
        <v>0</v>
      </c>
      <c r="BC205" s="22">
        <f t="shared" si="1893"/>
        <v>0</v>
      </c>
      <c r="BD205" s="22">
        <f t="shared" si="1893"/>
        <v>0</v>
      </c>
      <c r="BE205" s="22">
        <f t="shared" si="1893"/>
        <v>0</v>
      </c>
      <c r="BF205" s="22">
        <f t="shared" si="1893"/>
        <v>0</v>
      </c>
      <c r="BG205" s="22">
        <f t="shared" si="1893"/>
        <v>0</v>
      </c>
      <c r="BH205" s="22">
        <f t="shared" si="1893"/>
        <v>0</v>
      </c>
      <c r="BI205" s="22">
        <f t="shared" si="1893"/>
        <v>0</v>
      </c>
      <c r="BJ205" s="22">
        <f t="shared" si="1893"/>
        <v>0</v>
      </c>
      <c r="BK205" s="22">
        <f t="shared" si="1893"/>
        <v>0</v>
      </c>
      <c r="BL205" s="22">
        <f t="shared" si="1893"/>
        <v>0</v>
      </c>
      <c r="BM205" s="22">
        <f t="shared" si="1893"/>
        <v>0</v>
      </c>
      <c r="BN205" s="22">
        <f t="shared" si="1893"/>
        <v>0</v>
      </c>
      <c r="BO205" s="22">
        <f t="shared" si="1893"/>
        <v>0</v>
      </c>
      <c r="BP205" s="22">
        <f t="shared" si="1893"/>
        <v>0</v>
      </c>
      <c r="BQ205" s="22">
        <f t="shared" si="1893"/>
        <v>0</v>
      </c>
      <c r="BR205" s="22">
        <f t="shared" si="1893"/>
        <v>0</v>
      </c>
      <c r="BS205" s="22">
        <f t="shared" si="1893"/>
        <v>0</v>
      </c>
      <c r="BT205" s="22">
        <f t="shared" si="1893"/>
        <v>-39.378000000000029</v>
      </c>
      <c r="BU205" s="22">
        <f t="shared" si="1893"/>
        <v>0</v>
      </c>
      <c r="BV205" s="22">
        <f t="shared" si="1893"/>
        <v>976.58500000000004</v>
      </c>
      <c r="BW205" s="22">
        <f t="shared" si="1893"/>
        <v>0</v>
      </c>
      <c r="BX205" s="22">
        <f t="shared" si="1893"/>
        <v>-21.099000000000103</v>
      </c>
      <c r="BY205" s="22">
        <f t="shared" si="1893"/>
        <v>0</v>
      </c>
      <c r="BZ205" s="22">
        <f t="shared" si="1893"/>
        <v>-16.118999999999687</v>
      </c>
      <c r="CA205" s="22">
        <f t="shared" si="1893"/>
        <v>0</v>
      </c>
      <c r="CB205" s="22">
        <f t="shared" si="1893"/>
        <v>-18.750000000000064</v>
      </c>
      <c r="CC205" s="22">
        <f t="shared" si="1893"/>
        <v>0</v>
      </c>
      <c r="CD205" s="22">
        <f t="shared" si="1893"/>
        <v>8.3609999999999935</v>
      </c>
      <c r="CE205" s="22">
        <f t="shared" ref="CE205:CF205" si="1894">CE206+CE207</f>
        <v>0</v>
      </c>
      <c r="CF205" s="22">
        <f t="shared" si="1894"/>
        <v>57.739999999999959</v>
      </c>
      <c r="CG205" s="22">
        <f t="shared" ref="CG205:CH205" si="1895">CG206+CG207</f>
        <v>0</v>
      </c>
      <c r="CH205" s="22">
        <f t="shared" si="1895"/>
        <v>61.091400000000036</v>
      </c>
      <c r="CI205" s="22">
        <f t="shared" ref="CI205:CJ205" si="1896">CI206+CI207</f>
        <v>0</v>
      </c>
      <c r="CJ205" s="22">
        <f t="shared" si="1896"/>
        <v>2.9085999999996943</v>
      </c>
      <c r="CK205" s="21">
        <f t="shared" ref="CK205:DB205" si="1897">CK206+CK207</f>
        <v>0</v>
      </c>
      <c r="CL205" s="21">
        <f t="shared" si="1897"/>
        <v>0</v>
      </c>
      <c r="CM205" s="21">
        <f t="shared" si="1897"/>
        <v>0</v>
      </c>
      <c r="CN205" s="21">
        <f t="shared" si="1897"/>
        <v>0</v>
      </c>
      <c r="CO205" s="21">
        <f t="shared" si="1897"/>
        <v>0</v>
      </c>
      <c r="CP205" s="21">
        <f t="shared" si="1897"/>
        <v>0</v>
      </c>
      <c r="CQ205" s="21">
        <f t="shared" si="1897"/>
        <v>0</v>
      </c>
      <c r="CR205" s="21">
        <f t="shared" si="1897"/>
        <v>0</v>
      </c>
      <c r="CS205" s="21">
        <f t="shared" si="1897"/>
        <v>0</v>
      </c>
      <c r="CT205" s="21">
        <f t="shared" si="1897"/>
        <v>0</v>
      </c>
      <c r="CU205" s="21">
        <f t="shared" si="1897"/>
        <v>0</v>
      </c>
      <c r="CV205" s="21">
        <f t="shared" si="1897"/>
        <v>0</v>
      </c>
      <c r="CW205" s="21">
        <f t="shared" si="1897"/>
        <v>0</v>
      </c>
      <c r="CX205" s="21">
        <f t="shared" si="1897"/>
        <v>0</v>
      </c>
      <c r="CY205" s="21">
        <f t="shared" si="1897"/>
        <v>0</v>
      </c>
      <c r="CZ205" s="21">
        <f t="shared" si="1897"/>
        <v>0</v>
      </c>
      <c r="DA205" s="21">
        <f t="shared" si="1897"/>
        <v>0</v>
      </c>
      <c r="DB205" s="21">
        <f t="shared" si="1897"/>
        <v>0</v>
      </c>
      <c r="DE205" s="126"/>
      <c r="DF205" s="22">
        <v>189.01999999999978</v>
      </c>
    </row>
    <row r="206" spans="1:110" s="23" customFormat="1" x14ac:dyDescent="0.2">
      <c r="A206" s="23" t="s">
        <v>49</v>
      </c>
      <c r="C206" s="23">
        <f t="shared" ref="C206:AA206" si="1898">C128-B128</f>
        <v>0</v>
      </c>
      <c r="D206" s="23">
        <f t="shared" si="1898"/>
        <v>0</v>
      </c>
      <c r="E206" s="23">
        <f>E128-D128</f>
        <v>0</v>
      </c>
      <c r="F206" s="23">
        <f t="shared" si="1898"/>
        <v>0</v>
      </c>
      <c r="G206" s="23">
        <f t="shared" si="1898"/>
        <v>0</v>
      </c>
      <c r="H206" s="23">
        <f t="shared" si="1898"/>
        <v>0</v>
      </c>
      <c r="I206" s="23">
        <f t="shared" si="1898"/>
        <v>0</v>
      </c>
      <c r="J206" s="23">
        <f>J128-I128</f>
        <v>0</v>
      </c>
      <c r="K206" s="23">
        <f>K128-J128</f>
        <v>0</v>
      </c>
      <c r="L206" s="23">
        <f t="shared" si="1898"/>
        <v>0</v>
      </c>
      <c r="M206" s="23">
        <f t="shared" si="1898"/>
        <v>0</v>
      </c>
      <c r="N206" s="23">
        <f t="shared" si="1898"/>
        <v>0</v>
      </c>
      <c r="O206" s="23">
        <f t="shared" si="1898"/>
        <v>0</v>
      </c>
      <c r="P206" s="23">
        <f t="shared" si="1898"/>
        <v>1010.2597</v>
      </c>
      <c r="Q206" s="23">
        <f t="shared" si="1898"/>
        <v>-21.139899999999898</v>
      </c>
      <c r="R206" s="23">
        <f t="shared" si="1898"/>
        <v>-17.199200000000133</v>
      </c>
      <c r="S206" s="23">
        <f t="shared" si="1898"/>
        <v>-3.5277999999999565</v>
      </c>
      <c r="T206" s="23">
        <f t="shared" si="1898"/>
        <v>-214.30379999999991</v>
      </c>
      <c r="U206" s="23">
        <f t="shared" si="1898"/>
        <v>103.19399999999996</v>
      </c>
      <c r="V206" s="23">
        <f t="shared" si="1898"/>
        <v>1.1499000000000024</v>
      </c>
      <c r="W206" s="23">
        <f t="shared" si="1898"/>
        <v>-13.548999999999978</v>
      </c>
      <c r="X206" s="23">
        <f t="shared" si="1898"/>
        <v>-823.39179999999999</v>
      </c>
      <c r="Y206" s="23">
        <f t="shared" si="1898"/>
        <v>38.052499999999995</v>
      </c>
      <c r="Z206" s="23">
        <f t="shared" si="1898"/>
        <v>118.51929999999999</v>
      </c>
      <c r="AA206" s="23">
        <f t="shared" si="1898"/>
        <v>226.95429999999999</v>
      </c>
      <c r="AB206" s="24">
        <f t="shared" ref="AB206" si="1899">AB128-AA128</f>
        <v>-194.31719999999999</v>
      </c>
      <c r="AC206" s="24">
        <f t="shared" ref="AC206" si="1900">AC128-AB128</f>
        <v>0</v>
      </c>
      <c r="AD206" s="24">
        <f t="shared" ref="AD206" si="1901">AD128-AC128</f>
        <v>0</v>
      </c>
      <c r="AE206" s="24">
        <f t="shared" ref="AE206" si="1902">AE128-AD128</f>
        <v>0</v>
      </c>
      <c r="AI206" s="23">
        <f t="shared" ref="AI206" si="1903">AI128-AH128</f>
        <v>0</v>
      </c>
      <c r="AJ206" s="23">
        <f t="shared" ref="AJ206" si="1904">AJ128-AI128</f>
        <v>0</v>
      </c>
      <c r="AK206" s="23">
        <f t="shared" ref="AK206" si="1905">AK128-AJ128</f>
        <v>0</v>
      </c>
      <c r="AL206" s="23">
        <f t="shared" ref="AL206" si="1906">AL128-AK128</f>
        <v>0</v>
      </c>
      <c r="AM206" s="23">
        <f t="shared" ref="AM206" si="1907">AM128-AL128</f>
        <v>0</v>
      </c>
      <c r="AN206" s="23">
        <f t="shared" ref="AN206" si="1908">AN128-AM128</f>
        <v>0</v>
      </c>
      <c r="AO206" s="23">
        <f t="shared" ref="AO206" si="1909">AO128-AN128</f>
        <v>0</v>
      </c>
      <c r="AP206" s="23">
        <f t="shared" ref="AP206" si="1910">AP128-AO128</f>
        <v>0</v>
      </c>
      <c r="AQ206" s="23">
        <f t="shared" ref="AQ206" si="1911">AQ128-AP128</f>
        <v>0</v>
      </c>
      <c r="AR206" s="23">
        <f t="shared" ref="AR206" si="1912">AR128-AQ128</f>
        <v>0</v>
      </c>
      <c r="AS206" s="23">
        <f t="shared" ref="AS206" si="1913">AS128-AR128</f>
        <v>0</v>
      </c>
      <c r="AT206" s="23">
        <f t="shared" ref="AT206" si="1914">AT128-AS128</f>
        <v>0</v>
      </c>
      <c r="AU206" s="23">
        <f t="shared" ref="AU206" si="1915">AU128-AT128</f>
        <v>0</v>
      </c>
      <c r="AV206" s="23">
        <f t="shared" ref="AV206" si="1916">AV128-AU128</f>
        <v>0</v>
      </c>
      <c r="AW206" s="23">
        <f t="shared" ref="AW206" si="1917">AW128-AV128</f>
        <v>0</v>
      </c>
      <c r="AX206" s="23">
        <f t="shared" ref="AX206" si="1918">AX128-AW128</f>
        <v>0</v>
      </c>
      <c r="AY206" s="23">
        <f t="shared" ref="AY206" si="1919">AY128-AX128</f>
        <v>0</v>
      </c>
      <c r="AZ206" s="23">
        <f t="shared" ref="AZ206" si="1920">AZ128-AY128</f>
        <v>0</v>
      </c>
      <c r="BA206" s="23">
        <f t="shared" ref="BA206" si="1921">BA128-AZ128</f>
        <v>0</v>
      </c>
      <c r="BB206" s="23">
        <f t="shared" ref="BB206" si="1922">BB128-BA128</f>
        <v>0</v>
      </c>
      <c r="BC206" s="23">
        <f t="shared" ref="BC206" si="1923">BC128-BB128</f>
        <v>0</v>
      </c>
      <c r="BD206" s="23">
        <f t="shared" ref="BD206" si="1924">BD128-BC128</f>
        <v>0</v>
      </c>
      <c r="BE206" s="23">
        <f t="shared" ref="BE206" si="1925">BE128-BD128</f>
        <v>0</v>
      </c>
      <c r="BF206" s="23">
        <f t="shared" ref="BF206" si="1926">BF128-BE128</f>
        <v>0</v>
      </c>
      <c r="BG206" s="23">
        <f t="shared" ref="BG206" si="1927">BG128-BF128</f>
        <v>0</v>
      </c>
      <c r="BH206" s="23">
        <f t="shared" ref="BH206" si="1928">BH128-BG128</f>
        <v>0</v>
      </c>
      <c r="BI206" s="23">
        <f t="shared" ref="BI206" si="1929">BI128-BH128</f>
        <v>0</v>
      </c>
      <c r="BJ206" s="23">
        <f t="shared" ref="BJ206" si="1930">BJ128-BI128</f>
        <v>0</v>
      </c>
      <c r="BK206" s="23">
        <f t="shared" ref="BK206" si="1931">BK128-BJ128</f>
        <v>0</v>
      </c>
      <c r="BL206" s="23">
        <f t="shared" ref="BL206" si="1932">BL128-BK128</f>
        <v>0</v>
      </c>
      <c r="BM206" s="23">
        <f t="shared" ref="BM206" si="1933">BM128-BL128</f>
        <v>0</v>
      </c>
      <c r="BN206" s="23">
        <f t="shared" ref="BN206" si="1934">BN128-BM128</f>
        <v>0</v>
      </c>
      <c r="BO206" s="23">
        <f t="shared" ref="BO206" si="1935">BO128-BN128</f>
        <v>0</v>
      </c>
      <c r="BP206" s="23">
        <f t="shared" ref="BP206" si="1936">BP128-BO128</f>
        <v>0</v>
      </c>
      <c r="BQ206" s="23">
        <f t="shared" ref="BQ206" si="1937">BQ128-BP128</f>
        <v>0</v>
      </c>
      <c r="BR206" s="23">
        <f t="shared" ref="BR206" si="1938">BR128-BQ128</f>
        <v>0</v>
      </c>
      <c r="BS206" s="23">
        <f t="shared" ref="BS206" si="1939">BS128-BR128</f>
        <v>0</v>
      </c>
      <c r="BT206" s="23">
        <f t="shared" ref="BT206" si="1940">BT128-BS128</f>
        <v>0</v>
      </c>
      <c r="BU206" s="23">
        <f t="shared" ref="BU206" si="1941">BU128-BT128</f>
        <v>0</v>
      </c>
      <c r="BV206" s="23">
        <f t="shared" ref="BV206" si="1942">BV128-BU128</f>
        <v>844.88400000000001</v>
      </c>
      <c r="BW206" s="23">
        <f t="shared" ref="BW206" si="1943">BW128-BV128</f>
        <v>0</v>
      </c>
      <c r="BX206" s="23">
        <f t="shared" ref="BX206" si="1944">BX128-BW128</f>
        <v>-22.006000000000085</v>
      </c>
      <c r="BY206" s="23">
        <f t="shared" ref="BY206" si="1945">BY128-BX128</f>
        <v>0</v>
      </c>
      <c r="BZ206" s="23">
        <f t="shared" ref="BZ206" si="1946">BZ128-BY128</f>
        <v>-801.38599999999997</v>
      </c>
      <c r="CA206" s="23">
        <f t="shared" ref="CA206" si="1947">CA128-BZ128</f>
        <v>0</v>
      </c>
      <c r="CB206" s="23">
        <f t="shared" ref="CB206" si="1948">CB128-CA128</f>
        <v>4.3819999999999979</v>
      </c>
      <c r="CC206" s="23">
        <f t="shared" ref="CC206" si="1949">CC128-CB128</f>
        <v>0</v>
      </c>
      <c r="CD206" s="23">
        <f t="shared" ref="CD206" si="1950">CD128-CC128</f>
        <v>33.67</v>
      </c>
      <c r="CE206" s="23">
        <f t="shared" ref="CE206" si="1951">CE128-CD128</f>
        <v>0</v>
      </c>
      <c r="CF206" s="23">
        <f t="shared" ref="CF206" si="1952">CF128-CE128</f>
        <v>56.425000000000004</v>
      </c>
      <c r="CG206" s="23">
        <f t="shared" ref="CG206" si="1953">CG128-CF128</f>
        <v>0</v>
      </c>
      <c r="CH206" s="23">
        <f t="shared" ref="CH206:CJ206" si="1954">CH128-CG128</f>
        <v>62.094899999999981</v>
      </c>
      <c r="CI206" s="23">
        <f t="shared" si="1954"/>
        <v>0</v>
      </c>
      <c r="CJ206" s="23">
        <f t="shared" si="1954"/>
        <v>32.637100000000004</v>
      </c>
      <c r="CK206" s="24">
        <f t="shared" ref="CK206" si="1955">CK128-CJ128</f>
        <v>0</v>
      </c>
      <c r="CL206" s="24">
        <f t="shared" ref="CL206" si="1956">CL128-CK128</f>
        <v>0</v>
      </c>
      <c r="CM206" s="24">
        <f t="shared" ref="CM206" si="1957">CM128-CL128</f>
        <v>0</v>
      </c>
      <c r="CN206" s="24">
        <f t="shared" ref="CN206" si="1958">CN128-CM128</f>
        <v>0</v>
      </c>
      <c r="CO206" s="24">
        <f t="shared" ref="CO206" si="1959">CO128-CN128</f>
        <v>0</v>
      </c>
      <c r="CP206" s="24">
        <f t="shared" ref="CP206" si="1960">CP128-CO128</f>
        <v>0</v>
      </c>
      <c r="CQ206" s="24">
        <f t="shared" ref="CQ206" si="1961">CQ128-CP128</f>
        <v>0</v>
      </c>
      <c r="CR206" s="24">
        <f t="shared" ref="CR206" si="1962">CR128-CQ128</f>
        <v>0</v>
      </c>
      <c r="CS206" s="24">
        <f t="shared" ref="CS206" si="1963">CS128-CR128</f>
        <v>0</v>
      </c>
      <c r="CT206" s="24">
        <f t="shared" ref="CT206" si="1964">CT128-CS128</f>
        <v>0</v>
      </c>
      <c r="CU206" s="24">
        <f t="shared" ref="CU206" si="1965">CU128-CT128</f>
        <v>0</v>
      </c>
      <c r="CV206" s="24">
        <f t="shared" ref="CV206" si="1966">CV128-CU128</f>
        <v>0</v>
      </c>
      <c r="CW206" s="24">
        <f t="shared" ref="CW206" si="1967">CW128-CV128</f>
        <v>0</v>
      </c>
      <c r="CX206" s="24">
        <f t="shared" ref="CX206" si="1968">CX128-CW128</f>
        <v>0</v>
      </c>
      <c r="CY206" s="24">
        <f t="shared" ref="CY206" si="1969">CY128-CX128</f>
        <v>0</v>
      </c>
      <c r="CZ206" s="24">
        <f t="shared" ref="CZ206" si="1970">CZ128-CY128</f>
        <v>0</v>
      </c>
      <c r="DA206" s="24">
        <f t="shared" ref="DA206" si="1971">DA128-CZ128</f>
        <v>0</v>
      </c>
      <c r="DB206" s="24">
        <f t="shared" ref="DB206" si="1972">DB128-DA128</f>
        <v>0</v>
      </c>
      <c r="DE206" s="123"/>
      <c r="DF206" s="23">
        <v>226.95429999999999</v>
      </c>
    </row>
    <row r="207" spans="1:110" s="23" customFormat="1" x14ac:dyDescent="0.2">
      <c r="A207" s="23" t="s">
        <v>27</v>
      </c>
      <c r="C207" s="23">
        <f t="shared" ref="C207:AE207" si="1973">C120-C48-B120+C122-B122</f>
        <v>0</v>
      </c>
      <c r="D207" s="23">
        <f t="shared" si="1973"/>
        <v>0</v>
      </c>
      <c r="E207" s="23">
        <f t="shared" si="1973"/>
        <v>0</v>
      </c>
      <c r="F207" s="23">
        <f t="shared" si="1973"/>
        <v>0</v>
      </c>
      <c r="G207" s="23">
        <f t="shared" si="1973"/>
        <v>0</v>
      </c>
      <c r="H207" s="23">
        <f t="shared" si="1973"/>
        <v>0</v>
      </c>
      <c r="I207" s="23">
        <f t="shared" si="1973"/>
        <v>0</v>
      </c>
      <c r="J207" s="23">
        <f t="shared" si="1973"/>
        <v>0</v>
      </c>
      <c r="K207" s="23">
        <f t="shared" si="1973"/>
        <v>0</v>
      </c>
      <c r="L207" s="23">
        <f t="shared" si="1973"/>
        <v>0</v>
      </c>
      <c r="M207" s="23">
        <f t="shared" si="1973"/>
        <v>0</v>
      </c>
      <c r="N207" s="23">
        <f t="shared" si="1973"/>
        <v>0</v>
      </c>
      <c r="O207" s="23">
        <f t="shared" si="1973"/>
        <v>0</v>
      </c>
      <c r="P207" s="23">
        <f t="shared" si="1973"/>
        <v>140.37360000000001</v>
      </c>
      <c r="Q207" s="23">
        <f t="shared" si="1973"/>
        <v>1.999999999782176E-4</v>
      </c>
      <c r="R207" s="23">
        <f t="shared" si="1973"/>
        <v>1.2000000000014666E-2</v>
      </c>
      <c r="S207" s="23">
        <f t="shared" si="1973"/>
        <v>10.593400000000038</v>
      </c>
      <c r="T207" s="23">
        <f t="shared" si="1973"/>
        <v>30.555500000000009</v>
      </c>
      <c r="U207" s="23">
        <f t="shared" si="1973"/>
        <v>-0.16500000000000625</v>
      </c>
      <c r="V207" s="23">
        <f t="shared" si="1973"/>
        <v>1.4210999999999672</v>
      </c>
      <c r="W207" s="23">
        <f t="shared" si="1973"/>
        <v>2.8421709430404007E-14</v>
      </c>
      <c r="X207" s="23">
        <f t="shared" si="1973"/>
        <v>786.17499999999995</v>
      </c>
      <c r="Y207" s="23">
        <f t="shared" si="1973"/>
        <v>-48.438600000000164</v>
      </c>
      <c r="Z207" s="23">
        <f t="shared" si="1973"/>
        <v>0.31009999999985088</v>
      </c>
      <c r="AA207" s="23">
        <f t="shared" si="1973"/>
        <v>-37.934300000000199</v>
      </c>
      <c r="AB207" s="24">
        <f t="shared" si="1973"/>
        <v>50.233469383828087</v>
      </c>
      <c r="AC207" s="24">
        <f t="shared" si="1973"/>
        <v>4.5474735088646412E-13</v>
      </c>
      <c r="AD207" s="24">
        <f t="shared" si="1973"/>
        <v>-9.0949470177292824E-13</v>
      </c>
      <c r="AE207" s="24">
        <f t="shared" si="1973"/>
        <v>0</v>
      </c>
      <c r="AI207" s="23">
        <f t="shared" ref="AI207:BN207" si="1974">AI120-AI48-AH120+AI122-AH122</f>
        <v>0</v>
      </c>
      <c r="AJ207" s="23">
        <f t="shared" si="1974"/>
        <v>0</v>
      </c>
      <c r="AK207" s="23">
        <f t="shared" si="1974"/>
        <v>0</v>
      </c>
      <c r="AL207" s="23">
        <f t="shared" si="1974"/>
        <v>0</v>
      </c>
      <c r="AM207" s="23">
        <f t="shared" si="1974"/>
        <v>0</v>
      </c>
      <c r="AN207" s="23">
        <f t="shared" si="1974"/>
        <v>0</v>
      </c>
      <c r="AO207" s="23">
        <f t="shared" si="1974"/>
        <v>0</v>
      </c>
      <c r="AP207" s="23">
        <f t="shared" si="1974"/>
        <v>0</v>
      </c>
      <c r="AQ207" s="23">
        <f t="shared" si="1974"/>
        <v>0</v>
      </c>
      <c r="AR207" s="23">
        <f t="shared" si="1974"/>
        <v>0</v>
      </c>
      <c r="AS207" s="23">
        <f t="shared" si="1974"/>
        <v>0</v>
      </c>
      <c r="AT207" s="23">
        <f t="shared" si="1974"/>
        <v>0</v>
      </c>
      <c r="AU207" s="23">
        <f t="shared" si="1974"/>
        <v>0</v>
      </c>
      <c r="AV207" s="23">
        <f t="shared" si="1974"/>
        <v>0</v>
      </c>
      <c r="AW207" s="23">
        <f t="shared" si="1974"/>
        <v>0</v>
      </c>
      <c r="AX207" s="23">
        <f t="shared" si="1974"/>
        <v>0</v>
      </c>
      <c r="AY207" s="23">
        <f t="shared" si="1974"/>
        <v>0</v>
      </c>
      <c r="AZ207" s="23">
        <f t="shared" si="1974"/>
        <v>0</v>
      </c>
      <c r="BA207" s="23">
        <f t="shared" si="1974"/>
        <v>0</v>
      </c>
      <c r="BB207" s="23">
        <f t="shared" si="1974"/>
        <v>0</v>
      </c>
      <c r="BC207" s="23">
        <f t="shared" si="1974"/>
        <v>0</v>
      </c>
      <c r="BD207" s="23">
        <f t="shared" si="1974"/>
        <v>0</v>
      </c>
      <c r="BE207" s="23">
        <f t="shared" si="1974"/>
        <v>0</v>
      </c>
      <c r="BF207" s="23">
        <f t="shared" si="1974"/>
        <v>0</v>
      </c>
      <c r="BG207" s="23">
        <f t="shared" si="1974"/>
        <v>0</v>
      </c>
      <c r="BH207" s="23">
        <f t="shared" si="1974"/>
        <v>0</v>
      </c>
      <c r="BI207" s="23">
        <f t="shared" si="1974"/>
        <v>0</v>
      </c>
      <c r="BJ207" s="23">
        <f t="shared" si="1974"/>
        <v>0</v>
      </c>
      <c r="BK207" s="23">
        <f t="shared" si="1974"/>
        <v>0</v>
      </c>
      <c r="BL207" s="23">
        <f t="shared" si="1974"/>
        <v>0</v>
      </c>
      <c r="BM207" s="23">
        <f t="shared" si="1974"/>
        <v>0</v>
      </c>
      <c r="BN207" s="23">
        <f t="shared" si="1974"/>
        <v>0</v>
      </c>
      <c r="BO207" s="23">
        <f t="shared" ref="BO207:CT207" si="1975">BO120-BO48-BN120+BO122-BN122</f>
        <v>0</v>
      </c>
      <c r="BP207" s="23">
        <f t="shared" si="1975"/>
        <v>0</v>
      </c>
      <c r="BQ207" s="23">
        <f t="shared" si="1975"/>
        <v>0</v>
      </c>
      <c r="BR207" s="23">
        <f t="shared" si="1975"/>
        <v>0</v>
      </c>
      <c r="BS207" s="23">
        <f t="shared" si="1975"/>
        <v>0</v>
      </c>
      <c r="BT207" s="23">
        <f t="shared" si="1975"/>
        <v>-39.378000000000029</v>
      </c>
      <c r="BU207" s="23">
        <f t="shared" si="1975"/>
        <v>0</v>
      </c>
      <c r="BV207" s="23">
        <f t="shared" si="1975"/>
        <v>131.70100000000002</v>
      </c>
      <c r="BW207" s="23">
        <f t="shared" si="1975"/>
        <v>0</v>
      </c>
      <c r="BX207" s="23">
        <f t="shared" si="1975"/>
        <v>0.90699999999998226</v>
      </c>
      <c r="BY207" s="23">
        <f t="shared" si="1975"/>
        <v>0</v>
      </c>
      <c r="BZ207" s="23">
        <f t="shared" si="1975"/>
        <v>785.26700000000028</v>
      </c>
      <c r="CA207" s="23">
        <f t="shared" si="1975"/>
        <v>0</v>
      </c>
      <c r="CB207" s="23">
        <f t="shared" si="1975"/>
        <v>-23.132000000000062</v>
      </c>
      <c r="CC207" s="23">
        <f t="shared" si="1975"/>
        <v>0</v>
      </c>
      <c r="CD207" s="23">
        <f t="shared" si="1975"/>
        <v>-25.309000000000008</v>
      </c>
      <c r="CE207" s="23">
        <f t="shared" si="1975"/>
        <v>0</v>
      </c>
      <c r="CF207" s="23">
        <f t="shared" si="1975"/>
        <v>1.3149999999999527</v>
      </c>
      <c r="CG207" s="23">
        <f t="shared" si="1975"/>
        <v>0</v>
      </c>
      <c r="CH207" s="23">
        <f t="shared" si="1975"/>
        <v>-1.0034999999999483</v>
      </c>
      <c r="CI207" s="23">
        <f t="shared" si="1975"/>
        <v>0</v>
      </c>
      <c r="CJ207" s="23">
        <f t="shared" si="1975"/>
        <v>-29.728500000000309</v>
      </c>
      <c r="CK207" s="24">
        <f t="shared" si="1975"/>
        <v>0</v>
      </c>
      <c r="CL207" s="24">
        <f t="shared" si="1975"/>
        <v>0</v>
      </c>
      <c r="CM207" s="24">
        <f t="shared" si="1975"/>
        <v>0</v>
      </c>
      <c r="CN207" s="24">
        <f t="shared" si="1975"/>
        <v>0</v>
      </c>
      <c r="CO207" s="24">
        <f t="shared" si="1975"/>
        <v>0</v>
      </c>
      <c r="CP207" s="24">
        <f t="shared" si="1975"/>
        <v>0</v>
      </c>
      <c r="CQ207" s="24">
        <f t="shared" si="1975"/>
        <v>0</v>
      </c>
      <c r="CR207" s="24">
        <f t="shared" si="1975"/>
        <v>0</v>
      </c>
      <c r="CS207" s="24">
        <f t="shared" si="1975"/>
        <v>0</v>
      </c>
      <c r="CT207" s="24">
        <f t="shared" si="1975"/>
        <v>0</v>
      </c>
      <c r="CU207" s="24">
        <f t="shared" ref="CU207:DB207" si="1976">CU120-CU48-CT120+CU122-CT122</f>
        <v>0</v>
      </c>
      <c r="CV207" s="24">
        <f t="shared" si="1976"/>
        <v>0</v>
      </c>
      <c r="CW207" s="24">
        <f t="shared" si="1976"/>
        <v>0</v>
      </c>
      <c r="CX207" s="24">
        <f t="shared" si="1976"/>
        <v>0</v>
      </c>
      <c r="CY207" s="24">
        <f t="shared" si="1976"/>
        <v>0</v>
      </c>
      <c r="CZ207" s="24">
        <f t="shared" si="1976"/>
        <v>0</v>
      </c>
      <c r="DA207" s="24">
        <f t="shared" si="1976"/>
        <v>0</v>
      </c>
      <c r="DB207" s="24">
        <f t="shared" si="1976"/>
        <v>0</v>
      </c>
      <c r="DE207" s="123"/>
      <c r="DF207" s="23">
        <v>-37.934300000000199</v>
      </c>
    </row>
    <row r="208" spans="1:110" s="23" customFormat="1" x14ac:dyDescent="0.2">
      <c r="AB208" s="24"/>
      <c r="AC208" s="24"/>
      <c r="AD208" s="24"/>
      <c r="AE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77">B161</f>
        <v>0</v>
      </c>
      <c r="D209" s="23">
        <f t="shared" ref="D209" si="1978">C161</f>
        <v>0</v>
      </c>
      <c r="E209" s="23">
        <f>D161</f>
        <v>0</v>
      </c>
      <c r="F209" s="23">
        <f t="shared" ref="F209" si="1979">E161</f>
        <v>0</v>
      </c>
      <c r="G209" s="23">
        <f t="shared" ref="G209" si="1980">F161</f>
        <v>0</v>
      </c>
      <c r="H209" s="23">
        <f t="shared" ref="H209" si="1981">G161</f>
        <v>0</v>
      </c>
      <c r="I209" s="23">
        <f t="shared" ref="I209" si="1982">H161</f>
        <v>0</v>
      </c>
      <c r="J209" s="23">
        <f>I161</f>
        <v>0</v>
      </c>
      <c r="K209" s="23">
        <f>J161</f>
        <v>0</v>
      </c>
      <c r="L209" s="23">
        <f t="shared" ref="L209" si="1983">K161</f>
        <v>0</v>
      </c>
      <c r="M209" s="23">
        <f t="shared" ref="M209" si="1984">L161</f>
        <v>0</v>
      </c>
      <c r="N209" s="23">
        <f t="shared" ref="N209" si="1985">M161</f>
        <v>0</v>
      </c>
      <c r="O209" s="23">
        <f t="shared" ref="O209" si="1986">N161</f>
        <v>0</v>
      </c>
      <c r="P209" s="23">
        <f t="shared" ref="P209" si="1987">O161</f>
        <v>0</v>
      </c>
      <c r="Q209" s="23">
        <f t="shared" ref="Q209" si="1988">P161</f>
        <v>69.978800000000007</v>
      </c>
      <c r="R209" s="23">
        <f t="shared" ref="R209" si="1989">Q161</f>
        <v>68.711100000000002</v>
      </c>
      <c r="S209" s="23">
        <f t="shared" ref="S209" si="1990">R161</f>
        <v>61.0764</v>
      </c>
      <c r="T209" s="23">
        <f t="shared" ref="T209" si="1991">S161</f>
        <v>12.7636</v>
      </c>
      <c r="U209" s="23">
        <f t="shared" ref="U209" si="1992">T161</f>
        <v>47.506</v>
      </c>
      <c r="V209" s="23">
        <f t="shared" ref="V209" si="1993">U161</f>
        <v>71.822000000000003</v>
      </c>
      <c r="W209" s="23">
        <f t="shared" ref="W209:AA209" si="1994">V161</f>
        <v>72.982300000000009</v>
      </c>
      <c r="X209" s="23">
        <f t="shared" si="1994"/>
        <v>69.816900000000004</v>
      </c>
      <c r="Y209" s="23">
        <f t="shared" si="1994"/>
        <v>242.74979999999999</v>
      </c>
      <c r="Z209" s="23">
        <f t="shared" si="1994"/>
        <v>395.35300000000001</v>
      </c>
      <c r="AA209" s="23">
        <f t="shared" si="1994"/>
        <v>255.01329999999999</v>
      </c>
      <c r="AB209" s="24">
        <f t="shared" ref="AB209" si="1995">AA161</f>
        <v>61.077500000000001</v>
      </c>
      <c r="AC209" s="24">
        <f t="shared" ref="AC209" si="1996">AB161</f>
        <v>165.12490535016238</v>
      </c>
      <c r="AD209" s="24">
        <f t="shared" ref="AD209" si="1997">AC161</f>
        <v>305.30144536379549</v>
      </c>
      <c r="AE209" s="24">
        <f t="shared" ref="AE209" si="1998">AD161</f>
        <v>427.72446703226012</v>
      </c>
      <c r="AI209" s="23">
        <f t="shared" ref="AI209" si="1999">AH161</f>
        <v>0</v>
      </c>
      <c r="AJ209" s="23">
        <f t="shared" ref="AJ209" si="2000">AI161</f>
        <v>0</v>
      </c>
      <c r="AK209" s="23">
        <f t="shared" ref="AK209" si="2001">AJ161</f>
        <v>0</v>
      </c>
      <c r="AL209" s="23" t="e">
        <f t="shared" ref="AL209" si="2002">AK161</f>
        <v>#DIV/0!</v>
      </c>
      <c r="AM209" s="23">
        <f t="shared" ref="AM209" si="2003">AL161</f>
        <v>0</v>
      </c>
      <c r="AN209" s="23" t="e">
        <f t="shared" ref="AN209" si="2004">AM161</f>
        <v>#DIV/0!</v>
      </c>
      <c r="AO209" s="23">
        <f t="shared" ref="AO209" si="2005">AN161</f>
        <v>0</v>
      </c>
      <c r="AP209" s="23" t="e">
        <f t="shared" ref="AP209" si="2006">AO161</f>
        <v>#DIV/0!</v>
      </c>
      <c r="AQ209" s="23">
        <f t="shared" ref="AQ209" si="2007">AP161</f>
        <v>0</v>
      </c>
      <c r="AR209" s="23" t="e">
        <f t="shared" ref="AR209" si="2008">AQ161</f>
        <v>#DIV/0!</v>
      </c>
      <c r="AS209" s="23">
        <f t="shared" ref="AS209" si="2009">AR161</f>
        <v>0</v>
      </c>
      <c r="AT209" s="23" t="e">
        <f t="shared" ref="AT209" si="2010">AS161</f>
        <v>#DIV/0!</v>
      </c>
      <c r="AU209" s="23">
        <f t="shared" ref="AU209" si="2011">AT161</f>
        <v>0</v>
      </c>
      <c r="AV209" s="23" t="e">
        <f t="shared" ref="AV209" si="2012">AU161</f>
        <v>#DIV/0!</v>
      </c>
      <c r="AW209" s="23">
        <f t="shared" ref="AW209" si="2013">AV161</f>
        <v>0</v>
      </c>
      <c r="AX209" s="23" t="e">
        <f t="shared" ref="AX209" si="2014">AW161</f>
        <v>#DIV/0!</v>
      </c>
      <c r="AY209" s="23">
        <f t="shared" ref="AY209" si="2015">AX161</f>
        <v>0</v>
      </c>
      <c r="AZ209" s="23" t="e">
        <f t="shared" ref="AZ209" si="2016">AY161</f>
        <v>#DIV/0!</v>
      </c>
      <c r="BA209" s="23">
        <f t="shared" ref="BA209" si="2017">AZ161</f>
        <v>0</v>
      </c>
      <c r="BB209" s="23" t="e">
        <f t="shared" ref="BB209" si="2018">BA161</f>
        <v>#DIV/0!</v>
      </c>
      <c r="BC209" s="23">
        <f t="shared" ref="BC209" si="2019">BB161</f>
        <v>0</v>
      </c>
      <c r="BD209" s="23" t="e">
        <f t="shared" ref="BD209" si="2020">BC161</f>
        <v>#DIV/0!</v>
      </c>
      <c r="BE209" s="23">
        <f t="shared" ref="BE209" si="2021">BD161</f>
        <v>0</v>
      </c>
      <c r="BF209" s="23" t="e">
        <f t="shared" ref="BF209" si="2022">BE161</f>
        <v>#DIV/0!</v>
      </c>
      <c r="BG209" s="23">
        <f t="shared" ref="BG209" si="2023">BF161</f>
        <v>0</v>
      </c>
      <c r="BH209" s="23" t="e">
        <f t="shared" ref="BH209" si="2024">BG161</f>
        <v>#DIV/0!</v>
      </c>
      <c r="BI209" s="23">
        <f t="shared" ref="BI209" si="2025">BH161</f>
        <v>0</v>
      </c>
      <c r="BJ209" s="23" t="e">
        <f t="shared" ref="BJ209" si="2026">BI161</f>
        <v>#DIV/0!</v>
      </c>
      <c r="BK209" s="23">
        <f t="shared" ref="BK209" si="2027">BJ161</f>
        <v>0</v>
      </c>
      <c r="BL209" s="23" t="e">
        <f t="shared" ref="BL209" si="2028">BK161</f>
        <v>#DIV/0!</v>
      </c>
      <c r="BM209" s="23">
        <f t="shared" ref="BM209" si="2029">BL161</f>
        <v>0</v>
      </c>
      <c r="BN209" s="23" t="e">
        <f t="shared" ref="BN209" si="2030">BM161</f>
        <v>#DIV/0!</v>
      </c>
      <c r="BO209" s="23">
        <f t="shared" ref="BO209" si="2031">BN161</f>
        <v>0</v>
      </c>
      <c r="BP209" s="23" t="e">
        <f t="shared" ref="BP209" si="2032">BO161</f>
        <v>#DIV/0!</v>
      </c>
      <c r="BQ209" s="23">
        <f t="shared" ref="BQ209" si="2033">BP161</f>
        <v>0</v>
      </c>
      <c r="BR209" s="23" t="e">
        <f t="shared" ref="BR209" si="2034">BQ161</f>
        <v>#DIV/0!</v>
      </c>
      <c r="BS209" s="23">
        <f t="shared" ref="BS209" si="2035">BR161</f>
        <v>0</v>
      </c>
      <c r="BT209" s="23" t="e">
        <f t="shared" ref="BT209" si="2036">BS161</f>
        <v>#DIV/0!</v>
      </c>
      <c r="BU209" s="23">
        <f t="shared" ref="BU209" si="2037">BT161</f>
        <v>0</v>
      </c>
      <c r="BV209" s="23">
        <f t="shared" ref="BV209" si="2038">BU161</f>
        <v>49.019999999999996</v>
      </c>
      <c r="BW209" s="23">
        <f t="shared" ref="BW209" si="2039">BV161</f>
        <v>69.816000000000003</v>
      </c>
      <c r="BX209" s="23">
        <f t="shared" ref="BX209" si="2040">BW161</f>
        <v>142.22334449627203</v>
      </c>
      <c r="BY209" s="23">
        <f t="shared" ref="BY209" si="2041">BX161</f>
        <v>133.23099999999999</v>
      </c>
      <c r="BZ209" s="23">
        <f t="shared" ref="BZ209" si="2042">BY161</f>
        <v>203.3491824119661</v>
      </c>
      <c r="CA209" s="23">
        <f t="shared" ref="CA209" si="2043">BZ161</f>
        <v>242.75</v>
      </c>
      <c r="CB209" s="23">
        <f t="shared" ref="CB209" si="2044">CA161</f>
        <v>356.12057832494281</v>
      </c>
      <c r="CC209" s="23">
        <f t="shared" ref="CC209" si="2045">CB161</f>
        <v>386.47800000000001</v>
      </c>
      <c r="CD209" s="23">
        <f t="shared" ref="CD209" si="2046">CC161</f>
        <v>420.22349936136879</v>
      </c>
      <c r="CE209" s="23">
        <f t="shared" ref="CE209" si="2047">CD161</f>
        <v>395.35300000000001</v>
      </c>
      <c r="CF209" s="23">
        <f t="shared" ref="CF209" si="2048">CE161</f>
        <v>486.3285727373592</v>
      </c>
      <c r="CG209" s="23">
        <f t="shared" ref="CG209" si="2049">CF161</f>
        <v>463.84399999999999</v>
      </c>
      <c r="CH209" s="23">
        <f t="shared" ref="CH209:CJ209" si="2050">CG161</f>
        <v>510.78136317398264</v>
      </c>
      <c r="CI209" s="23">
        <f t="shared" si="2050"/>
        <v>255.01329999999999</v>
      </c>
      <c r="CJ209" s="23">
        <f t="shared" si="2050"/>
        <v>367.73284326705772</v>
      </c>
      <c r="CK209" s="24">
        <f t="shared" ref="CK209" si="2051">CJ161</f>
        <v>178.47</v>
      </c>
      <c r="CL209" s="24">
        <f t="shared" ref="CL209" si="2052">CK161</f>
        <v>186.86718869648001</v>
      </c>
      <c r="CM209" s="24">
        <f t="shared" ref="CM209" si="2053">CL161</f>
        <v>4.5926263938786747</v>
      </c>
      <c r="CN209" s="24">
        <f t="shared" ref="CN209" si="2054">CM161</f>
        <v>201.63708491971278</v>
      </c>
      <c r="CO209" s="24">
        <f t="shared" ref="CO209" si="2055">CN161</f>
        <v>399.87538639540219</v>
      </c>
      <c r="CP209" s="24">
        <f t="shared" ref="CP209" si="2056">CO161</f>
        <v>389.16901110046661</v>
      </c>
      <c r="CQ209" s="24">
        <f t="shared" ref="CQ209" si="2057">CP161</f>
        <v>165.12490535016238</v>
      </c>
      <c r="CR209" s="24">
        <f t="shared" ref="CR209" si="2058">CQ161</f>
        <v>377.70170860615957</v>
      </c>
      <c r="CS209" s="24">
        <f t="shared" ref="CS209" si="2059">CR161</f>
        <v>589.06849247081914</v>
      </c>
      <c r="CT209" s="24">
        <f t="shared" ref="CT209" si="2060">CS161</f>
        <v>564.72240951426511</v>
      </c>
      <c r="CU209" s="24">
        <f t="shared" ref="CU209" si="2061">CT161</f>
        <v>305.30144536379549</v>
      </c>
      <c r="CV209" s="24">
        <f t="shared" ref="CV209" si="2062">CU161</f>
        <v>533.05677621500445</v>
      </c>
      <c r="CW209" s="24">
        <f t="shared" ref="CW209" si="2063">CV161</f>
        <v>758.63479485007861</v>
      </c>
      <c r="CX209" s="24">
        <f t="shared" ref="CX209" si="2064">CW161</f>
        <v>722.97639455605179</v>
      </c>
      <c r="CY209" s="24">
        <f t="shared" ref="CY209" si="2065">CX161</f>
        <v>427.72446703226012</v>
      </c>
      <c r="CZ209" s="24">
        <f t="shared" ref="CZ209" si="2066">CY161</f>
        <v>673.05088956449208</v>
      </c>
      <c r="DA209" s="24">
        <f t="shared" ref="DA209" si="2067">CZ161</f>
        <v>916.04749487380457</v>
      </c>
      <c r="DB209" s="24">
        <f t="shared" ref="DB209" si="2068">DA161</f>
        <v>870.00374589042929</v>
      </c>
      <c r="DE209" s="123"/>
      <c r="DF209" s="23">
        <v>255.01329999999999</v>
      </c>
    </row>
    <row r="210" spans="1:110" s="23" customFormat="1" x14ac:dyDescent="0.2">
      <c r="A210" s="23" t="s">
        <v>443</v>
      </c>
      <c r="C210" s="23">
        <f t="shared" ref="C210:W210" si="2069">C209+C205+C201+C199</f>
        <v>0</v>
      </c>
      <c r="D210" s="23">
        <f t="shared" si="2069"/>
        <v>0</v>
      </c>
      <c r="E210" s="23">
        <f t="shared" si="2069"/>
        <v>0</v>
      </c>
      <c r="F210" s="23">
        <f t="shared" si="2069"/>
        <v>0</v>
      </c>
      <c r="G210" s="23">
        <f t="shared" si="2069"/>
        <v>0</v>
      </c>
      <c r="H210" s="23">
        <f t="shared" si="2069"/>
        <v>0</v>
      </c>
      <c r="I210" s="23">
        <f t="shared" si="2069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69"/>
        <v>0</v>
      </c>
      <c r="O210" s="23">
        <f t="shared" si="2069"/>
        <v>0</v>
      </c>
      <c r="P210" s="23">
        <f t="shared" si="2069"/>
        <v>69.978799999999865</v>
      </c>
      <c r="Q210" s="23">
        <f t="shared" si="2069"/>
        <v>68.711100000000258</v>
      </c>
      <c r="R210" s="23">
        <f t="shared" si="2069"/>
        <v>61.076399999999921</v>
      </c>
      <c r="S210" s="23">
        <f t="shared" si="2069"/>
        <v>12.763599999999983</v>
      </c>
      <c r="T210" s="23">
        <f t="shared" si="2069"/>
        <v>47.506000000000029</v>
      </c>
      <c r="U210" s="23">
        <f t="shared" si="2069"/>
        <v>71.822000000000202</v>
      </c>
      <c r="V210" s="23">
        <f t="shared" si="2069"/>
        <v>72.982299999999782</v>
      </c>
      <c r="W210" s="23">
        <f t="shared" si="2069"/>
        <v>69.816899999999961</v>
      </c>
      <c r="X210" s="23">
        <f t="shared" ref="X210:Y210" si="2070">X209+X205+X201+X199</f>
        <v>242.74980000000014</v>
      </c>
      <c r="Y210" s="23">
        <f t="shared" si="2070"/>
        <v>395.35299999999989</v>
      </c>
      <c r="Z210" s="23">
        <f t="shared" ref="Z210:AA210" si="2071">Z209+Z205+Z201+Z199</f>
        <v>255.01330000000036</v>
      </c>
      <c r="AA210" s="23">
        <f t="shared" si="2071"/>
        <v>61.077499999999674</v>
      </c>
      <c r="AB210" s="24">
        <f t="shared" ref="AB210:AD210" si="2072">AB209+AB205+AB201+AB199</f>
        <v>165.12490535016221</v>
      </c>
      <c r="AC210" s="24">
        <f t="shared" si="2072"/>
        <v>305.30144536379589</v>
      </c>
      <c r="AD210" s="24">
        <f t="shared" si="2072"/>
        <v>427.72446703225955</v>
      </c>
      <c r="AE210" s="24">
        <f t="shared" ref="AE210" si="2073">AE209+AE205+AE201+AE199</f>
        <v>536.85336549137423</v>
      </c>
      <c r="AI210" s="23">
        <f t="shared" ref="AI210" si="2074">AI209+AI205+AI201+AI199</f>
        <v>0</v>
      </c>
      <c r="AJ210" s="23">
        <f t="shared" ref="AJ210:AL210" si="2075">AJ209+AJ205+AJ201+AJ199</f>
        <v>0</v>
      </c>
      <c r="AK210" s="23" t="e">
        <f t="shared" si="2075"/>
        <v>#DIV/0!</v>
      </c>
      <c r="AL210" s="23" t="e">
        <f t="shared" si="2075"/>
        <v>#DIV/0!</v>
      </c>
      <c r="AM210" s="23" t="e">
        <f t="shared" ref="AM210" si="2076">AM209+AM205+AM201+AM199</f>
        <v>#DIV/0!</v>
      </c>
      <c r="AN210" s="23" t="e">
        <f t="shared" ref="AN210:CD210" si="2077">AN209+AN205+AN201+AN199</f>
        <v>#DIV/0!</v>
      </c>
      <c r="AO210" s="23" t="e">
        <f t="shared" si="2077"/>
        <v>#DIV/0!</v>
      </c>
      <c r="AP210" s="23" t="e">
        <f t="shared" si="2077"/>
        <v>#DIV/0!</v>
      </c>
      <c r="AQ210" s="23" t="e">
        <f t="shared" si="2077"/>
        <v>#DIV/0!</v>
      </c>
      <c r="AR210" s="23" t="e">
        <f t="shared" si="2077"/>
        <v>#DIV/0!</v>
      </c>
      <c r="AS210" s="23" t="e">
        <f t="shared" si="2077"/>
        <v>#DIV/0!</v>
      </c>
      <c r="AT210" s="23" t="e">
        <f t="shared" si="2077"/>
        <v>#DIV/0!</v>
      </c>
      <c r="AU210" s="23" t="e">
        <f t="shared" si="2077"/>
        <v>#DIV/0!</v>
      </c>
      <c r="AV210" s="23" t="e">
        <f t="shared" si="2077"/>
        <v>#DIV/0!</v>
      </c>
      <c r="AW210" s="23" t="e">
        <f t="shared" si="2077"/>
        <v>#DIV/0!</v>
      </c>
      <c r="AX210" s="23" t="e">
        <f t="shared" si="2077"/>
        <v>#DIV/0!</v>
      </c>
      <c r="AY210" s="23" t="e">
        <f t="shared" si="2077"/>
        <v>#DIV/0!</v>
      </c>
      <c r="AZ210" s="23" t="e">
        <f t="shared" si="2077"/>
        <v>#DIV/0!</v>
      </c>
      <c r="BA210" s="23" t="e">
        <f t="shared" si="2077"/>
        <v>#DIV/0!</v>
      </c>
      <c r="BB210" s="23" t="e">
        <f t="shared" si="2077"/>
        <v>#DIV/0!</v>
      </c>
      <c r="BC210" s="23" t="e">
        <f t="shared" si="2077"/>
        <v>#DIV/0!</v>
      </c>
      <c r="BD210" s="23" t="e">
        <f t="shared" si="2077"/>
        <v>#DIV/0!</v>
      </c>
      <c r="BE210" s="23" t="e">
        <f t="shared" si="2077"/>
        <v>#DIV/0!</v>
      </c>
      <c r="BF210" s="23" t="e">
        <f t="shared" si="2077"/>
        <v>#DIV/0!</v>
      </c>
      <c r="BG210" s="23" t="e">
        <f t="shared" si="2077"/>
        <v>#DIV/0!</v>
      </c>
      <c r="BH210" s="23" t="e">
        <f t="shared" si="2077"/>
        <v>#DIV/0!</v>
      </c>
      <c r="BI210" s="23" t="e">
        <f t="shared" si="2077"/>
        <v>#DIV/0!</v>
      </c>
      <c r="BJ210" s="23" t="e">
        <f t="shared" si="2077"/>
        <v>#DIV/0!</v>
      </c>
      <c r="BK210" s="23" t="e">
        <f t="shared" si="2077"/>
        <v>#DIV/0!</v>
      </c>
      <c r="BL210" s="23" t="e">
        <f t="shared" si="2077"/>
        <v>#DIV/0!</v>
      </c>
      <c r="BM210" s="23" t="e">
        <f t="shared" si="2077"/>
        <v>#DIV/0!</v>
      </c>
      <c r="BN210" s="23" t="e">
        <f t="shared" si="2077"/>
        <v>#DIV/0!</v>
      </c>
      <c r="BO210" s="23" t="e">
        <f t="shared" si="2077"/>
        <v>#DIV/0!</v>
      </c>
      <c r="BP210" s="23" t="e">
        <f t="shared" si="2077"/>
        <v>#DIV/0!</v>
      </c>
      <c r="BQ210" s="23" t="e">
        <f t="shared" si="2077"/>
        <v>#DIV/0!</v>
      </c>
      <c r="BR210" s="23" t="e">
        <f t="shared" si="2077"/>
        <v>#DIV/0!</v>
      </c>
      <c r="BS210" s="23" t="e">
        <f t="shared" si="2077"/>
        <v>#DIV/0!</v>
      </c>
      <c r="BT210" s="23" t="e">
        <f t="shared" si="2077"/>
        <v>#DIV/0!</v>
      </c>
      <c r="BU210" s="23">
        <f t="shared" si="2077"/>
        <v>49.019999999999996</v>
      </c>
      <c r="BV210" s="23">
        <f t="shared" si="2077"/>
        <v>69.816000000000244</v>
      </c>
      <c r="BW210" s="23">
        <f t="shared" si="2077"/>
        <v>142.22334449627203</v>
      </c>
      <c r="BX210" s="23">
        <f t="shared" si="2077"/>
        <v>133.22999999999973</v>
      </c>
      <c r="BY210" s="23">
        <f t="shared" si="2077"/>
        <v>203.3491824119661</v>
      </c>
      <c r="BZ210" s="23">
        <f t="shared" si="2077"/>
        <v>242.75100000000026</v>
      </c>
      <c r="CA210" s="23">
        <f t="shared" si="2077"/>
        <v>356.12057832494281</v>
      </c>
      <c r="CB210" s="23">
        <f t="shared" si="2077"/>
        <v>386.47700000000015</v>
      </c>
      <c r="CC210" s="23">
        <f t="shared" si="2077"/>
        <v>420.22349936136879</v>
      </c>
      <c r="CD210" s="23">
        <f t="shared" si="2077"/>
        <v>395.35299999999989</v>
      </c>
      <c r="CE210" s="23">
        <f t="shared" ref="CE210:CF210" si="2078">CE209+CE205+CE201+CE199</f>
        <v>486.3285727373592</v>
      </c>
      <c r="CF210" s="23">
        <f t="shared" si="2078"/>
        <v>463.84499999999997</v>
      </c>
      <c r="CG210" s="23">
        <f t="shared" ref="CG210:CH210" si="2079">CG209+CG205+CG201+CG199</f>
        <v>510.78136317398264</v>
      </c>
      <c r="CH210" s="23">
        <f t="shared" si="2079"/>
        <v>255.01330000000021</v>
      </c>
      <c r="CI210" s="23">
        <f t="shared" ref="CI210:CJ210" si="2080">CI209+CI205+CI201+CI199</f>
        <v>367.73284326705772</v>
      </c>
      <c r="CJ210" s="23">
        <f t="shared" si="2080"/>
        <v>178.46999999999966</v>
      </c>
      <c r="CK210" s="24">
        <f t="shared" ref="CK210:DB210" si="2081">CK209+CK205+CK201+CK199</f>
        <v>186.86718869648001</v>
      </c>
      <c r="CL210" s="24">
        <f t="shared" si="2081"/>
        <v>4.5926263938786747</v>
      </c>
      <c r="CM210" s="24">
        <f t="shared" si="2081"/>
        <v>201.63708491971278</v>
      </c>
      <c r="CN210" s="24">
        <f t="shared" si="2081"/>
        <v>399.87538639540219</v>
      </c>
      <c r="CO210" s="24">
        <f t="shared" si="2081"/>
        <v>389.16901110046661</v>
      </c>
      <c r="CP210" s="24">
        <f t="shared" si="2081"/>
        <v>165.12490535016238</v>
      </c>
      <c r="CQ210" s="24">
        <f t="shared" si="2081"/>
        <v>377.70170860615957</v>
      </c>
      <c r="CR210" s="24">
        <f t="shared" si="2081"/>
        <v>589.06849247081914</v>
      </c>
      <c r="CS210" s="24">
        <f t="shared" si="2081"/>
        <v>564.72240951426511</v>
      </c>
      <c r="CT210" s="24">
        <f t="shared" si="2081"/>
        <v>305.30144536379549</v>
      </c>
      <c r="CU210" s="24">
        <f t="shared" si="2081"/>
        <v>533.05677621500445</v>
      </c>
      <c r="CV210" s="24">
        <f t="shared" si="2081"/>
        <v>758.63479485007861</v>
      </c>
      <c r="CW210" s="24">
        <f t="shared" si="2081"/>
        <v>722.97639455605179</v>
      </c>
      <c r="CX210" s="24">
        <f t="shared" si="2081"/>
        <v>427.72446703226012</v>
      </c>
      <c r="CY210" s="24">
        <f t="shared" si="2081"/>
        <v>673.05088956449208</v>
      </c>
      <c r="CZ210" s="24">
        <f t="shared" si="2081"/>
        <v>916.04749487380457</v>
      </c>
      <c r="DA210" s="24">
        <f t="shared" si="2081"/>
        <v>870.00374589042929</v>
      </c>
      <c r="DB210" s="24">
        <f t="shared" si="2081"/>
        <v>536.85336549137423</v>
      </c>
      <c r="DE210" s="123"/>
      <c r="DF210" s="23">
        <v>61.077499999999674</v>
      </c>
    </row>
    <row r="211" spans="1:110" s="28" customFormat="1" x14ac:dyDescent="0.2">
      <c r="A211" s="28" t="s">
        <v>444</v>
      </c>
      <c r="C211" s="28">
        <f t="shared" ref="C211:W211" si="2082">C210-C161</f>
        <v>0</v>
      </c>
      <c r="D211" s="28">
        <f t="shared" si="2082"/>
        <v>0</v>
      </c>
      <c r="E211" s="28">
        <f t="shared" si="2082"/>
        <v>0</v>
      </c>
      <c r="F211" s="28">
        <f t="shared" si="2082"/>
        <v>0</v>
      </c>
      <c r="G211" s="28">
        <f t="shared" si="2082"/>
        <v>0</v>
      </c>
      <c r="H211" s="28">
        <f t="shared" si="2082"/>
        <v>0</v>
      </c>
      <c r="I211" s="28">
        <f t="shared" si="2082"/>
        <v>0</v>
      </c>
      <c r="J211" s="28">
        <f>J210-J161</f>
        <v>0</v>
      </c>
      <c r="K211" s="28">
        <f t="shared" si="2082"/>
        <v>0</v>
      </c>
      <c r="L211" s="28">
        <f t="shared" si="2082"/>
        <v>0</v>
      </c>
      <c r="M211" s="28">
        <f t="shared" si="2082"/>
        <v>0</v>
      </c>
      <c r="N211" s="28">
        <f t="shared" si="2082"/>
        <v>0</v>
      </c>
      <c r="O211" s="28">
        <f t="shared" si="2082"/>
        <v>0</v>
      </c>
      <c r="P211" s="28">
        <f t="shared" si="2082"/>
        <v>-1.4210854715202004E-13</v>
      </c>
      <c r="Q211" s="28">
        <f t="shared" si="2082"/>
        <v>2.5579538487363607E-13</v>
      </c>
      <c r="R211" s="28">
        <f t="shared" si="2082"/>
        <v>-7.815970093361102E-14</v>
      </c>
      <c r="S211" s="28">
        <f t="shared" si="2082"/>
        <v>-1.7763568394002505E-14</v>
      </c>
      <c r="T211" s="28">
        <f t="shared" si="2082"/>
        <v>0</v>
      </c>
      <c r="U211" s="28">
        <f t="shared" si="2082"/>
        <v>1.9895196601282805E-13</v>
      </c>
      <c r="V211" s="28">
        <f t="shared" si="2082"/>
        <v>-2.2737367544323206E-13</v>
      </c>
      <c r="W211" s="28">
        <f t="shared" si="2082"/>
        <v>0</v>
      </c>
      <c r="X211" s="28">
        <f t="shared" ref="X211:Y211" si="2083">X210-X161</f>
        <v>0</v>
      </c>
      <c r="Y211" s="28">
        <f t="shared" si="2083"/>
        <v>0</v>
      </c>
      <c r="Z211" s="28">
        <f t="shared" ref="Z211:AA211" si="2084">Z210-Z161</f>
        <v>3.694822225952521E-13</v>
      </c>
      <c r="AA211" s="28">
        <f t="shared" si="2084"/>
        <v>-3.2684965844964609E-13</v>
      </c>
      <c r="AB211" s="30">
        <f t="shared" ref="AB211:AD211" si="2085">AB210-AB161</f>
        <v>0</v>
      </c>
      <c r="AC211" s="30">
        <f t="shared" si="2085"/>
        <v>0</v>
      </c>
      <c r="AD211" s="30">
        <f t="shared" si="2085"/>
        <v>-5.6843418860808015E-13</v>
      </c>
      <c r="AE211" s="30">
        <f t="shared" ref="AE211" si="2086">AE210-AE161</f>
        <v>0</v>
      </c>
      <c r="AI211" s="28">
        <f t="shared" ref="AI211" si="2087">AI210-AI161</f>
        <v>0</v>
      </c>
      <c r="AJ211" s="28">
        <f t="shared" ref="AJ211:AL211" si="2088">AJ210-AJ161</f>
        <v>0</v>
      </c>
      <c r="AK211" s="28" t="e">
        <f t="shared" si="2088"/>
        <v>#DIV/0!</v>
      </c>
      <c r="AL211" s="28" t="e">
        <f t="shared" si="2088"/>
        <v>#DIV/0!</v>
      </c>
      <c r="AM211" s="28" t="e">
        <f t="shared" ref="AM211" si="2089">AM210-AM161</f>
        <v>#DIV/0!</v>
      </c>
      <c r="AN211" s="28" t="e">
        <f t="shared" ref="AN211:CD211" si="2090">AN210-AN161</f>
        <v>#DIV/0!</v>
      </c>
      <c r="AO211" s="28" t="e">
        <f t="shared" si="2090"/>
        <v>#DIV/0!</v>
      </c>
      <c r="AP211" s="28" t="e">
        <f t="shared" si="2090"/>
        <v>#DIV/0!</v>
      </c>
      <c r="AQ211" s="28" t="e">
        <f t="shared" si="2090"/>
        <v>#DIV/0!</v>
      </c>
      <c r="AR211" s="28" t="e">
        <f t="shared" si="2090"/>
        <v>#DIV/0!</v>
      </c>
      <c r="AS211" s="28" t="e">
        <f t="shared" si="2090"/>
        <v>#DIV/0!</v>
      </c>
      <c r="AT211" s="28" t="e">
        <f t="shared" si="2090"/>
        <v>#DIV/0!</v>
      </c>
      <c r="AU211" s="28" t="e">
        <f t="shared" si="2090"/>
        <v>#DIV/0!</v>
      </c>
      <c r="AV211" s="28" t="e">
        <f t="shared" si="2090"/>
        <v>#DIV/0!</v>
      </c>
      <c r="AW211" s="28" t="e">
        <f t="shared" si="2090"/>
        <v>#DIV/0!</v>
      </c>
      <c r="AX211" s="28" t="e">
        <f t="shared" si="2090"/>
        <v>#DIV/0!</v>
      </c>
      <c r="AY211" s="28" t="e">
        <f t="shared" si="2090"/>
        <v>#DIV/0!</v>
      </c>
      <c r="AZ211" s="28" t="e">
        <f t="shared" si="2090"/>
        <v>#DIV/0!</v>
      </c>
      <c r="BA211" s="28" t="e">
        <f t="shared" si="2090"/>
        <v>#DIV/0!</v>
      </c>
      <c r="BB211" s="28" t="e">
        <f t="shared" si="2090"/>
        <v>#DIV/0!</v>
      </c>
      <c r="BC211" s="28" t="e">
        <f t="shared" si="2090"/>
        <v>#DIV/0!</v>
      </c>
      <c r="BD211" s="28" t="e">
        <f t="shared" si="2090"/>
        <v>#DIV/0!</v>
      </c>
      <c r="BE211" s="28" t="e">
        <f t="shared" si="2090"/>
        <v>#DIV/0!</v>
      </c>
      <c r="BF211" s="28" t="e">
        <f t="shared" si="2090"/>
        <v>#DIV/0!</v>
      </c>
      <c r="BG211" s="28" t="e">
        <f t="shared" si="2090"/>
        <v>#DIV/0!</v>
      </c>
      <c r="BH211" s="28" t="e">
        <f t="shared" si="2090"/>
        <v>#DIV/0!</v>
      </c>
      <c r="BI211" s="28" t="e">
        <f t="shared" si="2090"/>
        <v>#DIV/0!</v>
      </c>
      <c r="BJ211" s="28" t="e">
        <f t="shared" si="2090"/>
        <v>#DIV/0!</v>
      </c>
      <c r="BK211" s="28" t="e">
        <f t="shared" si="2090"/>
        <v>#DIV/0!</v>
      </c>
      <c r="BL211" s="28" t="e">
        <f t="shared" si="2090"/>
        <v>#DIV/0!</v>
      </c>
      <c r="BM211" s="28" t="e">
        <f t="shared" si="2090"/>
        <v>#DIV/0!</v>
      </c>
      <c r="BN211" s="28" t="e">
        <f t="shared" si="2090"/>
        <v>#DIV/0!</v>
      </c>
      <c r="BO211" s="28" t="e">
        <f t="shared" si="2090"/>
        <v>#DIV/0!</v>
      </c>
      <c r="BP211" s="28" t="e">
        <f t="shared" si="2090"/>
        <v>#DIV/0!</v>
      </c>
      <c r="BQ211" s="28" t="e">
        <f t="shared" si="2090"/>
        <v>#DIV/0!</v>
      </c>
      <c r="BR211" s="28" t="e">
        <f t="shared" si="2090"/>
        <v>#DIV/0!</v>
      </c>
      <c r="BS211" s="28" t="e">
        <f t="shared" si="2090"/>
        <v>#DIV/0!</v>
      </c>
      <c r="BT211" s="28" t="e">
        <f t="shared" si="2090"/>
        <v>#DIV/0!</v>
      </c>
      <c r="BU211" s="28">
        <f t="shared" si="2090"/>
        <v>0</v>
      </c>
      <c r="BV211" s="28">
        <f t="shared" si="2090"/>
        <v>2.4158453015843406E-13</v>
      </c>
      <c r="BW211" s="28">
        <f t="shared" si="2090"/>
        <v>0</v>
      </c>
      <c r="BX211" s="28">
        <f t="shared" si="2090"/>
        <v>-1.0000000002605702E-3</v>
      </c>
      <c r="BY211" s="28">
        <f t="shared" si="2090"/>
        <v>0</v>
      </c>
      <c r="BZ211" s="28">
        <f t="shared" si="2090"/>
        <v>1.0000000002605702E-3</v>
      </c>
      <c r="CA211" s="28">
        <f t="shared" si="2090"/>
        <v>0</v>
      </c>
      <c r="CB211" s="28">
        <f t="shared" si="2090"/>
        <v>-9.999999998626663E-4</v>
      </c>
      <c r="CC211" s="28">
        <f t="shared" si="2090"/>
        <v>0</v>
      </c>
      <c r="CD211" s="28">
        <f t="shared" si="2090"/>
        <v>0</v>
      </c>
      <c r="CE211" s="28">
        <f t="shared" ref="CE211:CF211" si="2091">CE210-CE161</f>
        <v>0</v>
      </c>
      <c r="CF211" s="28">
        <f t="shared" si="2091"/>
        <v>9.9999999997635314E-4</v>
      </c>
      <c r="CG211" s="28">
        <f t="shared" ref="CG211:CH211" si="2092">CG210-CG161</f>
        <v>0</v>
      </c>
      <c r="CH211" s="28">
        <f t="shared" si="2092"/>
        <v>2.2737367544323206E-13</v>
      </c>
      <c r="CI211" s="28">
        <f t="shared" ref="CI211:CJ211" si="2093">CI210-CI161</f>
        <v>0</v>
      </c>
      <c r="CJ211" s="28">
        <f t="shared" si="2093"/>
        <v>-3.4106051316484809E-13</v>
      </c>
      <c r="CK211" s="30">
        <f t="shared" ref="CK211:DB211" si="2094">CK210-CK161</f>
        <v>0</v>
      </c>
      <c r="CL211" s="30">
        <f t="shared" si="2094"/>
        <v>0</v>
      </c>
      <c r="CM211" s="30">
        <f t="shared" si="2094"/>
        <v>0</v>
      </c>
      <c r="CN211" s="30">
        <f t="shared" si="2094"/>
        <v>0</v>
      </c>
      <c r="CO211" s="30">
        <f t="shared" si="2094"/>
        <v>0</v>
      </c>
      <c r="CP211" s="30">
        <f t="shared" si="2094"/>
        <v>0</v>
      </c>
      <c r="CQ211" s="30">
        <f t="shared" si="2094"/>
        <v>0</v>
      </c>
      <c r="CR211" s="30">
        <f t="shared" si="2094"/>
        <v>0</v>
      </c>
      <c r="CS211" s="30">
        <f t="shared" si="2094"/>
        <v>0</v>
      </c>
      <c r="CT211" s="30">
        <f t="shared" si="2094"/>
        <v>0</v>
      </c>
      <c r="CU211" s="30">
        <f t="shared" si="2094"/>
        <v>0</v>
      </c>
      <c r="CV211" s="30">
        <f t="shared" si="2094"/>
        <v>0</v>
      </c>
      <c r="CW211" s="30">
        <f t="shared" si="2094"/>
        <v>0</v>
      </c>
      <c r="CX211" s="30">
        <f t="shared" si="2094"/>
        <v>0</v>
      </c>
      <c r="CY211" s="30">
        <f t="shared" si="2094"/>
        <v>0</v>
      </c>
      <c r="CZ211" s="30">
        <f t="shared" si="2094"/>
        <v>0</v>
      </c>
      <c r="DA211" s="30">
        <f t="shared" si="2094"/>
        <v>0</v>
      </c>
      <c r="DB211" s="30">
        <f t="shared" si="2094"/>
        <v>0</v>
      </c>
      <c r="DE211" s="139"/>
      <c r="DF211" s="28">
        <v>-3.2684965844964609E-13</v>
      </c>
    </row>
    <row r="212" spans="1:110" s="23" customFormat="1" x14ac:dyDescent="0.2">
      <c r="AB212" s="24"/>
      <c r="AC212" s="24"/>
      <c r="AD212" s="24"/>
      <c r="AE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95">C199+C201</f>
        <v>0</v>
      </c>
      <c r="D213" s="22">
        <f t="shared" si="2095"/>
        <v>0</v>
      </c>
      <c r="E213" s="22">
        <f t="shared" si="2095"/>
        <v>0</v>
      </c>
      <c r="F213" s="22">
        <f t="shared" si="2095"/>
        <v>0</v>
      </c>
      <c r="G213" s="22">
        <f t="shared" si="2095"/>
        <v>0</v>
      </c>
      <c r="H213" s="22">
        <f t="shared" si="2095"/>
        <v>0</v>
      </c>
      <c r="I213" s="22">
        <f t="shared" si="2095"/>
        <v>0</v>
      </c>
      <c r="J213" s="22">
        <f>J199+J201</f>
        <v>0</v>
      </c>
      <c r="K213" s="22">
        <f t="shared" si="2095"/>
        <v>0</v>
      </c>
      <c r="L213" s="22">
        <f t="shared" si="2095"/>
        <v>0</v>
      </c>
      <c r="M213" s="22">
        <f t="shared" si="2095"/>
        <v>0</v>
      </c>
      <c r="N213" s="22">
        <f t="shared" si="2095"/>
        <v>0</v>
      </c>
      <c r="O213" s="22">
        <f t="shared" si="2095"/>
        <v>0</v>
      </c>
      <c r="P213" s="22">
        <f t="shared" si="2095"/>
        <v>-1080.6545000000001</v>
      </c>
      <c r="Q213" s="22">
        <f t="shared" si="2095"/>
        <v>19.87200000000017</v>
      </c>
      <c r="R213" s="22">
        <f t="shared" si="2095"/>
        <v>9.5525000000000357</v>
      </c>
      <c r="S213" s="22">
        <f t="shared" si="2095"/>
        <v>-55.378400000000099</v>
      </c>
      <c r="T213" s="22">
        <f t="shared" si="2095"/>
        <v>218.49069999999995</v>
      </c>
      <c r="U213" s="22">
        <f t="shared" si="2095"/>
        <v>-78.712999999999766</v>
      </c>
      <c r="V213" s="22">
        <f t="shared" si="2095"/>
        <v>-1.4107000000001975</v>
      </c>
      <c r="W213" s="22">
        <f t="shared" si="2095"/>
        <v>10.383599999999902</v>
      </c>
      <c r="X213" s="22">
        <f t="shared" ref="X213:Y213" si="2096">X199+X201</f>
        <v>210.14970000000017</v>
      </c>
      <c r="Y213" s="22">
        <f t="shared" si="2096"/>
        <v>162.98930000000007</v>
      </c>
      <c r="Z213" s="22">
        <f t="shared" ref="Z213:AA213" si="2097">Z199+Z201</f>
        <v>-259.16909999999945</v>
      </c>
      <c r="AA213" s="22">
        <f t="shared" si="2097"/>
        <v>-382.95580000000007</v>
      </c>
      <c r="AB213" s="21">
        <f t="shared" ref="AB213:AD213" si="2098">AB199+AB201</f>
        <v>248.13113596633411</v>
      </c>
      <c r="AC213" s="21">
        <f t="shared" si="2098"/>
        <v>140.17654001363309</v>
      </c>
      <c r="AD213" s="21">
        <f t="shared" si="2098"/>
        <v>122.423021668465</v>
      </c>
      <c r="AE213" s="21">
        <f t="shared" ref="AE213" si="2099">AE199+AE201</f>
        <v>109.12889845911411</v>
      </c>
      <c r="AI213" s="22">
        <f t="shared" ref="AI213" si="2100">AI199+AI201</f>
        <v>0</v>
      </c>
      <c r="AJ213" s="22">
        <f t="shared" ref="AJ213:AL213" si="2101">AJ199+AJ201</f>
        <v>0</v>
      </c>
      <c r="AK213" s="22" t="e">
        <f t="shared" si="2101"/>
        <v>#DIV/0!</v>
      </c>
      <c r="AL213" s="22" t="e">
        <f t="shared" si="2101"/>
        <v>#DIV/0!</v>
      </c>
      <c r="AM213" s="22" t="e">
        <f t="shared" ref="AM213" si="2102">AM199+AM201</f>
        <v>#DIV/0!</v>
      </c>
      <c r="AN213" s="22" t="e">
        <f t="shared" ref="AN213:CD213" si="2103">AN199+AN201</f>
        <v>#DIV/0!</v>
      </c>
      <c r="AO213" s="22" t="e">
        <f t="shared" si="2103"/>
        <v>#DIV/0!</v>
      </c>
      <c r="AP213" s="22" t="e">
        <f t="shared" si="2103"/>
        <v>#DIV/0!</v>
      </c>
      <c r="AQ213" s="22" t="e">
        <f t="shared" si="2103"/>
        <v>#DIV/0!</v>
      </c>
      <c r="AR213" s="22" t="e">
        <f t="shared" si="2103"/>
        <v>#DIV/0!</v>
      </c>
      <c r="AS213" s="22" t="e">
        <f t="shared" si="2103"/>
        <v>#DIV/0!</v>
      </c>
      <c r="AT213" s="22" t="e">
        <f t="shared" si="2103"/>
        <v>#DIV/0!</v>
      </c>
      <c r="AU213" s="22" t="e">
        <f t="shared" si="2103"/>
        <v>#DIV/0!</v>
      </c>
      <c r="AV213" s="22" t="e">
        <f t="shared" si="2103"/>
        <v>#DIV/0!</v>
      </c>
      <c r="AW213" s="22" t="e">
        <f t="shared" si="2103"/>
        <v>#DIV/0!</v>
      </c>
      <c r="AX213" s="22" t="e">
        <f t="shared" si="2103"/>
        <v>#DIV/0!</v>
      </c>
      <c r="AY213" s="22" t="e">
        <f t="shared" si="2103"/>
        <v>#DIV/0!</v>
      </c>
      <c r="AZ213" s="22" t="e">
        <f t="shared" si="2103"/>
        <v>#DIV/0!</v>
      </c>
      <c r="BA213" s="22" t="e">
        <f t="shared" si="2103"/>
        <v>#DIV/0!</v>
      </c>
      <c r="BB213" s="22" t="e">
        <f t="shared" si="2103"/>
        <v>#DIV/0!</v>
      </c>
      <c r="BC213" s="22" t="e">
        <f t="shared" si="2103"/>
        <v>#DIV/0!</v>
      </c>
      <c r="BD213" s="22" t="e">
        <f t="shared" si="2103"/>
        <v>#DIV/0!</v>
      </c>
      <c r="BE213" s="22" t="e">
        <f t="shared" si="2103"/>
        <v>#DIV/0!</v>
      </c>
      <c r="BF213" s="22" t="e">
        <f t="shared" si="2103"/>
        <v>#DIV/0!</v>
      </c>
      <c r="BG213" s="22" t="e">
        <f t="shared" si="2103"/>
        <v>#DIV/0!</v>
      </c>
      <c r="BH213" s="22" t="e">
        <f t="shared" si="2103"/>
        <v>#DIV/0!</v>
      </c>
      <c r="BI213" s="22" t="e">
        <f t="shared" si="2103"/>
        <v>#DIV/0!</v>
      </c>
      <c r="BJ213" s="22" t="e">
        <f t="shared" si="2103"/>
        <v>#DIV/0!</v>
      </c>
      <c r="BK213" s="22" t="e">
        <f t="shared" si="2103"/>
        <v>#DIV/0!</v>
      </c>
      <c r="BL213" s="22" t="e">
        <f t="shared" si="2103"/>
        <v>#DIV/0!</v>
      </c>
      <c r="BM213" s="22" t="e">
        <f t="shared" si="2103"/>
        <v>#DIV/0!</v>
      </c>
      <c r="BN213" s="22" t="e">
        <f t="shared" si="2103"/>
        <v>#DIV/0!</v>
      </c>
      <c r="BO213" s="22" t="e">
        <f t="shared" si="2103"/>
        <v>#DIV/0!</v>
      </c>
      <c r="BP213" s="22" t="e">
        <f t="shared" si="2103"/>
        <v>#DIV/0!</v>
      </c>
      <c r="BQ213" s="22" t="e">
        <f t="shared" si="2103"/>
        <v>#DIV/0!</v>
      </c>
      <c r="BR213" s="22" t="e">
        <f t="shared" si="2103"/>
        <v>#DIV/0!</v>
      </c>
      <c r="BS213" s="22" t="e">
        <f t="shared" si="2103"/>
        <v>#DIV/0!</v>
      </c>
      <c r="BT213" s="22" t="e">
        <f t="shared" si="2103"/>
        <v>#DIV/0!</v>
      </c>
      <c r="BU213" s="22">
        <f t="shared" si="2103"/>
        <v>49.019999999999996</v>
      </c>
      <c r="BV213" s="22">
        <f t="shared" si="2103"/>
        <v>-955.78899999999976</v>
      </c>
      <c r="BW213" s="22">
        <f t="shared" si="2103"/>
        <v>72.407344496272017</v>
      </c>
      <c r="BX213" s="22">
        <f t="shared" si="2103"/>
        <v>12.10565550372781</v>
      </c>
      <c r="BY213" s="22">
        <f t="shared" si="2103"/>
        <v>70.118182411966103</v>
      </c>
      <c r="BZ213" s="22">
        <f t="shared" si="2103"/>
        <v>55.520817588033829</v>
      </c>
      <c r="CA213" s="22">
        <f t="shared" si="2103"/>
        <v>113.37057832494281</v>
      </c>
      <c r="CB213" s="22">
        <f t="shared" si="2103"/>
        <v>49.106421675057376</v>
      </c>
      <c r="CC213" s="22">
        <f t="shared" si="2103"/>
        <v>33.745499361368786</v>
      </c>
      <c r="CD213" s="22">
        <f t="shared" si="2103"/>
        <v>-33.231499361368904</v>
      </c>
      <c r="CE213" s="22">
        <f t="shared" ref="CE213:CF213" si="2104">CE199+CE201</f>
        <v>90.975572737359215</v>
      </c>
      <c r="CF213" s="22">
        <f t="shared" si="2104"/>
        <v>-80.223572737359234</v>
      </c>
      <c r="CG213" s="22">
        <f t="shared" ref="CG213:CH213" si="2105">CG199+CG201</f>
        <v>46.937363173982661</v>
      </c>
      <c r="CH213" s="22">
        <f t="shared" si="2105"/>
        <v>-316.85946317398248</v>
      </c>
      <c r="CI213" s="22">
        <f t="shared" ref="CI213:CJ213" si="2106">CI199+CI201</f>
        <v>112.71954326705773</v>
      </c>
      <c r="CJ213" s="22">
        <f t="shared" si="2106"/>
        <v>-192.17144326705775</v>
      </c>
      <c r="CK213" s="21">
        <f t="shared" ref="CK213:DB213" si="2107">CK199+CK201</f>
        <v>8.3971886964800291</v>
      </c>
      <c r="CL213" s="21">
        <f t="shared" si="2107"/>
        <v>-182.27456230260134</v>
      </c>
      <c r="CM213" s="21">
        <f t="shared" si="2107"/>
        <v>197.0444585258341</v>
      </c>
      <c r="CN213" s="21">
        <f t="shared" si="2107"/>
        <v>198.23830147568941</v>
      </c>
      <c r="CO213" s="21">
        <f t="shared" si="2107"/>
        <v>-10.706375294935597</v>
      </c>
      <c r="CP213" s="21">
        <f t="shared" si="2107"/>
        <v>-224.04410575030423</v>
      </c>
      <c r="CQ213" s="21">
        <f t="shared" si="2107"/>
        <v>212.57680325599719</v>
      </c>
      <c r="CR213" s="21">
        <f t="shared" si="2107"/>
        <v>211.36678386465962</v>
      </c>
      <c r="CS213" s="21">
        <f t="shared" si="2107"/>
        <v>-24.346082956553971</v>
      </c>
      <c r="CT213" s="21">
        <f t="shared" si="2107"/>
        <v>-259.42096415046962</v>
      </c>
      <c r="CU213" s="21">
        <f t="shared" si="2107"/>
        <v>227.75533085120901</v>
      </c>
      <c r="CV213" s="21">
        <f t="shared" si="2107"/>
        <v>225.5780186350741</v>
      </c>
      <c r="CW213" s="21">
        <f t="shared" si="2107"/>
        <v>-35.658400294026805</v>
      </c>
      <c r="CX213" s="21">
        <f t="shared" si="2107"/>
        <v>-295.25192752379166</v>
      </c>
      <c r="CY213" s="21">
        <f t="shared" si="2107"/>
        <v>245.32642253223199</v>
      </c>
      <c r="CZ213" s="21">
        <f t="shared" si="2107"/>
        <v>242.99660530931249</v>
      </c>
      <c r="DA213" s="21">
        <f t="shared" si="2107"/>
        <v>-46.043748983375281</v>
      </c>
      <c r="DB213" s="21">
        <f t="shared" si="2107"/>
        <v>-333.15038039905505</v>
      </c>
      <c r="DE213" s="126"/>
      <c r="DF213" s="22">
        <v>-382.95580000000007</v>
      </c>
    </row>
    <row r="214" spans="1:110" x14ac:dyDescent="0.2">
      <c r="A214" s="152" t="s">
        <v>496</v>
      </c>
      <c r="AA214" s="2"/>
    </row>
    <row r="215" spans="1:110" x14ac:dyDescent="0.2">
      <c r="AA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08">SUM(AI10:AL10)</f>
        <v>0</v>
      </c>
      <c r="AM225" s="66">
        <f t="shared" si="2108"/>
        <v>0</v>
      </c>
      <c r="AN225" s="66">
        <f t="shared" si="2108"/>
        <v>0</v>
      </c>
      <c r="AO225" s="66">
        <f t="shared" si="2108"/>
        <v>0</v>
      </c>
      <c r="AP225" s="66">
        <f t="shared" si="2108"/>
        <v>0</v>
      </c>
      <c r="AQ225" s="66">
        <f t="shared" si="2108"/>
        <v>0</v>
      </c>
      <c r="AR225" s="66">
        <f t="shared" si="2108"/>
        <v>0</v>
      </c>
      <c r="AS225" s="66">
        <f t="shared" si="2108"/>
        <v>0</v>
      </c>
      <c r="AT225" s="66">
        <f t="shared" si="2108"/>
        <v>0</v>
      </c>
      <c r="AU225" s="66">
        <f t="shared" si="2108"/>
        <v>0</v>
      </c>
      <c r="AV225" s="66">
        <f t="shared" si="2108"/>
        <v>0</v>
      </c>
      <c r="AW225" s="66">
        <f t="shared" si="2108"/>
        <v>0</v>
      </c>
      <c r="AX225" s="66">
        <f t="shared" si="2108"/>
        <v>0</v>
      </c>
      <c r="AY225" s="66">
        <f t="shared" si="2108"/>
        <v>0</v>
      </c>
      <c r="AZ225" s="66">
        <f t="shared" si="2108"/>
        <v>0</v>
      </c>
      <c r="BA225" s="66">
        <f t="shared" si="2108"/>
        <v>0</v>
      </c>
      <c r="BB225" s="66">
        <f t="shared" si="2108"/>
        <v>0</v>
      </c>
      <c r="BC225" s="66">
        <f t="shared" si="2108"/>
        <v>0</v>
      </c>
      <c r="BD225" s="66">
        <f t="shared" si="2108"/>
        <v>0</v>
      </c>
      <c r="BE225" s="66">
        <f t="shared" si="2108"/>
        <v>0</v>
      </c>
      <c r="BF225" s="66">
        <f t="shared" si="2108"/>
        <v>0</v>
      </c>
      <c r="BG225" s="66">
        <f t="shared" si="2108"/>
        <v>0</v>
      </c>
      <c r="BH225" s="66">
        <f t="shared" si="2108"/>
        <v>0</v>
      </c>
      <c r="BI225" s="66">
        <f t="shared" si="2108"/>
        <v>0</v>
      </c>
      <c r="BJ225" s="66">
        <f t="shared" si="2108"/>
        <v>0</v>
      </c>
      <c r="BK225" s="66">
        <f t="shared" si="2108"/>
        <v>0</v>
      </c>
      <c r="BL225" s="66">
        <f t="shared" si="2108"/>
        <v>0</v>
      </c>
      <c r="BM225" s="66">
        <f t="shared" si="2108"/>
        <v>0</v>
      </c>
      <c r="BN225" s="66">
        <f t="shared" si="2108"/>
        <v>0</v>
      </c>
      <c r="BO225" s="66">
        <f t="shared" si="2108"/>
        <v>0</v>
      </c>
      <c r="BP225" s="66">
        <f t="shared" si="2108"/>
        <v>0</v>
      </c>
      <c r="BQ225" s="66">
        <f t="shared" si="2108"/>
        <v>0</v>
      </c>
      <c r="BR225" s="66">
        <f t="shared" ref="BR225:CW225" si="2109">SUM(BO10:BR10)</f>
        <v>0</v>
      </c>
      <c r="BS225" s="66">
        <f t="shared" si="2109"/>
        <v>0</v>
      </c>
      <c r="BT225" s="66">
        <f t="shared" si="2109"/>
        <v>249.75</v>
      </c>
      <c r="BU225" s="66">
        <f t="shared" si="2109"/>
        <v>557.07500000000005</v>
      </c>
      <c r="BV225" s="66">
        <f t="shared" si="2109"/>
        <v>929.67700000000002</v>
      </c>
      <c r="BW225" s="66">
        <f t="shared" si="2109"/>
        <v>1329.951</v>
      </c>
      <c r="BX225" s="66">
        <f t="shared" si="2109"/>
        <v>1373.6959999999999</v>
      </c>
      <c r="BY225" s="66">
        <f t="shared" si="2109"/>
        <v>1431.2940000000001</v>
      </c>
      <c r="BZ225" s="66">
        <f t="shared" si="2109"/>
        <v>1441.067</v>
      </c>
      <c r="CA225" s="66">
        <f t="shared" si="2109"/>
        <v>1383.8870000000002</v>
      </c>
      <c r="CB225" s="66">
        <f t="shared" si="2109"/>
        <v>1380.857</v>
      </c>
      <c r="CC225" s="66">
        <f t="shared" si="2109"/>
        <v>1428.56</v>
      </c>
      <c r="CD225" s="66">
        <f t="shared" si="2109"/>
        <v>1330.09</v>
      </c>
      <c r="CE225" s="66">
        <f t="shared" si="2109"/>
        <v>1199.6879999999999</v>
      </c>
      <c r="CF225" s="66">
        <f t="shared" si="2109"/>
        <v>1149.6779999999999</v>
      </c>
      <c r="CG225" s="66">
        <f t="shared" si="2109"/>
        <v>979.346</v>
      </c>
      <c r="CH225" s="66">
        <f t="shared" si="2109"/>
        <v>1041.018</v>
      </c>
      <c r="CI225" s="66">
        <f t="shared" si="2109"/>
        <v>1120.6849999999999</v>
      </c>
      <c r="CJ225" s="66">
        <f t="shared" si="2109"/>
        <v>1113.414</v>
      </c>
      <c r="CK225" s="50">
        <f t="shared" si="2109"/>
        <v>1125.6849999999999</v>
      </c>
      <c r="CL225" s="50">
        <f t="shared" si="2109"/>
        <v>1178.5754968229512</v>
      </c>
      <c r="CM225" s="50">
        <f t="shared" si="2109"/>
        <v>1218.6302508397875</v>
      </c>
      <c r="CN225" s="50">
        <f t="shared" si="2109"/>
        <v>1236.7289301319422</v>
      </c>
      <c r="CO225" s="50">
        <f t="shared" si="2109"/>
        <v>1263.3510652918167</v>
      </c>
      <c r="CP225" s="50">
        <f t="shared" si="2109"/>
        <v>1310.3950905902382</v>
      </c>
      <c r="CQ225" s="50">
        <f t="shared" si="2109"/>
        <v>1346.7330776173026</v>
      </c>
      <c r="CR225" s="50">
        <f t="shared" si="2109"/>
        <v>1372.4626836167517</v>
      </c>
      <c r="CS225" s="50">
        <f t="shared" si="2109"/>
        <v>1402.9960866082611</v>
      </c>
      <c r="CT225" s="50">
        <f t="shared" si="2109"/>
        <v>1451.819525118374</v>
      </c>
      <c r="CU225" s="50">
        <f t="shared" si="2109"/>
        <v>1491.4498011537689</v>
      </c>
      <c r="CV225" s="50">
        <f t="shared" si="2109"/>
        <v>1521.0929968809148</v>
      </c>
      <c r="CW225" s="50">
        <f t="shared" si="2109"/>
        <v>1554.8101655699793</v>
      </c>
      <c r="CX225" s="50">
        <f t="shared" ref="CX225:DB225" si="2110">SUM(CU10:CX10)</f>
        <v>1608.2275295108732</v>
      </c>
      <c r="CY225" s="50">
        <f t="shared" si="2110"/>
        <v>1652.2006356143506</v>
      </c>
      <c r="CZ225" s="50">
        <f t="shared" si="2110"/>
        <v>1685.23590846708</v>
      </c>
      <c r="DA225" s="50">
        <f t="shared" si="2110"/>
        <v>1722.5110399802352</v>
      </c>
      <c r="DB225" s="50">
        <f t="shared" si="2110"/>
        <v>1781.5820266781898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11">SUM(AI28:AL28)</f>
        <v>0</v>
      </c>
      <c r="AM226" s="66">
        <f t="shared" si="2111"/>
        <v>0</v>
      </c>
      <c r="AN226" s="66">
        <f t="shared" si="2111"/>
        <v>0</v>
      </c>
      <c r="AO226" s="66">
        <f t="shared" si="2111"/>
        <v>0</v>
      </c>
      <c r="AP226" s="66">
        <f t="shared" si="2111"/>
        <v>0</v>
      </c>
      <c r="AQ226" s="66">
        <f t="shared" si="2111"/>
        <v>0</v>
      </c>
      <c r="AR226" s="66">
        <f t="shared" si="2111"/>
        <v>0</v>
      </c>
      <c r="AS226" s="66">
        <f t="shared" si="2111"/>
        <v>0</v>
      </c>
      <c r="AT226" s="66">
        <f t="shared" si="2111"/>
        <v>0</v>
      </c>
      <c r="AU226" s="66">
        <f t="shared" si="2111"/>
        <v>0</v>
      </c>
      <c r="AV226" s="66">
        <f t="shared" si="2111"/>
        <v>0</v>
      </c>
      <c r="AW226" s="66">
        <f t="shared" si="2111"/>
        <v>0</v>
      </c>
      <c r="AX226" s="66">
        <f t="shared" si="2111"/>
        <v>0</v>
      </c>
      <c r="AY226" s="66">
        <f t="shared" si="2111"/>
        <v>0</v>
      </c>
      <c r="AZ226" s="66">
        <f t="shared" si="2111"/>
        <v>0</v>
      </c>
      <c r="BA226" s="66">
        <f t="shared" si="2111"/>
        <v>0</v>
      </c>
      <c r="BB226" s="66">
        <f t="shared" si="2111"/>
        <v>0</v>
      </c>
      <c r="BC226" s="66">
        <f t="shared" si="2111"/>
        <v>0</v>
      </c>
      <c r="BD226" s="66">
        <f t="shared" si="2111"/>
        <v>0</v>
      </c>
      <c r="BE226" s="66">
        <f t="shared" si="2111"/>
        <v>0</v>
      </c>
      <c r="BF226" s="66">
        <f t="shared" si="2111"/>
        <v>0</v>
      </c>
      <c r="BG226" s="66">
        <f t="shared" si="2111"/>
        <v>0</v>
      </c>
      <c r="BH226" s="66">
        <f t="shared" si="2111"/>
        <v>0</v>
      </c>
      <c r="BI226" s="66">
        <f t="shared" si="2111"/>
        <v>0</v>
      </c>
      <c r="BJ226" s="66">
        <f t="shared" si="2111"/>
        <v>0</v>
      </c>
      <c r="BK226" s="66">
        <f t="shared" si="2111"/>
        <v>0</v>
      </c>
      <c r="BL226" s="66">
        <f t="shared" si="2111"/>
        <v>0</v>
      </c>
      <c r="BM226" s="66">
        <f t="shared" si="2111"/>
        <v>0</v>
      </c>
      <c r="BN226" s="66">
        <f t="shared" si="2111"/>
        <v>0</v>
      </c>
      <c r="BO226" s="66">
        <f t="shared" si="2111"/>
        <v>0</v>
      </c>
      <c r="BP226" s="66">
        <f t="shared" si="2111"/>
        <v>0</v>
      </c>
      <c r="BQ226" s="66">
        <f t="shared" si="2111"/>
        <v>0</v>
      </c>
      <c r="BR226" s="66">
        <f t="shared" ref="BR226:CW226" si="2112">SUM(BO28:BR28)</f>
        <v>0</v>
      </c>
      <c r="BS226" s="66">
        <f t="shared" si="2112"/>
        <v>0</v>
      </c>
      <c r="BT226" s="66">
        <f t="shared" si="2112"/>
        <v>104.08400000000003</v>
      </c>
      <c r="BU226" s="66">
        <f t="shared" si="2112"/>
        <v>221.32400000000001</v>
      </c>
      <c r="BV226" s="66">
        <f t="shared" si="2112"/>
        <v>381.37300000000005</v>
      </c>
      <c r="BW226" s="66">
        <f t="shared" si="2112"/>
        <v>542.43600000000004</v>
      </c>
      <c r="BX226" s="66">
        <f t="shared" si="2112"/>
        <v>556.94399999999996</v>
      </c>
      <c r="BY226" s="66">
        <f t="shared" si="2112"/>
        <v>599.64699999999993</v>
      </c>
      <c r="BZ226" s="66">
        <f t="shared" si="2112"/>
        <v>633.99900000000002</v>
      </c>
      <c r="CA226" s="66">
        <f t="shared" si="2112"/>
        <v>607.57100000000014</v>
      </c>
      <c r="CB226" s="66">
        <f t="shared" si="2112"/>
        <v>584.43700000000013</v>
      </c>
      <c r="CC226" s="66">
        <f t="shared" si="2112"/>
        <v>569.93600000000004</v>
      </c>
      <c r="CD226" s="66">
        <f t="shared" si="2112"/>
        <v>462.65999999999997</v>
      </c>
      <c r="CE226" s="66">
        <f t="shared" si="2112"/>
        <v>399.22299999999996</v>
      </c>
      <c r="CF226" s="66">
        <f t="shared" si="2112"/>
        <v>378.48199999999997</v>
      </c>
      <c r="CG226" s="66">
        <f t="shared" si="2112"/>
        <v>312.98599999999999</v>
      </c>
      <c r="CH226" s="66">
        <f t="shared" si="2112"/>
        <v>314.15500000000003</v>
      </c>
      <c r="CI226" s="66">
        <f t="shared" si="2112"/>
        <v>321.05000000000007</v>
      </c>
      <c r="CJ226" s="66">
        <f t="shared" si="2112"/>
        <v>308.93300000000005</v>
      </c>
      <c r="CK226" s="50">
        <f t="shared" si="2112"/>
        <v>283.38200000000001</v>
      </c>
      <c r="CL226" s="50">
        <f t="shared" si="2112"/>
        <v>295.17770250273611</v>
      </c>
      <c r="CM226" s="50">
        <f t="shared" si="2112"/>
        <v>300.22435393138471</v>
      </c>
      <c r="CN226" s="50">
        <f t="shared" si="2112"/>
        <v>299.40416810403406</v>
      </c>
      <c r="CO226" s="50">
        <f t="shared" si="2112"/>
        <v>312.55254085288965</v>
      </c>
      <c r="CP226" s="50">
        <f t="shared" si="2112"/>
        <v>322.43304629751219</v>
      </c>
      <c r="CQ226" s="50">
        <f t="shared" si="2112"/>
        <v>329.9155177912221</v>
      </c>
      <c r="CR226" s="50">
        <f t="shared" si="2112"/>
        <v>335.91090104679688</v>
      </c>
      <c r="CS226" s="50">
        <f t="shared" si="2112"/>
        <v>344.54165760345495</v>
      </c>
      <c r="CT226" s="50">
        <f t="shared" si="2112"/>
        <v>355.8844320492957</v>
      </c>
      <c r="CU226" s="50">
        <f t="shared" si="2112"/>
        <v>365.33549262920559</v>
      </c>
      <c r="CV226" s="50">
        <f t="shared" si="2112"/>
        <v>372.65148982091819</v>
      </c>
      <c r="CW226" s="50">
        <f t="shared" si="2112"/>
        <v>381.08305718644033</v>
      </c>
      <c r="CX226" s="50">
        <f t="shared" ref="CX226:DB226" si="2113">SUM(CU28:CX28)</f>
        <v>394.00350498596873</v>
      </c>
      <c r="CY226" s="50">
        <f t="shared" si="2113"/>
        <v>404.74657536142342</v>
      </c>
      <c r="CZ226" s="50">
        <f t="shared" si="2113"/>
        <v>412.86544990361722</v>
      </c>
      <c r="DA226" s="50">
        <f t="shared" si="2113"/>
        <v>422.01674158020182</v>
      </c>
      <c r="DB226" s="50">
        <f t="shared" si="2113"/>
        <v>436.45150276061145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14">SUM(AI41:AL41)</f>
        <v>0</v>
      </c>
      <c r="AM227" s="66">
        <f t="shared" si="2114"/>
        <v>0</v>
      </c>
      <c r="AN227" s="66">
        <f t="shared" si="2114"/>
        <v>0</v>
      </c>
      <c r="AO227" s="66">
        <f t="shared" si="2114"/>
        <v>0</v>
      </c>
      <c r="AP227" s="66">
        <f t="shared" si="2114"/>
        <v>0</v>
      </c>
      <c r="AQ227" s="66">
        <f t="shared" si="2114"/>
        <v>0</v>
      </c>
      <c r="AR227" s="66">
        <f t="shared" si="2114"/>
        <v>0</v>
      </c>
      <c r="AS227" s="66">
        <f t="shared" si="2114"/>
        <v>0</v>
      </c>
      <c r="AT227" s="66">
        <f t="shared" si="2114"/>
        <v>0</v>
      </c>
      <c r="AU227" s="66">
        <f t="shared" si="2114"/>
        <v>0</v>
      </c>
      <c r="AV227" s="66">
        <f t="shared" si="2114"/>
        <v>0</v>
      </c>
      <c r="AW227" s="66">
        <f t="shared" si="2114"/>
        <v>0</v>
      </c>
      <c r="AX227" s="66">
        <f t="shared" si="2114"/>
        <v>0</v>
      </c>
      <c r="AY227" s="66">
        <f t="shared" si="2114"/>
        <v>0</v>
      </c>
      <c r="AZ227" s="66">
        <f t="shared" si="2114"/>
        <v>0</v>
      </c>
      <c r="BA227" s="66">
        <f t="shared" si="2114"/>
        <v>0</v>
      </c>
      <c r="BB227" s="66">
        <f t="shared" si="2114"/>
        <v>0</v>
      </c>
      <c r="BC227" s="66">
        <f t="shared" si="2114"/>
        <v>0</v>
      </c>
      <c r="BD227" s="66">
        <f t="shared" si="2114"/>
        <v>0</v>
      </c>
      <c r="BE227" s="66">
        <f t="shared" si="2114"/>
        <v>0</v>
      </c>
      <c r="BF227" s="66">
        <f t="shared" si="2114"/>
        <v>0</v>
      </c>
      <c r="BG227" s="66">
        <f t="shared" si="2114"/>
        <v>0</v>
      </c>
      <c r="BH227" s="66">
        <f t="shared" si="2114"/>
        <v>0</v>
      </c>
      <c r="BI227" s="66">
        <f t="shared" si="2114"/>
        <v>0</v>
      </c>
      <c r="BJ227" s="66">
        <f t="shared" si="2114"/>
        <v>0</v>
      </c>
      <c r="BK227" s="66">
        <f t="shared" si="2114"/>
        <v>0</v>
      </c>
      <c r="BL227" s="66">
        <f t="shared" si="2114"/>
        <v>0</v>
      </c>
      <c r="BM227" s="66">
        <f t="shared" si="2114"/>
        <v>0</v>
      </c>
      <c r="BN227" s="66">
        <f t="shared" si="2114"/>
        <v>0</v>
      </c>
      <c r="BO227" s="66">
        <f t="shared" si="2114"/>
        <v>0</v>
      </c>
      <c r="BP227" s="66">
        <f t="shared" si="2114"/>
        <v>0</v>
      </c>
      <c r="BQ227" s="66">
        <f t="shared" si="2114"/>
        <v>0</v>
      </c>
      <c r="BR227" s="66">
        <f t="shared" ref="BR227:CW227" si="2115">SUM(BO41:BR41)</f>
        <v>0</v>
      </c>
      <c r="BS227" s="66">
        <f t="shared" si="2115"/>
        <v>0</v>
      </c>
      <c r="BT227" s="66">
        <f t="shared" si="2115"/>
        <v>39.378000000000029</v>
      </c>
      <c r="BU227" s="66">
        <f t="shared" si="2115"/>
        <v>88.398000000000025</v>
      </c>
      <c r="BV227" s="66">
        <f t="shared" si="2115"/>
        <v>169.96300000000002</v>
      </c>
      <c r="BW227" s="66">
        <f t="shared" si="2115"/>
        <v>254.36200000000002</v>
      </c>
      <c r="BX227" s="66">
        <f t="shared" si="2115"/>
        <v>278.57400000000001</v>
      </c>
      <c r="BY227" s="66">
        <f t="shared" si="2115"/>
        <v>327.61500000000001</v>
      </c>
      <c r="BZ227" s="66">
        <f t="shared" si="2115"/>
        <v>382.55999999999995</v>
      </c>
      <c r="CA227" s="66">
        <f t="shared" si="2115"/>
        <v>392.01799999999997</v>
      </c>
      <c r="CB227" s="66">
        <f t="shared" si="2115"/>
        <v>394.42899999999997</v>
      </c>
      <c r="CC227" s="66">
        <f t="shared" si="2115"/>
        <v>397.89600000000002</v>
      </c>
      <c r="CD227" s="66">
        <f t="shared" si="2115"/>
        <v>318.97199999999998</v>
      </c>
      <c r="CE227" s="66">
        <f t="shared" si="2115"/>
        <v>269.95699999999999</v>
      </c>
      <c r="CF227" s="66">
        <f t="shared" si="2115"/>
        <v>259.87299999999999</v>
      </c>
      <c r="CG227" s="66">
        <f t="shared" si="2115"/>
        <v>206.16800000000003</v>
      </c>
      <c r="CH227" s="66">
        <f t="shared" si="2115"/>
        <v>202.32700000000006</v>
      </c>
      <c r="CI227" s="66">
        <f t="shared" si="2115"/>
        <v>197.62900000000008</v>
      </c>
      <c r="CJ227" s="66">
        <f t="shared" si="2115"/>
        <v>170.75200000000007</v>
      </c>
      <c r="CK227" s="50">
        <f t="shared" si="2115"/>
        <v>146.928</v>
      </c>
      <c r="CL227" s="50">
        <f t="shared" si="2115"/>
        <v>149.50706938382802</v>
      </c>
      <c r="CM227" s="50">
        <f t="shared" si="2115"/>
        <v>164.01496591368527</v>
      </c>
      <c r="CN227" s="50">
        <f t="shared" si="2115"/>
        <v>163.83985260080121</v>
      </c>
      <c r="CO227" s="50">
        <f t="shared" si="2115"/>
        <v>161.87000824377247</v>
      </c>
      <c r="CP227" s="50">
        <f t="shared" si="2115"/>
        <v>158.81929941215955</v>
      </c>
      <c r="CQ227" s="50">
        <f t="shared" si="2115"/>
        <v>156.49426086903259</v>
      </c>
      <c r="CR227" s="50">
        <f t="shared" si="2115"/>
        <v>151.91419011830212</v>
      </c>
      <c r="CS227" s="50">
        <f t="shared" si="2115"/>
        <v>148.53569311202912</v>
      </c>
      <c r="CT227" s="50">
        <f t="shared" si="2115"/>
        <v>147.89164357183469</v>
      </c>
      <c r="CU227" s="50">
        <f t="shared" si="2115"/>
        <v>147.84982856587325</v>
      </c>
      <c r="CV227" s="50">
        <f t="shared" si="2115"/>
        <v>145.37190980963993</v>
      </c>
      <c r="CW227" s="50">
        <f t="shared" si="2115"/>
        <v>142.88770600768464</v>
      </c>
      <c r="CX227" s="50">
        <f t="shared" ref="CX227:DB227" si="2116">SUM(CU41:CX41)</f>
        <v>144.24588429168463</v>
      </c>
      <c r="CY227" s="50">
        <f t="shared" si="2116"/>
        <v>146.03701556082652</v>
      </c>
      <c r="CZ227" s="50">
        <f t="shared" si="2116"/>
        <v>144.93768825937488</v>
      </c>
      <c r="DA227" s="50">
        <f t="shared" si="2116"/>
        <v>143.58200773091772</v>
      </c>
      <c r="DB227" s="50">
        <f t="shared" si="2116"/>
        <v>146.5816788610654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17">B8-B237</f>
        <v>0</v>
      </c>
      <c r="C231" s="64">
        <f t="shared" si="2117"/>
        <v>0</v>
      </c>
      <c r="D231" s="64">
        <f t="shared" si="2117"/>
        <v>0</v>
      </c>
      <c r="E231" s="64">
        <f t="shared" si="2117"/>
        <v>0</v>
      </c>
      <c r="F231" s="64">
        <f t="shared" si="2117"/>
        <v>0</v>
      </c>
      <c r="G231" s="64">
        <f t="shared" si="2117"/>
        <v>0</v>
      </c>
      <c r="H231" s="64">
        <f t="shared" si="2117"/>
        <v>0</v>
      </c>
      <c r="I231" s="64">
        <f t="shared" si="2117"/>
        <v>0</v>
      </c>
      <c r="J231" s="64">
        <f t="shared" si="2117"/>
        <v>0</v>
      </c>
      <c r="K231" s="64">
        <f t="shared" si="2117"/>
        <v>0</v>
      </c>
      <c r="L231" s="64">
        <f t="shared" si="2117"/>
        <v>0</v>
      </c>
      <c r="M231" s="64">
        <f t="shared" si="2117"/>
        <v>0</v>
      </c>
      <c r="N231" s="64">
        <f t="shared" si="2117"/>
        <v>0</v>
      </c>
      <c r="O231" s="64">
        <f t="shared" si="2117"/>
        <v>0</v>
      </c>
      <c r="P231" s="64">
        <f t="shared" si="2117"/>
        <v>225.976</v>
      </c>
      <c r="Q231" s="64">
        <f t="shared" si="2117"/>
        <v>348.00069999999999</v>
      </c>
      <c r="R231" s="64">
        <f t="shared" si="2117"/>
        <v>296.22739999999999</v>
      </c>
      <c r="S231" s="64">
        <f t="shared" si="2117"/>
        <v>441.75869999999998</v>
      </c>
      <c r="T231" s="64">
        <f t="shared" si="2117"/>
        <v>565.50599999999997</v>
      </c>
      <c r="U231" s="64">
        <f t="shared" si="2117"/>
        <v>608.16999999999996</v>
      </c>
      <c r="V231" s="64">
        <f t="shared" si="2117"/>
        <v>740.76430000000005</v>
      </c>
      <c r="W231" s="64">
        <f t="shared" si="2117"/>
        <v>1130.4371000000001</v>
      </c>
      <c r="X231" s="64">
        <f t="shared" si="2117"/>
        <v>1441.0659000000001</v>
      </c>
      <c r="Y231" s="64">
        <f t="shared" si="2117"/>
        <v>1330.0895</v>
      </c>
      <c r="Z231" s="64">
        <f t="shared" si="2117"/>
        <v>1041.0179000000001</v>
      </c>
      <c r="AA231" s="64">
        <f t="shared" ref="AA231" si="2118">AA8-AA237</f>
        <v>1081.0507</v>
      </c>
      <c r="AB231" s="30"/>
      <c r="AC231" s="30"/>
      <c r="AD231" s="30"/>
      <c r="AE231" s="30"/>
      <c r="AI231" s="64">
        <f t="shared" ref="AI231:BN231" si="2119">AI8-AI237</f>
        <v>0</v>
      </c>
      <c r="AJ231" s="64">
        <f t="shared" si="2119"/>
        <v>0</v>
      </c>
      <c r="AK231" s="64">
        <f t="shared" si="2119"/>
        <v>0</v>
      </c>
      <c r="AL231" s="64">
        <f t="shared" si="2119"/>
        <v>0</v>
      </c>
      <c r="AM231" s="64">
        <f t="shared" si="2119"/>
        <v>0</v>
      </c>
      <c r="AN231" s="64">
        <f t="shared" si="2119"/>
        <v>0</v>
      </c>
      <c r="AO231" s="64">
        <f t="shared" si="2119"/>
        <v>0</v>
      </c>
      <c r="AP231" s="64">
        <f t="shared" si="2119"/>
        <v>0</v>
      </c>
      <c r="AQ231" s="64">
        <f t="shared" si="2119"/>
        <v>0</v>
      </c>
      <c r="AR231" s="64">
        <f t="shared" si="2119"/>
        <v>0</v>
      </c>
      <c r="AS231" s="64">
        <f t="shared" si="2119"/>
        <v>0</v>
      </c>
      <c r="AT231" s="64">
        <f t="shared" si="2119"/>
        <v>0</v>
      </c>
      <c r="AU231" s="64">
        <f t="shared" si="2119"/>
        <v>0</v>
      </c>
      <c r="AV231" s="64">
        <f t="shared" si="2119"/>
        <v>0</v>
      </c>
      <c r="AW231" s="64">
        <f t="shared" si="2119"/>
        <v>0</v>
      </c>
      <c r="AX231" s="64">
        <f t="shared" si="2119"/>
        <v>0</v>
      </c>
      <c r="AY231" s="64">
        <f t="shared" si="2119"/>
        <v>0</v>
      </c>
      <c r="AZ231" s="64">
        <f t="shared" si="2119"/>
        <v>0</v>
      </c>
      <c r="BA231" s="64">
        <f t="shared" si="2119"/>
        <v>0</v>
      </c>
      <c r="BB231" s="64">
        <f t="shared" si="2119"/>
        <v>0</v>
      </c>
      <c r="BC231" s="64">
        <f t="shared" si="2119"/>
        <v>0</v>
      </c>
      <c r="BD231" s="64">
        <f t="shared" si="2119"/>
        <v>0</v>
      </c>
      <c r="BE231" s="64">
        <f t="shared" si="2119"/>
        <v>0</v>
      </c>
      <c r="BF231" s="64">
        <f t="shared" si="2119"/>
        <v>0</v>
      </c>
      <c r="BG231" s="64">
        <f t="shared" si="2119"/>
        <v>0</v>
      </c>
      <c r="BH231" s="64">
        <f t="shared" si="2119"/>
        <v>0</v>
      </c>
      <c r="BI231" s="64">
        <f t="shared" si="2119"/>
        <v>0</v>
      </c>
      <c r="BJ231" s="64">
        <f t="shared" si="2119"/>
        <v>0</v>
      </c>
      <c r="BK231" s="64">
        <f t="shared" si="2119"/>
        <v>0</v>
      </c>
      <c r="BL231" s="64">
        <f t="shared" si="2119"/>
        <v>0</v>
      </c>
      <c r="BM231" s="64">
        <f t="shared" si="2119"/>
        <v>0</v>
      </c>
      <c r="BN231" s="64">
        <f t="shared" si="2119"/>
        <v>0</v>
      </c>
      <c r="BO231" s="64">
        <f t="shared" ref="BO231:CT231" si="2120">BO8-BO237</f>
        <v>0</v>
      </c>
      <c r="BP231" s="64">
        <f t="shared" si="2120"/>
        <v>0</v>
      </c>
      <c r="BQ231" s="64">
        <f t="shared" si="2120"/>
        <v>0</v>
      </c>
      <c r="BR231" s="64">
        <f t="shared" si="2120"/>
        <v>0</v>
      </c>
      <c r="BS231" s="64">
        <f t="shared" si="2120"/>
        <v>0</v>
      </c>
      <c r="BT231" s="64">
        <f t="shared" si="2120"/>
        <v>249.75</v>
      </c>
      <c r="BU231" s="64">
        <f t="shared" si="2120"/>
        <v>307.32499999999999</v>
      </c>
      <c r="BV231" s="64">
        <f t="shared" si="2120"/>
        <v>372.60199999999998</v>
      </c>
      <c r="BW231" s="64">
        <f t="shared" si="2120"/>
        <v>400.274</v>
      </c>
      <c r="BX231" s="64">
        <f t="shared" si="2120"/>
        <v>293.495</v>
      </c>
      <c r="BY231" s="64">
        <f t="shared" si="2120"/>
        <v>364.923</v>
      </c>
      <c r="BZ231" s="64">
        <f t="shared" si="2120"/>
        <v>382.375</v>
      </c>
      <c r="CA231" s="64">
        <f t="shared" si="2120"/>
        <v>343.09399999999999</v>
      </c>
      <c r="CB231" s="64">
        <f t="shared" si="2120"/>
        <v>290.46499999999997</v>
      </c>
      <c r="CC231" s="64">
        <f t="shared" si="2120"/>
        <v>412.62599999999998</v>
      </c>
      <c r="CD231" s="64">
        <f t="shared" si="2120"/>
        <v>283.90499999999997</v>
      </c>
      <c r="CE231" s="64">
        <f t="shared" si="2120"/>
        <v>212.69200000000001</v>
      </c>
      <c r="CF231" s="64">
        <f t="shared" si="2120"/>
        <v>240.45500000000001</v>
      </c>
      <c r="CG231" s="64">
        <f t="shared" si="2120"/>
        <v>242.29400000000001</v>
      </c>
      <c r="CH231" s="64">
        <f t="shared" si="2120"/>
        <v>345.577</v>
      </c>
      <c r="CI231" s="64">
        <f t="shared" si="2120"/>
        <v>292.35899999999998</v>
      </c>
      <c r="CJ231" s="64">
        <f t="shared" si="2120"/>
        <v>233.184</v>
      </c>
      <c r="CK231" s="30">
        <f t="shared" si="2120"/>
        <v>254.565</v>
      </c>
      <c r="CL231" s="30">
        <f t="shared" si="2120"/>
        <v>398.46749682295115</v>
      </c>
      <c r="CM231" s="30">
        <f t="shared" si="2120"/>
        <v>332.41375401683632</v>
      </c>
      <c r="CN231" s="30">
        <f t="shared" si="2120"/>
        <v>251.28267929215477</v>
      </c>
      <c r="CO231" s="30">
        <f t="shared" si="2120"/>
        <v>281.18713515987446</v>
      </c>
      <c r="CP231" s="30">
        <f t="shared" si="2120"/>
        <v>445.51152212137248</v>
      </c>
      <c r="CQ231" s="30">
        <f t="shared" si="2120"/>
        <v>368.75174104390078</v>
      </c>
      <c r="CR231" s="30">
        <f t="shared" si="2120"/>
        <v>277.01228529160414</v>
      </c>
      <c r="CS231" s="30">
        <f t="shared" si="2120"/>
        <v>311.72053815138372</v>
      </c>
      <c r="CT231" s="30">
        <f t="shared" si="2120"/>
        <v>494.33496063148544</v>
      </c>
      <c r="CU231" s="30">
        <f t="shared" ref="CU231:DB231" si="2121">CU8-CU237</f>
        <v>408.38201707929545</v>
      </c>
      <c r="CV231" s="30">
        <f t="shared" si="2121"/>
        <v>306.65548101875021</v>
      </c>
      <c r="CW231" s="30">
        <f t="shared" si="2121"/>
        <v>345.43770684044841</v>
      </c>
      <c r="CX231" s="30">
        <f t="shared" si="2121"/>
        <v>547.75232457237894</v>
      </c>
      <c r="CY231" s="30">
        <f t="shared" si="2121"/>
        <v>452.35512318277307</v>
      </c>
      <c r="CZ231" s="30">
        <f t="shared" si="2121"/>
        <v>339.6907538714795</v>
      </c>
      <c r="DA231" s="30">
        <f t="shared" si="2121"/>
        <v>382.71283835360384</v>
      </c>
      <c r="DB231" s="30">
        <f t="shared" si="2121"/>
        <v>606.82331127033331</v>
      </c>
      <c r="DE231" s="139"/>
      <c r="DF231" s="64">
        <v>1081.0507</v>
      </c>
    </row>
    <row r="232" spans="1:110" s="64" customFormat="1" hidden="1" outlineLevel="1" x14ac:dyDescent="0.2">
      <c r="A232" s="64" t="s">
        <v>475</v>
      </c>
      <c r="B232" s="64">
        <f t="shared" ref="B232:Z232" si="2122">B28-B238</f>
        <v>0</v>
      </c>
      <c r="C232" s="64">
        <f t="shared" si="2122"/>
        <v>0</v>
      </c>
      <c r="D232" s="64">
        <f t="shared" si="2122"/>
        <v>0</v>
      </c>
      <c r="E232" s="64">
        <f t="shared" si="2122"/>
        <v>0</v>
      </c>
      <c r="F232" s="64">
        <f t="shared" si="2122"/>
        <v>0</v>
      </c>
      <c r="G232" s="64">
        <f t="shared" si="2122"/>
        <v>0</v>
      </c>
      <c r="H232" s="64">
        <f t="shared" si="2122"/>
        <v>0</v>
      </c>
      <c r="I232" s="64">
        <f t="shared" si="2122"/>
        <v>0</v>
      </c>
      <c r="J232" s="64">
        <f t="shared" si="2122"/>
        <v>0</v>
      </c>
      <c r="K232" s="64">
        <f t="shared" si="2122"/>
        <v>0</v>
      </c>
      <c r="L232" s="64">
        <f t="shared" si="2122"/>
        <v>0</v>
      </c>
      <c r="M232" s="64">
        <f t="shared" si="2122"/>
        <v>0</v>
      </c>
      <c r="N232" s="64">
        <f t="shared" si="2122"/>
        <v>0</v>
      </c>
      <c r="O232" s="64">
        <f t="shared" si="2122"/>
        <v>0</v>
      </c>
      <c r="P232" s="64">
        <f t="shared" si="2122"/>
        <v>90.954599999999999</v>
      </c>
      <c r="Q232" s="64">
        <f t="shared" si="2122"/>
        <v>105.22890000000001</v>
      </c>
      <c r="R232" s="64">
        <f t="shared" si="2122"/>
        <v>69.499299999999977</v>
      </c>
      <c r="S232" s="64">
        <f t="shared" si="2122"/>
        <v>82.792699999999968</v>
      </c>
      <c r="T232" s="64">
        <f t="shared" si="2122"/>
        <v>72.680000000000007</v>
      </c>
      <c r="U232" s="64">
        <f t="shared" si="2122"/>
        <v>147.98599999999999</v>
      </c>
      <c r="V232" s="64">
        <f t="shared" si="2122"/>
        <v>262.22630000000004</v>
      </c>
      <c r="W232" s="64">
        <f t="shared" si="2122"/>
        <v>467.15339999999992</v>
      </c>
      <c r="X232" s="64">
        <f t="shared" si="2122"/>
        <v>633.99710000000005</v>
      </c>
      <c r="Y232" s="64">
        <f t="shared" si="2122"/>
        <v>462.65900000000011</v>
      </c>
      <c r="Z232" s="64">
        <f t="shared" si="2122"/>
        <v>314.15440000000012</v>
      </c>
      <c r="AA232" s="64">
        <f t="shared" ref="AA232" si="2123">AA28-AA238</f>
        <v>238.7822000000001</v>
      </c>
      <c r="AB232" s="30"/>
      <c r="AC232" s="30"/>
      <c r="AD232" s="30"/>
      <c r="AE232" s="30"/>
      <c r="AI232" s="64">
        <f t="shared" ref="AI232:BN232" si="2124">AI28-AI238</f>
        <v>0</v>
      </c>
      <c r="AJ232" s="64">
        <f t="shared" si="2124"/>
        <v>0</v>
      </c>
      <c r="AK232" s="64">
        <f t="shared" si="2124"/>
        <v>0</v>
      </c>
      <c r="AL232" s="64">
        <f t="shared" si="2124"/>
        <v>0</v>
      </c>
      <c r="AM232" s="64">
        <f t="shared" si="2124"/>
        <v>0</v>
      </c>
      <c r="AN232" s="64">
        <f t="shared" si="2124"/>
        <v>0</v>
      </c>
      <c r="AO232" s="64">
        <f t="shared" si="2124"/>
        <v>0</v>
      </c>
      <c r="AP232" s="64">
        <f t="shared" si="2124"/>
        <v>0</v>
      </c>
      <c r="AQ232" s="64">
        <f t="shared" si="2124"/>
        <v>0</v>
      </c>
      <c r="AR232" s="64">
        <f t="shared" si="2124"/>
        <v>0</v>
      </c>
      <c r="AS232" s="64">
        <f t="shared" si="2124"/>
        <v>0</v>
      </c>
      <c r="AT232" s="64">
        <f t="shared" si="2124"/>
        <v>0</v>
      </c>
      <c r="AU232" s="64">
        <f t="shared" si="2124"/>
        <v>0</v>
      </c>
      <c r="AV232" s="64">
        <f t="shared" si="2124"/>
        <v>0</v>
      </c>
      <c r="AW232" s="64">
        <f t="shared" si="2124"/>
        <v>0</v>
      </c>
      <c r="AX232" s="64">
        <f t="shared" si="2124"/>
        <v>0</v>
      </c>
      <c r="AY232" s="64">
        <f t="shared" si="2124"/>
        <v>0</v>
      </c>
      <c r="AZ232" s="64">
        <f t="shared" si="2124"/>
        <v>0</v>
      </c>
      <c r="BA232" s="64">
        <f t="shared" si="2124"/>
        <v>0</v>
      </c>
      <c r="BB232" s="64">
        <f t="shared" si="2124"/>
        <v>0</v>
      </c>
      <c r="BC232" s="64">
        <f t="shared" si="2124"/>
        <v>0</v>
      </c>
      <c r="BD232" s="64">
        <f t="shared" si="2124"/>
        <v>0</v>
      </c>
      <c r="BE232" s="64">
        <f t="shared" si="2124"/>
        <v>0</v>
      </c>
      <c r="BF232" s="64">
        <f t="shared" si="2124"/>
        <v>0</v>
      </c>
      <c r="BG232" s="64">
        <f t="shared" si="2124"/>
        <v>0</v>
      </c>
      <c r="BH232" s="64">
        <f t="shared" si="2124"/>
        <v>0</v>
      </c>
      <c r="BI232" s="64">
        <f t="shared" si="2124"/>
        <v>0</v>
      </c>
      <c r="BJ232" s="64">
        <f t="shared" si="2124"/>
        <v>0</v>
      </c>
      <c r="BK232" s="64">
        <f t="shared" si="2124"/>
        <v>0</v>
      </c>
      <c r="BL232" s="64">
        <f t="shared" si="2124"/>
        <v>0</v>
      </c>
      <c r="BM232" s="64">
        <f t="shared" si="2124"/>
        <v>0</v>
      </c>
      <c r="BN232" s="64">
        <f t="shared" si="2124"/>
        <v>0</v>
      </c>
      <c r="BO232" s="64">
        <f t="shared" ref="BO232:CT232" si="2125">BO28-BO238</f>
        <v>0</v>
      </c>
      <c r="BP232" s="64">
        <f t="shared" si="2125"/>
        <v>0</v>
      </c>
      <c r="BQ232" s="64">
        <f t="shared" si="2125"/>
        <v>0</v>
      </c>
      <c r="BR232" s="64">
        <f t="shared" si="2125"/>
        <v>0</v>
      </c>
      <c r="BS232" s="64">
        <f t="shared" si="2125"/>
        <v>0</v>
      </c>
      <c r="BT232" s="64">
        <f t="shared" si="2125"/>
        <v>104.08400000000003</v>
      </c>
      <c r="BU232" s="64">
        <f t="shared" si="2125"/>
        <v>117.23999999999998</v>
      </c>
      <c r="BV232" s="64">
        <f t="shared" si="2125"/>
        <v>160.04900000000001</v>
      </c>
      <c r="BW232" s="64">
        <f t="shared" si="2125"/>
        <v>161.06299999999999</v>
      </c>
      <c r="BX232" s="64">
        <f t="shared" si="2125"/>
        <v>118.59200000000001</v>
      </c>
      <c r="BY232" s="64">
        <f t="shared" si="2125"/>
        <v>159.94300000000001</v>
      </c>
      <c r="BZ232" s="64">
        <f t="shared" si="2125"/>
        <v>194.40100000000001</v>
      </c>
      <c r="CA232" s="64">
        <f t="shared" si="2125"/>
        <v>134.63500000000005</v>
      </c>
      <c r="CB232" s="64">
        <f t="shared" si="2125"/>
        <v>95.45799999999997</v>
      </c>
      <c r="CC232" s="64">
        <f t="shared" si="2125"/>
        <v>145.44200000000001</v>
      </c>
      <c r="CD232" s="64">
        <f t="shared" si="2125"/>
        <v>87.124999999999972</v>
      </c>
      <c r="CE232" s="64">
        <f t="shared" si="2125"/>
        <v>71.198000000000008</v>
      </c>
      <c r="CF232" s="64">
        <f t="shared" si="2125"/>
        <v>74.717000000000013</v>
      </c>
      <c r="CG232" s="64">
        <f t="shared" si="2125"/>
        <v>79.946000000000026</v>
      </c>
      <c r="CH232" s="64">
        <f t="shared" si="2125"/>
        <v>88.293999999999983</v>
      </c>
      <c r="CI232" s="64">
        <f t="shared" si="2125"/>
        <v>78.093000000000018</v>
      </c>
      <c r="CJ232" s="64">
        <f t="shared" si="2125"/>
        <v>62.600000000000023</v>
      </c>
      <c r="CK232" s="30">
        <f t="shared" si="2125"/>
        <v>54.394999999999982</v>
      </c>
      <c r="CL232" s="30">
        <f t="shared" si="2125"/>
        <v>100.08970250273609</v>
      </c>
      <c r="CM232" s="30">
        <f t="shared" si="2125"/>
        <v>83.139651428648648</v>
      </c>
      <c r="CN232" s="30">
        <f t="shared" si="2125"/>
        <v>61.779814172649367</v>
      </c>
      <c r="CO232" s="30">
        <f t="shared" si="2125"/>
        <v>67.543372748855546</v>
      </c>
      <c r="CP232" s="30">
        <f t="shared" si="2125"/>
        <v>109.97020794735863</v>
      </c>
      <c r="CQ232" s="30">
        <f t="shared" si="2125"/>
        <v>90.622122922358585</v>
      </c>
      <c r="CR232" s="30">
        <f t="shared" si="2125"/>
        <v>67.775197428224118</v>
      </c>
      <c r="CS232" s="30">
        <f t="shared" si="2125"/>
        <v>76.17412930551356</v>
      </c>
      <c r="CT232" s="30">
        <f t="shared" si="2125"/>
        <v>121.31298239319943</v>
      </c>
      <c r="CU232" s="30">
        <f t="shared" ref="CU232:DB232" si="2126">CU28-CU238</f>
        <v>100.07318350226848</v>
      </c>
      <c r="CV232" s="30">
        <f t="shared" si="2126"/>
        <v>75.091194619936687</v>
      </c>
      <c r="CW232" s="30">
        <f t="shared" si="2126"/>
        <v>84.60569667103573</v>
      </c>
      <c r="CX232" s="30">
        <f t="shared" si="2126"/>
        <v>134.23343019272784</v>
      </c>
      <c r="CY232" s="30">
        <f t="shared" si="2126"/>
        <v>110.81625387772317</v>
      </c>
      <c r="CZ232" s="30">
        <f t="shared" si="2126"/>
        <v>83.21006916213048</v>
      </c>
      <c r="DA232" s="30">
        <f t="shared" si="2126"/>
        <v>93.756988347620336</v>
      </c>
      <c r="DB232" s="30">
        <f t="shared" si="2126"/>
        <v>148.66819137313746</v>
      </c>
      <c r="DE232" s="139"/>
      <c r="DF232" s="64">
        <v>238.7822000000001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27">+C232/C231</f>
        <v>#DIV/0!</v>
      </c>
      <c r="D233" s="86" t="e">
        <f t="shared" ref="D233" si="2128">+D232/D231</f>
        <v>#DIV/0!</v>
      </c>
      <c r="E233" s="86" t="e">
        <f t="shared" ref="E233" si="2129">+E232/E231</f>
        <v>#DIV/0!</v>
      </c>
      <c r="F233" s="86" t="e">
        <f t="shared" ref="F233" si="2130">+F232/F231</f>
        <v>#DIV/0!</v>
      </c>
      <c r="G233" s="86" t="e">
        <f t="shared" ref="G233" si="2131">+G232/G231</f>
        <v>#DIV/0!</v>
      </c>
      <c r="H233" s="86" t="e">
        <f t="shared" ref="H233" si="2132">+H232/H231</f>
        <v>#DIV/0!</v>
      </c>
      <c r="I233" s="86" t="e">
        <f t="shared" ref="I233" si="2133">+I232/I231</f>
        <v>#DIV/0!</v>
      </c>
      <c r="J233" s="86" t="e">
        <f t="shared" ref="J233" si="2134">+J232/J231</f>
        <v>#DIV/0!</v>
      </c>
      <c r="K233" s="86" t="e">
        <f t="shared" ref="K233" si="2135">+K232/K231</f>
        <v>#DIV/0!</v>
      </c>
      <c r="L233" s="86" t="e">
        <f t="shared" ref="L233" si="2136">+L232/L231</f>
        <v>#DIV/0!</v>
      </c>
      <c r="M233" s="86" t="e">
        <f t="shared" ref="M233" si="2137">+M232/M231</f>
        <v>#DIV/0!</v>
      </c>
      <c r="N233" s="86" t="e">
        <f t="shared" ref="N233" si="2138">+N232/N231</f>
        <v>#DIV/0!</v>
      </c>
      <c r="O233" s="86" t="e">
        <f t="shared" ref="O233" si="2139">+O232/O231</f>
        <v>#DIV/0!</v>
      </c>
      <c r="P233" s="86">
        <f t="shared" ref="P233" si="2140">+P232/P231</f>
        <v>0.40249672531596276</v>
      </c>
      <c r="Q233" s="86">
        <f t="shared" ref="Q233" si="2141">+Q232/Q231</f>
        <v>0.30238128831350053</v>
      </c>
      <c r="R233" s="86">
        <f t="shared" ref="R233" si="2142">+R232/R231</f>
        <v>0.23461469128109005</v>
      </c>
      <c r="S233" s="86">
        <f t="shared" ref="S233" si="2143">+S232/S231</f>
        <v>0.18741611653601836</v>
      </c>
      <c r="T233" s="86">
        <f t="shared" ref="T233" si="2144">+T232/T231</f>
        <v>0.12852206696303842</v>
      </c>
      <c r="U233" s="86">
        <f t="shared" ref="U233" si="2145">+U232/U231</f>
        <v>0.24332998996990973</v>
      </c>
      <c r="V233" s="86">
        <f t="shared" ref="V233" si="2146">+V232/V231</f>
        <v>0.35399424621299924</v>
      </c>
      <c r="W233" s="86">
        <f t="shared" ref="W233" si="2147">+W232/W231</f>
        <v>0.41325023745239775</v>
      </c>
      <c r="X233" s="86">
        <f t="shared" ref="X233:Y233" si="2148">+X232/X231</f>
        <v>0.43995010915184379</v>
      </c>
      <c r="Y233" s="86">
        <f t="shared" si="2148"/>
        <v>0.34784050246242837</v>
      </c>
      <c r="Z233" s="86">
        <f t="shared" ref="Z233:AA233" si="2149">+Z232/Z231</f>
        <v>0.30177617503022774</v>
      </c>
      <c r="AA233" s="86">
        <f t="shared" si="2149"/>
        <v>0.22087974227295731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50">+AI232/AI231</f>
        <v>#DIV/0!</v>
      </c>
      <c r="AJ233" s="86" t="e">
        <f t="shared" ref="AJ233" si="2151">+AJ232/AJ231</f>
        <v>#DIV/0!</v>
      </c>
      <c r="AK233" s="86" t="e">
        <f t="shared" ref="AK233" si="2152">+AK232/AK231</f>
        <v>#DIV/0!</v>
      </c>
      <c r="AL233" s="86" t="e">
        <f t="shared" ref="AL233" si="2153">+AL232/AL231</f>
        <v>#DIV/0!</v>
      </c>
      <c r="AM233" s="86" t="e">
        <f t="shared" ref="AM233" si="2154">+AM232/AM231</f>
        <v>#DIV/0!</v>
      </c>
      <c r="AN233" s="86" t="e">
        <f t="shared" ref="AN233" si="2155">+AN232/AN231</f>
        <v>#DIV/0!</v>
      </c>
      <c r="AO233" s="86" t="e">
        <f t="shared" ref="AO233" si="2156">+AO232/AO231</f>
        <v>#DIV/0!</v>
      </c>
      <c r="AP233" s="86" t="e">
        <f t="shared" ref="AP233" si="2157">+AP232/AP231</f>
        <v>#DIV/0!</v>
      </c>
      <c r="AQ233" s="86" t="e">
        <f t="shared" ref="AQ233" si="2158">+AQ232/AQ231</f>
        <v>#DIV/0!</v>
      </c>
      <c r="AR233" s="86" t="e">
        <f t="shared" ref="AR233" si="2159">+AR232/AR231</f>
        <v>#DIV/0!</v>
      </c>
      <c r="AS233" s="86" t="e">
        <f t="shared" ref="AS233" si="2160">+AS232/AS231</f>
        <v>#DIV/0!</v>
      </c>
      <c r="AT233" s="86" t="e">
        <f t="shared" ref="AT233" si="2161">+AT232/AT231</f>
        <v>#DIV/0!</v>
      </c>
      <c r="AU233" s="86" t="e">
        <f t="shared" ref="AU233" si="2162">+AU232/AU231</f>
        <v>#DIV/0!</v>
      </c>
      <c r="AV233" s="86" t="e">
        <f t="shared" ref="AV233" si="2163">+AV232/AV231</f>
        <v>#DIV/0!</v>
      </c>
      <c r="AW233" s="86" t="e">
        <f t="shared" ref="AW233" si="2164">+AW232/AW231</f>
        <v>#DIV/0!</v>
      </c>
      <c r="AX233" s="86" t="e">
        <f t="shared" ref="AX233" si="2165">+AX232/AX231</f>
        <v>#DIV/0!</v>
      </c>
      <c r="AY233" s="86" t="e">
        <f t="shared" ref="AY233" si="2166">+AY232/AY231</f>
        <v>#DIV/0!</v>
      </c>
      <c r="AZ233" s="86" t="e">
        <f t="shared" ref="AZ233" si="2167">+AZ232/AZ231</f>
        <v>#DIV/0!</v>
      </c>
      <c r="BA233" s="86" t="e">
        <f t="shared" ref="BA233" si="2168">+BA232/BA231</f>
        <v>#DIV/0!</v>
      </c>
      <c r="BB233" s="86" t="e">
        <f t="shared" ref="BB233" si="2169">+BB232/BB231</f>
        <v>#DIV/0!</v>
      </c>
      <c r="BC233" s="86" t="e">
        <f t="shared" ref="BC233" si="2170">+BC232/BC231</f>
        <v>#DIV/0!</v>
      </c>
      <c r="BD233" s="86" t="e">
        <f t="shared" ref="BD233" si="2171">+BD232/BD231</f>
        <v>#DIV/0!</v>
      </c>
      <c r="BE233" s="86" t="e">
        <f t="shared" ref="BE233" si="2172">+BE232/BE231</f>
        <v>#DIV/0!</v>
      </c>
      <c r="BF233" s="86" t="e">
        <f t="shared" ref="BF233" si="2173">+BF232/BF231</f>
        <v>#DIV/0!</v>
      </c>
      <c r="BG233" s="86" t="e">
        <f t="shared" ref="BG233" si="2174">+BG232/BG231</f>
        <v>#DIV/0!</v>
      </c>
      <c r="BH233" s="86" t="e">
        <f t="shared" ref="BH233" si="2175">+BH232/BH231</f>
        <v>#DIV/0!</v>
      </c>
      <c r="BI233" s="86" t="e">
        <f t="shared" ref="BI233" si="2176">+BI232/BI231</f>
        <v>#DIV/0!</v>
      </c>
      <c r="BJ233" s="86" t="e">
        <f t="shared" ref="BJ233" si="2177">+BJ232/BJ231</f>
        <v>#DIV/0!</v>
      </c>
      <c r="BK233" s="86" t="e">
        <f t="shared" ref="BK233" si="2178">+BK232/BK231</f>
        <v>#DIV/0!</v>
      </c>
      <c r="BL233" s="86" t="e">
        <f t="shared" ref="BL233" si="2179">+BL232/BL231</f>
        <v>#DIV/0!</v>
      </c>
      <c r="BM233" s="86" t="e">
        <f t="shared" ref="BM233" si="2180">+BM232/BM231</f>
        <v>#DIV/0!</v>
      </c>
      <c r="BN233" s="86" t="e">
        <f t="shared" ref="BN233" si="2181">+BN232/BN231</f>
        <v>#DIV/0!</v>
      </c>
      <c r="BO233" s="86" t="e">
        <f t="shared" ref="BO233" si="2182">+BO232/BO231</f>
        <v>#DIV/0!</v>
      </c>
      <c r="BP233" s="86" t="e">
        <f t="shared" ref="BP233" si="2183">+BP232/BP231</f>
        <v>#DIV/0!</v>
      </c>
      <c r="BQ233" s="86" t="e">
        <f t="shared" ref="BQ233" si="2184">+BQ232/BQ231</f>
        <v>#DIV/0!</v>
      </c>
      <c r="BR233" s="86" t="e">
        <f t="shared" ref="BR233" si="2185">+BR232/BR231</f>
        <v>#DIV/0!</v>
      </c>
      <c r="BS233" s="86" t="e">
        <f t="shared" ref="BS233" si="2186">+BS232/BS231</f>
        <v>#DIV/0!</v>
      </c>
      <c r="BT233" s="86">
        <f t="shared" ref="BT233" si="2187">+BT232/BT231</f>
        <v>0.41675275275275286</v>
      </c>
      <c r="BU233" s="86">
        <f t="shared" ref="BU233" si="2188">+BU232/BU231</f>
        <v>0.38148539819409416</v>
      </c>
      <c r="BV233" s="86">
        <f t="shared" ref="BV233" si="2189">+BV232/BV231</f>
        <v>0.4295441248302479</v>
      </c>
      <c r="BW233" s="86">
        <f t="shared" ref="BW233" si="2190">+BW232/BW231</f>
        <v>0.40238186842013218</v>
      </c>
      <c r="BX233" s="86">
        <f t="shared" ref="BX233" si="2191">+BX232/BX231</f>
        <v>0.40406821240566282</v>
      </c>
      <c r="BY233" s="86">
        <f t="shared" ref="BY233" si="2192">+BY232/BY231</f>
        <v>0.43829246169739922</v>
      </c>
      <c r="BZ233" s="86">
        <f t="shared" ref="BZ233" si="2193">+BZ232/BZ231</f>
        <v>0.50840405361229157</v>
      </c>
      <c r="CA233" s="86">
        <f t="shared" ref="CA233" si="2194">+CA232/CA231</f>
        <v>0.39241432377132812</v>
      </c>
      <c r="CB233" s="86">
        <f t="shared" ref="CB233:CC233" si="2195">+CB232/CB231</f>
        <v>0.32863856230526906</v>
      </c>
      <c r="CC233" s="86">
        <f t="shared" si="2195"/>
        <v>0.35247900035383134</v>
      </c>
      <c r="CD233" s="86">
        <f t="shared" ref="CD233" si="2196">+CD232/CD231</f>
        <v>0.3068808228104471</v>
      </c>
      <c r="CE233" s="86">
        <f t="shared" ref="CE233:CF233" si="2197">+CE232/CE231</f>
        <v>0.33474695804261562</v>
      </c>
      <c r="CF233" s="86">
        <f t="shared" si="2197"/>
        <v>0.31073173774718765</v>
      </c>
      <c r="CG233" s="86">
        <f t="shared" ref="CG233:CH233" si="2198">+CG232/CG231</f>
        <v>0.32995451806483045</v>
      </c>
      <c r="CH233" s="86">
        <f t="shared" si="2198"/>
        <v>0.25549732765780125</v>
      </c>
      <c r="CI233" s="86">
        <f t="shared" ref="CI233:CJ233" si="2199">+CI232/CI231</f>
        <v>0.26711337773080363</v>
      </c>
      <c r="CJ233" s="86">
        <f t="shared" si="2199"/>
        <v>0.26845752710306037</v>
      </c>
      <c r="CK233" s="47">
        <f t="shared" ref="CK233:DB233" si="2200">+CK232/CK231</f>
        <v>0.21367823542120865</v>
      </c>
      <c r="CL233" s="47">
        <f t="shared" si="2200"/>
        <v>0.25118661697821842</v>
      </c>
      <c r="CM233" s="47">
        <f t="shared" si="2200"/>
        <v>0.25010893930832279</v>
      </c>
      <c r="CN233" s="47">
        <f t="shared" si="2200"/>
        <v>0.2458578297027024</v>
      </c>
      <c r="CO233" s="47">
        <f t="shared" si="2200"/>
        <v>0.24020790535261308</v>
      </c>
      <c r="CP233" s="47">
        <f t="shared" si="2200"/>
        <v>0.2468403228354642</v>
      </c>
      <c r="CQ233" s="47">
        <f t="shared" si="2200"/>
        <v>0.24575374929977564</v>
      </c>
      <c r="CR233" s="47">
        <f t="shared" si="2200"/>
        <v>0.24466495179763889</v>
      </c>
      <c r="CS233" s="47">
        <f t="shared" si="2200"/>
        <v>0.2443667323213731</v>
      </c>
      <c r="CT233" s="47">
        <f t="shared" si="2200"/>
        <v>0.24540643906356296</v>
      </c>
      <c r="CU233" s="47">
        <f t="shared" si="2200"/>
        <v>0.24504796812058766</v>
      </c>
      <c r="CV233" s="47">
        <f t="shared" si="2200"/>
        <v>0.24487152282579058</v>
      </c>
      <c r="CW233" s="47">
        <f t="shared" si="2200"/>
        <v>0.24492316558282853</v>
      </c>
      <c r="CX233" s="47">
        <f t="shared" si="2200"/>
        <v>0.24506227389819227</v>
      </c>
      <c r="CY233" s="47">
        <f t="shared" si="2200"/>
        <v>0.24497623260684973</v>
      </c>
      <c r="CZ233" s="47">
        <f t="shared" si="2200"/>
        <v>0.24495829872841532</v>
      </c>
      <c r="DA233" s="47">
        <f t="shared" si="2200"/>
        <v>0.24497999270407142</v>
      </c>
      <c r="DB233" s="47">
        <f t="shared" si="2200"/>
        <v>0.24499419948438231</v>
      </c>
      <c r="DE233" s="130"/>
      <c r="DF233" s="89">
        <v>0.22087974227295731</v>
      </c>
    </row>
    <row r="234" spans="1:110" s="64" customFormat="1" hidden="1" outlineLevel="1" x14ac:dyDescent="0.2">
      <c r="A234" s="64" t="s">
        <v>477</v>
      </c>
      <c r="B234" s="64">
        <f t="shared" ref="B234:Z234" si="2201">B41-B240</f>
        <v>0</v>
      </c>
      <c r="C234" s="64">
        <f t="shared" si="2201"/>
        <v>0</v>
      </c>
      <c r="D234" s="64">
        <f t="shared" si="2201"/>
        <v>0</v>
      </c>
      <c r="E234" s="64">
        <f t="shared" si="2201"/>
        <v>0</v>
      </c>
      <c r="F234" s="64">
        <f t="shared" si="2201"/>
        <v>0</v>
      </c>
      <c r="G234" s="64">
        <f t="shared" si="2201"/>
        <v>0</v>
      </c>
      <c r="H234" s="64">
        <f t="shared" si="2201"/>
        <v>0</v>
      </c>
      <c r="I234" s="64">
        <f t="shared" si="2201"/>
        <v>0</v>
      </c>
      <c r="J234" s="64">
        <f t="shared" si="2201"/>
        <v>0</v>
      </c>
      <c r="K234" s="64">
        <f t="shared" si="2201"/>
        <v>0</v>
      </c>
      <c r="L234" s="64">
        <f t="shared" si="2201"/>
        <v>0</v>
      </c>
      <c r="M234" s="64">
        <f t="shared" si="2201"/>
        <v>0</v>
      </c>
      <c r="N234" s="64">
        <f t="shared" si="2201"/>
        <v>0</v>
      </c>
      <c r="O234" s="64">
        <f t="shared" si="2201"/>
        <v>0</v>
      </c>
      <c r="P234" s="64">
        <f t="shared" si="2201"/>
        <v>60.329600000000006</v>
      </c>
      <c r="Q234" s="64">
        <f t="shared" si="2201"/>
        <v>-86.632099999999994</v>
      </c>
      <c r="R234" s="64">
        <f t="shared" si="2201"/>
        <v>-73.623800000000017</v>
      </c>
      <c r="S234" s="64">
        <f t="shared" si="2201"/>
        <v>-79.210400000000035</v>
      </c>
      <c r="T234" s="64">
        <f t="shared" si="2201"/>
        <v>-74.289000000000001</v>
      </c>
      <c r="U234" s="64">
        <f t="shared" si="2201"/>
        <v>-36.234999999999999</v>
      </c>
      <c r="V234" s="64">
        <f t="shared" si="2201"/>
        <v>66.586600000000033</v>
      </c>
      <c r="W234" s="64">
        <f t="shared" si="2201"/>
        <v>188.20919999999995</v>
      </c>
      <c r="X234" s="64">
        <f t="shared" si="2201"/>
        <v>382.55920000000009</v>
      </c>
      <c r="Y234" s="64">
        <f t="shared" si="2201"/>
        <v>318.97070000000008</v>
      </c>
      <c r="Z234" s="64">
        <f t="shared" si="2201"/>
        <v>202.32760000000013</v>
      </c>
      <c r="AA234" s="64">
        <f t="shared" ref="AA234" si="2202">AA41-AA240</f>
        <v>105.4080000000001</v>
      </c>
      <c r="AB234" s="30"/>
      <c r="AC234" s="30"/>
      <c r="AD234" s="30"/>
      <c r="AE234" s="30"/>
      <c r="AI234" s="64">
        <f t="shared" ref="AI234:BN234" si="2203">AI41-AI240</f>
        <v>0</v>
      </c>
      <c r="AJ234" s="64">
        <f t="shared" si="2203"/>
        <v>0</v>
      </c>
      <c r="AK234" s="64">
        <f t="shared" si="2203"/>
        <v>0</v>
      </c>
      <c r="AL234" s="64">
        <f t="shared" si="2203"/>
        <v>0</v>
      </c>
      <c r="AM234" s="64">
        <f t="shared" si="2203"/>
        <v>0</v>
      </c>
      <c r="AN234" s="64">
        <f t="shared" si="2203"/>
        <v>0</v>
      </c>
      <c r="AO234" s="64">
        <f t="shared" si="2203"/>
        <v>0</v>
      </c>
      <c r="AP234" s="64">
        <f t="shared" si="2203"/>
        <v>0</v>
      </c>
      <c r="AQ234" s="64">
        <f t="shared" si="2203"/>
        <v>0</v>
      </c>
      <c r="AR234" s="64">
        <f t="shared" si="2203"/>
        <v>0</v>
      </c>
      <c r="AS234" s="64">
        <f t="shared" si="2203"/>
        <v>0</v>
      </c>
      <c r="AT234" s="64">
        <f t="shared" si="2203"/>
        <v>0</v>
      </c>
      <c r="AU234" s="64">
        <f t="shared" si="2203"/>
        <v>0</v>
      </c>
      <c r="AV234" s="64">
        <f t="shared" si="2203"/>
        <v>0</v>
      </c>
      <c r="AW234" s="64">
        <f t="shared" si="2203"/>
        <v>0</v>
      </c>
      <c r="AX234" s="64">
        <f t="shared" si="2203"/>
        <v>0</v>
      </c>
      <c r="AY234" s="64">
        <f t="shared" si="2203"/>
        <v>0</v>
      </c>
      <c r="AZ234" s="64">
        <f t="shared" si="2203"/>
        <v>0</v>
      </c>
      <c r="BA234" s="64">
        <f t="shared" si="2203"/>
        <v>0</v>
      </c>
      <c r="BB234" s="64">
        <f t="shared" si="2203"/>
        <v>0</v>
      </c>
      <c r="BC234" s="64">
        <f t="shared" si="2203"/>
        <v>0</v>
      </c>
      <c r="BD234" s="64">
        <f t="shared" si="2203"/>
        <v>0</v>
      </c>
      <c r="BE234" s="64">
        <f t="shared" si="2203"/>
        <v>0</v>
      </c>
      <c r="BF234" s="64">
        <f t="shared" si="2203"/>
        <v>0</v>
      </c>
      <c r="BG234" s="64">
        <f t="shared" si="2203"/>
        <v>0</v>
      </c>
      <c r="BH234" s="64">
        <f t="shared" si="2203"/>
        <v>0</v>
      </c>
      <c r="BI234" s="64">
        <f t="shared" si="2203"/>
        <v>0</v>
      </c>
      <c r="BJ234" s="64">
        <f t="shared" si="2203"/>
        <v>0</v>
      </c>
      <c r="BK234" s="64">
        <f t="shared" si="2203"/>
        <v>0</v>
      </c>
      <c r="BL234" s="64">
        <f t="shared" si="2203"/>
        <v>0</v>
      </c>
      <c r="BM234" s="64">
        <f t="shared" si="2203"/>
        <v>0</v>
      </c>
      <c r="BN234" s="64">
        <f t="shared" si="2203"/>
        <v>0</v>
      </c>
      <c r="BO234" s="64">
        <f t="shared" ref="BO234:CT234" si="2204">BO41-BO240</f>
        <v>0</v>
      </c>
      <c r="BP234" s="64">
        <f t="shared" si="2204"/>
        <v>0</v>
      </c>
      <c r="BQ234" s="64">
        <f t="shared" si="2204"/>
        <v>0</v>
      </c>
      <c r="BR234" s="64">
        <f t="shared" si="2204"/>
        <v>0</v>
      </c>
      <c r="BS234" s="64">
        <f t="shared" si="2204"/>
        <v>0</v>
      </c>
      <c r="BT234" s="64">
        <f t="shared" si="2204"/>
        <v>39.378000000000029</v>
      </c>
      <c r="BU234" s="64">
        <f t="shared" si="2204"/>
        <v>49.019999999999996</v>
      </c>
      <c r="BV234" s="64">
        <f t="shared" si="2204"/>
        <v>81.564999999999998</v>
      </c>
      <c r="BW234" s="64">
        <f t="shared" si="2204"/>
        <v>84.398999999999987</v>
      </c>
      <c r="BX234" s="64">
        <f t="shared" si="2204"/>
        <v>63.590000000000011</v>
      </c>
      <c r="BY234" s="64">
        <f t="shared" si="2204"/>
        <v>98.060999999999979</v>
      </c>
      <c r="BZ234" s="64">
        <f t="shared" si="2204"/>
        <v>136.51</v>
      </c>
      <c r="CA234" s="64">
        <f t="shared" si="2204"/>
        <v>93.857000000000042</v>
      </c>
      <c r="CB234" s="64">
        <f t="shared" si="2204"/>
        <v>66.000999999999976</v>
      </c>
      <c r="CC234" s="64">
        <f t="shared" si="2204"/>
        <v>101.52800000000001</v>
      </c>
      <c r="CD234" s="64">
        <f t="shared" si="2204"/>
        <v>57.58599999999997</v>
      </c>
      <c r="CE234" s="64">
        <f t="shared" si="2204"/>
        <v>44.842000000000013</v>
      </c>
      <c r="CF234" s="64">
        <f t="shared" si="2204"/>
        <v>55.917000000000023</v>
      </c>
      <c r="CG234" s="64">
        <f t="shared" si="2204"/>
        <v>47.823000000000029</v>
      </c>
      <c r="CH234" s="64">
        <f t="shared" si="2204"/>
        <v>53.74499999999999</v>
      </c>
      <c r="CI234" s="64">
        <f t="shared" si="2204"/>
        <v>40.14400000000002</v>
      </c>
      <c r="CJ234" s="64">
        <f t="shared" si="2204"/>
        <v>29.040000000000028</v>
      </c>
      <c r="CK234" s="30">
        <f t="shared" si="2204"/>
        <v>23.998999999999981</v>
      </c>
      <c r="CL234" s="30">
        <f t="shared" si="2204"/>
        <v>56.324069383827975</v>
      </c>
      <c r="CM234" s="30">
        <f t="shared" si="2204"/>
        <v>54.651896529857268</v>
      </c>
      <c r="CN234" s="30">
        <f t="shared" si="2204"/>
        <v>28.864886687115984</v>
      </c>
      <c r="CO234" s="30">
        <f t="shared" si="2204"/>
        <v>22.029155642971251</v>
      </c>
      <c r="CP234" s="30">
        <f t="shared" si="2204"/>
        <v>53.273360552215053</v>
      </c>
      <c r="CQ234" s="30">
        <f t="shared" si="2204"/>
        <v>52.326857986730289</v>
      </c>
      <c r="CR234" s="30">
        <f t="shared" si="2204"/>
        <v>24.28481593638552</v>
      </c>
      <c r="CS234" s="30">
        <f t="shared" si="2204"/>
        <v>18.650658636698257</v>
      </c>
      <c r="CT234" s="30">
        <f t="shared" si="2204"/>
        <v>52.629311012020629</v>
      </c>
      <c r="CU234" s="30">
        <f t="shared" ref="CU234:DB234" si="2205">CU41-CU240</f>
        <v>52.285042980768843</v>
      </c>
      <c r="CV234" s="30">
        <f t="shared" si="2205"/>
        <v>21.806897180152177</v>
      </c>
      <c r="CW234" s="30">
        <f t="shared" si="2205"/>
        <v>16.166454834742986</v>
      </c>
      <c r="CX234" s="30">
        <f t="shared" si="2205"/>
        <v>53.987489296020648</v>
      </c>
      <c r="CY234" s="30">
        <f t="shared" si="2205"/>
        <v>54.076174249910707</v>
      </c>
      <c r="CZ234" s="30">
        <f t="shared" si="2205"/>
        <v>20.707569878700529</v>
      </c>
      <c r="DA234" s="30">
        <f t="shared" si="2205"/>
        <v>14.810774306285843</v>
      </c>
      <c r="DB234" s="30">
        <f t="shared" si="2205"/>
        <v>56.987160426168316</v>
      </c>
      <c r="DE234" s="139"/>
      <c r="DF234" s="64">
        <v>105.4080000000001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06">+C238/C237</f>
        <v>#DIV/0!</v>
      </c>
      <c r="D239" s="86" t="e">
        <f t="shared" si="2206"/>
        <v>#DIV/0!</v>
      </c>
      <c r="E239" s="86" t="e">
        <f t="shared" si="2206"/>
        <v>#DIV/0!</v>
      </c>
      <c r="F239" s="86" t="e">
        <f t="shared" si="2206"/>
        <v>#DIV/0!</v>
      </c>
      <c r="G239" s="86" t="e">
        <f t="shared" si="2206"/>
        <v>#DIV/0!</v>
      </c>
      <c r="H239" s="86" t="e">
        <f t="shared" si="2206"/>
        <v>#DIV/0!</v>
      </c>
      <c r="I239" s="86" t="e">
        <f t="shared" si="2206"/>
        <v>#DIV/0!</v>
      </c>
      <c r="J239" s="86" t="e">
        <f t="shared" si="2206"/>
        <v>#DIV/0!</v>
      </c>
      <c r="K239" s="86" t="e">
        <f t="shared" si="2206"/>
        <v>#DIV/0!</v>
      </c>
      <c r="L239" s="86" t="e">
        <f t="shared" si="2206"/>
        <v>#DIV/0!</v>
      </c>
      <c r="M239" s="86" t="e">
        <f t="shared" si="2206"/>
        <v>#DIV/0!</v>
      </c>
      <c r="N239" s="86" t="e">
        <f t="shared" si="2206"/>
        <v>#DIV/0!</v>
      </c>
      <c r="O239" s="86" t="e">
        <f t="shared" si="2206"/>
        <v>#DIV/0!</v>
      </c>
      <c r="P239" s="86" t="e">
        <f t="shared" si="2206"/>
        <v>#DIV/0!</v>
      </c>
      <c r="Q239" s="86" t="e">
        <f t="shared" si="2206"/>
        <v>#DIV/0!</v>
      </c>
      <c r="R239" s="86" t="e">
        <f t="shared" si="2206"/>
        <v>#DIV/0!</v>
      </c>
      <c r="S239" s="86" t="e">
        <f t="shared" si="2206"/>
        <v>#DIV/0!</v>
      </c>
      <c r="T239" s="86" t="e">
        <f t="shared" si="2206"/>
        <v>#DIV/0!</v>
      </c>
      <c r="U239" s="86" t="e">
        <f t="shared" si="2206"/>
        <v>#DIV/0!</v>
      </c>
      <c r="V239" s="86" t="e">
        <f t="shared" si="2206"/>
        <v>#DIV/0!</v>
      </c>
      <c r="W239" s="86" t="e">
        <f t="shared" si="2206"/>
        <v>#DIV/0!</v>
      </c>
      <c r="X239" s="86" t="e">
        <f t="shared" si="2206"/>
        <v>#DIV/0!</v>
      </c>
      <c r="Y239" s="86" t="e">
        <f t="shared" ref="Y239:Z239" si="2207">+Y238/Y237</f>
        <v>#DIV/0!</v>
      </c>
      <c r="Z239" s="86" t="e">
        <f t="shared" si="2207"/>
        <v>#DIV/0!</v>
      </c>
      <c r="AA239" s="86" t="e">
        <f t="shared" ref="AA239" si="2208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09">+AI238/AI237</f>
        <v>#DIV/0!</v>
      </c>
      <c r="AJ239" s="86" t="e">
        <f t="shared" ref="AJ239" si="2210">+AJ238/AJ237</f>
        <v>#DIV/0!</v>
      </c>
      <c r="AK239" s="86" t="e">
        <f t="shared" ref="AK239" si="2211">+AK238/AK237</f>
        <v>#DIV/0!</v>
      </c>
      <c r="AL239" s="86" t="e">
        <f t="shared" ref="AL239" si="2212">+AL238/AL237</f>
        <v>#DIV/0!</v>
      </c>
      <c r="AM239" s="86" t="e">
        <f t="shared" ref="AM239" si="2213">+AM238/AM237</f>
        <v>#DIV/0!</v>
      </c>
      <c r="AN239" s="86" t="e">
        <f t="shared" ref="AN239" si="2214">+AN238/AN237</f>
        <v>#DIV/0!</v>
      </c>
      <c r="AO239" s="86" t="e">
        <f t="shared" ref="AO239" si="2215">+AO238/AO237</f>
        <v>#DIV/0!</v>
      </c>
      <c r="AP239" s="86" t="e">
        <f t="shared" ref="AP239" si="2216">+AP238/AP237</f>
        <v>#DIV/0!</v>
      </c>
      <c r="AQ239" s="86" t="e">
        <f t="shared" ref="AQ239" si="2217">+AQ238/AQ237</f>
        <v>#DIV/0!</v>
      </c>
      <c r="AR239" s="86" t="e">
        <f t="shared" ref="AR239" si="2218">+AR238/AR237</f>
        <v>#DIV/0!</v>
      </c>
      <c r="AS239" s="86" t="e">
        <f t="shared" ref="AS239" si="2219">+AS238/AS237</f>
        <v>#DIV/0!</v>
      </c>
      <c r="AT239" s="86" t="e">
        <f t="shared" ref="AT239" si="2220">+AT238/AT237</f>
        <v>#DIV/0!</v>
      </c>
      <c r="AU239" s="86" t="e">
        <f t="shared" ref="AU239" si="2221">+AU238/AU237</f>
        <v>#DIV/0!</v>
      </c>
      <c r="AV239" s="86" t="e">
        <f t="shared" ref="AV239" si="2222">+AV238/AV237</f>
        <v>#DIV/0!</v>
      </c>
      <c r="AW239" s="86" t="e">
        <f t="shared" ref="AW239" si="2223">+AW238/AW237</f>
        <v>#DIV/0!</v>
      </c>
      <c r="AX239" s="86" t="e">
        <f t="shared" ref="AX239" si="2224">+AX238/AX237</f>
        <v>#DIV/0!</v>
      </c>
      <c r="AY239" s="86" t="e">
        <f t="shared" ref="AY239" si="2225">+AY238/AY237</f>
        <v>#DIV/0!</v>
      </c>
      <c r="AZ239" s="86" t="e">
        <f t="shared" ref="AZ239" si="2226">+AZ238/AZ237</f>
        <v>#DIV/0!</v>
      </c>
      <c r="BA239" s="86" t="e">
        <f t="shared" ref="BA239" si="2227">+BA238/BA237</f>
        <v>#DIV/0!</v>
      </c>
      <c r="BB239" s="86" t="e">
        <f t="shared" ref="BB239" si="2228">+BB238/BB237</f>
        <v>#DIV/0!</v>
      </c>
      <c r="BC239" s="86" t="e">
        <f t="shared" ref="BC239" si="2229">+BC238/BC237</f>
        <v>#DIV/0!</v>
      </c>
      <c r="BD239" s="86" t="e">
        <f t="shared" ref="BD239" si="2230">+BD238/BD237</f>
        <v>#DIV/0!</v>
      </c>
      <c r="BE239" s="86" t="e">
        <f t="shared" ref="BE239" si="2231">+BE238/BE237</f>
        <v>#DIV/0!</v>
      </c>
      <c r="BF239" s="86" t="e">
        <f t="shared" ref="BF239" si="2232">+BF238/BF237</f>
        <v>#DIV/0!</v>
      </c>
      <c r="BG239" s="86" t="e">
        <f t="shared" ref="BG239" si="2233">+BG238/BG237</f>
        <v>#DIV/0!</v>
      </c>
      <c r="BH239" s="86" t="e">
        <f t="shared" ref="BH239" si="2234">+BH238/BH237</f>
        <v>#DIV/0!</v>
      </c>
      <c r="BI239" s="86" t="e">
        <f t="shared" ref="BI239" si="2235">+BI238/BI237</f>
        <v>#DIV/0!</v>
      </c>
      <c r="BJ239" s="86" t="e">
        <f t="shared" ref="BJ239" si="2236">+BJ238/BJ237</f>
        <v>#DIV/0!</v>
      </c>
      <c r="BK239" s="86" t="e">
        <f t="shared" ref="BK239" si="2237">+BK238/BK237</f>
        <v>#DIV/0!</v>
      </c>
      <c r="BL239" s="86" t="e">
        <f t="shared" ref="BL239" si="2238">+BL238/BL237</f>
        <v>#DIV/0!</v>
      </c>
      <c r="BM239" s="86" t="e">
        <f t="shared" ref="BM239" si="2239">+BM238/BM237</f>
        <v>#DIV/0!</v>
      </c>
      <c r="BN239" s="86" t="e">
        <f t="shared" ref="BN239" si="2240">+BN238/BN237</f>
        <v>#DIV/0!</v>
      </c>
      <c r="BO239" s="86" t="e">
        <f t="shared" ref="BO239" si="2241">+BO238/BO237</f>
        <v>#DIV/0!</v>
      </c>
      <c r="BP239" s="86" t="e">
        <f t="shared" ref="BP239" si="2242">+BP238/BP237</f>
        <v>#DIV/0!</v>
      </c>
      <c r="BQ239" s="86" t="e">
        <f t="shared" ref="BQ239" si="2243">+BQ238/BQ237</f>
        <v>#DIV/0!</v>
      </c>
      <c r="BR239" s="86" t="e">
        <f t="shared" ref="BR239" si="2244">+BR238/BR237</f>
        <v>#DIV/0!</v>
      </c>
      <c r="BS239" s="86" t="e">
        <f t="shared" ref="BS239" si="2245">+BS238/BS237</f>
        <v>#DIV/0!</v>
      </c>
      <c r="BT239" s="86" t="e">
        <f t="shared" ref="BT239" si="2246">+BT238/BT237</f>
        <v>#DIV/0!</v>
      </c>
      <c r="BU239" s="86" t="e">
        <f t="shared" ref="BU239" si="2247">+BU238/BU237</f>
        <v>#DIV/0!</v>
      </c>
      <c r="BV239" s="86" t="e">
        <f t="shared" ref="BV239" si="2248">+BV238/BV237</f>
        <v>#DIV/0!</v>
      </c>
      <c r="BW239" s="86" t="e">
        <f t="shared" ref="BW239" si="2249">+BW238/BW237</f>
        <v>#DIV/0!</v>
      </c>
      <c r="BX239" s="86" t="e">
        <f t="shared" ref="BX239" si="2250">+BX238/BX237</f>
        <v>#DIV/0!</v>
      </c>
      <c r="BY239" s="86" t="e">
        <f t="shared" ref="BY239" si="2251">+BY238/BY237</f>
        <v>#DIV/0!</v>
      </c>
      <c r="BZ239" s="86" t="e">
        <f t="shared" ref="BZ239" si="2252">+BZ238/BZ237</f>
        <v>#DIV/0!</v>
      </c>
      <c r="CA239" s="86" t="e">
        <f t="shared" ref="CA239" si="2253">+CA238/CA237</f>
        <v>#DIV/0!</v>
      </c>
      <c r="CB239" s="86" t="e">
        <f t="shared" ref="CB239:CC239" si="2254">+CB238/CB237</f>
        <v>#DIV/0!</v>
      </c>
      <c r="CC239" s="86" t="e">
        <f t="shared" si="2254"/>
        <v>#DIV/0!</v>
      </c>
      <c r="CD239" s="86" t="e">
        <f t="shared" ref="CD239" si="2255">+CD238/CD237</f>
        <v>#DIV/0!</v>
      </c>
      <c r="CE239" s="86" t="e">
        <f t="shared" ref="CE239:CF239" si="2256">+CE238/CE237</f>
        <v>#DIV/0!</v>
      </c>
      <c r="CF239" s="86" t="e">
        <f t="shared" si="2256"/>
        <v>#DIV/0!</v>
      </c>
      <c r="CG239" s="86" t="e">
        <f t="shared" ref="CG239:CH239" si="2257">+CG238/CG237</f>
        <v>#DIV/0!</v>
      </c>
      <c r="CH239" s="86" t="e">
        <f t="shared" si="2257"/>
        <v>#DIV/0!</v>
      </c>
      <c r="CI239" s="86" t="e">
        <f t="shared" ref="CI239:CJ239" si="2258">+CI238/CI237</f>
        <v>#DIV/0!</v>
      </c>
      <c r="CJ239" s="86" t="e">
        <f t="shared" si="2258"/>
        <v>#DIV/0!</v>
      </c>
      <c r="CK239" s="47" t="e">
        <f t="shared" ref="CK239:DB239" si="2259">+CK238/CK237</f>
        <v>#DIV/0!</v>
      </c>
      <c r="CL239" s="47" t="e">
        <f t="shared" si="2259"/>
        <v>#DIV/0!</v>
      </c>
      <c r="CM239" s="47" t="e">
        <f t="shared" si="2259"/>
        <v>#DIV/0!</v>
      </c>
      <c r="CN239" s="47" t="e">
        <f t="shared" si="2259"/>
        <v>#DIV/0!</v>
      </c>
      <c r="CO239" s="47" t="e">
        <f t="shared" si="2259"/>
        <v>#DIV/0!</v>
      </c>
      <c r="CP239" s="47" t="e">
        <f t="shared" si="2259"/>
        <v>#DIV/0!</v>
      </c>
      <c r="CQ239" s="47" t="e">
        <f t="shared" si="2259"/>
        <v>#DIV/0!</v>
      </c>
      <c r="CR239" s="47" t="e">
        <f t="shared" si="2259"/>
        <v>#DIV/0!</v>
      </c>
      <c r="CS239" s="47" t="e">
        <f t="shared" si="2259"/>
        <v>#DIV/0!</v>
      </c>
      <c r="CT239" s="47" t="e">
        <f t="shared" si="2259"/>
        <v>#DIV/0!</v>
      </c>
      <c r="CU239" s="47" t="e">
        <f t="shared" si="2259"/>
        <v>#DIV/0!</v>
      </c>
      <c r="CV239" s="47" t="e">
        <f t="shared" si="2259"/>
        <v>#DIV/0!</v>
      </c>
      <c r="CW239" s="47" t="e">
        <f t="shared" si="2259"/>
        <v>#DIV/0!</v>
      </c>
      <c r="CX239" s="47" t="e">
        <f t="shared" si="2259"/>
        <v>#DIV/0!</v>
      </c>
      <c r="CY239" s="47" t="e">
        <f t="shared" si="2259"/>
        <v>#DIV/0!</v>
      </c>
      <c r="CZ239" s="47" t="e">
        <f t="shared" si="2259"/>
        <v>#DIV/0!</v>
      </c>
      <c r="DA239" s="47" t="e">
        <f t="shared" si="2259"/>
        <v>#DIV/0!</v>
      </c>
      <c r="DB239" s="47" t="e">
        <f t="shared" si="2259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60">E10/(E161+E148+E138)</f>
        <v>#DIV/0!</v>
      </c>
      <c r="F244" s="84" t="e">
        <f t="shared" si="2260"/>
        <v>#DIV/0!</v>
      </c>
      <c r="G244" s="84" t="e">
        <f t="shared" si="2260"/>
        <v>#DIV/0!</v>
      </c>
      <c r="H244" s="84" t="e">
        <f t="shared" si="2260"/>
        <v>#DIV/0!</v>
      </c>
      <c r="I244" s="84" t="e">
        <f t="shared" si="2260"/>
        <v>#DIV/0!</v>
      </c>
      <c r="J244" s="84" t="e">
        <f t="shared" si="2260"/>
        <v>#DIV/0!</v>
      </c>
      <c r="K244" s="84" t="e">
        <f t="shared" si="2260"/>
        <v>#DIV/0!</v>
      </c>
      <c r="L244" s="84" t="e">
        <f t="shared" si="2260"/>
        <v>#DIV/0!</v>
      </c>
      <c r="M244" s="84" t="e">
        <f t="shared" si="2260"/>
        <v>#DIV/0!</v>
      </c>
      <c r="N244" s="84" t="e">
        <f t="shared" si="2260"/>
        <v>#DIV/0!</v>
      </c>
      <c r="O244" s="84" t="e">
        <f t="shared" si="2260"/>
        <v>#DIV/0!</v>
      </c>
      <c r="P244" s="84">
        <f t="shared" si="2260"/>
        <v>0.16351925130550082</v>
      </c>
      <c r="Q244" s="84">
        <f t="shared" si="2260"/>
        <v>0.25466598752705411</v>
      </c>
      <c r="R244" s="84">
        <f t="shared" si="2260"/>
        <v>0.23256133780756827</v>
      </c>
      <c r="S244" s="84">
        <f t="shared" si="2260"/>
        <v>0.37241985082980528</v>
      </c>
      <c r="T244" s="84">
        <f t="shared" si="2260"/>
        <v>0.48341200627103947</v>
      </c>
      <c r="U244" s="84">
        <f t="shared" si="2260"/>
        <v>0.45001627893210205</v>
      </c>
      <c r="V244" s="84">
        <f t="shared" si="2260"/>
        <v>0.5365329709533212</v>
      </c>
      <c r="W244" s="84">
        <f t="shared" si="2260"/>
        <v>0.7382578470302098</v>
      </c>
      <c r="X244" s="84">
        <f t="shared" si="2260"/>
        <v>0.81144853663835115</v>
      </c>
      <c r="Y244" s="84">
        <f t="shared" si="2260"/>
        <v>0.6103786015478434</v>
      </c>
      <c r="Z244" s="84">
        <f>Z10/(Z161+Z148+Z138)</f>
        <v>0.43113600769454796</v>
      </c>
      <c r="AA244" s="84">
        <f>AA10/(AA161+AA148+AA138)</f>
        <v>0.41054264318351358</v>
      </c>
      <c r="AB244" s="50">
        <f t="shared" ref="AB244:AE244" si="2261">AB10/(AB161+AB148+AB138)</f>
        <v>0.50248583976347194</v>
      </c>
      <c r="AC244" s="50">
        <f t="shared" si="2261"/>
        <v>0.51904061662288603</v>
      </c>
      <c r="AD244" s="50">
        <f t="shared" si="2261"/>
        <v>0.53844443410960785</v>
      </c>
      <c r="AE244" s="50">
        <f t="shared" si="2261"/>
        <v>0.55958037890672097</v>
      </c>
      <c r="AL244" s="84" t="e">
        <f>SUM(AI10:AL10)/(AL161+AL148+AL138)</f>
        <v>#DIV/0!</v>
      </c>
      <c r="AM244" s="84" t="e">
        <f t="shared" ref="AM244:CJ244" si="2262">SUM(AJ10:AM10)/(AM161+AM148+AM138)</f>
        <v>#DIV/0!</v>
      </c>
      <c r="AN244" s="84" t="e">
        <f t="shared" si="2262"/>
        <v>#DIV/0!</v>
      </c>
      <c r="AO244" s="84" t="e">
        <f t="shared" si="2262"/>
        <v>#DIV/0!</v>
      </c>
      <c r="AP244" s="84" t="e">
        <f t="shared" si="2262"/>
        <v>#DIV/0!</v>
      </c>
      <c r="AQ244" s="84" t="e">
        <f t="shared" si="2262"/>
        <v>#DIV/0!</v>
      </c>
      <c r="AR244" s="84" t="e">
        <f t="shared" si="2262"/>
        <v>#DIV/0!</v>
      </c>
      <c r="AS244" s="84" t="e">
        <f t="shared" si="2262"/>
        <v>#DIV/0!</v>
      </c>
      <c r="AT244" s="84" t="e">
        <f t="shared" si="2262"/>
        <v>#DIV/0!</v>
      </c>
      <c r="AU244" s="84" t="e">
        <f t="shared" si="2262"/>
        <v>#DIV/0!</v>
      </c>
      <c r="AV244" s="84" t="e">
        <f t="shared" si="2262"/>
        <v>#DIV/0!</v>
      </c>
      <c r="AW244" s="84" t="e">
        <f t="shared" si="2262"/>
        <v>#DIV/0!</v>
      </c>
      <c r="AX244" s="84" t="e">
        <f t="shared" si="2262"/>
        <v>#DIV/0!</v>
      </c>
      <c r="AY244" s="84" t="e">
        <f t="shared" si="2262"/>
        <v>#DIV/0!</v>
      </c>
      <c r="AZ244" s="84" t="e">
        <f t="shared" si="2262"/>
        <v>#DIV/0!</v>
      </c>
      <c r="BA244" s="84" t="e">
        <f t="shared" si="2262"/>
        <v>#DIV/0!</v>
      </c>
      <c r="BB244" s="84" t="e">
        <f t="shared" si="2262"/>
        <v>#DIV/0!</v>
      </c>
      <c r="BC244" s="84" t="e">
        <f t="shared" si="2262"/>
        <v>#DIV/0!</v>
      </c>
      <c r="BD244" s="84" t="e">
        <f t="shared" si="2262"/>
        <v>#DIV/0!</v>
      </c>
      <c r="BE244" s="84" t="e">
        <f t="shared" si="2262"/>
        <v>#DIV/0!</v>
      </c>
      <c r="BF244" s="84" t="e">
        <f t="shared" si="2262"/>
        <v>#DIV/0!</v>
      </c>
      <c r="BG244" s="84" t="e">
        <f t="shared" si="2262"/>
        <v>#DIV/0!</v>
      </c>
      <c r="BH244" s="84" t="e">
        <f t="shared" si="2262"/>
        <v>#DIV/0!</v>
      </c>
      <c r="BI244" s="84" t="e">
        <f t="shared" si="2262"/>
        <v>#DIV/0!</v>
      </c>
      <c r="BJ244" s="84" t="e">
        <f t="shared" si="2262"/>
        <v>#DIV/0!</v>
      </c>
      <c r="BK244" s="84" t="e">
        <f t="shared" si="2262"/>
        <v>#DIV/0!</v>
      </c>
      <c r="BL244" s="84" t="e">
        <f t="shared" si="2262"/>
        <v>#DIV/0!</v>
      </c>
      <c r="BM244" s="84" t="e">
        <f t="shared" si="2262"/>
        <v>#DIV/0!</v>
      </c>
      <c r="BN244" s="84" t="e">
        <f t="shared" si="2262"/>
        <v>#DIV/0!</v>
      </c>
      <c r="BO244" s="84" t="e">
        <f t="shared" si="2262"/>
        <v>#DIV/0!</v>
      </c>
      <c r="BP244" s="84" t="e">
        <f t="shared" si="2262"/>
        <v>#DIV/0!</v>
      </c>
      <c r="BQ244" s="84" t="e">
        <f t="shared" si="2262"/>
        <v>#DIV/0!</v>
      </c>
      <c r="BR244" s="84" t="e">
        <f t="shared" si="2262"/>
        <v>#DIV/0!</v>
      </c>
      <c r="BS244" s="84" t="e">
        <f t="shared" si="2262"/>
        <v>#DIV/0!</v>
      </c>
      <c r="BT244" s="84" t="e">
        <f t="shared" si="2262"/>
        <v>#DIV/0!</v>
      </c>
      <c r="BU244" s="84">
        <f t="shared" si="2262"/>
        <v>11.364239086087313</v>
      </c>
      <c r="BV244" s="84">
        <f t="shared" si="2262"/>
        <v>0.60714670560721729</v>
      </c>
      <c r="BW244" s="84">
        <f t="shared" si="2262"/>
        <v>0.81895468185755538</v>
      </c>
      <c r="BX244" s="84">
        <f t="shared" si="2262"/>
        <v>0.88666277670775218</v>
      </c>
      <c r="BY244" s="84">
        <f t="shared" si="2262"/>
        <v>0.85746353301732103</v>
      </c>
      <c r="BZ244" s="84">
        <f t="shared" si="2262"/>
        <v>0.82106231749875369</v>
      </c>
      <c r="CA244" s="84">
        <f t="shared" si="2262"/>
        <v>0.7524536679120839</v>
      </c>
      <c r="CB244" s="84">
        <f t="shared" si="2262"/>
        <v>0.73407552989421521</v>
      </c>
      <c r="CC244" s="84">
        <f t="shared" si="2262"/>
        <v>0.70551510752614355</v>
      </c>
      <c r="CD244" s="84">
        <f t="shared" si="2262"/>
        <v>0.6473266973047237</v>
      </c>
      <c r="CE244" s="84">
        <f t="shared" si="2262"/>
        <v>0.57828439621411709</v>
      </c>
      <c r="CF244" s="84">
        <f t="shared" si="2262"/>
        <v>0.53337743821759354</v>
      </c>
      <c r="CG244" s="84">
        <f t="shared" si="2262"/>
        <v>0.44431308452967017</v>
      </c>
      <c r="CH244" s="84">
        <f t="shared" si="2262"/>
        <v>0.43113604910939851</v>
      </c>
      <c r="CI244" s="84">
        <f t="shared" si="2262"/>
        <v>0.46798543298196449</v>
      </c>
      <c r="CJ244" s="84">
        <f t="shared" si="2262"/>
        <v>0.50968452508473272</v>
      </c>
      <c r="CK244" s="50">
        <f t="shared" ref="CK244" si="2263">SUM(CH10:CK10)/(CK161+CK148+CK138)</f>
        <v>0.50549015605493053</v>
      </c>
      <c r="CL244" s="50">
        <f t="shared" ref="CL244:DB244" si="2264">SUM(CI10:CL10)/(CL161+CL148+CL138)</f>
        <v>0.48920548911630379</v>
      </c>
      <c r="CM244" s="50">
        <f t="shared" si="2264"/>
        <v>0.5066038858579951</v>
      </c>
      <c r="CN244" s="50">
        <f t="shared" si="2264"/>
        <v>0.52341707308115892</v>
      </c>
      <c r="CO244" s="50">
        <f t="shared" si="2264"/>
        <v>0.52405770764040471</v>
      </c>
      <c r="CP244" s="50">
        <f t="shared" si="2264"/>
        <v>0.50248583976347194</v>
      </c>
      <c r="CQ244" s="50">
        <f t="shared" si="2264"/>
        <v>0.51948641433045706</v>
      </c>
      <c r="CR244" s="50">
        <f t="shared" si="2264"/>
        <v>0.54122365558377028</v>
      </c>
      <c r="CS244" s="50">
        <f t="shared" si="2264"/>
        <v>0.54282912000743377</v>
      </c>
      <c r="CT244" s="50">
        <f t="shared" si="2264"/>
        <v>0.51904061662288603</v>
      </c>
      <c r="CU244" s="50">
        <f t="shared" si="2264"/>
        <v>0.53772701915558829</v>
      </c>
      <c r="CV244" s="50">
        <f t="shared" si="2264"/>
        <v>0.56216093358619612</v>
      </c>
      <c r="CW244" s="50">
        <f t="shared" si="2264"/>
        <v>0.56422917971182041</v>
      </c>
      <c r="CX244" s="50">
        <f t="shared" si="2264"/>
        <v>0.53844443410960785</v>
      </c>
      <c r="CY244" s="50">
        <f t="shared" si="2264"/>
        <v>0.5587791891680588</v>
      </c>
      <c r="CZ244" s="50">
        <f t="shared" si="2264"/>
        <v>0.5855002373686975</v>
      </c>
      <c r="DA244" s="50">
        <f t="shared" si="2264"/>
        <v>0.58778974684194363</v>
      </c>
      <c r="DB244" s="50">
        <f t="shared" si="2264"/>
        <v>0.55958037890672097</v>
      </c>
      <c r="DE244" s="138"/>
      <c r="DF244" s="84">
        <v>0.41054264318351358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65">+F42</f>
        <v>#DIV/0!</v>
      </c>
      <c r="G245" s="181" t="e">
        <f t="shared" si="2265"/>
        <v>#DIV/0!</v>
      </c>
      <c r="H245" s="181" t="e">
        <f t="shared" si="2265"/>
        <v>#DIV/0!</v>
      </c>
      <c r="I245" s="181" t="e">
        <f t="shared" si="2265"/>
        <v>#DIV/0!</v>
      </c>
      <c r="J245" s="181" t="e">
        <f t="shared" si="2265"/>
        <v>#DIV/0!</v>
      </c>
      <c r="K245" s="181" t="e">
        <f t="shared" si="2265"/>
        <v>#DIV/0!</v>
      </c>
      <c r="L245" s="181" t="e">
        <f t="shared" si="2265"/>
        <v>#DIV/0!</v>
      </c>
      <c r="M245" s="181" t="e">
        <f t="shared" si="2265"/>
        <v>#DIV/0!</v>
      </c>
      <c r="N245" s="181" t="e">
        <f t="shared" si="2265"/>
        <v>#DIV/0!</v>
      </c>
      <c r="O245" s="181" t="e">
        <f t="shared" si="2265"/>
        <v>#DIV/0!</v>
      </c>
      <c r="P245" s="181">
        <f t="shared" si="2265"/>
        <v>0.26809414152869337</v>
      </c>
      <c r="Q245" s="181">
        <f t="shared" si="2265"/>
        <v>-0.25440013766581271</v>
      </c>
      <c r="R245" s="181">
        <f t="shared" si="2265"/>
        <v>-0.25595307004415507</v>
      </c>
      <c r="S245" s="181">
        <f t="shared" si="2265"/>
        <v>-0.18050394094103137</v>
      </c>
      <c r="T245" s="181">
        <f t="shared" si="2265"/>
        <v>-0.13136730644767697</v>
      </c>
      <c r="U245" s="181">
        <f t="shared" si="2265"/>
        <v>-5.958038048571946E-2</v>
      </c>
      <c r="V245" s="181">
        <f t="shared" si="2265"/>
        <v>8.9889051078730478E-2</v>
      </c>
      <c r="W245" s="181">
        <f t="shared" si="2265"/>
        <v>0.1664924125367081</v>
      </c>
      <c r="X245" s="181">
        <f t="shared" si="2265"/>
        <v>0.26546960829480459</v>
      </c>
      <c r="Y245" s="181">
        <f t="shared" si="2265"/>
        <v>0.23981145629673797</v>
      </c>
      <c r="Z245" s="181">
        <f t="shared" si="2265"/>
        <v>0.19435554374233155</v>
      </c>
      <c r="AA245" s="181">
        <f t="shared" ref="AA245" si="2266">+AA42</f>
        <v>9.750514013820083E-2</v>
      </c>
      <c r="AB245" s="182">
        <f t="shared" si="2265"/>
        <v>0.12119955313677418</v>
      </c>
      <c r="AC245" s="182">
        <f t="shared" si="2265"/>
        <v>0.10186641039958202</v>
      </c>
      <c r="AD245" s="182">
        <f t="shared" si="2265"/>
        <v>8.9692460578358613E-2</v>
      </c>
      <c r="AE245" s="182">
        <f t="shared" si="2265"/>
        <v>8.2276132485671227E-2</v>
      </c>
      <c r="AL245" s="181" t="e">
        <f t="shared" ref="AL245:CW245" si="2267">+AL42</f>
        <v>#DIV/0!</v>
      </c>
      <c r="AM245" s="181" t="e">
        <f t="shared" si="2267"/>
        <v>#DIV/0!</v>
      </c>
      <c r="AN245" s="181" t="e">
        <f t="shared" si="2267"/>
        <v>#DIV/0!</v>
      </c>
      <c r="AO245" s="181" t="e">
        <f t="shared" si="2267"/>
        <v>#DIV/0!</v>
      </c>
      <c r="AP245" s="181" t="e">
        <f t="shared" si="2267"/>
        <v>#DIV/0!</v>
      </c>
      <c r="AQ245" s="181" t="e">
        <f t="shared" si="2267"/>
        <v>#DIV/0!</v>
      </c>
      <c r="AR245" s="181" t="e">
        <f t="shared" si="2267"/>
        <v>#DIV/0!</v>
      </c>
      <c r="AS245" s="181" t="e">
        <f t="shared" si="2267"/>
        <v>#DIV/0!</v>
      </c>
      <c r="AT245" s="181" t="e">
        <f t="shared" si="2267"/>
        <v>#DIV/0!</v>
      </c>
      <c r="AU245" s="181" t="e">
        <f t="shared" si="2267"/>
        <v>#DIV/0!</v>
      </c>
      <c r="AV245" s="181" t="e">
        <f t="shared" si="2267"/>
        <v>#DIV/0!</v>
      </c>
      <c r="AW245" s="181" t="e">
        <f t="shared" si="2267"/>
        <v>#DIV/0!</v>
      </c>
      <c r="AX245" s="181" t="e">
        <f t="shared" si="2267"/>
        <v>#DIV/0!</v>
      </c>
      <c r="AY245" s="181" t="e">
        <f t="shared" si="2267"/>
        <v>#DIV/0!</v>
      </c>
      <c r="AZ245" s="181" t="e">
        <f t="shared" si="2267"/>
        <v>#DIV/0!</v>
      </c>
      <c r="BA245" s="181" t="e">
        <f t="shared" si="2267"/>
        <v>#DIV/0!</v>
      </c>
      <c r="BB245" s="181" t="e">
        <f t="shared" si="2267"/>
        <v>#DIV/0!</v>
      </c>
      <c r="BC245" s="181" t="e">
        <f t="shared" si="2267"/>
        <v>#DIV/0!</v>
      </c>
      <c r="BD245" s="181" t="e">
        <f t="shared" si="2267"/>
        <v>#DIV/0!</v>
      </c>
      <c r="BE245" s="181" t="e">
        <f t="shared" si="2267"/>
        <v>#DIV/0!</v>
      </c>
      <c r="BF245" s="181" t="e">
        <f t="shared" si="2267"/>
        <v>#DIV/0!</v>
      </c>
      <c r="BG245" s="181" t="e">
        <f t="shared" si="2267"/>
        <v>#DIV/0!</v>
      </c>
      <c r="BH245" s="181" t="e">
        <f t="shared" si="2267"/>
        <v>#DIV/0!</v>
      </c>
      <c r="BI245" s="181" t="e">
        <f t="shared" si="2267"/>
        <v>#DIV/0!</v>
      </c>
      <c r="BJ245" s="181" t="e">
        <f t="shared" si="2267"/>
        <v>#DIV/0!</v>
      </c>
      <c r="BK245" s="181" t="e">
        <f t="shared" si="2267"/>
        <v>#DIV/0!</v>
      </c>
      <c r="BL245" s="181" t="e">
        <f t="shared" si="2267"/>
        <v>#DIV/0!</v>
      </c>
      <c r="BM245" s="181" t="e">
        <f t="shared" si="2267"/>
        <v>#DIV/0!</v>
      </c>
      <c r="BN245" s="181" t="e">
        <f t="shared" si="2267"/>
        <v>#DIV/0!</v>
      </c>
      <c r="BO245" s="181" t="e">
        <f t="shared" si="2267"/>
        <v>#DIV/0!</v>
      </c>
      <c r="BP245" s="181" t="e">
        <f t="shared" si="2267"/>
        <v>#DIV/0!</v>
      </c>
      <c r="BQ245" s="181" t="e">
        <f t="shared" si="2267"/>
        <v>#DIV/0!</v>
      </c>
      <c r="BR245" s="181" t="e">
        <f t="shared" si="2267"/>
        <v>#DIV/0!</v>
      </c>
      <c r="BS245" s="181" t="e">
        <f t="shared" si="2267"/>
        <v>#DIV/0!</v>
      </c>
      <c r="BT245" s="181">
        <f t="shared" si="2267"/>
        <v>0.15766966966966978</v>
      </c>
      <c r="BU245" s="181">
        <f t="shared" si="2267"/>
        <v>0.15950540958268933</v>
      </c>
      <c r="BV245" s="181">
        <f t="shared" si="2267"/>
        <v>0.21890650077025889</v>
      </c>
      <c r="BW245" s="181">
        <f t="shared" si="2267"/>
        <v>0.2108530656500297</v>
      </c>
      <c r="BX245" s="181">
        <f t="shared" si="2267"/>
        <v>0.21666467912570916</v>
      </c>
      <c r="BY245" s="181">
        <f t="shared" si="2267"/>
        <v>0.26871696220846586</v>
      </c>
      <c r="BZ245" s="181">
        <f t="shared" si="2267"/>
        <v>0.3570055573716901</v>
      </c>
      <c r="CA245" s="181">
        <f t="shared" si="2267"/>
        <v>0.27356059855316633</v>
      </c>
      <c r="CB245" s="181">
        <f t="shared" si="2267"/>
        <v>0.22722531113903563</v>
      </c>
      <c r="CC245" s="181">
        <f t="shared" si="2267"/>
        <v>0.24605332674140751</v>
      </c>
      <c r="CD245" s="181">
        <f t="shared" si="2267"/>
        <v>0.20283545552209356</v>
      </c>
      <c r="CE245" s="181">
        <f t="shared" si="2267"/>
        <v>0.21083068474601777</v>
      </c>
      <c r="CF245" s="181">
        <f t="shared" si="2267"/>
        <v>0.23254663034663459</v>
      </c>
      <c r="CG245" s="181">
        <f t="shared" si="2267"/>
        <v>0.19737591521044692</v>
      </c>
      <c r="CH245" s="181">
        <f t="shared" si="2267"/>
        <v>0.15552250294435102</v>
      </c>
      <c r="CI245" s="181">
        <f t="shared" si="2267"/>
        <v>0.13731063521218784</v>
      </c>
      <c r="CJ245" s="181">
        <f t="shared" si="2267"/>
        <v>0.12453684643886385</v>
      </c>
      <c r="CK245" s="182">
        <f t="shared" si="2267"/>
        <v>9.4274546775872492E-2</v>
      </c>
      <c r="CL245" s="182">
        <f t="shared" si="2267"/>
        <v>0.1413517283916739</v>
      </c>
      <c r="CM245" s="182">
        <f t="shared" si="2267"/>
        <v>0.16440925163129447</v>
      </c>
      <c r="CN245" s="182">
        <f t="shared" si="2267"/>
        <v>0.11487018034202076</v>
      </c>
      <c r="CO245" s="182">
        <f t="shared" si="2267"/>
        <v>7.834339800235221E-2</v>
      </c>
      <c r="CP245" s="182">
        <f t="shared" si="2267"/>
        <v>0.11957796354748729</v>
      </c>
      <c r="CQ245" s="182">
        <f t="shared" si="2267"/>
        <v>0.14190267370290369</v>
      </c>
      <c r="CR245" s="182">
        <f t="shared" si="2267"/>
        <v>8.7666927518472618E-2</v>
      </c>
      <c r="CS245" s="182">
        <f t="shared" si="2267"/>
        <v>5.9831343636526015E-2</v>
      </c>
      <c r="CT245" s="182">
        <f t="shared" si="2267"/>
        <v>0.10646487746848737</v>
      </c>
      <c r="CU245" s="182">
        <f t="shared" si="2267"/>
        <v>0.12802973880854471</v>
      </c>
      <c r="CV245" s="182">
        <f t="shared" si="2267"/>
        <v>7.1112041133935613E-2</v>
      </c>
      <c r="CW245" s="182">
        <f t="shared" si="2267"/>
        <v>4.6799913601238634E-2</v>
      </c>
      <c r="CX245" s="182">
        <f t="shared" ref="CX245:DB245" si="2268">+CX42</f>
        <v>9.8561862495367372E-2</v>
      </c>
      <c r="CY245" s="182">
        <f t="shared" si="2268"/>
        <v>0.11954363171446021</v>
      </c>
      <c r="CZ245" s="182">
        <f t="shared" si="2268"/>
        <v>6.0960063359673154E-2</v>
      </c>
      <c r="DA245" s="182">
        <f t="shared" si="2268"/>
        <v>3.869944465411837E-2</v>
      </c>
      <c r="DB245" s="182">
        <f t="shared" si="2268"/>
        <v>9.391063159203708E-2</v>
      </c>
      <c r="DE245" s="138"/>
      <c r="DF245" s="84">
        <v>9.750514013820083E-2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69">(F161+F148+F138+F140)/F120</f>
        <v>#DIV/0!</v>
      </c>
      <c r="G246" s="84" t="e">
        <f t="shared" si="2269"/>
        <v>#DIV/0!</v>
      </c>
      <c r="H246" s="84" t="e">
        <f t="shared" si="2269"/>
        <v>#DIV/0!</v>
      </c>
      <c r="I246" s="84" t="e">
        <f t="shared" si="2269"/>
        <v>#DIV/0!</v>
      </c>
      <c r="J246" s="84" t="e">
        <f t="shared" si="2269"/>
        <v>#DIV/0!</v>
      </c>
      <c r="K246" s="84" t="e">
        <f t="shared" si="2269"/>
        <v>#DIV/0!</v>
      </c>
      <c r="L246" s="84" t="e">
        <f t="shared" si="2269"/>
        <v>#DIV/0!</v>
      </c>
      <c r="M246" s="84" t="e">
        <f t="shared" si="2269"/>
        <v>#DIV/0!</v>
      </c>
      <c r="N246" s="84" t="e">
        <f t="shared" si="2269"/>
        <v>#DIV/0!</v>
      </c>
      <c r="O246" s="84" t="e">
        <f t="shared" si="2269"/>
        <v>#DIV/0!</v>
      </c>
      <c r="P246" s="84">
        <f t="shared" si="2269"/>
        <v>6.8567755770710193</v>
      </c>
      <c r="Q246" s="84">
        <f t="shared" si="2269"/>
        <v>11.722396431004119</v>
      </c>
      <c r="R246" s="84">
        <f t="shared" si="2269"/>
        <v>30.570311051792537</v>
      </c>
      <c r="S246" s="84">
        <f t="shared" si="2269"/>
        <v>-41.847411879605794</v>
      </c>
      <c r="T246" s="84">
        <f t="shared" si="2269"/>
        <v>27.609676658012745</v>
      </c>
      <c r="U246" s="84">
        <f t="shared" si="2269"/>
        <v>226.38592964824122</v>
      </c>
      <c r="V246" s="84">
        <f t="shared" si="2269"/>
        <v>18.664236655100119</v>
      </c>
      <c r="W246" s="84">
        <f t="shared" si="2269"/>
        <v>5.8383407247672006</v>
      </c>
      <c r="X246" s="84">
        <f t="shared" si="2269"/>
        <v>1.2410155331184098</v>
      </c>
      <c r="Y246" s="84">
        <f t="shared" si="2269"/>
        <v>1.2806684844205332</v>
      </c>
      <c r="Z246" s="84">
        <f t="shared" si="2269"/>
        <v>1.3686020034622073</v>
      </c>
      <c r="AA246" s="84">
        <f t="shared" ref="AA246" si="2270">(AA161+AA148+AA138+AA140)/AA120</f>
        <v>1.4909088897650769</v>
      </c>
      <c r="AB246" s="50">
        <f t="shared" si="2269"/>
        <v>1.3353885123548452</v>
      </c>
      <c r="AC246" s="50">
        <f t="shared" si="2269"/>
        <v>1.3326455085908047</v>
      </c>
      <c r="AD246" s="50">
        <f t="shared" si="2269"/>
        <v>1.3323871863688508</v>
      </c>
      <c r="AE246" s="50">
        <f t="shared" si="2269"/>
        <v>1.3337829264618055</v>
      </c>
      <c r="AL246" s="84" t="e">
        <f t="shared" ref="AL246:CW246" si="2271">(AL161+AL148+AL138+AL140)/AL120</f>
        <v>#DIV/0!</v>
      </c>
      <c r="AM246" s="84" t="e">
        <f t="shared" si="2271"/>
        <v>#DIV/0!</v>
      </c>
      <c r="AN246" s="84" t="e">
        <f t="shared" si="2271"/>
        <v>#DIV/0!</v>
      </c>
      <c r="AO246" s="84" t="e">
        <f t="shared" si="2271"/>
        <v>#DIV/0!</v>
      </c>
      <c r="AP246" s="84" t="e">
        <f t="shared" si="2271"/>
        <v>#DIV/0!</v>
      </c>
      <c r="AQ246" s="84" t="e">
        <f t="shared" si="2271"/>
        <v>#DIV/0!</v>
      </c>
      <c r="AR246" s="84" t="e">
        <f t="shared" si="2271"/>
        <v>#DIV/0!</v>
      </c>
      <c r="AS246" s="84" t="e">
        <f t="shared" si="2271"/>
        <v>#DIV/0!</v>
      </c>
      <c r="AT246" s="84" t="e">
        <f t="shared" si="2271"/>
        <v>#DIV/0!</v>
      </c>
      <c r="AU246" s="84" t="e">
        <f t="shared" si="2271"/>
        <v>#DIV/0!</v>
      </c>
      <c r="AV246" s="84" t="e">
        <f t="shared" si="2271"/>
        <v>#DIV/0!</v>
      </c>
      <c r="AW246" s="84" t="e">
        <f t="shared" si="2271"/>
        <v>#DIV/0!</v>
      </c>
      <c r="AX246" s="84" t="e">
        <f t="shared" si="2271"/>
        <v>#DIV/0!</v>
      </c>
      <c r="AY246" s="84" t="e">
        <f t="shared" si="2271"/>
        <v>#DIV/0!</v>
      </c>
      <c r="AZ246" s="84" t="e">
        <f t="shared" si="2271"/>
        <v>#DIV/0!</v>
      </c>
      <c r="BA246" s="84" t="e">
        <f t="shared" si="2271"/>
        <v>#DIV/0!</v>
      </c>
      <c r="BB246" s="84" t="e">
        <f t="shared" si="2271"/>
        <v>#DIV/0!</v>
      </c>
      <c r="BC246" s="84" t="e">
        <f t="shared" si="2271"/>
        <v>#DIV/0!</v>
      </c>
      <c r="BD246" s="84" t="e">
        <f t="shared" si="2271"/>
        <v>#DIV/0!</v>
      </c>
      <c r="BE246" s="84" t="e">
        <f t="shared" si="2271"/>
        <v>#DIV/0!</v>
      </c>
      <c r="BF246" s="84" t="e">
        <f t="shared" si="2271"/>
        <v>#DIV/0!</v>
      </c>
      <c r="BG246" s="84" t="e">
        <f t="shared" si="2271"/>
        <v>#DIV/0!</v>
      </c>
      <c r="BH246" s="84" t="e">
        <f t="shared" si="2271"/>
        <v>#DIV/0!</v>
      </c>
      <c r="BI246" s="84" t="e">
        <f t="shared" si="2271"/>
        <v>#DIV/0!</v>
      </c>
      <c r="BJ246" s="84" t="e">
        <f t="shared" si="2271"/>
        <v>#DIV/0!</v>
      </c>
      <c r="BK246" s="84" t="e">
        <f t="shared" si="2271"/>
        <v>#DIV/0!</v>
      </c>
      <c r="BL246" s="84" t="e">
        <f t="shared" si="2271"/>
        <v>#DIV/0!</v>
      </c>
      <c r="BM246" s="84" t="e">
        <f t="shared" si="2271"/>
        <v>#DIV/0!</v>
      </c>
      <c r="BN246" s="84" t="e">
        <f t="shared" si="2271"/>
        <v>#DIV/0!</v>
      </c>
      <c r="BO246" s="84" t="e">
        <f t="shared" si="2271"/>
        <v>#DIV/0!</v>
      </c>
      <c r="BP246" s="84" t="e">
        <f t="shared" si="2271"/>
        <v>#DIV/0!</v>
      </c>
      <c r="BQ246" s="84" t="e">
        <f t="shared" si="2271"/>
        <v>#DIV/0!</v>
      </c>
      <c r="BR246" s="84" t="e">
        <f t="shared" si="2271"/>
        <v>#DIV/0!</v>
      </c>
      <c r="BS246" s="84" t="e">
        <f t="shared" si="2271"/>
        <v>#DIV/0!</v>
      </c>
      <c r="BT246" s="84" t="e">
        <f t="shared" si="2271"/>
        <v>#DIV/0!</v>
      </c>
      <c r="BU246" s="84">
        <f t="shared" si="2271"/>
        <v>1</v>
      </c>
      <c r="BV246" s="84">
        <f t="shared" si="2271"/>
        <v>5.8383329647789051</v>
      </c>
      <c r="BW246" s="84">
        <f t="shared" si="2271"/>
        <v>4.6845166487323766</v>
      </c>
      <c r="BX246" s="84">
        <f t="shared" si="2271"/>
        <v>3.7802700507317923</v>
      </c>
      <c r="BY246" s="84">
        <f t="shared" si="2271"/>
        <v>3.2878400073785863</v>
      </c>
      <c r="BZ246" s="84">
        <f t="shared" si="2271"/>
        <v>1.2264853041886206</v>
      </c>
      <c r="CA246" s="84">
        <f t="shared" si="2271"/>
        <v>1.2061075947427959</v>
      </c>
      <c r="CB246" s="84">
        <f t="shared" si="2271"/>
        <v>1.1998646464414515</v>
      </c>
      <c r="CC246" s="84">
        <f t="shared" si="2271"/>
        <v>1.2130104398124222</v>
      </c>
      <c r="CD246" s="84">
        <f t="shared" si="2271"/>
        <v>1.2075713320208044</v>
      </c>
      <c r="CE246" s="84">
        <f t="shared" si="2271"/>
        <v>1.1879040893888932</v>
      </c>
      <c r="CF246" s="84">
        <f t="shared" si="2271"/>
        <v>1.2222220332111375</v>
      </c>
      <c r="CG246" s="84">
        <f t="shared" si="2271"/>
        <v>1.2167457617527988</v>
      </c>
      <c r="CH246" s="84">
        <f t="shared" si="2271"/>
        <v>1.3686020034622073</v>
      </c>
      <c r="CI246" s="84">
        <f t="shared" si="2271"/>
        <v>1.3292692065709966</v>
      </c>
      <c r="CJ246" s="84">
        <f t="shared" si="2271"/>
        <v>1.2792624554281526</v>
      </c>
      <c r="CK246" s="50">
        <f t="shared" si="2271"/>
        <v>1.2855724324578592</v>
      </c>
      <c r="CL246" s="50">
        <f t="shared" si="2271"/>
        <v>1.341187039621194</v>
      </c>
      <c r="CM246" s="50">
        <f t="shared" si="2271"/>
        <v>1.3036477360203993</v>
      </c>
      <c r="CN246" s="50">
        <f t="shared" si="2271"/>
        <v>1.2649987364397051</v>
      </c>
      <c r="CO246" s="50">
        <f t="shared" si="2271"/>
        <v>1.2748180521140131</v>
      </c>
      <c r="CP246" s="50">
        <f t="shared" si="2271"/>
        <v>1.3353885123548452</v>
      </c>
      <c r="CQ246" s="50">
        <f t="shared" si="2271"/>
        <v>1.2967182424004635</v>
      </c>
      <c r="CR246" s="50">
        <f t="shared" si="2271"/>
        <v>1.2571953053145231</v>
      </c>
      <c r="CS246" s="50">
        <f t="shared" si="2271"/>
        <v>1.2687190827942949</v>
      </c>
      <c r="CT246" s="50">
        <f t="shared" si="2271"/>
        <v>1.3326455085908047</v>
      </c>
      <c r="CU246" s="50">
        <f t="shared" si="2271"/>
        <v>1.2930136279390212</v>
      </c>
      <c r="CV246" s="50">
        <f t="shared" si="2271"/>
        <v>1.2525329234634448</v>
      </c>
      <c r="CW246" s="50">
        <f t="shared" si="2271"/>
        <v>1.2651751279056869</v>
      </c>
      <c r="CX246" s="50">
        <f t="shared" ref="CX246:DB246" si="2272">(CX161+CX148+CX138+CX140)/CX120</f>
        <v>1.3323871863688508</v>
      </c>
      <c r="CY246" s="50">
        <f t="shared" si="2272"/>
        <v>1.2914914160046724</v>
      </c>
      <c r="CZ246" s="50">
        <f t="shared" si="2272"/>
        <v>1.2496383154298973</v>
      </c>
      <c r="DA246" s="50">
        <f t="shared" si="2272"/>
        <v>1.2631969084356911</v>
      </c>
      <c r="DB246" s="50">
        <f t="shared" si="2272"/>
        <v>1.3337829264618055</v>
      </c>
      <c r="DE246" s="138"/>
      <c r="DF246" s="84">
        <v>1.4909088897650769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73">B161/B120</f>
        <v>#DIV/0!</v>
      </c>
      <c r="C248" s="88" t="e">
        <f t="shared" si="2273"/>
        <v>#DIV/0!</v>
      </c>
      <c r="D248" s="88" t="e">
        <f t="shared" si="2273"/>
        <v>#DIV/0!</v>
      </c>
      <c r="F248" s="88" t="e">
        <f t="shared" si="2273"/>
        <v>#DIV/0!</v>
      </c>
      <c r="G248" s="88" t="e">
        <f t="shared" si="2273"/>
        <v>#DIV/0!</v>
      </c>
      <c r="H248" s="88" t="e">
        <f t="shared" si="2273"/>
        <v>#DIV/0!</v>
      </c>
      <c r="I248" s="88" t="e">
        <f t="shared" si="2273"/>
        <v>#DIV/0!</v>
      </c>
      <c r="J248" s="88" t="e">
        <f t="shared" si="2273"/>
        <v>#DIV/0!</v>
      </c>
      <c r="K248" s="88" t="e">
        <f t="shared" si="2273"/>
        <v>#DIV/0!</v>
      </c>
      <c r="L248" s="88" t="e">
        <f t="shared" si="2273"/>
        <v>#DIV/0!</v>
      </c>
      <c r="M248" s="88" t="e">
        <f t="shared" si="2273"/>
        <v>#DIV/0!</v>
      </c>
      <c r="N248" s="88" t="e">
        <f t="shared" si="2273"/>
        <v>#DIV/0!</v>
      </c>
      <c r="O248" s="88" t="e">
        <f t="shared" si="2273"/>
        <v>#DIV/0!</v>
      </c>
      <c r="P248" s="88">
        <f t="shared" si="2273"/>
        <v>0.34866808302010133</v>
      </c>
      <c r="Q248" s="88">
        <f t="shared" si="2273"/>
        <v>0.60235221304570041</v>
      </c>
      <c r="R248" s="88">
        <f t="shared" si="2273"/>
        <v>1.5095688280873467</v>
      </c>
      <c r="S248" s="88">
        <f t="shared" si="2273"/>
        <v>-0.45329308354790021</v>
      </c>
      <c r="T248" s="88">
        <f t="shared" si="2273"/>
        <v>1.1212178428133113</v>
      </c>
      <c r="U248" s="88">
        <f t="shared" si="2273"/>
        <v>12.030485762144057</v>
      </c>
      <c r="V248" s="88">
        <f t="shared" si="2273"/>
        <v>0.98654459384382065</v>
      </c>
      <c r="W248" s="88">
        <f t="shared" si="2273"/>
        <v>0.26618655389392332</v>
      </c>
      <c r="X248" s="88">
        <f t="shared" si="2273"/>
        <v>0.16963413084850398</v>
      </c>
      <c r="Y248" s="88">
        <f t="shared" si="2273"/>
        <v>0.23234867257833369</v>
      </c>
      <c r="Z248" s="88">
        <f t="shared" si="2273"/>
        <v>0.13680874148316116</v>
      </c>
      <c r="AA248" s="88">
        <f t="shared" ref="AA248" si="2274">AA161/AA120</f>
        <v>3.1574558115151252E-2</v>
      </c>
      <c r="AB248" s="42">
        <f t="shared" si="2273"/>
        <v>7.7137727747215987E-2</v>
      </c>
      <c r="AC248" s="42">
        <f t="shared" si="2273"/>
        <v>0.13348833751745021</v>
      </c>
      <c r="AD248" s="42">
        <f t="shared" si="2273"/>
        <v>0.17602497099592551</v>
      </c>
      <c r="AE248" s="42">
        <f t="shared" si="2273"/>
        <v>0.20848273003941831</v>
      </c>
      <c r="AL248" s="88" t="e">
        <f t="shared" ref="AL248:CW248" si="2275">AL161/AL120</f>
        <v>#DIV/0!</v>
      </c>
      <c r="AM248" s="88" t="e">
        <f t="shared" si="2275"/>
        <v>#DIV/0!</v>
      </c>
      <c r="AN248" s="88" t="e">
        <f t="shared" si="2275"/>
        <v>#DIV/0!</v>
      </c>
      <c r="AO248" s="88" t="e">
        <f t="shared" si="2275"/>
        <v>#DIV/0!</v>
      </c>
      <c r="AP248" s="88" t="e">
        <f t="shared" si="2275"/>
        <v>#DIV/0!</v>
      </c>
      <c r="AQ248" s="88" t="e">
        <f t="shared" si="2275"/>
        <v>#DIV/0!</v>
      </c>
      <c r="AR248" s="88" t="e">
        <f t="shared" si="2275"/>
        <v>#DIV/0!</v>
      </c>
      <c r="AS248" s="88" t="e">
        <f t="shared" si="2275"/>
        <v>#DIV/0!</v>
      </c>
      <c r="AT248" s="88" t="e">
        <f t="shared" si="2275"/>
        <v>#DIV/0!</v>
      </c>
      <c r="AU248" s="88" t="e">
        <f t="shared" si="2275"/>
        <v>#DIV/0!</v>
      </c>
      <c r="AV248" s="88" t="e">
        <f t="shared" si="2275"/>
        <v>#DIV/0!</v>
      </c>
      <c r="AW248" s="88" t="e">
        <f t="shared" si="2275"/>
        <v>#DIV/0!</v>
      </c>
      <c r="AX248" s="88" t="e">
        <f t="shared" si="2275"/>
        <v>#DIV/0!</v>
      </c>
      <c r="AY248" s="88" t="e">
        <f t="shared" si="2275"/>
        <v>#DIV/0!</v>
      </c>
      <c r="AZ248" s="88" t="e">
        <f t="shared" si="2275"/>
        <v>#DIV/0!</v>
      </c>
      <c r="BA248" s="88" t="e">
        <f t="shared" si="2275"/>
        <v>#DIV/0!</v>
      </c>
      <c r="BB248" s="88" t="e">
        <f t="shared" si="2275"/>
        <v>#DIV/0!</v>
      </c>
      <c r="BC248" s="88" t="e">
        <f t="shared" si="2275"/>
        <v>#DIV/0!</v>
      </c>
      <c r="BD248" s="88" t="e">
        <f t="shared" si="2275"/>
        <v>#DIV/0!</v>
      </c>
      <c r="BE248" s="88" t="e">
        <f t="shared" si="2275"/>
        <v>#DIV/0!</v>
      </c>
      <c r="BF248" s="88" t="e">
        <f t="shared" si="2275"/>
        <v>#DIV/0!</v>
      </c>
      <c r="BG248" s="88" t="e">
        <f t="shared" si="2275"/>
        <v>#DIV/0!</v>
      </c>
      <c r="BH248" s="88" t="e">
        <f t="shared" si="2275"/>
        <v>#DIV/0!</v>
      </c>
      <c r="BI248" s="88" t="e">
        <f t="shared" si="2275"/>
        <v>#DIV/0!</v>
      </c>
      <c r="BJ248" s="88" t="e">
        <f t="shared" si="2275"/>
        <v>#DIV/0!</v>
      </c>
      <c r="BK248" s="88" t="e">
        <f t="shared" si="2275"/>
        <v>#DIV/0!</v>
      </c>
      <c r="BL248" s="88" t="e">
        <f t="shared" si="2275"/>
        <v>#DIV/0!</v>
      </c>
      <c r="BM248" s="88" t="e">
        <f t="shared" si="2275"/>
        <v>#DIV/0!</v>
      </c>
      <c r="BN248" s="88" t="e">
        <f t="shared" si="2275"/>
        <v>#DIV/0!</v>
      </c>
      <c r="BO248" s="88" t="e">
        <f t="shared" si="2275"/>
        <v>#DIV/0!</v>
      </c>
      <c r="BP248" s="88" t="e">
        <f t="shared" si="2275"/>
        <v>#DIV/0!</v>
      </c>
      <c r="BQ248" s="88" t="e">
        <f t="shared" si="2275"/>
        <v>#DIV/0!</v>
      </c>
      <c r="BR248" s="88" t="e">
        <f t="shared" si="2275"/>
        <v>#DIV/0!</v>
      </c>
      <c r="BS248" s="88" t="e">
        <f t="shared" si="2275"/>
        <v>#DIV/0!</v>
      </c>
      <c r="BT248" s="88" t="e">
        <f t="shared" si="2275"/>
        <v>#DIV/0!</v>
      </c>
      <c r="BU248" s="88">
        <f t="shared" si="2275"/>
        <v>1</v>
      </c>
      <c r="BV248" s="88">
        <f t="shared" si="2275"/>
        <v>0.26618271657656145</v>
      </c>
      <c r="BW248" s="88">
        <f t="shared" si="2275"/>
        <v>0.41023795230907606</v>
      </c>
      <c r="BX248" s="88">
        <f t="shared" si="2275"/>
        <v>0.32401953392901439</v>
      </c>
      <c r="BY248" s="88">
        <f t="shared" si="2275"/>
        <v>0.39931659818979565</v>
      </c>
      <c r="BZ248" s="88">
        <f t="shared" si="2275"/>
        <v>0.169634246900812</v>
      </c>
      <c r="CA248" s="88">
        <f t="shared" si="2275"/>
        <v>0.2335405270883768</v>
      </c>
      <c r="CB248" s="88">
        <f t="shared" si="2275"/>
        <v>0.24651824976750059</v>
      </c>
      <c r="CC248" s="88">
        <f t="shared" si="2275"/>
        <v>0.25174027712728336</v>
      </c>
      <c r="CD248" s="88">
        <f t="shared" si="2275"/>
        <v>0.23234874085392729</v>
      </c>
      <c r="CE248" s="88">
        <f t="shared" si="2275"/>
        <v>0.27847378803300671</v>
      </c>
      <c r="CF248" s="88">
        <f t="shared" si="2275"/>
        <v>0.26301497251306299</v>
      </c>
      <c r="CG248" s="88">
        <f t="shared" si="2275"/>
        <v>0.28196021564780771</v>
      </c>
      <c r="CH248" s="88">
        <f t="shared" si="2275"/>
        <v>0.13680874148316116</v>
      </c>
      <c r="CI248" s="88">
        <f t="shared" si="2275"/>
        <v>0.19311628619822269</v>
      </c>
      <c r="CJ248" s="88">
        <f t="shared" si="2275"/>
        <v>9.3750590964390854E-2</v>
      </c>
      <c r="CK248" s="42">
        <f t="shared" si="2275"/>
        <v>9.6957666161374412E-2</v>
      </c>
      <c r="CL248" s="42">
        <f t="shared" si="2275"/>
        <v>2.3156826440802838E-3</v>
      </c>
      <c r="CM248" s="42">
        <f t="shared" si="2275"/>
        <v>9.8959928253944576E-2</v>
      </c>
      <c r="CN248" s="42">
        <f t="shared" si="2275"/>
        <v>0.19354416937083277</v>
      </c>
      <c r="CO248" s="42">
        <f t="shared" si="2275"/>
        <v>0.18640710470895944</v>
      </c>
      <c r="CP248" s="42">
        <f t="shared" si="2275"/>
        <v>7.7137727747215987E-2</v>
      </c>
      <c r="CQ248" s="42">
        <f t="shared" si="2275"/>
        <v>0.17226066820626543</v>
      </c>
      <c r="CR248" s="42">
        <f t="shared" si="2275"/>
        <v>0.26576012596097204</v>
      </c>
      <c r="CS248" s="42">
        <f t="shared" si="2275"/>
        <v>0.2526911339590055</v>
      </c>
      <c r="CT248" s="42">
        <f t="shared" si="2275"/>
        <v>0.13348833751745021</v>
      </c>
      <c r="CU248" s="42">
        <f t="shared" si="2275"/>
        <v>0.22789679794257939</v>
      </c>
      <c r="CV248" s="42">
        <f t="shared" si="2275"/>
        <v>0.32139087747075684</v>
      </c>
      <c r="CW248" s="42">
        <f t="shared" si="2275"/>
        <v>0.30424708814487234</v>
      </c>
      <c r="CX248" s="42">
        <f t="shared" ref="CX248:DB248" si="2276">CX161/CX120</f>
        <v>0.17602497099592551</v>
      </c>
      <c r="CY248" s="42">
        <f t="shared" si="2276"/>
        <v>0.27099547691130405</v>
      </c>
      <c r="CZ248" s="42">
        <f t="shared" si="2276"/>
        <v>0.36583780740642935</v>
      </c>
      <c r="DA248" s="42">
        <f t="shared" si="2276"/>
        <v>0.3454558459597481</v>
      </c>
      <c r="DB248" s="42">
        <f t="shared" si="2276"/>
        <v>0.20848273003941831</v>
      </c>
      <c r="DE248" s="125"/>
      <c r="DF248" s="88">
        <v>3.1574558115151252E-2</v>
      </c>
    </row>
    <row r="249" spans="1:110" s="89" customFormat="1" x14ac:dyDescent="0.2">
      <c r="A249" s="89" t="s">
        <v>103</v>
      </c>
      <c r="C249" s="89" t="e">
        <f t="shared" ref="C249:AE249" si="2277">C128/B128-1</f>
        <v>#DIV/0!</v>
      </c>
      <c r="D249" s="89" t="e">
        <f t="shared" si="2277"/>
        <v>#DIV/0!</v>
      </c>
      <c r="F249" s="89" t="e">
        <f t="shared" si="2277"/>
        <v>#DIV/0!</v>
      </c>
      <c r="G249" s="89" t="e">
        <f t="shared" si="2277"/>
        <v>#DIV/0!</v>
      </c>
      <c r="H249" s="89" t="e">
        <f t="shared" si="2277"/>
        <v>#DIV/0!</v>
      </c>
      <c r="I249" s="89" t="e">
        <f t="shared" si="2277"/>
        <v>#DIV/0!</v>
      </c>
      <c r="J249" s="89" t="e">
        <f t="shared" si="2277"/>
        <v>#DIV/0!</v>
      </c>
      <c r="K249" s="89" t="e">
        <f>K128/J128-1</f>
        <v>#DIV/0!</v>
      </c>
      <c r="L249" s="89" t="e">
        <f t="shared" si="2277"/>
        <v>#DIV/0!</v>
      </c>
      <c r="M249" s="89" t="e">
        <f t="shared" si="2277"/>
        <v>#DIV/0!</v>
      </c>
      <c r="N249" s="89" t="e">
        <f t="shared" si="2277"/>
        <v>#DIV/0!</v>
      </c>
      <c r="O249" s="89" t="e">
        <f t="shared" si="2277"/>
        <v>#DIV/0!</v>
      </c>
      <c r="P249" s="89" t="e">
        <f t="shared" si="2277"/>
        <v>#DIV/0!</v>
      </c>
      <c r="Q249" s="89">
        <f t="shared" si="2277"/>
        <v>-2.0925213586169833E-2</v>
      </c>
      <c r="R249" s="89">
        <f t="shared" si="2277"/>
        <v>-1.7388389151647865E-2</v>
      </c>
      <c r="S249" s="89">
        <f t="shared" si="2277"/>
        <v>-3.6297203701618486E-3</v>
      </c>
      <c r="T249" s="89">
        <f t="shared" si="2277"/>
        <v>-0.22129842353226903</v>
      </c>
      <c r="U249" s="89">
        <f t="shared" si="2277"/>
        <v>0.13684591606561014</v>
      </c>
      <c r="V249" s="89">
        <f t="shared" si="2277"/>
        <v>1.341330692431697E-3</v>
      </c>
      <c r="W249" s="89">
        <f t="shared" si="2277"/>
        <v>-1.5783411842672845E-2</v>
      </c>
      <c r="X249" s="89">
        <f t="shared" si="2277"/>
        <v>-0.97456206704850212</v>
      </c>
      <c r="Y249" s="89">
        <f t="shared" si="2277"/>
        <v>1.7705342893435261</v>
      </c>
      <c r="Z249" s="89">
        <f t="shared" si="2277"/>
        <v>1.9904290229508637</v>
      </c>
      <c r="AA249" s="89">
        <f t="shared" si="2277"/>
        <v>1.2745666022141489</v>
      </c>
      <c r="AB249" s="47">
        <f t="shared" si="2277"/>
        <v>-0.47977399534144394</v>
      </c>
      <c r="AC249" s="47">
        <f t="shared" si="2277"/>
        <v>0</v>
      </c>
      <c r="AD249" s="47">
        <f t="shared" si="2277"/>
        <v>0</v>
      </c>
      <c r="AE249" s="47">
        <f t="shared" si="2277"/>
        <v>0</v>
      </c>
      <c r="AL249" s="89" t="e">
        <f t="shared" ref="AL249:CW249" si="2278">AL128/AK128-1</f>
        <v>#DIV/0!</v>
      </c>
      <c r="AM249" s="89" t="e">
        <f t="shared" si="2278"/>
        <v>#DIV/0!</v>
      </c>
      <c r="AN249" s="89" t="e">
        <f t="shared" si="2278"/>
        <v>#DIV/0!</v>
      </c>
      <c r="AO249" s="89" t="e">
        <f t="shared" si="2278"/>
        <v>#DIV/0!</v>
      </c>
      <c r="AP249" s="89" t="e">
        <f t="shared" si="2278"/>
        <v>#DIV/0!</v>
      </c>
      <c r="AQ249" s="89" t="e">
        <f t="shared" si="2278"/>
        <v>#DIV/0!</v>
      </c>
      <c r="AR249" s="89" t="e">
        <f t="shared" si="2278"/>
        <v>#DIV/0!</v>
      </c>
      <c r="AS249" s="89" t="e">
        <f t="shared" si="2278"/>
        <v>#DIV/0!</v>
      </c>
      <c r="AT249" s="89" t="e">
        <f t="shared" si="2278"/>
        <v>#DIV/0!</v>
      </c>
      <c r="AU249" s="89" t="e">
        <f t="shared" si="2278"/>
        <v>#DIV/0!</v>
      </c>
      <c r="AV249" s="89" t="e">
        <f t="shared" si="2278"/>
        <v>#DIV/0!</v>
      </c>
      <c r="AW249" s="89" t="e">
        <f t="shared" si="2278"/>
        <v>#DIV/0!</v>
      </c>
      <c r="AX249" s="89" t="e">
        <f t="shared" si="2278"/>
        <v>#DIV/0!</v>
      </c>
      <c r="AY249" s="89" t="e">
        <f t="shared" si="2278"/>
        <v>#DIV/0!</v>
      </c>
      <c r="AZ249" s="89" t="e">
        <f t="shared" si="2278"/>
        <v>#DIV/0!</v>
      </c>
      <c r="BA249" s="89" t="e">
        <f t="shared" si="2278"/>
        <v>#DIV/0!</v>
      </c>
      <c r="BB249" s="89" t="e">
        <f t="shared" si="2278"/>
        <v>#DIV/0!</v>
      </c>
      <c r="BC249" s="89" t="e">
        <f t="shared" si="2278"/>
        <v>#DIV/0!</v>
      </c>
      <c r="BD249" s="89" t="e">
        <f t="shared" si="2278"/>
        <v>#DIV/0!</v>
      </c>
      <c r="BE249" s="89" t="e">
        <f t="shared" si="2278"/>
        <v>#DIV/0!</v>
      </c>
      <c r="BF249" s="89" t="e">
        <f t="shared" si="2278"/>
        <v>#DIV/0!</v>
      </c>
      <c r="BG249" s="89" t="e">
        <f t="shared" si="2278"/>
        <v>#DIV/0!</v>
      </c>
      <c r="BH249" s="89" t="e">
        <f t="shared" si="2278"/>
        <v>#DIV/0!</v>
      </c>
      <c r="BI249" s="89" t="e">
        <f t="shared" si="2278"/>
        <v>#DIV/0!</v>
      </c>
      <c r="BJ249" s="89" t="e">
        <f t="shared" si="2278"/>
        <v>#DIV/0!</v>
      </c>
      <c r="BK249" s="89" t="e">
        <f t="shared" si="2278"/>
        <v>#DIV/0!</v>
      </c>
      <c r="BL249" s="89" t="e">
        <f t="shared" si="2278"/>
        <v>#DIV/0!</v>
      </c>
      <c r="BM249" s="89" t="e">
        <f t="shared" si="2278"/>
        <v>#DIV/0!</v>
      </c>
      <c r="BN249" s="89" t="e">
        <f t="shared" si="2278"/>
        <v>#DIV/0!</v>
      </c>
      <c r="BO249" s="89" t="e">
        <f t="shared" si="2278"/>
        <v>#DIV/0!</v>
      </c>
      <c r="BP249" s="89" t="e">
        <f t="shared" si="2278"/>
        <v>#DIV/0!</v>
      </c>
      <c r="BQ249" s="89" t="e">
        <f t="shared" si="2278"/>
        <v>#DIV/0!</v>
      </c>
      <c r="BR249" s="89" t="e">
        <f t="shared" si="2278"/>
        <v>#DIV/0!</v>
      </c>
      <c r="BS249" s="89" t="e">
        <f t="shared" si="2278"/>
        <v>#DIV/0!</v>
      </c>
      <c r="BT249" s="89" t="e">
        <f t="shared" si="2278"/>
        <v>#DIV/0!</v>
      </c>
      <c r="BU249" s="89" t="e">
        <f t="shared" si="2278"/>
        <v>#DIV/0!</v>
      </c>
      <c r="BV249" s="89" t="e">
        <f t="shared" si="2278"/>
        <v>#DIV/0!</v>
      </c>
      <c r="BW249" s="89">
        <f t="shared" si="2278"/>
        <v>0</v>
      </c>
      <c r="BX249" s="89">
        <f t="shared" si="2278"/>
        <v>-2.6046179120447377E-2</v>
      </c>
      <c r="BY249" s="89">
        <f t="shared" si="2278"/>
        <v>0</v>
      </c>
      <c r="BZ249" s="89">
        <f t="shared" si="2278"/>
        <v>-0.97388191202098007</v>
      </c>
      <c r="CA249" s="89">
        <f t="shared" si="2278"/>
        <v>0</v>
      </c>
      <c r="CB249" s="89">
        <f t="shared" si="2278"/>
        <v>0.20388981946770879</v>
      </c>
      <c r="CC249" s="89">
        <f t="shared" si="2278"/>
        <v>0</v>
      </c>
      <c r="CD249" s="89">
        <f t="shared" si="2278"/>
        <v>1.3013063306794468</v>
      </c>
      <c r="CE249" s="89">
        <f t="shared" si="2278"/>
        <v>0</v>
      </c>
      <c r="CF249" s="89">
        <f t="shared" si="2278"/>
        <v>0.94761856778180831</v>
      </c>
      <c r="CG249" s="89">
        <f t="shared" si="2278"/>
        <v>0</v>
      </c>
      <c r="CH249" s="89">
        <f t="shared" si="2278"/>
        <v>0.53544395485000273</v>
      </c>
      <c r="CI249" s="89">
        <f t="shared" si="2278"/>
        <v>0</v>
      </c>
      <c r="CJ249" s="89">
        <f t="shared" si="2278"/>
        <v>0.18328869579965401</v>
      </c>
      <c r="CK249" s="47">
        <f t="shared" si="2278"/>
        <v>0</v>
      </c>
      <c r="CL249" s="47">
        <f t="shared" si="2278"/>
        <v>0</v>
      </c>
      <c r="CM249" s="47">
        <f t="shared" si="2278"/>
        <v>0</v>
      </c>
      <c r="CN249" s="47">
        <f t="shared" si="2278"/>
        <v>0</v>
      </c>
      <c r="CO249" s="47">
        <f t="shared" si="2278"/>
        <v>0</v>
      </c>
      <c r="CP249" s="47">
        <f t="shared" si="2278"/>
        <v>0</v>
      </c>
      <c r="CQ249" s="47">
        <f t="shared" si="2278"/>
        <v>0</v>
      </c>
      <c r="CR249" s="47">
        <f t="shared" si="2278"/>
        <v>0</v>
      </c>
      <c r="CS249" s="47">
        <f t="shared" si="2278"/>
        <v>0</v>
      </c>
      <c r="CT249" s="47">
        <f t="shared" si="2278"/>
        <v>0</v>
      </c>
      <c r="CU249" s="47">
        <f t="shared" si="2278"/>
        <v>0</v>
      </c>
      <c r="CV249" s="47">
        <f t="shared" si="2278"/>
        <v>0</v>
      </c>
      <c r="CW249" s="47">
        <f t="shared" si="2278"/>
        <v>0</v>
      </c>
      <c r="CX249" s="47">
        <f t="shared" ref="CX249:DB249" si="2279">CX128/CW128-1</f>
        <v>0</v>
      </c>
      <c r="CY249" s="47">
        <f t="shared" si="2279"/>
        <v>0</v>
      </c>
      <c r="CZ249" s="47">
        <f t="shared" si="2279"/>
        <v>0</v>
      </c>
      <c r="DA249" s="47">
        <f t="shared" si="2279"/>
        <v>0</v>
      </c>
      <c r="DB249" s="47">
        <f t="shared" si="2279"/>
        <v>0</v>
      </c>
      <c r="DE249" s="130"/>
      <c r="DF249" s="89">
        <v>1.2745666022141489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80">F28/E28-1</f>
        <v>#DIV/0!</v>
      </c>
      <c r="G250" s="89" t="e">
        <f t="shared" si="2280"/>
        <v>#DIV/0!</v>
      </c>
      <c r="H250" s="89" t="e">
        <f t="shared" si="2280"/>
        <v>#DIV/0!</v>
      </c>
      <c r="I250" s="89" t="e">
        <f t="shared" si="2280"/>
        <v>#DIV/0!</v>
      </c>
      <c r="J250" s="89" t="e">
        <f t="shared" si="2280"/>
        <v>#DIV/0!</v>
      </c>
      <c r="K250" s="89" t="e">
        <f t="shared" si="2280"/>
        <v>#DIV/0!</v>
      </c>
      <c r="L250" s="89" t="e">
        <f t="shared" si="2280"/>
        <v>#DIV/0!</v>
      </c>
      <c r="M250" s="89" t="e">
        <f t="shared" si="2280"/>
        <v>#DIV/0!</v>
      </c>
      <c r="N250" s="89" t="e">
        <f t="shared" si="2280"/>
        <v>#DIV/0!</v>
      </c>
      <c r="O250" s="89" t="e">
        <f t="shared" si="2280"/>
        <v>#DIV/0!</v>
      </c>
      <c r="P250" s="89" t="e">
        <f t="shared" si="2280"/>
        <v>#DIV/0!</v>
      </c>
      <c r="Q250" s="89">
        <f t="shared" si="2280"/>
        <v>0.15693873646852396</v>
      </c>
      <c r="R250" s="89">
        <f t="shared" si="2280"/>
        <v>-0.33954170384751747</v>
      </c>
      <c r="S250" s="89">
        <f t="shared" si="2280"/>
        <v>0.19127386894544252</v>
      </c>
      <c r="T250" s="89">
        <f t="shared" si="2280"/>
        <v>-0.12214482677820582</v>
      </c>
      <c r="U250" s="89">
        <f t="shared" si="2280"/>
        <v>1.0361309851403409</v>
      </c>
      <c r="V250" s="89">
        <f t="shared" si="2280"/>
        <v>0.77196694281891576</v>
      </c>
      <c r="W250" s="89">
        <f t="shared" si="2280"/>
        <v>0.78148949971837256</v>
      </c>
      <c r="X250" s="89">
        <f t="shared" si="2280"/>
        <v>0.35714970714116645</v>
      </c>
      <c r="Y250" s="89">
        <f t="shared" si="2280"/>
        <v>-0.27025060524724787</v>
      </c>
      <c r="Z250" s="89">
        <f t="shared" si="2280"/>
        <v>-0.32098067907465311</v>
      </c>
      <c r="AA250" s="89">
        <f t="shared" si="2280"/>
        <v>-0.23992087966936004</v>
      </c>
      <c r="AB250" s="47">
        <f t="shared" si="2280"/>
        <v>0.35032278912545434</v>
      </c>
      <c r="AC250" s="47">
        <f t="shared" si="2280"/>
        <v>0.1037467658352782</v>
      </c>
      <c r="AD250" s="47">
        <f t="shared" si="2280"/>
        <v>0.1071108188609764</v>
      </c>
      <c r="AE250" s="47">
        <f t="shared" si="2280"/>
        <v>0.10773507656017922</v>
      </c>
      <c r="AL250" s="89" t="e">
        <f t="shared" ref="AL250:CW250" si="2281">AL28/AK28-1</f>
        <v>#DIV/0!</v>
      </c>
      <c r="AM250" s="89" t="e">
        <f t="shared" si="2281"/>
        <v>#DIV/0!</v>
      </c>
      <c r="AN250" s="89" t="e">
        <f t="shared" si="2281"/>
        <v>#DIV/0!</v>
      </c>
      <c r="AO250" s="89" t="e">
        <f t="shared" si="2281"/>
        <v>#DIV/0!</v>
      </c>
      <c r="AP250" s="89" t="e">
        <f t="shared" si="2281"/>
        <v>#DIV/0!</v>
      </c>
      <c r="AQ250" s="89" t="e">
        <f t="shared" si="2281"/>
        <v>#DIV/0!</v>
      </c>
      <c r="AR250" s="89" t="e">
        <f t="shared" si="2281"/>
        <v>#DIV/0!</v>
      </c>
      <c r="AS250" s="89" t="e">
        <f t="shared" si="2281"/>
        <v>#DIV/0!</v>
      </c>
      <c r="AT250" s="89" t="e">
        <f t="shared" si="2281"/>
        <v>#DIV/0!</v>
      </c>
      <c r="AU250" s="89" t="e">
        <f t="shared" si="2281"/>
        <v>#DIV/0!</v>
      </c>
      <c r="AV250" s="89" t="e">
        <f t="shared" si="2281"/>
        <v>#DIV/0!</v>
      </c>
      <c r="AW250" s="89" t="e">
        <f t="shared" si="2281"/>
        <v>#DIV/0!</v>
      </c>
      <c r="AX250" s="89" t="e">
        <f t="shared" si="2281"/>
        <v>#DIV/0!</v>
      </c>
      <c r="AY250" s="89" t="e">
        <f t="shared" si="2281"/>
        <v>#DIV/0!</v>
      </c>
      <c r="AZ250" s="89" t="e">
        <f t="shared" si="2281"/>
        <v>#DIV/0!</v>
      </c>
      <c r="BA250" s="89" t="e">
        <f t="shared" si="2281"/>
        <v>#DIV/0!</v>
      </c>
      <c r="BB250" s="89" t="e">
        <f t="shared" si="2281"/>
        <v>#DIV/0!</v>
      </c>
      <c r="BC250" s="89" t="e">
        <f t="shared" si="2281"/>
        <v>#DIV/0!</v>
      </c>
      <c r="BD250" s="89" t="e">
        <f t="shared" si="2281"/>
        <v>#DIV/0!</v>
      </c>
      <c r="BE250" s="89" t="e">
        <f t="shared" si="2281"/>
        <v>#DIV/0!</v>
      </c>
      <c r="BF250" s="89" t="e">
        <f t="shared" si="2281"/>
        <v>#DIV/0!</v>
      </c>
      <c r="BG250" s="89" t="e">
        <f t="shared" si="2281"/>
        <v>#DIV/0!</v>
      </c>
      <c r="BH250" s="89" t="e">
        <f t="shared" si="2281"/>
        <v>#DIV/0!</v>
      </c>
      <c r="BI250" s="89" t="e">
        <f t="shared" si="2281"/>
        <v>#DIV/0!</v>
      </c>
      <c r="BJ250" s="89" t="e">
        <f t="shared" si="2281"/>
        <v>#DIV/0!</v>
      </c>
      <c r="BK250" s="89" t="e">
        <f t="shared" si="2281"/>
        <v>#DIV/0!</v>
      </c>
      <c r="BL250" s="89" t="e">
        <f t="shared" si="2281"/>
        <v>#DIV/0!</v>
      </c>
      <c r="BM250" s="89" t="e">
        <f t="shared" si="2281"/>
        <v>#DIV/0!</v>
      </c>
      <c r="BN250" s="89" t="e">
        <f t="shared" si="2281"/>
        <v>#DIV/0!</v>
      </c>
      <c r="BO250" s="89" t="e">
        <f t="shared" si="2281"/>
        <v>#DIV/0!</v>
      </c>
      <c r="BP250" s="89" t="e">
        <f t="shared" si="2281"/>
        <v>#DIV/0!</v>
      </c>
      <c r="BQ250" s="89" t="e">
        <f t="shared" si="2281"/>
        <v>#DIV/0!</v>
      </c>
      <c r="BR250" s="89" t="e">
        <f t="shared" si="2281"/>
        <v>#DIV/0!</v>
      </c>
      <c r="BS250" s="89" t="e">
        <f t="shared" si="2281"/>
        <v>#DIV/0!</v>
      </c>
      <c r="BT250" s="89" t="e">
        <f t="shared" si="2281"/>
        <v>#DIV/0!</v>
      </c>
      <c r="BU250" s="89">
        <f t="shared" si="2281"/>
        <v>0.12639790938088424</v>
      </c>
      <c r="BV250" s="89">
        <f t="shared" si="2281"/>
        <v>0.36513988399863551</v>
      </c>
      <c r="BW250" s="89">
        <f t="shared" si="2281"/>
        <v>6.335559734831131E-3</v>
      </c>
      <c r="BX250" s="89">
        <f t="shared" si="2281"/>
        <v>-0.26369184728956974</v>
      </c>
      <c r="BY250" s="89">
        <f t="shared" si="2281"/>
        <v>0.34868287911494877</v>
      </c>
      <c r="BZ250" s="89">
        <f t="shared" si="2281"/>
        <v>0.21543925023289545</v>
      </c>
      <c r="CA250" s="89">
        <f t="shared" si="2281"/>
        <v>-0.30743669014048258</v>
      </c>
      <c r="CB250" s="89">
        <f t="shared" si="2281"/>
        <v>-0.29098674193189045</v>
      </c>
      <c r="CC250" s="89">
        <f t="shared" si="2281"/>
        <v>0.52362295459783414</v>
      </c>
      <c r="CD250" s="89">
        <f t="shared" si="2281"/>
        <v>-0.40096395814138996</v>
      </c>
      <c r="CE250" s="89">
        <f t="shared" si="2281"/>
        <v>-0.18280631276900972</v>
      </c>
      <c r="CF250" s="89">
        <f t="shared" si="2281"/>
        <v>4.9425545661395009E-2</v>
      </c>
      <c r="CG250" s="89">
        <f t="shared" si="2281"/>
        <v>6.9984073236345257E-2</v>
      </c>
      <c r="CH250" s="89">
        <f t="shared" si="2281"/>
        <v>0.10442048382658231</v>
      </c>
      <c r="CI250" s="89">
        <f t="shared" si="2281"/>
        <v>-0.11553446440301685</v>
      </c>
      <c r="CJ250" s="89">
        <f t="shared" si="2281"/>
        <v>-0.19839166122443741</v>
      </c>
      <c r="CK250" s="47">
        <f t="shared" si="2281"/>
        <v>-0.13107028753993666</v>
      </c>
      <c r="CL250" s="47">
        <f t="shared" si="2281"/>
        <v>0.84005335973409534</v>
      </c>
      <c r="CM250" s="47">
        <f t="shared" si="2281"/>
        <v>-0.16934860080760139</v>
      </c>
      <c r="CN250" s="47">
        <f t="shared" si="2281"/>
        <v>-0.25691516489373933</v>
      </c>
      <c r="CO250" s="47">
        <f t="shared" si="2281"/>
        <v>9.329193772094202E-2</v>
      </c>
      <c r="CP250" s="47">
        <f t="shared" si="2281"/>
        <v>0.62814208814027528</v>
      </c>
      <c r="CQ250" s="47">
        <f t="shared" si="2281"/>
        <v>-0.17593933289879504</v>
      </c>
      <c r="CR250" s="47">
        <f t="shared" si="2281"/>
        <v>-0.25211200926851829</v>
      </c>
      <c r="CS250" s="47">
        <f t="shared" si="2281"/>
        <v>0.1239233848958412</v>
      </c>
      <c r="CT250" s="47">
        <f t="shared" si="2281"/>
        <v>0.59257458535097007</v>
      </c>
      <c r="CU250" s="47">
        <f t="shared" si="2281"/>
        <v>-0.17508265374342669</v>
      </c>
      <c r="CV250" s="47">
        <f t="shared" si="2281"/>
        <v>-0.24963719558062725</v>
      </c>
      <c r="CW250" s="47">
        <f t="shared" si="2281"/>
        <v>0.12670596198735851</v>
      </c>
      <c r="CX250" s="47">
        <f t="shared" ref="CX250:DB250" si="2282">CX28/CW28-1</f>
        <v>0.58657673743477212</v>
      </c>
      <c r="CY250" s="47">
        <f t="shared" si="2282"/>
        <v>-0.17445115036830294</v>
      </c>
      <c r="CZ250" s="47">
        <f t="shared" si="2282"/>
        <v>-0.24911674731446798</v>
      </c>
      <c r="DA250" s="47">
        <f t="shared" si="2282"/>
        <v>0.12675051579322361</v>
      </c>
      <c r="DB250" s="47">
        <f t="shared" si="2282"/>
        <v>0.58567584127088534</v>
      </c>
      <c r="DE250" s="130"/>
      <c r="DF250" s="89">
        <v>-0.23992087966936004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83">IF(D249&gt;D250,"RF",0)</f>
        <v>#DIV/0!</v>
      </c>
      <c r="F251" s="103" t="e">
        <f t="shared" si="2283"/>
        <v>#DIV/0!</v>
      </c>
      <c r="G251" s="103" t="e">
        <f t="shared" si="2283"/>
        <v>#DIV/0!</v>
      </c>
      <c r="H251" s="103" t="e">
        <f t="shared" si="2283"/>
        <v>#DIV/0!</v>
      </c>
      <c r="I251" s="103" t="e">
        <f t="shared" si="2283"/>
        <v>#DIV/0!</v>
      </c>
      <c r="J251" s="103" t="e">
        <f t="shared" si="2283"/>
        <v>#DIV/0!</v>
      </c>
      <c r="K251" s="103" t="e">
        <f t="shared" si="2283"/>
        <v>#DIV/0!</v>
      </c>
      <c r="L251" s="103" t="e">
        <f t="shared" si="2283"/>
        <v>#DIV/0!</v>
      </c>
      <c r="M251" s="103" t="e">
        <f t="shared" si="2283"/>
        <v>#DIV/0!</v>
      </c>
      <c r="N251" s="103" t="e">
        <f t="shared" si="2283"/>
        <v>#DIV/0!</v>
      </c>
      <c r="O251" s="103" t="e">
        <f t="shared" si="2283"/>
        <v>#DIV/0!</v>
      </c>
      <c r="P251" s="103" t="e">
        <f t="shared" si="2283"/>
        <v>#DIV/0!</v>
      </c>
      <c r="Q251" s="103">
        <f t="shared" si="2283"/>
        <v>0</v>
      </c>
      <c r="R251" s="103" t="str">
        <f t="shared" si="2283"/>
        <v>RF</v>
      </c>
      <c r="S251" s="103">
        <f t="shared" si="2283"/>
        <v>0</v>
      </c>
      <c r="T251" s="103">
        <f t="shared" si="2283"/>
        <v>0</v>
      </c>
      <c r="U251" s="103">
        <f t="shared" si="2283"/>
        <v>0</v>
      </c>
      <c r="V251" s="103">
        <f>IF(V249&gt;V250,"RF",0)</f>
        <v>0</v>
      </c>
      <c r="W251" s="103">
        <f t="shared" ref="W251:AE251" si="2284">IF(W249&gt;W250,"RF",0)</f>
        <v>0</v>
      </c>
      <c r="X251" s="103">
        <f t="shared" si="2284"/>
        <v>0</v>
      </c>
      <c r="Y251" s="103" t="str">
        <f t="shared" si="2284"/>
        <v>RF</v>
      </c>
      <c r="Z251" s="103" t="str">
        <f t="shared" si="2284"/>
        <v>RF</v>
      </c>
      <c r="AA251" s="103" t="str">
        <f t="shared" ref="AA251" si="2285">IF(AA249&gt;AA250,"RF",0)</f>
        <v>RF</v>
      </c>
      <c r="AB251" s="73">
        <f t="shared" si="2284"/>
        <v>0</v>
      </c>
      <c r="AC251" s="73">
        <f t="shared" si="2284"/>
        <v>0</v>
      </c>
      <c r="AD251" s="73">
        <f t="shared" si="2284"/>
        <v>0</v>
      </c>
      <c r="AE251" s="73">
        <f t="shared" si="2284"/>
        <v>0</v>
      </c>
      <c r="AL251" s="103" t="e">
        <f t="shared" ref="AL251:CW251" si="2286">IF(AL249&gt;AL250,"RF",0)</f>
        <v>#DIV/0!</v>
      </c>
      <c r="AM251" s="103" t="e">
        <f t="shared" si="2286"/>
        <v>#DIV/0!</v>
      </c>
      <c r="AN251" s="103" t="e">
        <f t="shared" si="2286"/>
        <v>#DIV/0!</v>
      </c>
      <c r="AO251" s="103" t="e">
        <f t="shared" si="2286"/>
        <v>#DIV/0!</v>
      </c>
      <c r="AP251" s="103" t="e">
        <f t="shared" si="2286"/>
        <v>#DIV/0!</v>
      </c>
      <c r="AQ251" s="103" t="e">
        <f t="shared" si="2286"/>
        <v>#DIV/0!</v>
      </c>
      <c r="AR251" s="103" t="e">
        <f t="shared" si="2286"/>
        <v>#DIV/0!</v>
      </c>
      <c r="AS251" s="103" t="e">
        <f t="shared" si="2286"/>
        <v>#DIV/0!</v>
      </c>
      <c r="AT251" s="103" t="e">
        <f t="shared" si="2286"/>
        <v>#DIV/0!</v>
      </c>
      <c r="AU251" s="103" t="e">
        <f t="shared" si="2286"/>
        <v>#DIV/0!</v>
      </c>
      <c r="AV251" s="103" t="e">
        <f t="shared" si="2286"/>
        <v>#DIV/0!</v>
      </c>
      <c r="AW251" s="103" t="e">
        <f t="shared" si="2286"/>
        <v>#DIV/0!</v>
      </c>
      <c r="AX251" s="103" t="e">
        <f t="shared" si="2286"/>
        <v>#DIV/0!</v>
      </c>
      <c r="AY251" s="103" t="e">
        <f t="shared" si="2286"/>
        <v>#DIV/0!</v>
      </c>
      <c r="AZ251" s="103" t="e">
        <f t="shared" si="2286"/>
        <v>#DIV/0!</v>
      </c>
      <c r="BA251" s="103" t="e">
        <f t="shared" si="2286"/>
        <v>#DIV/0!</v>
      </c>
      <c r="BB251" s="103" t="e">
        <f t="shared" si="2286"/>
        <v>#DIV/0!</v>
      </c>
      <c r="BC251" s="103" t="e">
        <f t="shared" si="2286"/>
        <v>#DIV/0!</v>
      </c>
      <c r="BD251" s="103" t="e">
        <f t="shared" si="2286"/>
        <v>#DIV/0!</v>
      </c>
      <c r="BE251" s="103" t="e">
        <f t="shared" si="2286"/>
        <v>#DIV/0!</v>
      </c>
      <c r="BF251" s="103" t="e">
        <f t="shared" si="2286"/>
        <v>#DIV/0!</v>
      </c>
      <c r="BG251" s="103" t="e">
        <f t="shared" si="2286"/>
        <v>#DIV/0!</v>
      </c>
      <c r="BH251" s="103" t="e">
        <f t="shared" si="2286"/>
        <v>#DIV/0!</v>
      </c>
      <c r="BI251" s="103" t="e">
        <f t="shared" si="2286"/>
        <v>#DIV/0!</v>
      </c>
      <c r="BJ251" s="103" t="e">
        <f t="shared" si="2286"/>
        <v>#DIV/0!</v>
      </c>
      <c r="BK251" s="103" t="e">
        <f t="shared" si="2286"/>
        <v>#DIV/0!</v>
      </c>
      <c r="BL251" s="103" t="e">
        <f t="shared" si="2286"/>
        <v>#DIV/0!</v>
      </c>
      <c r="BM251" s="103" t="e">
        <f t="shared" si="2286"/>
        <v>#DIV/0!</v>
      </c>
      <c r="BN251" s="103" t="e">
        <f t="shared" si="2286"/>
        <v>#DIV/0!</v>
      </c>
      <c r="BO251" s="103" t="e">
        <f t="shared" si="2286"/>
        <v>#DIV/0!</v>
      </c>
      <c r="BP251" s="103" t="e">
        <f t="shared" si="2286"/>
        <v>#DIV/0!</v>
      </c>
      <c r="BQ251" s="103" t="e">
        <f t="shared" si="2286"/>
        <v>#DIV/0!</v>
      </c>
      <c r="BR251" s="103" t="e">
        <f t="shared" si="2286"/>
        <v>#DIV/0!</v>
      </c>
      <c r="BS251" s="103" t="e">
        <f t="shared" si="2286"/>
        <v>#DIV/0!</v>
      </c>
      <c r="BT251" s="103" t="e">
        <f t="shared" si="2286"/>
        <v>#DIV/0!</v>
      </c>
      <c r="BU251" s="103" t="e">
        <f t="shared" si="2286"/>
        <v>#DIV/0!</v>
      </c>
      <c r="BV251" s="103" t="e">
        <f t="shared" si="2286"/>
        <v>#DIV/0!</v>
      </c>
      <c r="BW251" s="103">
        <f t="shared" si="2286"/>
        <v>0</v>
      </c>
      <c r="BX251" s="103" t="str">
        <f t="shared" si="2286"/>
        <v>RF</v>
      </c>
      <c r="BY251" s="103">
        <f t="shared" si="2286"/>
        <v>0</v>
      </c>
      <c r="BZ251" s="103">
        <f t="shared" si="2286"/>
        <v>0</v>
      </c>
      <c r="CA251" s="103" t="str">
        <f t="shared" si="2286"/>
        <v>RF</v>
      </c>
      <c r="CB251" s="103" t="str">
        <f t="shared" si="2286"/>
        <v>RF</v>
      </c>
      <c r="CC251" s="103">
        <f t="shared" si="2286"/>
        <v>0</v>
      </c>
      <c r="CD251" s="103" t="str">
        <f t="shared" si="2286"/>
        <v>RF</v>
      </c>
      <c r="CE251" s="103" t="str">
        <f t="shared" si="2286"/>
        <v>RF</v>
      </c>
      <c r="CF251" s="103" t="str">
        <f t="shared" si="2286"/>
        <v>RF</v>
      </c>
      <c r="CG251" s="103">
        <f t="shared" si="2286"/>
        <v>0</v>
      </c>
      <c r="CH251" s="103" t="str">
        <f t="shared" si="2286"/>
        <v>RF</v>
      </c>
      <c r="CI251" s="103" t="str">
        <f t="shared" si="2286"/>
        <v>RF</v>
      </c>
      <c r="CJ251" s="103" t="str">
        <f t="shared" si="2286"/>
        <v>RF</v>
      </c>
      <c r="CK251" s="73" t="str">
        <f t="shared" si="2286"/>
        <v>RF</v>
      </c>
      <c r="CL251" s="73">
        <f t="shared" si="2286"/>
        <v>0</v>
      </c>
      <c r="CM251" s="73" t="str">
        <f t="shared" si="2286"/>
        <v>RF</v>
      </c>
      <c r="CN251" s="73" t="str">
        <f t="shared" si="2286"/>
        <v>RF</v>
      </c>
      <c r="CO251" s="73">
        <f t="shared" si="2286"/>
        <v>0</v>
      </c>
      <c r="CP251" s="73">
        <f t="shared" si="2286"/>
        <v>0</v>
      </c>
      <c r="CQ251" s="73" t="str">
        <f t="shared" si="2286"/>
        <v>RF</v>
      </c>
      <c r="CR251" s="73" t="str">
        <f t="shared" si="2286"/>
        <v>RF</v>
      </c>
      <c r="CS251" s="73">
        <f t="shared" si="2286"/>
        <v>0</v>
      </c>
      <c r="CT251" s="73">
        <f t="shared" si="2286"/>
        <v>0</v>
      </c>
      <c r="CU251" s="73" t="str">
        <f t="shared" si="2286"/>
        <v>RF</v>
      </c>
      <c r="CV251" s="73" t="str">
        <f t="shared" si="2286"/>
        <v>RF</v>
      </c>
      <c r="CW251" s="73">
        <f t="shared" si="2286"/>
        <v>0</v>
      </c>
      <c r="CX251" s="73">
        <f t="shared" ref="CX251:DB251" si="2287">IF(CX249&gt;CX250,"RF",0)</f>
        <v>0</v>
      </c>
      <c r="CY251" s="73" t="str">
        <f t="shared" si="2287"/>
        <v>RF</v>
      </c>
      <c r="CZ251" s="73" t="str">
        <f t="shared" si="2287"/>
        <v>RF</v>
      </c>
      <c r="DA251" s="73">
        <f t="shared" si="2287"/>
        <v>0</v>
      </c>
      <c r="DB251" s="73">
        <f t="shared" si="2287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88">F36/F8</f>
        <v>#DIV/0!</v>
      </c>
      <c r="G252" s="86" t="e">
        <f t="shared" si="2288"/>
        <v>#DIV/0!</v>
      </c>
      <c r="H252" s="86" t="e">
        <f t="shared" si="2288"/>
        <v>#DIV/0!</v>
      </c>
      <c r="I252" s="86" t="e">
        <f t="shared" si="2288"/>
        <v>#DIV/0!</v>
      </c>
      <c r="J252" s="86" t="e">
        <f t="shared" si="2288"/>
        <v>#DIV/0!</v>
      </c>
      <c r="K252" s="86" t="e">
        <f t="shared" si="2288"/>
        <v>#DIV/0!</v>
      </c>
      <c r="L252" s="86" t="e">
        <f t="shared" si="2288"/>
        <v>#DIV/0!</v>
      </c>
      <c r="M252" s="86" t="e">
        <f t="shared" si="2288"/>
        <v>#DIV/0!</v>
      </c>
      <c r="N252" s="86" t="e">
        <f t="shared" si="2288"/>
        <v>#DIV/0!</v>
      </c>
      <c r="O252" s="86" t="e">
        <f t="shared" si="2288"/>
        <v>#DIV/0!</v>
      </c>
      <c r="P252" s="86">
        <f t="shared" si="2288"/>
        <v>0.22579167699224695</v>
      </c>
      <c r="Q252" s="86">
        <f t="shared" si="2288"/>
        <v>0.30547409818428528</v>
      </c>
      <c r="R252" s="86">
        <f t="shared" si="2288"/>
        <v>0.35685625300022888</v>
      </c>
      <c r="S252" s="86">
        <f t="shared" si="2288"/>
        <v>0.22983225910434815</v>
      </c>
      <c r="T252" s="86">
        <f t="shared" si="2288"/>
        <v>0.20802608637220474</v>
      </c>
      <c r="U252" s="86">
        <f t="shared" si="2288"/>
        <v>0.2002038903596034</v>
      </c>
      <c r="V252" s="86">
        <f t="shared" si="2288"/>
        <v>0.17602427654788441</v>
      </c>
      <c r="W252" s="86">
        <f t="shared" si="2288"/>
        <v>0.14301441451275793</v>
      </c>
      <c r="X252" s="86">
        <f t="shared" si="2288"/>
        <v>6.7282835573307234E-2</v>
      </c>
      <c r="Y252" s="86">
        <f t="shared" si="2288"/>
        <v>6.3616019824229864E-3</v>
      </c>
      <c r="Z252" s="86">
        <f t="shared" si="2288"/>
        <v>7.7840160097151067E-3</v>
      </c>
      <c r="AA252" s="86">
        <f t="shared" ref="AA252" si="2289">AA36/AA8</f>
        <v>2.3816459302047534E-2</v>
      </c>
      <c r="AB252" s="87">
        <f t="shared" si="2288"/>
        <v>9.144160968767712E-3</v>
      </c>
      <c r="AC252" s="87">
        <f t="shared" si="2288"/>
        <v>4.6218069601332158E-2</v>
      </c>
      <c r="AD252" s="87">
        <f t="shared" si="2288"/>
        <v>7.2184349532953607E-2</v>
      </c>
      <c r="AE252" s="87">
        <f t="shared" si="2288"/>
        <v>9.0165683600907792E-2</v>
      </c>
      <c r="AL252" s="86" t="e">
        <f t="shared" ref="AL252:CW252" si="2290">AL36/AL8</f>
        <v>#DIV/0!</v>
      </c>
      <c r="AM252" s="86" t="e">
        <f t="shared" si="2290"/>
        <v>#DIV/0!</v>
      </c>
      <c r="AN252" s="86" t="e">
        <f t="shared" si="2290"/>
        <v>#DIV/0!</v>
      </c>
      <c r="AO252" s="86" t="e">
        <f t="shared" si="2290"/>
        <v>#DIV/0!</v>
      </c>
      <c r="AP252" s="86" t="e">
        <f t="shared" si="2290"/>
        <v>#DIV/0!</v>
      </c>
      <c r="AQ252" s="86" t="e">
        <f t="shared" si="2290"/>
        <v>#DIV/0!</v>
      </c>
      <c r="AR252" s="86" t="e">
        <f t="shared" si="2290"/>
        <v>#DIV/0!</v>
      </c>
      <c r="AS252" s="86" t="e">
        <f t="shared" si="2290"/>
        <v>#DIV/0!</v>
      </c>
      <c r="AT252" s="86" t="e">
        <f t="shared" si="2290"/>
        <v>#DIV/0!</v>
      </c>
      <c r="AU252" s="86" t="e">
        <f t="shared" si="2290"/>
        <v>#DIV/0!</v>
      </c>
      <c r="AV252" s="86" t="e">
        <f t="shared" si="2290"/>
        <v>#DIV/0!</v>
      </c>
      <c r="AW252" s="86" t="e">
        <f t="shared" si="2290"/>
        <v>#DIV/0!</v>
      </c>
      <c r="AX252" s="86" t="e">
        <f t="shared" si="2290"/>
        <v>#DIV/0!</v>
      </c>
      <c r="AY252" s="86" t="e">
        <f t="shared" si="2290"/>
        <v>#DIV/0!</v>
      </c>
      <c r="AZ252" s="86" t="e">
        <f t="shared" si="2290"/>
        <v>#DIV/0!</v>
      </c>
      <c r="BA252" s="86" t="e">
        <f t="shared" si="2290"/>
        <v>#DIV/0!</v>
      </c>
      <c r="BB252" s="86" t="e">
        <f t="shared" si="2290"/>
        <v>#DIV/0!</v>
      </c>
      <c r="BC252" s="86" t="e">
        <f t="shared" si="2290"/>
        <v>#DIV/0!</v>
      </c>
      <c r="BD252" s="86" t="e">
        <f t="shared" si="2290"/>
        <v>#DIV/0!</v>
      </c>
      <c r="BE252" s="86" t="e">
        <f t="shared" si="2290"/>
        <v>#DIV/0!</v>
      </c>
      <c r="BF252" s="86" t="e">
        <f t="shared" si="2290"/>
        <v>#DIV/0!</v>
      </c>
      <c r="BG252" s="86" t="e">
        <f t="shared" si="2290"/>
        <v>#DIV/0!</v>
      </c>
      <c r="BH252" s="86" t="e">
        <f t="shared" si="2290"/>
        <v>#DIV/0!</v>
      </c>
      <c r="BI252" s="86" t="e">
        <f t="shared" si="2290"/>
        <v>#DIV/0!</v>
      </c>
      <c r="BJ252" s="86" t="e">
        <f t="shared" si="2290"/>
        <v>#DIV/0!</v>
      </c>
      <c r="BK252" s="86" t="e">
        <f t="shared" si="2290"/>
        <v>#DIV/0!</v>
      </c>
      <c r="BL252" s="86" t="e">
        <f t="shared" si="2290"/>
        <v>#DIV/0!</v>
      </c>
      <c r="BM252" s="86" t="e">
        <f t="shared" si="2290"/>
        <v>#DIV/0!</v>
      </c>
      <c r="BN252" s="86" t="e">
        <f t="shared" si="2290"/>
        <v>#DIV/0!</v>
      </c>
      <c r="BO252" s="86" t="e">
        <f t="shared" si="2290"/>
        <v>#DIV/0!</v>
      </c>
      <c r="BP252" s="86" t="e">
        <f t="shared" si="2290"/>
        <v>#DIV/0!</v>
      </c>
      <c r="BQ252" s="86" t="e">
        <f t="shared" si="2290"/>
        <v>#DIV/0!</v>
      </c>
      <c r="BR252" s="86" t="e">
        <f t="shared" si="2290"/>
        <v>#DIV/0!</v>
      </c>
      <c r="BS252" s="86" t="e">
        <f t="shared" si="2290"/>
        <v>#DIV/0!</v>
      </c>
      <c r="BT252" s="86">
        <f t="shared" si="2290"/>
        <v>0.16673473473473474</v>
      </c>
      <c r="BU252" s="86">
        <f t="shared" si="2290"/>
        <v>0.13189620109005123</v>
      </c>
      <c r="BV252" s="86">
        <f t="shared" si="2290"/>
        <v>0.10573212167406509</v>
      </c>
      <c r="BW252" s="86">
        <f t="shared" si="2290"/>
        <v>9.7808001518959506E-2</v>
      </c>
      <c r="BX252" s="86">
        <f t="shared" si="2290"/>
        <v>0.11916046269953491</v>
      </c>
      <c r="BY252" s="86">
        <f t="shared" si="2290"/>
        <v>5.3213965685911822E-2</v>
      </c>
      <c r="BZ252" s="86">
        <f t="shared" si="2290"/>
        <v>8.9362536776724406E-3</v>
      </c>
      <c r="CA252" s="86">
        <f t="shared" si="2290"/>
        <v>8.7789352189195959E-3</v>
      </c>
      <c r="CB252" s="86">
        <f t="shared" si="2290"/>
        <v>6.3794260926445532E-3</v>
      </c>
      <c r="CC252" s="86">
        <f t="shared" si="2290"/>
        <v>4.5925365827650224E-3</v>
      </c>
      <c r="CD252" s="86">
        <f t="shared" si="2290"/>
        <v>5.9914407988587741E-3</v>
      </c>
      <c r="CE252" s="86">
        <f t="shared" si="2290"/>
        <v>7.9974799240215902E-3</v>
      </c>
      <c r="CF252" s="86">
        <f t="shared" si="2290"/>
        <v>1.334969121041359E-2</v>
      </c>
      <c r="CG252" s="86">
        <f t="shared" si="2290"/>
        <v>1.1989566394545468E-2</v>
      </c>
      <c r="CH252" s="86">
        <f t="shared" si="2290"/>
        <v>8.3338879612937196E-4</v>
      </c>
      <c r="CI252" s="86">
        <f t="shared" si="2290"/>
        <v>1.8402033116818706E-2</v>
      </c>
      <c r="CJ252" s="86">
        <f t="shared" si="2290"/>
        <v>2.3672293124742692E-2</v>
      </c>
      <c r="CK252" s="87">
        <f t="shared" si="2290"/>
        <v>1.7362952487576848E-2</v>
      </c>
      <c r="CL252" s="87">
        <f t="shared" si="2290"/>
        <v>-4.7006942571248432E-3</v>
      </c>
      <c r="CM252" s="87">
        <f t="shared" si="2290"/>
        <v>-4.8727941039927017E-2</v>
      </c>
      <c r="CN252" s="87">
        <f t="shared" si="2290"/>
        <v>-2.8347494750725253E-3</v>
      </c>
      <c r="CO252" s="87">
        <f t="shared" si="2290"/>
        <v>5.2872311384459865E-2</v>
      </c>
      <c r="CP252" s="87">
        <f t="shared" si="2290"/>
        <v>3.1482039020201601E-2</v>
      </c>
      <c r="CQ252" s="87">
        <f t="shared" si="2290"/>
        <v>-9.7132471314633345E-3</v>
      </c>
      <c r="CR252" s="87">
        <f t="shared" si="2290"/>
        <v>4.7378433077055346E-2</v>
      </c>
      <c r="CS252" s="87">
        <f t="shared" si="2290"/>
        <v>9.5391528806646225E-2</v>
      </c>
      <c r="CT252" s="87">
        <f t="shared" si="2290"/>
        <v>5.6282011494732456E-2</v>
      </c>
      <c r="CU252" s="87">
        <f t="shared" si="2290"/>
        <v>1.820488671500339E-2</v>
      </c>
      <c r="CV252" s="87">
        <f t="shared" si="2290"/>
        <v>8.2612570366833546E-2</v>
      </c>
      <c r="CW252" s="87">
        <f t="shared" si="2290"/>
        <v>0.12465788519123111</v>
      </c>
      <c r="CX252" s="87">
        <f t="shared" ref="CX252:DB252" si="2291">CX36/CX8</f>
        <v>7.3498872485319694E-2</v>
      </c>
      <c r="CY252" s="87">
        <f t="shared" si="2291"/>
        <v>3.7704101296724364E-2</v>
      </c>
      <c r="CZ252" s="87">
        <f t="shared" si="2291"/>
        <v>0.10696666164961142</v>
      </c>
      <c r="DA252" s="87">
        <f t="shared" si="2291"/>
        <v>0.14484079202761146</v>
      </c>
      <c r="DB252" s="87">
        <f t="shared" si="2291"/>
        <v>8.5385482753361927E-2</v>
      </c>
      <c r="DE252" s="141"/>
      <c r="DF252" s="86">
        <v>2.3816459302047534E-2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92">F32/F8</f>
        <v>#DIV/0!</v>
      </c>
      <c r="G253" s="86" t="e">
        <f t="shared" si="2292"/>
        <v>#DIV/0!</v>
      </c>
      <c r="H253" s="86" t="e">
        <f t="shared" si="2292"/>
        <v>#DIV/0!</v>
      </c>
      <c r="I253" s="86" t="e">
        <f t="shared" si="2292"/>
        <v>#DIV/0!</v>
      </c>
      <c r="J253" s="86" t="e">
        <f t="shared" si="2292"/>
        <v>#DIV/0!</v>
      </c>
      <c r="K253" s="86" t="e">
        <f t="shared" si="2292"/>
        <v>#DIV/0!</v>
      </c>
      <c r="L253" s="86" t="e">
        <f t="shared" si="2292"/>
        <v>#DIV/0!</v>
      </c>
      <c r="M253" s="86" t="e">
        <f t="shared" si="2292"/>
        <v>#DIV/0!</v>
      </c>
      <c r="N253" s="86" t="e">
        <f t="shared" si="2292"/>
        <v>#DIV/0!</v>
      </c>
      <c r="O253" s="86" t="e">
        <f t="shared" si="2292"/>
        <v>#DIV/0!</v>
      </c>
      <c r="P253" s="86">
        <f t="shared" si="2292"/>
        <v>0.15791057457429106</v>
      </c>
      <c r="Q253" s="86">
        <f t="shared" si="2292"/>
        <v>0.20802228271379916</v>
      </c>
      <c r="R253" s="86">
        <f t="shared" si="2292"/>
        <v>0.27466027788111436</v>
      </c>
      <c r="S253" s="86">
        <f t="shared" si="2292"/>
        <v>0.16471820475748411</v>
      </c>
      <c r="T253" s="86">
        <f t="shared" si="2292"/>
        <v>8.720862378118005E-2</v>
      </c>
      <c r="U253" s="86">
        <f t="shared" si="2292"/>
        <v>8.5109426640577482E-2</v>
      </c>
      <c r="V253" s="86">
        <f t="shared" si="2292"/>
        <v>7.4765347088135856E-2</v>
      </c>
      <c r="W253" s="86">
        <f t="shared" si="2292"/>
        <v>5.9146944133379911E-2</v>
      </c>
      <c r="X253" s="86">
        <f t="shared" si="2292"/>
        <v>4.762682955720484E-2</v>
      </c>
      <c r="Y253" s="86">
        <f t="shared" si="2292"/>
        <v>5.2881479028290955E-2</v>
      </c>
      <c r="Z253" s="86">
        <f t="shared" si="2292"/>
        <v>7.6256613839204873E-2</v>
      </c>
      <c r="AA253" s="86">
        <f t="shared" ref="AA253" si="2293">AA32/AA8</f>
        <v>8.592446219219875E-2</v>
      </c>
      <c r="AB253" s="87">
        <f t="shared" si="2292"/>
        <v>6.7623381153457202E-2</v>
      </c>
      <c r="AC253" s="87">
        <f t="shared" si="2292"/>
        <v>5.676859375460843E-2</v>
      </c>
      <c r="AD253" s="87">
        <f t="shared" si="2292"/>
        <v>4.7664485230792107E-2</v>
      </c>
      <c r="AE253" s="87">
        <f t="shared" si="2292"/>
        <v>4.0018260461004998E-2</v>
      </c>
      <c r="AL253" s="86" t="e">
        <f t="shared" ref="AL253:CW253" si="2294">AL32/AL8</f>
        <v>#DIV/0!</v>
      </c>
      <c r="AM253" s="86" t="e">
        <f t="shared" si="2294"/>
        <v>#DIV/0!</v>
      </c>
      <c r="AN253" s="86" t="e">
        <f t="shared" si="2294"/>
        <v>#DIV/0!</v>
      </c>
      <c r="AO253" s="86" t="e">
        <f t="shared" si="2294"/>
        <v>#DIV/0!</v>
      </c>
      <c r="AP253" s="86" t="e">
        <f t="shared" si="2294"/>
        <v>#DIV/0!</v>
      </c>
      <c r="AQ253" s="86" t="e">
        <f t="shared" si="2294"/>
        <v>#DIV/0!</v>
      </c>
      <c r="AR253" s="86" t="e">
        <f t="shared" si="2294"/>
        <v>#DIV/0!</v>
      </c>
      <c r="AS253" s="86" t="e">
        <f t="shared" si="2294"/>
        <v>#DIV/0!</v>
      </c>
      <c r="AT253" s="86" t="e">
        <f t="shared" si="2294"/>
        <v>#DIV/0!</v>
      </c>
      <c r="AU253" s="86" t="e">
        <f t="shared" si="2294"/>
        <v>#DIV/0!</v>
      </c>
      <c r="AV253" s="86" t="e">
        <f t="shared" si="2294"/>
        <v>#DIV/0!</v>
      </c>
      <c r="AW253" s="86" t="e">
        <f t="shared" si="2294"/>
        <v>#DIV/0!</v>
      </c>
      <c r="AX253" s="86" t="e">
        <f t="shared" si="2294"/>
        <v>#DIV/0!</v>
      </c>
      <c r="AY253" s="86" t="e">
        <f t="shared" si="2294"/>
        <v>#DIV/0!</v>
      </c>
      <c r="AZ253" s="86" t="e">
        <f t="shared" si="2294"/>
        <v>#DIV/0!</v>
      </c>
      <c r="BA253" s="86" t="e">
        <f t="shared" si="2294"/>
        <v>#DIV/0!</v>
      </c>
      <c r="BB253" s="86" t="e">
        <f t="shared" si="2294"/>
        <v>#DIV/0!</v>
      </c>
      <c r="BC253" s="86" t="e">
        <f t="shared" si="2294"/>
        <v>#DIV/0!</v>
      </c>
      <c r="BD253" s="86" t="e">
        <f t="shared" si="2294"/>
        <v>#DIV/0!</v>
      </c>
      <c r="BE253" s="86" t="e">
        <f t="shared" si="2294"/>
        <v>#DIV/0!</v>
      </c>
      <c r="BF253" s="86" t="e">
        <f t="shared" si="2294"/>
        <v>#DIV/0!</v>
      </c>
      <c r="BG253" s="86" t="e">
        <f t="shared" si="2294"/>
        <v>#DIV/0!</v>
      </c>
      <c r="BH253" s="86" t="e">
        <f t="shared" si="2294"/>
        <v>#DIV/0!</v>
      </c>
      <c r="BI253" s="86" t="e">
        <f t="shared" si="2294"/>
        <v>#DIV/0!</v>
      </c>
      <c r="BJ253" s="86" t="e">
        <f t="shared" si="2294"/>
        <v>#DIV/0!</v>
      </c>
      <c r="BK253" s="86" t="e">
        <f t="shared" si="2294"/>
        <v>#DIV/0!</v>
      </c>
      <c r="BL253" s="86" t="e">
        <f t="shared" si="2294"/>
        <v>#DIV/0!</v>
      </c>
      <c r="BM253" s="86" t="e">
        <f t="shared" si="2294"/>
        <v>#DIV/0!</v>
      </c>
      <c r="BN253" s="86" t="e">
        <f t="shared" si="2294"/>
        <v>#DIV/0!</v>
      </c>
      <c r="BO253" s="86" t="e">
        <f t="shared" si="2294"/>
        <v>#DIV/0!</v>
      </c>
      <c r="BP253" s="86" t="e">
        <f t="shared" si="2294"/>
        <v>#DIV/0!</v>
      </c>
      <c r="BQ253" s="86" t="e">
        <f t="shared" si="2294"/>
        <v>#DIV/0!</v>
      </c>
      <c r="BR253" s="86" t="e">
        <f t="shared" si="2294"/>
        <v>#DIV/0!</v>
      </c>
      <c r="BS253" s="86" t="e">
        <f t="shared" si="2294"/>
        <v>#DIV/0!</v>
      </c>
      <c r="BT253" s="86">
        <f t="shared" si="2294"/>
        <v>6.6534534534534534E-2</v>
      </c>
      <c r="BU253" s="86">
        <f t="shared" si="2294"/>
        <v>5.4733588220938753E-2</v>
      </c>
      <c r="BV253" s="86">
        <f t="shared" si="2294"/>
        <v>4.639803329021315E-2</v>
      </c>
      <c r="BW253" s="86">
        <f t="shared" si="2294"/>
        <v>4.4029839559901467E-2</v>
      </c>
      <c r="BX253" s="86">
        <f t="shared" si="2294"/>
        <v>5.7564864818821442E-2</v>
      </c>
      <c r="BY253" s="86">
        <f t="shared" si="2294"/>
        <v>4.6086434672519959E-2</v>
      </c>
      <c r="BZ253" s="86">
        <f t="shared" si="2294"/>
        <v>4.5235697940503437E-2</v>
      </c>
      <c r="CA253" s="86">
        <f t="shared" si="2294"/>
        <v>5.1029746949815498E-2</v>
      </c>
      <c r="CB253" s="86">
        <f t="shared" si="2294"/>
        <v>6.0258550944175725E-2</v>
      </c>
      <c r="CC253" s="86">
        <f t="shared" si="2294"/>
        <v>4.2799048048353716E-2</v>
      </c>
      <c r="CD253" s="86">
        <f t="shared" si="2294"/>
        <v>6.2228562371215733E-2</v>
      </c>
      <c r="CE253" s="86">
        <f t="shared" si="2294"/>
        <v>8.7638463129783906E-2</v>
      </c>
      <c r="CF253" s="86">
        <f t="shared" si="2294"/>
        <v>8.0934062506498081E-2</v>
      </c>
      <c r="CG253" s="86">
        <f t="shared" si="2294"/>
        <v>8.3142793465789483E-2</v>
      </c>
      <c r="CH253" s="86">
        <f t="shared" si="2294"/>
        <v>6.1170158893676371E-2</v>
      </c>
      <c r="CI253" s="86">
        <f t="shared" si="2294"/>
        <v>7.8454913308637672E-2</v>
      </c>
      <c r="CJ253" s="86">
        <f t="shared" si="2294"/>
        <v>0.10099320708110333</v>
      </c>
      <c r="CK253" s="87">
        <f t="shared" si="2294"/>
        <v>9.2703238858444795E-2</v>
      </c>
      <c r="CL253" s="87">
        <f t="shared" si="2294"/>
        <v>5.8160898380776364E-2</v>
      </c>
      <c r="CM253" s="87">
        <f t="shared" si="2294"/>
        <v>6.8466074825216827E-2</v>
      </c>
      <c r="CN253" s="87">
        <f t="shared" si="2294"/>
        <v>8.8945149369789311E-2</v>
      </c>
      <c r="CO253" s="87">
        <f t="shared" si="2294"/>
        <v>7.8058424851008182E-2</v>
      </c>
      <c r="CP253" s="87">
        <f t="shared" si="2294"/>
        <v>4.8382320869927213E-2</v>
      </c>
      <c r="CQ253" s="87">
        <f t="shared" si="2294"/>
        <v>5.7403974908150635E-2</v>
      </c>
      <c r="CR253" s="87">
        <f t="shared" si="2294"/>
        <v>7.5042522276512452E-2</v>
      </c>
      <c r="CS253" s="87">
        <f t="shared" si="2294"/>
        <v>6.5489465085106821E-2</v>
      </c>
      <c r="CT253" s="87">
        <f t="shared" si="2294"/>
        <v>4.0555143462206282E-2</v>
      </c>
      <c r="CU253" s="87">
        <f t="shared" si="2294"/>
        <v>4.8209326651597904E-2</v>
      </c>
      <c r="CV253" s="87">
        <f t="shared" si="2294"/>
        <v>6.3048876429794745E-2</v>
      </c>
      <c r="CW253" s="87">
        <f t="shared" si="2294"/>
        <v>5.4965318467936994E-2</v>
      </c>
      <c r="CX253" s="87">
        <f t="shared" ref="CX253:DB253" si="2295">CX32/CX8</f>
        <v>3.4041184920716262E-2</v>
      </c>
      <c r="CY253" s="87">
        <f t="shared" si="2295"/>
        <v>4.0479933680350619E-2</v>
      </c>
      <c r="CZ253" s="87">
        <f t="shared" si="2295"/>
        <v>5.2937812000962363E-2</v>
      </c>
      <c r="DA253" s="87">
        <f t="shared" si="2295"/>
        <v>4.6143134153172803E-2</v>
      </c>
      <c r="DB253" s="87">
        <f t="shared" si="2295"/>
        <v>2.8579081848943918E-2</v>
      </c>
      <c r="DE253" s="141"/>
      <c r="DF253" s="86">
        <v>8.592446219219875E-2</v>
      </c>
    </row>
    <row r="254" spans="1:110" s="85" customFormat="1" x14ac:dyDescent="0.2">
      <c r="AB254" s="58"/>
      <c r="AC254" s="58"/>
      <c r="AD254" s="58"/>
      <c r="AE254" s="58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293601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Archean Chemical Industries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249.75</v>
      </c>
      <c r="AO6">
        <f>_xll.EQNXTDZ($A$1,$B6,AO$1,$B$1)</f>
        <v>307.32499999999999</v>
      </c>
      <c r="AP6">
        <f>_xll.EQNXTDZ($A$1,$B6,AP$1,$B$1)</f>
        <v>372.60199999999998</v>
      </c>
      <c r="AQ6">
        <f>_xll.EQNXTDZ($A$1,$B6,AQ$1,$B$1)</f>
        <v>400.274</v>
      </c>
      <c r="AR6">
        <f>_xll.EQNXTDZ($A$1,$B6,AR$1,$B$1)</f>
        <v>293.495</v>
      </c>
      <c r="AS6">
        <f>_xll.EQNXTDZ($A$1,$B6,AS$1,$B$1)</f>
        <v>364.923</v>
      </c>
      <c r="AT6">
        <f>_xll.EQNXTDZ($A$1,$B6,AT$1,$B$1)</f>
        <v>382.375</v>
      </c>
      <c r="AU6">
        <f>_xll.EQNXTDZ($A$1,$B6,AU$1,$B$1)</f>
        <v>343.09399999999999</v>
      </c>
      <c r="AV6">
        <f>_xll.EQNXTDZ($A$1,$B6,AV$1,$B$1)</f>
        <v>290.46499999999997</v>
      </c>
      <c r="AW6">
        <f>_xll.EQNXTDZ($A$1,$B6,AW$1,$B$1)</f>
        <v>412.62599999999998</v>
      </c>
      <c r="AX6">
        <f>_xll.EQNXTDZ($A$1,$B6,AX$1,$B$1)</f>
        <v>283.90499999999997</v>
      </c>
      <c r="AY6">
        <f>_xll.EQNXTDZ($A$1,$B6,AY$1,$B$1)</f>
        <v>212.69200000000001</v>
      </c>
      <c r="AZ6">
        <f>_xll.EQNXTDZ($A$1,$B6,AZ$1,$B$1)</f>
        <v>240.45500000000001</v>
      </c>
      <c r="BA6">
        <f>_xll.EQNXTDZ($A$1,$B6,BA$1,$B$1)</f>
        <v>242.29400000000001</v>
      </c>
      <c r="BB6">
        <f>_xll.EQNXTDZ($A$1,$B6,BB$1,$B$1)</f>
        <v>345.577</v>
      </c>
      <c r="BC6">
        <f>_xll.EQNXTDZ($A$1,$B6,BC$1,$B$1)</f>
        <v>292.35899999999998</v>
      </c>
      <c r="BD6">
        <f>_xll.EQNXTDZ($A$1,$B6,BD$1,$B$1)</f>
        <v>233.184</v>
      </c>
      <c r="BE6">
        <f>_xll.EQNXTDZ($A$1,$B6,BE$1,$B$1)</f>
        <v>254.565</v>
      </c>
      <c r="BF6">
        <f>_xll.EQNXTDZ($A$1,$B6,BF$1,$B$1)</f>
        <v>300.94299999999998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249.75</v>
      </c>
      <c r="AO9">
        <f>_xll.EQNXTDZ($A$1,$B9,AO$1,$B$1)</f>
        <v>307.32499999999999</v>
      </c>
      <c r="AP9">
        <f>_xll.EQNXTDZ($A$1,$B9,AP$1,$B$1)</f>
        <v>372.60199999999998</v>
      </c>
      <c r="AQ9">
        <f>_xll.EQNXTDZ($A$1,$B9,AQ$1,$B$1)</f>
        <v>400.274</v>
      </c>
      <c r="AR9">
        <f>_xll.EQNXTDZ($A$1,$B9,AR$1,$B$1)</f>
        <v>293.495</v>
      </c>
      <c r="AS9">
        <f>_xll.EQNXTDZ($A$1,$B9,AS$1,$B$1)</f>
        <v>364.923</v>
      </c>
      <c r="AT9">
        <f>_xll.EQNXTDZ($A$1,$B9,AT$1,$B$1)</f>
        <v>382.375</v>
      </c>
      <c r="AU9">
        <f>_xll.EQNXTDZ($A$1,$B9,AU$1,$B$1)</f>
        <v>343.09399999999999</v>
      </c>
      <c r="AV9">
        <f>_xll.EQNXTDZ($A$1,$B9,AV$1,$B$1)</f>
        <v>290.46499999999997</v>
      </c>
      <c r="AW9">
        <f>_xll.EQNXTDZ($A$1,$B9,AW$1,$B$1)</f>
        <v>412.62599999999998</v>
      </c>
      <c r="AX9">
        <f>_xll.EQNXTDZ($A$1,$B9,AX$1,$B$1)</f>
        <v>283.90499999999997</v>
      </c>
      <c r="AY9">
        <f>_xll.EQNXTDZ($A$1,$B9,AY$1,$B$1)</f>
        <v>212.69200000000001</v>
      </c>
      <c r="AZ9">
        <f>_xll.EQNXTDZ($A$1,$B9,AZ$1,$B$1)</f>
        <v>240.45500000000001</v>
      </c>
      <c r="BA9">
        <f>_xll.EQNXTDZ($A$1,$B9,BA$1,$B$1)</f>
        <v>242.29400000000001</v>
      </c>
      <c r="BB9">
        <f>_xll.EQNXTDZ($A$1,$B9,BB$1,$B$1)</f>
        <v>345.577</v>
      </c>
      <c r="BC9">
        <f>_xll.EQNXTDZ($A$1,$B9,BC$1,$B$1)</f>
        <v>292.35899999999998</v>
      </c>
      <c r="BD9">
        <f>_xll.EQNXTDZ($A$1,$B9,BD$1,$B$1)</f>
        <v>233.184</v>
      </c>
      <c r="BE9">
        <f>_xll.EQNXTDZ($A$1,$B9,BE$1,$B$1)</f>
        <v>254.565</v>
      </c>
      <c r="BF9">
        <f>_xll.EQNXTDZ($A$1,$B9,BF$1,$B$1)</f>
        <v>300.94299999999998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4.54</v>
      </c>
      <c r="AO10">
        <f>_xll.EQNXTDZ($A$1,$B10,AO$1,$B$1)</f>
        <v>-1.679</v>
      </c>
      <c r="AP10">
        <f>_xll.EQNXTDZ($A$1,$B10,AP$1,$B$1)</f>
        <v>2.2759999999999998</v>
      </c>
      <c r="AQ10">
        <f>_xll.EQNXTDZ($A$1,$B10,AQ$1,$B$1)</f>
        <v>-14.353999999999999</v>
      </c>
      <c r="AR10">
        <f>_xll.EQNXTDZ($A$1,$B10,AR$1,$B$1)</f>
        <v>20.844000000000001</v>
      </c>
      <c r="AS10">
        <f>_xll.EQNXTDZ($A$1,$B10,AS$1,$B$1)</f>
        <v>-15.472</v>
      </c>
      <c r="AT10">
        <f>_xll.EQNXTDZ($A$1,$B10,AT$1,$B$1)</f>
        <v>-38.42</v>
      </c>
      <c r="AU10">
        <f>_xll.EQNXTDZ($A$1,$B10,AU$1,$B$1)</f>
        <v>16.341999999999999</v>
      </c>
      <c r="AV10">
        <f>_xll.EQNXTDZ($A$1,$B10,AV$1,$B$1)</f>
        <v>6.8239999999999998</v>
      </c>
      <c r="AW10">
        <f>_xll.EQNXTDZ($A$1,$B10,AW$1,$B$1)</f>
        <v>37.017000000000003</v>
      </c>
      <c r="AX10">
        <f>_xll.EQNXTDZ($A$1,$B10,AX$1,$B$1)</f>
        <v>-20.094000000000001</v>
      </c>
      <c r="AY10">
        <f>_xll.EQNXTDZ($A$1,$B10,AY$1,$B$1)</f>
        <v>-31.663</v>
      </c>
      <c r="AZ10">
        <f>_xll.EQNXTDZ($A$1,$B10,AZ$1,$B$1)</f>
        <v>-1.0660000000000001</v>
      </c>
      <c r="BA10">
        <f>_xll.EQNXTDZ($A$1,$B10,BA$1,$B$1)</f>
        <v>-27.484000000000002</v>
      </c>
      <c r="BB10">
        <f>_xll.EQNXTDZ($A$1,$B10,BB$1,$B$1)</f>
        <v>-10.52</v>
      </c>
      <c r="BC10">
        <f>_xll.EQNXTDZ($A$1,$B10,BC$1,$B$1)</f>
        <v>-24.788</v>
      </c>
      <c r="BD10">
        <f>_xll.EQNXTDZ($A$1,$B10,BD$1,$B$1)</f>
        <v>-12.537000000000001</v>
      </c>
      <c r="BE10">
        <f>_xll.EQNXTDZ($A$1,$B10,BE$1,$B$1)</f>
        <v>-16.359000000000002</v>
      </c>
      <c r="BF10">
        <f>_xll.EQNXTDZ($A$1,$B10,BF$1,$B$1)</f>
        <v>13.749000000000001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10.86</v>
      </c>
      <c r="AO11">
        <f>_xll.EQNXTDZ($A$1,$B11,AO$1,$B$1)</f>
        <v>12.647</v>
      </c>
      <c r="AP11">
        <f>_xll.EQNXTDZ($A$1,$B11,AP$1,$B$1)</f>
        <v>10.667</v>
      </c>
      <c r="AQ11">
        <f>_xll.EQNXTDZ($A$1,$B11,AQ$1,$B$1)</f>
        <v>14.846</v>
      </c>
      <c r="AR11">
        <f>_xll.EQNXTDZ($A$1,$B11,AR$1,$B$1)</f>
        <v>8.4730000000000008</v>
      </c>
      <c r="AS11">
        <f>_xll.EQNXTDZ($A$1,$B11,AS$1,$B$1)</f>
        <v>9.0299999999999994</v>
      </c>
      <c r="AT11">
        <f>_xll.EQNXTDZ($A$1,$B11,AT$1,$B$1)</f>
        <v>13.355</v>
      </c>
      <c r="AU11">
        <f>_xll.EQNXTDZ($A$1,$B11,AU$1,$B$1)</f>
        <v>13.52</v>
      </c>
      <c r="AV11">
        <f>_xll.EQNXTDZ($A$1,$B11,AV$1,$B$1)</f>
        <v>11.944000000000001</v>
      </c>
      <c r="AW11">
        <f>_xll.EQNXTDZ($A$1,$B11,AW$1,$B$1)</f>
        <v>9.9359999999999999</v>
      </c>
      <c r="AX11">
        <f>_xll.EQNXTDZ($A$1,$B11,AX$1,$B$1)</f>
        <v>12.185</v>
      </c>
      <c r="AY11">
        <f>_xll.EQNXTDZ($A$1,$B11,AY$1,$B$1)</f>
        <v>13.632</v>
      </c>
      <c r="AZ11">
        <f>_xll.EQNXTDZ($A$1,$B11,AZ$1,$B$1)</f>
        <v>14.756</v>
      </c>
      <c r="BA11">
        <f>_xll.EQNXTDZ($A$1,$B11,BA$1,$B$1)</f>
        <v>11.680999999999999</v>
      </c>
      <c r="BB11">
        <f>_xll.EQNXTDZ($A$1,$B11,BB$1,$B$1)</f>
        <v>22.87</v>
      </c>
      <c r="BC11">
        <f>_xll.EQNXTDZ($A$1,$B11,BC$1,$B$1)</f>
        <v>34.061</v>
      </c>
      <c r="BD11">
        <f>_xll.EQNXTDZ($A$1,$B11,BD$1,$B$1)</f>
        <v>12.666</v>
      </c>
      <c r="BE11">
        <f>_xll.EQNXTDZ($A$1,$B11,BE$1,$B$1)</f>
        <v>15.425000000000001</v>
      </c>
      <c r="BF11">
        <f>_xll.EQNXTDZ($A$1,$B11,BF$1,$B$1)</f>
        <v>25.524999999999999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4.4279999999999999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16.524000000000001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120.34</v>
      </c>
      <c r="AO14">
        <f>_xll.EQNXTDZ($A$1,$B14,AO$1,$B$1)</f>
        <v>169.334</v>
      </c>
      <c r="AP14">
        <f>_xll.EQNXTDZ($A$1,$B14,AP$1,$B$1)</f>
        <v>189.98699999999999</v>
      </c>
      <c r="AQ14">
        <f>_xll.EQNXTDZ($A$1,$B14,AQ$1,$B$1)</f>
        <v>224.52199999999999</v>
      </c>
      <c r="AR14">
        <f>_xll.EQNXTDZ($A$1,$B14,AR$1,$B$1)</f>
        <v>134.11699999999999</v>
      </c>
      <c r="AS14">
        <f>_xll.EQNXTDZ($A$1,$B14,AS$1,$B$1)</f>
        <v>184.964</v>
      </c>
      <c r="AT14">
        <f>_xll.EQNXTDZ($A$1,$B14,AT$1,$B$1)</f>
        <v>188.68799999999999</v>
      </c>
      <c r="AU14">
        <f>_xll.EQNXTDZ($A$1,$B14,AU$1,$B$1)</f>
        <v>158.25899999999999</v>
      </c>
      <c r="AV14">
        <f>_xll.EQNXTDZ($A$1,$B14,AV$1,$B$1)</f>
        <v>157.03899999999999</v>
      </c>
      <c r="AW14">
        <f>_xll.EQNXTDZ($A$1,$B14,AW$1,$B$1)</f>
        <v>202.01300000000001</v>
      </c>
      <c r="AX14">
        <f>_xll.EQNXTDZ($A$1,$B14,AX$1,$B$1)</f>
        <v>190.017</v>
      </c>
      <c r="AY14">
        <f>_xll.EQNXTDZ($A$1,$B14,AY$1,$B$1)</f>
        <v>144.809</v>
      </c>
      <c r="AZ14">
        <f>_xll.EQNXTDZ($A$1,$B14,AZ$1,$B$1)</f>
        <v>139.20500000000001</v>
      </c>
      <c r="BA14">
        <f>_xll.EQNXTDZ($A$1,$B14,BA$1,$B$1)</f>
        <v>164.25</v>
      </c>
      <c r="BB14">
        <f>_xll.EQNXTDZ($A$1,$B14,BB$1,$B$1)</f>
        <v>225.34</v>
      </c>
      <c r="BC14">
        <f>_xll.EQNXTDZ($A$1,$B14,BC$1,$B$1)</f>
        <v>169.739</v>
      </c>
      <c r="BD14">
        <f>_xll.EQNXTDZ($A$1,$B14,BD$1,$B$1)</f>
        <v>153.601</v>
      </c>
      <c r="BE14">
        <f>_xll.EQNXTDZ($A$1,$B14,BE$1,$B$1)</f>
        <v>183.803</v>
      </c>
      <c r="BF14">
        <f>_xll.EQNXTDZ($A$1,$B14,BF$1,$B$1)</f>
        <v>196.672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9.9260000000000002</v>
      </c>
      <c r="AO16">
        <f>_xll.EQNXTDZ($A$1,$B16,AO$1,$B$1)</f>
        <v>9.7829999999999995</v>
      </c>
      <c r="AP16">
        <f>_xll.EQNXTDZ($A$1,$B16,AP$1,$B$1)</f>
        <v>9.6229999999999993</v>
      </c>
      <c r="AQ16">
        <f>_xll.EQNXTDZ($A$1,$B16,AQ$1,$B$1)</f>
        <v>9.7690000000000001</v>
      </c>
      <c r="AR16">
        <f>_xll.EQNXTDZ($A$1,$B16,AR$1,$B$1)</f>
        <v>11.468999999999999</v>
      </c>
      <c r="AS16">
        <f>_xll.EQNXTDZ($A$1,$B16,AS$1,$B$1)</f>
        <v>26.457999999999998</v>
      </c>
      <c r="AT16">
        <f>_xll.EQNXTDZ($A$1,$B16,AT$1,$B$1)</f>
        <v>24.350999999999999</v>
      </c>
      <c r="AU16">
        <f>_xll.EQNXTDZ($A$1,$B16,AU$1,$B$1)</f>
        <v>20.338000000000001</v>
      </c>
      <c r="AV16">
        <f>_xll.EQNXTDZ($A$1,$B16,AV$1,$B$1)</f>
        <v>19.2</v>
      </c>
      <c r="AW16">
        <f>_xll.EQNXTDZ($A$1,$B16,AW$1,$B$1)</f>
        <v>18.218</v>
      </c>
      <c r="AX16">
        <f>_xll.EQNXTDZ($A$1,$B16,AX$1,$B$1)</f>
        <v>14.672000000000001</v>
      </c>
      <c r="AY16">
        <f>_xll.EQNXTDZ($A$1,$B16,AY$1,$B$1)</f>
        <v>14.715999999999999</v>
      </c>
      <c r="AZ16">
        <f>_xll.EQNXTDZ($A$1,$B16,AZ$1,$B$1)</f>
        <v>12.843</v>
      </c>
      <c r="BA16">
        <f>_xll.EQNXTDZ($A$1,$B16,BA$1,$B$1)</f>
        <v>13.901</v>
      </c>
      <c r="BB16">
        <f>_xll.EQNXTDZ($A$1,$B16,BB$1,$B$1)</f>
        <v>19.593</v>
      </c>
      <c r="BC16">
        <f>_xll.EQNXTDZ($A$1,$B16,BC$1,$B$1)</f>
        <v>18.73</v>
      </c>
      <c r="BD16">
        <f>_xll.EQNXTDZ($A$1,$B16,BD$1,$B$1)</f>
        <v>16.853999999999999</v>
      </c>
      <c r="BE16">
        <f>_xll.EQNXTDZ($A$1,$B16,BE$1,$B$1)</f>
        <v>17.300999999999998</v>
      </c>
      <c r="BF16">
        <f>_xll.EQNXTDZ($A$1,$B16,BF$1,$B$1)</f>
        <v>21.300999999999998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104.084</v>
      </c>
      <c r="AO22">
        <f>_xll.EQNXTDZ($A$1,$B22,AO$1,$B$1)</f>
        <v>117.24</v>
      </c>
      <c r="AP22">
        <f>_xll.EQNXTDZ($A$1,$B22,AP$1,$B$1)</f>
        <v>160.04900000000001</v>
      </c>
      <c r="AQ22">
        <f>_xll.EQNXTDZ($A$1,$B22,AQ$1,$B$1)</f>
        <v>161.06299999999999</v>
      </c>
      <c r="AR22">
        <f>_xll.EQNXTDZ($A$1,$B22,AR$1,$B$1)</f>
        <v>118.592</v>
      </c>
      <c r="AS22">
        <f>_xll.EQNXTDZ($A$1,$B22,AS$1,$B$1)</f>
        <v>159.94300000000001</v>
      </c>
      <c r="AT22">
        <f>_xll.EQNXTDZ($A$1,$B22,AT$1,$B$1)</f>
        <v>194.40100000000001</v>
      </c>
      <c r="AU22">
        <f>_xll.EQNXTDZ($A$1,$B22,AU$1,$B$1)</f>
        <v>134.63499999999999</v>
      </c>
      <c r="AV22">
        <f>_xll.EQNXTDZ($A$1,$B22,AV$1,$B$1)</f>
        <v>95.457999999999998</v>
      </c>
      <c r="AW22">
        <f>_xll.EQNXTDZ($A$1,$B22,AW$1,$B$1)</f>
        <v>145.44200000000001</v>
      </c>
      <c r="AX22">
        <f>_xll.EQNXTDZ($A$1,$B22,AX$1,$B$1)</f>
        <v>87.125</v>
      </c>
      <c r="AY22">
        <f>_xll.EQNXTDZ($A$1,$B22,AY$1,$B$1)</f>
        <v>71.197999999999993</v>
      </c>
      <c r="AZ22">
        <f>_xll.EQNXTDZ($A$1,$B22,AZ$1,$B$1)</f>
        <v>74.716999999999999</v>
      </c>
      <c r="BA22">
        <f>_xll.EQNXTDZ($A$1,$B22,BA$1,$B$1)</f>
        <v>79.945999999999998</v>
      </c>
      <c r="BB22">
        <f>_xll.EQNXTDZ($A$1,$B22,BB$1,$B$1)</f>
        <v>88.293999999999997</v>
      </c>
      <c r="BC22">
        <f>_xll.EQNXTDZ($A$1,$B22,BC$1,$B$1)</f>
        <v>78.093000000000004</v>
      </c>
      <c r="BD22">
        <f>_xll.EQNXTDZ($A$1,$B22,BD$1,$B$1)</f>
        <v>62.6</v>
      </c>
      <c r="BE22">
        <f>_xll.EQNXTDZ($A$1,$B22,BE$1,$B$1)</f>
        <v>54.395000000000003</v>
      </c>
      <c r="BF22">
        <f>_xll.EQNXTDZ($A$1,$B22,BF$1,$B$1)</f>
        <v>43.695999999999998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7.5720000000000001</v>
      </c>
      <c r="AO23">
        <f>_xll.EQNXTDZ($A$1,$B23,AO$1,$B$1)</f>
        <v>6.0430000000000001</v>
      </c>
      <c r="AP23">
        <f>_xll.EQNXTDZ($A$1,$B23,AP$1,$B$1)</f>
        <v>3.5419999999999998</v>
      </c>
      <c r="AQ23">
        <f>_xll.EQNXTDZ($A$1,$B23,AQ$1,$B$1)</f>
        <v>8.548</v>
      </c>
      <c r="AR23">
        <f>_xll.EQNXTDZ($A$1,$B23,AR$1,$B$1)</f>
        <v>18.917999999999999</v>
      </c>
      <c r="AS23">
        <f>_xll.EQNXTDZ($A$1,$B23,AS$1,$B$1)</f>
        <v>7.4740000000000002</v>
      </c>
      <c r="AT23">
        <f>_xll.EQNXTDZ($A$1,$B23,AT$1,$B$1)</f>
        <v>8.3309999999999995</v>
      </c>
      <c r="AU23">
        <f>_xll.EQNXTDZ($A$1,$B23,AU$1,$B$1)</f>
        <v>10.93</v>
      </c>
      <c r="AV23">
        <f>_xll.EQNXTDZ($A$1,$B23,AV$1,$B$1)</f>
        <v>11.192</v>
      </c>
      <c r="AW23">
        <f>_xll.EQNXTDZ($A$1,$B23,AW$1,$B$1)</f>
        <v>9.2390000000000008</v>
      </c>
      <c r="AX23">
        <f>_xll.EQNXTDZ($A$1,$B23,AX$1,$B$1)</f>
        <v>11.962999999999999</v>
      </c>
      <c r="AY23">
        <f>_xll.EQNXTDZ($A$1,$B23,AY$1,$B$1)</f>
        <v>9.7029999999999994</v>
      </c>
      <c r="AZ23">
        <f>_xll.EQNXTDZ($A$1,$B23,AZ$1,$B$1)</f>
        <v>10.920999999999999</v>
      </c>
      <c r="BA23">
        <f>_xll.EQNXTDZ($A$1,$B23,BA$1,$B$1)</f>
        <v>8.8539999999999992</v>
      </c>
      <c r="BB23">
        <f>_xll.EQNXTDZ($A$1,$B23,BB$1,$B$1)</f>
        <v>7.806</v>
      </c>
      <c r="BC23">
        <f>_xll.EQNXTDZ($A$1,$B23,BC$1,$B$1)</f>
        <v>8.23</v>
      </c>
      <c r="BD23">
        <f>_xll.EQNXTDZ($A$1,$B23,BD$1,$B$1)</f>
        <v>6.3780000000000001</v>
      </c>
      <c r="BE23">
        <f>_xll.EQNXTDZ($A$1,$B23,BE$1,$B$1)</f>
        <v>6.9530000000000003</v>
      </c>
      <c r="BF23">
        <f>_xll.EQNXTDZ($A$1,$B23,BF$1,$B$1)</f>
        <v>5.3879999999999999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111.65600000000001</v>
      </c>
      <c r="AO24">
        <f>_xll.EQNXTDZ($A$1,$B24,AO$1,$B$1)</f>
        <v>123.283</v>
      </c>
      <c r="AP24">
        <f>_xll.EQNXTDZ($A$1,$B24,AP$1,$B$1)</f>
        <v>163.59200000000001</v>
      </c>
      <c r="AQ24">
        <f>_xll.EQNXTDZ($A$1,$B24,AQ$1,$B$1)</f>
        <v>169.61099999999999</v>
      </c>
      <c r="AR24">
        <f>_xll.EQNXTDZ($A$1,$B24,AR$1,$B$1)</f>
        <v>137.51</v>
      </c>
      <c r="AS24">
        <f>_xll.EQNXTDZ($A$1,$B24,AS$1,$B$1)</f>
        <v>167.416</v>
      </c>
      <c r="AT24">
        <f>_xll.EQNXTDZ($A$1,$B24,AT$1,$B$1)</f>
        <v>202.732</v>
      </c>
      <c r="AU24">
        <f>_xll.EQNXTDZ($A$1,$B24,AU$1,$B$1)</f>
        <v>145.56399999999999</v>
      </c>
      <c r="AV24">
        <f>_xll.EQNXTDZ($A$1,$B24,AV$1,$B$1)</f>
        <v>106.65</v>
      </c>
      <c r="AW24">
        <f>_xll.EQNXTDZ($A$1,$B24,AW$1,$B$1)</f>
        <v>154.68100000000001</v>
      </c>
      <c r="AX24">
        <f>_xll.EQNXTDZ($A$1,$B24,AX$1,$B$1)</f>
        <v>99.087999999999994</v>
      </c>
      <c r="AY24">
        <f>_xll.EQNXTDZ($A$1,$B24,AY$1,$B$1)</f>
        <v>80.900999999999996</v>
      </c>
      <c r="AZ24">
        <f>_xll.EQNXTDZ($A$1,$B24,AZ$1,$B$1)</f>
        <v>85.638000000000005</v>
      </c>
      <c r="BA24">
        <f>_xll.EQNXTDZ($A$1,$B24,BA$1,$B$1)</f>
        <v>88.8</v>
      </c>
      <c r="BB24">
        <f>_xll.EQNXTDZ($A$1,$B24,BB$1,$B$1)</f>
        <v>96.1</v>
      </c>
      <c r="BC24">
        <f>_xll.EQNXTDZ($A$1,$B24,BC$1,$B$1)</f>
        <v>86.322999999999993</v>
      </c>
      <c r="BD24">
        <f>_xll.EQNXTDZ($A$1,$B24,BD$1,$B$1)</f>
        <v>68.977999999999994</v>
      </c>
      <c r="BE24">
        <f>_xll.EQNXTDZ($A$1,$B24,BE$1,$B$1)</f>
        <v>61.347999999999999</v>
      </c>
      <c r="BF24">
        <f>_xll.EQNXTDZ($A$1,$B24,BF$1,$B$1)</f>
        <v>49.084000000000003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41.642000000000003</v>
      </c>
      <c r="AO25">
        <f>_xll.EQNXTDZ($A$1,$B25,AO$1,$B$1)</f>
        <v>40.534999999999997</v>
      </c>
      <c r="AP25">
        <f>_xll.EQNXTDZ($A$1,$B25,AP$1,$B$1)</f>
        <v>39.396000000000001</v>
      </c>
      <c r="AQ25">
        <f>_xll.EQNXTDZ($A$1,$B25,AQ$1,$B$1)</f>
        <v>39.15</v>
      </c>
      <c r="AR25">
        <f>_xll.EQNXTDZ($A$1,$B25,AR$1,$B$1)</f>
        <v>34.972999999999999</v>
      </c>
      <c r="AS25">
        <f>_xll.EQNXTDZ($A$1,$B25,AS$1,$B$1)</f>
        <v>19.419</v>
      </c>
      <c r="AT25">
        <f>_xll.EQNXTDZ($A$1,$B25,AT$1,$B$1)</f>
        <v>3.4169999999999998</v>
      </c>
      <c r="AU25">
        <f>_xll.EQNXTDZ($A$1,$B25,AU$1,$B$1)</f>
        <v>3.012</v>
      </c>
      <c r="AV25">
        <f>_xll.EQNXTDZ($A$1,$B25,AV$1,$B$1)</f>
        <v>1.853</v>
      </c>
      <c r="AW25">
        <f>_xll.EQNXTDZ($A$1,$B25,AW$1,$B$1)</f>
        <v>1.895</v>
      </c>
      <c r="AX25">
        <f>_xll.EQNXTDZ($A$1,$B25,AX$1,$B$1)</f>
        <v>1.7010000000000001</v>
      </c>
      <c r="AY25">
        <f>_xll.EQNXTDZ($A$1,$B25,AY$1,$B$1)</f>
        <v>1.7010000000000001</v>
      </c>
      <c r="AZ25">
        <f>_xll.EQNXTDZ($A$1,$B25,AZ$1,$B$1)</f>
        <v>3.21</v>
      </c>
      <c r="BA25">
        <f>_xll.EQNXTDZ($A$1,$B25,BA$1,$B$1)</f>
        <v>2.9049999999999998</v>
      </c>
      <c r="BB25">
        <f>_xll.EQNXTDZ($A$1,$B25,BB$1,$B$1)</f>
        <v>0.28799999999999998</v>
      </c>
      <c r="BC25">
        <f>_xll.EQNXTDZ($A$1,$B25,BC$1,$B$1)</f>
        <v>5.38</v>
      </c>
      <c r="BD25">
        <f>_xll.EQNXTDZ($A$1,$B25,BD$1,$B$1)</f>
        <v>5.52</v>
      </c>
      <c r="BE25">
        <f>_xll.EQNXTDZ($A$1,$B25,BE$1,$B$1)</f>
        <v>4.42</v>
      </c>
      <c r="BF25">
        <f>_xll.EQNXTDZ($A$1,$B25,BF$1,$B$1)</f>
        <v>10.427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-40.183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70.013999999999996</v>
      </c>
      <c r="AO27">
        <f>_xll.EQNXTDZ($A$1,$B27,AO$1,$B$1)</f>
        <v>82.748000000000005</v>
      </c>
      <c r="AP27">
        <f>_xll.EQNXTDZ($A$1,$B27,AP$1,$B$1)</f>
        <v>124.196</v>
      </c>
      <c r="AQ27">
        <f>_xll.EQNXTDZ($A$1,$B27,AQ$1,$B$1)</f>
        <v>130.46100000000001</v>
      </c>
      <c r="AR27">
        <f>_xll.EQNXTDZ($A$1,$B27,AR$1,$B$1)</f>
        <v>102.53700000000001</v>
      </c>
      <c r="AS27">
        <f>_xll.EQNXTDZ($A$1,$B27,AS$1,$B$1)</f>
        <v>147.99700000000001</v>
      </c>
      <c r="AT27">
        <f>_xll.EQNXTDZ($A$1,$B27,AT$1,$B$1)</f>
        <v>199.315</v>
      </c>
      <c r="AU27">
        <f>_xll.EQNXTDZ($A$1,$B27,AU$1,$B$1)</f>
        <v>142.55199999999999</v>
      </c>
      <c r="AV27">
        <f>_xll.EQNXTDZ($A$1,$B27,AV$1,$B$1)</f>
        <v>104.797</v>
      </c>
      <c r="AW27">
        <f>_xll.EQNXTDZ($A$1,$B27,AW$1,$B$1)</f>
        <v>152.786</v>
      </c>
      <c r="AX27">
        <f>_xll.EQNXTDZ($A$1,$B27,AX$1,$B$1)</f>
        <v>97.387</v>
      </c>
      <c r="AY27">
        <f>_xll.EQNXTDZ($A$1,$B27,AY$1,$B$1)</f>
        <v>79.2</v>
      </c>
      <c r="AZ27">
        <f>_xll.EQNXTDZ($A$1,$B27,AZ$1,$B$1)</f>
        <v>42.244999999999997</v>
      </c>
      <c r="BA27">
        <f>_xll.EQNXTDZ($A$1,$B27,BA$1,$B$1)</f>
        <v>85.894999999999996</v>
      </c>
      <c r="BB27">
        <f>_xll.EQNXTDZ($A$1,$B27,BB$1,$B$1)</f>
        <v>95.811999999999998</v>
      </c>
      <c r="BC27">
        <f>_xll.EQNXTDZ($A$1,$B27,BC$1,$B$1)</f>
        <v>80.942999999999998</v>
      </c>
      <c r="BD27">
        <f>_xll.EQNXTDZ($A$1,$B27,BD$1,$B$1)</f>
        <v>63.457999999999998</v>
      </c>
      <c r="BE27">
        <f>_xll.EQNXTDZ($A$1,$B27,BE$1,$B$1)</f>
        <v>56.927999999999997</v>
      </c>
      <c r="BF27">
        <f>_xll.EQNXTDZ($A$1,$B27,BF$1,$B$1)</f>
        <v>38.656999999999996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16.617000000000001</v>
      </c>
      <c r="AO28">
        <f>_xll.EQNXTDZ($A$1,$B28,AO$1,$B$1)</f>
        <v>16.821000000000002</v>
      </c>
      <c r="AP28">
        <f>_xll.EQNXTDZ($A$1,$B28,AP$1,$B$1)</f>
        <v>17.288</v>
      </c>
      <c r="AQ28">
        <f>_xll.EQNXTDZ($A$1,$B28,AQ$1,$B$1)</f>
        <v>17.623999999999999</v>
      </c>
      <c r="AR28">
        <f>_xll.EQNXTDZ($A$1,$B28,AR$1,$B$1)</f>
        <v>16.895</v>
      </c>
      <c r="AS28">
        <f>_xll.EQNXTDZ($A$1,$B28,AS$1,$B$1)</f>
        <v>16.818000000000001</v>
      </c>
      <c r="AT28">
        <f>_xll.EQNXTDZ($A$1,$B28,AT$1,$B$1)</f>
        <v>17.297000000000001</v>
      </c>
      <c r="AU28">
        <f>_xll.EQNXTDZ($A$1,$B28,AU$1,$B$1)</f>
        <v>17.507999999999999</v>
      </c>
      <c r="AV28">
        <f>_xll.EQNXTDZ($A$1,$B28,AV$1,$B$1)</f>
        <v>17.503</v>
      </c>
      <c r="AW28">
        <f>_xll.EQNXTDZ($A$1,$B28,AW$1,$B$1)</f>
        <v>17.66</v>
      </c>
      <c r="AX28">
        <f>_xll.EQNXTDZ($A$1,$B28,AX$1,$B$1)</f>
        <v>17.667000000000002</v>
      </c>
      <c r="AY28">
        <f>_xll.EQNXTDZ($A$1,$B28,AY$1,$B$1)</f>
        <v>18.64</v>
      </c>
      <c r="AZ28">
        <f>_xll.EQNXTDZ($A$1,$B28,AZ$1,$B$1)</f>
        <v>19.460999999999999</v>
      </c>
      <c r="BA28">
        <f>_xll.EQNXTDZ($A$1,$B28,BA$1,$B$1)</f>
        <v>20.145</v>
      </c>
      <c r="BB28">
        <f>_xll.EQNXTDZ($A$1,$B28,BB$1,$B$1)</f>
        <v>21.138999999999999</v>
      </c>
      <c r="BC28">
        <f>_xll.EQNXTDZ($A$1,$B28,BC$1,$B$1)</f>
        <v>22.937000000000001</v>
      </c>
      <c r="BD28">
        <f>_xll.EQNXTDZ($A$1,$B28,BD$1,$B$1)</f>
        <v>23.55</v>
      </c>
      <c r="BE28">
        <f>_xll.EQNXTDZ($A$1,$B28,BE$1,$B$1)</f>
        <v>23.599</v>
      </c>
      <c r="BF28">
        <f>_xll.EQNXTDZ($A$1,$B28,BF$1,$B$1)</f>
        <v>22.802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14.019</v>
      </c>
      <c r="AO29">
        <f>_xll.EQNXTDZ($A$1,$B29,AO$1,$B$1)</f>
        <v>16.907</v>
      </c>
      <c r="AP29">
        <f>_xll.EQNXTDZ($A$1,$B29,AP$1,$B$1)</f>
        <v>25.341999999999999</v>
      </c>
      <c r="AQ29">
        <f>_xll.EQNXTDZ($A$1,$B29,AQ$1,$B$1)</f>
        <v>28.437999999999999</v>
      </c>
      <c r="AR29">
        <f>_xll.EQNXTDZ($A$1,$B29,AR$1,$B$1)</f>
        <v>22.052</v>
      </c>
      <c r="AS29">
        <f>_xll.EQNXTDZ($A$1,$B29,AS$1,$B$1)</f>
        <v>33.119</v>
      </c>
      <c r="AT29">
        <f>_xll.EQNXTDZ($A$1,$B29,AT$1,$B$1)</f>
        <v>45.508000000000003</v>
      </c>
      <c r="AU29">
        <f>_xll.EQNXTDZ($A$1,$B29,AU$1,$B$1)</f>
        <v>31.187999999999999</v>
      </c>
      <c r="AV29">
        <f>_xll.EQNXTDZ($A$1,$B29,AV$1,$B$1)</f>
        <v>21.292999999999999</v>
      </c>
      <c r="AW29">
        <f>_xll.EQNXTDZ($A$1,$B29,AW$1,$B$1)</f>
        <v>33.597999999999999</v>
      </c>
      <c r="AX29">
        <f>_xll.EQNXTDZ($A$1,$B29,AX$1,$B$1)</f>
        <v>22.134</v>
      </c>
      <c r="AY29">
        <f>_xll.EQNXTDZ($A$1,$B29,AY$1,$B$1)</f>
        <v>15.718</v>
      </c>
      <c r="AZ29">
        <f>_xll.EQNXTDZ($A$1,$B29,AZ$1,$B$1)</f>
        <v>7.05</v>
      </c>
      <c r="BA29">
        <f>_xll.EQNXTDZ($A$1,$B29,BA$1,$B$1)</f>
        <v>17.927</v>
      </c>
      <c r="BB29">
        <f>_xll.EQNXTDZ($A$1,$B29,BB$1,$B$1)</f>
        <v>20.928000000000001</v>
      </c>
      <c r="BC29">
        <f>_xll.EQNXTDZ($A$1,$B29,BC$1,$B$1)</f>
        <v>17.861999999999998</v>
      </c>
      <c r="BD29">
        <f>_xll.EQNXTDZ($A$1,$B29,BD$1,$B$1)</f>
        <v>10.868</v>
      </c>
      <c r="BE29">
        <f>_xll.EQNXTDZ($A$1,$B29,BE$1,$B$1)</f>
        <v>9.33</v>
      </c>
      <c r="BF29">
        <f>_xll.EQNXTDZ($A$1,$B29,BF$1,$B$1)</f>
        <v>3.6269999999999998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39.378</v>
      </c>
      <c r="AO30">
        <f>_xll.EQNXTDZ($A$1,$B30,AO$1,$B$1)</f>
        <v>49.02</v>
      </c>
      <c r="AP30">
        <f>_xll.EQNXTDZ($A$1,$B30,AP$1,$B$1)</f>
        <v>81.566000000000003</v>
      </c>
      <c r="AQ30">
        <f>_xll.EQNXTDZ($A$1,$B30,AQ$1,$B$1)</f>
        <v>84.399000000000001</v>
      </c>
      <c r="AR30">
        <f>_xll.EQNXTDZ($A$1,$B30,AR$1,$B$1)</f>
        <v>63.59</v>
      </c>
      <c r="AS30">
        <f>_xll.EQNXTDZ($A$1,$B30,AS$1,$B$1)</f>
        <v>98.06</v>
      </c>
      <c r="AT30">
        <f>_xll.EQNXTDZ($A$1,$B30,AT$1,$B$1)</f>
        <v>136.51</v>
      </c>
      <c r="AU30">
        <f>_xll.EQNXTDZ($A$1,$B30,AU$1,$B$1)</f>
        <v>93.855999999999995</v>
      </c>
      <c r="AV30">
        <f>_xll.EQNXTDZ($A$1,$B30,AV$1,$B$1)</f>
        <v>66.001000000000005</v>
      </c>
      <c r="AW30">
        <f>_xll.EQNXTDZ($A$1,$B30,AW$1,$B$1)</f>
        <v>101.52800000000001</v>
      </c>
      <c r="AX30">
        <f>_xll.EQNXTDZ($A$1,$B30,AX$1,$B$1)</f>
        <v>57.585999999999999</v>
      </c>
      <c r="AY30">
        <f>_xll.EQNXTDZ($A$1,$B30,AY$1,$B$1)</f>
        <v>44.841999999999999</v>
      </c>
      <c r="AZ30">
        <f>_xll.EQNXTDZ($A$1,$B30,AZ$1,$B$1)</f>
        <v>15.734</v>
      </c>
      <c r="BA30">
        <f>_xll.EQNXTDZ($A$1,$B30,BA$1,$B$1)</f>
        <v>47.823</v>
      </c>
      <c r="BB30">
        <f>_xll.EQNXTDZ($A$1,$B30,BB$1,$B$1)</f>
        <v>53.744999999999997</v>
      </c>
      <c r="BC30">
        <f>_xll.EQNXTDZ($A$1,$B30,BC$1,$B$1)</f>
        <v>40.143999999999998</v>
      </c>
      <c r="BD30">
        <f>_xll.EQNXTDZ($A$1,$B30,BD$1,$B$1)</f>
        <v>29.04</v>
      </c>
      <c r="BE30">
        <f>_xll.EQNXTDZ($A$1,$B30,BE$1,$B$1)</f>
        <v>23.998999999999999</v>
      </c>
      <c r="BF30">
        <f>_xll.EQNXTDZ($A$1,$B30,BF$1,$B$1)</f>
        <v>12.228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7.0000000000000001E-3</v>
      </c>
      <c r="AY34">
        <f>_xll.EQNXTDZ($A$1,$B34,AY$1,$B$1)</f>
        <v>1.4999999999999999E-2</v>
      </c>
      <c r="AZ34">
        <f>_xll.EQNXTDZ($A$1,$B34,AZ$1,$B$1)</f>
        <v>4.7E-2</v>
      </c>
      <c r="BA34">
        <f>_xll.EQNXTDZ($A$1,$B34,BA$1,$B$1)</f>
        <v>0.14899999999999999</v>
      </c>
      <c r="BB34">
        <f>_xll.EQNXTDZ($A$1,$B34,BB$1,$B$1)</f>
        <v>-0.20699999999999999</v>
      </c>
      <c r="BC34">
        <f>_xll.EQNXTDZ($A$1,$B34,BC$1,$B$1)</f>
        <v>4.7E-2</v>
      </c>
      <c r="BD34">
        <f>_xll.EQNXTDZ($A$1,$B34,BD$1,$B$1)</f>
        <v>5.2999999999999999E-2</v>
      </c>
      <c r="BE34">
        <f>_xll.EQNXTDZ($A$1,$B34,BE$1,$B$1)</f>
        <v>-0.36</v>
      </c>
      <c r="BF34">
        <f>_xll.EQNXTDZ($A$1,$B34,BF$1,$B$1)</f>
        <v>1.1910000000000001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39.378</v>
      </c>
      <c r="AO38">
        <f>_xll.EQNXTDZ($A$1,$B38,AO$1,$B$1)</f>
        <v>49.02</v>
      </c>
      <c r="AP38">
        <f>_xll.EQNXTDZ($A$1,$B38,AP$1,$B$1)</f>
        <v>81.564999999999998</v>
      </c>
      <c r="AQ38">
        <f>_xll.EQNXTDZ($A$1,$B38,AQ$1,$B$1)</f>
        <v>84.399000000000001</v>
      </c>
      <c r="AR38">
        <f>_xll.EQNXTDZ($A$1,$B38,AR$1,$B$1)</f>
        <v>63.59</v>
      </c>
      <c r="AS38">
        <f>_xll.EQNXTDZ($A$1,$B38,AS$1,$B$1)</f>
        <v>98.061000000000007</v>
      </c>
      <c r="AT38">
        <f>_xll.EQNXTDZ($A$1,$B38,AT$1,$B$1)</f>
        <v>136.51</v>
      </c>
      <c r="AU38">
        <f>_xll.EQNXTDZ($A$1,$B38,AU$1,$B$1)</f>
        <v>93.855999999999995</v>
      </c>
      <c r="AV38">
        <f>_xll.EQNXTDZ($A$1,$B38,AV$1,$B$1)</f>
        <v>66.001000000000005</v>
      </c>
      <c r="AW38">
        <f>_xll.EQNXTDZ($A$1,$B38,AW$1,$B$1)</f>
        <v>101.52800000000001</v>
      </c>
      <c r="AX38">
        <f>_xll.EQNXTDZ($A$1,$B38,AX$1,$B$1)</f>
        <v>57.593000000000004</v>
      </c>
      <c r="AY38">
        <f>_xll.EQNXTDZ($A$1,$B38,AY$1,$B$1)</f>
        <v>44.856000000000002</v>
      </c>
      <c r="AZ38">
        <f>_xll.EQNXTDZ($A$1,$B38,AZ$1,$B$1)</f>
        <v>15.782</v>
      </c>
      <c r="BA38">
        <f>_xll.EQNXTDZ($A$1,$B38,BA$1,$B$1)</f>
        <v>47.972000000000001</v>
      </c>
      <c r="BB38">
        <f>_xll.EQNXTDZ($A$1,$B38,BB$1,$B$1)</f>
        <v>53.539000000000001</v>
      </c>
      <c r="BC38">
        <f>_xll.EQNXTDZ($A$1,$B38,BC$1,$B$1)</f>
        <v>40.19</v>
      </c>
      <c r="BD38">
        <f>_xll.EQNXTDZ($A$1,$B38,BD$1,$B$1)</f>
        <v>29.091999999999999</v>
      </c>
      <c r="BE38">
        <f>_xll.EQNXTDZ($A$1,$B38,BE$1,$B$1)</f>
        <v>23.638000000000002</v>
      </c>
      <c r="BF38">
        <f>_xll.EQNXTDZ($A$1,$B38,BF$1,$B$1)</f>
        <v>13.419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-8.8999999999999996E-2</v>
      </c>
      <c r="AO40">
        <f>_xll.EQNXTDZ($A$1,$B40,AO$1,$B$1)</f>
        <v>0.112</v>
      </c>
      <c r="AP40">
        <f>_xll.EQNXTDZ($A$1,$B40,AP$1,$B$1)</f>
        <v>0.16600000000000001</v>
      </c>
      <c r="AQ40">
        <f>_xll.EQNXTDZ($A$1,$B40,AQ$1,$B$1)</f>
        <v>-3.5999999999999997E-2</v>
      </c>
      <c r="AR40">
        <f>_xll.EQNXTDZ($A$1,$B40,AR$1,$B$1)</f>
        <v>-2.1000000000000001E-2</v>
      </c>
      <c r="AS40">
        <f>_xll.EQNXTDZ($A$1,$B40,AS$1,$B$1)</f>
        <v>7.1999999999999995E-2</v>
      </c>
      <c r="AT40">
        <f>_xll.EQNXTDZ($A$1,$B40,AT$1,$B$1)</f>
        <v>0.27</v>
      </c>
      <c r="AU40">
        <f>_xll.EQNXTDZ($A$1,$B40,AU$1,$B$1)</f>
        <v>-7.0999999999999994E-2</v>
      </c>
      <c r="AV40">
        <f>_xll.EQNXTDZ($A$1,$B40,AV$1,$B$1)</f>
        <v>-0.193</v>
      </c>
      <c r="AW40">
        <f>_xll.EQNXTDZ($A$1,$B40,AW$1,$B$1)</f>
        <v>8.9999999999999993E-3</v>
      </c>
      <c r="AX40">
        <f>_xll.EQNXTDZ($A$1,$B40,AX$1,$B$1)</f>
        <v>-5.5E-2</v>
      </c>
      <c r="AY40">
        <f>_xll.EQNXTDZ($A$1,$B40,AY$1,$B$1)</f>
        <v>2.5000000000000001E-2</v>
      </c>
      <c r="AZ40">
        <f>_xll.EQNXTDZ($A$1,$B40,AZ$1,$B$1)</f>
        <v>-0.13700000000000001</v>
      </c>
      <c r="BA40">
        <f>_xll.EQNXTDZ($A$1,$B40,BA$1,$B$1)</f>
        <v>1.4999999999999999E-2</v>
      </c>
      <c r="BB40">
        <f>_xll.EQNXTDZ($A$1,$B40,BB$1,$B$1)</f>
        <v>-6.2E-2</v>
      </c>
      <c r="BC40">
        <f>_xll.EQNXTDZ($A$1,$B40,BC$1,$B$1)</f>
        <v>1.7000000000000001E-2</v>
      </c>
      <c r="BD40">
        <f>_xll.EQNXTDZ($A$1,$B40,BD$1,$B$1)</f>
        <v>-9.4E-2</v>
      </c>
      <c r="BE40">
        <f>_xll.EQNXTDZ($A$1,$B40,BE$1,$B$1)</f>
        <v>-0.13</v>
      </c>
      <c r="BF40">
        <f>_xll.EQNXTDZ($A$1,$B40,BF$1,$B$1)</f>
        <v>-2.5999999999999999E-2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39.289000000000001</v>
      </c>
      <c r="AO41">
        <f>_xll.EQNXTDZ($A$1,$B41,AO$1,$B$1)</f>
        <v>49.131999999999998</v>
      </c>
      <c r="AP41">
        <f>_xll.EQNXTDZ($A$1,$B41,AP$1,$B$1)</f>
        <v>81.730999999999995</v>
      </c>
      <c r="AQ41">
        <f>_xll.EQNXTDZ($A$1,$B41,AQ$1,$B$1)</f>
        <v>84.361999999999995</v>
      </c>
      <c r="AR41">
        <f>_xll.EQNXTDZ($A$1,$B41,AR$1,$B$1)</f>
        <v>63.57</v>
      </c>
      <c r="AS41">
        <f>_xll.EQNXTDZ($A$1,$B41,AS$1,$B$1)</f>
        <v>98.132999999999996</v>
      </c>
      <c r="AT41">
        <f>_xll.EQNXTDZ($A$1,$B41,AT$1,$B$1)</f>
        <v>136.78</v>
      </c>
      <c r="AU41">
        <f>_xll.EQNXTDZ($A$1,$B41,AU$1,$B$1)</f>
        <v>93.786000000000001</v>
      </c>
      <c r="AV41">
        <f>_xll.EQNXTDZ($A$1,$B41,AV$1,$B$1)</f>
        <v>65.807000000000002</v>
      </c>
      <c r="AW41">
        <f>_xll.EQNXTDZ($A$1,$B41,AW$1,$B$1)</f>
        <v>101.53700000000001</v>
      </c>
      <c r="AX41">
        <f>_xll.EQNXTDZ($A$1,$B41,AX$1,$B$1)</f>
        <v>57.537999999999997</v>
      </c>
      <c r="AY41">
        <f>_xll.EQNXTDZ($A$1,$B41,AY$1,$B$1)</f>
        <v>44.881999999999998</v>
      </c>
      <c r="AZ41">
        <f>_xll.EQNXTDZ($A$1,$B41,AZ$1,$B$1)</f>
        <v>15.645</v>
      </c>
      <c r="BA41">
        <f>_xll.EQNXTDZ($A$1,$B41,BA$1,$B$1)</f>
        <v>47.985999999999997</v>
      </c>
      <c r="BB41">
        <f>_xll.EQNXTDZ($A$1,$B41,BB$1,$B$1)</f>
        <v>53.476999999999997</v>
      </c>
      <c r="BC41">
        <f>_xll.EQNXTDZ($A$1,$B41,BC$1,$B$1)</f>
        <v>40.206000000000003</v>
      </c>
      <c r="BD41">
        <f>_xll.EQNXTDZ($A$1,$B41,BD$1,$B$1)</f>
        <v>28.998000000000001</v>
      </c>
      <c r="BE41">
        <f>_xll.EQNXTDZ($A$1,$B41,BE$1,$B$1)</f>
        <v>23.507999999999999</v>
      </c>
      <c r="BF41">
        <f>_xll.EQNXTDZ($A$1,$B41,BF$1,$B$1)</f>
        <v>13.393000000000001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39.378</v>
      </c>
      <c r="AO42">
        <f>_xll.EQNXTDZ($A$1,$B42,AO$1,$B$1)</f>
        <v>49.02</v>
      </c>
      <c r="AP42">
        <f>_xll.EQNXTDZ($A$1,$B42,AP$1,$B$1)</f>
        <v>81.564999999999998</v>
      </c>
      <c r="AQ42">
        <f>_xll.EQNXTDZ($A$1,$B42,AQ$1,$B$1)</f>
        <v>84.399000000000001</v>
      </c>
      <c r="AR42">
        <f>_xll.EQNXTDZ($A$1,$B42,AR$1,$B$1)</f>
        <v>63.59</v>
      </c>
      <c r="AS42">
        <f>_xll.EQNXTDZ($A$1,$B42,AS$1,$B$1)</f>
        <v>98.061000000000007</v>
      </c>
      <c r="AT42">
        <f>_xll.EQNXTDZ($A$1,$B42,AT$1,$B$1)</f>
        <v>136.51</v>
      </c>
      <c r="AU42">
        <f>_xll.EQNXTDZ($A$1,$B42,AU$1,$B$1)</f>
        <v>93.855999999999995</v>
      </c>
      <c r="AV42">
        <f>_xll.EQNXTDZ($A$1,$B42,AV$1,$B$1)</f>
        <v>66.001000000000005</v>
      </c>
      <c r="AW42">
        <f>_xll.EQNXTDZ($A$1,$B42,AW$1,$B$1)</f>
        <v>101.52800000000001</v>
      </c>
      <c r="AX42">
        <f>_xll.EQNXTDZ($A$1,$B42,AX$1,$B$1)</f>
        <v>57.593000000000004</v>
      </c>
      <c r="AY42">
        <f>_xll.EQNXTDZ($A$1,$B42,AY$1,$B$1)</f>
        <v>44.856000000000002</v>
      </c>
      <c r="AZ42">
        <f>_xll.EQNXTDZ($A$1,$B42,AZ$1,$B$1)</f>
        <v>15.782</v>
      </c>
      <c r="BA42">
        <f>_xll.EQNXTDZ($A$1,$B42,BA$1,$B$1)</f>
        <v>47.972000000000001</v>
      </c>
      <c r="BB42">
        <f>_xll.EQNXTDZ($A$1,$B42,BB$1,$B$1)</f>
        <v>53.539000000000001</v>
      </c>
      <c r="BC42">
        <f>_xll.EQNXTDZ($A$1,$B42,BC$1,$B$1)</f>
        <v>40.19</v>
      </c>
      <c r="BD42">
        <f>_xll.EQNXTDZ($A$1,$B42,BD$1,$B$1)</f>
        <v>29.091999999999999</v>
      </c>
      <c r="BE42">
        <f>_xll.EQNXTDZ($A$1,$B42,BE$1,$B$1)</f>
        <v>23.638000000000002</v>
      </c>
      <c r="BF42">
        <f>_xll.EQNXTDZ($A$1,$B42,BF$1,$B$1)</f>
        <v>13.419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19.266999999999999</v>
      </c>
      <c r="AO45">
        <f>_xll.EQNXTDZ($A$1,$B45,AO$1,$B$1)</f>
        <v>19.266999999999999</v>
      </c>
      <c r="AP45">
        <f>_xll.EQNXTDZ($A$1,$B45,AP$1,$B$1)</f>
        <v>19.266999999999999</v>
      </c>
      <c r="AQ45">
        <f>_xll.EQNXTDZ($A$1,$B45,AQ$1,$B$1)</f>
        <v>19.266999999999999</v>
      </c>
      <c r="AR45">
        <f>_xll.EQNXTDZ($A$1,$B45,AR$1,$B$1)</f>
        <v>19.266999999999999</v>
      </c>
      <c r="AS45">
        <f>_xll.EQNXTDZ($A$1,$B45,AS$1,$B$1)</f>
        <v>24.611000000000001</v>
      </c>
      <c r="AT45">
        <f>_xll.EQNXTDZ($A$1,$B45,AT$1,$B$1)</f>
        <v>24.611000000000001</v>
      </c>
      <c r="AU45">
        <f>_xll.EQNXTDZ($A$1,$B45,AU$1,$B$1)</f>
        <v>24.611000000000001</v>
      </c>
      <c r="AV45">
        <f>_xll.EQNXTDZ($A$1,$B45,AV$1,$B$1)</f>
        <v>24.611000000000001</v>
      </c>
      <c r="AW45">
        <f>_xll.EQNXTDZ($A$1,$B45,AW$1,$B$1)</f>
        <v>24.678999999999998</v>
      </c>
      <c r="AX45">
        <f>_xll.EQNXTDZ($A$1,$B45,AX$1,$B$1)</f>
        <v>24.678999999999998</v>
      </c>
      <c r="AY45">
        <f>_xll.EQNXTDZ($A$1,$B45,AY$1,$B$1)</f>
        <v>24.678999999999998</v>
      </c>
      <c r="AZ45">
        <f>_xll.EQNXTDZ($A$1,$B45,AZ$1,$B$1)</f>
        <v>24.678999999999998</v>
      </c>
      <c r="BA45">
        <f>_xll.EQNXTDZ($A$1,$B45,BA$1,$B$1)</f>
        <v>24.686</v>
      </c>
      <c r="BB45">
        <f>_xll.EQNXTDZ($A$1,$B45,BB$1,$B$1)</f>
        <v>24.686</v>
      </c>
      <c r="BC45">
        <f>_xll.EQNXTDZ($A$1,$B45,BC$1,$B$1)</f>
        <v>24.686</v>
      </c>
      <c r="BD45">
        <f>_xll.EQNXTDZ($A$1,$B45,BD$1,$B$1)</f>
        <v>24.686</v>
      </c>
      <c r="BE45">
        <f>_xll.EQNXTDZ($A$1,$B45,BE$1,$B$1)</f>
        <v>24.692</v>
      </c>
      <c r="BF45">
        <f>_xll.EQNXTDZ($A$1,$B45,BF$1,$B$1)</f>
        <v>24.692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525.54999999999995</v>
      </c>
      <c r="AT48" s="55">
        <f>_xll.EQNXTDZ($A$1,$B48,AT$5)</f>
        <v>650.70000000000005</v>
      </c>
      <c r="AU48" s="55">
        <f>_xll.EQNXTDZ($A$1,$B48,AU$5)</f>
        <v>537</v>
      </c>
      <c r="AV48" s="55">
        <f>_xll.EQNXTDZ($A$1,$B48,AV$5)</f>
        <v>589.5</v>
      </c>
      <c r="AW48" s="55">
        <f>_xll.EQNXTDZ($A$1,$B48,AW$5)</f>
        <v>648.9</v>
      </c>
      <c r="AX48" s="55">
        <f>_xll.EQNXTDZ($A$1,$B48,AX$5)</f>
        <v>670.15</v>
      </c>
      <c r="AY48" s="55">
        <f>_xll.EQNXTDZ($A$1,$B48,AY$5)</f>
        <v>668</v>
      </c>
      <c r="AZ48" s="55">
        <f>_xll.EQNXTDZ($A$1,$B48,AZ$5)</f>
        <v>721.55</v>
      </c>
      <c r="BA48" s="55">
        <f>_xll.EQNXTDZ($A$1,$B48,BA$5)</f>
        <v>669.1</v>
      </c>
      <c r="BB48" s="55">
        <f>_xll.EQNXTDZ($A$1,$B48,BB$5)</f>
        <v>515.45000000000005</v>
      </c>
      <c r="BC48" s="55">
        <f>_xll.EQNXTDZ($A$1,$B48,BC$5)</f>
        <v>631.6</v>
      </c>
      <c r="BD48" s="55">
        <f>_xll.EQNXTDZ($A$1,$B48,BD$5)</f>
        <v>691.4</v>
      </c>
      <c r="BE48" s="55">
        <f>_xll.EQNXTDZ($A$1,$B48,BE$5)</f>
        <v>556.25</v>
      </c>
      <c r="BF48" s="55">
        <f>_xll.EQNXTDZ($A$1,$B48,BF$5)</f>
        <v>586.75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53.6</v>
      </c>
      <c r="AT49" s="55">
        <f>_xll.EQNXTDZ($A$1,$B49,AT$5)</f>
        <v>53.6</v>
      </c>
      <c r="AU49" s="55">
        <f>_xll.EQNXTDZ($A$1,$B49,AU$5)</f>
        <v>53.6</v>
      </c>
      <c r="AV49" s="55">
        <f>_xll.EQNXTDZ($A$1,$B49,AV$5)</f>
        <v>53.6</v>
      </c>
      <c r="AW49" s="55">
        <f>_xll.EQNXTDZ($A$1,$B49,AW$5)</f>
        <v>53.45</v>
      </c>
      <c r="AX49" s="55">
        <f>_xll.EQNXTDZ($A$1,$B49,AX$5)</f>
        <v>53.45</v>
      </c>
      <c r="AY49" s="55">
        <f>_xll.EQNXTDZ($A$1,$B49,AY$5)</f>
        <v>53.45</v>
      </c>
      <c r="AZ49" s="55">
        <f>_xll.EQNXTDZ($A$1,$B49,AZ$5)</f>
        <v>53.45</v>
      </c>
      <c r="BA49" s="55">
        <f>_xll.EQNXTDZ($A$1,$B49,BA$5)</f>
        <v>53.44</v>
      </c>
      <c r="BB49" s="55">
        <f>_xll.EQNXTDZ($A$1,$B49,BB$5)</f>
        <v>53.44</v>
      </c>
      <c r="BC49" s="55">
        <f>_xll.EQNXTDZ($A$1,$B49,BC$5)</f>
        <v>53.44</v>
      </c>
      <c r="BD49" s="55">
        <f>_xll.EQNXTDZ($A$1,$B49,BD$5)</f>
        <v>53.44</v>
      </c>
      <c r="BE49" s="55">
        <f>_xll.EQNXTDZ($A$1,$B49,BE$5)</f>
        <v>53.43</v>
      </c>
      <c r="BF49" s="55">
        <f>_xll.EQNXTDZ($A$1,$B49,BF$5)</f>
        <v>53.43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4.55</v>
      </c>
      <c r="AX50" s="55">
        <f>_xll.EQNXTDZ($A$1,$B50,AX$5)</f>
        <v>4.55</v>
      </c>
      <c r="AY50" s="55">
        <f>_xll.EQNXTDZ($A$1,$B50,AY$5)</f>
        <v>4.55</v>
      </c>
      <c r="AZ50" s="55">
        <f>_xll.EQNXTDZ($A$1,$B50,AZ$5)</f>
        <v>4.55</v>
      </c>
      <c r="BA50" s="55">
        <f>_xll.EQNXTDZ($A$1,$B50,BA$5)</f>
        <v>5.31</v>
      </c>
      <c r="BB50" s="55">
        <f>_xll.EQNXTDZ($A$1,$B50,BB$5)</f>
        <v>6.97</v>
      </c>
      <c r="BC50" s="55">
        <f>_xll.EQNXTDZ($A$1,$B50,BC$5)</f>
        <v>6.97</v>
      </c>
      <c r="BD50" s="55">
        <f>_xll.EQNXTDZ($A$1,$B50,BD$5)</f>
        <v>7.34</v>
      </c>
      <c r="BE50" s="55">
        <f>_xll.EQNXTDZ($A$1,$B50,BE$5)</f>
        <v>9.25</v>
      </c>
      <c r="BF50" s="55">
        <f>_xll.EQNXTDZ($A$1,$B50,BF$5)</f>
        <v>17.260000000000002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19.266999999999999</v>
      </c>
      <c r="AQ56" s="55">
        <f>_xll.EQNXTDZ($A$1,$B56,AQ$5,$B$1)</f>
        <v>0</v>
      </c>
      <c r="AR56" s="55">
        <f>_xll.EQNXTDZ($A$1,$B56,AR$5,$B$1)</f>
        <v>19.266999999999999</v>
      </c>
      <c r="AS56" s="55">
        <f>_xll.EQNXTDZ($A$1,$B56,AS$5,$B$1)</f>
        <v>0</v>
      </c>
      <c r="AT56" s="55">
        <f>_xll.EQNXTDZ($A$1,$B56,AT$5,$B$1)</f>
        <v>24.611000000000001</v>
      </c>
      <c r="AU56" s="55">
        <f>_xll.EQNXTDZ($A$1,$B56,AU$5,$B$1)</f>
        <v>0</v>
      </c>
      <c r="AV56" s="55">
        <f>_xll.EQNXTDZ($A$1,$B56,AV$5,$B$1)</f>
        <v>24.611000000000001</v>
      </c>
      <c r="AW56" s="55">
        <f>_xll.EQNXTDZ($A$1,$B56,AW$5,$B$1)</f>
        <v>0</v>
      </c>
      <c r="AX56" s="55">
        <f>_xll.EQNXTDZ($A$1,$B56,AX$5,$B$1)</f>
        <v>24.678999999999998</v>
      </c>
      <c r="AY56" s="55">
        <f>_xll.EQNXTDZ($A$1,$B56,AY$5,$B$1)</f>
        <v>0</v>
      </c>
      <c r="AZ56" s="55">
        <f>_xll.EQNXTDZ($A$1,$B56,AZ$5,$B$1)</f>
        <v>24.678999999999998</v>
      </c>
      <c r="BA56" s="55">
        <f>_xll.EQNXTDZ($A$1,$B56,BA$5,$B$1)</f>
        <v>0</v>
      </c>
      <c r="BB56" s="55">
        <f>_xll.EQNXTDZ($A$1,$B56,BB$5,$B$1)</f>
        <v>24.686</v>
      </c>
      <c r="BC56" s="55">
        <f>_xll.EQNXTDZ($A$1,$B56,BC$5,$B$1)</f>
        <v>0</v>
      </c>
      <c r="BD56" s="55">
        <f>_xll.EQNXTDZ($A$1,$B56,BD$5,$B$1)</f>
        <v>24.686</v>
      </c>
      <c r="BE56" s="55">
        <f>_xll.EQNXTDZ($A$1,$B56,BE$5,$B$1)</f>
        <v>0</v>
      </c>
      <c r="BF56" s="55">
        <f>_xll.EQNXTDZ($A$1,$B56,BF$5,$B$1)</f>
        <v>24.692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243.01900000000001</v>
      </c>
      <c r="AQ58" s="55">
        <f>_xll.EQNXTDZ($A$1,$B58,AQ$5,$B$1)</f>
        <v>0</v>
      </c>
      <c r="AR58" s="55">
        <f>_xll.EQNXTDZ($A$1,$B58,AR$5,$B$1)</f>
        <v>391.91500000000002</v>
      </c>
      <c r="AS58" s="55">
        <f>_xll.EQNXTDZ($A$1,$B58,AS$5,$B$1)</f>
        <v>0</v>
      </c>
      <c r="AT58" s="55">
        <f>_xll.EQNXTDZ($A$1,$B58,AT$5,$B$1)</f>
        <v>1406.4090000000001</v>
      </c>
      <c r="AU58" s="55">
        <f>_xll.EQNXTDZ($A$1,$B58,AU$5,$B$1)</f>
        <v>0</v>
      </c>
      <c r="AV58" s="55">
        <f>_xll.EQNXTDZ($A$1,$B58,AV$5,$B$1)</f>
        <v>1543.135</v>
      </c>
      <c r="AW58" s="55">
        <f>_xll.EQNXTDZ($A$1,$B58,AW$5,$B$1)</f>
        <v>0</v>
      </c>
      <c r="AX58" s="55">
        <f>_xll.EQNXTDZ($A$1,$B58,AX$5,$B$1)</f>
        <v>1676.8710000000001</v>
      </c>
      <c r="AY58" s="55">
        <f>_xll.EQNXTDZ($A$1,$B58,AY$5,$B$1)</f>
        <v>0</v>
      </c>
      <c r="AZ58" s="55">
        <f>_xll.EQNXTDZ($A$1,$B58,AZ$5,$B$1)</f>
        <v>1738.886</v>
      </c>
      <c r="BA58" s="55">
        <f>_xll.EQNXTDZ($A$1,$B58,BA$5,$B$1)</f>
        <v>0</v>
      </c>
      <c r="BB58" s="55">
        <f>_xll.EQNXTDZ($A$1,$B58,BB$5,$B$1)</f>
        <v>1839.328</v>
      </c>
      <c r="BC58" s="55">
        <f>_xll.EQNXTDZ($A$1,$B58,BC$5,$B$1)</f>
        <v>0</v>
      </c>
      <c r="BD58" s="55">
        <f>_xll.EQNXTDZ($A$1,$B58,BD$5,$B$1)</f>
        <v>1878.982</v>
      </c>
      <c r="BE58" s="55">
        <f>_xll.EQNXTDZ($A$1,$B58,BE$5,$B$1)</f>
        <v>0</v>
      </c>
      <c r="BF58" s="55">
        <f>_xll.EQNXTDZ($A$1,$B58,BF$5,$B$1)</f>
        <v>1909.6980000000001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262.286</v>
      </c>
      <c r="AQ59" s="55">
        <f>_xll.EQNXTDZ($A$1,$B59,AQ$5,$B$1)</f>
        <v>0</v>
      </c>
      <c r="AR59" s="55">
        <f>_xll.EQNXTDZ($A$1,$B59,AR$5,$B$1)</f>
        <v>411.18200000000002</v>
      </c>
      <c r="AS59" s="55">
        <f>_xll.EQNXTDZ($A$1,$B59,AS$5,$B$1)</f>
        <v>0</v>
      </c>
      <c r="AT59" s="55">
        <f>_xll.EQNXTDZ($A$1,$B59,AT$5,$B$1)</f>
        <v>1431.02</v>
      </c>
      <c r="AU59" s="55">
        <f>_xll.EQNXTDZ($A$1,$B59,AU$5,$B$1)</f>
        <v>0</v>
      </c>
      <c r="AV59" s="55">
        <f>_xll.EQNXTDZ($A$1,$B59,AV$5,$B$1)</f>
        <v>1567.7460000000001</v>
      </c>
      <c r="AW59" s="55">
        <f>_xll.EQNXTDZ($A$1,$B59,AW$5,$B$1)</f>
        <v>0</v>
      </c>
      <c r="AX59" s="55">
        <f>_xll.EQNXTDZ($A$1,$B59,AX$5,$B$1)</f>
        <v>1701.55</v>
      </c>
      <c r="AY59" s="55">
        <f>_xll.EQNXTDZ($A$1,$B59,AY$5,$B$1)</f>
        <v>0</v>
      </c>
      <c r="AZ59" s="55">
        <f>_xll.EQNXTDZ($A$1,$B59,AZ$5,$B$1)</f>
        <v>1763.5650000000001</v>
      </c>
      <c r="BA59" s="55">
        <f>_xll.EQNXTDZ($A$1,$B59,BA$5,$B$1)</f>
        <v>0</v>
      </c>
      <c r="BB59" s="55">
        <f>_xll.EQNXTDZ($A$1,$B59,BB$5,$B$1)</f>
        <v>1864.0139999999999</v>
      </c>
      <c r="BC59" s="55">
        <f>_xll.EQNXTDZ($A$1,$B59,BC$5,$B$1)</f>
        <v>0</v>
      </c>
      <c r="BD59" s="55">
        <f>_xll.EQNXTDZ($A$1,$B59,BD$5,$B$1)</f>
        <v>1903.6679999999999</v>
      </c>
      <c r="BE59" s="55">
        <f>_xll.EQNXTDZ($A$1,$B59,BE$5,$B$1)</f>
        <v>0</v>
      </c>
      <c r="BF59" s="55">
        <f>_xll.EQNXTDZ($A$1,$B59,BF$5,$B$1)</f>
        <v>1934.39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8.0000000000000002E-3</v>
      </c>
      <c r="AY60" s="55">
        <f>_xll.EQNXTDZ($A$1,$B60,AY$5,$B$1)</f>
        <v>0</v>
      </c>
      <c r="AZ60" s="55">
        <f>_xll.EQNXTDZ($A$1,$B60,AZ$5,$B$1)</f>
        <v>-5.3999999999999999E-2</v>
      </c>
      <c r="BA60" s="55">
        <f>_xll.EQNXTDZ($A$1,$B60,BA$5,$B$1)</f>
        <v>0</v>
      </c>
      <c r="BB60" s="55">
        <f>_xll.EQNXTDZ($A$1,$B60,BB$5,$B$1)</f>
        <v>4.0000000000000001E-3</v>
      </c>
      <c r="BC60" s="55">
        <f>_xll.EQNXTDZ($A$1,$B60,BC$5,$B$1)</f>
        <v>0</v>
      </c>
      <c r="BD60" s="55">
        <f>_xll.EQNXTDZ($A$1,$B60,BD$5,$B$1)</f>
        <v>-9.5000000000000001E-2</v>
      </c>
      <c r="BE60" s="55">
        <f>_xll.EQNXTDZ($A$1,$B60,BE$5,$B$1)</f>
        <v>0</v>
      </c>
      <c r="BF60" s="55">
        <f>_xll.EQNXTDZ($A$1,$B60,BF$5,$B$1)</f>
        <v>-1.4470000000000001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842.83299999999997</v>
      </c>
      <c r="AQ61" s="55">
        <f>_xll.EQNXTDZ($A$1,$B61,AQ$5,$B$1)</f>
        <v>0</v>
      </c>
      <c r="AR61" s="55">
        <f>_xll.EQNXTDZ($A$1,$B61,AR$5,$B$1)</f>
        <v>700.22299999999996</v>
      </c>
      <c r="AS61" s="55">
        <f>_xll.EQNXTDZ($A$1,$B61,AS$5,$B$1)</f>
        <v>0</v>
      </c>
      <c r="AT61" s="55">
        <f>_xll.EQNXTDZ($A$1,$B61,AT$5,$B$1)</f>
        <v>0.78800000000000003</v>
      </c>
      <c r="AU61" s="55">
        <f>_xll.EQNXTDZ($A$1,$B61,AU$5,$B$1)</f>
        <v>0</v>
      </c>
      <c r="AV61" s="55">
        <f>_xll.EQNXTDZ($A$1,$B61,AV$5,$B$1)</f>
        <v>0.69699999999999995</v>
      </c>
      <c r="AW61" s="55">
        <f>_xll.EQNXTDZ($A$1,$B61,AW$5,$B$1)</f>
        <v>0</v>
      </c>
      <c r="AX61" s="55">
        <f>_xll.EQNXTDZ($A$1,$B61,AX$5,$B$1)</f>
        <v>59.359000000000002</v>
      </c>
      <c r="AY61" s="55">
        <f>_xll.EQNXTDZ($A$1,$B61,AY$5,$B$1)</f>
        <v>0</v>
      </c>
      <c r="AZ61" s="55">
        <f>_xll.EQNXTDZ($A$1,$B61,AZ$5,$B$1)</f>
        <v>115.77500000000001</v>
      </c>
      <c r="BA61" s="55">
        <f>_xll.EQNXTDZ($A$1,$B61,BA$5,$B$1)</f>
        <v>0</v>
      </c>
      <c r="BB61" s="55">
        <f>_xll.EQNXTDZ($A$1,$B61,BB$5,$B$1)</f>
        <v>151.59899999999999</v>
      </c>
      <c r="BC61" s="55">
        <f>_xll.EQNXTDZ($A$1,$B61,BC$5,$B$1)</f>
        <v>0</v>
      </c>
      <c r="BD61" s="55">
        <f>_xll.EQNXTDZ($A$1,$B61,BD$5,$B$1)</f>
        <v>147.375</v>
      </c>
      <c r="BE61" s="55">
        <f>_xll.EQNXTDZ($A$1,$B61,BE$5,$B$1)</f>
        <v>0</v>
      </c>
      <c r="BF61" s="55">
        <f>_xll.EQNXTDZ($A$1,$B61,BF$5,$B$1)</f>
        <v>126.666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842.83299999999997</v>
      </c>
      <c r="AQ63" s="55">
        <f>_xll.EQNXTDZ($A$1,$B63,AQ$5,$B$1)</f>
        <v>0</v>
      </c>
      <c r="AR63" s="55">
        <f>_xll.EQNXTDZ($A$1,$B63,AR$5,$B$1)</f>
        <v>700.22299999999996</v>
      </c>
      <c r="AS63" s="55">
        <f>_xll.EQNXTDZ($A$1,$B63,AS$5,$B$1)</f>
        <v>0</v>
      </c>
      <c r="AT63" s="55">
        <f>_xll.EQNXTDZ($A$1,$B63,AT$5,$B$1)</f>
        <v>0.78800000000000003</v>
      </c>
      <c r="AU63" s="55">
        <f>_xll.EQNXTDZ($A$1,$B63,AU$5,$B$1)</f>
        <v>0</v>
      </c>
      <c r="AV63" s="55">
        <f>_xll.EQNXTDZ($A$1,$B63,AV$5,$B$1)</f>
        <v>0.69699999999999995</v>
      </c>
      <c r="AW63" s="55">
        <f>_xll.EQNXTDZ($A$1,$B63,AW$5,$B$1)</f>
        <v>0</v>
      </c>
      <c r="AX63" s="55">
        <f>_xll.EQNXTDZ($A$1,$B63,AX$5,$B$1)</f>
        <v>59.359000000000002</v>
      </c>
      <c r="AY63" s="55">
        <f>_xll.EQNXTDZ($A$1,$B63,AY$5,$B$1)</f>
        <v>0</v>
      </c>
      <c r="AZ63" s="55">
        <f>_xll.EQNXTDZ($A$1,$B63,AZ$5,$B$1)</f>
        <v>115.77500000000001</v>
      </c>
      <c r="BA63" s="55">
        <f>_xll.EQNXTDZ($A$1,$B63,BA$5,$B$1)</f>
        <v>0</v>
      </c>
      <c r="BB63" s="55">
        <f>_xll.EQNXTDZ($A$1,$B63,BB$5,$B$1)</f>
        <v>151.59899999999999</v>
      </c>
      <c r="BC63" s="55">
        <f>_xll.EQNXTDZ($A$1,$B63,BC$5,$B$1)</f>
        <v>0</v>
      </c>
      <c r="BD63" s="55">
        <f>_xll.EQNXTDZ($A$1,$B63,BD$5,$B$1)</f>
        <v>147.375</v>
      </c>
      <c r="BE63" s="55">
        <f>_xll.EQNXTDZ($A$1,$B63,BE$5,$B$1)</f>
        <v>0</v>
      </c>
      <c r="BF63" s="55">
        <f>_xll.EQNXTDZ($A$1,$B63,BF$5,$B$1)</f>
        <v>126.666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240.709</v>
      </c>
      <c r="AQ64" s="55">
        <f>_xll.EQNXTDZ($A$1,$B64,AQ$5,$B$1)</f>
        <v>0</v>
      </c>
      <c r="AR64" s="55">
        <f>_xll.EQNXTDZ($A$1,$B64,AR$5,$B$1)</f>
        <v>77.238</v>
      </c>
      <c r="AS64" s="55">
        <f>_xll.EQNXTDZ($A$1,$B64,AS$5,$B$1)</f>
        <v>0</v>
      </c>
      <c r="AT64" s="55">
        <f>_xll.EQNXTDZ($A$1,$B64,AT$5,$B$1)</f>
        <v>35.712000000000003</v>
      </c>
      <c r="AU64" s="55">
        <f>_xll.EQNXTDZ($A$1,$B64,AU$5,$B$1)</f>
        <v>0</v>
      </c>
      <c r="AV64" s="55">
        <f>_xll.EQNXTDZ($A$1,$B64,AV$5,$B$1)</f>
        <v>32.311</v>
      </c>
      <c r="AW64" s="55">
        <f>_xll.EQNXTDZ($A$1,$B64,AW$5,$B$1)</f>
        <v>0</v>
      </c>
      <c r="AX64" s="55">
        <f>_xll.EQNXTDZ($A$1,$B64,AX$5,$B$1)</f>
        <v>31.225999999999999</v>
      </c>
      <c r="AY64" s="55">
        <f>_xll.EQNXTDZ($A$1,$B64,AY$5,$B$1)</f>
        <v>0</v>
      </c>
      <c r="AZ64" s="55">
        <f>_xll.EQNXTDZ($A$1,$B64,AZ$5,$B$1)</f>
        <v>29.331</v>
      </c>
      <c r="BA64" s="55">
        <f>_xll.EQNXTDZ($A$1,$B64,BA$5,$B$1)</f>
        <v>0</v>
      </c>
      <c r="BB64" s="55">
        <f>_xll.EQNXTDZ($A$1,$B64,BB$5,$B$1)</f>
        <v>42.186999999999998</v>
      </c>
      <c r="BC64" s="55">
        <f>_xll.EQNXTDZ($A$1,$B64,BC$5,$B$1)</f>
        <v>0</v>
      </c>
      <c r="BD64" s="55">
        <f>_xll.EQNXTDZ($A$1,$B64,BD$5,$B$1)</f>
        <v>53.295999999999999</v>
      </c>
      <c r="BE64" s="55">
        <f>_xll.EQNXTDZ($A$1,$B64,BE$5,$B$1)</f>
        <v>0</v>
      </c>
      <c r="BF64" s="55">
        <f>_xll.EQNXTDZ($A$1,$B64,BF$5,$B$1)</f>
        <v>45.045000000000002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0.33800000000000002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4.8000000000000001E-2</v>
      </c>
      <c r="AU66" s="55">
        <f>_xll.EQNXTDZ($A$1,$B66,AU$5,$B$1)</f>
        <v>0</v>
      </c>
      <c r="AV66" s="55">
        <f>_xll.EQNXTDZ($A$1,$B66,AV$5,$B$1)</f>
        <v>4.2000000000000003E-2</v>
      </c>
      <c r="AW66" s="55">
        <f>_xll.EQNXTDZ($A$1,$B66,AW$5,$B$1)</f>
        <v>0</v>
      </c>
      <c r="AX66" s="55">
        <f>_xll.EQNXTDZ($A$1,$B66,AX$5,$B$1)</f>
        <v>5.0679999999999996</v>
      </c>
      <c r="AY66" s="55">
        <f>_xll.EQNXTDZ($A$1,$B66,AY$5,$B$1)</f>
        <v>0</v>
      </c>
      <c r="AZ66" s="55">
        <f>_xll.EQNXTDZ($A$1,$B66,AZ$5,$B$1)</f>
        <v>5</v>
      </c>
      <c r="BA66" s="55">
        <f>_xll.EQNXTDZ($A$1,$B66,BA$5,$B$1)</f>
        <v>0</v>
      </c>
      <c r="BB66" s="55">
        <f>_xll.EQNXTDZ($A$1,$B66,BB$5,$B$1)</f>
        <v>15.098000000000001</v>
      </c>
      <c r="BC66" s="55">
        <f>_xll.EQNXTDZ($A$1,$B66,BC$5,$B$1)</f>
        <v>0</v>
      </c>
      <c r="BD66" s="55">
        <f>_xll.EQNXTDZ($A$1,$B66,BD$5,$B$1)</f>
        <v>15.057</v>
      </c>
      <c r="BE66" s="55">
        <f>_xll.EQNXTDZ($A$1,$B66,BE$5,$B$1)</f>
        <v>0</v>
      </c>
      <c r="BF66" s="55">
        <f>_xll.EQNXTDZ($A$1,$B66,BF$5,$B$1)</f>
        <v>15.071999999999999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1346.1659999999999</v>
      </c>
      <c r="AQ67" s="55">
        <f>_xll.EQNXTDZ($A$1,$B67,AQ$5,$B$1)</f>
        <v>0</v>
      </c>
      <c r="AR67" s="55">
        <f>_xll.EQNXTDZ($A$1,$B67,AR$5,$B$1)</f>
        <v>1188.643</v>
      </c>
      <c r="AS67" s="55">
        <f>_xll.EQNXTDZ($A$1,$B67,AS$5,$B$1)</f>
        <v>0</v>
      </c>
      <c r="AT67" s="55">
        <f>_xll.EQNXTDZ($A$1,$B67,AT$5,$B$1)</f>
        <v>1467.568</v>
      </c>
      <c r="AU67" s="55">
        <f>_xll.EQNXTDZ($A$1,$B67,AU$5,$B$1)</f>
        <v>0</v>
      </c>
      <c r="AV67" s="55">
        <f>_xll.EQNXTDZ($A$1,$B67,AV$5,$B$1)</f>
        <v>1600.796</v>
      </c>
      <c r="AW67" s="55">
        <f>_xll.EQNXTDZ($A$1,$B67,AW$5,$B$1)</f>
        <v>0</v>
      </c>
      <c r="AX67" s="55">
        <f>_xll.EQNXTDZ($A$1,$B67,AX$5,$B$1)</f>
        <v>1797.211</v>
      </c>
      <c r="AY67" s="55">
        <f>_xll.EQNXTDZ($A$1,$B67,AY$5,$B$1)</f>
        <v>0</v>
      </c>
      <c r="AZ67" s="55">
        <f>_xll.EQNXTDZ($A$1,$B67,AZ$5,$B$1)</f>
        <v>1913.617</v>
      </c>
      <c r="BA67" s="55">
        <f>_xll.EQNXTDZ($A$1,$B67,BA$5,$B$1)</f>
        <v>0</v>
      </c>
      <c r="BB67" s="55">
        <f>_xll.EQNXTDZ($A$1,$B67,BB$5,$B$1)</f>
        <v>2072.902</v>
      </c>
      <c r="BC67" s="55">
        <f>_xll.EQNXTDZ($A$1,$B67,BC$5,$B$1)</f>
        <v>0</v>
      </c>
      <c r="BD67" s="55">
        <f>_xll.EQNXTDZ($A$1,$B67,BD$5,$B$1)</f>
        <v>2119.3009999999999</v>
      </c>
      <c r="BE67" s="55">
        <f>_xll.EQNXTDZ($A$1,$B67,BE$5,$B$1)</f>
        <v>0</v>
      </c>
      <c r="BF67" s="55">
        <f>_xll.EQNXTDZ($A$1,$B67,BF$5,$B$1)</f>
        <v>2119.7260000000001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1045.675</v>
      </c>
      <c r="AQ68" s="55">
        <f>_xll.EQNXTDZ($A$1,$B68,AQ$5,$B$1)</f>
        <v>0</v>
      </c>
      <c r="AR68" s="55">
        <f>_xll.EQNXTDZ($A$1,$B68,AR$5,$B$1)</f>
        <v>1021.29</v>
      </c>
      <c r="AS68" s="55">
        <f>_xll.EQNXTDZ($A$1,$B68,AS$5,$B$1)</f>
        <v>0</v>
      </c>
      <c r="AT68" s="55">
        <f>_xll.EQNXTDZ($A$1,$B68,AT$5,$B$1)</f>
        <v>1065.059</v>
      </c>
      <c r="AU68" s="55">
        <f>_xll.EQNXTDZ($A$1,$B68,AU$5,$B$1)</f>
        <v>0</v>
      </c>
      <c r="AV68" s="55">
        <f>_xll.EQNXTDZ($A$1,$B68,AV$5,$B$1)</f>
        <v>1052.5229999999999</v>
      </c>
      <c r="AW68" s="55">
        <f>_xll.EQNXTDZ($A$1,$B68,AW$5,$B$1)</f>
        <v>0</v>
      </c>
      <c r="AX68" s="55">
        <f>_xll.EQNXTDZ($A$1,$B68,AX$5,$B$1)</f>
        <v>1120.1379999999999</v>
      </c>
      <c r="AY68" s="55">
        <f>_xll.EQNXTDZ($A$1,$B68,AY$5,$B$1)</f>
        <v>0</v>
      </c>
      <c r="AZ68" s="55">
        <f>_xll.EQNXTDZ($A$1,$B68,AZ$5,$B$1)</f>
        <v>1186.8699999999999</v>
      </c>
      <c r="BA68" s="55">
        <f>_xll.EQNXTDZ($A$1,$B68,BA$5,$B$1)</f>
        <v>0</v>
      </c>
      <c r="BB68" s="55">
        <f>_xll.EQNXTDZ($A$1,$B68,BB$5,$B$1)</f>
        <v>1320.39</v>
      </c>
      <c r="BC68" s="55">
        <f>_xll.EQNXTDZ($A$1,$B68,BC$5,$B$1)</f>
        <v>0</v>
      </c>
      <c r="BD68" s="55">
        <f>_xll.EQNXTDZ($A$1,$B68,BD$5,$B$1)</f>
        <v>1314.1790000000001</v>
      </c>
      <c r="BE68" s="55">
        <f>_xll.EQNXTDZ($A$1,$B68,BE$5,$B$1)</f>
        <v>0</v>
      </c>
      <c r="BF68" s="55">
        <f>_xll.EQNXTDZ($A$1,$B68,BF$5,$B$1)</f>
        <v>1384.1790000000001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1045.675</v>
      </c>
      <c r="AQ71" s="55">
        <f>_xll.EQNXTDZ($A$1,$B71,AQ$5,$B$1)</f>
        <v>0</v>
      </c>
      <c r="AR71" s="55">
        <f>_xll.EQNXTDZ($A$1,$B71,AR$5,$B$1)</f>
        <v>1021.29</v>
      </c>
      <c r="AS71" s="55">
        <f>_xll.EQNXTDZ($A$1,$B71,AS$5,$B$1)</f>
        <v>0</v>
      </c>
      <c r="AT71" s="55">
        <f>_xll.EQNXTDZ($A$1,$B71,AT$5,$B$1)</f>
        <v>1065.059</v>
      </c>
      <c r="AU71" s="55">
        <f>_xll.EQNXTDZ($A$1,$B71,AU$5,$B$1)</f>
        <v>0</v>
      </c>
      <c r="AV71" s="55">
        <f>_xll.EQNXTDZ($A$1,$B71,AV$5,$B$1)</f>
        <v>1052.5229999999999</v>
      </c>
      <c r="AW71" s="55">
        <f>_xll.EQNXTDZ($A$1,$B71,AW$5,$B$1)</f>
        <v>0</v>
      </c>
      <c r="AX71" s="55">
        <f>_xll.EQNXTDZ($A$1,$B71,AX$5,$B$1)</f>
        <v>1120.1379999999999</v>
      </c>
      <c r="AY71" s="55">
        <f>_xll.EQNXTDZ($A$1,$B71,AY$5,$B$1)</f>
        <v>0</v>
      </c>
      <c r="AZ71" s="55">
        <f>_xll.EQNXTDZ($A$1,$B71,AZ$5,$B$1)</f>
        <v>1186.8699999999999</v>
      </c>
      <c r="BA71" s="55">
        <f>_xll.EQNXTDZ($A$1,$B71,BA$5,$B$1)</f>
        <v>0</v>
      </c>
      <c r="BB71" s="55">
        <f>_xll.EQNXTDZ($A$1,$B71,BB$5,$B$1)</f>
        <v>1320.39</v>
      </c>
      <c r="BC71" s="55">
        <f>_xll.EQNXTDZ($A$1,$B71,BC$5,$B$1)</f>
        <v>0</v>
      </c>
      <c r="BD71" s="55">
        <f>_xll.EQNXTDZ($A$1,$B71,BD$5,$B$1)</f>
        <v>1314.1790000000001</v>
      </c>
      <c r="BE71" s="55">
        <f>_xll.EQNXTDZ($A$1,$B71,BE$5,$B$1)</f>
        <v>0</v>
      </c>
      <c r="BF71" s="55">
        <f>_xll.EQNXTDZ($A$1,$B71,BF$5,$B$1)</f>
        <v>1384.1790000000001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17.196000000000002</v>
      </c>
      <c r="AQ74" s="55">
        <f>_xll.EQNXTDZ($A$1,$B74,AQ$5,$B$1)</f>
        <v>0</v>
      </c>
      <c r="AR74" s="55">
        <f>_xll.EQNXTDZ($A$1,$B74,AR$5,$B$1)</f>
        <v>56.381999999999998</v>
      </c>
      <c r="AS74" s="55">
        <f>_xll.EQNXTDZ($A$1,$B74,AS$5,$B$1)</f>
        <v>0</v>
      </c>
      <c r="AT74" s="55">
        <f>_xll.EQNXTDZ($A$1,$B74,AT$5,$B$1)</f>
        <v>36.179000000000002</v>
      </c>
      <c r="AU74" s="55">
        <f>_xll.EQNXTDZ($A$1,$B74,AU$5,$B$1)</f>
        <v>0</v>
      </c>
      <c r="AV74" s="55">
        <f>_xll.EQNXTDZ($A$1,$B74,AV$5,$B$1)</f>
        <v>58.326999999999998</v>
      </c>
      <c r="AW74" s="55">
        <f>_xll.EQNXTDZ($A$1,$B74,AW$5,$B$1)</f>
        <v>0</v>
      </c>
      <c r="AX74" s="55">
        <f>_xll.EQNXTDZ($A$1,$B74,AX$5,$B$1)</f>
        <v>46.180999999999997</v>
      </c>
      <c r="AY74" s="55">
        <f>_xll.EQNXTDZ($A$1,$B74,AY$5,$B$1)</f>
        <v>0</v>
      </c>
      <c r="AZ74" s="55">
        <f>_xll.EQNXTDZ($A$1,$B74,AZ$5,$B$1)</f>
        <v>95.650999999999996</v>
      </c>
      <c r="BA74" s="55">
        <f>_xll.EQNXTDZ($A$1,$B74,BA$5,$B$1)</f>
        <v>0</v>
      </c>
      <c r="BB74" s="55">
        <f>_xll.EQNXTDZ($A$1,$B74,BB$5,$B$1)</f>
        <v>34.46</v>
      </c>
      <c r="BC74" s="55">
        <f>_xll.EQNXTDZ($A$1,$B74,BC$5,$B$1)</f>
        <v>0</v>
      </c>
      <c r="BD74" s="55">
        <f>_xll.EQNXTDZ($A$1,$B74,BD$5,$B$1)</f>
        <v>63.634999999999998</v>
      </c>
      <c r="BE74" s="55">
        <f>_xll.EQNXTDZ($A$1,$B74,BE$5,$B$1)</f>
        <v>0</v>
      </c>
      <c r="BF74" s="55">
        <f>_xll.EQNXTDZ($A$1,$B74,BF$5,$B$1)</f>
        <v>71.524000000000001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0.09</v>
      </c>
      <c r="AQ77" s="55">
        <f>_xll.EQNXTDZ($A$1,$B77,AQ$5,$B$1)</f>
        <v>0</v>
      </c>
      <c r="AR77" s="55">
        <f>_xll.EQNXTDZ($A$1,$B77,AR$5,$B$1)</f>
        <v>5.0910000000000002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136.499</v>
      </c>
      <c r="BC77" s="55">
        <f>_xll.EQNXTDZ($A$1,$B77,BC$5,$B$1)</f>
        <v>0</v>
      </c>
      <c r="BD77" s="55">
        <f>_xll.EQNXTDZ($A$1,$B77,BD$5,$B$1)</f>
        <v>250.77500000000001</v>
      </c>
      <c r="BE77" s="55">
        <f>_xll.EQNXTDZ($A$1,$B77,BE$5,$B$1)</f>
        <v>0</v>
      </c>
      <c r="BF77" s="55">
        <f>_xll.EQNXTDZ($A$1,$B77,BF$5,$B$1)</f>
        <v>250.77500000000001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12.551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22.148</v>
      </c>
      <c r="BC78" s="55">
        <f>_xll.EQNXTDZ($A$1,$B78,BC$5,$B$1)</f>
        <v>0</v>
      </c>
      <c r="BD78" s="55">
        <f>_xll.EQNXTDZ($A$1,$B78,BD$5,$B$1)</f>
        <v>25.279</v>
      </c>
      <c r="BE78" s="55">
        <f>_xll.EQNXTDZ($A$1,$B78,BE$5,$B$1)</f>
        <v>0</v>
      </c>
      <c r="BF78" s="55">
        <f>_xll.EQNXTDZ($A$1,$B78,BF$5,$B$1)</f>
        <v>27.396000000000001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69.701999999999998</v>
      </c>
      <c r="AQ79" s="55">
        <f>_xll.EQNXTDZ($A$1,$B79,AQ$5,$B$1)</f>
        <v>0</v>
      </c>
      <c r="AR79" s="55">
        <f>_xll.EQNXTDZ($A$1,$B79,AR$5,$B$1)</f>
        <v>54.033999999999999</v>
      </c>
      <c r="AS79" s="55">
        <f>_xll.EQNXTDZ($A$1,$B79,AS$5,$B$1)</f>
        <v>0</v>
      </c>
      <c r="AT79" s="55">
        <f>_xll.EQNXTDZ($A$1,$B79,AT$5,$B$1)</f>
        <v>77.168000000000006</v>
      </c>
      <c r="AU79" s="55">
        <f>_xll.EQNXTDZ($A$1,$B79,AU$5,$B$1)</f>
        <v>0</v>
      </c>
      <c r="AV79" s="55">
        <f>_xll.EQNXTDZ($A$1,$B79,AV$5,$B$1)</f>
        <v>70.444999999999993</v>
      </c>
      <c r="AW79" s="55">
        <f>_xll.EQNXTDZ($A$1,$B79,AW$5,$B$1)</f>
        <v>0</v>
      </c>
      <c r="AX79" s="55">
        <f>_xll.EQNXTDZ($A$1,$B79,AX$5,$B$1)</f>
        <v>162.26499999999999</v>
      </c>
      <c r="AY79" s="55">
        <f>_xll.EQNXTDZ($A$1,$B79,AY$5,$B$1)</f>
        <v>0</v>
      </c>
      <c r="AZ79" s="55">
        <f>_xll.EQNXTDZ($A$1,$B79,AZ$5,$B$1)</f>
        <v>109.02800000000001</v>
      </c>
      <c r="BA79" s="55">
        <f>_xll.EQNXTDZ($A$1,$B79,BA$5,$B$1)</f>
        <v>0</v>
      </c>
      <c r="BB79" s="55">
        <f>_xll.EQNXTDZ($A$1,$B79,BB$5,$B$1)</f>
        <v>184.14500000000001</v>
      </c>
      <c r="BC79" s="55">
        <f>_xll.EQNXTDZ($A$1,$B79,BC$5,$B$1)</f>
        <v>0</v>
      </c>
      <c r="BD79" s="55">
        <f>_xll.EQNXTDZ($A$1,$B79,BD$5,$B$1)</f>
        <v>182.53399999999999</v>
      </c>
      <c r="BE79" s="55">
        <f>_xll.EQNXTDZ($A$1,$B79,BE$5,$B$1)</f>
        <v>0</v>
      </c>
      <c r="BF79" s="55">
        <f>_xll.EQNXTDZ($A$1,$B79,BF$5,$B$1)</f>
        <v>399.52699999999999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11.119</v>
      </c>
      <c r="AQ80" s="55">
        <f>_xll.EQNXTDZ($A$1,$B80,AQ$5,$B$1)</f>
        <v>0</v>
      </c>
      <c r="AR80" s="55">
        <f>_xll.EQNXTDZ($A$1,$B80,AR$5,$B$1)</f>
        <v>24.442</v>
      </c>
      <c r="AS80" s="55">
        <f>_xll.EQNXTDZ($A$1,$B80,AS$5,$B$1)</f>
        <v>0</v>
      </c>
      <c r="AT80" s="55">
        <f>_xll.EQNXTDZ($A$1,$B80,AT$5,$B$1)</f>
        <v>210.077</v>
      </c>
      <c r="AU80" s="55">
        <f>_xll.EQNXTDZ($A$1,$B80,AU$5,$B$1)</f>
        <v>0</v>
      </c>
      <c r="AV80" s="55">
        <f>_xll.EQNXTDZ($A$1,$B80,AV$5,$B$1)</f>
        <v>328.93200000000002</v>
      </c>
      <c r="AW80" s="55">
        <f>_xll.EQNXTDZ($A$1,$B80,AW$5,$B$1)</f>
        <v>0</v>
      </c>
      <c r="AX80" s="55">
        <f>_xll.EQNXTDZ($A$1,$B80,AX$5,$B$1)</f>
        <v>349.87</v>
      </c>
      <c r="AY80" s="55">
        <f>_xll.EQNXTDZ($A$1,$B80,AY$5,$B$1)</f>
        <v>0</v>
      </c>
      <c r="AZ80" s="55">
        <f>_xll.EQNXTDZ($A$1,$B80,AZ$5,$B$1)</f>
        <v>418.30799999999999</v>
      </c>
      <c r="BA80" s="55">
        <f>_xll.EQNXTDZ($A$1,$B80,BA$5,$B$1)</f>
        <v>0</v>
      </c>
      <c r="BB80" s="55">
        <f>_xll.EQNXTDZ($A$1,$B80,BB$5,$B$1)</f>
        <v>202.173</v>
      </c>
      <c r="BC80" s="55">
        <f>_xll.EQNXTDZ($A$1,$B80,BC$5,$B$1)</f>
        <v>0</v>
      </c>
      <c r="BD80" s="55">
        <f>_xll.EQNXTDZ($A$1,$B80,BD$5,$B$1)</f>
        <v>125.93899999999999</v>
      </c>
      <c r="BE80" s="55">
        <f>_xll.EQNXTDZ($A$1,$B80,BE$5,$B$1)</f>
        <v>0</v>
      </c>
      <c r="BF80" s="55">
        <f>_xll.EQNXTDZ($A$1,$B80,BF$5,$B$1)</f>
        <v>6.0810000000000004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120.78700000000001</v>
      </c>
      <c r="AQ81" s="55">
        <f>_xll.EQNXTDZ($A$1,$B81,AQ$5,$B$1)</f>
        <v>0</v>
      </c>
      <c r="AR81" s="55">
        <f>_xll.EQNXTDZ($A$1,$B81,AR$5,$B$1)</f>
        <v>114.313</v>
      </c>
      <c r="AS81" s="55">
        <f>_xll.EQNXTDZ($A$1,$B81,AS$5,$B$1)</f>
        <v>0</v>
      </c>
      <c r="AT81" s="55">
        <f>_xll.EQNXTDZ($A$1,$B81,AT$5,$B$1)</f>
        <v>167.76400000000001</v>
      </c>
      <c r="AU81" s="55">
        <f>_xll.EQNXTDZ($A$1,$B81,AU$5,$B$1)</f>
        <v>0</v>
      </c>
      <c r="AV81" s="55">
        <f>_xll.EQNXTDZ($A$1,$B81,AV$5,$B$1)</f>
        <v>142.732</v>
      </c>
      <c r="AW81" s="55">
        <f>_xll.EQNXTDZ($A$1,$B81,AW$5,$B$1)</f>
        <v>0</v>
      </c>
      <c r="AX81" s="55">
        <f>_xll.EQNXTDZ($A$1,$B81,AX$5,$B$1)</f>
        <v>127.29300000000001</v>
      </c>
      <c r="AY81" s="55">
        <f>_xll.EQNXTDZ($A$1,$B81,AY$5,$B$1)</f>
        <v>0</v>
      </c>
      <c r="AZ81" s="55">
        <f>_xll.EQNXTDZ($A$1,$B81,AZ$5,$B$1)</f>
        <v>123.931</v>
      </c>
      <c r="BA81" s="55">
        <f>_xll.EQNXTDZ($A$1,$B81,BA$5,$B$1)</f>
        <v>0</v>
      </c>
      <c r="BB81" s="55">
        <f>_xll.EQNXTDZ($A$1,$B81,BB$5,$B$1)</f>
        <v>168.12899999999999</v>
      </c>
      <c r="BC81" s="55">
        <f>_xll.EQNXTDZ($A$1,$B81,BC$5,$B$1)</f>
        <v>0</v>
      </c>
      <c r="BD81" s="55">
        <f>_xll.EQNXTDZ($A$1,$B81,BD$5,$B$1)</f>
        <v>207.98</v>
      </c>
      <c r="BE81" s="55">
        <f>_xll.EQNXTDZ($A$1,$B81,BE$5,$B$1)</f>
        <v>0</v>
      </c>
      <c r="BF81" s="55">
        <f>_xll.EQNXTDZ($A$1,$B81,BF$5,$B$1)</f>
        <v>214.917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152.97300000000001</v>
      </c>
      <c r="AQ82" s="55">
        <f>_xll.EQNXTDZ($A$1,$B82,AQ$5,$B$1)</f>
        <v>0</v>
      </c>
      <c r="AR82" s="55">
        <f>_xll.EQNXTDZ($A$1,$B82,AR$5,$B$1)</f>
        <v>90.364000000000004</v>
      </c>
      <c r="AS82" s="55">
        <f>_xll.EQNXTDZ($A$1,$B82,AS$5,$B$1)</f>
        <v>0</v>
      </c>
      <c r="AT82" s="55">
        <f>_xll.EQNXTDZ($A$1,$B82,AT$5,$B$1)</f>
        <v>117.74299999999999</v>
      </c>
      <c r="AU82" s="55">
        <f>_xll.EQNXTDZ($A$1,$B82,AU$5,$B$1)</f>
        <v>0</v>
      </c>
      <c r="AV82" s="55">
        <f>_xll.EQNXTDZ($A$1,$B82,AV$5,$B$1)</f>
        <v>118.861</v>
      </c>
      <c r="AW82" s="55">
        <f>_xll.EQNXTDZ($A$1,$B82,AW$5,$B$1)</f>
        <v>0</v>
      </c>
      <c r="AX82" s="55">
        <f>_xll.EQNXTDZ($A$1,$B82,AX$5,$B$1)</f>
        <v>156.37899999999999</v>
      </c>
      <c r="AY82" s="55">
        <f>_xll.EQNXTDZ($A$1,$B82,AY$5,$B$1)</f>
        <v>0</v>
      </c>
      <c r="AZ82" s="55">
        <f>_xll.EQNXTDZ($A$1,$B82,AZ$5,$B$1)</f>
        <v>108.104</v>
      </c>
      <c r="BA82" s="55">
        <f>_xll.EQNXTDZ($A$1,$B82,BA$5,$B$1)</f>
        <v>0</v>
      </c>
      <c r="BB82" s="55">
        <f>_xll.EQNXTDZ($A$1,$B82,BB$5,$B$1)</f>
        <v>164.56899999999999</v>
      </c>
      <c r="BC82" s="55">
        <f>_xll.EQNXTDZ($A$1,$B82,BC$5,$B$1)</f>
        <v>0</v>
      </c>
      <c r="BD82" s="55">
        <f>_xll.EQNXTDZ($A$1,$B82,BD$5,$B$1)</f>
        <v>97.355999999999995</v>
      </c>
      <c r="BE82" s="55">
        <f>_xll.EQNXTDZ($A$1,$B82,BE$5,$B$1)</f>
        <v>0</v>
      </c>
      <c r="BF82" s="55">
        <f>_xll.EQNXTDZ($A$1,$B82,BF$5,$B$1)</f>
        <v>127.279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58.697000000000003</v>
      </c>
      <c r="AQ83" s="55">
        <f>_xll.EQNXTDZ($A$1,$B83,AQ$5,$B$1)</f>
        <v>0</v>
      </c>
      <c r="AR83" s="55">
        <f>_xll.EQNXTDZ($A$1,$B83,AR$5,$B$1)</f>
        <v>108.789</v>
      </c>
      <c r="AS83" s="55">
        <f>_xll.EQNXTDZ($A$1,$B83,AS$5,$B$1)</f>
        <v>0</v>
      </c>
      <c r="AT83" s="55">
        <f>_xll.EQNXTDZ($A$1,$B83,AT$5,$B$1)</f>
        <v>32.673000000000002</v>
      </c>
      <c r="AU83" s="55">
        <f>_xll.EQNXTDZ($A$1,$B83,AU$5,$B$1)</f>
        <v>0</v>
      </c>
      <c r="AV83" s="55">
        <f>_xll.EQNXTDZ($A$1,$B83,AV$5,$B$1)</f>
        <v>57.545999999999999</v>
      </c>
      <c r="AW83" s="55">
        <f>_xll.EQNXTDZ($A$1,$B83,AW$5,$B$1)</f>
        <v>0</v>
      </c>
      <c r="AX83" s="55">
        <f>_xll.EQNXTDZ($A$1,$B83,AX$5,$B$1)</f>
        <v>45.482999999999997</v>
      </c>
      <c r="AY83" s="55">
        <f>_xll.EQNXTDZ($A$1,$B83,AY$5,$B$1)</f>
        <v>0</v>
      </c>
      <c r="AZ83" s="55">
        <f>_xll.EQNXTDZ($A$1,$B83,AZ$5,$B$1)</f>
        <v>45.536000000000001</v>
      </c>
      <c r="BA83" s="55">
        <f>_xll.EQNXTDZ($A$1,$B83,BA$5,$B$1)</f>
        <v>0</v>
      </c>
      <c r="BB83" s="55">
        <f>_xll.EQNXTDZ($A$1,$B83,BB$5,$B$1)</f>
        <v>52.84</v>
      </c>
      <c r="BC83" s="55">
        <f>_xll.EQNXTDZ($A$1,$B83,BC$5,$B$1)</f>
        <v>0</v>
      </c>
      <c r="BD83" s="55">
        <f>_xll.EQNXTDZ($A$1,$B83,BD$5,$B$1)</f>
        <v>52.530999999999999</v>
      </c>
      <c r="BE83" s="55">
        <f>_xll.EQNXTDZ($A$1,$B83,BE$5,$B$1)</f>
        <v>0</v>
      </c>
      <c r="BF83" s="55">
        <f>_xll.EQNXTDZ($A$1,$B83,BF$5,$B$1)</f>
        <v>54.996000000000002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54.606000000000002</v>
      </c>
      <c r="AQ84" s="55">
        <f>_xll.EQNXTDZ($A$1,$B84,AQ$5,$B$1)</f>
        <v>0</v>
      </c>
      <c r="AR84" s="55">
        <f>_xll.EQNXTDZ($A$1,$B84,AR$5,$B$1)</f>
        <v>66.722999999999999</v>
      </c>
      <c r="AS84" s="55">
        <f>_xll.EQNXTDZ($A$1,$B84,AS$5,$B$1)</f>
        <v>0</v>
      </c>
      <c r="AT84" s="55">
        <f>_xll.EQNXTDZ($A$1,$B84,AT$5,$B$1)</f>
        <v>48.033999999999999</v>
      </c>
      <c r="AU84" s="55">
        <f>_xll.EQNXTDZ($A$1,$B84,AU$5,$B$1)</f>
        <v>0</v>
      </c>
      <c r="AV84" s="55">
        <f>_xll.EQNXTDZ($A$1,$B84,AV$5,$B$1)</f>
        <v>51.161000000000001</v>
      </c>
      <c r="AW84" s="55">
        <f>_xll.EQNXTDZ($A$1,$B84,AW$5,$B$1)</f>
        <v>0</v>
      </c>
      <c r="AX84" s="55">
        <f>_xll.EQNXTDZ($A$1,$B84,AX$5,$B$1)</f>
        <v>46.706000000000003</v>
      </c>
      <c r="AY84" s="55">
        <f>_xll.EQNXTDZ($A$1,$B84,AY$5,$B$1)</f>
        <v>0</v>
      </c>
      <c r="AZ84" s="55">
        <f>_xll.EQNXTDZ($A$1,$B84,AZ$5,$B$1)</f>
        <v>67.510999999999996</v>
      </c>
      <c r="BA84" s="55">
        <f>_xll.EQNXTDZ($A$1,$B84,BA$5,$B$1)</f>
        <v>0</v>
      </c>
      <c r="BB84" s="55">
        <f>_xll.EQNXTDZ($A$1,$B84,BB$5,$B$1)</f>
        <v>103.122</v>
      </c>
      <c r="BC84" s="55">
        <f>_xll.EQNXTDZ($A$1,$B84,BC$5,$B$1)</f>
        <v>0</v>
      </c>
      <c r="BD84" s="55">
        <f>_xll.EQNXTDZ($A$1,$B84,BD$5,$B$1)</f>
        <v>114.779</v>
      </c>
      <c r="BE84" s="55">
        <f>_xll.EQNXTDZ($A$1,$B84,BE$5,$B$1)</f>
        <v>0</v>
      </c>
      <c r="BF84" s="55">
        <f>_xll.EQNXTDZ($A$1,$B84,BF$5,$B$1)</f>
        <v>127.565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0.46800000000000003</v>
      </c>
      <c r="AQ85" s="55">
        <f>_xll.EQNXTDZ($A$1,$B85,AQ$5,$B$1)</f>
        <v>0</v>
      </c>
      <c r="AR85" s="55">
        <f>_xll.EQNXTDZ($A$1,$B85,AR$5,$B$1)</f>
        <v>0.4</v>
      </c>
      <c r="AS85" s="55">
        <f>_xll.EQNXTDZ($A$1,$B85,AS$5,$B$1)</f>
        <v>0</v>
      </c>
      <c r="AT85" s="55">
        <f>_xll.EQNXTDZ($A$1,$B85,AT$5,$B$1)</f>
        <v>0.42799999999999999</v>
      </c>
      <c r="AU85" s="55">
        <f>_xll.EQNXTDZ($A$1,$B85,AU$5,$B$1)</f>
        <v>0</v>
      </c>
      <c r="AV85" s="55">
        <f>_xll.EQNXTDZ($A$1,$B85,AV$5,$B$1)</f>
        <v>0.55600000000000005</v>
      </c>
      <c r="AW85" s="55">
        <f>_xll.EQNXTDZ($A$1,$B85,AW$5,$B$1)</f>
        <v>0</v>
      </c>
      <c r="AX85" s="55">
        <f>_xll.EQNXTDZ($A$1,$B85,AX$5,$B$1)</f>
        <v>0.42799999999999999</v>
      </c>
      <c r="AY85" s="55">
        <f>_xll.EQNXTDZ($A$1,$B85,AY$5,$B$1)</f>
        <v>0</v>
      </c>
      <c r="AZ85" s="55">
        <f>_xll.EQNXTDZ($A$1,$B85,AZ$5,$B$1)</f>
        <v>0.52900000000000003</v>
      </c>
      <c r="BA85" s="55">
        <f>_xll.EQNXTDZ($A$1,$B85,BA$5,$B$1)</f>
        <v>0</v>
      </c>
      <c r="BB85" s="55">
        <f>_xll.EQNXTDZ($A$1,$B85,BB$5,$B$1)</f>
        <v>0.55800000000000005</v>
      </c>
      <c r="BC85" s="55">
        <f>_xll.EQNXTDZ($A$1,$B85,BC$5,$B$1)</f>
        <v>0</v>
      </c>
      <c r="BD85" s="55">
        <f>_xll.EQNXTDZ($A$1,$B85,BD$5,$B$1)</f>
        <v>0.30399999999999999</v>
      </c>
      <c r="BE85" s="55">
        <f>_xll.EQNXTDZ($A$1,$B85,BE$5,$B$1)</f>
        <v>0</v>
      </c>
      <c r="BF85" s="55">
        <f>_xll.EQNXTDZ($A$1,$B85,BF$5,$B$1)</f>
        <v>0.54300000000000004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398.65</v>
      </c>
      <c r="AQ86" s="55">
        <f>_xll.EQNXTDZ($A$1,$B86,AQ$5,$B$1)</f>
        <v>0</v>
      </c>
      <c r="AR86" s="55">
        <f>_xll.EQNXTDZ($A$1,$B86,AR$5,$B$1)</f>
        <v>405.03100000000001</v>
      </c>
      <c r="AS86" s="55">
        <f>_xll.EQNXTDZ($A$1,$B86,AS$5,$B$1)</f>
        <v>0</v>
      </c>
      <c r="AT86" s="55">
        <f>_xll.EQNXTDZ($A$1,$B86,AT$5,$B$1)</f>
        <v>576.71900000000005</v>
      </c>
      <c r="AU86" s="55">
        <f>_xll.EQNXTDZ($A$1,$B86,AU$5,$B$1)</f>
        <v>0</v>
      </c>
      <c r="AV86" s="55">
        <f>_xll.EQNXTDZ($A$1,$B86,AV$5,$B$1)</f>
        <v>699.78800000000001</v>
      </c>
      <c r="AW86" s="55">
        <f>_xll.EQNXTDZ($A$1,$B86,AW$5,$B$1)</f>
        <v>0</v>
      </c>
      <c r="AX86" s="55">
        <f>_xll.EQNXTDZ($A$1,$B86,AX$5,$B$1)</f>
        <v>726.15899999999999</v>
      </c>
      <c r="AY86" s="55">
        <f>_xll.EQNXTDZ($A$1,$B86,AY$5,$B$1)</f>
        <v>0</v>
      </c>
      <c r="AZ86" s="55">
        <f>_xll.EQNXTDZ($A$1,$B86,AZ$5,$B$1)</f>
        <v>763.91899999999998</v>
      </c>
      <c r="BA86" s="55">
        <f>_xll.EQNXTDZ($A$1,$B86,BA$5,$B$1)</f>
        <v>0</v>
      </c>
      <c r="BB86" s="55">
        <f>_xll.EQNXTDZ($A$1,$B86,BB$5,$B$1)</f>
        <v>691.39099999999996</v>
      </c>
      <c r="BC86" s="55">
        <f>_xll.EQNXTDZ($A$1,$B86,BC$5,$B$1)</f>
        <v>0</v>
      </c>
      <c r="BD86" s="55">
        <f>_xll.EQNXTDZ($A$1,$B86,BD$5,$B$1)</f>
        <v>598.88900000000001</v>
      </c>
      <c r="BE86" s="55">
        <f>_xll.EQNXTDZ($A$1,$B86,BE$5,$B$1)</f>
        <v>0</v>
      </c>
      <c r="BF86" s="55">
        <f>_xll.EQNXTDZ($A$1,$B86,BF$5,$B$1)</f>
        <v>531.38099999999997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2.0510000000000002</v>
      </c>
      <c r="AQ88" s="55">
        <f>_xll.EQNXTDZ($A$1,$B88,AQ$5,$B$1)</f>
        <v>0</v>
      </c>
      <c r="AR88" s="55">
        <f>_xll.EQNXTDZ($A$1,$B88,AR$5,$B$1)</f>
        <v>122.655</v>
      </c>
      <c r="AS88" s="55">
        <f>_xll.EQNXTDZ($A$1,$B88,AS$5,$B$1)</f>
        <v>0</v>
      </c>
      <c r="AT88" s="55">
        <f>_xll.EQNXTDZ($A$1,$B88,AT$5,$B$1)</f>
        <v>20.704000000000001</v>
      </c>
      <c r="AU88" s="55">
        <f>_xll.EQNXTDZ($A$1,$B88,AU$5,$B$1)</f>
        <v>0</v>
      </c>
      <c r="AV88" s="55">
        <f>_xll.EQNXTDZ($A$1,$B88,AV$5,$B$1)</f>
        <v>25.177</v>
      </c>
      <c r="AW88" s="55">
        <f>_xll.EQNXTDZ($A$1,$B88,AW$5,$B$1)</f>
        <v>0</v>
      </c>
      <c r="AX88" s="55">
        <f>_xll.EQNXTDZ($A$1,$B88,AX$5,$B$1)</f>
        <v>0.185</v>
      </c>
      <c r="AY88" s="55">
        <f>_xll.EQNXTDZ($A$1,$B88,AY$5,$B$1)</f>
        <v>0</v>
      </c>
      <c r="AZ88" s="55">
        <f>_xll.EQNXTDZ($A$1,$B88,AZ$5,$B$1)</f>
        <v>0.19400000000000001</v>
      </c>
      <c r="BA88" s="55">
        <f>_xll.EQNXTDZ($A$1,$B88,BA$5,$B$1)</f>
        <v>0</v>
      </c>
      <c r="BB88" s="55">
        <f>_xll.EQNXTDZ($A$1,$B88,BB$5,$B$1)</f>
        <v>26.465</v>
      </c>
      <c r="BC88" s="55">
        <f>_xll.EQNXTDZ($A$1,$B88,BC$5,$B$1)</f>
        <v>0</v>
      </c>
      <c r="BD88" s="55">
        <f>_xll.EQNXTDZ($A$1,$B88,BD$5,$B$1)</f>
        <v>63.326000000000001</v>
      </c>
      <c r="BE88" s="55">
        <f>_xll.EQNXTDZ($A$1,$B88,BE$5,$B$1)</f>
        <v>0</v>
      </c>
      <c r="BF88" s="55">
        <f>_xll.EQNXTDZ($A$1,$B88,BF$5,$B$1)</f>
        <v>278.35300000000001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112.29300000000001</v>
      </c>
      <c r="AQ89" s="55">
        <f>_xll.EQNXTDZ($A$1,$B89,AQ$5,$B$1)</f>
        <v>0</v>
      </c>
      <c r="AR89" s="55">
        <f>_xll.EQNXTDZ($A$1,$B89,AR$5,$B$1)</f>
        <v>89.861000000000004</v>
      </c>
      <c r="AS89" s="55">
        <f>_xll.EQNXTDZ($A$1,$B89,AS$5,$B$1)</f>
        <v>0</v>
      </c>
      <c r="AT89" s="55">
        <f>_xll.EQNXTDZ($A$1,$B89,AT$5,$B$1)</f>
        <v>95.555000000000007</v>
      </c>
      <c r="AU89" s="55">
        <f>_xll.EQNXTDZ($A$1,$B89,AU$5,$B$1)</f>
        <v>0</v>
      </c>
      <c r="AV89" s="55">
        <f>_xll.EQNXTDZ($A$1,$B89,AV$5,$B$1)</f>
        <v>100.425</v>
      </c>
      <c r="AW89" s="55">
        <f>_xll.EQNXTDZ($A$1,$B89,AW$5,$B$1)</f>
        <v>0</v>
      </c>
      <c r="AX89" s="55">
        <f>_xll.EQNXTDZ($A$1,$B89,AX$5,$B$1)</f>
        <v>99.811000000000007</v>
      </c>
      <c r="AY89" s="55">
        <f>_xll.EQNXTDZ($A$1,$B89,AY$5,$B$1)</f>
        <v>0</v>
      </c>
      <c r="AZ89" s="55">
        <f>_xll.EQNXTDZ($A$1,$B89,AZ$5,$B$1)</f>
        <v>96.753</v>
      </c>
      <c r="BA89" s="55">
        <f>_xll.EQNXTDZ($A$1,$B89,BA$5,$B$1)</f>
        <v>0</v>
      </c>
      <c r="BB89" s="55">
        <f>_xll.EQNXTDZ($A$1,$B89,BB$5,$B$1)</f>
        <v>105.05200000000001</v>
      </c>
      <c r="BC89" s="55">
        <f>_xll.EQNXTDZ($A$1,$B89,BC$5,$B$1)</f>
        <v>0</v>
      </c>
      <c r="BD89" s="55">
        <f>_xll.EQNXTDZ($A$1,$B89,BD$5,$B$1)</f>
        <v>91.899000000000001</v>
      </c>
      <c r="BE89" s="55">
        <f>_xll.EQNXTDZ($A$1,$B89,BE$5,$B$1)</f>
        <v>0</v>
      </c>
      <c r="BF89" s="55">
        <f>_xll.EQNXTDZ($A$1,$B89,BF$5,$B$1)</f>
        <v>105.23099999999999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60.417999999999999</v>
      </c>
      <c r="AQ91" s="55">
        <f>_xll.EQNXTDZ($A$1,$B91,AQ$5,$B$1)</f>
        <v>0</v>
      </c>
      <c r="AR91" s="55">
        <f>_xll.EQNXTDZ($A$1,$B91,AR$5,$B$1)</f>
        <v>92.222999999999999</v>
      </c>
      <c r="AS91" s="55">
        <f>_xll.EQNXTDZ($A$1,$B91,AS$5,$B$1)</f>
        <v>0</v>
      </c>
      <c r="AT91" s="55">
        <f>_xll.EQNXTDZ($A$1,$B91,AT$5,$B$1)</f>
        <v>55.893999999999998</v>
      </c>
      <c r="AU91" s="55">
        <f>_xll.EQNXTDZ($A$1,$B91,AU$5,$B$1)</f>
        <v>0</v>
      </c>
      <c r="AV91" s="55">
        <f>_xll.EQNXTDZ($A$1,$B91,AV$5,$B$1)</f>
        <v>34.270000000000003</v>
      </c>
      <c r="AW91" s="55">
        <f>_xll.EQNXTDZ($A$1,$B91,AW$5,$B$1)</f>
        <v>0</v>
      </c>
      <c r="AX91" s="55">
        <f>_xll.EQNXTDZ($A$1,$B91,AX$5,$B$1)</f>
        <v>34.232999999999997</v>
      </c>
      <c r="AY91" s="55">
        <f>_xll.EQNXTDZ($A$1,$B91,AY$5,$B$1)</f>
        <v>0</v>
      </c>
      <c r="AZ91" s="55">
        <f>_xll.EQNXTDZ($A$1,$B91,AZ$5,$B$1)</f>
        <v>20.39</v>
      </c>
      <c r="BA91" s="55">
        <f>_xll.EQNXTDZ($A$1,$B91,BA$5,$B$1)</f>
        <v>0</v>
      </c>
      <c r="BB91" s="55">
        <f>_xll.EQNXTDZ($A$1,$B91,BB$5,$B$1)</f>
        <v>64.745000000000005</v>
      </c>
      <c r="BC91" s="55">
        <f>_xll.EQNXTDZ($A$1,$B91,BC$5,$B$1)</f>
        <v>0</v>
      </c>
      <c r="BD91" s="55">
        <f>_xll.EQNXTDZ($A$1,$B91,BD$5,$B$1)</f>
        <v>43.634</v>
      </c>
      <c r="BE91" s="55">
        <f>_xll.EQNXTDZ($A$1,$B91,BE$5,$B$1)</f>
        <v>0</v>
      </c>
      <c r="BF91" s="55">
        <f>_xll.EQNXTDZ($A$1,$B91,BF$5,$B$1)</f>
        <v>53.148000000000003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0.82499999999999996</v>
      </c>
      <c r="AQ92" s="55">
        <f>_xll.EQNXTDZ($A$1,$B92,AQ$5,$B$1)</f>
        <v>0</v>
      </c>
      <c r="AR92" s="55">
        <f>_xll.EQNXTDZ($A$1,$B92,AR$5,$B$1)</f>
        <v>0.76600000000000001</v>
      </c>
      <c r="AS92" s="55">
        <f>_xll.EQNXTDZ($A$1,$B92,AS$5,$B$1)</f>
        <v>0</v>
      </c>
      <c r="AT92" s="55">
        <f>_xll.EQNXTDZ($A$1,$B92,AT$5,$B$1)</f>
        <v>0.25700000000000001</v>
      </c>
      <c r="AU92" s="55">
        <f>_xll.EQNXTDZ($A$1,$B92,AU$5,$B$1)</f>
        <v>0</v>
      </c>
      <c r="AV92" s="55">
        <f>_xll.EQNXTDZ($A$1,$B92,AV$5,$B$1)</f>
        <v>0.57299999999999995</v>
      </c>
      <c r="AW92" s="55">
        <f>_xll.EQNXTDZ($A$1,$B92,AW$5,$B$1)</f>
        <v>0</v>
      </c>
      <c r="AX92" s="55">
        <f>_xll.EQNXTDZ($A$1,$B92,AX$5,$B$1)</f>
        <v>0.64200000000000002</v>
      </c>
      <c r="AY92" s="55">
        <f>_xll.EQNXTDZ($A$1,$B92,AY$5,$B$1)</f>
        <v>0</v>
      </c>
      <c r="AZ92" s="55">
        <f>_xll.EQNXTDZ($A$1,$B92,AZ$5,$B$1)</f>
        <v>0.47299999999999998</v>
      </c>
      <c r="BA92" s="55">
        <f>_xll.EQNXTDZ($A$1,$B92,BA$5,$B$1)</f>
        <v>0</v>
      </c>
      <c r="BB92" s="55">
        <f>_xll.EQNXTDZ($A$1,$B92,BB$5,$B$1)</f>
        <v>1.0149999999999999</v>
      </c>
      <c r="BC92" s="55">
        <f>_xll.EQNXTDZ($A$1,$B92,BC$5,$B$1)</f>
        <v>0</v>
      </c>
      <c r="BD92" s="55">
        <f>_xll.EQNXTDZ($A$1,$B92,BD$5,$B$1)</f>
        <v>0.74299999999999999</v>
      </c>
      <c r="BE92" s="55">
        <f>_xll.EQNXTDZ($A$1,$B92,BE$5,$B$1)</f>
        <v>0</v>
      </c>
      <c r="BF92" s="55">
        <f>_xll.EQNXTDZ($A$1,$B92,BF$5,$B$1)</f>
        <v>1.6180000000000001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175.58699999999999</v>
      </c>
      <c r="AQ93" s="55">
        <f>_xll.EQNXTDZ($A$1,$B93,AQ$5,$B$1)</f>
        <v>0</v>
      </c>
      <c r="AR93" s="55">
        <f>_xll.EQNXTDZ($A$1,$B93,AR$5,$B$1)</f>
        <v>305.505</v>
      </c>
      <c r="AS93" s="55">
        <f>_xll.EQNXTDZ($A$1,$B93,AS$5,$B$1)</f>
        <v>0</v>
      </c>
      <c r="AT93" s="55">
        <f>_xll.EQNXTDZ($A$1,$B93,AT$5,$B$1)</f>
        <v>172.41</v>
      </c>
      <c r="AU93" s="55">
        <f>_xll.EQNXTDZ($A$1,$B93,AU$5,$B$1)</f>
        <v>0</v>
      </c>
      <c r="AV93" s="55">
        <f>_xll.EQNXTDZ($A$1,$B93,AV$5,$B$1)</f>
        <v>160.44499999999999</v>
      </c>
      <c r="AW93" s="55">
        <f>_xll.EQNXTDZ($A$1,$B93,AW$5,$B$1)</f>
        <v>0</v>
      </c>
      <c r="AX93" s="55">
        <f>_xll.EQNXTDZ($A$1,$B93,AX$5,$B$1)</f>
        <v>134.87100000000001</v>
      </c>
      <c r="AY93" s="55">
        <f>_xll.EQNXTDZ($A$1,$B93,AY$5,$B$1)</f>
        <v>0</v>
      </c>
      <c r="AZ93" s="55">
        <f>_xll.EQNXTDZ($A$1,$B93,AZ$5,$B$1)</f>
        <v>117.81</v>
      </c>
      <c r="BA93" s="55">
        <f>_xll.EQNXTDZ($A$1,$B93,BA$5,$B$1)</f>
        <v>0</v>
      </c>
      <c r="BB93" s="55">
        <f>_xll.EQNXTDZ($A$1,$B93,BB$5,$B$1)</f>
        <v>197.27699999999999</v>
      </c>
      <c r="BC93" s="55">
        <f>_xll.EQNXTDZ($A$1,$B93,BC$5,$B$1)</f>
        <v>0</v>
      </c>
      <c r="BD93" s="55">
        <f>_xll.EQNXTDZ($A$1,$B93,BD$5,$B$1)</f>
        <v>199.602</v>
      </c>
      <c r="BE93" s="55">
        <f>_xll.EQNXTDZ($A$1,$B93,BE$5,$B$1)</f>
        <v>0</v>
      </c>
      <c r="BF93" s="55">
        <f>_xll.EQNXTDZ($A$1,$B93,BF$5,$B$1)</f>
        <v>438.35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223.06299999999999</v>
      </c>
      <c r="AQ94" s="55">
        <f>_xll.EQNXTDZ($A$1,$B94,AQ$5,$B$1)</f>
        <v>0</v>
      </c>
      <c r="AR94" s="55">
        <f>_xll.EQNXTDZ($A$1,$B94,AR$5,$B$1)</f>
        <v>99.525999999999996</v>
      </c>
      <c r="AS94" s="55">
        <f>_xll.EQNXTDZ($A$1,$B94,AS$5,$B$1)</f>
        <v>0</v>
      </c>
      <c r="AT94" s="55">
        <f>_xll.EQNXTDZ($A$1,$B94,AT$5,$B$1)</f>
        <v>404.30900000000003</v>
      </c>
      <c r="AU94" s="55">
        <f>_xll.EQNXTDZ($A$1,$B94,AU$5,$B$1)</f>
        <v>0</v>
      </c>
      <c r="AV94" s="55">
        <f>_xll.EQNXTDZ($A$1,$B94,AV$5,$B$1)</f>
        <v>539.34299999999996</v>
      </c>
      <c r="AW94" s="55">
        <f>_xll.EQNXTDZ($A$1,$B94,AW$5,$B$1)</f>
        <v>0</v>
      </c>
      <c r="AX94" s="55">
        <f>_xll.EQNXTDZ($A$1,$B94,AX$5,$B$1)</f>
        <v>591.28800000000001</v>
      </c>
      <c r="AY94" s="55">
        <f>_xll.EQNXTDZ($A$1,$B94,AY$5,$B$1)</f>
        <v>0</v>
      </c>
      <c r="AZ94" s="55">
        <f>_xll.EQNXTDZ($A$1,$B94,AZ$5,$B$1)</f>
        <v>646.10900000000004</v>
      </c>
      <c r="BA94" s="55">
        <f>_xll.EQNXTDZ($A$1,$B94,BA$5,$B$1)</f>
        <v>0</v>
      </c>
      <c r="BB94" s="55">
        <f>_xll.EQNXTDZ($A$1,$B94,BB$5,$B$1)</f>
        <v>494.11399999999998</v>
      </c>
      <c r="BC94" s="55">
        <f>_xll.EQNXTDZ($A$1,$B94,BC$5,$B$1)</f>
        <v>0</v>
      </c>
      <c r="BD94" s="55">
        <f>_xll.EQNXTDZ($A$1,$B94,BD$5,$B$1)</f>
        <v>399.28699999999998</v>
      </c>
      <c r="BE94" s="55">
        <f>_xll.EQNXTDZ($A$1,$B94,BE$5,$B$1)</f>
        <v>0</v>
      </c>
      <c r="BF94" s="55">
        <f>_xll.EQNXTDZ($A$1,$B94,BF$5,$B$1)</f>
        <v>93.031000000000006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-9.56</v>
      </c>
      <c r="AQ96" s="55">
        <f>_xll.EQNXTDZ($A$1,$B96,AQ$5,$B$1)</f>
        <v>0</v>
      </c>
      <c r="AR96" s="55">
        <f>_xll.EQNXTDZ($A$1,$B96,AR$5,$B$1)</f>
        <v>-60.23</v>
      </c>
      <c r="AS96" s="55">
        <f>_xll.EQNXTDZ($A$1,$B96,AS$5,$B$1)</f>
        <v>0</v>
      </c>
      <c r="AT96" s="55">
        <f>_xll.EQNXTDZ($A$1,$B96,AT$5,$B$1)</f>
        <v>-115.14700000000001</v>
      </c>
      <c r="AU96" s="55">
        <f>_xll.EQNXTDZ($A$1,$B96,AU$5,$B$1)</f>
        <v>0</v>
      </c>
      <c r="AV96" s="55">
        <f>_xll.EQNXTDZ($A$1,$B96,AV$5,$B$1)</f>
        <v>-119.84099999999999</v>
      </c>
      <c r="AW96" s="55">
        <f>_xll.EQNXTDZ($A$1,$B96,AW$5,$B$1)</f>
        <v>0</v>
      </c>
      <c r="AX96" s="55">
        <f>_xll.EQNXTDZ($A$1,$B96,AX$5,$B$1)</f>
        <v>-122.66</v>
      </c>
      <c r="AY96" s="55">
        <f>_xll.EQNXTDZ($A$1,$B96,AY$5,$B$1)</f>
        <v>0</v>
      </c>
      <c r="AZ96" s="55">
        <f>_xll.EQNXTDZ($A$1,$B96,AZ$5,$B$1)</f>
        <v>-124.041</v>
      </c>
      <c r="BA96" s="55">
        <f>_xll.EQNXTDZ($A$1,$B96,BA$5,$B$1)</f>
        <v>0</v>
      </c>
      <c r="BB96" s="55">
        <f>_xll.EQNXTDZ($A$1,$B96,BB$5,$B$1)</f>
        <v>-118.854</v>
      </c>
      <c r="BC96" s="55">
        <f>_xll.EQNXTDZ($A$1,$B96,BC$5,$B$1)</f>
        <v>0</v>
      </c>
      <c r="BD96" s="55">
        <f>_xll.EQNXTDZ($A$1,$B96,BD$5,$B$1)</f>
        <v>-116.38800000000001</v>
      </c>
      <c r="BE96" s="55">
        <f>_xll.EQNXTDZ($A$1,$B96,BE$5,$B$1)</f>
        <v>0</v>
      </c>
      <c r="BF96" s="55">
        <f>_xll.EQNXTDZ($A$1,$B96,BF$5,$B$1)</f>
        <v>-106.706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1346.1659999999999</v>
      </c>
      <c r="AQ97" s="55">
        <f>_xll.EQNXTDZ($A$1,$B97,AQ$5,$B$1)</f>
        <v>0</v>
      </c>
      <c r="AR97" s="55">
        <f>_xll.EQNXTDZ($A$1,$B97,AR$5,$B$1)</f>
        <v>1188.644</v>
      </c>
      <c r="AS97" s="55">
        <f>_xll.EQNXTDZ($A$1,$B97,AS$5,$B$1)</f>
        <v>0</v>
      </c>
      <c r="AT97" s="55">
        <f>_xll.EQNXTDZ($A$1,$B97,AT$5,$B$1)</f>
        <v>1467.568</v>
      </c>
      <c r="AU97" s="55">
        <f>_xll.EQNXTDZ($A$1,$B97,AU$5,$B$1)</f>
        <v>0</v>
      </c>
      <c r="AV97" s="55">
        <f>_xll.EQNXTDZ($A$1,$B97,AV$5,$B$1)</f>
        <v>1600.797</v>
      </c>
      <c r="AW97" s="55">
        <f>_xll.EQNXTDZ($A$1,$B97,AW$5,$B$1)</f>
        <v>0</v>
      </c>
      <c r="AX97" s="55">
        <f>_xll.EQNXTDZ($A$1,$B97,AX$5,$B$1)</f>
        <v>1797.212</v>
      </c>
      <c r="AY97" s="55">
        <f>_xll.EQNXTDZ($A$1,$B97,AY$5,$B$1)</f>
        <v>0</v>
      </c>
      <c r="AZ97" s="55">
        <f>_xll.EQNXTDZ($A$1,$B97,AZ$5,$B$1)</f>
        <v>1913.617</v>
      </c>
      <c r="BA97" s="55">
        <f>_xll.EQNXTDZ($A$1,$B97,BA$5,$B$1)</f>
        <v>0</v>
      </c>
      <c r="BB97" s="55">
        <f>_xll.EQNXTDZ($A$1,$B97,BB$5,$B$1)</f>
        <v>2072.902</v>
      </c>
      <c r="BC97" s="55">
        <f>_xll.EQNXTDZ($A$1,$B97,BC$5,$B$1)</f>
        <v>0</v>
      </c>
      <c r="BD97" s="55">
        <f>_xll.EQNXTDZ($A$1,$B97,BD$5,$B$1)</f>
        <v>2119.3009999999999</v>
      </c>
      <c r="BE97" s="55">
        <f>_xll.EQNXTDZ($A$1,$B97,BE$5,$B$1)</f>
        <v>0</v>
      </c>
      <c r="BF97" s="55">
        <f>_xll.EQNXTDZ($A$1,$B97,BF$5,$B$1)</f>
        <v>2119.7260000000001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293601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Archean Chemical Industries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225.976</v>
      </c>
      <c r="R6" s="100">
        <f>_xll.EQNXTDZ($A$1,$B6,R$1,$B$1)</f>
        <v>348.00069999999999</v>
      </c>
      <c r="S6" s="100">
        <f>_xll.EQNXTDZ($A$1,$B6,S$1,$B$1)</f>
        <v>296.22739999999999</v>
      </c>
      <c r="T6" s="100">
        <f>_xll.EQNXTDZ($A$1,$B6,T$1,$B$1)</f>
        <v>441.75869999999998</v>
      </c>
      <c r="U6" s="100">
        <f>_xll.EQNXTDZ($A$1,$B6,U$1,$B$1)</f>
        <v>565.50599999999997</v>
      </c>
      <c r="V6" s="100">
        <f>_xll.EQNXTDZ($A$1,$B6,V$1,$B$1)</f>
        <v>608.16999999999996</v>
      </c>
      <c r="W6" s="100">
        <f>_xll.EQNXTDZ($A$1,$B6,W$1,$B$1)</f>
        <v>740.76430000000005</v>
      </c>
      <c r="X6" s="100">
        <f>_xll.EQNXTDZ($A$1,$B6,X$1,$B$1)</f>
        <v>1130.4371000000001</v>
      </c>
      <c r="Y6" s="100">
        <f>_xll.EQNXTDZ($A$1,$B6,Y$1,$B$1)</f>
        <v>1441.0659000000001</v>
      </c>
      <c r="Z6" s="100">
        <f>_xll.EQNXTDZ($A$1,$B6,Z$1,$B$1)</f>
        <v>1330.0895</v>
      </c>
      <c r="AA6" s="100">
        <f>_xll.EQNXTDZ($A$1,$B6,AA$1,$B$1)</f>
        <v>1041.0179000000001</v>
      </c>
      <c r="AB6" s="100">
        <f>_xll.EQNXTDZ($A$1,$B6,AB$1,$B$1)</f>
        <v>1081.0507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0.9446</v>
      </c>
      <c r="R9" s="100">
        <f>_xll.EQNXTDZ($A$1,$B9,R$1,$B$1)</f>
        <v>7.4659000000000004</v>
      </c>
      <c r="S9" s="100">
        <f>_xll.EQNXTDZ($A$1,$B9,S$1,$B$1)</f>
        <v>8.5816999999999997</v>
      </c>
      <c r="T9" s="100">
        <f>_xll.EQNXTDZ($A$1,$B9,T$1,$B$1)</f>
        <v>2.9295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225.03139999999999</v>
      </c>
      <c r="R10" s="100">
        <f>_xll.EQNXTDZ($A$1,$B10,R$1,$B$1)</f>
        <v>340.53480000000002</v>
      </c>
      <c r="S10" s="100">
        <f>_xll.EQNXTDZ($A$1,$B10,S$1,$B$1)</f>
        <v>287.64569999999998</v>
      </c>
      <c r="T10" s="100">
        <f>_xll.EQNXTDZ($A$1,$B10,T$1,$B$1)</f>
        <v>438.82920000000001</v>
      </c>
      <c r="U10" s="100">
        <f>_xll.EQNXTDZ($A$1,$B10,U$1,$B$1)</f>
        <v>565.50599999999997</v>
      </c>
      <c r="V10" s="100">
        <f>_xll.EQNXTDZ($A$1,$B10,V$1,$B$1)</f>
        <v>608.16999999999996</v>
      </c>
      <c r="W10" s="100">
        <f>_xll.EQNXTDZ($A$1,$B10,W$1,$B$1)</f>
        <v>740.76430000000005</v>
      </c>
      <c r="X10" s="100">
        <f>_xll.EQNXTDZ($A$1,$B10,X$1,$B$1)</f>
        <v>1130.4371000000001</v>
      </c>
      <c r="Y10" s="100">
        <f>_xll.EQNXTDZ($A$1,$B10,Y$1,$B$1)</f>
        <v>1441.0659000000001</v>
      </c>
      <c r="Z10" s="100">
        <f>_xll.EQNXTDZ($A$1,$B10,Z$1,$B$1)</f>
        <v>1330.0895</v>
      </c>
      <c r="AA10" s="100">
        <f>_xll.EQNXTDZ($A$1,$B10,AA$1,$B$1)</f>
        <v>1041.0179000000001</v>
      </c>
      <c r="AB10" s="100">
        <f>_xll.EQNXTDZ($A$1,$B10,AB$1,$B$1)</f>
        <v>1081.0507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-77.917400000000001</v>
      </c>
      <c r="R11" s="100">
        <f>_xll.EQNXTDZ($A$1,$B11,R$1,$B$1)</f>
        <v>-13.864599999999999</v>
      </c>
      <c r="S11" s="100">
        <f>_xll.EQNXTDZ($A$1,$B11,S$1,$B$1)</f>
        <v>-15.6655</v>
      </c>
      <c r="T11" s="100">
        <f>_xll.EQNXTDZ($A$1,$B11,T$1,$B$1)</f>
        <v>18.197299999999998</v>
      </c>
      <c r="U11" s="100">
        <f>_xll.EQNXTDZ($A$1,$B11,U$1,$B$1)</f>
        <v>52.377000000000002</v>
      </c>
      <c r="V11" s="100">
        <f>_xll.EQNXTDZ($A$1,$B11,V$1,$B$1)</f>
        <v>-35.779000000000003</v>
      </c>
      <c r="W11" s="100">
        <f>_xll.EQNXTDZ($A$1,$B11,W$1,$B$1)</f>
        <v>-7.8516000000000004</v>
      </c>
      <c r="X11" s="100">
        <f>_xll.EQNXTDZ($A$1,$B11,X$1,$B$1)</f>
        <v>-5.5620000000000003</v>
      </c>
      <c r="Y11" s="100">
        <f>_xll.EQNXTDZ($A$1,$B11,Y$1,$B$1)</f>
        <v>-47.401800000000001</v>
      </c>
      <c r="Z11" s="100">
        <f>_xll.EQNXTDZ($A$1,$B11,Z$1,$B$1)</f>
        <v>40.089500000000001</v>
      </c>
      <c r="AA11" s="100">
        <f>_xll.EQNXTDZ($A$1,$B11,AA$1,$B$1)</f>
        <v>-70.731899999999996</v>
      </c>
      <c r="AB11" s="100">
        <f>_xll.EQNXTDZ($A$1,$B11,AB$1,$B$1)</f>
        <v>-39.934699999999999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44.543900000000001</v>
      </c>
      <c r="T12" s="100">
        <f>_xll.EQNXTDZ($A$1,$B12,T$1,$B$1)</f>
        <v>31.2822</v>
      </c>
      <c r="U12" s="100">
        <f>_xll.EQNXTDZ($A$1,$B12,U$1,$B$1)</f>
        <v>43.658999999999999</v>
      </c>
      <c r="V12" s="100">
        <f>_xll.EQNXTDZ($A$1,$B12,V$1,$B$1)</f>
        <v>36.116</v>
      </c>
      <c r="W12" s="100">
        <f>_xll.EQNXTDZ($A$1,$B12,W$1,$B$1)</f>
        <v>16.7455</v>
      </c>
      <c r="X12" s="100">
        <f>_xll.EQNXTDZ($A$1,$B12,X$1,$B$1)</f>
        <v>44.882899999999999</v>
      </c>
      <c r="Y12" s="100">
        <f>_xll.EQNXTDZ($A$1,$B12,Y$1,$B$1)</f>
        <v>50.132199999999997</v>
      </c>
      <c r="Z12" s="100">
        <f>_xll.EQNXTDZ($A$1,$B12,Z$1,$B$1)</f>
        <v>47.584699999999998</v>
      </c>
      <c r="AA12" s="100">
        <f>_xll.EQNXTDZ($A$1,$B12,AA$1,$B$1)</f>
        <v>62.937899999999999</v>
      </c>
      <c r="AB12" s="100">
        <f>_xll.EQNXTDZ($A$1,$B12,AB$1,$B$1)</f>
        <v>104.2016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14.5685</v>
      </c>
      <c r="R13" s="100">
        <f>_xll.EQNXTDZ($A$1,$B13,R$1,$B$1)</f>
        <v>15.1731</v>
      </c>
      <c r="S13" s="100">
        <f>_xll.EQNXTDZ($A$1,$B13,S$1,$B$1)</f>
        <v>29.143000000000001</v>
      </c>
      <c r="T13" s="100">
        <f>_xll.EQNXTDZ($A$1,$B13,T$1,$B$1)</f>
        <v>49.291899999999998</v>
      </c>
      <c r="U13" s="100">
        <f>_xll.EQNXTDZ($A$1,$B13,U$1,$B$1)</f>
        <v>46.162999999999997</v>
      </c>
      <c r="V13" s="100">
        <f>_xll.EQNXTDZ($A$1,$B13,V$1,$B$1)</f>
        <v>44.438000000000002</v>
      </c>
      <c r="W13" s="100">
        <f>_xll.EQNXTDZ($A$1,$B13,W$1,$B$1)</f>
        <v>53.520499999999998</v>
      </c>
      <c r="X13" s="100">
        <f>_xll.EQNXTDZ($A$1,$B13,X$1,$B$1)</f>
        <v>102.26949999999999</v>
      </c>
      <c r="Y13" s="100">
        <f>_xll.EQNXTDZ($A$1,$B13,Y$1,$B$1)</f>
        <v>134.19390000000001</v>
      </c>
      <c r="Z13" s="100">
        <f>_xll.EQNXTDZ($A$1,$B13,Z$1,$B$1)</f>
        <v>98.697299999999998</v>
      </c>
      <c r="AA13" s="100">
        <f>_xll.EQNXTDZ($A$1,$B13,AA$1,$B$1)</f>
        <v>97.4084</v>
      </c>
      <c r="AB13" s="100">
        <f>_xll.EQNXTDZ($A$1,$B13,AB$1,$B$1)</f>
        <v>96.343900000000005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15.931900000000001</v>
      </c>
      <c r="R14" s="100">
        <f>_xll.EQNXTDZ($A$1,$B14,R$1,$B$1)</f>
        <v>25.7774</v>
      </c>
      <c r="S14" s="100">
        <f>_xll.EQNXTDZ($A$1,$B14,S$1,$B$1)</f>
        <v>19.313800000000001</v>
      </c>
      <c r="T14" s="100">
        <f>_xll.EQNXTDZ($A$1,$B14,T$1,$B$1)</f>
        <v>26.0639</v>
      </c>
      <c r="U14" s="100">
        <f>_xll.EQNXTDZ($A$1,$B14,U$1,$B$1)</f>
        <v>30.385999999999999</v>
      </c>
      <c r="V14" s="100">
        <f>_xll.EQNXTDZ($A$1,$B14,V$1,$B$1)</f>
        <v>34.469000000000001</v>
      </c>
      <c r="W14" s="100">
        <f>_xll.EQNXTDZ($A$1,$B14,W$1,$B$1)</f>
        <v>35.320799999999998</v>
      </c>
      <c r="X14" s="100">
        <f>_xll.EQNXTDZ($A$1,$B14,X$1,$B$1)</f>
        <v>37.841900000000003</v>
      </c>
      <c r="Y14" s="100">
        <f>_xll.EQNXTDZ($A$1,$B14,Y$1,$B$1)</f>
        <v>72.046999999999997</v>
      </c>
      <c r="Z14" s="100">
        <f>_xll.EQNXTDZ($A$1,$B14,Z$1,$B$1)</f>
        <v>72.428100000000001</v>
      </c>
      <c r="AA14" s="100">
        <f>_xll.EQNXTDZ($A$1,$B14,AA$1,$B$1)</f>
        <v>61.053600000000003</v>
      </c>
      <c r="AB14" s="100">
        <f>_xll.EQNXTDZ($A$1,$B14,AB$1,$B$1)</f>
        <v>74.186700000000002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45.856699999999996</v>
      </c>
      <c r="R15" s="100">
        <f>_xll.EQNXTDZ($A$1,$B15,R$1,$B$1)</f>
        <v>56.507199999999997</v>
      </c>
      <c r="S15" s="100">
        <f>_xll.EQNXTDZ($A$1,$B15,S$1,$B$1)</f>
        <v>11.5619</v>
      </c>
      <c r="T15" s="100">
        <f>_xll.EQNXTDZ($A$1,$B15,T$1,$B$1)</f>
        <v>28.671099999999999</v>
      </c>
      <c r="U15" s="100">
        <f>_xll.EQNXTDZ($A$1,$B15,U$1,$B$1)</f>
        <v>27.6</v>
      </c>
      <c r="V15" s="100">
        <f>_xll.EQNXTDZ($A$1,$B15,V$1,$B$1)</f>
        <v>37.527000000000001</v>
      </c>
      <c r="W15" s="100">
        <f>_xll.EQNXTDZ($A$1,$B15,W$1,$B$1)</f>
        <v>35.597499999999997</v>
      </c>
      <c r="X15" s="100">
        <f>_xll.EQNXTDZ($A$1,$B15,X$1,$B$1)</f>
        <v>45.566800000000001</v>
      </c>
      <c r="Y15" s="100">
        <f>_xll.EQNXTDZ($A$1,$B15,Y$1,$B$1)</f>
        <v>49.4465</v>
      </c>
      <c r="Z15" s="100">
        <f>_xll.EQNXTDZ($A$1,$B15,Z$1,$B$1)</f>
        <v>58.723599999999998</v>
      </c>
      <c r="AA15" s="100">
        <f>_xll.EQNXTDZ($A$1,$B15,AA$1,$B$1)</f>
        <v>43.008299999999998</v>
      </c>
      <c r="AB15" s="100">
        <f>_xll.EQNXTDZ($A$1,$B15,AB$1,$B$1)</f>
        <v>48.125599999999999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23.190300000000001</v>
      </c>
      <c r="R17" s="100">
        <f>_xll.EQNXTDZ($A$1,$B17,R$1,$B$1)</f>
        <v>23.954699999999999</v>
      </c>
      <c r="S17" s="100">
        <f>_xll.EQNXTDZ($A$1,$B17,S$1,$B$1)</f>
        <v>28.616299999999999</v>
      </c>
      <c r="T17" s="100">
        <f>_xll.EQNXTDZ($A$1,$B17,T$1,$B$1)</f>
        <v>17.840499999999999</v>
      </c>
      <c r="U17" s="100">
        <f>_xll.EQNXTDZ($A$1,$B17,U$1,$B$1)</f>
        <v>24.917000000000002</v>
      </c>
      <c r="V17" s="100">
        <f>_xll.EQNXTDZ($A$1,$B17,V$1,$B$1)</f>
        <v>29.9</v>
      </c>
      <c r="W17" s="100">
        <f>_xll.EQNXTDZ($A$1,$B17,W$1,$B$1)</f>
        <v>23.0275</v>
      </c>
      <c r="X17" s="100">
        <f>_xll.EQNXTDZ($A$1,$B17,X$1,$B$1)</f>
        <v>32.472499999999997</v>
      </c>
      <c r="Y17" s="100">
        <f>_xll.EQNXTDZ($A$1,$B17,Y$1,$B$1)</f>
        <v>28.6615</v>
      </c>
      <c r="Z17" s="100">
        <f>_xll.EQNXTDZ($A$1,$B17,Z$1,$B$1)</f>
        <v>35.823300000000003</v>
      </c>
      <c r="AA17" s="100">
        <f>_xll.EQNXTDZ($A$1,$B17,AA$1,$B$1)</f>
        <v>51.3628</v>
      </c>
      <c r="AB17" s="100">
        <f>_xll.EQNXTDZ($A$1,$B17,AB$1,$B$1)</f>
        <v>58.066699999999997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111.67400000000001</v>
      </c>
      <c r="R18" s="100">
        <f>_xll.EQNXTDZ($A$1,$B18,R$1,$B$1)</f>
        <v>111.67400000000001</v>
      </c>
      <c r="S18" s="100">
        <f>_xll.EQNXTDZ($A$1,$B18,S$1,$B$1)</f>
        <v>98.655900000000003</v>
      </c>
      <c r="T18" s="100">
        <f>_xll.EQNXTDZ($A$1,$B18,T$1,$B$1)</f>
        <v>169.5437</v>
      </c>
      <c r="U18" s="100">
        <f>_xll.EQNXTDZ($A$1,$B18,U$1,$B$1)</f>
        <v>247.161</v>
      </c>
      <c r="V18" s="100">
        <f>_xll.EQNXTDZ($A$1,$B18,V$1,$B$1)</f>
        <v>295.24099999999999</v>
      </c>
      <c r="W18" s="100">
        <f>_xll.EQNXTDZ($A$1,$B18,W$1,$B$1)</f>
        <v>316.52019999999999</v>
      </c>
      <c r="X18" s="100">
        <f>_xll.EQNXTDZ($A$1,$B18,X$1,$B$1)</f>
        <v>404.7842</v>
      </c>
      <c r="Y18" s="100">
        <f>_xll.EQNXTDZ($A$1,$B18,Y$1,$B$1)</f>
        <v>515.88400000000001</v>
      </c>
      <c r="Z18" s="100">
        <f>_xll.EQNXTDZ($A$1,$B18,Z$1,$B$1)</f>
        <v>503.33710000000002</v>
      </c>
      <c r="AA18" s="100">
        <f>_xll.EQNXTDZ($A$1,$B18,AA$1,$B$1)</f>
        <v>460.89800000000002</v>
      </c>
      <c r="AB18" s="100">
        <f>_xll.EQNXTDZ($A$1,$B18,AB$1,$B$1)</f>
        <v>488.58819999999997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0.77280000000000004</v>
      </c>
      <c r="R19" s="100">
        <f>_xll.EQNXTDZ($A$1,$B19,R$1,$B$1)</f>
        <v>16.084099999999999</v>
      </c>
      <c r="S19" s="100">
        <f>_xll.EQNXTDZ($A$1,$B19,S$1,$B$1)</f>
        <v>1.9771000000000001</v>
      </c>
      <c r="T19" s="100">
        <f>_xll.EQNXTDZ($A$1,$B19,T$1,$B$1)</f>
        <v>15.145899999999999</v>
      </c>
      <c r="U19" s="100">
        <f>_xll.EQNXTDZ($A$1,$B19,U$1,$B$1)</f>
        <v>20.562999999999999</v>
      </c>
      <c r="V19" s="100">
        <f>_xll.EQNXTDZ($A$1,$B19,V$1,$B$1)</f>
        <v>18.271999999999998</v>
      </c>
      <c r="W19" s="100">
        <f>_xll.EQNXTDZ($A$1,$B19,W$1,$B$1)</f>
        <v>5.6576000000000004</v>
      </c>
      <c r="X19" s="100">
        <f>_xll.EQNXTDZ($A$1,$B19,X$1,$B$1)</f>
        <v>1.0279</v>
      </c>
      <c r="Y19" s="100">
        <f>_xll.EQNXTDZ($A$1,$B19,Y$1,$B$1)</f>
        <v>4.1055000000000001</v>
      </c>
      <c r="Z19" s="100">
        <f>_xll.EQNXTDZ($A$1,$B19,Z$1,$B$1)</f>
        <v>10.7469</v>
      </c>
      <c r="AA19" s="100">
        <f>_xll.EQNXTDZ($A$1,$B19,AA$1,$B$1)</f>
        <v>20.926400000000001</v>
      </c>
      <c r="AB19" s="100">
        <f>_xll.EQNXTDZ($A$1,$B19,AB$1,$B$1)</f>
        <v>12.6905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134.07679999999999</v>
      </c>
      <c r="R21" s="100">
        <f>_xll.EQNXTDZ($A$1,$B21,R$1,$B$1)</f>
        <v>235.30590000000001</v>
      </c>
      <c r="S21" s="100">
        <f>_xll.EQNXTDZ($A$1,$B21,S$1,$B$1)</f>
        <v>218.1464</v>
      </c>
      <c r="T21" s="100">
        <f>_xll.EQNXTDZ($A$1,$B21,T$1,$B$1)</f>
        <v>356.03649999999999</v>
      </c>
      <c r="U21" s="100">
        <f>_xll.EQNXTDZ($A$1,$B21,U$1,$B$1)</f>
        <v>492.82600000000002</v>
      </c>
      <c r="V21" s="100">
        <f>_xll.EQNXTDZ($A$1,$B21,V$1,$B$1)</f>
        <v>460.18400000000003</v>
      </c>
      <c r="W21" s="100">
        <f>_xll.EQNXTDZ($A$1,$B21,W$1,$B$1)</f>
        <v>478.53800000000001</v>
      </c>
      <c r="X21" s="100">
        <f>_xll.EQNXTDZ($A$1,$B21,X$1,$B$1)</f>
        <v>663.28369999999995</v>
      </c>
      <c r="Y21" s="100">
        <f>_xll.EQNXTDZ($A$1,$B21,Y$1,$B$1)</f>
        <v>807.06880000000001</v>
      </c>
      <c r="Z21" s="100">
        <f>_xll.EQNXTDZ($A$1,$B21,Z$1,$B$1)</f>
        <v>867.43050000000005</v>
      </c>
      <c r="AA21" s="100">
        <f>_xll.EQNXTDZ($A$1,$B21,AA$1,$B$1)</f>
        <v>726.86350000000004</v>
      </c>
      <c r="AB21" s="100">
        <f>_xll.EQNXTDZ($A$1,$B21,AB$1,$B$1)</f>
        <v>842.26850000000002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90.954599999999999</v>
      </c>
      <c r="R22" s="100">
        <f>_xll.EQNXTDZ($A$1,$B22,R$1,$B$1)</f>
        <v>105.2289</v>
      </c>
      <c r="S22" s="100">
        <f>_xll.EQNXTDZ($A$1,$B22,S$1,$B$1)</f>
        <v>69.499300000000005</v>
      </c>
      <c r="T22" s="100">
        <f>_xll.EQNXTDZ($A$1,$B22,T$1,$B$1)</f>
        <v>82.792699999999996</v>
      </c>
      <c r="U22" s="100">
        <f>_xll.EQNXTDZ($A$1,$B22,U$1,$B$1)</f>
        <v>72.680000000000007</v>
      </c>
      <c r="V22" s="100">
        <f>_xll.EQNXTDZ($A$1,$B22,V$1,$B$1)</f>
        <v>147.98599999999999</v>
      </c>
      <c r="W22" s="100">
        <f>_xll.EQNXTDZ($A$1,$B22,W$1,$B$1)</f>
        <v>262.22629999999998</v>
      </c>
      <c r="X22" s="100">
        <f>_xll.EQNXTDZ($A$1,$B22,X$1,$B$1)</f>
        <v>467.15339999999998</v>
      </c>
      <c r="Y22" s="100">
        <f>_xll.EQNXTDZ($A$1,$B22,Y$1,$B$1)</f>
        <v>633.99710000000005</v>
      </c>
      <c r="Z22" s="100">
        <f>_xll.EQNXTDZ($A$1,$B22,Z$1,$B$1)</f>
        <v>462.65899999999999</v>
      </c>
      <c r="AA22" s="100">
        <f>_xll.EQNXTDZ($A$1,$B22,AA$1,$B$1)</f>
        <v>314.15440000000001</v>
      </c>
      <c r="AB22" s="100">
        <f>_xll.EQNXTDZ($A$1,$B22,AB$1,$B$1)</f>
        <v>238.78219999999999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2.8128000000000002</v>
      </c>
      <c r="R23" s="100">
        <f>_xll.EQNXTDZ($A$1,$B23,R$1,$B$1)</f>
        <v>1.3129</v>
      </c>
      <c r="S23" s="100">
        <f>_xll.EQNXTDZ($A$1,$B23,S$1,$B$1)</f>
        <v>4.343</v>
      </c>
      <c r="T23" s="100">
        <f>_xll.EQNXTDZ($A$1,$B23,T$1,$B$1)</f>
        <v>6.0739999999999998</v>
      </c>
      <c r="U23" s="100">
        <f>_xll.EQNXTDZ($A$1,$B23,U$1,$B$1)</f>
        <v>7.4</v>
      </c>
      <c r="V23" s="100">
        <f>_xll.EQNXTDZ($A$1,$B23,V$1,$B$1)</f>
        <v>8.827</v>
      </c>
      <c r="W23" s="100">
        <f>_xll.EQNXTDZ($A$1,$B23,W$1,$B$1)</f>
        <v>14.025600000000001</v>
      </c>
      <c r="X23" s="100">
        <f>_xll.EQNXTDZ($A$1,$B23,X$1,$B$1)</f>
        <v>12.3901</v>
      </c>
      <c r="Y23" s="100">
        <f>_xll.EQNXTDZ($A$1,$B23,Y$1,$B$1)</f>
        <v>43.271299999999997</v>
      </c>
      <c r="Z23" s="100">
        <f>_xll.EQNXTDZ($A$1,$B23,Z$1,$B$1)</f>
        <v>43.323700000000002</v>
      </c>
      <c r="AA23" s="100">
        <f>_xll.EQNXTDZ($A$1,$B23,AA$1,$B$1)</f>
        <v>37.283000000000001</v>
      </c>
      <c r="AB23" s="100">
        <f>_xll.EQNXTDZ($A$1,$B23,AB$1,$B$1)</f>
        <v>26.949100000000001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93.767399999999995</v>
      </c>
      <c r="R24" s="100">
        <f>_xll.EQNXTDZ($A$1,$B24,R$1,$B$1)</f>
        <v>106.54179999999999</v>
      </c>
      <c r="S24" s="100">
        <f>_xll.EQNXTDZ($A$1,$B24,S$1,$B$1)</f>
        <v>73.842299999999994</v>
      </c>
      <c r="T24" s="100">
        <f>_xll.EQNXTDZ($A$1,$B24,T$1,$B$1)</f>
        <v>88.866699999999994</v>
      </c>
      <c r="U24" s="100">
        <f>_xll.EQNXTDZ($A$1,$B24,U$1,$B$1)</f>
        <v>80.08</v>
      </c>
      <c r="V24" s="100">
        <f>_xll.EQNXTDZ($A$1,$B24,V$1,$B$1)</f>
        <v>156.81299999999999</v>
      </c>
      <c r="W24" s="100">
        <f>_xll.EQNXTDZ($A$1,$B24,W$1,$B$1)</f>
        <v>276.25189999999998</v>
      </c>
      <c r="X24" s="100">
        <f>_xll.EQNXTDZ($A$1,$B24,X$1,$B$1)</f>
        <v>479.54349999999999</v>
      </c>
      <c r="Y24" s="100">
        <f>_xll.EQNXTDZ($A$1,$B24,Y$1,$B$1)</f>
        <v>677.26840000000004</v>
      </c>
      <c r="Z24" s="100">
        <f>_xll.EQNXTDZ($A$1,$B24,Z$1,$B$1)</f>
        <v>505.98270000000002</v>
      </c>
      <c r="AA24" s="100">
        <f>_xll.EQNXTDZ($A$1,$B24,AA$1,$B$1)</f>
        <v>351.43740000000003</v>
      </c>
      <c r="AB24" s="100">
        <f>_xll.EQNXTDZ($A$1,$B24,AB$1,$B$1)</f>
        <v>265.73129999999998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51.023499999999999</v>
      </c>
      <c r="R25" s="100">
        <f>_xll.EQNXTDZ($A$1,$B25,R$1,$B$1)</f>
        <v>106.3052</v>
      </c>
      <c r="S25" s="100">
        <f>_xll.EQNXTDZ($A$1,$B25,S$1,$B$1)</f>
        <v>105.7106</v>
      </c>
      <c r="T25" s="100">
        <f>_xll.EQNXTDZ($A$1,$B25,T$1,$B$1)</f>
        <v>101.5304</v>
      </c>
      <c r="U25" s="100">
        <f>_xll.EQNXTDZ($A$1,$B25,U$1,$B$1)</f>
        <v>117.64</v>
      </c>
      <c r="V25" s="100">
        <f>_xll.EQNXTDZ($A$1,$B25,V$1,$B$1)</f>
        <v>121.758</v>
      </c>
      <c r="W25" s="100">
        <f>_xll.EQNXTDZ($A$1,$B25,W$1,$B$1)</f>
        <v>130.39250000000001</v>
      </c>
      <c r="X25" s="100">
        <f>_xll.EQNXTDZ($A$1,$B25,X$1,$B$1)</f>
        <v>161.6688</v>
      </c>
      <c r="Y25" s="100">
        <f>_xll.EQNXTDZ($A$1,$B25,Y$1,$B$1)</f>
        <v>96.959000000000003</v>
      </c>
      <c r="Z25" s="100">
        <f>_xll.EQNXTDZ($A$1,$B25,Z$1,$B$1)</f>
        <v>8.4614999999999991</v>
      </c>
      <c r="AA25" s="100">
        <f>_xll.EQNXTDZ($A$1,$B25,AA$1,$B$1)</f>
        <v>8.1033000000000008</v>
      </c>
      <c r="AB25" s="100">
        <f>_xll.EQNXTDZ($A$1,$B25,AB$1,$B$1)</f>
        <v>25.7468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42.743899999999996</v>
      </c>
      <c r="R26" s="100">
        <f>_xll.EQNXTDZ($A$1,$B26,R$1,$B$1)</f>
        <v>0.2366</v>
      </c>
      <c r="S26" s="100">
        <f>_xll.EQNXTDZ($A$1,$B26,S$1,$B$1)</f>
        <v>-31.868300000000001</v>
      </c>
      <c r="T26" s="100">
        <f>_xll.EQNXTDZ($A$1,$B26,T$1,$B$1)</f>
        <v>-12.6637</v>
      </c>
      <c r="U26" s="100">
        <f>_xll.EQNXTDZ($A$1,$B26,U$1,$B$1)</f>
        <v>-37.56</v>
      </c>
      <c r="V26" s="100">
        <f>_xll.EQNXTDZ($A$1,$B26,V$1,$B$1)</f>
        <v>35.055</v>
      </c>
      <c r="W26" s="100">
        <f>_xll.EQNXTDZ($A$1,$B26,W$1,$B$1)</f>
        <v>145.85939999999999</v>
      </c>
      <c r="X26" s="100">
        <f>_xll.EQNXTDZ($A$1,$B26,X$1,$B$1)</f>
        <v>317.87470000000002</v>
      </c>
      <c r="Y26" s="100">
        <f>_xll.EQNXTDZ($A$1,$B26,Y$1,$B$1)</f>
        <v>580.30939999999998</v>
      </c>
      <c r="Z26" s="100">
        <f>_xll.EQNXTDZ($A$1,$B26,Z$1,$B$1)</f>
        <v>497.52120000000002</v>
      </c>
      <c r="AA26" s="100">
        <f>_xll.EQNXTDZ($A$1,$B26,AA$1,$B$1)</f>
        <v>343.33409999999998</v>
      </c>
      <c r="AB26" s="100">
        <f>_xll.EQNXTDZ($A$1,$B26,AB$1,$B$1)</f>
        <v>239.9845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35.683999999999997</v>
      </c>
      <c r="R27" s="100">
        <f>_xll.EQNXTDZ($A$1,$B27,R$1,$B$1)</f>
        <v>72.391900000000007</v>
      </c>
      <c r="S27" s="100">
        <f>_xll.EQNXTDZ($A$1,$B27,S$1,$B$1)</f>
        <v>81.361900000000006</v>
      </c>
      <c r="T27" s="100">
        <f>_xll.EQNXTDZ($A$1,$B27,T$1,$B$1)</f>
        <v>72.765699999999995</v>
      </c>
      <c r="U27" s="100">
        <f>_xll.EQNXTDZ($A$1,$B27,U$1,$B$1)</f>
        <v>49.317</v>
      </c>
      <c r="V27" s="100">
        <f>_xll.EQNXTDZ($A$1,$B27,V$1,$B$1)</f>
        <v>51.761000000000003</v>
      </c>
      <c r="W27" s="100">
        <f>_xll.EQNXTDZ($A$1,$B27,W$1,$B$1)</f>
        <v>55.383499999999998</v>
      </c>
      <c r="X27" s="100">
        <f>_xll.EQNXTDZ($A$1,$B27,X$1,$B$1)</f>
        <v>66.861900000000006</v>
      </c>
      <c r="Y27" s="100">
        <f>_xll.EQNXTDZ($A$1,$B27,Y$1,$B$1)</f>
        <v>68.633399999999995</v>
      </c>
      <c r="Z27" s="100">
        <f>_xll.EQNXTDZ($A$1,$B27,Z$1,$B$1)</f>
        <v>70.337100000000007</v>
      </c>
      <c r="AA27" s="100">
        <f>_xll.EQNXTDZ($A$1,$B27,AA$1,$B$1)</f>
        <v>79.384500000000003</v>
      </c>
      <c r="AB27" s="100">
        <f>_xll.EQNXTDZ($A$1,$B27,AB$1,$B$1)</f>
        <v>92.8887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114.261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-40.182699999999997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-53.2697</v>
      </c>
      <c r="R30" s="100">
        <f>_xll.EQNXTDZ($A$1,$B30,R$1,$B$1)</f>
        <v>14.476800000000001</v>
      </c>
      <c r="S30" s="100">
        <f>_xll.EQNXTDZ($A$1,$B30,S$1,$B$1)</f>
        <v>-39.606400000000001</v>
      </c>
      <c r="T30" s="100">
        <f>_xll.EQNXTDZ($A$1,$B30,T$1,$B$1)</f>
        <v>-6.2190000000000003</v>
      </c>
      <c r="U30" s="100">
        <f>_xll.EQNXTDZ($A$1,$B30,U$1,$B$1)</f>
        <v>-12.587999999999999</v>
      </c>
      <c r="V30" s="100">
        <f>_xll.EQNXTDZ($A$1,$B30,V$1,$B$1)</f>
        <v>19.529</v>
      </c>
      <c r="W30" s="100">
        <f>_xll.EQNXTDZ($A$1,$B30,W$1,$B$1)</f>
        <v>23.889299999999999</v>
      </c>
      <c r="X30" s="100">
        <f>_xll.EQNXTDZ($A$1,$B30,X$1,$B$1)</f>
        <v>62.803600000000003</v>
      </c>
      <c r="Y30" s="100">
        <f>_xll.EQNXTDZ($A$1,$B30,Y$1,$B$1)</f>
        <v>129.11680000000001</v>
      </c>
      <c r="Z30" s="100">
        <f>_xll.EQNXTDZ($A$1,$B30,Z$1,$B$1)</f>
        <v>108.21339999999999</v>
      </c>
      <c r="AA30" s="100">
        <f>_xll.EQNXTDZ($A$1,$B30,AA$1,$B$1)</f>
        <v>61.622</v>
      </c>
      <c r="AB30" s="100">
        <f>_xll.EQNXTDZ($A$1,$B30,AB$1,$B$1)</f>
        <v>41.687800000000003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6.7999999999999996E-3</v>
      </c>
      <c r="AA32" s="100">
        <f>_xll.EQNXTDZ($A$1,$B32,AA$1,$B$1)</f>
        <v>3.8E-3</v>
      </c>
      <c r="AB32" s="100">
        <f>_xll.EQNXTDZ($A$1,$B32,AB$1,$B$1)</f>
        <v>1.4514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9.8699999999999996E-2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60.329599999999999</v>
      </c>
      <c r="R35" s="100">
        <f>_xll.EQNXTDZ($A$1,$B35,R$1,$B$1)</f>
        <v>-86.632099999999994</v>
      </c>
      <c r="S35" s="100">
        <f>_xll.EQNXTDZ($A$1,$B35,S$1,$B$1)</f>
        <v>-73.623800000000003</v>
      </c>
      <c r="T35" s="100">
        <f>_xll.EQNXTDZ($A$1,$B35,T$1,$B$1)</f>
        <v>-79.210400000000007</v>
      </c>
      <c r="U35" s="100">
        <f>_xll.EQNXTDZ($A$1,$B35,U$1,$B$1)</f>
        <v>39.972000000000001</v>
      </c>
      <c r="V35" s="100">
        <f>_xll.EQNXTDZ($A$1,$B35,V$1,$B$1)</f>
        <v>-36.234999999999999</v>
      </c>
      <c r="W35" s="100">
        <f>_xll.EQNXTDZ($A$1,$B35,W$1,$B$1)</f>
        <v>66.586600000000004</v>
      </c>
      <c r="X35" s="100">
        <f>_xll.EQNXTDZ($A$1,$B35,X$1,$B$1)</f>
        <v>188.30789999999999</v>
      </c>
      <c r="Y35" s="100">
        <f>_xll.EQNXTDZ($A$1,$B35,Y$1,$B$1)</f>
        <v>382.55919999999998</v>
      </c>
      <c r="Z35" s="100">
        <f>_xll.EQNXTDZ($A$1,$B35,Z$1,$B$1)</f>
        <v>318.97750000000002</v>
      </c>
      <c r="AA35" s="100">
        <f>_xll.EQNXTDZ($A$1,$B35,AA$1,$B$1)</f>
        <v>162.14869999999999</v>
      </c>
      <c r="AB35" s="100">
        <f>_xll.EQNXTDZ($A$1,$B35,AB$1,$B$1)</f>
        <v>106.85939999999999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10</v>
      </c>
      <c r="R41" s="55">
        <f>_xll.EQNXTDZ($A$1,$B41,R$1,$B$1)</f>
        <v>10</v>
      </c>
      <c r="S41" s="55">
        <f>_xll.EQNXTDZ($A$1,$B41,S$1,$B$1)</f>
        <v>10</v>
      </c>
      <c r="T41" s="55">
        <f>_xll.EQNXTDZ($A$1,$B41,T$1,$B$1)</f>
        <v>10</v>
      </c>
      <c r="U41" s="55">
        <f>_xll.EQNXTDZ($A$1,$B41,U$1,$B$1)</f>
        <v>19.266999999999999</v>
      </c>
      <c r="V41" s="55">
        <f>_xll.EQNXTDZ($A$1,$B41,V$1,$B$1)</f>
        <v>19.266999999999999</v>
      </c>
      <c r="W41" s="55">
        <f>_xll.EQNXTDZ($A$1,$B41,W$1,$B$1)</f>
        <v>19.2667</v>
      </c>
      <c r="X41" s="55">
        <f>_xll.EQNXTDZ($A$1,$B41,X$1,$B$1)</f>
        <v>19.2667</v>
      </c>
      <c r="Y41" s="55">
        <f>_xll.EQNXTDZ($A$1,$B41,Y$1,$B$1)</f>
        <v>24.610600000000002</v>
      </c>
      <c r="Z41" s="55">
        <f>_xll.EQNXTDZ($A$1,$B41,Z$1,$B$1)</f>
        <v>24.679400000000001</v>
      </c>
      <c r="AA41" s="55">
        <f>_xll.EQNXTDZ($A$1,$B41,AA$1,$B$1)</f>
        <v>24.685500000000001</v>
      </c>
      <c r="AB41" s="55">
        <f>_xll.EQNXTDZ($A$1,$B41,AB$1,$B$1)</f>
        <v>24.691600000000001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7.5777000000000001</v>
      </c>
      <c r="Z42" s="55">
        <f>_xll.EQNXTDZ($A$1,$B42,Z$1,$B$1)</f>
        <v>2.3570000000000002</v>
      </c>
      <c r="AA42" s="55">
        <f>_xll.EQNXTDZ($A$1,$B42,AA$1,$B$1)</f>
        <v>2.4123000000000001</v>
      </c>
      <c r="AB42" s="55">
        <f>_xll.EQNXTDZ($A$1,$B42,AB$1,$B$1)</f>
        <v>1.9400999999999999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190.70320000000001</v>
      </c>
      <c r="R43" s="55">
        <f>_xll.EQNXTDZ($A$1,$B43,R$1,$B$1)</f>
        <v>104.07129999999999</v>
      </c>
      <c r="S43" s="55">
        <f>_xll.EQNXTDZ($A$1,$B43,S$1,$B$1)</f>
        <v>30.459499999999998</v>
      </c>
      <c r="T43" s="55">
        <f>_xll.EQNXTDZ($A$1,$B43,T$1,$B$1)</f>
        <v>-38.157499999999999</v>
      </c>
      <c r="U43" s="55">
        <f>_xll.EQNXTDZ($A$1,$B43,U$1,$B$1)</f>
        <v>23.103000000000002</v>
      </c>
      <c r="V43" s="55">
        <f>_xll.EQNXTDZ($A$1,$B43,V$1,$B$1)</f>
        <v>-13.297000000000001</v>
      </c>
      <c r="W43" s="55">
        <f>_xll.EQNXTDZ($A$1,$B43,W$1,$B$1)</f>
        <v>54.710999999999999</v>
      </c>
      <c r="X43" s="55">
        <f>_xll.EQNXTDZ($A$1,$B43,X$1,$B$1)</f>
        <v>243.0189</v>
      </c>
      <c r="Y43" s="55">
        <f>_xll.EQNXTDZ($A$1,$B43,Y$1,$B$1)</f>
        <v>1398.8315</v>
      </c>
      <c r="Z43" s="55">
        <f>_xll.EQNXTDZ($A$1,$B43,Z$1,$B$1)</f>
        <v>1674.5141000000001</v>
      </c>
      <c r="AA43" s="55">
        <f>_xll.EQNXTDZ($A$1,$B43,AA$1,$B$1)</f>
        <v>1836.9154000000001</v>
      </c>
      <c r="AB43" s="55">
        <f>_xll.EQNXTDZ($A$1,$B43,AB$1,$B$1)</f>
        <v>1907.758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200.70320000000001</v>
      </c>
      <c r="R44" s="55">
        <f>_xll.EQNXTDZ($A$1,$B44,R$1,$B$1)</f>
        <v>114.07129999999999</v>
      </c>
      <c r="S44" s="55">
        <f>_xll.EQNXTDZ($A$1,$B44,S$1,$B$1)</f>
        <v>40.459499999999998</v>
      </c>
      <c r="T44" s="55">
        <f>_xll.EQNXTDZ($A$1,$B44,T$1,$B$1)</f>
        <v>-28.157499999999999</v>
      </c>
      <c r="U44" s="55">
        <f>_xll.EQNXTDZ($A$1,$B44,U$1,$B$1)</f>
        <v>42.37</v>
      </c>
      <c r="V44" s="55">
        <f>_xll.EQNXTDZ($A$1,$B44,V$1,$B$1)</f>
        <v>5.97</v>
      </c>
      <c r="W44" s="55">
        <f>_xll.EQNXTDZ($A$1,$B44,W$1,$B$1)</f>
        <v>73.977699999999999</v>
      </c>
      <c r="X44" s="55">
        <f>_xll.EQNXTDZ($A$1,$B44,X$1,$B$1)</f>
        <v>262.28559999999999</v>
      </c>
      <c r="Y44" s="55">
        <f>_xll.EQNXTDZ($A$1,$B44,Y$1,$B$1)</f>
        <v>1431.0198</v>
      </c>
      <c r="Z44" s="55">
        <f>_xll.EQNXTDZ($A$1,$B44,Z$1,$B$1)</f>
        <v>1701.5505000000001</v>
      </c>
      <c r="AA44" s="55">
        <f>_xll.EQNXTDZ($A$1,$B44,AA$1,$B$1)</f>
        <v>1864.0132000000001</v>
      </c>
      <c r="AB44" s="55">
        <f>_xll.EQNXTDZ($A$1,$B44,AB$1,$B$1)</f>
        <v>1934.3896999999999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8.2000000000000007E-3</v>
      </c>
      <c r="AA45" s="55">
        <f>_xll.EQNXTDZ($A$1,$B45,AA$1,$B$1)</f>
        <v>4.3E-3</v>
      </c>
      <c r="AB45" s="55">
        <f>_xll.EQNXTDZ($A$1,$B45,AB$1,$B$1)</f>
        <v>-1.4471000000000001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443.745</v>
      </c>
      <c r="R47" s="55">
        <f>_xll.EQNXTDZ($A$1,$B47,R$1,$B$1)</f>
        <v>271.63740000000001</v>
      </c>
      <c r="S47" s="55">
        <f>_xll.EQNXTDZ($A$1,$B47,S$1,$B$1)</f>
        <v>482.95139999999998</v>
      </c>
      <c r="T47" s="55">
        <f>_xll.EQNXTDZ($A$1,$B47,T$1,$B$1)</f>
        <v>449.35539999999997</v>
      </c>
      <c r="U47" s="55">
        <f>_xll.EQNXTDZ($A$1,$B47,U$1,$B$1)</f>
        <v>740.51800000000003</v>
      </c>
      <c r="V47" s="55">
        <f>_xll.EQNXTDZ($A$1,$B47,V$1,$B$1)</f>
        <v>848.26499999999999</v>
      </c>
      <c r="W47" s="55">
        <f>_xll.EQNXTDZ($A$1,$B47,W$1,$B$1)</f>
        <v>846.41150000000005</v>
      </c>
      <c r="X47" s="55">
        <f>_xll.EQNXTDZ($A$1,$B47,X$1,$B$1)</f>
        <v>842.8329</v>
      </c>
      <c r="Y47" s="55">
        <f>_xll.EQNXTDZ($A$1,$B47,Y$1,$B$1)</f>
        <v>0.78800000000000003</v>
      </c>
      <c r="Z47" s="55">
        <f>_xll.EQNXTDZ($A$1,$B47,Z$1,$B$1)</f>
        <v>59.359299999999998</v>
      </c>
      <c r="AA47" s="55">
        <f>_xll.EQNXTDZ($A$1,$B47,AA$1,$B$1)</f>
        <v>151.59889999999999</v>
      </c>
      <c r="AB47" s="55">
        <f>_xll.EQNXTDZ($A$1,$B47,AB$1,$B$1)</f>
        <v>126.66549999999999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304.06779999999998</v>
      </c>
      <c r="R48" s="55">
        <f>_xll.EQNXTDZ($A$1,$B48,R$1,$B$1)</f>
        <v>317.1651</v>
      </c>
      <c r="S48" s="55">
        <f>_xll.EQNXTDZ($A$1,$B48,S$1,$B$1)</f>
        <v>334.21409999999997</v>
      </c>
      <c r="T48" s="55">
        <f>_xll.EQNXTDZ($A$1,$B48,T$1,$B$1)</f>
        <v>342.69439999999997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-46.287100000000002</v>
      </c>
      <c r="R49" s="55">
        <f>_xll.EQNXTDZ($A$1,$B49,R$1,$B$1)</f>
        <v>-31.810400000000001</v>
      </c>
      <c r="S49" s="55">
        <f>_xll.EQNXTDZ($A$1,$B49,S$1,$B$1)</f>
        <v>-71.416799999999995</v>
      </c>
      <c r="T49" s="55">
        <f>_xll.EQNXTDZ($A$1,$B49,T$1,$B$1)</f>
        <v>-78.083399999999997</v>
      </c>
      <c r="U49" s="55">
        <f>_xll.EQNXTDZ($A$1,$B49,U$1,$B$1)</f>
        <v>-90.691000000000003</v>
      </c>
      <c r="V49" s="55">
        <f>_xll.EQNXTDZ($A$1,$B49,V$1,$B$1)</f>
        <v>-77.078999999999994</v>
      </c>
      <c r="W49" s="55">
        <f>_xll.EQNXTDZ($A$1,$B49,W$1,$B$1)</f>
        <v>-53.292299999999997</v>
      </c>
      <c r="X49" s="55">
        <f>_xll.EQNXTDZ($A$1,$B49,X$1,$B$1)</f>
        <v>9.56</v>
      </c>
      <c r="Y49" s="55">
        <f>_xll.EQNXTDZ($A$1,$B49,Y$1,$B$1)</f>
        <v>115.1465</v>
      </c>
      <c r="Z49" s="55">
        <f>_xll.EQNXTDZ($A$1,$B49,Z$1,$B$1)</f>
        <v>122.6601</v>
      </c>
      <c r="AA49" s="55">
        <f>_xll.EQNXTDZ($A$1,$B49,AA$1,$B$1)</f>
        <v>118.8539</v>
      </c>
      <c r="AB49" s="55">
        <f>_xll.EQNXTDZ($A$1,$B49,AB$1,$B$1)</f>
        <v>106.7064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10.523999999999999</v>
      </c>
      <c r="R50" s="55">
        <f>_xll.EQNXTDZ($A$1,$B50,R$1,$B$1)</f>
        <v>112.8031</v>
      </c>
      <c r="S50" s="55">
        <f>_xll.EQNXTDZ($A$1,$B50,S$1,$B$1)</f>
        <v>103.6232</v>
      </c>
      <c r="T50" s="55">
        <f>_xll.EQNXTDZ($A$1,$B50,T$1,$B$1)</f>
        <v>82.700299999999999</v>
      </c>
      <c r="U50" s="55">
        <f>_xll.EQNXTDZ($A$1,$B50,U$1,$B$1)</f>
        <v>334.178</v>
      </c>
      <c r="V50" s="55">
        <f>_xll.EQNXTDZ($A$1,$B50,V$1,$B$1)</f>
        <v>320.84100000000001</v>
      </c>
      <c r="W50" s="55">
        <f>_xll.EQNXTDZ($A$1,$B50,W$1,$B$1)</f>
        <v>330.94409999999999</v>
      </c>
      <c r="X50" s="55">
        <f>_xll.EQNXTDZ($A$1,$B50,X$1,$B$1)</f>
        <v>240.70840000000001</v>
      </c>
      <c r="Y50" s="55">
        <f>_xll.EQNXTDZ($A$1,$B50,Y$1,$B$1)</f>
        <v>35.712000000000003</v>
      </c>
      <c r="Z50" s="55">
        <f>_xll.EQNXTDZ($A$1,$B50,Z$1,$B$1)</f>
        <v>31.2256</v>
      </c>
      <c r="AA50" s="55">
        <f>_xll.EQNXTDZ($A$1,$B50,AA$1,$B$1)</f>
        <v>42.186999999999998</v>
      </c>
      <c r="AB50" s="55">
        <f>_xll.EQNXTDZ($A$1,$B50,AB$1,$B$1)</f>
        <v>45.044600000000003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0.42699999999999999</v>
      </c>
      <c r="R52" s="55">
        <f>_xll.EQNXTDZ($A$1,$B52,R$1,$B$1)</f>
        <v>0.2515</v>
      </c>
      <c r="S52" s="55">
        <f>_xll.EQNXTDZ($A$1,$B52,S$1,$B$1)</f>
        <v>0.35820000000000002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0.41189999999999999</v>
      </c>
      <c r="X52" s="55">
        <f>_xll.EQNXTDZ($A$1,$B52,X$1,$B$1)</f>
        <v>0.33829999999999999</v>
      </c>
      <c r="Y52" s="55">
        <f>_xll.EQNXTDZ($A$1,$B52,Y$1,$B$1)</f>
        <v>4.7899999999999998E-2</v>
      </c>
      <c r="Z52" s="55">
        <f>_xll.EQNXTDZ($A$1,$B52,Z$1,$B$1)</f>
        <v>129.44710000000001</v>
      </c>
      <c r="AA52" s="55">
        <f>_xll.EQNXTDZ($A$1,$B52,AA$1,$B$1)</f>
        <v>15.1569</v>
      </c>
      <c r="AB52" s="55">
        <f>_xll.EQNXTDZ($A$1,$B52,AB$1,$B$1)</f>
        <v>234.28960000000001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712.47670000000005</v>
      </c>
      <c r="R53" s="55">
        <f>_xll.EQNXTDZ($A$1,$B53,R$1,$B$1)</f>
        <v>670.04669999999999</v>
      </c>
      <c r="S53" s="55">
        <f>_xll.EQNXTDZ($A$1,$B53,S$1,$B$1)</f>
        <v>849.73009999999999</v>
      </c>
      <c r="T53" s="55">
        <f>_xll.EQNXTDZ($A$1,$B53,T$1,$B$1)</f>
        <v>796.66669999999999</v>
      </c>
      <c r="U53" s="55">
        <f>_xll.EQNXTDZ($A$1,$B53,U$1,$B$1)</f>
        <v>984.005</v>
      </c>
      <c r="V53" s="55">
        <f>_xll.EQNXTDZ($A$1,$B53,V$1,$B$1)</f>
        <v>1092.027</v>
      </c>
      <c r="W53" s="55">
        <f>_xll.EQNXTDZ($A$1,$B53,W$1,$B$1)</f>
        <v>1124.4752000000001</v>
      </c>
      <c r="X53" s="55">
        <f>_xll.EQNXTDZ($A$1,$B53,X$1,$B$1)</f>
        <v>1093.4395999999999</v>
      </c>
      <c r="Y53" s="55">
        <f>_xll.EQNXTDZ($A$1,$B53,Y$1,$B$1)</f>
        <v>151.6944</v>
      </c>
      <c r="Z53" s="55">
        <f>_xll.EQNXTDZ($A$1,$B53,Z$1,$B$1)</f>
        <v>342.69209999999998</v>
      </c>
      <c r="AA53" s="55">
        <f>_xll.EQNXTDZ($A$1,$B53,AA$1,$B$1)</f>
        <v>327.79669999999999</v>
      </c>
      <c r="AB53" s="55">
        <f>_xll.EQNXTDZ($A$1,$B53,AB$1,$B$1)</f>
        <v>512.70609999999999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48.397500000000001</v>
      </c>
      <c r="R54" s="55">
        <f>_xll.EQNXTDZ($A$1,$B54,R$1,$B$1)</f>
        <v>84.440799999999996</v>
      </c>
      <c r="S54" s="55">
        <f>_xll.EQNXTDZ($A$1,$B54,S$1,$B$1)</f>
        <v>112.6219</v>
      </c>
      <c r="T54" s="55">
        <f>_xll.EQNXTDZ($A$1,$B54,T$1,$B$1)</f>
        <v>140.7764</v>
      </c>
      <c r="U54" s="55">
        <f>_xll.EQNXTDZ($A$1,$B54,U$1,$B$1)</f>
        <v>105.252</v>
      </c>
      <c r="V54" s="55">
        <f>_xll.EQNXTDZ($A$1,$B54,V$1,$B$1)</f>
        <v>167.11600000000001</v>
      </c>
      <c r="W54" s="55">
        <f>_xll.EQNXTDZ($A$1,$B54,W$1,$B$1)</f>
        <v>111.7834</v>
      </c>
      <c r="X54" s="55">
        <f>_xll.EQNXTDZ($A$1,$B54,X$1,$B$1)</f>
        <v>112.2932</v>
      </c>
      <c r="Y54" s="55">
        <f>_xll.EQNXTDZ($A$1,$B54,Y$1,$B$1)</f>
        <v>95.555000000000007</v>
      </c>
      <c r="Z54" s="55">
        <f>_xll.EQNXTDZ($A$1,$B54,Z$1,$B$1)</f>
        <v>99.810699999999997</v>
      </c>
      <c r="AA54" s="55">
        <f>_xll.EQNXTDZ($A$1,$B54,AA$1,$B$1)</f>
        <v>105.05200000000001</v>
      </c>
      <c r="AB54" s="55">
        <f>_xll.EQNXTDZ($A$1,$B54,AB$1,$B$1)</f>
        <v>105.23090000000001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348.76659999999998</v>
      </c>
      <c r="R55" s="55">
        <f>_xll.EQNXTDZ($A$1,$B55,R$1,$B$1)</f>
        <v>355.95249999999999</v>
      </c>
      <c r="S55" s="55">
        <f>_xll.EQNXTDZ($A$1,$B55,S$1,$B$1)</f>
        <v>175.50040000000001</v>
      </c>
      <c r="T55" s="55">
        <f>_xll.EQNXTDZ($A$1,$B55,T$1,$B$1)</f>
        <v>201.39500000000001</v>
      </c>
      <c r="U55" s="55">
        <f>_xll.EQNXTDZ($A$1,$B55,U$1,$B$1)</f>
        <v>24.706</v>
      </c>
      <c r="V55" s="55">
        <f>_xll.EQNXTDZ($A$1,$B55,V$1,$B$1)</f>
        <v>79.641000000000005</v>
      </c>
      <c r="W55" s="55">
        <f>_xll.EQNXTDZ($A$1,$B55,W$1,$B$1)</f>
        <v>60.325400000000002</v>
      </c>
      <c r="X55" s="55">
        <f>_xll.EQNXTDZ($A$1,$B55,X$1,$B$1)</f>
        <v>62.469700000000003</v>
      </c>
      <c r="Y55" s="55">
        <f>_xll.EQNXTDZ($A$1,$B55,Y$1,$B$1)</f>
        <v>53.7654</v>
      </c>
      <c r="Z55" s="55">
        <f>_xll.EQNXTDZ($A$1,$B55,Z$1,$B$1)</f>
        <v>34.418700000000001</v>
      </c>
      <c r="AA55" s="55">
        <f>_xll.EQNXTDZ($A$1,$B55,AA$1,$B$1)</f>
        <v>86.431799999999996</v>
      </c>
      <c r="AB55" s="55">
        <f>_xll.EQNXTDZ($A$1,$B55,AB$1,$B$1)</f>
        <v>118.4622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56.722799999999999</v>
      </c>
      <c r="R56" s="55">
        <f>_xll.EQNXTDZ($A$1,$B56,R$1,$B$1)</f>
        <v>102.1108</v>
      </c>
      <c r="S56" s="55">
        <f>_xll.EQNXTDZ($A$1,$B56,S$1,$B$1)</f>
        <v>55.142600000000002</v>
      </c>
      <c r="T56" s="55">
        <f>_xll.EQNXTDZ($A$1,$B56,T$1,$B$1)</f>
        <v>65.961500000000001</v>
      </c>
      <c r="U56" s="55">
        <f>_xll.EQNXTDZ($A$1,$B56,U$1,$B$1)</f>
        <v>13.273999999999999</v>
      </c>
      <c r="V56" s="55">
        <f>_xll.EQNXTDZ($A$1,$B56,V$1,$B$1)</f>
        <v>6.0620000000000003</v>
      </c>
      <c r="W56" s="55">
        <f>_xll.EQNXTDZ($A$1,$B56,W$1,$B$1)</f>
        <v>9.3120999999999992</v>
      </c>
      <c r="X56" s="55">
        <f>_xll.EQNXTDZ($A$1,$B56,X$1,$B$1)</f>
        <v>0</v>
      </c>
      <c r="Y56" s="55">
        <f>_xll.EQNXTDZ($A$1,$B56,Y$1,$B$1)</f>
        <v>20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213.03890000000001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9.11</v>
      </c>
      <c r="R57" s="55">
        <f>_xll.EQNXTDZ($A$1,$B57,R$1,$B$1)</f>
        <v>10.5669</v>
      </c>
      <c r="S57" s="55">
        <f>_xll.EQNXTDZ($A$1,$B57,S$1,$B$1)</f>
        <v>3.4049999999999998</v>
      </c>
      <c r="T57" s="55">
        <f>_xll.EQNXTDZ($A$1,$B57,T$1,$B$1)</f>
        <v>1.6763999999999999</v>
      </c>
      <c r="U57" s="55">
        <f>_xll.EQNXTDZ($A$1,$B57,U$1,$B$1)</f>
        <v>0.215</v>
      </c>
      <c r="V57" s="55">
        <f>_xll.EQNXTDZ($A$1,$B57,V$1,$B$1)</f>
        <v>0.70799999999999996</v>
      </c>
      <c r="W57" s="55">
        <f>_xll.EQNXTDZ($A$1,$B57,W$1,$B$1)</f>
        <v>0.86350000000000005</v>
      </c>
      <c r="X57" s="55">
        <f>_xll.EQNXTDZ($A$1,$B57,X$1,$B$1)</f>
        <v>0.8246</v>
      </c>
      <c r="Y57" s="55">
        <f>_xll.EQNXTDZ($A$1,$B57,Y$1,$B$1)</f>
        <v>23.883199999999999</v>
      </c>
      <c r="Z57" s="55">
        <f>_xll.EQNXTDZ($A$1,$B57,Z$1,$B$1)</f>
        <v>0.64190000000000003</v>
      </c>
      <c r="AA57" s="55">
        <f>_xll.EQNXTDZ($A$1,$B57,AA$1,$B$1)</f>
        <v>167.79419999999999</v>
      </c>
      <c r="AB57" s="55">
        <f>_xll.EQNXTDZ($A$1,$B57,AB$1,$B$1)</f>
        <v>1.6181000000000001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462.99689999999998</v>
      </c>
      <c r="R59" s="55">
        <f>_xll.EQNXTDZ($A$1,$B59,R$1,$B$1)</f>
        <v>553.07100000000003</v>
      </c>
      <c r="S59" s="55">
        <f>_xll.EQNXTDZ($A$1,$B59,S$1,$B$1)</f>
        <v>346.66989999999998</v>
      </c>
      <c r="T59" s="55">
        <f>_xll.EQNXTDZ($A$1,$B59,T$1,$B$1)</f>
        <v>409.80930000000001</v>
      </c>
      <c r="U59" s="55">
        <f>_xll.EQNXTDZ($A$1,$B59,U$1,$B$1)</f>
        <v>143.447</v>
      </c>
      <c r="V59" s="55">
        <f>_xll.EQNXTDZ($A$1,$B59,V$1,$B$1)</f>
        <v>253.52699999999999</v>
      </c>
      <c r="W59" s="55">
        <f>_xll.EQNXTDZ($A$1,$B59,W$1,$B$1)</f>
        <v>182.28440000000001</v>
      </c>
      <c r="X59" s="55">
        <f>_xll.EQNXTDZ($A$1,$B59,X$1,$B$1)</f>
        <v>175.58750000000001</v>
      </c>
      <c r="Y59" s="55">
        <f>_xll.EQNXTDZ($A$1,$B59,Y$1,$B$1)</f>
        <v>193.20359999999999</v>
      </c>
      <c r="Z59" s="55">
        <f>_xll.EQNXTDZ($A$1,$B59,Z$1,$B$1)</f>
        <v>134.87129999999999</v>
      </c>
      <c r="AA59" s="55">
        <f>_xll.EQNXTDZ($A$1,$B59,AA$1,$B$1)</f>
        <v>359.27800000000002</v>
      </c>
      <c r="AB59" s="55">
        <f>_xll.EQNXTDZ($A$1,$B59,AB$1,$B$1)</f>
        <v>438.3501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1376.1768</v>
      </c>
      <c r="R60" s="55">
        <f>_xll.EQNXTDZ($A$1,$B60,R$1,$B$1)</f>
        <v>1337.1890000000001</v>
      </c>
      <c r="S60" s="55">
        <f>_xll.EQNXTDZ($A$1,$B60,S$1,$B$1)</f>
        <v>1236.8595</v>
      </c>
      <c r="T60" s="55">
        <f>_xll.EQNXTDZ($A$1,$B60,T$1,$B$1)</f>
        <v>1178.3185000000001</v>
      </c>
      <c r="U60" s="55">
        <f>_xll.EQNXTDZ($A$1,$B60,U$1,$B$1)</f>
        <v>1169.8219999999999</v>
      </c>
      <c r="V60" s="55">
        <f>_xll.EQNXTDZ($A$1,$B60,V$1,$B$1)</f>
        <v>1351.5239999999999</v>
      </c>
      <c r="W60" s="55">
        <f>_xll.EQNXTDZ($A$1,$B60,W$1,$B$1)</f>
        <v>1380.7373</v>
      </c>
      <c r="X60" s="55">
        <f>_xll.EQNXTDZ($A$1,$B60,X$1,$B$1)</f>
        <v>1531.3126999999999</v>
      </c>
      <c r="Y60" s="55">
        <f>_xll.EQNXTDZ($A$1,$B60,Y$1,$B$1)</f>
        <v>1775.9177999999999</v>
      </c>
      <c r="Z60" s="55">
        <f>_xll.EQNXTDZ($A$1,$B60,Z$1,$B$1)</f>
        <v>2179.1221</v>
      </c>
      <c r="AA60" s="55">
        <f>_xll.EQNXTDZ($A$1,$B60,AA$1,$B$1)</f>
        <v>2551.0922</v>
      </c>
      <c r="AB60" s="55">
        <f>_xll.EQNXTDZ($A$1,$B60,AB$1,$B$1)</f>
        <v>2883.9987999999998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817.54200000000003</v>
      </c>
      <c r="R62" s="55">
        <f>_xll.EQNXTDZ($A$1,$B62,R$1,$B$1)</f>
        <v>1131.6088</v>
      </c>
      <c r="S62" s="55">
        <f>_xll.EQNXTDZ($A$1,$B62,S$1,$B$1)</f>
        <v>1193.2947999999999</v>
      </c>
      <c r="T62" s="55">
        <f>_xll.EQNXTDZ($A$1,$B62,T$1,$B$1)</f>
        <v>1012.7807</v>
      </c>
      <c r="U62" s="55">
        <f>_xll.EQNXTDZ($A$1,$B62,U$1,$B$1)</f>
        <v>1057.1079999999999</v>
      </c>
      <c r="V62" s="55">
        <f>_xll.EQNXTDZ($A$1,$B62,V$1,$B$1)</f>
        <v>1087.27</v>
      </c>
      <c r="W62" s="55">
        <f>_xll.EQNXTDZ($A$1,$B62,W$1,$B$1)</f>
        <v>1266.2565999999999</v>
      </c>
      <c r="X62" s="55">
        <f>_xll.EQNXTDZ($A$1,$B62,X$1,$B$1)</f>
        <v>1376.8742999999999</v>
      </c>
      <c r="Y62" s="55">
        <f>_xll.EQNXTDZ($A$1,$B62,Y$1,$B$1)</f>
        <v>1468.8567</v>
      </c>
      <c r="Z62" s="55">
        <f>_xll.EQNXTDZ($A$1,$B62,Z$1,$B$1)</f>
        <v>1575.0922</v>
      </c>
      <c r="AA62" s="55">
        <f>_xll.EQNXTDZ($A$1,$B62,AA$1,$B$1)</f>
        <v>1870.4838</v>
      </c>
      <c r="AB62" s="55">
        <f>_xll.EQNXTDZ($A$1,$B62,AB$1,$B$1)</f>
        <v>1967.7545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45.819800000000001</v>
      </c>
      <c r="R63" s="55">
        <f>_xll.EQNXTDZ($A$1,$B63,R$1,$B$1)</f>
        <v>118.17910000000001</v>
      </c>
      <c r="S63" s="55">
        <f>_xll.EQNXTDZ($A$1,$B63,S$1,$B$1)</f>
        <v>199.541</v>
      </c>
      <c r="T63" s="55">
        <f>_xll.EQNXTDZ($A$1,$B63,T$1,$B$1)</f>
        <v>72.765799999999999</v>
      </c>
      <c r="U63" s="55">
        <f>_xll.EQNXTDZ($A$1,$B63,U$1,$B$1)</f>
        <v>120.858</v>
      </c>
      <c r="V63" s="55">
        <f>_xll.EQNXTDZ($A$1,$B63,V$1,$B$1)</f>
        <v>171.75700000000001</v>
      </c>
      <c r="W63" s="55">
        <f>_xll.EQNXTDZ($A$1,$B63,W$1,$B$1)</f>
        <v>223.95679999999999</v>
      </c>
      <c r="X63" s="55">
        <f>_xll.EQNXTDZ($A$1,$B63,X$1,$B$1)</f>
        <v>290.68029999999999</v>
      </c>
      <c r="Y63" s="55">
        <f>_xll.EQNXTDZ($A$1,$B63,Y$1,$B$1)</f>
        <v>358.77370000000002</v>
      </c>
      <c r="Z63" s="55">
        <f>_xll.EQNXTDZ($A$1,$B63,Z$1,$B$1)</f>
        <v>415.37259999999998</v>
      </c>
      <c r="AA63" s="55">
        <f>_xll.EQNXTDZ($A$1,$B63,AA$1,$B$1)</f>
        <v>492.41840000000002</v>
      </c>
      <c r="AB63" s="55">
        <f>_xll.EQNXTDZ($A$1,$B63,AB$1,$B$1)</f>
        <v>584.56560000000002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771.72220000000004</v>
      </c>
      <c r="R65" s="55">
        <f>_xll.EQNXTDZ($A$1,$B65,R$1,$B$1)</f>
        <v>1013.4297</v>
      </c>
      <c r="S65" s="55">
        <f>_xll.EQNXTDZ($A$1,$B65,S$1,$B$1)</f>
        <v>993.75379999999996</v>
      </c>
      <c r="T65" s="55">
        <f>_xll.EQNXTDZ($A$1,$B65,T$1,$B$1)</f>
        <v>940.01490000000001</v>
      </c>
      <c r="U65" s="55">
        <f>_xll.EQNXTDZ($A$1,$B65,U$1,$B$1)</f>
        <v>936.25</v>
      </c>
      <c r="V65" s="55">
        <f>_xll.EQNXTDZ($A$1,$B65,V$1,$B$1)</f>
        <v>915.51300000000003</v>
      </c>
      <c r="W65" s="55">
        <f>_xll.EQNXTDZ($A$1,$B65,W$1,$B$1)</f>
        <v>1042.2998</v>
      </c>
      <c r="X65" s="55">
        <f>_xll.EQNXTDZ($A$1,$B65,X$1,$B$1)</f>
        <v>1086.194</v>
      </c>
      <c r="Y65" s="55">
        <f>_xll.EQNXTDZ($A$1,$B65,Y$1,$B$1)</f>
        <v>1110.0830000000001</v>
      </c>
      <c r="Z65" s="55">
        <f>_xll.EQNXTDZ($A$1,$B65,Z$1,$B$1)</f>
        <v>1159.7195999999999</v>
      </c>
      <c r="AA65" s="55">
        <f>_xll.EQNXTDZ($A$1,$B65,AA$1,$B$1)</f>
        <v>1378.0654</v>
      </c>
      <c r="AB65" s="55">
        <f>_xll.EQNXTDZ($A$1,$B65,AB$1,$B$1)</f>
        <v>1383.1889000000001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324.64420000000001</v>
      </c>
      <c r="R67" s="55">
        <f>_xll.EQNXTDZ($A$1,$B67,R$1,$B$1)</f>
        <v>65.630099999999999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9.07</v>
      </c>
      <c r="V67" s="55">
        <f>_xll.EQNXTDZ($A$1,$B67,V$1,$B$1)</f>
        <v>158.185</v>
      </c>
      <c r="W67" s="55">
        <f>_xll.EQNXTDZ($A$1,$B67,W$1,$B$1)</f>
        <v>18.931699999999999</v>
      </c>
      <c r="X67" s="55">
        <f>_xll.EQNXTDZ($A$1,$B67,X$1,$B$1)</f>
        <v>17.196400000000001</v>
      </c>
      <c r="Y67" s="55">
        <f>_xll.EQNXTDZ($A$1,$B67,Y$1,$B$1)</f>
        <v>36.179099999999998</v>
      </c>
      <c r="Z67" s="55">
        <f>_xll.EQNXTDZ($A$1,$B67,Z$1,$B$1)</f>
        <v>46.181199999999997</v>
      </c>
      <c r="AA67" s="55">
        <f>_xll.EQNXTDZ($A$1,$B67,AA$1,$B$1)</f>
        <v>34.4604</v>
      </c>
      <c r="AB67" s="55">
        <f>_xll.EQNXTDZ($A$1,$B67,AB$1,$B$1)</f>
        <v>71.524199999999993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3.5000000000000003E-2</v>
      </c>
      <c r="Y68" s="55">
        <f>_xll.EQNXTDZ($A$1,$B68,Y$1,$B$1)</f>
        <v>0</v>
      </c>
      <c r="Z68" s="55">
        <f>_xll.EQNXTDZ($A$1,$B68,Z$1,$B$1)</f>
        <v>2</v>
      </c>
      <c r="AA68" s="55">
        <f>_xll.EQNXTDZ($A$1,$B68,AA$1,$B$1)</f>
        <v>34.868600000000001</v>
      </c>
      <c r="AB68" s="55">
        <f>_xll.EQNXTDZ($A$1,$B68,AB$1,$B$1)</f>
        <v>110.1596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6.8999999999999999E-3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8.4000000000000005E-2</v>
      </c>
      <c r="W71" s="55">
        <f>_xll.EQNXTDZ($A$1,$B71,W$1,$B$1)</f>
        <v>8.72E-2</v>
      </c>
      <c r="X71" s="55">
        <f>_xll.EQNXTDZ($A$1,$B71,X$1,$B$1)</f>
        <v>9.01E-2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136.49940000000001</v>
      </c>
      <c r="AB71" s="55">
        <f>_xll.EQNXTDZ($A$1,$B71,AB$1,$B$1)</f>
        <v>250.7749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42.4696</v>
      </c>
      <c r="R72" s="55">
        <f>_xll.EQNXTDZ($A$1,$B72,R$1,$B$1)</f>
        <v>7.492</v>
      </c>
      <c r="S72" s="55">
        <f>_xll.EQNXTDZ($A$1,$B72,S$1,$B$1)</f>
        <v>16.995200000000001</v>
      </c>
      <c r="T72" s="55">
        <f>_xll.EQNXTDZ($A$1,$B72,T$1,$B$1)</f>
        <v>76.919700000000006</v>
      </c>
      <c r="U72" s="55">
        <f>_xll.EQNXTDZ($A$1,$B72,U$1,$B$1)</f>
        <v>35.682000000000002</v>
      </c>
      <c r="V72" s="55">
        <f>_xll.EQNXTDZ($A$1,$B72,V$1,$B$1)</f>
        <v>14.917</v>
      </c>
      <c r="W72" s="55">
        <f>_xll.EQNXTDZ($A$1,$B72,W$1,$B$1)</f>
        <v>18.247499999999999</v>
      </c>
      <c r="X72" s="55">
        <f>_xll.EQNXTDZ($A$1,$B72,X$1,$B$1)</f>
        <v>28.552</v>
      </c>
      <c r="Y72" s="55">
        <f>_xll.EQNXTDZ($A$1,$B72,Y$1,$B$1)</f>
        <v>11.221</v>
      </c>
      <c r="Z72" s="55">
        <f>_xll.EQNXTDZ($A$1,$B72,Z$1,$B$1)</f>
        <v>232.0942</v>
      </c>
      <c r="AA72" s="55">
        <f>_xll.EQNXTDZ($A$1,$B72,AA$1,$B$1)</f>
        <v>98.4756</v>
      </c>
      <c r="AB72" s="55">
        <f>_xll.EQNXTDZ($A$1,$B72,AB$1,$B$1)</f>
        <v>522.07150000000001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0.65100000000000002</v>
      </c>
      <c r="W73" s="55">
        <f>_xll.EQNXTDZ($A$1,$B73,W$1,$B$1)</f>
        <v>0.57930000000000004</v>
      </c>
      <c r="X73" s="55">
        <f>_xll.EQNXTDZ($A$1,$B73,X$1,$B$1)</f>
        <v>0.59609999999999996</v>
      </c>
      <c r="Y73" s="55">
        <f>_xll.EQNXTDZ($A$1,$B73,Y$1,$B$1)</f>
        <v>20.9224</v>
      </c>
      <c r="Z73" s="55">
        <f>_xll.EQNXTDZ($A$1,$B73,Z$1,$B$1)</f>
        <v>12.967599999999999</v>
      </c>
      <c r="AA73" s="55">
        <f>_xll.EQNXTDZ($A$1,$B73,AA$1,$B$1)</f>
        <v>15.332800000000001</v>
      </c>
      <c r="AB73" s="55">
        <f>_xll.EQNXTDZ($A$1,$B73,AB$1,$B$1)</f>
        <v>14.898899999999999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1138.836</v>
      </c>
      <c r="R74" s="55">
        <f>_xll.EQNXTDZ($A$1,$B74,R$1,$B$1)</f>
        <v>1086.5587</v>
      </c>
      <c r="S74" s="55">
        <f>_xll.EQNXTDZ($A$1,$B74,S$1,$B$1)</f>
        <v>1010.749</v>
      </c>
      <c r="T74" s="55">
        <f>_xll.EQNXTDZ($A$1,$B74,T$1,$B$1)</f>
        <v>1016.9346</v>
      </c>
      <c r="U74" s="55">
        <f>_xll.EQNXTDZ($A$1,$B74,U$1,$B$1)</f>
        <v>981.00199999999995</v>
      </c>
      <c r="V74" s="55">
        <f>_xll.EQNXTDZ($A$1,$B74,V$1,$B$1)</f>
        <v>1089.3499999999999</v>
      </c>
      <c r="W74" s="55">
        <f>_xll.EQNXTDZ($A$1,$B74,W$1,$B$1)</f>
        <v>1080.1455000000001</v>
      </c>
      <c r="X74" s="55">
        <f>_xll.EQNXTDZ($A$1,$B74,X$1,$B$1)</f>
        <v>1132.6636000000001</v>
      </c>
      <c r="Y74" s="55">
        <f>_xll.EQNXTDZ($A$1,$B74,Y$1,$B$1)</f>
        <v>1178.4055000000001</v>
      </c>
      <c r="Z74" s="55">
        <f>_xll.EQNXTDZ($A$1,$B74,Z$1,$B$1)</f>
        <v>1452.9626000000001</v>
      </c>
      <c r="AA74" s="55">
        <f>_xll.EQNXTDZ($A$1,$B74,AA$1,$B$1)</f>
        <v>1697.7021999999999</v>
      </c>
      <c r="AB74" s="55">
        <f>_xll.EQNXTDZ($A$1,$B74,AB$1,$B$1)</f>
        <v>2352.6179999999999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47.073</v>
      </c>
      <c r="W75" s="55">
        <f>_xll.EQNXTDZ($A$1,$B75,W$1,$B$1)</f>
        <v>41.168900000000001</v>
      </c>
      <c r="X75" s="55">
        <f>_xll.EQNXTDZ($A$1,$B75,X$1,$B$1)</f>
        <v>11.1195</v>
      </c>
      <c r="Y75" s="55">
        <f>_xll.EQNXTDZ($A$1,$B75,Y$1,$B$1)</f>
        <v>210.07730000000001</v>
      </c>
      <c r="Z75" s="55">
        <f>_xll.EQNXTDZ($A$1,$B75,Z$1,$B$1)</f>
        <v>349.87020000000001</v>
      </c>
      <c r="AA75" s="55">
        <f>_xll.EQNXTDZ($A$1,$B75,AA$1,$B$1)</f>
        <v>202.1728</v>
      </c>
      <c r="AB75" s="55">
        <f>_xll.EQNXTDZ($A$1,$B75,AB$1,$B$1)</f>
        <v>6.0812999999999997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98.499399999999994</v>
      </c>
      <c r="R76" s="55">
        <f>_xll.EQNXTDZ($A$1,$B76,R$1,$B$1)</f>
        <v>113.15300000000001</v>
      </c>
      <c r="S76" s="55">
        <f>_xll.EQNXTDZ($A$1,$B76,S$1,$B$1)</f>
        <v>126.9521</v>
      </c>
      <c r="T76" s="55">
        <f>_xll.EQNXTDZ($A$1,$B76,T$1,$B$1)</f>
        <v>112.5361</v>
      </c>
      <c r="U76" s="55">
        <f>_xll.EQNXTDZ($A$1,$B76,U$1,$B$1)</f>
        <v>62.750999999999998</v>
      </c>
      <c r="V76" s="55">
        <f>_xll.EQNXTDZ($A$1,$B76,V$1,$B$1)</f>
        <v>98.820999999999998</v>
      </c>
      <c r="W76" s="55">
        <f>_xll.EQNXTDZ($A$1,$B76,W$1,$B$1)</f>
        <v>110.62560000000001</v>
      </c>
      <c r="X76" s="55">
        <f>_xll.EQNXTDZ($A$1,$B76,X$1,$B$1)</f>
        <v>120.78749999999999</v>
      </c>
      <c r="Y76" s="55">
        <f>_xll.EQNXTDZ($A$1,$B76,Y$1,$B$1)</f>
        <v>167.7637</v>
      </c>
      <c r="Z76" s="55">
        <f>_xll.EQNXTDZ($A$1,$B76,Z$1,$B$1)</f>
        <v>127.29340000000001</v>
      </c>
      <c r="AA76" s="55">
        <f>_xll.EQNXTDZ($A$1,$B76,AA$1,$B$1)</f>
        <v>168.12889999999999</v>
      </c>
      <c r="AB76" s="55">
        <f>_xll.EQNXTDZ($A$1,$B76,AB$1,$B$1)</f>
        <v>214.91679999999999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24.5749</v>
      </c>
      <c r="R77" s="55">
        <f>_xll.EQNXTDZ($A$1,$B77,R$1,$B$1)</f>
        <v>42.169499999999999</v>
      </c>
      <c r="S77" s="55">
        <f>_xll.EQNXTDZ($A$1,$B77,S$1,$B$1)</f>
        <v>26.602599999999999</v>
      </c>
      <c r="T77" s="55">
        <f>_xll.EQNXTDZ($A$1,$B77,T$1,$B$1)</f>
        <v>26.468599999999999</v>
      </c>
      <c r="U77" s="55">
        <f>_xll.EQNXTDZ($A$1,$B77,U$1,$B$1)</f>
        <v>67.003</v>
      </c>
      <c r="V77" s="55">
        <f>_xll.EQNXTDZ($A$1,$B77,V$1,$B$1)</f>
        <v>44.454999999999998</v>
      </c>
      <c r="W77" s="55">
        <f>_xll.EQNXTDZ($A$1,$B77,W$1,$B$1)</f>
        <v>68.072999999999993</v>
      </c>
      <c r="X77" s="55">
        <f>_xll.EQNXTDZ($A$1,$B77,X$1,$B$1)</f>
        <v>152.9734</v>
      </c>
      <c r="Y77" s="55">
        <f>_xll.EQNXTDZ($A$1,$B77,Y$1,$B$1)</f>
        <v>117.7433</v>
      </c>
      <c r="Z77" s="55">
        <f>_xll.EQNXTDZ($A$1,$B77,Z$1,$B$1)</f>
        <v>156.37880000000001</v>
      </c>
      <c r="AA77" s="55">
        <f>_xll.EQNXTDZ($A$1,$B77,AA$1,$B$1)</f>
        <v>164.56909999999999</v>
      </c>
      <c r="AB77" s="55">
        <f>_xll.EQNXTDZ($A$1,$B77,AB$1,$B$1)</f>
        <v>127.2787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69.978800000000007</v>
      </c>
      <c r="R78" s="55">
        <f>_xll.EQNXTDZ($A$1,$B78,R$1,$B$1)</f>
        <v>68.711100000000002</v>
      </c>
      <c r="S78" s="55">
        <f>_xll.EQNXTDZ($A$1,$B78,S$1,$B$1)</f>
        <v>61.0764</v>
      </c>
      <c r="T78" s="55">
        <f>_xll.EQNXTDZ($A$1,$B78,T$1,$B$1)</f>
        <v>12.7636</v>
      </c>
      <c r="U78" s="55">
        <f>_xll.EQNXTDZ($A$1,$B78,U$1,$B$1)</f>
        <v>47.506</v>
      </c>
      <c r="V78" s="55">
        <f>_xll.EQNXTDZ($A$1,$B78,V$1,$B$1)</f>
        <v>24.748999999999999</v>
      </c>
      <c r="W78" s="55">
        <f>_xll.EQNXTDZ($A$1,$B78,W$1,$B$1)</f>
        <v>31.813400000000001</v>
      </c>
      <c r="X78" s="55">
        <f>_xll.EQNXTDZ($A$1,$B78,X$1,$B$1)</f>
        <v>58.697400000000002</v>
      </c>
      <c r="Y78" s="55">
        <f>_xll.EQNXTDZ($A$1,$B78,Y$1,$B$1)</f>
        <v>32.672499999999999</v>
      </c>
      <c r="Z78" s="55">
        <f>_xll.EQNXTDZ($A$1,$B78,Z$1,$B$1)</f>
        <v>45.482799999999997</v>
      </c>
      <c r="AA78" s="55">
        <f>_xll.EQNXTDZ($A$1,$B78,AA$1,$B$1)</f>
        <v>52.840499999999999</v>
      </c>
      <c r="AB78" s="55">
        <f>_xll.EQNXTDZ($A$1,$B78,AB$1,$B$1)</f>
        <v>54.996200000000002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1.7474000000000001</v>
      </c>
      <c r="R79" s="55">
        <f>_xll.EQNXTDZ($A$1,$B79,R$1,$B$1)</f>
        <v>1.7474000000000001</v>
      </c>
      <c r="S79" s="55">
        <f>_xll.EQNXTDZ($A$1,$B79,S$1,$B$1)</f>
        <v>9.9002999999999997</v>
      </c>
      <c r="T79" s="55">
        <f>_xll.EQNXTDZ($A$1,$B79,T$1,$B$1)</f>
        <v>3.1387999999999998</v>
      </c>
      <c r="U79" s="55">
        <f>_xll.EQNXTDZ($A$1,$B79,U$1,$B$1)</f>
        <v>4.6500000000000004</v>
      </c>
      <c r="V79" s="55">
        <f>_xll.EQNXTDZ($A$1,$B79,V$1,$B$1)</f>
        <v>24.073</v>
      </c>
      <c r="W79" s="55">
        <f>_xll.EQNXTDZ($A$1,$B79,W$1,$B$1)</f>
        <v>9.1588999999999992</v>
      </c>
      <c r="X79" s="55">
        <f>_xll.EQNXTDZ($A$1,$B79,X$1,$B$1)</f>
        <v>15.17</v>
      </c>
      <c r="Y79" s="55">
        <f>_xll.EQNXTDZ($A$1,$B79,Y$1,$B$1)</f>
        <v>9.1719000000000008</v>
      </c>
      <c r="Z79" s="55">
        <f>_xll.EQNXTDZ($A$1,$B79,Z$1,$B$1)</f>
        <v>7.2450000000000001</v>
      </c>
      <c r="AA79" s="55">
        <f>_xll.EQNXTDZ($A$1,$B79,AA$1,$B$1)</f>
        <v>15.920999999999999</v>
      </c>
      <c r="AB79" s="55">
        <f>_xll.EQNXTDZ($A$1,$B79,AB$1,$B$1)</f>
        <v>10.162599999999999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42.540300000000002</v>
      </c>
      <c r="R80" s="55">
        <f>_xll.EQNXTDZ($A$1,$B80,R$1,$B$1)</f>
        <v>24.849299999999999</v>
      </c>
      <c r="S80" s="55">
        <f>_xll.EQNXTDZ($A$1,$B80,S$1,$B$1)</f>
        <v>1.5790999999999999</v>
      </c>
      <c r="T80" s="55">
        <f>_xll.EQNXTDZ($A$1,$B80,T$1,$B$1)</f>
        <v>6.4767999999999999</v>
      </c>
      <c r="U80" s="55">
        <f>_xll.EQNXTDZ($A$1,$B80,U$1,$B$1)</f>
        <v>6.91</v>
      </c>
      <c r="V80" s="55">
        <f>_xll.EQNXTDZ($A$1,$B80,V$1,$B$1)</f>
        <v>23.003</v>
      </c>
      <c r="W80" s="55">
        <f>_xll.EQNXTDZ($A$1,$B80,W$1,$B$1)</f>
        <v>39.752000000000002</v>
      </c>
      <c r="X80" s="55">
        <f>_xll.EQNXTDZ($A$1,$B80,X$1,$B$1)</f>
        <v>39.901299999999999</v>
      </c>
      <c r="Y80" s="55">
        <f>_xll.EQNXTDZ($A$1,$B80,Y$1,$B$1)</f>
        <v>60.083599999999997</v>
      </c>
      <c r="Z80" s="55">
        <f>_xll.EQNXTDZ($A$1,$B80,Z$1,$B$1)</f>
        <v>39.889299999999999</v>
      </c>
      <c r="AA80" s="55">
        <f>_xll.EQNXTDZ($A$1,$B80,AA$1,$B$1)</f>
        <v>249.7577</v>
      </c>
      <c r="AB80" s="55">
        <f>_xll.EQNXTDZ($A$1,$B80,AB$1,$B$1)</f>
        <v>117.9452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237.3408</v>
      </c>
      <c r="R82" s="55">
        <f>_xll.EQNXTDZ($A$1,$B82,R$1,$B$1)</f>
        <v>250.63030000000001</v>
      </c>
      <c r="S82" s="55">
        <f>_xll.EQNXTDZ($A$1,$B82,S$1,$B$1)</f>
        <v>226.1105</v>
      </c>
      <c r="T82" s="55">
        <f>_xll.EQNXTDZ($A$1,$B82,T$1,$B$1)</f>
        <v>161.38390000000001</v>
      </c>
      <c r="U82" s="55">
        <f>_xll.EQNXTDZ($A$1,$B82,U$1,$B$1)</f>
        <v>188.82</v>
      </c>
      <c r="V82" s="55">
        <f>_xll.EQNXTDZ($A$1,$B82,V$1,$B$1)</f>
        <v>262.17399999999998</v>
      </c>
      <c r="W82" s="55">
        <f>_xll.EQNXTDZ($A$1,$B82,W$1,$B$1)</f>
        <v>300.59179999999998</v>
      </c>
      <c r="X82" s="55">
        <f>_xll.EQNXTDZ($A$1,$B82,X$1,$B$1)</f>
        <v>398.64909999999998</v>
      </c>
      <c r="Y82" s="55">
        <f>_xll.EQNXTDZ($A$1,$B82,Y$1,$B$1)</f>
        <v>597.51229999999998</v>
      </c>
      <c r="Z82" s="55">
        <f>_xll.EQNXTDZ($A$1,$B82,Z$1,$B$1)</f>
        <v>726.15949999999998</v>
      </c>
      <c r="AA82" s="55">
        <f>_xll.EQNXTDZ($A$1,$B82,AA$1,$B$1)</f>
        <v>853.39</v>
      </c>
      <c r="AB82" s="55">
        <f>_xll.EQNXTDZ($A$1,$B82,AB$1,$B$1)</f>
        <v>531.38080000000002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1376.1768</v>
      </c>
      <c r="R84" s="55">
        <f>_xll.EQNXTDZ($A$1,$B84,R$1,$B$1)</f>
        <v>1337.1890000000001</v>
      </c>
      <c r="S84" s="55">
        <f>_xll.EQNXTDZ($A$1,$B84,S$1,$B$1)</f>
        <v>1236.8595</v>
      </c>
      <c r="T84" s="55">
        <f>_xll.EQNXTDZ($A$1,$B84,T$1,$B$1)</f>
        <v>1178.3185000000001</v>
      </c>
      <c r="U84" s="55">
        <f>_xll.EQNXTDZ($A$1,$B84,U$1,$B$1)</f>
        <v>1169.8219999999999</v>
      </c>
      <c r="V84" s="55">
        <f>_xll.EQNXTDZ($A$1,$B84,V$1,$B$1)</f>
        <v>1351.5239999999999</v>
      </c>
      <c r="W84" s="55">
        <f>_xll.EQNXTDZ($A$1,$B84,W$1,$B$1)</f>
        <v>1380.7373</v>
      </c>
      <c r="X84" s="55">
        <f>_xll.EQNXTDZ($A$1,$B84,X$1,$B$1)</f>
        <v>1531.3126999999999</v>
      </c>
      <c r="Y84" s="55">
        <f>_xll.EQNXTDZ($A$1,$B84,Y$1,$B$1)</f>
        <v>1775.9177999999999</v>
      </c>
      <c r="Z84" s="55">
        <f>_xll.EQNXTDZ($A$1,$B84,Z$1,$B$1)</f>
        <v>2179.1221</v>
      </c>
      <c r="AA84" s="55">
        <f>_xll.EQNXTDZ($A$1,$B84,AA$1,$B$1)</f>
        <v>2551.0922</v>
      </c>
      <c r="AB84" s="55">
        <f>_xll.EQNXTDZ($A$1,$B84,AB$1,$B$1)</f>
        <v>2883.9987999999998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10.4076</v>
      </c>
      <c r="U85" s="55">
        <f>_xll.EQNXTDZ($A$1,$B85,U$1,$B$1)</f>
        <v>5.4</v>
      </c>
      <c r="V85" s="55">
        <f>_xll.EQNXTDZ($A$1,$B85,V$1,$B$1)</f>
        <v>0</v>
      </c>
      <c r="W85" s="55">
        <f>_xll.EQNXTDZ($A$1,$B85,W$1,$B$1)</f>
        <v>16.624700000000001</v>
      </c>
      <c r="X85" s="55">
        <f>_xll.EQNXTDZ($A$1,$B85,X$1,$B$1)</f>
        <v>17.0547</v>
      </c>
      <c r="Y85" s="55">
        <f>_xll.EQNXTDZ($A$1,$B85,Y$1,$B$1)</f>
        <v>6.5468000000000002</v>
      </c>
      <c r="Z85" s="55">
        <f>_xll.EQNXTDZ($A$1,$B85,Z$1,$B$1)</f>
        <v>56.790999999999997</v>
      </c>
      <c r="AA85" s="55">
        <f>_xll.EQNXTDZ($A$1,$B85,AA$1,$B$1)</f>
        <v>235.27</v>
      </c>
      <c r="AB85" s="55">
        <f>_xll.EQNXTDZ($A$1,$B85,AB$1,$B$1)</f>
        <v>190.67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205.72409999999999</v>
      </c>
      <c r="R88" s="55">
        <f>_xll.EQNXTDZ($A$1,$B88,R$1,$B$1)</f>
        <v>298.20650000000001</v>
      </c>
      <c r="S88" s="55">
        <f>_xll.EQNXTDZ($A$1,$B88,S$1,$B$1)</f>
        <v>99.612499999999997</v>
      </c>
      <c r="T88" s="55">
        <f>_xll.EQNXTDZ($A$1,$B88,T$1,$B$1)</f>
        <v>110.3815</v>
      </c>
      <c r="U88" s="55">
        <f>_xll.EQNXTDZ($A$1,$B88,U$1,$B$1)</f>
        <v>0.29699999999999999</v>
      </c>
      <c r="V88" s="55">
        <f>_xll.EQNXTDZ($A$1,$B88,V$1,$B$1)</f>
        <v>2.956</v>
      </c>
      <c r="W88" s="55">
        <f>_xll.EQNXTDZ($A$1,$B88,W$1,$B$1)</f>
        <v>2.7092999999999998</v>
      </c>
      <c r="X88" s="55">
        <f>_xll.EQNXTDZ($A$1,$B88,X$1,$B$1)</f>
        <v>2.0510000000000002</v>
      </c>
      <c r="Y88" s="55">
        <f>_xll.EQNXTDZ($A$1,$B88,Y$1,$B$1)</f>
        <v>0.70409999999999995</v>
      </c>
      <c r="Z88" s="55">
        <f>_xll.EQNXTDZ($A$1,$B88,Z$1,$B$1)</f>
        <v>0.18529999999999999</v>
      </c>
      <c r="AA88" s="55">
        <f>_xll.EQNXTDZ($A$1,$B88,AA$1,$B$1)</f>
        <v>26.465</v>
      </c>
      <c r="AB88" s="55">
        <f>_xll.EQNXTDZ($A$1,$B88,AB$1,$B$1)</f>
        <v>65.313800000000001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10.4076</v>
      </c>
      <c r="U93" s="55">
        <f>_xll.EQNXTDZ($A$1,$B93,U$1,$B$1)</f>
        <v>5.4</v>
      </c>
      <c r="V93" s="55">
        <f>_xll.EQNXTDZ($A$1,$B93,V$1,$B$1)</f>
        <v>0</v>
      </c>
      <c r="W93" s="55">
        <f>_xll.EQNXTDZ($A$1,$B93,W$1,$B$1)</f>
        <v>16.624700000000001</v>
      </c>
      <c r="X93" s="55">
        <f>_xll.EQNXTDZ($A$1,$B93,X$1,$B$1)</f>
        <v>17.0547</v>
      </c>
      <c r="Y93" s="55">
        <f>_xll.EQNXTDZ($A$1,$B93,Y$1,$B$1)</f>
        <v>6.5468000000000002</v>
      </c>
      <c r="Z93" s="55">
        <f>_xll.EQNXTDZ($A$1,$B93,Z$1,$B$1)</f>
        <v>56.790999999999997</v>
      </c>
      <c r="AA93" s="55">
        <f>_xll.EQNXTDZ($A$1,$B93,AA$1,$B$1)</f>
        <v>56.27</v>
      </c>
      <c r="AB93" s="55">
        <f>_xll.EQNXTDZ($A$1,$B93,AB$1,$B$1)</f>
        <v>56.27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179</v>
      </c>
      <c r="AB95" s="55">
        <f>_xll.EQNXTDZ($A$1,$B95,AB$1,$B$1)</f>
        <v>134.4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10</v>
      </c>
      <c r="R104" s="55">
        <f>_xll.EQNXTDZ($A$1,$B104,R$1,$B$1)</f>
        <v>10</v>
      </c>
      <c r="S104" s="55">
        <f>_xll.EQNXTDZ($A$1,$B104,S$1,$B$1)</f>
        <v>10</v>
      </c>
      <c r="T104" s="55">
        <f>_xll.EQNXTDZ($A$1,$B104,T$1,$B$1)</f>
        <v>10</v>
      </c>
      <c r="U104" s="55">
        <f>_xll.EQNXTDZ($A$1,$B104,U$1,$B$1)</f>
        <v>19.266999999999999</v>
      </c>
      <c r="V104" s="55">
        <f>_xll.EQNXTDZ($A$1,$B104,V$1,$B$1)</f>
        <v>19.266999999999999</v>
      </c>
      <c r="W104" s="55">
        <f>_xll.EQNXTDZ($A$1,$B104,W$1,$B$1)</f>
        <v>19.2667</v>
      </c>
      <c r="X104" s="55">
        <f>_xll.EQNXTDZ($A$1,$B104,X$1,$B$1)</f>
        <v>19.2667</v>
      </c>
      <c r="Y104" s="55">
        <f>_xll.EQNXTDZ($A$1,$B104,Y$1,$B$1)</f>
        <v>24.610600000000002</v>
      </c>
      <c r="Z104" s="55">
        <f>_xll.EQNXTDZ($A$1,$B104,Z$1,$B$1)</f>
        <v>24.679400000000001</v>
      </c>
      <c r="AA104" s="55">
        <f>_xll.EQNXTDZ($A$1,$B104,AA$1,$B$1)</f>
        <v>24.685500000000001</v>
      </c>
      <c r="AB104" s="55">
        <f>_xll.EQNXTDZ($A$1,$B104,AB$1,$B$1)</f>
        <v>24.691600000000001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650.70000000000005</v>
      </c>
      <c r="Z106" s="55">
        <f>_xll.EQNXTDZ($A$1,$B106,Z$1,$B$1)</f>
        <v>670.15</v>
      </c>
      <c r="AA106" s="55">
        <f>_xll.EQNXTDZ($A$1,$B106,AA$1,$B$1)</f>
        <v>515.45000000000005</v>
      </c>
      <c r="AB106" s="55">
        <f>_xll.EQNXTDZ($A$1,$B106,AB$1,$B$1)</f>
        <v>586.75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731.75</v>
      </c>
      <c r="Z107" s="55">
        <f>_xll.EQNXTDZ($A$1,$B107,Z$1,$B$1)</f>
        <v>838.2</v>
      </c>
      <c r="AA107" s="55">
        <f>_xll.EQNXTDZ($A$1,$B107,AA$1,$B$1)</f>
        <v>831</v>
      </c>
      <c r="AB107" s="55">
        <f>_xll.EQNXTDZ($A$1,$B107,AB$1,$B$1)</f>
        <v>727.8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440.05</v>
      </c>
      <c r="Z108" s="55">
        <f>_xll.EQNXTDZ($A$1,$B108,Z$1,$B$1)</f>
        <v>495</v>
      </c>
      <c r="AA108" s="55">
        <f>_xll.EQNXTDZ($A$1,$B108,AA$1,$B$1)</f>
        <v>409</v>
      </c>
      <c r="AB108" s="55">
        <f>_xll.EQNXTDZ($A$1,$B108,AB$1,$B$1)</f>
        <v>479.75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8007.0587100000002</v>
      </c>
      <c r="Z109" s="55">
        <f>_xll.EQNXTDZ($A$1,$B109,Z$1,$B$1)</f>
        <v>8269.449955</v>
      </c>
      <c r="AA109" s="55">
        <f>_xll.EQNXTDZ($A$1,$B109,AA$1,$B$1)</f>
        <v>6362.0704875000001</v>
      </c>
      <c r="AB109" s="55">
        <f>_xll.EQNXTDZ($A$1,$B109,AB$1,$B$1)</f>
        <v>7243.89815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2.5</v>
      </c>
      <c r="Z110" s="55">
        <f>_xll.EQNXTDZ($A$1,$B110,Z$1,$B$1)</f>
        <v>3</v>
      </c>
      <c r="AA110" s="55">
        <f>_xll.EQNXTDZ($A$1,$B110,AA$1,$B$1)</f>
        <v>3</v>
      </c>
      <c r="AB110" s="55">
        <f>_xll.EQNXTDZ($A$1,$B110,AB$1,$B$1)</f>
        <v>2.5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53.6</v>
      </c>
      <c r="Z112" s="56">
        <f>_xll.EQNXTDZ($A$1,$B112,Z$5)</f>
        <v>53.45</v>
      </c>
      <c r="AA112" s="56">
        <f>_xll.EQNXTDZ($A$1,$B112,AA$5)</f>
        <v>53.44</v>
      </c>
      <c r="AB112" s="56">
        <f>_xll.EQNXTDZ($A$1,$B112,AB$5)</f>
        <v>53.43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4.55</v>
      </c>
      <c r="AA113" s="56">
        <f>_xll.EQNXTDZ($A$1,$B113,AA$5)</f>
        <v>6.97</v>
      </c>
      <c r="AB113" s="56">
        <f>_xll.EQNXTDZ($A$1,$B113,AB$5)</f>
        <v>17.260000000000002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293601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450</v>
      </c>
      <c r="DY6" cm="1">
        <f t="array" ref="DY6">_xll.EQNXTDZ($A$1,$B6,DY$1)</f>
        <v>517.9</v>
      </c>
      <c r="DZ6" cm="1">
        <f t="array" ref="DZ6">_xll.EQNXTDZ($A$1,$B6,DZ$1)</f>
        <v>528.9</v>
      </c>
      <c r="EA6" cm="1">
        <f t="array" ref="EA6">_xll.EQNXTDZ($A$1,$B6,EA$1)</f>
        <v>654.4</v>
      </c>
      <c r="EB6" cm="1">
        <f t="array" ref="EB6">_xll.EQNXTDZ($A$1,$B6,EB$1)</f>
        <v>632.70000000000005</v>
      </c>
      <c r="EC6" cm="1">
        <f t="array" ref="EC6">_xll.EQNXTDZ($A$1,$B6,EC$1)</f>
        <v>658</v>
      </c>
      <c r="ED6" cm="1">
        <f t="array" ref="ED6">_xll.EQNXTDZ($A$1,$B6,ED$1)</f>
        <v>551.5</v>
      </c>
      <c r="EE6" cm="1">
        <f t="array" ref="EE6">_xll.EQNXTDZ($A$1,$B6,EE$1)</f>
        <v>548</v>
      </c>
      <c r="EF6" cm="1">
        <f t="array" ref="EF6">_xll.EQNXTDZ($A$1,$B6,EF$1)</f>
        <v>545</v>
      </c>
      <c r="EG6" cm="1">
        <f t="array" ref="EG6">_xll.EQNXTDZ($A$1,$B6,EG$1)</f>
        <v>520.6</v>
      </c>
      <c r="EH6" cm="1">
        <f t="array" ref="EH6">_xll.EQNXTDZ($A$1,$B6,EH$1)</f>
        <v>677.2</v>
      </c>
      <c r="EI6" cm="1">
        <f t="array" ref="EI6">_xll.EQNXTDZ($A$1,$B6,EI$1)</f>
        <v>590.45000000000005</v>
      </c>
      <c r="EJ6" cm="1">
        <f t="array" ref="EJ6">_xll.EQNXTDZ($A$1,$B6,EJ$1)</f>
        <v>564.45000000000005</v>
      </c>
      <c r="EK6" cm="1">
        <f t="array" ref="EK6">_xll.EQNXTDZ($A$1,$B6,EK$1)</f>
        <v>590.1</v>
      </c>
      <c r="EL6" cm="1">
        <f t="array" ref="EL6">_xll.EQNXTDZ($A$1,$B6,EL$1)</f>
        <v>653.4</v>
      </c>
      <c r="EM6" cm="1">
        <f t="array" ref="EM6">_xll.EQNXTDZ($A$1,$B6,EM$1)</f>
        <v>636.65</v>
      </c>
      <c r="EN6" cm="1">
        <f t="array" ref="EN6">_xll.EQNXTDZ($A$1,$B6,EN$1)</f>
        <v>755</v>
      </c>
      <c r="EO6" cm="1">
        <f t="array" ref="EO6">_xll.EQNXTDZ($A$1,$B6,EO$1)</f>
        <v>665</v>
      </c>
      <c r="EP6" cm="1">
        <f t="array" ref="EP6">_xll.EQNXTDZ($A$1,$B6,EP$1)</f>
        <v>652.29999999999995</v>
      </c>
      <c r="EQ6" cm="1">
        <f t="array" ref="EQ6">_xll.EQNXTDZ($A$1,$B6,EQ$1)</f>
        <v>645</v>
      </c>
      <c r="ER6" cm="1">
        <f t="array" ref="ER6">_xll.EQNXTDZ($A$1,$B6,ER$1)</f>
        <v>676</v>
      </c>
      <c r="ES6" cm="1">
        <f t="array" ref="ES6">_xll.EQNXTDZ($A$1,$B6,ES$1)</f>
        <v>776</v>
      </c>
      <c r="ET6" cm="1">
        <f t="array" ref="ET6">_xll.EQNXTDZ($A$1,$B6,ET$1)</f>
        <v>740.05</v>
      </c>
      <c r="EU6" cm="1">
        <f t="array" ref="EU6">_xll.EQNXTDZ($A$1,$B6,EU$1)</f>
        <v>721.8</v>
      </c>
      <c r="EV6" cm="1">
        <f t="array" ref="EV6">_xll.EQNXTDZ($A$1,$B6,EV$1)</f>
        <v>646.65</v>
      </c>
      <c r="EW6" cm="1">
        <f t="array" ref="EW6">_xll.EQNXTDZ($A$1,$B6,EW$1)</f>
        <v>710</v>
      </c>
      <c r="EX6" cm="1">
        <f t="array" ref="EX6">_xll.EQNXTDZ($A$1,$B6,EX$1)</f>
        <v>670</v>
      </c>
      <c r="EY6" cm="1">
        <f t="array" ref="EY6">_xll.EQNXTDZ($A$1,$B6,EY$1)</f>
        <v>585.6</v>
      </c>
      <c r="EZ6" cm="1">
        <f t="array" ref="EZ6">_xll.EQNXTDZ($A$1,$B6,EZ$1)</f>
        <v>495.15</v>
      </c>
      <c r="FA6" cm="1">
        <f t="array" ref="FA6">_xll.EQNXTDZ($A$1,$B6,FA$1)</f>
        <v>515</v>
      </c>
      <c r="FB6" cm="1">
        <f t="array" ref="FB6">_xll.EQNXTDZ($A$1,$B6,FB$1)</f>
        <v>625.9</v>
      </c>
      <c r="FC6" cm="1">
        <f t="array" ref="FC6">_xll.EQNXTDZ($A$1,$B6,FC$1)</f>
        <v>625</v>
      </c>
      <c r="FD6" cm="1">
        <f t="array" ref="FD6">_xll.EQNXTDZ($A$1,$B6,FD$1)</f>
        <v>634</v>
      </c>
      <c r="FE6" cm="1">
        <f t="array" ref="FE6">_xll.EQNXTDZ($A$1,$B6,FE$1)</f>
        <v>666.95</v>
      </c>
      <c r="FF6" cm="1">
        <f t="array" ref="FF6">_xll.EQNXTDZ($A$1,$B6,FF$1)</f>
        <v>658</v>
      </c>
      <c r="FG6" cm="1">
        <f t="array" ref="FG6">_xll.EQNXTDZ($A$1,$B6,FG$1)</f>
        <v>689.9</v>
      </c>
      <c r="FH6" cm="1">
        <f t="array" ref="FH6">_xll.EQNXTDZ($A$1,$B6,FH$1)</f>
        <v>668</v>
      </c>
      <c r="FI6" cm="1">
        <f t="array" ref="FI6">_xll.EQNXTDZ($A$1,$B6,FI$1)</f>
        <v>512</v>
      </c>
      <c r="FJ6" cm="1">
        <f t="array" ref="FJ6">_xll.EQNXTDZ($A$1,$B6,FJ$1)</f>
        <v>560</v>
      </c>
      <c r="FK6" cm="1">
        <f t="array" ref="FK6">_xll.EQNXTDZ($A$1,$B6,FK$1)</f>
        <v>566.04999999999995</v>
      </c>
      <c r="FL6" cm="1">
        <f t="array" ref="FL6">_xll.EQNXTDZ($A$1,$B6,FL$1)</f>
        <v>552.29999999999995</v>
      </c>
      <c r="FM6" cm="1">
        <f t="array" ref="FM6">_xll.EQNXTDZ($A$1,$B6,FM$1)</f>
        <v>596.35</v>
      </c>
      <c r="FN6" cm="1">
        <f t="array" ref="FN6">_xll.EQNXTDZ($A$1,$B6,FN$1)</f>
        <v>610.29999999999995</v>
      </c>
      <c r="FO6" cm="1">
        <f t="array" ref="FO6">_xll.EQNXTDZ($A$1,$B6,FO$1)</f>
        <v>525.25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554.45000000000005</v>
      </c>
      <c r="DY7" s="116" cm="1">
        <f t="array" ref="DY7">_xll.EQNXTDZ($A$1,$B7,DY$1)</f>
        <v>554.5</v>
      </c>
      <c r="DZ7" s="116" cm="1">
        <f t="array" ref="DZ7">_xll.EQNXTDZ($A$1,$B7,DZ$1)</f>
        <v>658.6</v>
      </c>
      <c r="EA7" s="116" cm="1">
        <f t="array" ref="EA7">_xll.EQNXTDZ($A$1,$B7,EA$1)</f>
        <v>731.8</v>
      </c>
      <c r="EB7" s="116" cm="1">
        <f t="array" ref="EB7">_xll.EQNXTDZ($A$1,$B7,EB$1)</f>
        <v>669.25</v>
      </c>
      <c r="EC7" s="116" cm="1">
        <f t="array" ref="EC7">_xll.EQNXTDZ($A$1,$B7,EC$1)</f>
        <v>658</v>
      </c>
      <c r="ED7" s="116" cm="1">
        <f t="array" ref="ED7">_xll.EQNXTDZ($A$1,$B7,ED$1)</f>
        <v>568.15</v>
      </c>
      <c r="EE7" s="116" cm="1">
        <f t="array" ref="EE7">_xll.EQNXTDZ($A$1,$B7,EE$1)</f>
        <v>609.35</v>
      </c>
      <c r="EF7" s="116" cm="1">
        <f t="array" ref="EF7">_xll.EQNXTDZ($A$1,$B7,EF$1)</f>
        <v>553.75</v>
      </c>
      <c r="EG7" s="116" cm="1">
        <f t="array" ref="EG7">_xll.EQNXTDZ($A$1,$B7,EG$1)</f>
        <v>680.8</v>
      </c>
      <c r="EH7" s="116" cm="1">
        <f t="array" ref="EH7">_xll.EQNXTDZ($A$1,$B7,EH$1)</f>
        <v>685</v>
      </c>
      <c r="EI7" s="116" cm="1">
        <f t="array" ref="EI7">_xll.EQNXTDZ($A$1,$B7,EI$1)</f>
        <v>689</v>
      </c>
      <c r="EJ7" s="116" cm="1">
        <f t="array" ref="EJ7">_xll.EQNXTDZ($A$1,$B7,EJ$1)</f>
        <v>591.9</v>
      </c>
      <c r="EK7" s="116" cm="1">
        <f t="array" ref="EK7">_xll.EQNXTDZ($A$1,$B7,EK$1)</f>
        <v>676.5</v>
      </c>
      <c r="EL7" s="116" cm="1">
        <f t="array" ref="EL7">_xll.EQNXTDZ($A$1,$B7,EL$1)</f>
        <v>677.1</v>
      </c>
      <c r="EM7" s="116" cm="1">
        <f t="array" ref="EM7">_xll.EQNXTDZ($A$1,$B7,EM$1)</f>
        <v>837.7</v>
      </c>
      <c r="EN7" s="116" cm="1">
        <f t="array" ref="EN7">_xll.EQNXTDZ($A$1,$B7,EN$1)</f>
        <v>758</v>
      </c>
      <c r="EO7" s="116" cm="1">
        <f t="array" ref="EO7">_xll.EQNXTDZ($A$1,$B7,EO$1)</f>
        <v>716.55</v>
      </c>
      <c r="EP7" s="116" cm="1">
        <f t="array" ref="EP7">_xll.EQNXTDZ($A$1,$B7,EP$1)</f>
        <v>669.6</v>
      </c>
      <c r="EQ7" s="116" cm="1">
        <f t="array" ref="EQ7">_xll.EQNXTDZ($A$1,$B7,EQ$1)</f>
        <v>709.2</v>
      </c>
      <c r="ER7" s="116" cm="1">
        <f t="array" ref="ER7">_xll.EQNXTDZ($A$1,$B7,ER$1)</f>
        <v>787</v>
      </c>
      <c r="ES7" s="116" cm="1">
        <f t="array" ref="ES7">_xll.EQNXTDZ($A$1,$B7,ES$1)</f>
        <v>832</v>
      </c>
      <c r="ET7" s="116" cm="1">
        <f t="array" ref="ET7">_xll.EQNXTDZ($A$1,$B7,ET$1)</f>
        <v>753.85</v>
      </c>
      <c r="EU7" s="116" cm="1">
        <f t="array" ref="EU7">_xll.EQNXTDZ($A$1,$B7,EU$1)</f>
        <v>729.55</v>
      </c>
      <c r="EV7" s="116" cm="1">
        <f t="array" ref="EV7">_xll.EQNXTDZ($A$1,$B7,EV$1)</f>
        <v>721.9</v>
      </c>
      <c r="EW7" s="116" cm="1">
        <f t="array" ref="EW7">_xll.EQNXTDZ($A$1,$B7,EW$1)</f>
        <v>730</v>
      </c>
      <c r="EX7" s="116" cm="1">
        <f t="array" ref="EX7">_xll.EQNXTDZ($A$1,$B7,EX$1)</f>
        <v>674.15</v>
      </c>
      <c r="EY7" s="116" cm="1">
        <f t="array" ref="EY7">_xll.EQNXTDZ($A$1,$B7,EY$1)</f>
        <v>601</v>
      </c>
      <c r="EZ7" s="116" cm="1">
        <f t="array" ref="EZ7">_xll.EQNXTDZ($A$1,$B7,EZ$1)</f>
        <v>578.79999999999995</v>
      </c>
      <c r="FA7" s="116" cm="1">
        <f t="array" ref="FA7">_xll.EQNXTDZ($A$1,$B7,FA$1)</f>
        <v>670</v>
      </c>
      <c r="FB7" s="116" cm="1">
        <f t="array" ref="FB7">_xll.EQNXTDZ($A$1,$B7,FB$1)</f>
        <v>638.5</v>
      </c>
      <c r="FC7" s="116" cm="1">
        <f t="array" ref="FC7">_xll.EQNXTDZ($A$1,$B7,FC$1)</f>
        <v>653.4</v>
      </c>
      <c r="FD7" s="116" cm="1">
        <f t="array" ref="FD7">_xll.EQNXTDZ($A$1,$B7,FD$1)</f>
        <v>708.75</v>
      </c>
      <c r="FE7" s="116" cm="1">
        <f t="array" ref="FE7">_xll.EQNXTDZ($A$1,$B7,FE$1)</f>
        <v>727.6</v>
      </c>
      <c r="FF7" s="116" cm="1">
        <f t="array" ref="FF7">_xll.EQNXTDZ($A$1,$B7,FF$1)</f>
        <v>726</v>
      </c>
      <c r="FG7" s="116" cm="1">
        <f t="array" ref="FG7">_xll.EQNXTDZ($A$1,$B7,FG$1)</f>
        <v>704.25</v>
      </c>
      <c r="FH7" s="116" cm="1">
        <f t="array" ref="FH7">_xll.EQNXTDZ($A$1,$B7,FH$1)</f>
        <v>671.45</v>
      </c>
      <c r="FI7" s="116" cm="1">
        <f t="array" ref="FI7">_xll.EQNXTDZ($A$1,$B7,FI$1)</f>
        <v>560.1</v>
      </c>
      <c r="FJ7" s="116" cm="1">
        <f t="array" ref="FJ7">_xll.EQNXTDZ($A$1,$B7,FJ$1)</f>
        <v>578</v>
      </c>
      <c r="FK7" s="116" cm="1">
        <f t="array" ref="FK7">_xll.EQNXTDZ($A$1,$B7,FK$1)</f>
        <v>604.75</v>
      </c>
      <c r="FL7" s="116" cm="1">
        <f t="array" ref="FL7">_xll.EQNXTDZ($A$1,$B7,FL$1)</f>
        <v>622</v>
      </c>
      <c r="FM7" s="116" cm="1">
        <f t="array" ref="FM7">_xll.EQNXTDZ($A$1,$B7,FM$1)</f>
        <v>630.85</v>
      </c>
      <c r="FN7" s="116" cm="1">
        <f t="array" ref="FN7">_xll.EQNXTDZ($A$1,$B7,FN$1)</f>
        <v>639.79999999999995</v>
      </c>
      <c r="FO7" s="116" cm="1">
        <f t="array" ref="FO7">_xll.EQNXTDZ($A$1,$B7,FO$1)</f>
        <v>559.6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554.5</v>
      </c>
      <c r="JF7" s="116">
        <f>+MAX(DZ7:EB7)</f>
        <v>731.8</v>
      </c>
      <c r="JG7" s="116">
        <f>+MAX(EC7:EE7)</f>
        <v>658</v>
      </c>
      <c r="JH7" s="116">
        <f>+MAX(EF7:EH7)</f>
        <v>685</v>
      </c>
      <c r="JI7" s="116">
        <f>+MAX(EI7:EK7)</f>
        <v>689</v>
      </c>
      <c r="JJ7" s="116">
        <f>+MAX(EL7:EN7)</f>
        <v>837.7</v>
      </c>
      <c r="JK7" s="116">
        <f>MAX(EO7:EQ7)</f>
        <v>716.55</v>
      </c>
      <c r="JL7" s="116">
        <f>MAX(ER7:ET7)</f>
        <v>832</v>
      </c>
      <c r="JM7" s="116">
        <f>MAX(EU7:EW7)</f>
        <v>730</v>
      </c>
      <c r="JN7" s="116">
        <f>MAX(EX7:EZ7)</f>
        <v>674.15</v>
      </c>
      <c r="JO7" s="116">
        <f>MAX(FA7:FC7)</f>
        <v>670</v>
      </c>
      <c r="JP7" s="116">
        <f>MAX(FD7:FF7)</f>
        <v>727.6</v>
      </c>
      <c r="JQ7" s="116">
        <f>MAX(FG7:FI7)</f>
        <v>704.25</v>
      </c>
      <c r="JR7" s="116">
        <f>MAX(FJ7:FL7)</f>
        <v>622</v>
      </c>
      <c r="JS7" s="116">
        <f>MAX(FM7:FO7)</f>
        <v>639.79999999999995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440.2</v>
      </c>
      <c r="DY8" s="116" cm="1">
        <f t="array" ref="DY8">_xll.EQNXTDZ($A$1,$B8,DY$1)</f>
        <v>471.65</v>
      </c>
      <c r="DZ8" s="116" cm="1">
        <f t="array" ref="DZ8">_xll.EQNXTDZ($A$1,$B8,DZ$1)</f>
        <v>523</v>
      </c>
      <c r="EA8" s="116" cm="1">
        <f t="array" ref="EA8">_xll.EQNXTDZ($A$1,$B8,EA$1)</f>
        <v>606.25</v>
      </c>
      <c r="EB8" s="116" cm="1">
        <f t="array" ref="EB8">_xll.EQNXTDZ($A$1,$B8,EB$1)</f>
        <v>612.35</v>
      </c>
      <c r="EC8" s="116" cm="1">
        <f t="array" ref="EC8">_xll.EQNXTDZ($A$1,$B8,EC$1)</f>
        <v>526</v>
      </c>
      <c r="ED8" s="116" cm="1">
        <f t="array" ref="ED8">_xll.EQNXTDZ($A$1,$B8,ED$1)</f>
        <v>522.70000000000005</v>
      </c>
      <c r="EE8" s="116" cm="1">
        <f t="array" ref="EE8">_xll.EQNXTDZ($A$1,$B8,EE$1)</f>
        <v>510</v>
      </c>
      <c r="EF8" s="116" cm="1">
        <f t="array" ref="EF8">_xll.EQNXTDZ($A$1,$B8,EF$1)</f>
        <v>515.35</v>
      </c>
      <c r="EG8" s="116" cm="1">
        <f t="array" ref="EG8">_xll.EQNXTDZ($A$1,$B8,EG$1)</f>
        <v>494.15</v>
      </c>
      <c r="EH8" s="116" cm="1">
        <f t="array" ref="EH8">_xll.EQNXTDZ($A$1,$B8,EH$1)</f>
        <v>580.04999999999995</v>
      </c>
      <c r="EI8" s="116" cm="1">
        <f t="array" ref="EI8">_xll.EQNXTDZ($A$1,$B8,EI$1)</f>
        <v>570</v>
      </c>
      <c r="EJ8" s="116" cm="1">
        <f t="array" ref="EJ8">_xll.EQNXTDZ($A$1,$B8,EJ$1)</f>
        <v>510.05</v>
      </c>
      <c r="EK8" s="116" cm="1">
        <f t="array" ref="EK8">_xll.EQNXTDZ($A$1,$B8,EK$1)</f>
        <v>578.54999999999995</v>
      </c>
      <c r="EL8" s="116" cm="1">
        <f t="array" ref="EL8">_xll.EQNXTDZ($A$1,$B8,EL$1)</f>
        <v>592.95000000000005</v>
      </c>
      <c r="EM8" s="116" cm="1">
        <f t="array" ref="EM8">_xll.EQNXTDZ($A$1,$B8,EM$1)</f>
        <v>608</v>
      </c>
      <c r="EN8" s="116" cm="1">
        <f t="array" ref="EN8">_xll.EQNXTDZ($A$1,$B8,EN$1)</f>
        <v>571.29999999999995</v>
      </c>
      <c r="EO8" s="116" cm="1">
        <f t="array" ref="EO8">_xll.EQNXTDZ($A$1,$B8,EO$1)</f>
        <v>608.15</v>
      </c>
      <c r="EP8" s="116" cm="1">
        <f t="array" ref="EP8">_xll.EQNXTDZ($A$1,$B8,EP$1)</f>
        <v>583.54999999999995</v>
      </c>
      <c r="EQ8" s="116" cm="1">
        <f t="array" ref="EQ8">_xll.EQNXTDZ($A$1,$B8,EQ$1)</f>
        <v>581.1</v>
      </c>
      <c r="ER8" s="116" cm="1">
        <f t="array" ref="ER8">_xll.EQNXTDZ($A$1,$B8,ER$1)</f>
        <v>660.05</v>
      </c>
      <c r="ES8" s="116" cm="1">
        <f t="array" ref="ES8">_xll.EQNXTDZ($A$1,$B8,ES$1)</f>
        <v>674</v>
      </c>
      <c r="ET8" s="116" cm="1">
        <f t="array" ref="ET8">_xll.EQNXTDZ($A$1,$B8,ET$1)</f>
        <v>682</v>
      </c>
      <c r="EU8" s="116" cm="1">
        <f t="array" ref="EU8">_xll.EQNXTDZ($A$1,$B8,EU$1)</f>
        <v>590.04999999999995</v>
      </c>
      <c r="EV8" s="116" cm="1">
        <f t="array" ref="EV8">_xll.EQNXTDZ($A$1,$B8,EV$1)</f>
        <v>631</v>
      </c>
      <c r="EW8" s="116" cm="1">
        <f t="array" ref="EW8">_xll.EQNXTDZ($A$1,$B8,EW$1)</f>
        <v>638.1</v>
      </c>
      <c r="EX8" s="116" cm="1">
        <f t="array" ref="EX8">_xll.EQNXTDZ($A$1,$B8,EX$1)</f>
        <v>504.6</v>
      </c>
      <c r="EY8" s="116" cm="1">
        <f t="array" ref="EY8">_xll.EQNXTDZ($A$1,$B8,EY$1)</f>
        <v>408.35</v>
      </c>
      <c r="EZ8" s="116" cm="1">
        <f t="array" ref="EZ8">_xll.EQNXTDZ($A$1,$B8,EZ$1)</f>
        <v>472.75</v>
      </c>
      <c r="FA8" s="116" cm="1">
        <f t="array" ref="FA8">_xll.EQNXTDZ($A$1,$B8,FA$1)</f>
        <v>480</v>
      </c>
      <c r="FB8" s="116" cm="1">
        <f t="array" ref="FB8">_xll.EQNXTDZ($A$1,$B8,FB$1)</f>
        <v>544.29999999999995</v>
      </c>
      <c r="FC8" s="116" cm="1">
        <f t="array" ref="FC8">_xll.EQNXTDZ($A$1,$B8,FC$1)</f>
        <v>605.54999999999995</v>
      </c>
      <c r="FD8" s="116" cm="1">
        <f t="array" ref="FD8">_xll.EQNXTDZ($A$1,$B8,FD$1)</f>
        <v>611.54999999999995</v>
      </c>
      <c r="FE8" s="116" cm="1">
        <f t="array" ref="FE8">_xll.EQNXTDZ($A$1,$B8,FE$1)</f>
        <v>607.5</v>
      </c>
      <c r="FF8" s="116" cm="1">
        <f t="array" ref="FF8">_xll.EQNXTDZ($A$1,$B8,FF$1)</f>
        <v>658</v>
      </c>
      <c r="FG8" s="116" cm="1">
        <f t="array" ref="FG8">_xll.EQNXTDZ($A$1,$B8,FG$1)</f>
        <v>623.15</v>
      </c>
      <c r="FH8" s="116" cm="1">
        <f t="array" ref="FH8">_xll.EQNXTDZ($A$1,$B8,FH$1)</f>
        <v>508.25</v>
      </c>
      <c r="FI8" s="116" cm="1">
        <f t="array" ref="FI8">_xll.EQNXTDZ($A$1,$B8,FI$1)</f>
        <v>483</v>
      </c>
      <c r="FJ8" s="116" cm="1">
        <f t="array" ref="FJ8">_xll.EQNXTDZ($A$1,$B8,FJ$1)</f>
        <v>502.05</v>
      </c>
      <c r="FK8" s="116" cm="1">
        <f t="array" ref="FK8">_xll.EQNXTDZ($A$1,$B8,FK$1)</f>
        <v>540</v>
      </c>
      <c r="FL8" s="116" cm="1">
        <f t="array" ref="FL8">_xll.EQNXTDZ($A$1,$B8,FL$1)</f>
        <v>516.6</v>
      </c>
      <c r="FM8" s="116" cm="1">
        <f t="array" ref="FM8">_xll.EQNXTDZ($A$1,$B8,FM$1)</f>
        <v>567.85</v>
      </c>
      <c r="FN8" s="116" cm="1">
        <f t="array" ref="FN8">_xll.EQNXTDZ($A$1,$B8,FN$1)</f>
        <v>510.25</v>
      </c>
      <c r="FO8" s="116" cm="1">
        <f t="array" ref="FO8">_xll.EQNXTDZ($A$1,$B8,FO$1)</f>
        <v>508.5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523</v>
      </c>
      <c r="JG8" s="116">
        <f>+MIN(EC8:EE8)</f>
        <v>510</v>
      </c>
      <c r="JH8" s="116">
        <f>+MIN(EF8:EH8)</f>
        <v>494.15</v>
      </c>
      <c r="JI8" s="116">
        <f>+MIN(EI8:EK8)</f>
        <v>510.05</v>
      </c>
      <c r="JJ8" s="116">
        <f>+MIN(EL8:EN8)</f>
        <v>571.29999999999995</v>
      </c>
      <c r="JK8" s="116">
        <f>MIN(EO8:EQ8)</f>
        <v>581.1</v>
      </c>
      <c r="JL8" s="116">
        <f>MIN(ER8:ET8)</f>
        <v>660.05</v>
      </c>
      <c r="JM8" s="116">
        <f>MIN(EU8:EW8)</f>
        <v>590.04999999999995</v>
      </c>
      <c r="JN8" s="116">
        <f>MIN(EX8:EZ8)</f>
        <v>408.35</v>
      </c>
      <c r="JO8" s="116">
        <f>MIN(FA8:FC8)</f>
        <v>480</v>
      </c>
      <c r="JP8" s="116">
        <f>MIN(FD8:FF8)</f>
        <v>607.5</v>
      </c>
      <c r="JQ8" s="116">
        <f>MIN(FG8:FI8)</f>
        <v>483</v>
      </c>
      <c r="JR8" s="116">
        <f>MIN(FJ8:FL8)</f>
        <v>502.05</v>
      </c>
      <c r="JS8" s="116">
        <f>MIN(FM8:FO8)</f>
        <v>508.5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516.4</v>
      </c>
      <c r="DY9" s="116" cm="1">
        <f t="array" ref="DY9">_xll.EQNXTDZ($A$1,$B9,DY$1)</f>
        <v>526.25</v>
      </c>
      <c r="DZ9" s="116" cm="1">
        <f t="array" ref="DZ9">_xll.EQNXTDZ($A$1,$B9,DZ$1)</f>
        <v>650.45000000000005</v>
      </c>
      <c r="EA9" s="116" cm="1">
        <f t="array" ref="EA9">_xll.EQNXTDZ($A$1,$B9,EA$1)</f>
        <v>629.70000000000005</v>
      </c>
      <c r="EB9" s="116" cm="1">
        <f t="array" ref="EB9">_xll.EQNXTDZ($A$1,$B9,EB$1)</f>
        <v>650.45000000000005</v>
      </c>
      <c r="EC9" s="116" cm="1">
        <f t="array" ref="EC9">_xll.EQNXTDZ($A$1,$B9,EC$1)</f>
        <v>550.85</v>
      </c>
      <c r="ED9" s="116" cm="1">
        <f t="array" ref="ED9">_xll.EQNXTDZ($A$1,$B9,ED$1)</f>
        <v>545.65</v>
      </c>
      <c r="EE9" s="116" cm="1">
        <f t="array" ref="EE9">_xll.EQNXTDZ($A$1,$B9,EE$1)</f>
        <v>536.25</v>
      </c>
      <c r="EF9" s="116" cm="1">
        <f t="array" ref="EF9">_xll.EQNXTDZ($A$1,$B9,EF$1)</f>
        <v>520.54999999999995</v>
      </c>
      <c r="EG9" s="116" cm="1">
        <f t="array" ref="EG9">_xll.EQNXTDZ($A$1,$B9,EG$1)</f>
        <v>670.45</v>
      </c>
      <c r="EH9" s="116" cm="1">
        <f t="array" ref="EH9">_xll.EQNXTDZ($A$1,$B9,EH$1)</f>
        <v>588.85</v>
      </c>
      <c r="EI9" s="116" cm="1">
        <f t="array" ref="EI9">_xll.EQNXTDZ($A$1,$B9,EI$1)</f>
        <v>572.75</v>
      </c>
      <c r="EJ9" s="116" cm="1">
        <f t="array" ref="EJ9">_xll.EQNXTDZ($A$1,$B9,EJ$1)</f>
        <v>584.9</v>
      </c>
      <c r="EK9" s="116" cm="1">
        <f t="array" ref="EK9">_xll.EQNXTDZ($A$1,$B9,EK$1)</f>
        <v>649.70000000000005</v>
      </c>
      <c r="EL9" s="116" cm="1">
        <f t="array" ref="EL9">_xll.EQNXTDZ($A$1,$B9,EL$1)</f>
        <v>633.5</v>
      </c>
      <c r="EM9" s="116" cm="1">
        <f t="array" ref="EM9">_xll.EQNXTDZ($A$1,$B9,EM$1)</f>
        <v>757.4</v>
      </c>
      <c r="EN9" s="116" cm="1">
        <f t="array" ref="EN9">_xll.EQNXTDZ($A$1,$B9,EN$1)</f>
        <v>669</v>
      </c>
      <c r="EO9" s="116" cm="1">
        <f t="array" ref="EO9">_xll.EQNXTDZ($A$1,$B9,EO$1)</f>
        <v>652.25</v>
      </c>
      <c r="EP9" s="116" cm="1">
        <f t="array" ref="EP9">_xll.EQNXTDZ($A$1,$B9,EP$1)</f>
        <v>621.4</v>
      </c>
      <c r="EQ9" s="116" cm="1">
        <f t="array" ref="EQ9">_xll.EQNXTDZ($A$1,$B9,EQ$1)</f>
        <v>669</v>
      </c>
      <c r="ER9" s="116" cm="1">
        <f t="array" ref="ER9">_xll.EQNXTDZ($A$1,$B9,ER$1)</f>
        <v>771.65</v>
      </c>
      <c r="ES9" s="116" cm="1">
        <f t="array" ref="ES9">_xll.EQNXTDZ($A$1,$B9,ES$1)</f>
        <v>742.85</v>
      </c>
      <c r="ET9" s="116" cm="1">
        <f t="array" ref="ET9">_xll.EQNXTDZ($A$1,$B9,ET$1)</f>
        <v>721.8</v>
      </c>
      <c r="EU9" s="116" cm="1">
        <f t="array" ref="EU9">_xll.EQNXTDZ($A$1,$B9,EU$1)</f>
        <v>645.95000000000005</v>
      </c>
      <c r="EV9" s="116" cm="1">
        <f t="array" ref="EV9">_xll.EQNXTDZ($A$1,$B9,EV$1)</f>
        <v>712.45</v>
      </c>
      <c r="EW9" s="116" cm="1">
        <f t="array" ref="EW9">_xll.EQNXTDZ($A$1,$B9,EW$1)</f>
        <v>669.55</v>
      </c>
      <c r="EX9" s="116" cm="1">
        <f t="array" ref="EX9">_xll.EQNXTDZ($A$1,$B9,EX$1)</f>
        <v>585.6</v>
      </c>
      <c r="EY9" s="116" cm="1">
        <f t="array" ref="EY9">_xll.EQNXTDZ($A$1,$B9,EY$1)</f>
        <v>503.25</v>
      </c>
      <c r="EZ9" s="116" cm="1">
        <f t="array" ref="EZ9">_xll.EQNXTDZ($A$1,$B9,EZ$1)</f>
        <v>517.9</v>
      </c>
      <c r="FA9" s="116" cm="1">
        <f t="array" ref="FA9">_xll.EQNXTDZ($A$1,$B9,FA$1)</f>
        <v>627.29999999999995</v>
      </c>
      <c r="FB9" s="116" cm="1">
        <f t="array" ref="FB9">_xll.EQNXTDZ($A$1,$B9,FB$1)</f>
        <v>626</v>
      </c>
      <c r="FC9" s="116" cm="1">
        <f t="array" ref="FC9">_xll.EQNXTDZ($A$1,$B9,FC$1)</f>
        <v>632.6</v>
      </c>
      <c r="FD9" s="116" cm="1">
        <f t="array" ref="FD9">_xll.EQNXTDZ($A$1,$B9,FD$1)</f>
        <v>664.8</v>
      </c>
      <c r="FE9" s="116" cm="1">
        <f t="array" ref="FE9">_xll.EQNXTDZ($A$1,$B9,FE$1)</f>
        <v>656.35</v>
      </c>
      <c r="FF9" s="116" cm="1">
        <f t="array" ref="FF9">_xll.EQNXTDZ($A$1,$B9,FF$1)</f>
        <v>689.3</v>
      </c>
      <c r="FG9" s="116" cm="1">
        <f t="array" ref="FG9">_xll.EQNXTDZ($A$1,$B9,FG$1)</f>
        <v>661.55</v>
      </c>
      <c r="FH9" s="116" cm="1">
        <f t="array" ref="FH9">_xll.EQNXTDZ($A$1,$B9,FH$1)</f>
        <v>512.1</v>
      </c>
      <c r="FI9" s="116" cm="1">
        <f t="array" ref="FI9">_xll.EQNXTDZ($A$1,$B9,FI$1)</f>
        <v>557.15</v>
      </c>
      <c r="FJ9" s="116" cm="1">
        <f t="array" ref="FJ9">_xll.EQNXTDZ($A$1,$B9,FJ$1)</f>
        <v>566.04999999999995</v>
      </c>
      <c r="FK9" s="116" cm="1">
        <f t="array" ref="FK9">_xll.EQNXTDZ($A$1,$B9,FK$1)</f>
        <v>576.15</v>
      </c>
      <c r="FL9" s="116" cm="1">
        <f t="array" ref="FL9">_xll.EQNXTDZ($A$1,$B9,FL$1)</f>
        <v>587.45000000000005</v>
      </c>
      <c r="FM9" s="116" cm="1">
        <f t="array" ref="FM9">_xll.EQNXTDZ($A$1,$B9,FM$1)</f>
        <v>607.29999999999995</v>
      </c>
      <c r="FN9" s="116" cm="1">
        <f t="array" ref="FN9">_xll.EQNXTDZ($A$1,$B9,FN$1)</f>
        <v>525.25</v>
      </c>
      <c r="FO9" s="116" cm="1">
        <f t="array" ref="FO9">_xll.EQNXTDZ($A$1,$B9,FO$1)</f>
        <v>527.45000000000005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526.25</v>
      </c>
      <c r="JF9" s="116">
        <f>+EB9</f>
        <v>650.45000000000005</v>
      </c>
      <c r="JG9" s="116">
        <f>+EE9</f>
        <v>536.25</v>
      </c>
      <c r="JH9" s="116">
        <f>+EH9</f>
        <v>588.85</v>
      </c>
      <c r="JI9" s="116">
        <f>+EK9</f>
        <v>649.70000000000005</v>
      </c>
      <c r="JJ9" s="116">
        <f>+EN9</f>
        <v>669</v>
      </c>
      <c r="JK9" s="116">
        <f>EQ9</f>
        <v>669</v>
      </c>
      <c r="JL9" s="116">
        <f>ET9</f>
        <v>721.8</v>
      </c>
      <c r="JM9" s="116">
        <f>EW9</f>
        <v>669.55</v>
      </c>
      <c r="JN9" s="116">
        <f>EZ9</f>
        <v>517.9</v>
      </c>
      <c r="JO9" s="116">
        <f>FC9</f>
        <v>632.6</v>
      </c>
      <c r="JP9" s="116">
        <f>FF9</f>
        <v>689.3</v>
      </c>
      <c r="JQ9" s="116">
        <f>FI9</f>
        <v>557.15</v>
      </c>
      <c r="JR9" s="116">
        <f>FL9</f>
        <v>587.45000000000005</v>
      </c>
      <c r="JS9" s="116">
        <f>FO9</f>
        <v>527.45000000000005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449</v>
      </c>
      <c r="DY13" cm="1">
        <f t="array" ref="DY13">_xll.EQNXTDZ($A$1,$B13,DY$1)</f>
        <v>521.85</v>
      </c>
      <c r="DZ13" cm="1">
        <f t="array" ref="DZ13">_xll.EQNXTDZ($A$1,$B13,DZ$1)</f>
        <v>522</v>
      </c>
      <c r="EA13" cm="1">
        <f t="array" ref="EA13">_xll.EQNXTDZ($A$1,$B13,EA$1)</f>
        <v>649</v>
      </c>
      <c r="EB13" cm="1">
        <f t="array" ref="EB13">_xll.EQNXTDZ($A$1,$B13,EB$1)</f>
        <v>621.54999999999995</v>
      </c>
      <c r="EC13" cm="1">
        <f t="array" ref="EC13">_xll.EQNXTDZ($A$1,$B13,EC$1)</f>
        <v>647</v>
      </c>
      <c r="ED13" cm="1">
        <f t="array" ref="ED13">_xll.EQNXTDZ($A$1,$B13,ED$1)</f>
        <v>555.6</v>
      </c>
      <c r="EE13" cm="1">
        <f t="array" ref="EE13">_xll.EQNXTDZ($A$1,$B13,EE$1)</f>
        <v>549.9</v>
      </c>
      <c r="EF13" cm="1">
        <f t="array" ref="EF13">_xll.EQNXTDZ($A$1,$B13,EF$1)</f>
        <v>548.85</v>
      </c>
      <c r="EG13" cm="1">
        <f t="array" ref="EG13">_xll.EQNXTDZ($A$1,$B13,EG$1)</f>
        <v>525.9</v>
      </c>
      <c r="EH13" cm="1">
        <f t="array" ref="EH13">_xll.EQNXTDZ($A$1,$B13,EH$1)</f>
        <v>679.95</v>
      </c>
      <c r="EI13" cm="1">
        <f t="array" ref="EI13">_xll.EQNXTDZ($A$1,$B13,EI$1)</f>
        <v>596.65</v>
      </c>
      <c r="EJ13" cm="1">
        <f t="array" ref="EJ13">_xll.EQNXTDZ($A$1,$B13,EJ$1)</f>
        <v>565.70000000000005</v>
      </c>
      <c r="EK13" cm="1">
        <f t="array" ref="EK13">_xll.EQNXTDZ($A$1,$B13,EK$1)</f>
        <v>591.95000000000005</v>
      </c>
      <c r="EL13" cm="1">
        <f t="array" ref="EL13">_xll.EQNXTDZ($A$1,$B13,EL$1)</f>
        <v>654</v>
      </c>
      <c r="EM13" cm="1">
        <f t="array" ref="EM13">_xll.EQNXTDZ($A$1,$B13,EM$1)</f>
        <v>635.75</v>
      </c>
      <c r="EN13" cm="1">
        <f t="array" ref="EN13">_xll.EQNXTDZ($A$1,$B13,EN$1)</f>
        <v>752.15</v>
      </c>
      <c r="EO13" cm="1">
        <f t="array" ref="EO13">_xll.EQNXTDZ($A$1,$B13,EO$1)</f>
        <v>669.25</v>
      </c>
      <c r="EP13" cm="1">
        <f t="array" ref="EP13">_xll.EQNXTDZ($A$1,$B13,EP$1)</f>
        <v>653.04999999999995</v>
      </c>
      <c r="EQ13" cm="1">
        <f t="array" ref="EQ13">_xll.EQNXTDZ($A$1,$B13,EQ$1)</f>
        <v>631.95000000000005</v>
      </c>
      <c r="ER13" cm="1">
        <f t="array" ref="ER13">_xll.EQNXTDZ($A$1,$B13,ER$1)</f>
        <v>675</v>
      </c>
      <c r="ES13" cm="1">
        <f t="array" ref="ES13">_xll.EQNXTDZ($A$1,$B13,ES$1)</f>
        <v>776</v>
      </c>
      <c r="ET13" cm="1">
        <f t="array" ref="ET13">_xll.EQNXTDZ($A$1,$B13,ET$1)</f>
        <v>740</v>
      </c>
      <c r="EU13" cm="1">
        <f t="array" ref="EU13">_xll.EQNXTDZ($A$1,$B13,EU$1)</f>
        <v>724.4</v>
      </c>
      <c r="EV13" cm="1">
        <f t="array" ref="EV13">_xll.EQNXTDZ($A$1,$B13,EV$1)</f>
        <v>658.9</v>
      </c>
      <c r="EW13" cm="1">
        <f t="array" ref="EW13">_xll.EQNXTDZ($A$1,$B13,EW$1)</f>
        <v>721.1</v>
      </c>
      <c r="EX13" cm="1">
        <f t="array" ref="EX13">_xll.EQNXTDZ($A$1,$B13,EX$1)</f>
        <v>669.35</v>
      </c>
      <c r="EY13" cm="1">
        <f t="array" ref="EY13">_xll.EQNXTDZ($A$1,$B13,EY$1)</f>
        <v>590</v>
      </c>
      <c r="EZ13" cm="1">
        <f t="array" ref="EZ13">_xll.EQNXTDZ($A$1,$B13,EZ$1)</f>
        <v>505.45</v>
      </c>
      <c r="FA13" cm="1">
        <f t="array" ref="FA13">_xll.EQNXTDZ($A$1,$B13,FA$1)</f>
        <v>519.4</v>
      </c>
      <c r="FB13" cm="1">
        <f t="array" ref="FB13">_xll.EQNXTDZ($A$1,$B13,FB$1)</f>
        <v>617.04999999999995</v>
      </c>
      <c r="FC13" cm="1">
        <f t="array" ref="FC13">_xll.EQNXTDZ($A$1,$B13,FC$1)</f>
        <v>624</v>
      </c>
      <c r="FD13" cm="1">
        <f t="array" ref="FD13">_xll.EQNXTDZ($A$1,$B13,FD$1)</f>
        <v>630</v>
      </c>
      <c r="FE13" cm="1">
        <f t="array" ref="FE13">_xll.EQNXTDZ($A$1,$B13,FE$1)</f>
        <v>663.95</v>
      </c>
      <c r="FF13" cm="1">
        <f t="array" ref="FF13">_xll.EQNXTDZ($A$1,$B13,FF$1)</f>
        <v>659.6</v>
      </c>
      <c r="FG13" cm="1">
        <f t="array" ref="FG13">_xll.EQNXTDZ($A$1,$B13,FG$1)</f>
        <v>686.5</v>
      </c>
      <c r="FH13" cm="1">
        <f t="array" ref="FH13">_xll.EQNXTDZ($A$1,$B13,FH$1)</f>
        <v>674.05</v>
      </c>
      <c r="FI13" cm="1">
        <f t="array" ref="FI13">_xll.EQNXTDZ($A$1,$B13,FI$1)</f>
        <v>511.35</v>
      </c>
      <c r="FJ13" cm="1">
        <f t="array" ref="FJ13">_xll.EQNXTDZ($A$1,$B13,FJ$1)</f>
        <v>556.29999999999995</v>
      </c>
      <c r="FK13" cm="1">
        <f t="array" ref="FK13">_xll.EQNXTDZ($A$1,$B13,FK$1)</f>
        <v>550.70000000000005</v>
      </c>
      <c r="FL13" cm="1">
        <f t="array" ref="FL13">_xll.EQNXTDZ($A$1,$B13,FL$1)</f>
        <v>565</v>
      </c>
      <c r="FM13" cm="1">
        <f t="array" ref="FM13">_xll.EQNXTDZ($A$1,$B13,FM$1)</f>
        <v>611.9</v>
      </c>
      <c r="FN13" cm="1">
        <f t="array" ref="FN13">_xll.EQNXTDZ($A$1,$B13,FN$1)</f>
        <v>605</v>
      </c>
      <c r="FO13" cm="1">
        <f t="array" ref="FO13">_xll.EQNXTDZ($A$1,$B13,FO$1)</f>
        <v>523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554.45000000000005</v>
      </c>
      <c r="DY14" s="116" cm="1">
        <f t="array" ref="DY14">_xll.EQNXTDZ($A$1,$B14,DY$1)</f>
        <v>554.4</v>
      </c>
      <c r="DZ14" s="116" cm="1">
        <f t="array" ref="DZ14">_xll.EQNXTDZ($A$1,$B14,DZ$1)</f>
        <v>658</v>
      </c>
      <c r="EA14" s="116" cm="1">
        <f t="array" ref="EA14">_xll.EQNXTDZ($A$1,$B14,EA$1)</f>
        <v>731.75</v>
      </c>
      <c r="EB14" s="116" cm="1">
        <f t="array" ref="EB14">_xll.EQNXTDZ($A$1,$B14,EB$1)</f>
        <v>672.95</v>
      </c>
      <c r="EC14" s="116" cm="1">
        <f t="array" ref="EC14">_xll.EQNXTDZ($A$1,$B14,EC$1)</f>
        <v>654</v>
      </c>
      <c r="ED14" s="116" cm="1">
        <f t="array" ref="ED14">_xll.EQNXTDZ($A$1,$B14,ED$1)</f>
        <v>577.95000000000005</v>
      </c>
      <c r="EE14" s="116" cm="1">
        <f t="array" ref="EE14">_xll.EQNXTDZ($A$1,$B14,EE$1)</f>
        <v>609</v>
      </c>
      <c r="EF14" s="116" cm="1">
        <f t="array" ref="EF14">_xll.EQNXTDZ($A$1,$B14,EF$1)</f>
        <v>551.9</v>
      </c>
      <c r="EG14" s="116" cm="1">
        <f t="array" ref="EG14">_xll.EQNXTDZ($A$1,$B14,EG$1)</f>
        <v>681.3</v>
      </c>
      <c r="EH14" s="116" cm="1">
        <f t="array" ref="EH14">_xll.EQNXTDZ($A$1,$B14,EH$1)</f>
        <v>685</v>
      </c>
      <c r="EI14" s="116" cm="1">
        <f t="array" ref="EI14">_xll.EQNXTDZ($A$1,$B14,EI$1)</f>
        <v>687.9</v>
      </c>
      <c r="EJ14" s="116" cm="1">
        <f t="array" ref="EJ14">_xll.EQNXTDZ($A$1,$B14,EJ$1)</f>
        <v>590.95000000000005</v>
      </c>
      <c r="EK14" s="116" cm="1">
        <f t="array" ref="EK14">_xll.EQNXTDZ($A$1,$B14,EK$1)</f>
        <v>674.9</v>
      </c>
      <c r="EL14" s="116" cm="1">
        <f t="array" ref="EL14">_xll.EQNXTDZ($A$1,$B14,EL$1)</f>
        <v>677</v>
      </c>
      <c r="EM14" s="116" cm="1">
        <f t="array" ref="EM14">_xll.EQNXTDZ($A$1,$B14,EM$1)</f>
        <v>838.2</v>
      </c>
      <c r="EN14" s="116" cm="1">
        <f t="array" ref="EN14">_xll.EQNXTDZ($A$1,$B14,EN$1)</f>
        <v>758.9</v>
      </c>
      <c r="EO14" s="116" cm="1">
        <f t="array" ref="EO14">_xll.EQNXTDZ($A$1,$B14,EO$1)</f>
        <v>716.5</v>
      </c>
      <c r="EP14" s="116" cm="1">
        <f t="array" ref="EP14">_xll.EQNXTDZ($A$1,$B14,EP$1)</f>
        <v>669</v>
      </c>
      <c r="EQ14" s="116" cm="1">
        <f t="array" ref="EQ14">_xll.EQNXTDZ($A$1,$B14,EQ$1)</f>
        <v>709</v>
      </c>
      <c r="ER14" s="116" cm="1">
        <f t="array" ref="ER14">_xll.EQNXTDZ($A$1,$B14,ER$1)</f>
        <v>786.85</v>
      </c>
      <c r="ES14" s="116" cm="1">
        <f t="array" ref="ES14">_xll.EQNXTDZ($A$1,$B14,ES$1)</f>
        <v>831</v>
      </c>
      <c r="ET14" s="116" cm="1">
        <f t="array" ref="ET14">_xll.EQNXTDZ($A$1,$B14,ET$1)</f>
        <v>753.1</v>
      </c>
      <c r="EU14" s="116" cm="1">
        <f t="array" ref="EU14">_xll.EQNXTDZ($A$1,$B14,EU$1)</f>
        <v>729.7</v>
      </c>
      <c r="EV14" s="116" cm="1">
        <f t="array" ref="EV14">_xll.EQNXTDZ($A$1,$B14,EV$1)</f>
        <v>725.3</v>
      </c>
      <c r="EW14" s="116" cm="1">
        <f t="array" ref="EW14">_xll.EQNXTDZ($A$1,$B14,EW$1)</f>
        <v>730.45</v>
      </c>
      <c r="EX14" s="116" cm="1">
        <f t="array" ref="EX14">_xll.EQNXTDZ($A$1,$B14,EX$1)</f>
        <v>690</v>
      </c>
      <c r="EY14" s="116" cm="1">
        <f t="array" ref="EY14">_xll.EQNXTDZ($A$1,$B14,EY$1)</f>
        <v>601</v>
      </c>
      <c r="EZ14" s="116" cm="1">
        <f t="array" ref="EZ14">_xll.EQNXTDZ($A$1,$B14,EZ$1)</f>
        <v>578.65</v>
      </c>
      <c r="FA14" s="116" cm="1">
        <f t="array" ref="FA14">_xll.EQNXTDZ($A$1,$B14,FA$1)</f>
        <v>669</v>
      </c>
      <c r="FB14" s="116" cm="1">
        <f t="array" ref="FB14">_xll.EQNXTDZ($A$1,$B14,FB$1)</f>
        <v>639</v>
      </c>
      <c r="FC14" s="116" cm="1">
        <f t="array" ref="FC14">_xll.EQNXTDZ($A$1,$B14,FC$1)</f>
        <v>653</v>
      </c>
      <c r="FD14" s="116" cm="1">
        <f t="array" ref="FD14">_xll.EQNXTDZ($A$1,$B14,FD$1)</f>
        <v>705.9</v>
      </c>
      <c r="FE14" s="116" cm="1">
        <f t="array" ref="FE14">_xll.EQNXTDZ($A$1,$B14,FE$1)</f>
        <v>727.8</v>
      </c>
      <c r="FF14" s="116" cm="1">
        <f t="array" ref="FF14">_xll.EQNXTDZ($A$1,$B14,FF$1)</f>
        <v>726</v>
      </c>
      <c r="FG14" s="116" cm="1">
        <f t="array" ref="FG14">_xll.EQNXTDZ($A$1,$B14,FG$1)</f>
        <v>703.85</v>
      </c>
      <c r="FH14" s="116" cm="1">
        <f t="array" ref="FH14">_xll.EQNXTDZ($A$1,$B14,FH$1)</f>
        <v>674.05</v>
      </c>
      <c r="FI14" s="116" cm="1">
        <f t="array" ref="FI14">_xll.EQNXTDZ($A$1,$B14,FI$1)</f>
        <v>563.15</v>
      </c>
      <c r="FJ14" s="116" cm="1">
        <f t="array" ref="FJ14">_xll.EQNXTDZ($A$1,$B14,FJ$1)</f>
        <v>577.5</v>
      </c>
      <c r="FK14" s="116" cm="1">
        <f t="array" ref="FK14">_xll.EQNXTDZ($A$1,$B14,FK$1)</f>
        <v>604.4</v>
      </c>
      <c r="FL14" s="116" cm="1">
        <f t="array" ref="FL14">_xll.EQNXTDZ($A$1,$B14,FL$1)</f>
        <v>628</v>
      </c>
      <c r="FM14" s="116" cm="1">
        <f t="array" ref="FM14">_xll.EQNXTDZ($A$1,$B14,FM$1)</f>
        <v>630</v>
      </c>
      <c r="FN14" s="116" cm="1">
        <f t="array" ref="FN14">_xll.EQNXTDZ($A$1,$B14,FN$1)</f>
        <v>640.95000000000005</v>
      </c>
      <c r="FO14" s="116" cm="1">
        <f t="array" ref="FO14">_xll.EQNXTDZ($A$1,$B14,FO$1)</f>
        <v>559.6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554.45000000000005</v>
      </c>
      <c r="JF14" s="116">
        <f>+MAX(DZ14:EB14)</f>
        <v>731.75</v>
      </c>
      <c r="JG14" s="116">
        <f>+MAX(EC14:EE14)</f>
        <v>654</v>
      </c>
      <c r="JH14" s="116">
        <f>+MAX(EF14:EH14)</f>
        <v>685</v>
      </c>
      <c r="JI14" s="116">
        <f>+MAX(EI14:EK14)</f>
        <v>687.9</v>
      </c>
      <c r="JJ14" s="116">
        <f>+MAX(EL14:EN14)</f>
        <v>838.2</v>
      </c>
      <c r="JK14" s="116">
        <f>MAX(EO14:EQ14)</f>
        <v>716.5</v>
      </c>
      <c r="JL14" s="116">
        <f>MAX(ER14:ET14)</f>
        <v>831</v>
      </c>
      <c r="JM14" s="116">
        <f>MAX(EU14:EW14)</f>
        <v>730.45</v>
      </c>
      <c r="JN14" s="116">
        <f>MAX(EX14:EZ14)</f>
        <v>690</v>
      </c>
      <c r="JO14" s="116">
        <f>MAX(FA14:FC14)</f>
        <v>669</v>
      </c>
      <c r="JP14" s="116">
        <f>MAX(FD14:FF14)</f>
        <v>727.8</v>
      </c>
      <c r="JQ14" s="116">
        <f>MAX(FG14:FI14)</f>
        <v>703.85</v>
      </c>
      <c r="JR14" s="116">
        <f>MAX(FJ14:FL14)</f>
        <v>628</v>
      </c>
      <c r="JS14" s="116">
        <f>MAX(FM14:FO14)</f>
        <v>640.95000000000005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440.05</v>
      </c>
      <c r="DY15" s="116" cm="1">
        <f t="array" ref="DY15">_xll.EQNXTDZ($A$1,$B15,DY$1)</f>
        <v>471.15</v>
      </c>
      <c r="DZ15" s="116" cm="1">
        <f t="array" ref="DZ15">_xll.EQNXTDZ($A$1,$B15,DZ$1)</f>
        <v>516.54999999999995</v>
      </c>
      <c r="EA15" s="116" cm="1">
        <f t="array" ref="EA15">_xll.EQNXTDZ($A$1,$B15,EA$1)</f>
        <v>606.4</v>
      </c>
      <c r="EB15" s="116" cm="1">
        <f t="array" ref="EB15">_xll.EQNXTDZ($A$1,$B15,EB$1)</f>
        <v>605.6</v>
      </c>
      <c r="EC15" s="116" cm="1">
        <f t="array" ref="EC15">_xll.EQNXTDZ($A$1,$B15,EC$1)</f>
        <v>521.6</v>
      </c>
      <c r="ED15" s="116" cm="1">
        <f t="array" ref="ED15">_xll.EQNXTDZ($A$1,$B15,ED$1)</f>
        <v>520</v>
      </c>
      <c r="EE15" s="116" cm="1">
        <f t="array" ref="EE15">_xll.EQNXTDZ($A$1,$B15,EE$1)</f>
        <v>518.9</v>
      </c>
      <c r="EF15" s="116" cm="1">
        <f t="array" ref="EF15">_xll.EQNXTDZ($A$1,$B15,EF$1)</f>
        <v>515.04999999999995</v>
      </c>
      <c r="EG15" s="116" cm="1">
        <f t="array" ref="EG15">_xll.EQNXTDZ($A$1,$B15,EG$1)</f>
        <v>495</v>
      </c>
      <c r="EH15" s="116" cm="1">
        <f t="array" ref="EH15">_xll.EQNXTDZ($A$1,$B15,EH$1)</f>
        <v>580.4</v>
      </c>
      <c r="EI15" s="116" cm="1">
        <f t="array" ref="EI15">_xll.EQNXTDZ($A$1,$B15,EI$1)</f>
        <v>555</v>
      </c>
      <c r="EJ15" s="116" cm="1">
        <f t="array" ref="EJ15">_xll.EQNXTDZ($A$1,$B15,EJ$1)</f>
        <v>510.3</v>
      </c>
      <c r="EK15" s="116" cm="1">
        <f t="array" ref="EK15">_xll.EQNXTDZ($A$1,$B15,EK$1)</f>
        <v>578.54999999999995</v>
      </c>
      <c r="EL15" s="116" cm="1">
        <f t="array" ref="EL15">_xll.EQNXTDZ($A$1,$B15,EL$1)</f>
        <v>593.79999999999995</v>
      </c>
      <c r="EM15" s="116" cm="1">
        <f t="array" ref="EM15">_xll.EQNXTDZ($A$1,$B15,EM$1)</f>
        <v>608.5</v>
      </c>
      <c r="EN15" s="116" cm="1">
        <f t="array" ref="EN15">_xll.EQNXTDZ($A$1,$B15,EN$1)</f>
        <v>571.5</v>
      </c>
      <c r="EO15" s="116" cm="1">
        <f t="array" ref="EO15">_xll.EQNXTDZ($A$1,$B15,EO$1)</f>
        <v>608.04999999999995</v>
      </c>
      <c r="EP15" s="116" cm="1">
        <f t="array" ref="EP15">_xll.EQNXTDZ($A$1,$B15,EP$1)</f>
        <v>596.65</v>
      </c>
      <c r="EQ15" s="116" cm="1">
        <f t="array" ref="EQ15">_xll.EQNXTDZ($A$1,$B15,EQ$1)</f>
        <v>582.9</v>
      </c>
      <c r="ER15" s="116" cm="1">
        <f t="array" ref="ER15">_xll.EQNXTDZ($A$1,$B15,ER$1)</f>
        <v>665.25</v>
      </c>
      <c r="ES15" s="116" cm="1">
        <f t="array" ref="ES15">_xll.EQNXTDZ($A$1,$B15,ES$1)</f>
        <v>674.4</v>
      </c>
      <c r="ET15" s="116" cm="1">
        <f t="array" ref="ET15">_xll.EQNXTDZ($A$1,$B15,ET$1)</f>
        <v>682.05</v>
      </c>
      <c r="EU15" s="116" cm="1">
        <f t="array" ref="EU15">_xll.EQNXTDZ($A$1,$B15,EU$1)</f>
        <v>591</v>
      </c>
      <c r="EV15" s="116" cm="1">
        <f t="array" ref="EV15">_xll.EQNXTDZ($A$1,$B15,EV$1)</f>
        <v>633.45000000000005</v>
      </c>
      <c r="EW15" s="116" cm="1">
        <f t="array" ref="EW15">_xll.EQNXTDZ($A$1,$B15,EW$1)</f>
        <v>638.6</v>
      </c>
      <c r="EX15" s="116" cm="1">
        <f t="array" ref="EX15">_xll.EQNXTDZ($A$1,$B15,EX$1)</f>
        <v>505</v>
      </c>
      <c r="EY15" s="116" cm="1">
        <f t="array" ref="EY15">_xll.EQNXTDZ($A$1,$B15,EY$1)</f>
        <v>409</v>
      </c>
      <c r="EZ15" s="116" cm="1">
        <f t="array" ref="EZ15">_xll.EQNXTDZ($A$1,$B15,EZ$1)</f>
        <v>472.4</v>
      </c>
      <c r="FA15" s="116" cm="1">
        <f t="array" ref="FA15">_xll.EQNXTDZ($A$1,$B15,FA$1)</f>
        <v>479.75</v>
      </c>
      <c r="FB15" s="116" cm="1">
        <f t="array" ref="FB15">_xll.EQNXTDZ($A$1,$B15,FB$1)</f>
        <v>544.5</v>
      </c>
      <c r="FC15" s="116" cm="1">
        <f t="array" ref="FC15">_xll.EQNXTDZ($A$1,$B15,FC$1)</f>
        <v>606.25</v>
      </c>
      <c r="FD15" s="116" cm="1">
        <f t="array" ref="FD15">_xll.EQNXTDZ($A$1,$B15,FD$1)</f>
        <v>612.65</v>
      </c>
      <c r="FE15" s="116" cm="1">
        <f t="array" ref="FE15">_xll.EQNXTDZ($A$1,$B15,FE$1)</f>
        <v>608.70000000000005</v>
      </c>
      <c r="FF15" s="116" cm="1">
        <f t="array" ref="FF15">_xll.EQNXTDZ($A$1,$B15,FF$1)</f>
        <v>658.7</v>
      </c>
      <c r="FG15" s="116" cm="1">
        <f t="array" ref="FG15">_xll.EQNXTDZ($A$1,$B15,FG$1)</f>
        <v>623.54999999999995</v>
      </c>
      <c r="FH15" s="116" cm="1">
        <f t="array" ref="FH15">_xll.EQNXTDZ($A$1,$B15,FH$1)</f>
        <v>508.45</v>
      </c>
      <c r="FI15" s="116" cm="1">
        <f t="array" ref="FI15">_xll.EQNXTDZ($A$1,$B15,FI$1)</f>
        <v>483.1</v>
      </c>
      <c r="FJ15" s="116" cm="1">
        <f t="array" ref="FJ15">_xll.EQNXTDZ($A$1,$B15,FJ$1)</f>
        <v>502.5</v>
      </c>
      <c r="FK15" s="116" cm="1">
        <f t="array" ref="FK15">_xll.EQNXTDZ($A$1,$B15,FK$1)</f>
        <v>539.45000000000005</v>
      </c>
      <c r="FL15" s="116" cm="1">
        <f t="array" ref="FL15">_xll.EQNXTDZ($A$1,$B15,FL$1)</f>
        <v>516.79999999999995</v>
      </c>
      <c r="FM15" s="116" cm="1">
        <f t="array" ref="FM15">_xll.EQNXTDZ($A$1,$B15,FM$1)</f>
        <v>568.04999999999995</v>
      </c>
      <c r="FN15" s="116" cm="1">
        <f t="array" ref="FN15">_xll.EQNXTDZ($A$1,$B15,FN$1)</f>
        <v>510.7</v>
      </c>
      <c r="FO15" s="116" cm="1">
        <f t="array" ref="FO15">_xll.EQNXTDZ($A$1,$B15,FO$1)</f>
        <v>509.35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516.54999999999995</v>
      </c>
      <c r="JG15" s="116">
        <f>+MIN(EC15:EE15)</f>
        <v>518.9</v>
      </c>
      <c r="JH15" s="116">
        <f>+MIN(EF15:EH15)</f>
        <v>495</v>
      </c>
      <c r="JI15" s="116">
        <f>+MIN(EI15:EK15)</f>
        <v>510.3</v>
      </c>
      <c r="JJ15" s="116">
        <f>+MIN(EL15:EN15)</f>
        <v>571.5</v>
      </c>
      <c r="JK15" s="116">
        <f>MIN(EO15:EQ15)</f>
        <v>582.9</v>
      </c>
      <c r="JL15" s="116">
        <f>MIN(ER15:ET15)</f>
        <v>665.25</v>
      </c>
      <c r="JM15" s="116">
        <f>MIN(EU15:EW15)</f>
        <v>591</v>
      </c>
      <c r="JN15" s="116">
        <f>MIN(EX15:EZ15)</f>
        <v>409</v>
      </c>
      <c r="JO15" s="116">
        <f>MIN(FA15:FC15)</f>
        <v>479.75</v>
      </c>
      <c r="JP15" s="116">
        <f>MIN(FD15:FF15)</f>
        <v>608.70000000000005</v>
      </c>
      <c r="JQ15" s="116">
        <f>MIN(FG15:FI15)</f>
        <v>483.1</v>
      </c>
      <c r="JR15" s="116">
        <f>MIN(FJ15:FL15)</f>
        <v>502.5</v>
      </c>
      <c r="JS15" s="116">
        <f>MIN(FM15:FO15)</f>
        <v>509.35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515.20000000000005</v>
      </c>
      <c r="DY16" s="116" cm="1">
        <f t="array" ref="DY16">_xll.EQNXTDZ($A$1,$B16,DY$1)</f>
        <v>525.54999999999995</v>
      </c>
      <c r="DZ16" s="116" cm="1">
        <f t="array" ref="DZ16">_xll.EQNXTDZ($A$1,$B16,DZ$1)</f>
        <v>650.5</v>
      </c>
      <c r="EA16" s="116" cm="1">
        <f t="array" ref="EA16">_xll.EQNXTDZ($A$1,$B16,EA$1)</f>
        <v>629.35</v>
      </c>
      <c r="EB16" s="116" cm="1">
        <f t="array" ref="EB16">_xll.EQNXTDZ($A$1,$B16,EB$1)</f>
        <v>650.70000000000005</v>
      </c>
      <c r="EC16" s="116" cm="1">
        <f t="array" ref="EC16">_xll.EQNXTDZ($A$1,$B16,EC$1)</f>
        <v>550.15</v>
      </c>
      <c r="ED16" s="116" cm="1">
        <f t="array" ref="ED16">_xll.EQNXTDZ($A$1,$B16,ED$1)</f>
        <v>545.20000000000005</v>
      </c>
      <c r="EE16" s="116" cm="1">
        <f t="array" ref="EE16">_xll.EQNXTDZ($A$1,$B16,EE$1)</f>
        <v>537</v>
      </c>
      <c r="EF16" s="116" cm="1">
        <f t="array" ref="EF16">_xll.EQNXTDZ($A$1,$B16,EF$1)</f>
        <v>520.29999999999995</v>
      </c>
      <c r="EG16" s="116" cm="1">
        <f t="array" ref="EG16">_xll.EQNXTDZ($A$1,$B16,EG$1)</f>
        <v>672.4</v>
      </c>
      <c r="EH16" s="116" cm="1">
        <f t="array" ref="EH16">_xll.EQNXTDZ($A$1,$B16,EH$1)</f>
        <v>589.5</v>
      </c>
      <c r="EI16" s="116" cm="1">
        <f t="array" ref="EI16">_xll.EQNXTDZ($A$1,$B16,EI$1)</f>
        <v>572.85</v>
      </c>
      <c r="EJ16" s="116" cm="1">
        <f t="array" ref="EJ16">_xll.EQNXTDZ($A$1,$B16,EJ$1)</f>
        <v>585.4</v>
      </c>
      <c r="EK16" s="116" cm="1">
        <f t="array" ref="EK16">_xll.EQNXTDZ($A$1,$B16,EK$1)</f>
        <v>648.9</v>
      </c>
      <c r="EL16" s="116" cm="1">
        <f t="array" ref="EL16">_xll.EQNXTDZ($A$1,$B16,EL$1)</f>
        <v>634</v>
      </c>
      <c r="EM16" s="116" cm="1">
        <f t="array" ref="EM16">_xll.EQNXTDZ($A$1,$B16,EM$1)</f>
        <v>760.95</v>
      </c>
      <c r="EN16" s="116" cm="1">
        <f t="array" ref="EN16">_xll.EQNXTDZ($A$1,$B16,EN$1)</f>
        <v>670.15</v>
      </c>
      <c r="EO16" s="116" cm="1">
        <f t="array" ref="EO16">_xll.EQNXTDZ($A$1,$B16,EO$1)</f>
        <v>651.54999999999995</v>
      </c>
      <c r="EP16" s="116" cm="1">
        <f t="array" ref="EP16">_xll.EQNXTDZ($A$1,$B16,EP$1)</f>
        <v>619.54999999999995</v>
      </c>
      <c r="EQ16" s="116" cm="1">
        <f t="array" ref="EQ16">_xll.EQNXTDZ($A$1,$B16,EQ$1)</f>
        <v>668</v>
      </c>
      <c r="ER16" s="116" cm="1">
        <f t="array" ref="ER16">_xll.EQNXTDZ($A$1,$B16,ER$1)</f>
        <v>772.35</v>
      </c>
      <c r="ES16" s="116" cm="1">
        <f t="array" ref="ES16">_xll.EQNXTDZ($A$1,$B16,ES$1)</f>
        <v>741.65</v>
      </c>
      <c r="ET16" s="116" cm="1">
        <f t="array" ref="ET16">_xll.EQNXTDZ($A$1,$B16,ET$1)</f>
        <v>721.55</v>
      </c>
      <c r="EU16" s="116" cm="1">
        <f t="array" ref="EU16">_xll.EQNXTDZ($A$1,$B16,EU$1)</f>
        <v>644.45000000000005</v>
      </c>
      <c r="EV16" s="116" cm="1">
        <f t="array" ref="EV16">_xll.EQNXTDZ($A$1,$B16,EV$1)</f>
        <v>712.3</v>
      </c>
      <c r="EW16" s="116" cm="1">
        <f t="array" ref="EW16">_xll.EQNXTDZ($A$1,$B16,EW$1)</f>
        <v>669.1</v>
      </c>
      <c r="EX16" s="116" cm="1">
        <f t="array" ref="EX16">_xll.EQNXTDZ($A$1,$B16,EX$1)</f>
        <v>585.79999999999995</v>
      </c>
      <c r="EY16" s="116" cm="1">
        <f t="array" ref="EY16">_xll.EQNXTDZ($A$1,$B16,EY$1)</f>
        <v>505.65</v>
      </c>
      <c r="EZ16" s="116" cm="1">
        <f t="array" ref="EZ16">_xll.EQNXTDZ($A$1,$B16,EZ$1)</f>
        <v>515.45000000000005</v>
      </c>
      <c r="FA16" s="116" cm="1">
        <f t="array" ref="FA16">_xll.EQNXTDZ($A$1,$B16,FA$1)</f>
        <v>626.35</v>
      </c>
      <c r="FB16" s="116" cm="1">
        <f t="array" ref="FB16">_xll.EQNXTDZ($A$1,$B16,FB$1)</f>
        <v>624.35</v>
      </c>
      <c r="FC16" s="116" cm="1">
        <f t="array" ref="FC16">_xll.EQNXTDZ($A$1,$B16,FC$1)</f>
        <v>631.6</v>
      </c>
      <c r="FD16" s="116" cm="1">
        <f t="array" ref="FD16">_xll.EQNXTDZ($A$1,$B16,FD$1)</f>
        <v>663.9</v>
      </c>
      <c r="FE16" s="116" cm="1">
        <f t="array" ref="FE16">_xll.EQNXTDZ($A$1,$B16,FE$1)</f>
        <v>655.7</v>
      </c>
      <c r="FF16" s="116" cm="1">
        <f t="array" ref="FF16">_xll.EQNXTDZ($A$1,$B16,FF$1)</f>
        <v>691.4</v>
      </c>
      <c r="FG16" s="116" cm="1">
        <f t="array" ref="FG16">_xll.EQNXTDZ($A$1,$B16,FG$1)</f>
        <v>666</v>
      </c>
      <c r="FH16" s="116" cm="1">
        <f t="array" ref="FH16">_xll.EQNXTDZ($A$1,$B16,FH$1)</f>
        <v>512.35</v>
      </c>
      <c r="FI16" s="116" cm="1">
        <f t="array" ref="FI16">_xll.EQNXTDZ($A$1,$B16,FI$1)</f>
        <v>556.25</v>
      </c>
      <c r="FJ16" s="116" cm="1">
        <f t="array" ref="FJ16">_xll.EQNXTDZ($A$1,$B16,FJ$1)</f>
        <v>565.29999999999995</v>
      </c>
      <c r="FK16" s="116" cm="1">
        <f t="array" ref="FK16">_xll.EQNXTDZ($A$1,$B16,FK$1)</f>
        <v>575.70000000000005</v>
      </c>
      <c r="FL16" s="116" cm="1">
        <f t="array" ref="FL16">_xll.EQNXTDZ($A$1,$B16,FL$1)</f>
        <v>586.75</v>
      </c>
      <c r="FM16" s="116" cm="1">
        <f t="array" ref="FM16">_xll.EQNXTDZ($A$1,$B16,FM$1)</f>
        <v>607.75</v>
      </c>
      <c r="FN16" s="116" cm="1">
        <f t="array" ref="FN16">_xll.EQNXTDZ($A$1,$B16,FN$1)</f>
        <v>526.15</v>
      </c>
      <c r="FO16" s="116" cm="1">
        <f t="array" ref="FO16">_xll.EQNXTDZ($A$1,$B16,FO$1)</f>
        <v>526.79999999999995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525.54999999999995</v>
      </c>
      <c r="JF16" s="116">
        <f>+EB16</f>
        <v>650.70000000000005</v>
      </c>
      <c r="JG16" s="116">
        <f>+EE16</f>
        <v>537</v>
      </c>
      <c r="JH16" s="116">
        <f>+EH16</f>
        <v>589.5</v>
      </c>
      <c r="JI16" s="116">
        <f>+EK16</f>
        <v>648.9</v>
      </c>
      <c r="JJ16" s="116">
        <f>+EN16</f>
        <v>670.15</v>
      </c>
      <c r="JK16" s="116">
        <f>EQ16</f>
        <v>668</v>
      </c>
      <c r="JL16" s="116">
        <f>ET16</f>
        <v>721.55</v>
      </c>
      <c r="JM16" s="116">
        <f>EW16</f>
        <v>669.1</v>
      </c>
      <c r="JN16" s="116">
        <f>EZ16</f>
        <v>515.45000000000005</v>
      </c>
      <c r="JO16" s="116">
        <f>FC16</f>
        <v>631.6</v>
      </c>
      <c r="JP16" s="116">
        <f>FF16</f>
        <v>691.4</v>
      </c>
      <c r="JQ16" s="116">
        <f>FI16</f>
        <v>556.25</v>
      </c>
      <c r="JR16" s="116">
        <f>FL16</f>
        <v>586.75</v>
      </c>
      <c r="JS16" s="116">
        <f>FO16</f>
        <v>526.79999999999995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554.45000000000005</v>
      </c>
      <c r="JF19" s="116">
        <f t="shared" si="1"/>
        <v>731.75</v>
      </c>
      <c r="JG19" s="116">
        <f t="shared" si="1"/>
        <v>654</v>
      </c>
      <c r="JH19" s="116">
        <f t="shared" si="1"/>
        <v>685</v>
      </c>
      <c r="JI19" s="116">
        <f t="shared" si="1"/>
        <v>687.9</v>
      </c>
      <c r="JJ19" s="116">
        <f t="shared" ref="JJ19:JJ21" si="2">+IF(JJ14=0,JJ7,JJ14)</f>
        <v>838.2</v>
      </c>
      <c r="JK19" s="116">
        <f t="shared" ref="JK19" si="3">+IF(JK14=0,JK7,JK14)</f>
        <v>716.5</v>
      </c>
      <c r="JL19" s="116">
        <f t="shared" ref="JL19:JM19" si="4">+IF(JL14=0,JL7,JL14)</f>
        <v>831</v>
      </c>
      <c r="JM19" s="116">
        <f t="shared" si="4"/>
        <v>730.45</v>
      </c>
      <c r="JN19" s="116">
        <f t="shared" ref="JN19:JO19" si="5">+IF(JN14=0,JN7,JN14)</f>
        <v>690</v>
      </c>
      <c r="JO19" s="116">
        <f t="shared" si="5"/>
        <v>669</v>
      </c>
      <c r="JP19" s="116">
        <f t="shared" ref="JP19" si="6">+IF(JP14=0,JP7,JP14)</f>
        <v>727.8</v>
      </c>
      <c r="JQ19" s="116">
        <f t="shared" ref="JQ19:KH19" si="7">+IF(JQ14=0,JQ7,JQ14)</f>
        <v>703.85</v>
      </c>
      <c r="JR19" s="116">
        <f t="shared" si="7"/>
        <v>628</v>
      </c>
      <c r="JS19" s="116">
        <f t="shared" si="7"/>
        <v>640.95000000000005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516.54999999999995</v>
      </c>
      <c r="JG20" s="116">
        <f t="shared" si="1"/>
        <v>518.9</v>
      </c>
      <c r="JH20" s="116">
        <f t="shared" si="1"/>
        <v>495</v>
      </c>
      <c r="JI20" s="116">
        <f t="shared" si="1"/>
        <v>510.3</v>
      </c>
      <c r="JJ20" s="116">
        <f t="shared" si="2"/>
        <v>571.5</v>
      </c>
      <c r="JK20" s="116">
        <f t="shared" ref="JK20" si="9">+IF(JK15=0,JK8,JK15)</f>
        <v>582.9</v>
      </c>
      <c r="JL20" s="116">
        <f t="shared" ref="JL20:JM20" si="10">+IF(JL15=0,JL8,JL15)</f>
        <v>665.25</v>
      </c>
      <c r="JM20" s="116">
        <f t="shared" si="10"/>
        <v>591</v>
      </c>
      <c r="JN20" s="116">
        <f t="shared" ref="JN20:JO20" si="11">+IF(JN15=0,JN8,JN15)</f>
        <v>409</v>
      </c>
      <c r="JO20" s="116">
        <f t="shared" si="11"/>
        <v>479.75</v>
      </c>
      <c r="JP20" s="116">
        <f t="shared" ref="JP20" si="12">+IF(JP15=0,JP8,JP15)</f>
        <v>608.70000000000005</v>
      </c>
      <c r="JQ20" s="116">
        <f t="shared" ref="JQ20:KH20" si="13">+IF(JQ15=0,JQ8,JQ15)</f>
        <v>483.1</v>
      </c>
      <c r="JR20" s="116">
        <f t="shared" si="13"/>
        <v>502.5</v>
      </c>
      <c r="JS20" s="116">
        <f t="shared" si="13"/>
        <v>509.35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525.54999999999995</v>
      </c>
      <c r="JF21" s="116">
        <f t="shared" si="1"/>
        <v>650.70000000000005</v>
      </c>
      <c r="JG21" s="116">
        <f t="shared" si="1"/>
        <v>537</v>
      </c>
      <c r="JH21" s="116">
        <f t="shared" si="1"/>
        <v>589.5</v>
      </c>
      <c r="JI21" s="116">
        <f t="shared" si="1"/>
        <v>648.9</v>
      </c>
      <c r="JJ21" s="116">
        <f t="shared" si="2"/>
        <v>670.15</v>
      </c>
      <c r="JK21" s="116">
        <f t="shared" ref="JK21" si="14">+IF(JK16=0,JK9,JK16)</f>
        <v>668</v>
      </c>
      <c r="JL21" s="116">
        <f t="shared" ref="JL21:JM21" si="15">+IF(JL16=0,JL9,JL16)</f>
        <v>721.55</v>
      </c>
      <c r="JM21" s="116">
        <f t="shared" si="15"/>
        <v>669.1</v>
      </c>
      <c r="JN21" s="116">
        <f t="shared" ref="JN21:JO21" si="16">+IF(JN16=0,JN9,JN16)</f>
        <v>515.45000000000005</v>
      </c>
      <c r="JO21" s="116">
        <f t="shared" si="16"/>
        <v>631.6</v>
      </c>
      <c r="JP21" s="116">
        <f t="shared" ref="JP21" si="17">+IF(JP16=0,JP9,JP16)</f>
        <v>691.4</v>
      </c>
      <c r="JQ21" s="116">
        <f t="shared" ref="JQ21:KH21" si="18">+IF(JQ16=0,JQ9,JQ16)</f>
        <v>556.25</v>
      </c>
      <c r="JR21" s="116">
        <f t="shared" si="18"/>
        <v>586.75</v>
      </c>
      <c r="JS21" s="116">
        <f t="shared" si="18"/>
        <v>526.79999999999995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293601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10000000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10000000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19266681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123052989</v>
      </c>
      <c r="AT6" cm="1">
        <f t="array" ref="AT6">_xll.EQNXTDZ($A$1,$B6,AT$1)</f>
        <v>123052989</v>
      </c>
      <c r="AU6" cm="1">
        <f t="array" ref="AU6">_xll.EQNXTDZ($A$1,$B6,AU$1)</f>
        <v>123052989</v>
      </c>
      <c r="AV6" cm="1">
        <f t="array" ref="AV6">_xll.EQNXTDZ($A$1,$B6,AV$1)</f>
        <v>123052989</v>
      </c>
      <c r="AW6" cm="1">
        <f t="array" ref="AW6">_xll.EQNXTDZ($A$1,$B6,AW$1)</f>
        <v>123396969</v>
      </c>
      <c r="AX6" cm="1">
        <f t="array" ref="AX6">_xll.EQNXTDZ($A$1,$B6,AX$1)</f>
        <v>123396969</v>
      </c>
      <c r="AY6" cm="1">
        <f t="array" ref="AY6">_xll.EQNXTDZ($A$1,$B6,AY$1)</f>
        <v>123396969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1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1.9266681000000001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12.3052989</v>
      </c>
      <c r="AT7" s="100">
        <f t="shared" ref="AT7:AX7" si="2">+AT6/10^7</f>
        <v>12.3052989</v>
      </c>
      <c r="AU7" s="100">
        <f t="shared" si="2"/>
        <v>12.3052989</v>
      </c>
      <c r="AV7" s="100">
        <f t="shared" si="2"/>
        <v>12.3052989</v>
      </c>
      <c r="AW7" s="100">
        <f t="shared" si="2"/>
        <v>12.3396969</v>
      </c>
      <c r="AX7" s="100">
        <f t="shared" si="2"/>
        <v>12.3396969</v>
      </c>
      <c r="AY7" s="100">
        <f t="shared" ref="AY7" si="3">+AY6/10^7</f>
        <v>12.3396969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293601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44886</v>
      </c>
      <c r="B4" s="116">
        <v>476.05</v>
      </c>
      <c r="C4" s="116">
        <v>457.95</v>
      </c>
      <c r="D4" s="116">
        <v>440.05</v>
      </c>
      <c r="E4" s="116">
        <v>449</v>
      </c>
      <c r="F4" s="116">
        <v>457.95</v>
      </c>
      <c r="G4">
        <v>1118983</v>
      </c>
      <c r="H4" s="116"/>
      <c r="I4" s="116"/>
      <c r="L4" s="170">
        <v>44886</v>
      </c>
      <c r="M4" s="116">
        <v>458.15</v>
      </c>
      <c r="N4" s="116">
        <v>476</v>
      </c>
      <c r="O4" s="116">
        <v>440.2</v>
      </c>
      <c r="P4" s="116">
        <v>450</v>
      </c>
      <c r="Q4" s="116">
        <v>458.15</v>
      </c>
      <c r="R4">
        <v>22187351</v>
      </c>
    </row>
    <row r="5" spans="1:18" x14ac:dyDescent="0.25">
      <c r="A5" s="170">
        <v>44887</v>
      </c>
      <c r="B5" s="116">
        <v>478</v>
      </c>
      <c r="C5" s="116">
        <v>454.85</v>
      </c>
      <c r="D5" s="116">
        <v>448.8</v>
      </c>
      <c r="E5" s="116">
        <v>460.45</v>
      </c>
      <c r="F5" s="116">
        <v>454.85</v>
      </c>
      <c r="G5">
        <v>206410</v>
      </c>
      <c r="H5" s="116"/>
      <c r="I5" s="116"/>
      <c r="L5" s="170">
        <v>44887</v>
      </c>
      <c r="M5" s="116">
        <v>454.85</v>
      </c>
      <c r="N5" s="116">
        <v>478</v>
      </c>
      <c r="O5" s="116">
        <v>450</v>
      </c>
      <c r="P5" s="116">
        <v>460.8</v>
      </c>
      <c r="Q5" s="116">
        <v>454.85</v>
      </c>
      <c r="R5">
        <v>4464605</v>
      </c>
    </row>
    <row r="6" spans="1:18" x14ac:dyDescent="0.25">
      <c r="A6" s="170">
        <v>44888</v>
      </c>
      <c r="B6" s="116">
        <v>471.55</v>
      </c>
      <c r="C6" s="116">
        <v>464.6</v>
      </c>
      <c r="D6" s="116">
        <v>455.2</v>
      </c>
      <c r="E6" s="116">
        <v>455.2</v>
      </c>
      <c r="F6" s="116">
        <v>464.6</v>
      </c>
      <c r="G6">
        <v>201083</v>
      </c>
      <c r="H6" s="116"/>
      <c r="I6" s="116"/>
      <c r="L6" s="170">
        <v>44888</v>
      </c>
      <c r="M6" s="116">
        <v>464.7</v>
      </c>
      <c r="N6" s="116">
        <v>471.65</v>
      </c>
      <c r="O6" s="116">
        <v>455.6</v>
      </c>
      <c r="P6" s="116">
        <v>458.9</v>
      </c>
      <c r="Q6" s="116">
        <v>464.7</v>
      </c>
      <c r="R6">
        <v>1736495</v>
      </c>
    </row>
    <row r="7" spans="1:18" x14ac:dyDescent="0.25">
      <c r="A7" s="170">
        <v>44889</v>
      </c>
      <c r="B7" s="116">
        <v>510</v>
      </c>
      <c r="C7" s="116">
        <v>502.4</v>
      </c>
      <c r="D7" s="116">
        <v>465.2</v>
      </c>
      <c r="E7" s="116">
        <v>465.2</v>
      </c>
      <c r="F7" s="116">
        <v>502.4</v>
      </c>
      <c r="G7">
        <v>249114</v>
      </c>
      <c r="H7" s="116"/>
      <c r="I7" s="116"/>
      <c r="L7" s="170">
        <v>44889</v>
      </c>
      <c r="M7" s="116">
        <v>502.4</v>
      </c>
      <c r="N7" s="116">
        <v>509</v>
      </c>
      <c r="O7" s="116">
        <v>465</v>
      </c>
      <c r="P7" s="116">
        <v>468</v>
      </c>
      <c r="Q7" s="116">
        <v>502.4</v>
      </c>
      <c r="R7">
        <v>4878787</v>
      </c>
    </row>
    <row r="8" spans="1:18" x14ac:dyDescent="0.25">
      <c r="A8" s="170">
        <v>44890</v>
      </c>
      <c r="B8" s="116">
        <v>538.35</v>
      </c>
      <c r="C8" s="116">
        <v>532.75</v>
      </c>
      <c r="D8" s="116">
        <v>494</v>
      </c>
      <c r="E8" s="116">
        <v>498.3</v>
      </c>
      <c r="F8" s="116">
        <v>532.75</v>
      </c>
      <c r="G8">
        <v>287290</v>
      </c>
      <c r="H8" s="116"/>
      <c r="I8" s="116"/>
      <c r="L8" s="170">
        <v>44890</v>
      </c>
      <c r="M8" s="116">
        <v>534</v>
      </c>
      <c r="N8" s="116">
        <v>538.79999999999995</v>
      </c>
      <c r="O8" s="116">
        <v>493.2</v>
      </c>
      <c r="P8" s="116">
        <v>495.95</v>
      </c>
      <c r="Q8" s="116">
        <v>534</v>
      </c>
      <c r="R8">
        <v>3312638</v>
      </c>
    </row>
    <row r="9" spans="1:18" x14ac:dyDescent="0.25">
      <c r="A9" s="170">
        <v>44893</v>
      </c>
      <c r="B9" s="116">
        <v>546.5</v>
      </c>
      <c r="C9" s="116">
        <v>539.29999999999995</v>
      </c>
      <c r="D9" s="116">
        <v>514.65</v>
      </c>
      <c r="E9" s="116">
        <v>529</v>
      </c>
      <c r="F9" s="116">
        <v>539.29999999999995</v>
      </c>
      <c r="G9">
        <v>86813</v>
      </c>
      <c r="H9" s="116"/>
      <c r="I9" s="116"/>
      <c r="L9" s="170">
        <v>44893</v>
      </c>
      <c r="M9" s="116">
        <v>539.54999999999995</v>
      </c>
      <c r="N9" s="116">
        <v>547</v>
      </c>
      <c r="O9" s="116">
        <v>514.35</v>
      </c>
      <c r="P9" s="116">
        <v>527.95000000000005</v>
      </c>
      <c r="Q9" s="116">
        <v>539.54999999999995</v>
      </c>
      <c r="R9">
        <v>1577078</v>
      </c>
    </row>
    <row r="10" spans="1:18" x14ac:dyDescent="0.25">
      <c r="A10" s="170">
        <v>44894</v>
      </c>
      <c r="B10" s="116">
        <v>554.45000000000005</v>
      </c>
      <c r="C10" s="116">
        <v>538.29999999999995</v>
      </c>
      <c r="D10" s="116">
        <v>534</v>
      </c>
      <c r="E10" s="116">
        <v>544.65</v>
      </c>
      <c r="F10" s="116">
        <v>538.29999999999995</v>
      </c>
      <c r="G10">
        <v>51792</v>
      </c>
      <c r="H10" s="116"/>
      <c r="I10" s="116"/>
      <c r="L10" s="170">
        <v>44894</v>
      </c>
      <c r="M10" s="116">
        <v>539.15</v>
      </c>
      <c r="N10" s="116">
        <v>554.45000000000005</v>
      </c>
      <c r="O10" s="116">
        <v>534</v>
      </c>
      <c r="P10" s="116">
        <v>542.29999999999995</v>
      </c>
      <c r="Q10" s="116">
        <v>539.15</v>
      </c>
      <c r="R10">
        <v>885600</v>
      </c>
    </row>
    <row r="11" spans="1:18" x14ac:dyDescent="0.25">
      <c r="A11" s="170">
        <v>44895</v>
      </c>
      <c r="B11" s="116">
        <v>542.70000000000005</v>
      </c>
      <c r="C11" s="116">
        <v>515.20000000000005</v>
      </c>
      <c r="D11" s="116">
        <v>500.1</v>
      </c>
      <c r="E11" s="116">
        <v>539.65</v>
      </c>
      <c r="F11" s="116">
        <v>515.20000000000005</v>
      </c>
      <c r="G11">
        <v>26184</v>
      </c>
      <c r="H11" s="116"/>
      <c r="I11" s="116"/>
      <c r="L11" s="170">
        <v>44895</v>
      </c>
      <c r="M11" s="116">
        <v>516.4</v>
      </c>
      <c r="N11" s="116">
        <v>543.25</v>
      </c>
      <c r="O11" s="116">
        <v>502.6</v>
      </c>
      <c r="P11" s="116">
        <v>541</v>
      </c>
      <c r="Q11" s="116">
        <v>516.4</v>
      </c>
      <c r="R11">
        <v>469673</v>
      </c>
    </row>
    <row r="12" spans="1:18" x14ac:dyDescent="0.25">
      <c r="A12" s="170">
        <v>44896</v>
      </c>
      <c r="B12" s="116">
        <v>534.95000000000005</v>
      </c>
      <c r="C12" s="116">
        <v>530.85</v>
      </c>
      <c r="D12" s="116">
        <v>514.95000000000005</v>
      </c>
      <c r="E12" s="116">
        <v>521.85</v>
      </c>
      <c r="F12" s="116">
        <v>530.85</v>
      </c>
      <c r="G12">
        <v>33915</v>
      </c>
      <c r="H12" s="116"/>
      <c r="I12" s="116"/>
      <c r="L12" s="170">
        <v>44896</v>
      </c>
      <c r="M12" s="116">
        <v>530.85</v>
      </c>
      <c r="N12" s="116">
        <v>535</v>
      </c>
      <c r="O12" s="116">
        <v>514</v>
      </c>
      <c r="P12" s="116">
        <v>517.9</v>
      </c>
      <c r="Q12" s="116">
        <v>530.85</v>
      </c>
      <c r="R12">
        <v>547914</v>
      </c>
    </row>
    <row r="13" spans="1:18" x14ac:dyDescent="0.25">
      <c r="A13" s="170">
        <v>44897</v>
      </c>
      <c r="B13" s="116">
        <v>539</v>
      </c>
      <c r="C13" s="116">
        <v>522.65</v>
      </c>
      <c r="D13" s="116">
        <v>517.5</v>
      </c>
      <c r="E13" s="116">
        <v>530.85</v>
      </c>
      <c r="F13" s="116">
        <v>522.65</v>
      </c>
      <c r="G13">
        <v>19247</v>
      </c>
      <c r="H13" s="116"/>
      <c r="I13" s="116"/>
      <c r="L13" s="170">
        <v>44897</v>
      </c>
      <c r="M13" s="116">
        <v>521.95000000000005</v>
      </c>
      <c r="N13" s="116">
        <v>538.79999999999995</v>
      </c>
      <c r="O13" s="116">
        <v>515.35</v>
      </c>
      <c r="P13" s="116">
        <v>530.85</v>
      </c>
      <c r="Q13" s="116">
        <v>521.95000000000005</v>
      </c>
      <c r="R13">
        <v>270405</v>
      </c>
    </row>
    <row r="14" spans="1:18" x14ac:dyDescent="0.25">
      <c r="A14" s="170">
        <v>44900</v>
      </c>
      <c r="B14" s="116">
        <v>532.65</v>
      </c>
      <c r="C14" s="116">
        <v>519.29999999999995</v>
      </c>
      <c r="D14" s="116">
        <v>517.79999999999995</v>
      </c>
      <c r="E14" s="116">
        <v>521.04999999999995</v>
      </c>
      <c r="F14" s="116">
        <v>519.29999999999995</v>
      </c>
      <c r="G14">
        <v>36228</v>
      </c>
      <c r="H14" s="116"/>
      <c r="I14" s="116"/>
      <c r="L14" s="170">
        <v>44900</v>
      </c>
      <c r="M14" s="116">
        <v>519.45000000000005</v>
      </c>
      <c r="N14" s="116">
        <v>533</v>
      </c>
      <c r="O14" s="116">
        <v>518</v>
      </c>
      <c r="P14" s="116">
        <v>524.6</v>
      </c>
      <c r="Q14" s="116">
        <v>519.45000000000005</v>
      </c>
      <c r="R14">
        <v>410127</v>
      </c>
    </row>
    <row r="15" spans="1:18" x14ac:dyDescent="0.25">
      <c r="A15" s="170">
        <v>44901</v>
      </c>
      <c r="B15" s="116">
        <v>522.45000000000005</v>
      </c>
      <c r="C15" s="116">
        <v>505.25</v>
      </c>
      <c r="D15" s="116">
        <v>502</v>
      </c>
      <c r="E15" s="116">
        <v>519.35</v>
      </c>
      <c r="F15" s="116">
        <v>505.25</v>
      </c>
      <c r="G15">
        <v>15425</v>
      </c>
      <c r="H15" s="116"/>
      <c r="I15" s="116"/>
      <c r="L15" s="170">
        <v>44901</v>
      </c>
      <c r="M15" s="116">
        <v>504.9</v>
      </c>
      <c r="N15" s="116">
        <v>523.4</v>
      </c>
      <c r="O15" s="116">
        <v>502</v>
      </c>
      <c r="P15" s="116">
        <v>522.04999999999995</v>
      </c>
      <c r="Q15" s="116">
        <v>504.9</v>
      </c>
      <c r="R15">
        <v>235149</v>
      </c>
    </row>
    <row r="16" spans="1:18" x14ac:dyDescent="0.25">
      <c r="A16" s="170">
        <v>44902</v>
      </c>
      <c r="B16" s="116">
        <v>525</v>
      </c>
      <c r="C16" s="116">
        <v>514.1</v>
      </c>
      <c r="D16" s="116">
        <v>502.15</v>
      </c>
      <c r="E16" s="116">
        <v>502.15</v>
      </c>
      <c r="F16" s="116">
        <v>514.1</v>
      </c>
      <c r="G16">
        <v>38942</v>
      </c>
      <c r="H16" s="116"/>
      <c r="I16" s="116"/>
      <c r="L16" s="170">
        <v>44902</v>
      </c>
      <c r="M16" s="116">
        <v>514.75</v>
      </c>
      <c r="N16" s="116">
        <v>525</v>
      </c>
      <c r="O16" s="116">
        <v>505.65</v>
      </c>
      <c r="P16" s="116">
        <v>505.65</v>
      </c>
      <c r="Q16" s="116">
        <v>514.75</v>
      </c>
      <c r="R16">
        <v>490412</v>
      </c>
    </row>
    <row r="17" spans="1:18" x14ac:dyDescent="0.25">
      <c r="A17" s="170">
        <v>44903</v>
      </c>
      <c r="B17" s="116">
        <v>534</v>
      </c>
      <c r="C17" s="116">
        <v>529.1</v>
      </c>
      <c r="D17" s="116">
        <v>504</v>
      </c>
      <c r="E17" s="116">
        <v>514.1</v>
      </c>
      <c r="F17" s="116">
        <v>529.1</v>
      </c>
      <c r="G17">
        <v>29646</v>
      </c>
      <c r="H17" s="116"/>
      <c r="I17" s="116"/>
      <c r="L17" s="170">
        <v>44903</v>
      </c>
      <c r="M17" s="116">
        <v>527.9</v>
      </c>
      <c r="N17" s="116">
        <v>534.45000000000005</v>
      </c>
      <c r="O17" s="116">
        <v>504.2</v>
      </c>
      <c r="P17" s="116">
        <v>517.35</v>
      </c>
      <c r="Q17" s="116">
        <v>527.9</v>
      </c>
      <c r="R17">
        <v>422580</v>
      </c>
    </row>
    <row r="18" spans="1:18" x14ac:dyDescent="0.25">
      <c r="A18" s="170">
        <v>44904</v>
      </c>
      <c r="B18" s="116">
        <v>534.25</v>
      </c>
      <c r="C18" s="116">
        <v>522</v>
      </c>
      <c r="D18" s="116">
        <v>516.4</v>
      </c>
      <c r="E18" s="116">
        <v>530</v>
      </c>
      <c r="F18" s="116">
        <v>522</v>
      </c>
      <c r="G18">
        <v>29167</v>
      </c>
      <c r="H18" s="116"/>
      <c r="I18" s="116"/>
      <c r="L18" s="170">
        <v>44904</v>
      </c>
      <c r="M18" s="116">
        <v>521.20000000000005</v>
      </c>
      <c r="N18" s="116">
        <v>534.45000000000005</v>
      </c>
      <c r="O18" s="116">
        <v>516.4</v>
      </c>
      <c r="P18" s="116">
        <v>530.54999999999995</v>
      </c>
      <c r="Q18" s="116">
        <v>521.20000000000005</v>
      </c>
      <c r="R18">
        <v>235446</v>
      </c>
    </row>
    <row r="19" spans="1:18" x14ac:dyDescent="0.25">
      <c r="A19" s="170">
        <v>44907</v>
      </c>
      <c r="B19" s="116">
        <v>535</v>
      </c>
      <c r="C19" s="116">
        <v>533.54999999999995</v>
      </c>
      <c r="D19" s="116">
        <v>513</v>
      </c>
      <c r="E19" s="116">
        <v>521</v>
      </c>
      <c r="F19" s="116">
        <v>533.54999999999995</v>
      </c>
      <c r="G19">
        <v>33890</v>
      </c>
      <c r="H19" s="116"/>
      <c r="I19" s="116"/>
      <c r="L19" s="170">
        <v>44907</v>
      </c>
      <c r="M19" s="116">
        <v>533.95000000000005</v>
      </c>
      <c r="N19" s="116">
        <v>535</v>
      </c>
      <c r="O19" s="116">
        <v>512.79999999999995</v>
      </c>
      <c r="P19" s="116">
        <v>520</v>
      </c>
      <c r="Q19" s="116">
        <v>533.95000000000005</v>
      </c>
      <c r="R19">
        <v>351782</v>
      </c>
    </row>
    <row r="20" spans="1:18" x14ac:dyDescent="0.25">
      <c r="A20" s="170">
        <v>44908</v>
      </c>
      <c r="B20" s="116">
        <v>554.4</v>
      </c>
      <c r="C20" s="116">
        <v>529.45000000000005</v>
      </c>
      <c r="D20" s="116">
        <v>525</v>
      </c>
      <c r="E20" s="116">
        <v>533.6</v>
      </c>
      <c r="F20" s="116">
        <v>529.45000000000005</v>
      </c>
      <c r="G20">
        <v>45413</v>
      </c>
      <c r="H20" s="116"/>
      <c r="I20" s="116"/>
      <c r="L20" s="170">
        <v>44908</v>
      </c>
      <c r="M20" s="116">
        <v>530.45000000000005</v>
      </c>
      <c r="N20" s="116">
        <v>554.5</v>
      </c>
      <c r="O20" s="116">
        <v>525</v>
      </c>
      <c r="P20" s="116">
        <v>535</v>
      </c>
      <c r="Q20" s="116">
        <v>530.45000000000005</v>
      </c>
      <c r="R20">
        <v>741309</v>
      </c>
    </row>
    <row r="21" spans="1:18" x14ac:dyDescent="0.25">
      <c r="A21" s="170">
        <v>44909</v>
      </c>
      <c r="B21" s="116">
        <v>540.29999999999995</v>
      </c>
      <c r="C21" s="116">
        <v>517.35</v>
      </c>
      <c r="D21" s="116">
        <v>515.70000000000005</v>
      </c>
      <c r="E21" s="116">
        <v>530.29999999999995</v>
      </c>
      <c r="F21" s="116">
        <v>517.35</v>
      </c>
      <c r="G21">
        <v>13638</v>
      </c>
      <c r="H21" s="116"/>
      <c r="I21" s="116"/>
      <c r="L21" s="170">
        <v>44909</v>
      </c>
      <c r="M21" s="116">
        <v>517.29999999999995</v>
      </c>
      <c r="N21" s="116">
        <v>541.20000000000005</v>
      </c>
      <c r="O21" s="116">
        <v>515.1</v>
      </c>
      <c r="P21" s="116">
        <v>533.15</v>
      </c>
      <c r="Q21" s="116">
        <v>517.29999999999995</v>
      </c>
      <c r="R21">
        <v>316805</v>
      </c>
    </row>
    <row r="22" spans="1:18" x14ac:dyDescent="0.25">
      <c r="A22" s="170">
        <v>44910</v>
      </c>
      <c r="B22" s="116">
        <v>523.70000000000005</v>
      </c>
      <c r="C22" s="116">
        <v>513.70000000000005</v>
      </c>
      <c r="D22" s="116">
        <v>508.4</v>
      </c>
      <c r="E22" s="116">
        <v>512</v>
      </c>
      <c r="F22" s="116">
        <v>513.70000000000005</v>
      </c>
      <c r="G22">
        <v>27304</v>
      </c>
      <c r="H22" s="116"/>
      <c r="I22" s="116"/>
      <c r="L22" s="170">
        <v>44910</v>
      </c>
      <c r="M22" s="116">
        <v>513.15</v>
      </c>
      <c r="N22" s="116">
        <v>523.65</v>
      </c>
      <c r="O22" s="116">
        <v>508.1</v>
      </c>
      <c r="P22" s="116">
        <v>519.9</v>
      </c>
      <c r="Q22" s="116">
        <v>513.15</v>
      </c>
      <c r="R22">
        <v>367466</v>
      </c>
    </row>
    <row r="23" spans="1:18" x14ac:dyDescent="0.25">
      <c r="A23" s="170">
        <v>44911</v>
      </c>
      <c r="B23" s="116">
        <v>514.6</v>
      </c>
      <c r="C23" s="116">
        <v>509.3</v>
      </c>
      <c r="D23" s="116">
        <v>500.45</v>
      </c>
      <c r="E23" s="116">
        <v>509.7</v>
      </c>
      <c r="F23" s="116">
        <v>509.3</v>
      </c>
      <c r="G23">
        <v>31794</v>
      </c>
      <c r="H23" s="116"/>
      <c r="I23" s="116"/>
      <c r="L23" s="170">
        <v>44911</v>
      </c>
      <c r="M23" s="116">
        <v>508.6</v>
      </c>
      <c r="N23" s="116">
        <v>514.70000000000005</v>
      </c>
      <c r="O23" s="116">
        <v>501</v>
      </c>
      <c r="P23" s="116">
        <v>509.4</v>
      </c>
      <c r="Q23" s="116">
        <v>508.6</v>
      </c>
      <c r="R23">
        <v>509306</v>
      </c>
    </row>
    <row r="24" spans="1:18" x14ac:dyDescent="0.25">
      <c r="A24" s="170">
        <v>44914</v>
      </c>
      <c r="B24" s="116">
        <v>517.1</v>
      </c>
      <c r="C24" s="116">
        <v>509.75</v>
      </c>
      <c r="D24" s="116">
        <v>501.15</v>
      </c>
      <c r="E24" s="116">
        <v>501.15</v>
      </c>
      <c r="F24" s="116">
        <v>509.75</v>
      </c>
      <c r="G24">
        <v>14912</v>
      </c>
      <c r="H24" s="116"/>
      <c r="I24" s="116"/>
      <c r="L24" s="170">
        <v>44914</v>
      </c>
      <c r="M24" s="116">
        <v>510.3</v>
      </c>
      <c r="N24" s="116">
        <v>517.45000000000005</v>
      </c>
      <c r="O24" s="116">
        <v>507.9</v>
      </c>
      <c r="P24" s="116">
        <v>507.95</v>
      </c>
      <c r="Q24" s="116">
        <v>510.3</v>
      </c>
      <c r="R24">
        <v>140417</v>
      </c>
    </row>
    <row r="25" spans="1:18" x14ac:dyDescent="0.25">
      <c r="A25" s="170">
        <v>44915</v>
      </c>
      <c r="B25" s="116">
        <v>512.4</v>
      </c>
      <c r="C25" s="116">
        <v>510.25</v>
      </c>
      <c r="D25" s="116">
        <v>504.75</v>
      </c>
      <c r="E25" s="116">
        <v>510.05</v>
      </c>
      <c r="F25" s="116">
        <v>510.25</v>
      </c>
      <c r="G25">
        <v>5206</v>
      </c>
      <c r="H25" s="116"/>
      <c r="I25" s="116"/>
      <c r="L25" s="170">
        <v>44915</v>
      </c>
      <c r="M25" s="116">
        <v>510.45</v>
      </c>
      <c r="N25" s="116">
        <v>512.95000000000005</v>
      </c>
      <c r="O25" s="116">
        <v>505</v>
      </c>
      <c r="P25" s="116">
        <v>512.9</v>
      </c>
      <c r="Q25" s="116">
        <v>510.45</v>
      </c>
      <c r="R25">
        <v>109997</v>
      </c>
    </row>
    <row r="26" spans="1:18" x14ac:dyDescent="0.25">
      <c r="A26" s="170">
        <v>44916</v>
      </c>
      <c r="B26" s="116">
        <v>514.29999999999995</v>
      </c>
      <c r="C26" s="116">
        <v>496.15</v>
      </c>
      <c r="D26" s="116">
        <v>485.35</v>
      </c>
      <c r="E26" s="116">
        <v>501.15</v>
      </c>
      <c r="F26" s="116">
        <v>496.15</v>
      </c>
      <c r="G26">
        <v>14944</v>
      </c>
      <c r="H26" s="116"/>
      <c r="I26" s="116"/>
      <c r="L26" s="170">
        <v>44916</v>
      </c>
      <c r="M26" s="116">
        <v>499.1</v>
      </c>
      <c r="N26" s="116">
        <v>514.4</v>
      </c>
      <c r="O26" s="116">
        <v>485</v>
      </c>
      <c r="P26" s="116">
        <v>510.45</v>
      </c>
      <c r="Q26" s="116">
        <v>499.1</v>
      </c>
      <c r="R26">
        <v>326458</v>
      </c>
    </row>
    <row r="27" spans="1:18" x14ac:dyDescent="0.25">
      <c r="A27" s="170">
        <v>44917</v>
      </c>
      <c r="B27" s="116">
        <v>506.55</v>
      </c>
      <c r="C27" s="116">
        <v>495.7</v>
      </c>
      <c r="D27" s="116">
        <v>471.15</v>
      </c>
      <c r="E27" s="116">
        <v>503.35</v>
      </c>
      <c r="F27" s="116">
        <v>495.7</v>
      </c>
      <c r="G27">
        <v>28994</v>
      </c>
      <c r="H27" s="116"/>
      <c r="I27" s="116"/>
      <c r="L27" s="170">
        <v>44917</v>
      </c>
      <c r="M27" s="116">
        <v>495.4</v>
      </c>
      <c r="N27" s="116">
        <v>507.5</v>
      </c>
      <c r="O27" s="116">
        <v>471.65</v>
      </c>
      <c r="P27" s="116">
        <v>498.05</v>
      </c>
      <c r="Q27" s="116">
        <v>495.4</v>
      </c>
      <c r="R27">
        <v>533055</v>
      </c>
    </row>
    <row r="28" spans="1:18" x14ac:dyDescent="0.25">
      <c r="A28" s="170">
        <v>44918</v>
      </c>
      <c r="B28" s="116">
        <v>492</v>
      </c>
      <c r="C28" s="116">
        <v>485.55</v>
      </c>
      <c r="D28" s="116">
        <v>473.1</v>
      </c>
      <c r="E28" s="116">
        <v>473.1</v>
      </c>
      <c r="F28" s="116">
        <v>485.55</v>
      </c>
      <c r="G28">
        <v>36711</v>
      </c>
      <c r="H28" s="116"/>
      <c r="I28" s="116"/>
      <c r="L28" s="170">
        <v>44918</v>
      </c>
      <c r="M28" s="116">
        <v>486.5</v>
      </c>
      <c r="N28" s="116">
        <v>494</v>
      </c>
      <c r="O28" s="116">
        <v>477.8</v>
      </c>
      <c r="P28" s="116">
        <v>485</v>
      </c>
      <c r="Q28" s="116">
        <v>486.5</v>
      </c>
      <c r="R28">
        <v>295703</v>
      </c>
    </row>
    <row r="29" spans="1:18" x14ac:dyDescent="0.25">
      <c r="A29" s="170">
        <v>44921</v>
      </c>
      <c r="B29" s="116">
        <v>495.2</v>
      </c>
      <c r="C29" s="116">
        <v>492.9</v>
      </c>
      <c r="D29" s="116">
        <v>476.8</v>
      </c>
      <c r="E29" s="116">
        <v>476.8</v>
      </c>
      <c r="F29" s="116">
        <v>492.9</v>
      </c>
      <c r="G29">
        <v>11188</v>
      </c>
      <c r="H29" s="116"/>
      <c r="I29" s="116"/>
      <c r="L29" s="170">
        <v>44921</v>
      </c>
      <c r="M29" s="116">
        <v>492.5</v>
      </c>
      <c r="N29" s="116">
        <v>496</v>
      </c>
      <c r="O29" s="116">
        <v>477</v>
      </c>
      <c r="P29" s="116">
        <v>483.25</v>
      </c>
      <c r="Q29" s="116">
        <v>492.5</v>
      </c>
      <c r="R29">
        <v>195031</v>
      </c>
    </row>
    <row r="30" spans="1:18" x14ac:dyDescent="0.25">
      <c r="A30" s="170">
        <v>44922</v>
      </c>
      <c r="B30" s="116">
        <v>519.5</v>
      </c>
      <c r="C30" s="116">
        <v>517.15</v>
      </c>
      <c r="D30" s="116">
        <v>482.65</v>
      </c>
      <c r="E30" s="116">
        <v>482.65</v>
      </c>
      <c r="F30" s="116">
        <v>517.15</v>
      </c>
      <c r="G30">
        <v>27530</v>
      </c>
      <c r="H30" s="116"/>
      <c r="I30" s="116"/>
      <c r="L30" s="170">
        <v>44922</v>
      </c>
      <c r="M30" s="116">
        <v>516.75</v>
      </c>
      <c r="N30" s="116">
        <v>520</v>
      </c>
      <c r="O30" s="116">
        <v>490.05</v>
      </c>
      <c r="P30" s="116">
        <v>495</v>
      </c>
      <c r="Q30" s="116">
        <v>516.75</v>
      </c>
      <c r="R30">
        <v>309484</v>
      </c>
    </row>
    <row r="31" spans="1:18" x14ac:dyDescent="0.25">
      <c r="A31" s="170">
        <v>44923</v>
      </c>
      <c r="B31" s="116">
        <v>532.70000000000005</v>
      </c>
      <c r="C31" s="116">
        <v>525</v>
      </c>
      <c r="D31" s="116">
        <v>517.15</v>
      </c>
      <c r="E31" s="116">
        <v>518.95000000000005</v>
      </c>
      <c r="F31" s="116">
        <v>525</v>
      </c>
      <c r="G31">
        <v>33583</v>
      </c>
      <c r="H31" s="116"/>
      <c r="I31" s="116"/>
      <c r="L31" s="170">
        <v>44923</v>
      </c>
      <c r="M31" s="116">
        <v>524.15</v>
      </c>
      <c r="N31" s="116">
        <v>532.79999999999995</v>
      </c>
      <c r="O31" s="116">
        <v>517.4</v>
      </c>
      <c r="P31" s="116">
        <v>517.4</v>
      </c>
      <c r="Q31" s="116">
        <v>524.15</v>
      </c>
      <c r="R31">
        <v>201311</v>
      </c>
    </row>
    <row r="32" spans="1:18" x14ac:dyDescent="0.25">
      <c r="A32" s="170">
        <v>44924</v>
      </c>
      <c r="B32" s="116">
        <v>528.20000000000005</v>
      </c>
      <c r="C32" s="116">
        <v>525.85</v>
      </c>
      <c r="D32" s="116">
        <v>518</v>
      </c>
      <c r="E32" s="116">
        <v>518</v>
      </c>
      <c r="F32" s="116">
        <v>525.85</v>
      </c>
      <c r="G32">
        <v>16705</v>
      </c>
      <c r="H32" s="116"/>
      <c r="I32" s="116"/>
      <c r="L32" s="170">
        <v>44924</v>
      </c>
      <c r="M32" s="116">
        <v>526.54999999999995</v>
      </c>
      <c r="N32" s="116">
        <v>528.35</v>
      </c>
      <c r="O32" s="116">
        <v>521.25</v>
      </c>
      <c r="P32" s="116">
        <v>525</v>
      </c>
      <c r="Q32" s="116">
        <v>526.54999999999995</v>
      </c>
      <c r="R32">
        <v>293939</v>
      </c>
    </row>
    <row r="33" spans="1:18" x14ac:dyDescent="0.25">
      <c r="A33" s="170">
        <v>44925</v>
      </c>
      <c r="B33" s="116">
        <v>531.95000000000005</v>
      </c>
      <c r="C33" s="116">
        <v>525.54999999999995</v>
      </c>
      <c r="D33" s="116">
        <v>523</v>
      </c>
      <c r="E33" s="116">
        <v>528.20000000000005</v>
      </c>
      <c r="F33" s="116">
        <v>525.54999999999995</v>
      </c>
      <c r="G33">
        <v>9382</v>
      </c>
      <c r="H33" s="116"/>
      <c r="I33" s="116"/>
      <c r="L33" s="170">
        <v>44925</v>
      </c>
      <c r="M33" s="116">
        <v>526.25</v>
      </c>
      <c r="N33" s="116">
        <v>532</v>
      </c>
      <c r="O33" s="116">
        <v>522.1</v>
      </c>
      <c r="P33" s="116">
        <v>529.20000000000005</v>
      </c>
      <c r="Q33" s="116">
        <v>526.25</v>
      </c>
      <c r="R33">
        <v>151449</v>
      </c>
    </row>
    <row r="34" spans="1:18" x14ac:dyDescent="0.25">
      <c r="A34" s="170">
        <v>44928</v>
      </c>
      <c r="B34" s="116">
        <v>532.79999999999995</v>
      </c>
      <c r="C34" s="116">
        <v>525.5</v>
      </c>
      <c r="D34" s="116">
        <v>522</v>
      </c>
      <c r="E34" s="116">
        <v>522</v>
      </c>
      <c r="F34" s="116">
        <v>525.5</v>
      </c>
      <c r="G34">
        <v>10165</v>
      </c>
      <c r="H34" s="116"/>
      <c r="I34" s="116"/>
      <c r="L34" s="170">
        <v>44928</v>
      </c>
      <c r="M34" s="116">
        <v>525.25</v>
      </c>
      <c r="N34" s="116">
        <v>533.95000000000005</v>
      </c>
      <c r="O34" s="116">
        <v>523</v>
      </c>
      <c r="P34" s="116">
        <v>528.9</v>
      </c>
      <c r="Q34" s="116">
        <v>525.25</v>
      </c>
      <c r="R34">
        <v>188657</v>
      </c>
    </row>
    <row r="35" spans="1:18" x14ac:dyDescent="0.25">
      <c r="A35" s="170">
        <v>44929</v>
      </c>
      <c r="B35" s="116">
        <v>530.04999999999995</v>
      </c>
      <c r="C35" s="116">
        <v>525.45000000000005</v>
      </c>
      <c r="D35" s="116">
        <v>521</v>
      </c>
      <c r="E35" s="116">
        <v>521</v>
      </c>
      <c r="F35" s="116">
        <v>525.45000000000005</v>
      </c>
      <c r="G35">
        <v>8883</v>
      </c>
      <c r="H35" s="116"/>
      <c r="I35" s="116"/>
      <c r="L35" s="170">
        <v>44929</v>
      </c>
      <c r="M35" s="116">
        <v>525.45000000000005</v>
      </c>
      <c r="N35" s="116">
        <v>530.29999999999995</v>
      </c>
      <c r="O35" s="116">
        <v>524</v>
      </c>
      <c r="P35" s="116">
        <v>527.9</v>
      </c>
      <c r="Q35" s="116">
        <v>525.45000000000005</v>
      </c>
      <c r="R35">
        <v>85226</v>
      </c>
    </row>
    <row r="36" spans="1:18" x14ac:dyDescent="0.25">
      <c r="A36" s="170">
        <v>44930</v>
      </c>
      <c r="B36" s="116">
        <v>539.9</v>
      </c>
      <c r="C36" s="116">
        <v>531.54999999999995</v>
      </c>
      <c r="D36" s="116">
        <v>516.54999999999995</v>
      </c>
      <c r="E36" s="116">
        <v>516.54999999999995</v>
      </c>
      <c r="F36" s="116">
        <v>531.54999999999995</v>
      </c>
      <c r="G36">
        <v>40969</v>
      </c>
      <c r="H36" s="116"/>
      <c r="I36" s="116"/>
      <c r="L36" s="170">
        <v>44930</v>
      </c>
      <c r="M36" s="116">
        <v>532.95000000000005</v>
      </c>
      <c r="N36" s="116">
        <v>539.9</v>
      </c>
      <c r="O36" s="116">
        <v>523.35</v>
      </c>
      <c r="P36" s="116">
        <v>526.5</v>
      </c>
      <c r="Q36" s="116">
        <v>532.95000000000005</v>
      </c>
      <c r="R36">
        <v>258179</v>
      </c>
    </row>
    <row r="37" spans="1:18" x14ac:dyDescent="0.25">
      <c r="A37" s="170">
        <v>44931</v>
      </c>
      <c r="B37" s="116">
        <v>570.20000000000005</v>
      </c>
      <c r="C37" s="116">
        <v>560.79999999999995</v>
      </c>
      <c r="D37" s="116">
        <v>523.04999999999995</v>
      </c>
      <c r="E37" s="116">
        <v>523.04999999999995</v>
      </c>
      <c r="F37" s="116">
        <v>560.79999999999995</v>
      </c>
      <c r="G37">
        <v>64933</v>
      </c>
      <c r="H37" s="116"/>
      <c r="I37" s="116"/>
      <c r="L37" s="170">
        <v>44931</v>
      </c>
      <c r="M37" s="116">
        <v>558.75</v>
      </c>
      <c r="N37" s="116">
        <v>570.79999999999995</v>
      </c>
      <c r="O37" s="116">
        <v>528.65</v>
      </c>
      <c r="P37" s="116">
        <v>534.9</v>
      </c>
      <c r="Q37" s="116">
        <v>558.75</v>
      </c>
      <c r="R37">
        <v>797190</v>
      </c>
    </row>
    <row r="38" spans="1:18" x14ac:dyDescent="0.25">
      <c r="A38" s="170">
        <v>44932</v>
      </c>
      <c r="B38" s="116">
        <v>579.25</v>
      </c>
      <c r="C38" s="116">
        <v>561.85</v>
      </c>
      <c r="D38" s="116">
        <v>542</v>
      </c>
      <c r="E38" s="116">
        <v>555.85</v>
      </c>
      <c r="F38" s="116">
        <v>561.85</v>
      </c>
      <c r="G38">
        <v>56423</v>
      </c>
      <c r="H38" s="116"/>
      <c r="I38" s="116"/>
      <c r="L38" s="170">
        <v>44932</v>
      </c>
      <c r="M38" s="116">
        <v>562.29999999999995</v>
      </c>
      <c r="N38" s="116">
        <v>578.70000000000005</v>
      </c>
      <c r="O38" s="116">
        <v>538.65</v>
      </c>
      <c r="P38" s="116">
        <v>561.54999999999995</v>
      </c>
      <c r="Q38" s="116">
        <v>562.29999999999995</v>
      </c>
      <c r="R38">
        <v>524972</v>
      </c>
    </row>
    <row r="39" spans="1:18" x14ac:dyDescent="0.25">
      <c r="A39" s="170">
        <v>44935</v>
      </c>
      <c r="B39" s="116">
        <v>577.1</v>
      </c>
      <c r="C39" s="116">
        <v>562.29999999999995</v>
      </c>
      <c r="D39" s="116">
        <v>556.25</v>
      </c>
      <c r="E39" s="116">
        <v>556.25</v>
      </c>
      <c r="F39" s="116">
        <v>562.29999999999995</v>
      </c>
      <c r="G39">
        <v>12128</v>
      </c>
      <c r="H39" s="116"/>
      <c r="I39" s="116"/>
      <c r="L39" s="170">
        <v>44935</v>
      </c>
      <c r="M39" s="116">
        <v>562.5</v>
      </c>
      <c r="N39" s="116">
        <v>577.79999999999995</v>
      </c>
      <c r="O39" s="116">
        <v>558.29999999999995</v>
      </c>
      <c r="P39" s="116">
        <v>565.15</v>
      </c>
      <c r="Q39" s="116">
        <v>562.5</v>
      </c>
      <c r="R39">
        <v>166981</v>
      </c>
    </row>
    <row r="40" spans="1:18" x14ac:dyDescent="0.25">
      <c r="A40" s="170">
        <v>44936</v>
      </c>
      <c r="B40" s="116">
        <v>569</v>
      </c>
      <c r="C40" s="116">
        <v>560.75</v>
      </c>
      <c r="D40" s="116">
        <v>548.1</v>
      </c>
      <c r="E40" s="116">
        <v>565.04999999999995</v>
      </c>
      <c r="F40" s="116">
        <v>560.75</v>
      </c>
      <c r="G40">
        <v>10028</v>
      </c>
      <c r="H40" s="116"/>
      <c r="I40" s="116"/>
      <c r="L40" s="170">
        <v>44936</v>
      </c>
      <c r="M40" s="116">
        <v>559.15</v>
      </c>
      <c r="N40" s="116">
        <v>570</v>
      </c>
      <c r="O40" s="116">
        <v>547.04999999999995</v>
      </c>
      <c r="P40" s="116">
        <v>565.35</v>
      </c>
      <c r="Q40" s="116">
        <v>559.15</v>
      </c>
      <c r="R40">
        <v>145658</v>
      </c>
    </row>
    <row r="41" spans="1:18" x14ac:dyDescent="0.25">
      <c r="A41" s="170">
        <v>44937</v>
      </c>
      <c r="B41" s="116">
        <v>573.9</v>
      </c>
      <c r="C41" s="116">
        <v>570.15</v>
      </c>
      <c r="D41" s="116">
        <v>554.45000000000005</v>
      </c>
      <c r="E41" s="116">
        <v>564.85</v>
      </c>
      <c r="F41" s="116">
        <v>570.15</v>
      </c>
      <c r="G41">
        <v>20719</v>
      </c>
      <c r="H41" s="116"/>
      <c r="I41" s="116"/>
      <c r="L41" s="170">
        <v>44937</v>
      </c>
      <c r="M41" s="116">
        <v>570.1</v>
      </c>
      <c r="N41" s="116">
        <v>573.35</v>
      </c>
      <c r="O41" s="116">
        <v>555.15</v>
      </c>
      <c r="P41" s="116">
        <v>559.35</v>
      </c>
      <c r="Q41" s="116">
        <v>570.1</v>
      </c>
      <c r="R41">
        <v>165310</v>
      </c>
    </row>
    <row r="42" spans="1:18" x14ac:dyDescent="0.25">
      <c r="A42" s="170">
        <v>44938</v>
      </c>
      <c r="B42" s="116">
        <v>583.6</v>
      </c>
      <c r="C42" s="116">
        <v>571.65</v>
      </c>
      <c r="D42" s="116">
        <v>565</v>
      </c>
      <c r="E42" s="116">
        <v>566.54999999999995</v>
      </c>
      <c r="F42" s="116">
        <v>571.65</v>
      </c>
      <c r="G42">
        <v>25638</v>
      </c>
      <c r="H42" s="116"/>
      <c r="I42" s="116"/>
      <c r="L42" s="170">
        <v>44938</v>
      </c>
      <c r="M42" s="116">
        <v>572.4</v>
      </c>
      <c r="N42" s="116">
        <v>584.5</v>
      </c>
      <c r="O42" s="116">
        <v>565.6</v>
      </c>
      <c r="P42" s="116">
        <v>572.65</v>
      </c>
      <c r="Q42" s="116">
        <v>572.4</v>
      </c>
      <c r="R42">
        <v>144471</v>
      </c>
    </row>
    <row r="43" spans="1:18" x14ac:dyDescent="0.25">
      <c r="A43" s="170">
        <v>44939</v>
      </c>
      <c r="B43" s="116">
        <v>629.25</v>
      </c>
      <c r="C43" s="116">
        <v>614.79999999999995</v>
      </c>
      <c r="D43" s="116">
        <v>573.04999999999995</v>
      </c>
      <c r="E43" s="116">
        <v>573.04999999999995</v>
      </c>
      <c r="F43" s="116">
        <v>614.79999999999995</v>
      </c>
      <c r="G43">
        <v>92735</v>
      </c>
      <c r="H43" s="116"/>
      <c r="I43" s="116"/>
      <c r="L43" s="170">
        <v>44939</v>
      </c>
      <c r="M43" s="116">
        <v>615.6</v>
      </c>
      <c r="N43" s="116">
        <v>629</v>
      </c>
      <c r="O43" s="116">
        <v>574.04999999999995</v>
      </c>
      <c r="P43" s="116">
        <v>575.29999999999995</v>
      </c>
      <c r="Q43" s="116">
        <v>615.6</v>
      </c>
      <c r="R43">
        <v>1417432</v>
      </c>
    </row>
    <row r="44" spans="1:18" x14ac:dyDescent="0.25">
      <c r="A44" s="170">
        <v>44942</v>
      </c>
      <c r="B44" s="116">
        <v>653</v>
      </c>
      <c r="C44" s="116">
        <v>628.70000000000005</v>
      </c>
      <c r="D44" s="116">
        <v>618</v>
      </c>
      <c r="E44" s="116">
        <v>618</v>
      </c>
      <c r="F44" s="116">
        <v>628.70000000000005</v>
      </c>
      <c r="G44">
        <v>43177</v>
      </c>
      <c r="H44" s="116"/>
      <c r="I44" s="116"/>
      <c r="L44" s="170">
        <v>44942</v>
      </c>
      <c r="M44" s="116">
        <v>628.75</v>
      </c>
      <c r="N44" s="116">
        <v>653.6</v>
      </c>
      <c r="O44" s="116">
        <v>617.04999999999995</v>
      </c>
      <c r="P44" s="116">
        <v>619</v>
      </c>
      <c r="Q44" s="116">
        <v>628.75</v>
      </c>
      <c r="R44">
        <v>709501</v>
      </c>
    </row>
    <row r="45" spans="1:18" x14ac:dyDescent="0.25">
      <c r="A45" s="170">
        <v>44943</v>
      </c>
      <c r="B45" s="116">
        <v>639.04999999999995</v>
      </c>
      <c r="C45" s="116">
        <v>610.5</v>
      </c>
      <c r="D45" s="116">
        <v>605</v>
      </c>
      <c r="E45" s="116">
        <v>633</v>
      </c>
      <c r="F45" s="116">
        <v>610.5</v>
      </c>
      <c r="G45">
        <v>17335</v>
      </c>
      <c r="H45" s="116"/>
      <c r="I45" s="116"/>
      <c r="L45" s="170">
        <v>44943</v>
      </c>
      <c r="M45" s="116">
        <v>609.79999999999995</v>
      </c>
      <c r="N45" s="116">
        <v>639</v>
      </c>
      <c r="O45" s="116">
        <v>605</v>
      </c>
      <c r="P45" s="116">
        <v>631.9</v>
      </c>
      <c r="Q45" s="116">
        <v>609.79999999999995</v>
      </c>
      <c r="R45">
        <v>219546</v>
      </c>
    </row>
    <row r="46" spans="1:18" x14ac:dyDescent="0.25">
      <c r="A46" s="170">
        <v>44944</v>
      </c>
      <c r="B46" s="116">
        <v>633</v>
      </c>
      <c r="C46" s="116">
        <v>617.15</v>
      </c>
      <c r="D46" s="116">
        <v>605.15</v>
      </c>
      <c r="E46" s="116">
        <v>605.15</v>
      </c>
      <c r="F46" s="116">
        <v>617.15</v>
      </c>
      <c r="G46">
        <v>24478</v>
      </c>
      <c r="H46" s="116"/>
      <c r="I46" s="116"/>
      <c r="L46" s="170">
        <v>44944</v>
      </c>
      <c r="M46" s="116">
        <v>617.4</v>
      </c>
      <c r="N46" s="116">
        <v>633.5</v>
      </c>
      <c r="O46" s="116">
        <v>610.95000000000005</v>
      </c>
      <c r="P46" s="116">
        <v>610.95000000000005</v>
      </c>
      <c r="Q46" s="116">
        <v>617.4</v>
      </c>
      <c r="R46">
        <v>391405</v>
      </c>
    </row>
    <row r="47" spans="1:18" x14ac:dyDescent="0.25">
      <c r="A47" s="170">
        <v>44945</v>
      </c>
      <c r="B47" s="116">
        <v>619.9</v>
      </c>
      <c r="C47" s="116">
        <v>603.1</v>
      </c>
      <c r="D47" s="116">
        <v>601</v>
      </c>
      <c r="E47" s="116">
        <v>619.9</v>
      </c>
      <c r="F47" s="116">
        <v>603.1</v>
      </c>
      <c r="G47">
        <v>6770</v>
      </c>
      <c r="H47" s="116"/>
      <c r="I47" s="116"/>
      <c r="L47" s="170">
        <v>44945</v>
      </c>
      <c r="M47" s="116">
        <v>602.4</v>
      </c>
      <c r="N47" s="116">
        <v>617</v>
      </c>
      <c r="O47" s="116">
        <v>601.15</v>
      </c>
      <c r="P47" s="116">
        <v>617</v>
      </c>
      <c r="Q47" s="116">
        <v>602.4</v>
      </c>
      <c r="R47">
        <v>174650</v>
      </c>
    </row>
    <row r="48" spans="1:18" x14ac:dyDescent="0.25">
      <c r="A48" s="170">
        <v>44946</v>
      </c>
      <c r="B48" s="116">
        <v>615.9</v>
      </c>
      <c r="C48" s="116">
        <v>604.65</v>
      </c>
      <c r="D48" s="116">
        <v>600.45000000000005</v>
      </c>
      <c r="E48" s="116">
        <v>603.20000000000005</v>
      </c>
      <c r="F48" s="116">
        <v>604.65</v>
      </c>
      <c r="G48">
        <v>16739</v>
      </c>
      <c r="H48" s="116"/>
      <c r="I48" s="116"/>
      <c r="L48" s="170">
        <v>44946</v>
      </c>
      <c r="M48" s="116">
        <v>605.29999999999995</v>
      </c>
      <c r="N48" s="116">
        <v>616.1</v>
      </c>
      <c r="O48" s="116">
        <v>600.25</v>
      </c>
      <c r="P48" s="116">
        <v>605</v>
      </c>
      <c r="Q48" s="116">
        <v>605.29999999999995</v>
      </c>
      <c r="R48">
        <v>224041</v>
      </c>
    </row>
    <row r="49" spans="1:18" x14ac:dyDescent="0.25">
      <c r="A49" s="170">
        <v>44949</v>
      </c>
      <c r="B49" s="116">
        <v>622.29999999999995</v>
      </c>
      <c r="C49" s="116">
        <v>618.29999999999995</v>
      </c>
      <c r="D49" s="116">
        <v>604.54999999999995</v>
      </c>
      <c r="E49" s="116">
        <v>612.95000000000005</v>
      </c>
      <c r="F49" s="116">
        <v>618.29999999999995</v>
      </c>
      <c r="G49">
        <v>11345</v>
      </c>
      <c r="H49" s="116"/>
      <c r="I49" s="116"/>
      <c r="L49" s="170">
        <v>44949</v>
      </c>
      <c r="M49" s="116">
        <v>617.79999999999995</v>
      </c>
      <c r="N49" s="116">
        <v>622.45000000000005</v>
      </c>
      <c r="O49" s="116">
        <v>604.85</v>
      </c>
      <c r="P49" s="116">
        <v>608.35</v>
      </c>
      <c r="Q49" s="116">
        <v>617.79999999999995</v>
      </c>
      <c r="R49">
        <v>248054</v>
      </c>
    </row>
    <row r="50" spans="1:18" x14ac:dyDescent="0.25">
      <c r="A50" s="170">
        <v>44950</v>
      </c>
      <c r="B50" s="116">
        <v>637.95000000000005</v>
      </c>
      <c r="C50" s="116">
        <v>623.1</v>
      </c>
      <c r="D50" s="116">
        <v>608.5</v>
      </c>
      <c r="E50" s="116">
        <v>617.75</v>
      </c>
      <c r="F50" s="116">
        <v>623.1</v>
      </c>
      <c r="G50">
        <v>640436</v>
      </c>
      <c r="H50" s="116"/>
      <c r="I50" s="116"/>
      <c r="L50" s="170">
        <v>44950</v>
      </c>
      <c r="M50" s="116">
        <v>622.79999999999995</v>
      </c>
      <c r="N50" s="116">
        <v>638</v>
      </c>
      <c r="O50" s="116">
        <v>607.9</v>
      </c>
      <c r="P50" s="116">
        <v>615</v>
      </c>
      <c r="Q50" s="116">
        <v>622.79999999999995</v>
      </c>
      <c r="R50">
        <v>1333094</v>
      </c>
    </row>
    <row r="51" spans="1:18" x14ac:dyDescent="0.25">
      <c r="A51" s="170">
        <v>44951</v>
      </c>
      <c r="B51" s="116">
        <v>653.4</v>
      </c>
      <c r="C51" s="116">
        <v>641.45000000000005</v>
      </c>
      <c r="D51" s="116">
        <v>616.20000000000005</v>
      </c>
      <c r="E51" s="116">
        <v>616.20000000000005</v>
      </c>
      <c r="F51" s="116">
        <v>641.45000000000005</v>
      </c>
      <c r="G51">
        <v>31912</v>
      </c>
      <c r="H51" s="116"/>
      <c r="I51" s="116"/>
      <c r="L51" s="170">
        <v>44951</v>
      </c>
      <c r="M51" s="116">
        <v>639.04999999999995</v>
      </c>
      <c r="N51" s="116">
        <v>653.4</v>
      </c>
      <c r="O51" s="116">
        <v>616.25</v>
      </c>
      <c r="P51" s="116">
        <v>622.79999999999995</v>
      </c>
      <c r="Q51" s="116">
        <v>639.04999999999995</v>
      </c>
      <c r="R51">
        <v>473741</v>
      </c>
    </row>
    <row r="52" spans="1:18" x14ac:dyDescent="0.25">
      <c r="A52" s="170">
        <v>44953</v>
      </c>
      <c r="B52" s="116">
        <v>658</v>
      </c>
      <c r="C52" s="116">
        <v>621.29999999999995</v>
      </c>
      <c r="D52" s="116">
        <v>606.45000000000005</v>
      </c>
      <c r="E52" s="116">
        <v>640.9</v>
      </c>
      <c r="F52" s="116">
        <v>621.29999999999995</v>
      </c>
      <c r="G52">
        <v>57162</v>
      </c>
      <c r="H52" s="116"/>
      <c r="I52" s="116"/>
      <c r="L52" s="170">
        <v>44953</v>
      </c>
      <c r="M52" s="116">
        <v>621.29999999999995</v>
      </c>
      <c r="N52" s="116">
        <v>658.6</v>
      </c>
      <c r="O52" s="116">
        <v>606.95000000000005</v>
      </c>
      <c r="P52" s="116">
        <v>640</v>
      </c>
      <c r="Q52" s="116">
        <v>621.29999999999995</v>
      </c>
      <c r="R52">
        <v>317561</v>
      </c>
    </row>
    <row r="53" spans="1:18" x14ac:dyDescent="0.25">
      <c r="A53" s="170">
        <v>44956</v>
      </c>
      <c r="B53" s="116">
        <v>637.04999999999995</v>
      </c>
      <c r="C53" s="116">
        <v>627.65</v>
      </c>
      <c r="D53" s="116">
        <v>600.25</v>
      </c>
      <c r="E53" s="116">
        <v>600.25</v>
      </c>
      <c r="F53" s="116">
        <v>627.65</v>
      </c>
      <c r="G53">
        <v>28681</v>
      </c>
      <c r="H53" s="116"/>
      <c r="I53" s="116"/>
      <c r="L53" s="170">
        <v>44956</v>
      </c>
      <c r="M53" s="116">
        <v>626.9</v>
      </c>
      <c r="N53" s="116">
        <v>637.25</v>
      </c>
      <c r="O53" s="116">
        <v>618.29999999999995</v>
      </c>
      <c r="P53" s="116">
        <v>621.9</v>
      </c>
      <c r="Q53" s="116">
        <v>626.9</v>
      </c>
      <c r="R53">
        <v>167060</v>
      </c>
    </row>
    <row r="54" spans="1:18" x14ac:dyDescent="0.25">
      <c r="A54" s="170">
        <v>44957</v>
      </c>
      <c r="B54" s="116">
        <v>655</v>
      </c>
      <c r="C54" s="116">
        <v>650.5</v>
      </c>
      <c r="D54" s="116">
        <v>626.9</v>
      </c>
      <c r="E54" s="116">
        <v>626.9</v>
      </c>
      <c r="F54" s="116">
        <v>650.5</v>
      </c>
      <c r="G54">
        <v>19653</v>
      </c>
      <c r="H54" s="116"/>
      <c r="I54" s="116"/>
      <c r="L54" s="170">
        <v>44957</v>
      </c>
      <c r="M54" s="116">
        <v>650.45000000000005</v>
      </c>
      <c r="N54" s="116">
        <v>654.9</v>
      </c>
      <c r="O54" s="116">
        <v>629</v>
      </c>
      <c r="P54" s="116">
        <v>629.95000000000005</v>
      </c>
      <c r="Q54" s="116">
        <v>650.45000000000005</v>
      </c>
      <c r="R54">
        <v>191098</v>
      </c>
    </row>
    <row r="55" spans="1:18" x14ac:dyDescent="0.25">
      <c r="A55" s="170">
        <v>44958</v>
      </c>
      <c r="B55" s="116">
        <v>667.35</v>
      </c>
      <c r="C55" s="116">
        <v>632.20000000000005</v>
      </c>
      <c r="D55" s="116">
        <v>620</v>
      </c>
      <c r="E55" s="116">
        <v>649</v>
      </c>
      <c r="F55" s="116">
        <v>632.20000000000005</v>
      </c>
      <c r="G55">
        <v>43103</v>
      </c>
      <c r="H55" s="116"/>
      <c r="I55" s="116"/>
      <c r="L55" s="170">
        <v>44958</v>
      </c>
      <c r="M55" s="116">
        <v>632.85</v>
      </c>
      <c r="N55" s="116">
        <v>668</v>
      </c>
      <c r="O55" s="116">
        <v>620.1</v>
      </c>
      <c r="P55" s="116">
        <v>654.4</v>
      </c>
      <c r="Q55" s="116">
        <v>632.85</v>
      </c>
      <c r="R55">
        <v>163414</v>
      </c>
    </row>
    <row r="56" spans="1:18" x14ac:dyDescent="0.25">
      <c r="A56" s="170">
        <v>44959</v>
      </c>
      <c r="B56" s="116">
        <v>659.65</v>
      </c>
      <c r="C56" s="116">
        <v>648.20000000000005</v>
      </c>
      <c r="D56" s="116">
        <v>625.25</v>
      </c>
      <c r="E56" s="116">
        <v>632.20000000000005</v>
      </c>
      <c r="F56" s="116">
        <v>648.20000000000005</v>
      </c>
      <c r="G56">
        <v>14384</v>
      </c>
      <c r="H56" s="116"/>
      <c r="I56" s="116"/>
      <c r="L56" s="170">
        <v>44959</v>
      </c>
      <c r="M56" s="116">
        <v>648.35</v>
      </c>
      <c r="N56" s="116">
        <v>660</v>
      </c>
      <c r="O56" s="116">
        <v>626</v>
      </c>
      <c r="P56" s="116">
        <v>630.79999999999995</v>
      </c>
      <c r="Q56" s="116">
        <v>648.35</v>
      </c>
      <c r="R56">
        <v>190407</v>
      </c>
    </row>
    <row r="57" spans="1:18" x14ac:dyDescent="0.25">
      <c r="A57" s="170">
        <v>44960</v>
      </c>
      <c r="B57" s="116">
        <v>664.4</v>
      </c>
      <c r="C57" s="116">
        <v>653.4</v>
      </c>
      <c r="D57" s="116">
        <v>633.95000000000005</v>
      </c>
      <c r="E57" s="116">
        <v>648</v>
      </c>
      <c r="F57" s="116">
        <v>653.4</v>
      </c>
      <c r="G57">
        <v>22521</v>
      </c>
      <c r="H57" s="116"/>
      <c r="I57" s="116"/>
      <c r="L57" s="170">
        <v>44960</v>
      </c>
      <c r="M57" s="116">
        <v>651.95000000000005</v>
      </c>
      <c r="N57" s="116">
        <v>665</v>
      </c>
      <c r="O57" s="116">
        <v>633.85</v>
      </c>
      <c r="P57" s="116">
        <v>651.54999999999995</v>
      </c>
      <c r="Q57" s="116">
        <v>651.95000000000005</v>
      </c>
      <c r="R57">
        <v>148144</v>
      </c>
    </row>
    <row r="58" spans="1:18" x14ac:dyDescent="0.25">
      <c r="A58" s="170">
        <v>44963</v>
      </c>
      <c r="B58" s="116">
        <v>680</v>
      </c>
      <c r="C58" s="116">
        <v>659.3</v>
      </c>
      <c r="D58" s="116">
        <v>640.20000000000005</v>
      </c>
      <c r="E58" s="116">
        <v>640.20000000000005</v>
      </c>
      <c r="F58" s="116">
        <v>659.3</v>
      </c>
      <c r="G58">
        <v>28723</v>
      </c>
      <c r="H58" s="116"/>
      <c r="I58" s="116"/>
      <c r="L58" s="170">
        <v>44963</v>
      </c>
      <c r="M58" s="116">
        <v>660.6</v>
      </c>
      <c r="N58" s="116">
        <v>679.8</v>
      </c>
      <c r="O58" s="116">
        <v>652.1</v>
      </c>
      <c r="P58" s="116">
        <v>655</v>
      </c>
      <c r="Q58" s="116">
        <v>660.6</v>
      </c>
      <c r="R58">
        <v>251998</v>
      </c>
    </row>
    <row r="59" spans="1:18" x14ac:dyDescent="0.25">
      <c r="A59" s="170">
        <v>44964</v>
      </c>
      <c r="B59" s="116">
        <v>672.15</v>
      </c>
      <c r="C59" s="116">
        <v>664.85</v>
      </c>
      <c r="D59" s="116">
        <v>657.65</v>
      </c>
      <c r="E59" s="116">
        <v>662</v>
      </c>
      <c r="F59" s="116">
        <v>664.85</v>
      </c>
      <c r="G59">
        <v>9977</v>
      </c>
      <c r="H59" s="116"/>
      <c r="I59" s="116"/>
      <c r="L59" s="170">
        <v>44964</v>
      </c>
      <c r="M59" s="116">
        <v>664.75</v>
      </c>
      <c r="N59" s="116">
        <v>673</v>
      </c>
      <c r="O59" s="116">
        <v>657.4</v>
      </c>
      <c r="P59" s="116">
        <v>663.95</v>
      </c>
      <c r="Q59" s="116">
        <v>664.75</v>
      </c>
      <c r="R59">
        <v>104797</v>
      </c>
    </row>
    <row r="60" spans="1:18" x14ac:dyDescent="0.25">
      <c r="A60" s="170">
        <v>44965</v>
      </c>
      <c r="B60" s="116">
        <v>674.9</v>
      </c>
      <c r="C60" s="116">
        <v>633.5</v>
      </c>
      <c r="D60" s="116">
        <v>630.15</v>
      </c>
      <c r="E60" s="116">
        <v>662.05</v>
      </c>
      <c r="F60" s="116">
        <v>633.5</v>
      </c>
      <c r="G60">
        <v>30926</v>
      </c>
      <c r="H60" s="116"/>
      <c r="I60" s="116"/>
      <c r="L60" s="170">
        <v>44965</v>
      </c>
      <c r="M60" s="116">
        <v>633.20000000000005</v>
      </c>
      <c r="N60" s="116">
        <v>674.8</v>
      </c>
      <c r="O60" s="116">
        <v>630</v>
      </c>
      <c r="P60" s="116">
        <v>668</v>
      </c>
      <c r="Q60" s="116">
        <v>633.20000000000005</v>
      </c>
      <c r="R60">
        <v>142665</v>
      </c>
    </row>
    <row r="61" spans="1:18" x14ac:dyDescent="0.25">
      <c r="A61" s="170">
        <v>44966</v>
      </c>
      <c r="B61" s="116">
        <v>639.04999999999995</v>
      </c>
      <c r="C61" s="116">
        <v>626.20000000000005</v>
      </c>
      <c r="D61" s="116">
        <v>614.4</v>
      </c>
      <c r="E61" s="116">
        <v>625.04999999999995</v>
      </c>
      <c r="F61" s="116">
        <v>626.20000000000005</v>
      </c>
      <c r="G61">
        <v>43260</v>
      </c>
      <c r="H61" s="116"/>
      <c r="I61" s="116"/>
      <c r="L61" s="170">
        <v>44966</v>
      </c>
      <c r="M61" s="116">
        <v>624.95000000000005</v>
      </c>
      <c r="N61" s="116">
        <v>639.9</v>
      </c>
      <c r="O61" s="116">
        <v>616.54999999999995</v>
      </c>
      <c r="P61" s="116">
        <v>633.35</v>
      </c>
      <c r="Q61" s="116">
        <v>624.95000000000005</v>
      </c>
      <c r="R61">
        <v>179986</v>
      </c>
    </row>
    <row r="62" spans="1:18" x14ac:dyDescent="0.25">
      <c r="A62" s="170">
        <v>44967</v>
      </c>
      <c r="B62" s="116">
        <v>658.65</v>
      </c>
      <c r="C62" s="116">
        <v>645.70000000000005</v>
      </c>
      <c r="D62" s="116">
        <v>624</v>
      </c>
      <c r="E62" s="116">
        <v>628.95000000000005</v>
      </c>
      <c r="F62" s="116">
        <v>645.70000000000005</v>
      </c>
      <c r="G62">
        <v>35922</v>
      </c>
      <c r="H62" s="116"/>
      <c r="I62" s="116"/>
      <c r="L62" s="170">
        <v>44967</v>
      </c>
      <c r="M62" s="116">
        <v>645.20000000000005</v>
      </c>
      <c r="N62" s="116">
        <v>658.8</v>
      </c>
      <c r="O62" s="116">
        <v>620</v>
      </c>
      <c r="P62" s="116">
        <v>620</v>
      </c>
      <c r="Q62" s="116">
        <v>645.20000000000005</v>
      </c>
      <c r="R62">
        <v>354949</v>
      </c>
    </row>
    <row r="63" spans="1:18" x14ac:dyDescent="0.25">
      <c r="A63" s="170">
        <v>44970</v>
      </c>
      <c r="B63" s="116">
        <v>731.75</v>
      </c>
      <c r="C63" s="116">
        <v>675.95</v>
      </c>
      <c r="D63" s="116">
        <v>666.05</v>
      </c>
      <c r="E63" s="116">
        <v>666.05</v>
      </c>
      <c r="F63" s="116">
        <v>675.95</v>
      </c>
      <c r="G63">
        <v>94566</v>
      </c>
      <c r="H63" s="116"/>
      <c r="I63" s="116"/>
      <c r="L63" s="170">
        <v>44970</v>
      </c>
      <c r="M63" s="116">
        <v>676.65</v>
      </c>
      <c r="N63" s="116">
        <v>731.8</v>
      </c>
      <c r="O63" s="116">
        <v>670.05</v>
      </c>
      <c r="P63" s="116">
        <v>677.45</v>
      </c>
      <c r="Q63" s="116">
        <v>676.65</v>
      </c>
      <c r="R63">
        <v>781247</v>
      </c>
    </row>
    <row r="64" spans="1:18" x14ac:dyDescent="0.25">
      <c r="A64" s="170">
        <v>44971</v>
      </c>
      <c r="B64" s="116">
        <v>680.7</v>
      </c>
      <c r="C64" s="116">
        <v>639.6</v>
      </c>
      <c r="D64" s="116">
        <v>606.4</v>
      </c>
      <c r="E64" s="116">
        <v>680</v>
      </c>
      <c r="F64" s="116">
        <v>639.6</v>
      </c>
      <c r="G64">
        <v>64209</v>
      </c>
      <c r="H64" s="116"/>
      <c r="I64" s="116"/>
      <c r="L64" s="170">
        <v>44971</v>
      </c>
      <c r="M64" s="116">
        <v>640.20000000000005</v>
      </c>
      <c r="N64" s="116">
        <v>680.05</v>
      </c>
      <c r="O64" s="116">
        <v>606.25</v>
      </c>
      <c r="P64" s="116">
        <v>680.05</v>
      </c>
      <c r="Q64" s="116">
        <v>640.20000000000005</v>
      </c>
      <c r="R64">
        <v>815168</v>
      </c>
    </row>
    <row r="65" spans="1:18" x14ac:dyDescent="0.25">
      <c r="A65" s="170">
        <v>44972</v>
      </c>
      <c r="B65" s="116">
        <v>658.4</v>
      </c>
      <c r="C65" s="116">
        <v>654.04999999999995</v>
      </c>
      <c r="D65" s="116">
        <v>625.20000000000005</v>
      </c>
      <c r="E65" s="116">
        <v>643.95000000000005</v>
      </c>
      <c r="F65" s="116">
        <v>654.04999999999995</v>
      </c>
      <c r="G65">
        <v>20131</v>
      </c>
      <c r="H65" s="116"/>
      <c r="I65" s="116"/>
      <c r="L65" s="170">
        <v>44972</v>
      </c>
      <c r="M65" s="116">
        <v>654.54999999999995</v>
      </c>
      <c r="N65" s="116">
        <v>658.95</v>
      </c>
      <c r="O65" s="116">
        <v>624.95000000000005</v>
      </c>
      <c r="P65" s="116">
        <v>642</v>
      </c>
      <c r="Q65" s="116">
        <v>654.54999999999995</v>
      </c>
      <c r="R65">
        <v>478718</v>
      </c>
    </row>
    <row r="66" spans="1:18" x14ac:dyDescent="0.25">
      <c r="A66" s="170">
        <v>44973</v>
      </c>
      <c r="B66" s="116">
        <v>655.85</v>
      </c>
      <c r="C66" s="116">
        <v>635.9</v>
      </c>
      <c r="D66" s="116">
        <v>618.35</v>
      </c>
      <c r="E66" s="116">
        <v>654.5</v>
      </c>
      <c r="F66" s="116">
        <v>635.9</v>
      </c>
      <c r="G66">
        <v>16834</v>
      </c>
      <c r="H66" s="116"/>
      <c r="I66" s="116"/>
      <c r="L66" s="170">
        <v>44973</v>
      </c>
      <c r="M66" s="116">
        <v>635.65</v>
      </c>
      <c r="N66" s="116">
        <v>657.6</v>
      </c>
      <c r="O66" s="116">
        <v>618.25</v>
      </c>
      <c r="P66" s="116">
        <v>657.6</v>
      </c>
      <c r="Q66" s="116">
        <v>635.65</v>
      </c>
      <c r="R66">
        <v>311898</v>
      </c>
    </row>
    <row r="67" spans="1:18" x14ac:dyDescent="0.25">
      <c r="A67" s="170">
        <v>44974</v>
      </c>
      <c r="B67" s="116">
        <v>646.45000000000005</v>
      </c>
      <c r="C67" s="116">
        <v>638.9</v>
      </c>
      <c r="D67" s="116">
        <v>628.6</v>
      </c>
      <c r="E67" s="116">
        <v>631.04999999999995</v>
      </c>
      <c r="F67" s="116">
        <v>638.9</v>
      </c>
      <c r="G67">
        <v>27426</v>
      </c>
      <c r="H67" s="116"/>
      <c r="I67" s="116"/>
      <c r="L67" s="170">
        <v>44974</v>
      </c>
      <c r="M67" s="116">
        <v>638.45000000000005</v>
      </c>
      <c r="N67" s="116">
        <v>647</v>
      </c>
      <c r="O67" s="116">
        <v>629</v>
      </c>
      <c r="P67" s="116">
        <v>630</v>
      </c>
      <c r="Q67" s="116">
        <v>638.45000000000005</v>
      </c>
      <c r="R67">
        <v>245245</v>
      </c>
    </row>
    <row r="68" spans="1:18" x14ac:dyDescent="0.25">
      <c r="A68" s="170">
        <v>44977</v>
      </c>
      <c r="B68" s="116">
        <v>645</v>
      </c>
      <c r="C68" s="116">
        <v>623.29999999999995</v>
      </c>
      <c r="D68" s="116">
        <v>615.75</v>
      </c>
      <c r="E68" s="116">
        <v>625.04999999999995</v>
      </c>
      <c r="F68" s="116">
        <v>623.29999999999995</v>
      </c>
      <c r="G68">
        <v>26587</v>
      </c>
      <c r="H68" s="116"/>
      <c r="I68" s="116"/>
      <c r="L68" s="170">
        <v>44977</v>
      </c>
      <c r="M68" s="116">
        <v>623.35</v>
      </c>
      <c r="N68" s="116">
        <v>644.9</v>
      </c>
      <c r="O68" s="116">
        <v>620.54999999999995</v>
      </c>
      <c r="P68" s="116">
        <v>640.85</v>
      </c>
      <c r="Q68" s="116">
        <v>623.35</v>
      </c>
      <c r="R68">
        <v>236415</v>
      </c>
    </row>
    <row r="69" spans="1:18" x14ac:dyDescent="0.25">
      <c r="A69" s="170">
        <v>44978</v>
      </c>
      <c r="B69" s="116">
        <v>628</v>
      </c>
      <c r="C69" s="116">
        <v>619.65</v>
      </c>
      <c r="D69" s="116">
        <v>606.79999999999995</v>
      </c>
      <c r="E69" s="116">
        <v>624.54999999999995</v>
      </c>
      <c r="F69" s="116">
        <v>619.65</v>
      </c>
      <c r="G69">
        <v>22410</v>
      </c>
      <c r="H69" s="116"/>
      <c r="I69" s="116"/>
      <c r="L69" s="170">
        <v>44978</v>
      </c>
      <c r="M69" s="116">
        <v>621.4</v>
      </c>
      <c r="N69" s="116">
        <v>629.45000000000005</v>
      </c>
      <c r="O69" s="116">
        <v>607</v>
      </c>
      <c r="P69" s="116">
        <v>625.9</v>
      </c>
      <c r="Q69" s="116">
        <v>621.4</v>
      </c>
      <c r="R69">
        <v>590176</v>
      </c>
    </row>
    <row r="70" spans="1:18" x14ac:dyDescent="0.25">
      <c r="A70" s="170">
        <v>44979</v>
      </c>
      <c r="B70" s="116">
        <v>632.6</v>
      </c>
      <c r="C70" s="116">
        <v>624.79999999999995</v>
      </c>
      <c r="D70" s="116">
        <v>615.79999999999995</v>
      </c>
      <c r="E70" s="116">
        <v>619.65</v>
      </c>
      <c r="F70" s="116">
        <v>624.79999999999995</v>
      </c>
      <c r="G70">
        <v>16621</v>
      </c>
      <c r="H70" s="116"/>
      <c r="I70" s="116"/>
      <c r="L70" s="170">
        <v>44979</v>
      </c>
      <c r="M70" s="116">
        <v>624.79999999999995</v>
      </c>
      <c r="N70" s="116">
        <v>632.95000000000005</v>
      </c>
      <c r="O70" s="116">
        <v>611.1</v>
      </c>
      <c r="P70" s="116">
        <v>611.1</v>
      </c>
      <c r="Q70" s="116">
        <v>624.79999999999995</v>
      </c>
      <c r="R70">
        <v>408904</v>
      </c>
    </row>
    <row r="71" spans="1:18" x14ac:dyDescent="0.25">
      <c r="A71" s="170">
        <v>44980</v>
      </c>
      <c r="B71" s="116">
        <v>636.20000000000005</v>
      </c>
      <c r="C71" s="116">
        <v>632.1</v>
      </c>
      <c r="D71" s="116">
        <v>623.04999999999995</v>
      </c>
      <c r="E71" s="116">
        <v>624.04999999999995</v>
      </c>
      <c r="F71" s="116">
        <v>632.1</v>
      </c>
      <c r="G71">
        <v>19807</v>
      </c>
      <c r="H71" s="116"/>
      <c r="I71" s="116"/>
      <c r="L71" s="170">
        <v>44980</v>
      </c>
      <c r="M71" s="116">
        <v>632.45000000000005</v>
      </c>
      <c r="N71" s="116">
        <v>636.85</v>
      </c>
      <c r="O71" s="116">
        <v>622</v>
      </c>
      <c r="P71" s="116">
        <v>626.45000000000005</v>
      </c>
      <c r="Q71" s="116">
        <v>632.45000000000005</v>
      </c>
      <c r="R71">
        <v>201969</v>
      </c>
    </row>
    <row r="72" spans="1:18" x14ac:dyDescent="0.25">
      <c r="A72" s="170">
        <v>44981</v>
      </c>
      <c r="B72" s="116">
        <v>638.25</v>
      </c>
      <c r="C72" s="116">
        <v>633.95000000000005</v>
      </c>
      <c r="D72" s="116">
        <v>620.95000000000005</v>
      </c>
      <c r="E72" s="116">
        <v>638.25</v>
      </c>
      <c r="F72" s="116">
        <v>633.95000000000005</v>
      </c>
      <c r="G72">
        <v>24037</v>
      </c>
      <c r="H72" s="116"/>
      <c r="I72" s="116"/>
      <c r="L72" s="170">
        <v>44981</v>
      </c>
      <c r="M72" s="116">
        <v>634.29999999999995</v>
      </c>
      <c r="N72" s="116">
        <v>637</v>
      </c>
      <c r="O72" s="116">
        <v>620.95000000000005</v>
      </c>
      <c r="P72" s="116">
        <v>635.5</v>
      </c>
      <c r="Q72" s="116">
        <v>634.29999999999995</v>
      </c>
      <c r="R72">
        <v>359875</v>
      </c>
    </row>
    <row r="73" spans="1:18" x14ac:dyDescent="0.25">
      <c r="A73" s="170">
        <v>44984</v>
      </c>
      <c r="B73" s="116">
        <v>642</v>
      </c>
      <c r="C73" s="116">
        <v>629</v>
      </c>
      <c r="D73" s="116">
        <v>622.79999999999995</v>
      </c>
      <c r="E73" s="116">
        <v>630.04999999999995</v>
      </c>
      <c r="F73" s="116">
        <v>629</v>
      </c>
      <c r="G73">
        <v>610221</v>
      </c>
      <c r="H73" s="116"/>
      <c r="I73" s="116"/>
      <c r="L73" s="170">
        <v>44984</v>
      </c>
      <c r="M73" s="116">
        <v>629.20000000000005</v>
      </c>
      <c r="N73" s="116">
        <v>642</v>
      </c>
      <c r="O73" s="116">
        <v>622.54999999999995</v>
      </c>
      <c r="P73" s="116">
        <v>633.79999999999995</v>
      </c>
      <c r="Q73" s="116">
        <v>629.20000000000005</v>
      </c>
      <c r="R73">
        <v>989436</v>
      </c>
    </row>
    <row r="74" spans="1:18" x14ac:dyDescent="0.25">
      <c r="A74" s="170">
        <v>44985</v>
      </c>
      <c r="B74" s="116">
        <v>654.70000000000005</v>
      </c>
      <c r="C74" s="116">
        <v>629.35</v>
      </c>
      <c r="D74" s="116">
        <v>621</v>
      </c>
      <c r="E74" s="116">
        <v>629.04999999999995</v>
      </c>
      <c r="F74" s="116">
        <v>629.35</v>
      </c>
      <c r="G74">
        <v>17811</v>
      </c>
      <c r="H74" s="116"/>
      <c r="I74" s="116"/>
      <c r="L74" s="170">
        <v>44985</v>
      </c>
      <c r="M74" s="116">
        <v>629.70000000000005</v>
      </c>
      <c r="N74" s="116">
        <v>654.9</v>
      </c>
      <c r="O74" s="116">
        <v>620.65</v>
      </c>
      <c r="P74" s="116">
        <v>631.95000000000005</v>
      </c>
      <c r="Q74" s="116">
        <v>629.70000000000005</v>
      </c>
      <c r="R74">
        <v>682925</v>
      </c>
    </row>
    <row r="75" spans="1:18" x14ac:dyDescent="0.25">
      <c r="A75" s="170">
        <v>44986</v>
      </c>
      <c r="B75" s="116">
        <v>639.4</v>
      </c>
      <c r="C75" s="116">
        <v>635.29999999999995</v>
      </c>
      <c r="D75" s="116">
        <v>621.54999999999995</v>
      </c>
      <c r="E75" s="116">
        <v>621.54999999999995</v>
      </c>
      <c r="F75" s="116">
        <v>635.29999999999995</v>
      </c>
      <c r="G75">
        <v>5538</v>
      </c>
      <c r="H75" s="116"/>
      <c r="I75" s="116"/>
      <c r="L75" s="170">
        <v>44986</v>
      </c>
      <c r="M75" s="116">
        <v>634.9</v>
      </c>
      <c r="N75" s="116">
        <v>639.9</v>
      </c>
      <c r="O75" s="116">
        <v>628</v>
      </c>
      <c r="P75" s="116">
        <v>632.70000000000005</v>
      </c>
      <c r="Q75" s="116">
        <v>634.9</v>
      </c>
      <c r="R75">
        <v>118949</v>
      </c>
    </row>
    <row r="76" spans="1:18" x14ac:dyDescent="0.25">
      <c r="A76" s="170">
        <v>44987</v>
      </c>
      <c r="B76" s="116">
        <v>651.9</v>
      </c>
      <c r="C76" s="116">
        <v>647.95000000000005</v>
      </c>
      <c r="D76" s="116">
        <v>627.04999999999995</v>
      </c>
      <c r="E76" s="116">
        <v>627.04999999999995</v>
      </c>
      <c r="F76" s="116">
        <v>647.95000000000005</v>
      </c>
      <c r="G76">
        <v>10522</v>
      </c>
      <c r="H76" s="116"/>
      <c r="I76" s="116"/>
      <c r="L76" s="170">
        <v>44987</v>
      </c>
      <c r="M76" s="116">
        <v>648.20000000000005</v>
      </c>
      <c r="N76" s="116">
        <v>651.9</v>
      </c>
      <c r="O76" s="116">
        <v>633</v>
      </c>
      <c r="P76" s="116">
        <v>634.85</v>
      </c>
      <c r="Q76" s="116">
        <v>648.20000000000005</v>
      </c>
      <c r="R76">
        <v>128127</v>
      </c>
    </row>
    <row r="77" spans="1:18" x14ac:dyDescent="0.25">
      <c r="A77" s="170">
        <v>44988</v>
      </c>
      <c r="B77" s="116">
        <v>656.2</v>
      </c>
      <c r="C77" s="116">
        <v>648.79999999999995</v>
      </c>
      <c r="D77" s="116">
        <v>645.45000000000005</v>
      </c>
      <c r="E77" s="116">
        <v>649</v>
      </c>
      <c r="F77" s="116">
        <v>648.79999999999995</v>
      </c>
      <c r="G77">
        <v>7911</v>
      </c>
      <c r="H77" s="116"/>
      <c r="I77" s="116"/>
      <c r="L77" s="170">
        <v>44988</v>
      </c>
      <c r="M77" s="116">
        <v>648.79999999999995</v>
      </c>
      <c r="N77" s="116">
        <v>656.95</v>
      </c>
      <c r="O77" s="116">
        <v>645</v>
      </c>
      <c r="P77" s="116">
        <v>651.45000000000005</v>
      </c>
      <c r="Q77" s="116">
        <v>648.79999999999995</v>
      </c>
      <c r="R77">
        <v>147645</v>
      </c>
    </row>
    <row r="78" spans="1:18" x14ac:dyDescent="0.25">
      <c r="A78" s="170">
        <v>44991</v>
      </c>
      <c r="B78" s="116">
        <v>651.6</v>
      </c>
      <c r="C78" s="116">
        <v>642.85</v>
      </c>
      <c r="D78" s="116">
        <v>634.6</v>
      </c>
      <c r="E78" s="116">
        <v>640.04999999999995</v>
      </c>
      <c r="F78" s="116">
        <v>642.85</v>
      </c>
      <c r="G78">
        <v>13640</v>
      </c>
      <c r="H78" s="116"/>
      <c r="I78" s="116"/>
      <c r="L78" s="170">
        <v>44991</v>
      </c>
      <c r="M78" s="116">
        <v>644.1</v>
      </c>
      <c r="N78" s="116">
        <v>652.04999999999995</v>
      </c>
      <c r="O78" s="116">
        <v>637.04999999999995</v>
      </c>
      <c r="P78" s="116">
        <v>652.04999999999995</v>
      </c>
      <c r="Q78" s="116">
        <v>644.1</v>
      </c>
      <c r="R78">
        <v>174698</v>
      </c>
    </row>
    <row r="79" spans="1:18" x14ac:dyDescent="0.25">
      <c r="A79" s="170">
        <v>44993</v>
      </c>
      <c r="B79" s="116">
        <v>645.85</v>
      </c>
      <c r="C79" s="116">
        <v>630.85</v>
      </c>
      <c r="D79" s="116">
        <v>627.1</v>
      </c>
      <c r="E79" s="116">
        <v>642.85</v>
      </c>
      <c r="F79" s="116">
        <v>630.85</v>
      </c>
      <c r="G79">
        <v>6809</v>
      </c>
      <c r="H79" s="116"/>
      <c r="I79" s="116"/>
      <c r="L79" s="170">
        <v>44993</v>
      </c>
      <c r="M79" s="116">
        <v>630.4</v>
      </c>
      <c r="N79" s="116">
        <v>646.54999999999995</v>
      </c>
      <c r="O79" s="116">
        <v>626.6</v>
      </c>
      <c r="P79" s="116">
        <v>646.54999999999995</v>
      </c>
      <c r="Q79" s="116">
        <v>630.4</v>
      </c>
      <c r="R79">
        <v>78921</v>
      </c>
    </row>
    <row r="80" spans="1:18" x14ac:dyDescent="0.25">
      <c r="A80" s="170">
        <v>44994</v>
      </c>
      <c r="B80" s="116">
        <v>635.5</v>
      </c>
      <c r="C80" s="116">
        <v>621.45000000000005</v>
      </c>
      <c r="D80" s="116">
        <v>608.54999999999995</v>
      </c>
      <c r="E80" s="116">
        <v>633</v>
      </c>
      <c r="F80" s="116">
        <v>621.45000000000005</v>
      </c>
      <c r="G80">
        <v>20226</v>
      </c>
      <c r="H80" s="116"/>
      <c r="I80" s="116"/>
      <c r="L80" s="170">
        <v>44994</v>
      </c>
      <c r="M80" s="116">
        <v>621.65</v>
      </c>
      <c r="N80" s="116">
        <v>635.4</v>
      </c>
      <c r="O80" s="116">
        <v>616.29999999999995</v>
      </c>
      <c r="P80" s="116">
        <v>630</v>
      </c>
      <c r="Q80" s="116">
        <v>621.65</v>
      </c>
      <c r="R80">
        <v>83688</v>
      </c>
    </row>
    <row r="81" spans="1:18" x14ac:dyDescent="0.25">
      <c r="A81" s="170">
        <v>44995</v>
      </c>
      <c r="B81" s="116">
        <v>638.75</v>
      </c>
      <c r="C81" s="116">
        <v>635.25</v>
      </c>
      <c r="D81" s="116">
        <v>605.6</v>
      </c>
      <c r="E81" s="116">
        <v>605.6</v>
      </c>
      <c r="F81" s="116">
        <v>635.25</v>
      </c>
      <c r="G81">
        <v>9397</v>
      </c>
      <c r="H81" s="116"/>
      <c r="I81" s="116"/>
      <c r="L81" s="170">
        <v>44995</v>
      </c>
      <c r="M81" s="116">
        <v>635.9</v>
      </c>
      <c r="N81" s="116">
        <v>639</v>
      </c>
      <c r="O81" s="116">
        <v>619.95000000000005</v>
      </c>
      <c r="P81" s="116">
        <v>620</v>
      </c>
      <c r="Q81" s="116">
        <v>635.9</v>
      </c>
      <c r="R81">
        <v>118547</v>
      </c>
    </row>
    <row r="82" spans="1:18" x14ac:dyDescent="0.25">
      <c r="A82" s="170">
        <v>44998</v>
      </c>
      <c r="B82" s="116">
        <v>652.45000000000005</v>
      </c>
      <c r="C82" s="116">
        <v>638.70000000000005</v>
      </c>
      <c r="D82" s="116">
        <v>633.54999999999995</v>
      </c>
      <c r="E82" s="116">
        <v>639.75</v>
      </c>
      <c r="F82" s="116">
        <v>638.70000000000005</v>
      </c>
      <c r="G82">
        <v>18060</v>
      </c>
      <c r="H82" s="116"/>
      <c r="I82" s="116"/>
      <c r="L82" s="170">
        <v>44998</v>
      </c>
      <c r="M82" s="116">
        <v>641</v>
      </c>
      <c r="N82" s="116">
        <v>652.95000000000005</v>
      </c>
      <c r="O82" s="116">
        <v>632.79999999999995</v>
      </c>
      <c r="P82" s="116">
        <v>639</v>
      </c>
      <c r="Q82" s="116">
        <v>641</v>
      </c>
      <c r="R82">
        <v>203997</v>
      </c>
    </row>
    <row r="83" spans="1:18" x14ac:dyDescent="0.25">
      <c r="A83" s="170">
        <v>44999</v>
      </c>
      <c r="B83" s="116">
        <v>646.9</v>
      </c>
      <c r="C83" s="116">
        <v>639.5</v>
      </c>
      <c r="D83" s="116">
        <v>620.95000000000005</v>
      </c>
      <c r="E83" s="116">
        <v>640.20000000000005</v>
      </c>
      <c r="F83" s="116">
        <v>639.5</v>
      </c>
      <c r="G83">
        <v>23010</v>
      </c>
      <c r="H83" s="116"/>
      <c r="I83" s="116"/>
      <c r="L83" s="170">
        <v>44999</v>
      </c>
      <c r="M83" s="116">
        <v>639.5</v>
      </c>
      <c r="N83" s="116">
        <v>649</v>
      </c>
      <c r="O83" s="116">
        <v>621</v>
      </c>
      <c r="P83" s="116">
        <v>640.79999999999995</v>
      </c>
      <c r="Q83" s="116">
        <v>639.5</v>
      </c>
      <c r="R83">
        <v>120020</v>
      </c>
    </row>
    <row r="84" spans="1:18" x14ac:dyDescent="0.25">
      <c r="A84" s="170">
        <v>45000</v>
      </c>
      <c r="B84" s="116">
        <v>653</v>
      </c>
      <c r="C84" s="116">
        <v>638.6</v>
      </c>
      <c r="D84" s="116">
        <v>636</v>
      </c>
      <c r="E84" s="116">
        <v>648.1</v>
      </c>
      <c r="F84" s="116">
        <v>638.6</v>
      </c>
      <c r="G84">
        <v>9119</v>
      </c>
      <c r="H84" s="116"/>
      <c r="I84" s="116"/>
      <c r="L84" s="170">
        <v>45000</v>
      </c>
      <c r="M84" s="116">
        <v>639.4</v>
      </c>
      <c r="N84" s="116">
        <v>654</v>
      </c>
      <c r="O84" s="116">
        <v>636.15</v>
      </c>
      <c r="P84" s="116">
        <v>644</v>
      </c>
      <c r="Q84" s="116">
        <v>639.4</v>
      </c>
      <c r="R84">
        <v>102240</v>
      </c>
    </row>
    <row r="85" spans="1:18" x14ac:dyDescent="0.25">
      <c r="A85" s="170">
        <v>45001</v>
      </c>
      <c r="B85" s="116">
        <v>639.9</v>
      </c>
      <c r="C85" s="116">
        <v>630.45000000000005</v>
      </c>
      <c r="D85" s="116">
        <v>624.04999999999995</v>
      </c>
      <c r="E85" s="116">
        <v>639.9</v>
      </c>
      <c r="F85" s="116">
        <v>630.45000000000005</v>
      </c>
      <c r="G85">
        <v>17585</v>
      </c>
      <c r="H85" s="116"/>
      <c r="I85" s="116"/>
      <c r="L85" s="170">
        <v>45001</v>
      </c>
      <c r="M85" s="116">
        <v>629.85</v>
      </c>
      <c r="N85" s="116">
        <v>641</v>
      </c>
      <c r="O85" s="116">
        <v>624.04999999999995</v>
      </c>
      <c r="P85" s="116">
        <v>636</v>
      </c>
      <c r="Q85" s="116">
        <v>629.85</v>
      </c>
      <c r="R85">
        <v>192953</v>
      </c>
    </row>
    <row r="86" spans="1:18" x14ac:dyDescent="0.25">
      <c r="A86" s="170">
        <v>45002</v>
      </c>
      <c r="B86" s="116">
        <v>635.35</v>
      </c>
      <c r="C86" s="116">
        <v>621.65</v>
      </c>
      <c r="D86" s="116">
        <v>615.35</v>
      </c>
      <c r="E86" s="116">
        <v>630.45000000000005</v>
      </c>
      <c r="F86" s="116">
        <v>621.65</v>
      </c>
      <c r="G86">
        <v>8629</v>
      </c>
      <c r="H86" s="116"/>
      <c r="I86" s="116"/>
      <c r="L86" s="170">
        <v>45002</v>
      </c>
      <c r="M86" s="116">
        <v>622.25</v>
      </c>
      <c r="N86" s="116">
        <v>635.5</v>
      </c>
      <c r="O86" s="116">
        <v>615.65</v>
      </c>
      <c r="P86" s="116">
        <v>633</v>
      </c>
      <c r="Q86" s="116">
        <v>622.25</v>
      </c>
      <c r="R86">
        <v>184140</v>
      </c>
    </row>
    <row r="87" spans="1:18" x14ac:dyDescent="0.25">
      <c r="A87" s="170">
        <v>45005</v>
      </c>
      <c r="B87" s="116">
        <v>626.85</v>
      </c>
      <c r="C87" s="116">
        <v>624.1</v>
      </c>
      <c r="D87" s="116">
        <v>613</v>
      </c>
      <c r="E87" s="116">
        <v>615.1</v>
      </c>
      <c r="F87" s="116">
        <v>624.1</v>
      </c>
      <c r="G87">
        <v>6246</v>
      </c>
      <c r="H87" s="116"/>
      <c r="I87" s="116"/>
      <c r="L87" s="170">
        <v>45005</v>
      </c>
      <c r="M87" s="116">
        <v>623</v>
      </c>
      <c r="N87" s="116">
        <v>628.75</v>
      </c>
      <c r="O87" s="116">
        <v>612.35</v>
      </c>
      <c r="P87" s="116">
        <v>619</v>
      </c>
      <c r="Q87" s="116">
        <v>623</v>
      </c>
      <c r="R87">
        <v>336443</v>
      </c>
    </row>
    <row r="88" spans="1:18" x14ac:dyDescent="0.25">
      <c r="A88" s="170">
        <v>45006</v>
      </c>
      <c r="B88" s="116">
        <v>632.95000000000005</v>
      </c>
      <c r="C88" s="116">
        <v>622.70000000000005</v>
      </c>
      <c r="D88" s="116">
        <v>618.1</v>
      </c>
      <c r="E88" s="116">
        <v>632.95000000000005</v>
      </c>
      <c r="F88" s="116">
        <v>622.70000000000005</v>
      </c>
      <c r="G88">
        <v>4526</v>
      </c>
      <c r="H88" s="116"/>
      <c r="I88" s="116"/>
      <c r="L88" s="170">
        <v>45006</v>
      </c>
      <c r="M88" s="116">
        <v>622.6</v>
      </c>
      <c r="N88" s="116">
        <v>631.1</v>
      </c>
      <c r="O88" s="116">
        <v>618.4</v>
      </c>
      <c r="P88" s="116">
        <v>625</v>
      </c>
      <c r="Q88" s="116">
        <v>622.6</v>
      </c>
      <c r="R88">
        <v>85903</v>
      </c>
    </row>
    <row r="89" spans="1:18" x14ac:dyDescent="0.25">
      <c r="A89" s="170">
        <v>45007</v>
      </c>
      <c r="B89" s="116">
        <v>630.6</v>
      </c>
      <c r="C89" s="116">
        <v>628.4</v>
      </c>
      <c r="D89" s="116">
        <v>616.95000000000005</v>
      </c>
      <c r="E89" s="116">
        <v>616.95000000000005</v>
      </c>
      <c r="F89" s="116">
        <v>628.4</v>
      </c>
      <c r="G89">
        <v>2357</v>
      </c>
      <c r="H89" s="116"/>
      <c r="I89" s="116"/>
      <c r="L89" s="170">
        <v>45007</v>
      </c>
      <c r="M89" s="116">
        <v>628.95000000000005</v>
      </c>
      <c r="N89" s="116">
        <v>630</v>
      </c>
      <c r="O89" s="116">
        <v>621.15</v>
      </c>
      <c r="P89" s="116">
        <v>624</v>
      </c>
      <c r="Q89" s="116">
        <v>628.95000000000005</v>
      </c>
      <c r="R89">
        <v>36897</v>
      </c>
    </row>
    <row r="90" spans="1:18" x14ac:dyDescent="0.25">
      <c r="A90" s="170">
        <v>45008</v>
      </c>
      <c r="B90" s="116">
        <v>660</v>
      </c>
      <c r="C90" s="116">
        <v>646.5</v>
      </c>
      <c r="D90" s="116">
        <v>627.45000000000005</v>
      </c>
      <c r="E90" s="116">
        <v>627.45000000000005</v>
      </c>
      <c r="F90" s="116">
        <v>646.5</v>
      </c>
      <c r="G90">
        <v>7521</v>
      </c>
      <c r="H90" s="116"/>
      <c r="I90" s="116"/>
      <c r="L90" s="170">
        <v>45008</v>
      </c>
      <c r="M90" s="116">
        <v>647.79999999999995</v>
      </c>
      <c r="N90" s="116">
        <v>660</v>
      </c>
      <c r="O90" s="116">
        <v>627.70000000000005</v>
      </c>
      <c r="P90" s="116">
        <v>628.4</v>
      </c>
      <c r="Q90" s="116">
        <v>647.79999999999995</v>
      </c>
      <c r="R90">
        <v>171664</v>
      </c>
    </row>
    <row r="91" spans="1:18" x14ac:dyDescent="0.25">
      <c r="A91" s="170">
        <v>45009</v>
      </c>
      <c r="B91" s="116">
        <v>659.8</v>
      </c>
      <c r="C91" s="116">
        <v>649.25</v>
      </c>
      <c r="D91" s="116">
        <v>636</v>
      </c>
      <c r="E91" s="116">
        <v>647</v>
      </c>
      <c r="F91" s="116">
        <v>649.25</v>
      </c>
      <c r="G91">
        <v>7168</v>
      </c>
      <c r="H91" s="116"/>
      <c r="I91" s="116"/>
      <c r="L91" s="170">
        <v>45009</v>
      </c>
      <c r="M91" s="116">
        <v>653.54999999999995</v>
      </c>
      <c r="N91" s="116">
        <v>660</v>
      </c>
      <c r="O91" s="116">
        <v>636.75</v>
      </c>
      <c r="P91" s="116">
        <v>651.04999999999995</v>
      </c>
      <c r="Q91" s="116">
        <v>653.54999999999995</v>
      </c>
      <c r="R91">
        <v>96928</v>
      </c>
    </row>
    <row r="92" spans="1:18" x14ac:dyDescent="0.25">
      <c r="A92" s="170">
        <v>45012</v>
      </c>
      <c r="B92" s="116">
        <v>665.35</v>
      </c>
      <c r="C92" s="116">
        <v>657.45</v>
      </c>
      <c r="D92" s="116">
        <v>636.75</v>
      </c>
      <c r="E92" s="116">
        <v>656.4</v>
      </c>
      <c r="F92" s="116">
        <v>657.45</v>
      </c>
      <c r="G92">
        <v>5218</v>
      </c>
      <c r="H92" s="116"/>
      <c r="I92" s="116"/>
      <c r="L92" s="170">
        <v>45012</v>
      </c>
      <c r="M92" s="116">
        <v>658.65</v>
      </c>
      <c r="N92" s="116">
        <v>666</v>
      </c>
      <c r="O92" s="116">
        <v>635.79999999999995</v>
      </c>
      <c r="P92" s="116">
        <v>656.85</v>
      </c>
      <c r="Q92" s="116">
        <v>658.65</v>
      </c>
      <c r="R92">
        <v>153380</v>
      </c>
    </row>
    <row r="93" spans="1:18" x14ac:dyDescent="0.25">
      <c r="A93" s="170">
        <v>45013</v>
      </c>
      <c r="B93" s="116">
        <v>672.95</v>
      </c>
      <c r="C93" s="116">
        <v>651.15</v>
      </c>
      <c r="D93" s="116">
        <v>646.4</v>
      </c>
      <c r="E93" s="116">
        <v>672.95</v>
      </c>
      <c r="F93" s="116">
        <v>651.15</v>
      </c>
      <c r="G93">
        <v>4117</v>
      </c>
      <c r="H93" s="116"/>
      <c r="I93" s="116"/>
      <c r="L93" s="170">
        <v>45013</v>
      </c>
      <c r="M93" s="116">
        <v>651.70000000000005</v>
      </c>
      <c r="N93" s="116">
        <v>669.25</v>
      </c>
      <c r="O93" s="116">
        <v>646.1</v>
      </c>
      <c r="P93" s="116">
        <v>661.95</v>
      </c>
      <c r="Q93" s="116">
        <v>651.70000000000005</v>
      </c>
      <c r="R93">
        <v>185367</v>
      </c>
    </row>
    <row r="94" spans="1:18" x14ac:dyDescent="0.25">
      <c r="A94" s="170">
        <v>45014</v>
      </c>
      <c r="B94" s="116">
        <v>654</v>
      </c>
      <c r="C94" s="116">
        <v>647.9</v>
      </c>
      <c r="D94" s="116">
        <v>635</v>
      </c>
      <c r="E94" s="116">
        <v>639.04999999999995</v>
      </c>
      <c r="F94" s="116">
        <v>647.9</v>
      </c>
      <c r="G94">
        <v>4421</v>
      </c>
      <c r="H94" s="116"/>
      <c r="I94" s="116"/>
      <c r="L94" s="170">
        <v>45014</v>
      </c>
      <c r="M94" s="116">
        <v>643.1</v>
      </c>
      <c r="N94" s="116">
        <v>655</v>
      </c>
      <c r="O94" s="116">
        <v>634.04999999999995</v>
      </c>
      <c r="P94" s="116">
        <v>651.95000000000005</v>
      </c>
      <c r="Q94" s="116">
        <v>643.1</v>
      </c>
      <c r="R94">
        <v>497621</v>
      </c>
    </row>
    <row r="95" spans="1:18" x14ac:dyDescent="0.25">
      <c r="A95" s="170">
        <v>45016</v>
      </c>
      <c r="B95" s="116">
        <v>658.5</v>
      </c>
      <c r="C95" s="116">
        <v>650.70000000000005</v>
      </c>
      <c r="D95" s="116">
        <v>644</v>
      </c>
      <c r="E95" s="116">
        <v>650</v>
      </c>
      <c r="F95" s="116">
        <v>650.70000000000005</v>
      </c>
      <c r="G95">
        <v>6510</v>
      </c>
      <c r="H95" s="116"/>
      <c r="I95" s="116"/>
      <c r="L95" s="170">
        <v>45016</v>
      </c>
      <c r="M95" s="116">
        <v>650.45000000000005</v>
      </c>
      <c r="N95" s="116">
        <v>658.75</v>
      </c>
      <c r="O95" s="116">
        <v>644</v>
      </c>
      <c r="P95" s="116">
        <v>646.35</v>
      </c>
      <c r="Q95" s="116">
        <v>650.45000000000005</v>
      </c>
      <c r="R95">
        <v>110896</v>
      </c>
    </row>
    <row r="96" spans="1:18" x14ac:dyDescent="0.25">
      <c r="A96" s="170">
        <v>45019</v>
      </c>
      <c r="B96" s="116">
        <v>654</v>
      </c>
      <c r="C96" s="116">
        <v>638.29999999999995</v>
      </c>
      <c r="D96" s="116">
        <v>636.75</v>
      </c>
      <c r="E96" s="116">
        <v>647</v>
      </c>
      <c r="F96" s="116">
        <v>638.29999999999995</v>
      </c>
      <c r="G96">
        <v>5481</v>
      </c>
      <c r="H96" s="116"/>
      <c r="I96" s="116"/>
      <c r="L96" s="170">
        <v>45019</v>
      </c>
      <c r="M96" s="116">
        <v>639</v>
      </c>
      <c r="N96" s="116">
        <v>658</v>
      </c>
      <c r="O96" s="116">
        <v>636.5</v>
      </c>
      <c r="P96" s="116">
        <v>658</v>
      </c>
      <c r="Q96" s="116">
        <v>639</v>
      </c>
      <c r="R96">
        <v>530973</v>
      </c>
    </row>
    <row r="97" spans="1:18" x14ac:dyDescent="0.25">
      <c r="A97" s="170">
        <v>45021</v>
      </c>
      <c r="B97" s="116">
        <v>640.04999999999995</v>
      </c>
      <c r="C97" s="116">
        <v>630.4</v>
      </c>
      <c r="D97" s="116">
        <v>627</v>
      </c>
      <c r="E97" s="116">
        <v>635.15</v>
      </c>
      <c r="F97" s="116">
        <v>630.4</v>
      </c>
      <c r="G97">
        <v>3999</v>
      </c>
      <c r="H97" s="116"/>
      <c r="I97" s="116"/>
      <c r="L97" s="170">
        <v>45021</v>
      </c>
      <c r="M97" s="116">
        <v>630.85</v>
      </c>
      <c r="N97" s="116">
        <v>641.9</v>
      </c>
      <c r="O97" s="116">
        <v>626.25</v>
      </c>
      <c r="P97" s="116">
        <v>641.9</v>
      </c>
      <c r="Q97" s="116">
        <v>630.85</v>
      </c>
      <c r="R97">
        <v>192919</v>
      </c>
    </row>
    <row r="98" spans="1:18" x14ac:dyDescent="0.25">
      <c r="A98" s="170">
        <v>45022</v>
      </c>
      <c r="B98" s="116">
        <v>637.65</v>
      </c>
      <c r="C98" s="116">
        <v>619.75</v>
      </c>
      <c r="D98" s="116">
        <v>618.9</v>
      </c>
      <c r="E98" s="116">
        <v>632.04999999999995</v>
      </c>
      <c r="F98" s="116">
        <v>619.75</v>
      </c>
      <c r="G98">
        <v>3659</v>
      </c>
      <c r="H98" s="116"/>
      <c r="I98" s="116"/>
      <c r="L98" s="170">
        <v>45022</v>
      </c>
      <c r="M98" s="116">
        <v>620.04999999999995</v>
      </c>
      <c r="N98" s="116">
        <v>638.4</v>
      </c>
      <c r="O98" s="116">
        <v>618.04999999999995</v>
      </c>
      <c r="P98" s="116">
        <v>632</v>
      </c>
      <c r="Q98" s="116">
        <v>620.04999999999995</v>
      </c>
      <c r="R98">
        <v>110876</v>
      </c>
    </row>
    <row r="99" spans="1:18" x14ac:dyDescent="0.25">
      <c r="A99" s="170">
        <v>45026</v>
      </c>
      <c r="B99" s="116">
        <v>622.5</v>
      </c>
      <c r="C99" s="116">
        <v>611.15</v>
      </c>
      <c r="D99" s="116">
        <v>609</v>
      </c>
      <c r="E99" s="116">
        <v>618.04999999999995</v>
      </c>
      <c r="F99" s="116">
        <v>611.15</v>
      </c>
      <c r="G99">
        <v>5691</v>
      </c>
      <c r="H99" s="116"/>
      <c r="I99" s="116"/>
      <c r="L99" s="170">
        <v>45026</v>
      </c>
      <c r="M99" s="116">
        <v>610.35</v>
      </c>
      <c r="N99" s="116">
        <v>625.9</v>
      </c>
      <c r="O99" s="116">
        <v>607</v>
      </c>
      <c r="P99" s="116">
        <v>625.9</v>
      </c>
      <c r="Q99" s="116">
        <v>610.35</v>
      </c>
      <c r="R99">
        <v>77196</v>
      </c>
    </row>
    <row r="100" spans="1:18" x14ac:dyDescent="0.25">
      <c r="A100" s="170">
        <v>45027</v>
      </c>
      <c r="B100" s="116">
        <v>620.15</v>
      </c>
      <c r="C100" s="116">
        <v>611.29999999999995</v>
      </c>
      <c r="D100" s="116">
        <v>607</v>
      </c>
      <c r="E100" s="116">
        <v>615</v>
      </c>
      <c r="F100" s="116">
        <v>611.29999999999995</v>
      </c>
      <c r="G100">
        <v>7339</v>
      </c>
      <c r="H100" s="116"/>
      <c r="I100" s="116"/>
      <c r="L100" s="170">
        <v>45027</v>
      </c>
      <c r="M100" s="116">
        <v>612.20000000000005</v>
      </c>
      <c r="N100" s="116">
        <v>621.25</v>
      </c>
      <c r="O100" s="116">
        <v>607.25</v>
      </c>
      <c r="P100" s="116">
        <v>614.4</v>
      </c>
      <c r="Q100" s="116">
        <v>612.20000000000005</v>
      </c>
      <c r="R100">
        <v>88766</v>
      </c>
    </row>
    <row r="101" spans="1:18" x14ac:dyDescent="0.25">
      <c r="A101" s="170">
        <v>45028</v>
      </c>
      <c r="B101" s="116">
        <v>615.5</v>
      </c>
      <c r="C101" s="116">
        <v>610.35</v>
      </c>
      <c r="D101" s="116">
        <v>608.1</v>
      </c>
      <c r="E101" s="116">
        <v>610.15</v>
      </c>
      <c r="F101" s="116">
        <v>610.35</v>
      </c>
      <c r="G101">
        <v>4500</v>
      </c>
      <c r="H101" s="116"/>
      <c r="I101" s="116"/>
      <c r="L101" s="170">
        <v>45028</v>
      </c>
      <c r="M101" s="116">
        <v>611.20000000000005</v>
      </c>
      <c r="N101" s="116">
        <v>616.9</v>
      </c>
      <c r="O101" s="116">
        <v>608</v>
      </c>
      <c r="P101" s="116">
        <v>612.20000000000005</v>
      </c>
      <c r="Q101" s="116">
        <v>611.20000000000005</v>
      </c>
      <c r="R101">
        <v>75481</v>
      </c>
    </row>
    <row r="102" spans="1:18" x14ac:dyDescent="0.25">
      <c r="A102" s="170">
        <v>45029</v>
      </c>
      <c r="B102" s="116">
        <v>608</v>
      </c>
      <c r="C102" s="116">
        <v>582.85</v>
      </c>
      <c r="D102" s="116">
        <v>574.4</v>
      </c>
      <c r="E102" s="116">
        <v>605</v>
      </c>
      <c r="F102" s="116">
        <v>582.85</v>
      </c>
      <c r="G102">
        <v>16636</v>
      </c>
      <c r="H102" s="116"/>
      <c r="I102" s="116"/>
      <c r="L102" s="170">
        <v>45029</v>
      </c>
      <c r="M102" s="116">
        <v>583.4</v>
      </c>
      <c r="N102" s="116">
        <v>608.35</v>
      </c>
      <c r="O102" s="116">
        <v>574.25</v>
      </c>
      <c r="P102" s="116">
        <v>600</v>
      </c>
      <c r="Q102" s="116">
        <v>583.4</v>
      </c>
      <c r="R102">
        <v>417231</v>
      </c>
    </row>
    <row r="103" spans="1:18" x14ac:dyDescent="0.25">
      <c r="A103" s="170">
        <v>45033</v>
      </c>
      <c r="B103" s="116">
        <v>581.79999999999995</v>
      </c>
      <c r="C103" s="116">
        <v>549.15</v>
      </c>
      <c r="D103" s="116">
        <v>547.45000000000005</v>
      </c>
      <c r="E103" s="116">
        <v>580</v>
      </c>
      <c r="F103" s="116">
        <v>549.15</v>
      </c>
      <c r="G103">
        <v>10302</v>
      </c>
      <c r="H103" s="116"/>
      <c r="I103" s="116"/>
      <c r="L103" s="170">
        <v>45033</v>
      </c>
      <c r="M103" s="116">
        <v>550.20000000000005</v>
      </c>
      <c r="N103" s="116">
        <v>582.79999999999995</v>
      </c>
      <c r="O103" s="116">
        <v>546.70000000000005</v>
      </c>
      <c r="P103" s="116">
        <v>582.79999999999995</v>
      </c>
      <c r="Q103" s="116">
        <v>550.20000000000005</v>
      </c>
      <c r="R103">
        <v>387789</v>
      </c>
    </row>
    <row r="104" spans="1:18" x14ac:dyDescent="0.25">
      <c r="A104" s="170">
        <v>45034</v>
      </c>
      <c r="B104" s="116">
        <v>557.65</v>
      </c>
      <c r="C104" s="116">
        <v>546.5</v>
      </c>
      <c r="D104" s="116">
        <v>541</v>
      </c>
      <c r="E104" s="116">
        <v>551.1</v>
      </c>
      <c r="F104" s="116">
        <v>546.5</v>
      </c>
      <c r="G104">
        <v>8083</v>
      </c>
      <c r="H104" s="116"/>
      <c r="I104" s="116"/>
      <c r="L104" s="170">
        <v>45034</v>
      </c>
      <c r="M104" s="116">
        <v>545.45000000000005</v>
      </c>
      <c r="N104" s="116">
        <v>557.79999999999995</v>
      </c>
      <c r="O104" s="116">
        <v>540.45000000000005</v>
      </c>
      <c r="P104" s="116">
        <v>554</v>
      </c>
      <c r="Q104" s="116">
        <v>545.45000000000005</v>
      </c>
      <c r="R104">
        <v>244800</v>
      </c>
    </row>
    <row r="105" spans="1:18" x14ac:dyDescent="0.25">
      <c r="A105" s="170">
        <v>45035</v>
      </c>
      <c r="B105" s="116">
        <v>549.79999999999995</v>
      </c>
      <c r="C105" s="116">
        <v>529.6</v>
      </c>
      <c r="D105" s="116">
        <v>526.5</v>
      </c>
      <c r="E105" s="116">
        <v>546.5</v>
      </c>
      <c r="F105" s="116">
        <v>529.6</v>
      </c>
      <c r="G105">
        <v>13492</v>
      </c>
      <c r="H105" s="116"/>
      <c r="I105" s="116"/>
      <c r="L105" s="170">
        <v>45035</v>
      </c>
      <c r="M105" s="116">
        <v>529.70000000000005</v>
      </c>
      <c r="N105" s="116">
        <v>549.75</v>
      </c>
      <c r="O105" s="116">
        <v>526.5</v>
      </c>
      <c r="P105" s="116">
        <v>548.75</v>
      </c>
      <c r="Q105" s="116">
        <v>529.70000000000005</v>
      </c>
      <c r="R105">
        <v>208263</v>
      </c>
    </row>
    <row r="106" spans="1:18" x14ac:dyDescent="0.25">
      <c r="A106" s="170">
        <v>45036</v>
      </c>
      <c r="B106" s="116">
        <v>535.04999999999995</v>
      </c>
      <c r="C106" s="116">
        <v>527.25</v>
      </c>
      <c r="D106" s="116">
        <v>521.6</v>
      </c>
      <c r="E106" s="116">
        <v>528.54999999999995</v>
      </c>
      <c r="F106" s="116">
        <v>527.25</v>
      </c>
      <c r="G106">
        <v>9458</v>
      </c>
      <c r="H106" s="116"/>
      <c r="I106" s="116"/>
      <c r="L106" s="170">
        <v>45036</v>
      </c>
      <c r="M106" s="116">
        <v>529.95000000000005</v>
      </c>
      <c r="N106" s="116">
        <v>536.85</v>
      </c>
      <c r="O106" s="116">
        <v>526</v>
      </c>
      <c r="P106" s="116">
        <v>531.1</v>
      </c>
      <c r="Q106" s="116">
        <v>529.95000000000005</v>
      </c>
      <c r="R106">
        <v>98906</v>
      </c>
    </row>
    <row r="107" spans="1:18" x14ac:dyDescent="0.25">
      <c r="A107" s="170">
        <v>45037</v>
      </c>
      <c r="B107" s="116">
        <v>550.4</v>
      </c>
      <c r="C107" s="116">
        <v>544.04999999999995</v>
      </c>
      <c r="D107" s="116">
        <v>530.45000000000005</v>
      </c>
      <c r="E107" s="116">
        <v>530.45000000000005</v>
      </c>
      <c r="F107" s="116">
        <v>544.04999999999995</v>
      </c>
      <c r="G107">
        <v>9531</v>
      </c>
      <c r="H107" s="116"/>
      <c r="I107" s="116"/>
      <c r="L107" s="170">
        <v>45037</v>
      </c>
      <c r="M107" s="116">
        <v>543.75</v>
      </c>
      <c r="N107" s="116">
        <v>551.79999999999995</v>
      </c>
      <c r="O107" s="116">
        <v>529</v>
      </c>
      <c r="P107" s="116">
        <v>529</v>
      </c>
      <c r="Q107" s="116">
        <v>543.75</v>
      </c>
      <c r="R107">
        <v>429336</v>
      </c>
    </row>
    <row r="108" spans="1:18" x14ac:dyDescent="0.25">
      <c r="A108" s="170">
        <v>45040</v>
      </c>
      <c r="B108" s="116">
        <v>557.15</v>
      </c>
      <c r="C108" s="116">
        <v>554.4</v>
      </c>
      <c r="D108" s="116">
        <v>536.4</v>
      </c>
      <c r="E108" s="116">
        <v>545.04999999999995</v>
      </c>
      <c r="F108" s="116">
        <v>554.4</v>
      </c>
      <c r="G108">
        <v>21600</v>
      </c>
      <c r="H108" s="116"/>
      <c r="I108" s="116"/>
      <c r="L108" s="170">
        <v>45040</v>
      </c>
      <c r="M108" s="116">
        <v>554.6</v>
      </c>
      <c r="N108" s="116">
        <v>558</v>
      </c>
      <c r="O108" s="116">
        <v>537</v>
      </c>
      <c r="P108" s="116">
        <v>549</v>
      </c>
      <c r="Q108" s="116">
        <v>554.6</v>
      </c>
      <c r="R108">
        <v>178753</v>
      </c>
    </row>
    <row r="109" spans="1:18" x14ac:dyDescent="0.25">
      <c r="A109" s="170">
        <v>45041</v>
      </c>
      <c r="B109" s="116">
        <v>562.95000000000005</v>
      </c>
      <c r="C109" s="116">
        <v>558.85</v>
      </c>
      <c r="D109" s="116">
        <v>550.70000000000005</v>
      </c>
      <c r="E109" s="116">
        <v>553</v>
      </c>
      <c r="F109" s="116">
        <v>558.85</v>
      </c>
      <c r="G109">
        <v>4818</v>
      </c>
      <c r="H109" s="116"/>
      <c r="I109" s="116"/>
      <c r="L109" s="170">
        <v>45041</v>
      </c>
      <c r="M109" s="116">
        <v>560.79999999999995</v>
      </c>
      <c r="N109" s="116">
        <v>563.29999999999995</v>
      </c>
      <c r="O109" s="116">
        <v>554.04999999999995</v>
      </c>
      <c r="P109" s="116">
        <v>554.6</v>
      </c>
      <c r="Q109" s="116">
        <v>560.79999999999995</v>
      </c>
      <c r="R109">
        <v>183746</v>
      </c>
    </row>
    <row r="110" spans="1:18" x14ac:dyDescent="0.25">
      <c r="A110" s="170">
        <v>45042</v>
      </c>
      <c r="B110" s="116">
        <v>563.4</v>
      </c>
      <c r="C110" s="116">
        <v>553.95000000000005</v>
      </c>
      <c r="D110" s="116">
        <v>552</v>
      </c>
      <c r="E110" s="116">
        <v>562.95000000000005</v>
      </c>
      <c r="F110" s="116">
        <v>553.95000000000005</v>
      </c>
      <c r="G110">
        <v>4271</v>
      </c>
      <c r="H110" s="116"/>
      <c r="I110" s="116"/>
      <c r="L110" s="170">
        <v>45042</v>
      </c>
      <c r="M110" s="116">
        <v>553.6</v>
      </c>
      <c r="N110" s="116">
        <v>564.35</v>
      </c>
      <c r="O110" s="116">
        <v>551</v>
      </c>
      <c r="P110" s="116">
        <v>563</v>
      </c>
      <c r="Q110" s="116">
        <v>553.6</v>
      </c>
      <c r="R110">
        <v>90932</v>
      </c>
    </row>
    <row r="111" spans="1:18" x14ac:dyDescent="0.25">
      <c r="A111" s="170">
        <v>45043</v>
      </c>
      <c r="B111" s="116">
        <v>554.45000000000005</v>
      </c>
      <c r="C111" s="116">
        <v>544.45000000000005</v>
      </c>
      <c r="D111" s="116">
        <v>536.5</v>
      </c>
      <c r="E111" s="116">
        <v>552.04999999999995</v>
      </c>
      <c r="F111" s="116">
        <v>544.45000000000005</v>
      </c>
      <c r="G111">
        <v>24391</v>
      </c>
      <c r="H111" s="116"/>
      <c r="I111" s="116"/>
      <c r="L111" s="170">
        <v>45043</v>
      </c>
      <c r="M111" s="116">
        <v>544.54999999999995</v>
      </c>
      <c r="N111" s="116">
        <v>555.9</v>
      </c>
      <c r="O111" s="116">
        <v>536.29999999999995</v>
      </c>
      <c r="P111" s="116">
        <v>553.6</v>
      </c>
      <c r="Q111" s="116">
        <v>544.54999999999995</v>
      </c>
      <c r="R111">
        <v>140501</v>
      </c>
    </row>
    <row r="112" spans="1:18" x14ac:dyDescent="0.25">
      <c r="A112" s="170">
        <v>45044</v>
      </c>
      <c r="B112" s="116">
        <v>553.15</v>
      </c>
      <c r="C112" s="116">
        <v>550.15</v>
      </c>
      <c r="D112" s="116">
        <v>540.04999999999995</v>
      </c>
      <c r="E112" s="116">
        <v>540.04999999999995</v>
      </c>
      <c r="F112" s="116">
        <v>550.15</v>
      </c>
      <c r="G112">
        <v>2505</v>
      </c>
      <c r="H112" s="116"/>
      <c r="I112" s="116"/>
      <c r="L112" s="170">
        <v>45044</v>
      </c>
      <c r="M112" s="116">
        <v>550.85</v>
      </c>
      <c r="N112" s="116">
        <v>553</v>
      </c>
      <c r="O112" s="116">
        <v>543.95000000000005</v>
      </c>
      <c r="P112" s="116">
        <v>544</v>
      </c>
      <c r="Q112" s="116">
        <v>550.85</v>
      </c>
      <c r="R112">
        <v>51762</v>
      </c>
    </row>
    <row r="113" spans="1:18" x14ac:dyDescent="0.25">
      <c r="A113" s="170">
        <v>45048</v>
      </c>
      <c r="B113" s="116">
        <v>560</v>
      </c>
      <c r="C113" s="116">
        <v>545.29999999999995</v>
      </c>
      <c r="D113" s="116">
        <v>543</v>
      </c>
      <c r="E113" s="116">
        <v>555.6</v>
      </c>
      <c r="F113" s="116">
        <v>545.29999999999995</v>
      </c>
      <c r="G113">
        <v>9005</v>
      </c>
      <c r="H113" s="116"/>
      <c r="I113" s="116"/>
      <c r="L113" s="170">
        <v>45048</v>
      </c>
      <c r="M113" s="116">
        <v>544.75</v>
      </c>
      <c r="N113" s="116">
        <v>560.65</v>
      </c>
      <c r="O113" s="116">
        <v>542.6</v>
      </c>
      <c r="P113" s="116">
        <v>551.5</v>
      </c>
      <c r="Q113" s="116">
        <v>544.75</v>
      </c>
      <c r="R113">
        <v>112550</v>
      </c>
    </row>
    <row r="114" spans="1:18" x14ac:dyDescent="0.25">
      <c r="A114" s="170">
        <v>45049</v>
      </c>
      <c r="B114" s="116">
        <v>554.9</v>
      </c>
      <c r="C114" s="116">
        <v>543.54999999999995</v>
      </c>
      <c r="D114" s="116">
        <v>540</v>
      </c>
      <c r="E114" s="116">
        <v>554.9</v>
      </c>
      <c r="F114" s="116">
        <v>543.54999999999995</v>
      </c>
      <c r="G114">
        <v>4689</v>
      </c>
      <c r="H114" s="116"/>
      <c r="I114" s="116"/>
      <c r="L114" s="170">
        <v>45049</v>
      </c>
      <c r="M114" s="116">
        <v>544.9</v>
      </c>
      <c r="N114" s="116">
        <v>549.9</v>
      </c>
      <c r="O114" s="116">
        <v>540</v>
      </c>
      <c r="P114" s="116">
        <v>548</v>
      </c>
      <c r="Q114" s="116">
        <v>544.9</v>
      </c>
      <c r="R114">
        <v>39598</v>
      </c>
    </row>
    <row r="115" spans="1:18" x14ac:dyDescent="0.25">
      <c r="A115" s="170">
        <v>45050</v>
      </c>
      <c r="B115" s="116">
        <v>556</v>
      </c>
      <c r="C115" s="116">
        <v>540.54999999999995</v>
      </c>
      <c r="D115" s="116">
        <v>537.45000000000005</v>
      </c>
      <c r="E115" s="116">
        <v>556</v>
      </c>
      <c r="F115" s="116">
        <v>540.54999999999995</v>
      </c>
      <c r="G115">
        <v>5851</v>
      </c>
      <c r="H115" s="116"/>
      <c r="I115" s="116"/>
      <c r="L115" s="170">
        <v>45050</v>
      </c>
      <c r="M115" s="116">
        <v>539.79999999999995</v>
      </c>
      <c r="N115" s="116">
        <v>557</v>
      </c>
      <c r="O115" s="116">
        <v>537.20000000000005</v>
      </c>
      <c r="P115" s="116">
        <v>554.9</v>
      </c>
      <c r="Q115" s="116">
        <v>539.79999999999995</v>
      </c>
      <c r="R115">
        <v>78562</v>
      </c>
    </row>
    <row r="116" spans="1:18" x14ac:dyDescent="0.25">
      <c r="A116" s="170">
        <v>45051</v>
      </c>
      <c r="B116" s="116">
        <v>549.65</v>
      </c>
      <c r="C116" s="116">
        <v>548.54999999999995</v>
      </c>
      <c r="D116" s="116">
        <v>539.25</v>
      </c>
      <c r="E116" s="116">
        <v>541.15</v>
      </c>
      <c r="F116" s="116">
        <v>548.54999999999995</v>
      </c>
      <c r="G116">
        <v>5988</v>
      </c>
      <c r="H116" s="116"/>
      <c r="I116" s="116"/>
      <c r="L116" s="170">
        <v>45051</v>
      </c>
      <c r="M116" s="116">
        <v>549</v>
      </c>
      <c r="N116" s="116">
        <v>549.9</v>
      </c>
      <c r="O116" s="116">
        <v>540.15</v>
      </c>
      <c r="P116" s="116">
        <v>542.45000000000005</v>
      </c>
      <c r="Q116" s="116">
        <v>549</v>
      </c>
      <c r="R116">
        <v>68551</v>
      </c>
    </row>
    <row r="117" spans="1:18" x14ac:dyDescent="0.25">
      <c r="A117" s="170">
        <v>45054</v>
      </c>
      <c r="B117" s="116">
        <v>559</v>
      </c>
      <c r="C117" s="116">
        <v>550.75</v>
      </c>
      <c r="D117" s="116">
        <v>543.35</v>
      </c>
      <c r="E117" s="116">
        <v>550</v>
      </c>
      <c r="F117" s="116">
        <v>550.75</v>
      </c>
      <c r="G117">
        <v>4049</v>
      </c>
      <c r="H117" s="116"/>
      <c r="I117" s="116"/>
      <c r="L117" s="170">
        <v>45054</v>
      </c>
      <c r="M117" s="116">
        <v>551</v>
      </c>
      <c r="N117" s="116">
        <v>558.29999999999995</v>
      </c>
      <c r="O117" s="116">
        <v>543</v>
      </c>
      <c r="P117" s="116">
        <v>549.95000000000005</v>
      </c>
      <c r="Q117" s="116">
        <v>551</v>
      </c>
      <c r="R117">
        <v>74775</v>
      </c>
    </row>
    <row r="118" spans="1:18" x14ac:dyDescent="0.25">
      <c r="A118" s="170">
        <v>45055</v>
      </c>
      <c r="B118" s="116">
        <v>550.9</v>
      </c>
      <c r="C118" s="116">
        <v>545.9</v>
      </c>
      <c r="D118" s="116">
        <v>540.75</v>
      </c>
      <c r="E118" s="116">
        <v>544.29999999999995</v>
      </c>
      <c r="F118" s="116">
        <v>545.9</v>
      </c>
      <c r="G118">
        <v>2376</v>
      </c>
      <c r="H118" s="116"/>
      <c r="I118" s="116"/>
      <c r="L118" s="170">
        <v>45055</v>
      </c>
      <c r="M118" s="116">
        <v>545.15</v>
      </c>
      <c r="N118" s="116">
        <v>551.95000000000005</v>
      </c>
      <c r="O118" s="116">
        <v>538.79999999999995</v>
      </c>
      <c r="P118" s="116">
        <v>542</v>
      </c>
      <c r="Q118" s="116">
        <v>545.15</v>
      </c>
      <c r="R118">
        <v>75758</v>
      </c>
    </row>
    <row r="119" spans="1:18" x14ac:dyDescent="0.25">
      <c r="A119" s="170">
        <v>45056</v>
      </c>
      <c r="B119" s="116">
        <v>551.5</v>
      </c>
      <c r="C119" s="116">
        <v>547.35</v>
      </c>
      <c r="D119" s="116">
        <v>520</v>
      </c>
      <c r="E119" s="116">
        <v>520</v>
      </c>
      <c r="F119" s="116">
        <v>547.35</v>
      </c>
      <c r="G119">
        <v>11123</v>
      </c>
      <c r="H119" s="116"/>
      <c r="I119" s="116"/>
      <c r="L119" s="170">
        <v>45056</v>
      </c>
      <c r="M119" s="116">
        <v>546.25</v>
      </c>
      <c r="N119" s="116">
        <v>549</v>
      </c>
      <c r="O119" s="116">
        <v>534.29999999999995</v>
      </c>
      <c r="P119" s="116">
        <v>541.5</v>
      </c>
      <c r="Q119" s="116">
        <v>546.25</v>
      </c>
      <c r="R119">
        <v>79842</v>
      </c>
    </row>
    <row r="120" spans="1:18" x14ac:dyDescent="0.25">
      <c r="A120" s="170">
        <v>45057</v>
      </c>
      <c r="B120" s="116">
        <v>552.4</v>
      </c>
      <c r="C120" s="116">
        <v>542.25</v>
      </c>
      <c r="D120" s="116">
        <v>540.35</v>
      </c>
      <c r="E120" s="116">
        <v>547.4</v>
      </c>
      <c r="F120" s="116">
        <v>542.25</v>
      </c>
      <c r="G120">
        <v>10457</v>
      </c>
      <c r="H120" s="116"/>
      <c r="I120" s="116"/>
      <c r="L120" s="170">
        <v>45057</v>
      </c>
      <c r="M120" s="116">
        <v>542.04999999999995</v>
      </c>
      <c r="N120" s="116">
        <v>551</v>
      </c>
      <c r="O120" s="116">
        <v>540</v>
      </c>
      <c r="P120" s="116">
        <v>549.25</v>
      </c>
      <c r="Q120" s="116">
        <v>542.04999999999995</v>
      </c>
      <c r="R120">
        <v>100476</v>
      </c>
    </row>
    <row r="121" spans="1:18" x14ac:dyDescent="0.25">
      <c r="A121" s="170">
        <v>45058</v>
      </c>
      <c r="B121" s="116">
        <v>553.4</v>
      </c>
      <c r="C121" s="116">
        <v>548.54999999999995</v>
      </c>
      <c r="D121" s="116">
        <v>543.04999999999995</v>
      </c>
      <c r="E121" s="116">
        <v>551</v>
      </c>
      <c r="F121" s="116">
        <v>548.54999999999995</v>
      </c>
      <c r="G121">
        <v>10462</v>
      </c>
      <c r="H121" s="116"/>
      <c r="I121" s="116"/>
      <c r="L121" s="170">
        <v>45058</v>
      </c>
      <c r="M121" s="116">
        <v>548.6</v>
      </c>
      <c r="N121" s="116">
        <v>553.1</v>
      </c>
      <c r="O121" s="116">
        <v>543.20000000000005</v>
      </c>
      <c r="P121" s="116">
        <v>544.95000000000005</v>
      </c>
      <c r="Q121" s="116">
        <v>548.6</v>
      </c>
      <c r="R121">
        <v>157427</v>
      </c>
    </row>
    <row r="122" spans="1:18" x14ac:dyDescent="0.25">
      <c r="A122" s="170">
        <v>45061</v>
      </c>
      <c r="B122" s="116">
        <v>550.5</v>
      </c>
      <c r="C122" s="116">
        <v>527.4</v>
      </c>
      <c r="D122" s="116">
        <v>522.4</v>
      </c>
      <c r="E122" s="116">
        <v>547</v>
      </c>
      <c r="F122" s="116">
        <v>527.4</v>
      </c>
      <c r="G122">
        <v>6516</v>
      </c>
      <c r="H122" s="116"/>
      <c r="I122" s="116"/>
      <c r="L122" s="170">
        <v>45061</v>
      </c>
      <c r="M122" s="116">
        <v>527.75</v>
      </c>
      <c r="N122" s="116">
        <v>552.9</v>
      </c>
      <c r="O122" s="116">
        <v>522.70000000000005</v>
      </c>
      <c r="P122" s="116">
        <v>552.70000000000005</v>
      </c>
      <c r="Q122" s="116">
        <v>527.75</v>
      </c>
      <c r="R122">
        <v>194808</v>
      </c>
    </row>
    <row r="123" spans="1:18" x14ac:dyDescent="0.25">
      <c r="A123" s="170">
        <v>45062</v>
      </c>
      <c r="B123" s="116">
        <v>542.95000000000005</v>
      </c>
      <c r="C123" s="116">
        <v>538.04999999999995</v>
      </c>
      <c r="D123" s="116">
        <v>529.6</v>
      </c>
      <c r="E123" s="116">
        <v>537</v>
      </c>
      <c r="F123" s="116">
        <v>538.04999999999995</v>
      </c>
      <c r="G123">
        <v>3432</v>
      </c>
      <c r="H123" s="116"/>
      <c r="I123" s="116"/>
      <c r="L123" s="170">
        <v>45062</v>
      </c>
      <c r="M123" s="116">
        <v>538.85</v>
      </c>
      <c r="N123" s="116">
        <v>543.9</v>
      </c>
      <c r="O123" s="116">
        <v>527.70000000000005</v>
      </c>
      <c r="P123" s="116">
        <v>530</v>
      </c>
      <c r="Q123" s="116">
        <v>538.85</v>
      </c>
      <c r="R123">
        <v>93111</v>
      </c>
    </row>
    <row r="124" spans="1:18" x14ac:dyDescent="0.25">
      <c r="A124" s="170">
        <v>45063</v>
      </c>
      <c r="B124" s="116">
        <v>546.65</v>
      </c>
      <c r="C124" s="116">
        <v>545.45000000000005</v>
      </c>
      <c r="D124" s="116">
        <v>534.04999999999995</v>
      </c>
      <c r="E124" s="116">
        <v>537.54999999999995</v>
      </c>
      <c r="F124" s="116">
        <v>545.45000000000005</v>
      </c>
      <c r="G124">
        <v>2566</v>
      </c>
      <c r="H124" s="116"/>
      <c r="I124" s="116"/>
      <c r="L124" s="170">
        <v>45063</v>
      </c>
      <c r="M124" s="116">
        <v>541.35</v>
      </c>
      <c r="N124" s="116">
        <v>544.9</v>
      </c>
      <c r="O124" s="116">
        <v>536</v>
      </c>
      <c r="P124" s="116">
        <v>538.79999999999995</v>
      </c>
      <c r="Q124" s="116">
        <v>541.35</v>
      </c>
      <c r="R124">
        <v>58609</v>
      </c>
    </row>
    <row r="125" spans="1:18" x14ac:dyDescent="0.25">
      <c r="A125" s="170">
        <v>45064</v>
      </c>
      <c r="B125" s="116">
        <v>547.15</v>
      </c>
      <c r="C125" s="116">
        <v>536.85</v>
      </c>
      <c r="D125" s="116">
        <v>529.15</v>
      </c>
      <c r="E125" s="116">
        <v>544.95000000000005</v>
      </c>
      <c r="F125" s="116">
        <v>536.85</v>
      </c>
      <c r="G125">
        <v>10452</v>
      </c>
      <c r="H125" s="116"/>
      <c r="I125" s="116"/>
      <c r="L125" s="170">
        <v>45064</v>
      </c>
      <c r="M125" s="116">
        <v>535.25</v>
      </c>
      <c r="N125" s="116">
        <v>547.04999999999995</v>
      </c>
      <c r="O125" s="116">
        <v>529.29999999999995</v>
      </c>
      <c r="P125" s="116">
        <v>544</v>
      </c>
      <c r="Q125" s="116">
        <v>535.25</v>
      </c>
      <c r="R125">
        <v>100237</v>
      </c>
    </row>
    <row r="126" spans="1:18" x14ac:dyDescent="0.25">
      <c r="A126" s="170">
        <v>45065</v>
      </c>
      <c r="B126" s="116">
        <v>543</v>
      </c>
      <c r="C126" s="116">
        <v>540.70000000000005</v>
      </c>
      <c r="D126" s="116">
        <v>530.45000000000005</v>
      </c>
      <c r="E126" s="116">
        <v>536.9</v>
      </c>
      <c r="F126" s="116">
        <v>540.70000000000005</v>
      </c>
      <c r="G126">
        <v>10931</v>
      </c>
      <c r="H126" s="116"/>
      <c r="I126" s="116"/>
      <c r="L126" s="170">
        <v>45065</v>
      </c>
      <c r="M126" s="116">
        <v>540</v>
      </c>
      <c r="N126" s="116">
        <v>543.1</v>
      </c>
      <c r="O126" s="116">
        <v>530.79999999999995</v>
      </c>
      <c r="P126" s="116">
        <v>538.29999999999995</v>
      </c>
      <c r="Q126" s="116">
        <v>540</v>
      </c>
      <c r="R126">
        <v>64402</v>
      </c>
    </row>
    <row r="127" spans="1:18" x14ac:dyDescent="0.25">
      <c r="A127" s="170">
        <v>45068</v>
      </c>
      <c r="B127" s="116">
        <v>546</v>
      </c>
      <c r="C127" s="116">
        <v>542.70000000000005</v>
      </c>
      <c r="D127" s="116">
        <v>537</v>
      </c>
      <c r="E127" s="116">
        <v>545.9</v>
      </c>
      <c r="F127" s="116">
        <v>542.70000000000005</v>
      </c>
      <c r="G127">
        <v>7696</v>
      </c>
      <c r="H127" s="116"/>
      <c r="I127" s="116"/>
      <c r="L127" s="170">
        <v>45068</v>
      </c>
      <c r="M127" s="116">
        <v>542.85</v>
      </c>
      <c r="N127" s="116">
        <v>545</v>
      </c>
      <c r="O127" s="116">
        <v>537.25</v>
      </c>
      <c r="P127" s="116">
        <v>543.9</v>
      </c>
      <c r="Q127" s="116">
        <v>542.85</v>
      </c>
      <c r="R127">
        <v>47235</v>
      </c>
    </row>
    <row r="128" spans="1:18" x14ac:dyDescent="0.25">
      <c r="A128" s="170">
        <v>45069</v>
      </c>
      <c r="B128" s="116">
        <v>544.75</v>
      </c>
      <c r="C128" s="116">
        <v>538.1</v>
      </c>
      <c r="D128" s="116">
        <v>532.79999999999995</v>
      </c>
      <c r="E128" s="116">
        <v>542.95000000000005</v>
      </c>
      <c r="F128" s="116">
        <v>538.1</v>
      </c>
      <c r="G128">
        <v>3575</v>
      </c>
      <c r="H128" s="116"/>
      <c r="I128" s="116"/>
      <c r="L128" s="170">
        <v>45069</v>
      </c>
      <c r="M128" s="116">
        <v>537.65</v>
      </c>
      <c r="N128" s="116">
        <v>546.29999999999995</v>
      </c>
      <c r="O128" s="116">
        <v>533</v>
      </c>
      <c r="P128" s="116">
        <v>546.29999999999995</v>
      </c>
      <c r="Q128" s="116">
        <v>537.65</v>
      </c>
      <c r="R128">
        <v>60332</v>
      </c>
    </row>
    <row r="129" spans="1:18" x14ac:dyDescent="0.25">
      <c r="A129" s="170">
        <v>45070</v>
      </c>
      <c r="B129" s="116">
        <v>543.54999999999995</v>
      </c>
      <c r="C129" s="116">
        <v>541.35</v>
      </c>
      <c r="D129" s="116">
        <v>534.70000000000005</v>
      </c>
      <c r="E129" s="116">
        <v>535.9</v>
      </c>
      <c r="F129" s="116">
        <v>541.35</v>
      </c>
      <c r="G129">
        <v>7960</v>
      </c>
      <c r="H129" s="116"/>
      <c r="I129" s="116"/>
      <c r="L129" s="170">
        <v>45070</v>
      </c>
      <c r="M129" s="116">
        <v>539.75</v>
      </c>
      <c r="N129" s="116">
        <v>543.79999999999995</v>
      </c>
      <c r="O129" s="116">
        <v>532.85</v>
      </c>
      <c r="P129" s="116">
        <v>533</v>
      </c>
      <c r="Q129" s="116">
        <v>539.75</v>
      </c>
      <c r="R129">
        <v>48100</v>
      </c>
    </row>
    <row r="130" spans="1:18" x14ac:dyDescent="0.25">
      <c r="A130" s="170">
        <v>45071</v>
      </c>
      <c r="B130" s="116">
        <v>542.35</v>
      </c>
      <c r="C130" s="116">
        <v>533.70000000000005</v>
      </c>
      <c r="D130" s="116">
        <v>530</v>
      </c>
      <c r="E130" s="116">
        <v>536.9</v>
      </c>
      <c r="F130" s="116">
        <v>533.70000000000005</v>
      </c>
      <c r="G130">
        <v>5367</v>
      </c>
      <c r="H130" s="116"/>
      <c r="I130" s="116"/>
      <c r="L130" s="170">
        <v>45071</v>
      </c>
      <c r="M130" s="116">
        <v>532.5</v>
      </c>
      <c r="N130" s="116">
        <v>543.45000000000005</v>
      </c>
      <c r="O130" s="116">
        <v>530</v>
      </c>
      <c r="P130" s="116">
        <v>536</v>
      </c>
      <c r="Q130" s="116">
        <v>532.5</v>
      </c>
      <c r="R130">
        <v>88598</v>
      </c>
    </row>
    <row r="131" spans="1:18" x14ac:dyDescent="0.25">
      <c r="A131" s="170">
        <v>45072</v>
      </c>
      <c r="B131" s="116">
        <v>536.5</v>
      </c>
      <c r="C131" s="116">
        <v>531.4</v>
      </c>
      <c r="D131" s="116">
        <v>524.6</v>
      </c>
      <c r="E131" s="116">
        <v>529.79999999999995</v>
      </c>
      <c r="F131" s="116">
        <v>531.4</v>
      </c>
      <c r="G131">
        <v>9555</v>
      </c>
      <c r="H131" s="116"/>
      <c r="I131" s="116"/>
      <c r="L131" s="170">
        <v>45072</v>
      </c>
      <c r="M131" s="116">
        <v>531.79999999999995</v>
      </c>
      <c r="N131" s="116">
        <v>536.70000000000005</v>
      </c>
      <c r="O131" s="116">
        <v>525.15</v>
      </c>
      <c r="P131" s="116">
        <v>529</v>
      </c>
      <c r="Q131" s="116">
        <v>531.79999999999995</v>
      </c>
      <c r="R131">
        <v>78927</v>
      </c>
    </row>
    <row r="132" spans="1:18" x14ac:dyDescent="0.25">
      <c r="A132" s="170">
        <v>45075</v>
      </c>
      <c r="B132" s="116">
        <v>577.95000000000005</v>
      </c>
      <c r="C132" s="116">
        <v>547.25</v>
      </c>
      <c r="D132" s="116">
        <v>539.5</v>
      </c>
      <c r="E132" s="116">
        <v>577.95000000000005</v>
      </c>
      <c r="F132" s="116">
        <v>547.25</v>
      </c>
      <c r="G132">
        <v>32498</v>
      </c>
      <c r="H132" s="116"/>
      <c r="I132" s="116"/>
      <c r="L132" s="170">
        <v>45075</v>
      </c>
      <c r="M132" s="116">
        <v>546.75</v>
      </c>
      <c r="N132" s="116">
        <v>568.15</v>
      </c>
      <c r="O132" s="116">
        <v>542</v>
      </c>
      <c r="P132" s="116">
        <v>566</v>
      </c>
      <c r="Q132" s="116">
        <v>546.75</v>
      </c>
      <c r="R132">
        <v>617788</v>
      </c>
    </row>
    <row r="133" spans="1:18" x14ac:dyDescent="0.25">
      <c r="A133" s="170">
        <v>45076</v>
      </c>
      <c r="B133" s="116">
        <v>552</v>
      </c>
      <c r="C133" s="116">
        <v>542.6</v>
      </c>
      <c r="D133" s="116">
        <v>537.65</v>
      </c>
      <c r="E133" s="116">
        <v>542.65</v>
      </c>
      <c r="F133" s="116">
        <v>542.6</v>
      </c>
      <c r="G133">
        <v>28213</v>
      </c>
      <c r="H133" s="116"/>
      <c r="I133" s="116"/>
      <c r="L133" s="170">
        <v>45076</v>
      </c>
      <c r="M133" s="116">
        <v>543.85</v>
      </c>
      <c r="N133" s="116">
        <v>551.1</v>
      </c>
      <c r="O133" s="116">
        <v>539.04999999999995</v>
      </c>
      <c r="P133" s="116">
        <v>549.79999999999995</v>
      </c>
      <c r="Q133" s="116">
        <v>543.85</v>
      </c>
      <c r="R133">
        <v>186063</v>
      </c>
    </row>
    <row r="134" spans="1:18" x14ac:dyDescent="0.25">
      <c r="A134" s="170">
        <v>45077</v>
      </c>
      <c r="B134" s="116">
        <v>547.95000000000005</v>
      </c>
      <c r="C134" s="116">
        <v>545.20000000000005</v>
      </c>
      <c r="D134" s="116">
        <v>539.65</v>
      </c>
      <c r="E134" s="116">
        <v>543.5</v>
      </c>
      <c r="F134" s="116">
        <v>545.20000000000005</v>
      </c>
      <c r="G134">
        <v>10196</v>
      </c>
      <c r="H134" s="116"/>
      <c r="I134" s="116"/>
      <c r="L134" s="170">
        <v>45077</v>
      </c>
      <c r="M134" s="116">
        <v>545.65</v>
      </c>
      <c r="N134" s="116">
        <v>548.35</v>
      </c>
      <c r="O134" s="116">
        <v>539.04999999999995</v>
      </c>
      <c r="P134" s="116">
        <v>547.9</v>
      </c>
      <c r="Q134" s="116">
        <v>545.65</v>
      </c>
      <c r="R134">
        <v>158650</v>
      </c>
    </row>
    <row r="135" spans="1:18" x14ac:dyDescent="0.25">
      <c r="A135" s="170">
        <v>45078</v>
      </c>
      <c r="B135" s="116">
        <v>550</v>
      </c>
      <c r="C135" s="116">
        <v>544.15</v>
      </c>
      <c r="D135" s="116">
        <v>542</v>
      </c>
      <c r="E135" s="116">
        <v>549.9</v>
      </c>
      <c r="F135" s="116">
        <v>544.15</v>
      </c>
      <c r="G135">
        <v>7406</v>
      </c>
      <c r="H135" s="116"/>
      <c r="I135" s="116"/>
      <c r="L135" s="170">
        <v>45078</v>
      </c>
      <c r="M135" s="116">
        <v>544.65</v>
      </c>
      <c r="N135" s="116">
        <v>551.65</v>
      </c>
      <c r="O135" s="116">
        <v>542.45000000000005</v>
      </c>
      <c r="P135" s="116">
        <v>548</v>
      </c>
      <c r="Q135" s="116">
        <v>544.65</v>
      </c>
      <c r="R135">
        <v>127568</v>
      </c>
    </row>
    <row r="136" spans="1:18" x14ac:dyDescent="0.25">
      <c r="A136" s="170">
        <v>45079</v>
      </c>
      <c r="B136" s="116">
        <v>548.5</v>
      </c>
      <c r="C136" s="116">
        <v>545.5</v>
      </c>
      <c r="D136" s="116">
        <v>540.20000000000005</v>
      </c>
      <c r="E136" s="116">
        <v>545.15</v>
      </c>
      <c r="F136" s="116">
        <v>545.5</v>
      </c>
      <c r="G136">
        <v>9806</v>
      </c>
      <c r="H136" s="116"/>
      <c r="I136" s="116"/>
      <c r="L136" s="170">
        <v>45079</v>
      </c>
      <c r="M136" s="116">
        <v>544.9</v>
      </c>
      <c r="N136" s="116">
        <v>547.95000000000005</v>
      </c>
      <c r="O136" s="116">
        <v>540.5</v>
      </c>
      <c r="P136" s="116">
        <v>547.95000000000005</v>
      </c>
      <c r="Q136" s="116">
        <v>544.9</v>
      </c>
      <c r="R136">
        <v>122302</v>
      </c>
    </row>
    <row r="137" spans="1:18" x14ac:dyDescent="0.25">
      <c r="A137" s="170">
        <v>45082</v>
      </c>
      <c r="B137" s="116">
        <v>557.95000000000005</v>
      </c>
      <c r="C137" s="116">
        <v>554.54999999999995</v>
      </c>
      <c r="D137" s="116">
        <v>547.75</v>
      </c>
      <c r="E137" s="116">
        <v>548.04999999999995</v>
      </c>
      <c r="F137" s="116">
        <v>554.54999999999995</v>
      </c>
      <c r="G137">
        <v>16952</v>
      </c>
      <c r="H137" s="116"/>
      <c r="I137" s="116"/>
      <c r="L137" s="170">
        <v>45082</v>
      </c>
      <c r="M137" s="116">
        <v>553.5</v>
      </c>
      <c r="N137" s="116">
        <v>558.15</v>
      </c>
      <c r="O137" s="116">
        <v>546.65</v>
      </c>
      <c r="P137" s="116">
        <v>547.5</v>
      </c>
      <c r="Q137" s="116">
        <v>553.5</v>
      </c>
      <c r="R137">
        <v>251479</v>
      </c>
    </row>
    <row r="138" spans="1:18" x14ac:dyDescent="0.25">
      <c r="A138" s="170">
        <v>45083</v>
      </c>
      <c r="B138" s="116">
        <v>594</v>
      </c>
      <c r="C138" s="116">
        <v>586.45000000000005</v>
      </c>
      <c r="D138" s="116">
        <v>557</v>
      </c>
      <c r="E138" s="116">
        <v>557</v>
      </c>
      <c r="F138" s="116">
        <v>586.45000000000005</v>
      </c>
      <c r="G138">
        <v>70813</v>
      </c>
      <c r="H138" s="116"/>
      <c r="I138" s="116"/>
      <c r="L138" s="170">
        <v>45083</v>
      </c>
      <c r="M138" s="116">
        <v>586.35</v>
      </c>
      <c r="N138" s="116">
        <v>594.9</v>
      </c>
      <c r="O138" s="116">
        <v>557.04999999999995</v>
      </c>
      <c r="P138" s="116">
        <v>559</v>
      </c>
      <c r="Q138" s="116">
        <v>586.35</v>
      </c>
      <c r="R138">
        <v>810963</v>
      </c>
    </row>
    <row r="139" spans="1:18" x14ac:dyDescent="0.25">
      <c r="A139" s="170">
        <v>45084</v>
      </c>
      <c r="B139" s="116">
        <v>609</v>
      </c>
      <c r="C139" s="116">
        <v>596.45000000000005</v>
      </c>
      <c r="D139" s="116">
        <v>588.70000000000005</v>
      </c>
      <c r="E139" s="116">
        <v>590.15</v>
      </c>
      <c r="F139" s="116">
        <v>596.45000000000005</v>
      </c>
      <c r="G139">
        <v>52409</v>
      </c>
      <c r="H139" s="116"/>
      <c r="I139" s="116"/>
      <c r="L139" s="170">
        <v>45084</v>
      </c>
      <c r="M139" s="116">
        <v>597.35</v>
      </c>
      <c r="N139" s="116">
        <v>609.35</v>
      </c>
      <c r="O139" s="116">
        <v>588.79999999999995</v>
      </c>
      <c r="P139" s="116">
        <v>594.4</v>
      </c>
      <c r="Q139" s="116">
        <v>597.35</v>
      </c>
      <c r="R139">
        <v>359198</v>
      </c>
    </row>
    <row r="140" spans="1:18" x14ac:dyDescent="0.25">
      <c r="A140" s="170">
        <v>45085</v>
      </c>
      <c r="B140" s="116">
        <v>600.5</v>
      </c>
      <c r="C140" s="116">
        <v>582.6</v>
      </c>
      <c r="D140" s="116">
        <v>578.65</v>
      </c>
      <c r="E140" s="116">
        <v>588.04999999999995</v>
      </c>
      <c r="F140" s="116">
        <v>582.6</v>
      </c>
      <c r="G140">
        <v>28634</v>
      </c>
      <c r="H140" s="116"/>
      <c r="I140" s="116"/>
      <c r="L140" s="170">
        <v>45085</v>
      </c>
      <c r="M140" s="116">
        <v>582.9</v>
      </c>
      <c r="N140" s="116">
        <v>601.25</v>
      </c>
      <c r="O140" s="116">
        <v>578.6</v>
      </c>
      <c r="P140" s="116">
        <v>596</v>
      </c>
      <c r="Q140" s="116">
        <v>582.9</v>
      </c>
      <c r="R140">
        <v>363324</v>
      </c>
    </row>
    <row r="141" spans="1:18" x14ac:dyDescent="0.25">
      <c r="A141" s="170">
        <v>45086</v>
      </c>
      <c r="B141" s="116">
        <v>585.85</v>
      </c>
      <c r="C141" s="116">
        <v>582.25</v>
      </c>
      <c r="D141" s="116">
        <v>576.15</v>
      </c>
      <c r="E141" s="116">
        <v>585.85</v>
      </c>
      <c r="F141" s="116">
        <v>582.25</v>
      </c>
      <c r="G141">
        <v>8510</v>
      </c>
      <c r="H141" s="116"/>
      <c r="I141" s="116"/>
      <c r="L141" s="170">
        <v>45086</v>
      </c>
      <c r="M141" s="116">
        <v>583.20000000000005</v>
      </c>
      <c r="N141" s="116">
        <v>588</v>
      </c>
      <c r="O141" s="116">
        <v>576.5</v>
      </c>
      <c r="P141" s="116">
        <v>588</v>
      </c>
      <c r="Q141" s="116">
        <v>583.20000000000005</v>
      </c>
      <c r="R141">
        <v>126927</v>
      </c>
    </row>
    <row r="142" spans="1:18" x14ac:dyDescent="0.25">
      <c r="A142" s="170">
        <v>45089</v>
      </c>
      <c r="B142" s="116">
        <v>593.15</v>
      </c>
      <c r="C142" s="116">
        <v>580.85</v>
      </c>
      <c r="D142" s="116">
        <v>577.20000000000005</v>
      </c>
      <c r="E142" s="116">
        <v>586</v>
      </c>
      <c r="F142" s="116">
        <v>580.85</v>
      </c>
      <c r="G142">
        <v>6336</v>
      </c>
      <c r="H142" s="116"/>
      <c r="I142" s="116"/>
      <c r="L142" s="170">
        <v>45089</v>
      </c>
      <c r="M142" s="116">
        <v>580.15</v>
      </c>
      <c r="N142" s="116">
        <v>591.45000000000005</v>
      </c>
      <c r="O142" s="116">
        <v>576.65</v>
      </c>
      <c r="P142" s="116">
        <v>585.70000000000005</v>
      </c>
      <c r="Q142" s="116">
        <v>580.15</v>
      </c>
      <c r="R142">
        <v>185913</v>
      </c>
    </row>
    <row r="143" spans="1:18" x14ac:dyDescent="0.25">
      <c r="A143" s="170">
        <v>45090</v>
      </c>
      <c r="B143" s="116">
        <v>580.95000000000005</v>
      </c>
      <c r="C143" s="116">
        <v>569.75</v>
      </c>
      <c r="D143" s="116">
        <v>565.15</v>
      </c>
      <c r="E143" s="116">
        <v>580.85</v>
      </c>
      <c r="F143" s="116">
        <v>569.75</v>
      </c>
      <c r="G143">
        <v>24767</v>
      </c>
      <c r="H143" s="116"/>
      <c r="I143" s="116"/>
      <c r="L143" s="170">
        <v>45090</v>
      </c>
      <c r="M143" s="116">
        <v>569.5</v>
      </c>
      <c r="N143" s="116">
        <v>580.95000000000005</v>
      </c>
      <c r="O143" s="116">
        <v>566.54999999999995</v>
      </c>
      <c r="P143" s="116">
        <v>580.15</v>
      </c>
      <c r="Q143" s="116">
        <v>569.5</v>
      </c>
      <c r="R143">
        <v>217310</v>
      </c>
    </row>
    <row r="144" spans="1:18" x14ac:dyDescent="0.25">
      <c r="A144" s="170">
        <v>45091</v>
      </c>
      <c r="B144" s="116">
        <v>574.29999999999995</v>
      </c>
      <c r="C144" s="116">
        <v>564.20000000000005</v>
      </c>
      <c r="D144" s="116">
        <v>561.6</v>
      </c>
      <c r="E144" s="116">
        <v>569.5</v>
      </c>
      <c r="F144" s="116">
        <v>564.20000000000005</v>
      </c>
      <c r="G144">
        <v>14124</v>
      </c>
      <c r="H144" s="116"/>
      <c r="I144" s="116"/>
      <c r="L144" s="170">
        <v>45091</v>
      </c>
      <c r="M144" s="116">
        <v>564.65</v>
      </c>
      <c r="N144" s="116">
        <v>574.95000000000005</v>
      </c>
      <c r="O144" s="116">
        <v>561.70000000000005</v>
      </c>
      <c r="P144" s="116">
        <v>569.5</v>
      </c>
      <c r="Q144" s="116">
        <v>564.65</v>
      </c>
      <c r="R144">
        <v>170636</v>
      </c>
    </row>
    <row r="145" spans="1:18" x14ac:dyDescent="0.25">
      <c r="A145" s="170">
        <v>45092</v>
      </c>
      <c r="B145" s="116">
        <v>576.95000000000005</v>
      </c>
      <c r="C145" s="116">
        <v>564</v>
      </c>
      <c r="D145" s="116">
        <v>562</v>
      </c>
      <c r="E145" s="116">
        <v>576.95000000000005</v>
      </c>
      <c r="F145" s="116">
        <v>564</v>
      </c>
      <c r="G145">
        <v>6300</v>
      </c>
      <c r="H145" s="116"/>
      <c r="I145" s="116"/>
      <c r="L145" s="170">
        <v>45092</v>
      </c>
      <c r="M145" s="116">
        <v>563.79999999999995</v>
      </c>
      <c r="N145" s="116">
        <v>577.5</v>
      </c>
      <c r="O145" s="116">
        <v>561.35</v>
      </c>
      <c r="P145" s="116">
        <v>565</v>
      </c>
      <c r="Q145" s="116">
        <v>563.79999999999995</v>
      </c>
      <c r="R145">
        <v>222314</v>
      </c>
    </row>
    <row r="146" spans="1:18" x14ac:dyDescent="0.25">
      <c r="A146" s="170">
        <v>45093</v>
      </c>
      <c r="B146" s="116">
        <v>574.35</v>
      </c>
      <c r="C146" s="116">
        <v>565.9</v>
      </c>
      <c r="D146" s="116">
        <v>563.79999999999995</v>
      </c>
      <c r="E146" s="116">
        <v>569</v>
      </c>
      <c r="F146" s="116">
        <v>565.9</v>
      </c>
      <c r="G146">
        <v>13518</v>
      </c>
      <c r="H146" s="116"/>
      <c r="I146" s="116"/>
      <c r="L146" s="170">
        <v>45093</v>
      </c>
      <c r="M146" s="116">
        <v>566.20000000000005</v>
      </c>
      <c r="N146" s="116">
        <v>573.95000000000005</v>
      </c>
      <c r="O146" s="116">
        <v>563.79999999999995</v>
      </c>
      <c r="P146" s="116">
        <v>565</v>
      </c>
      <c r="Q146" s="116">
        <v>566.20000000000005</v>
      </c>
      <c r="R146">
        <v>122441</v>
      </c>
    </row>
    <row r="147" spans="1:18" x14ac:dyDescent="0.25">
      <c r="A147" s="170">
        <v>45096</v>
      </c>
      <c r="B147" s="116">
        <v>575.4</v>
      </c>
      <c r="C147" s="116">
        <v>557.35</v>
      </c>
      <c r="D147" s="116">
        <v>554.29999999999995</v>
      </c>
      <c r="E147" s="116">
        <v>572.29999999999995</v>
      </c>
      <c r="F147" s="116">
        <v>557.35</v>
      </c>
      <c r="G147">
        <v>6201</v>
      </c>
      <c r="H147" s="116"/>
      <c r="I147" s="116"/>
      <c r="L147" s="170">
        <v>45096</v>
      </c>
      <c r="M147" s="116">
        <v>555.35</v>
      </c>
      <c r="N147" s="116">
        <v>576.25</v>
      </c>
      <c r="O147" s="116">
        <v>554.04999999999995</v>
      </c>
      <c r="P147" s="116">
        <v>573</v>
      </c>
      <c r="Q147" s="116">
        <v>555.35</v>
      </c>
      <c r="R147">
        <v>187007</v>
      </c>
    </row>
    <row r="148" spans="1:18" x14ac:dyDescent="0.25">
      <c r="A148" s="170">
        <v>45097</v>
      </c>
      <c r="B148" s="116">
        <v>559</v>
      </c>
      <c r="C148" s="116">
        <v>531.25</v>
      </c>
      <c r="D148" s="116">
        <v>518.9</v>
      </c>
      <c r="E148" s="116">
        <v>551.6</v>
      </c>
      <c r="F148" s="116">
        <v>531.25</v>
      </c>
      <c r="G148">
        <v>76263</v>
      </c>
      <c r="H148" s="116"/>
      <c r="I148" s="116"/>
      <c r="L148" s="170">
        <v>45097</v>
      </c>
      <c r="M148" s="116">
        <v>531</v>
      </c>
      <c r="N148" s="116">
        <v>559.79999999999995</v>
      </c>
      <c r="O148" s="116">
        <v>510</v>
      </c>
      <c r="P148" s="116">
        <v>556.65</v>
      </c>
      <c r="Q148" s="116">
        <v>531</v>
      </c>
      <c r="R148">
        <v>2102589</v>
      </c>
    </row>
    <row r="149" spans="1:18" x14ac:dyDescent="0.25">
      <c r="A149" s="170">
        <v>45098</v>
      </c>
      <c r="B149" s="116">
        <v>549</v>
      </c>
      <c r="C149" s="116">
        <v>537.29999999999995</v>
      </c>
      <c r="D149" s="116">
        <v>535</v>
      </c>
      <c r="E149" s="116">
        <v>536</v>
      </c>
      <c r="F149" s="116">
        <v>537.29999999999995</v>
      </c>
      <c r="G149">
        <v>24674</v>
      </c>
      <c r="H149" s="116"/>
      <c r="I149" s="116"/>
      <c r="L149" s="170">
        <v>45098</v>
      </c>
      <c r="M149" s="116">
        <v>537.35</v>
      </c>
      <c r="N149" s="116">
        <v>549.25</v>
      </c>
      <c r="O149" s="116">
        <v>534.20000000000005</v>
      </c>
      <c r="P149" s="116">
        <v>536.9</v>
      </c>
      <c r="Q149" s="116">
        <v>537.35</v>
      </c>
      <c r="R149">
        <v>312267</v>
      </c>
    </row>
    <row r="150" spans="1:18" x14ac:dyDescent="0.25">
      <c r="A150" s="170">
        <v>45099</v>
      </c>
      <c r="B150" s="116">
        <v>545.20000000000005</v>
      </c>
      <c r="C150" s="116">
        <v>539.85</v>
      </c>
      <c r="D150" s="116">
        <v>531.5</v>
      </c>
      <c r="E150" s="116">
        <v>544.75</v>
      </c>
      <c r="F150" s="116">
        <v>539.85</v>
      </c>
      <c r="G150">
        <v>7234</v>
      </c>
      <c r="H150" s="116"/>
      <c r="I150" s="116"/>
      <c r="L150" s="170">
        <v>45099</v>
      </c>
      <c r="M150" s="116">
        <v>539.9</v>
      </c>
      <c r="N150" s="116">
        <v>547.54999999999995</v>
      </c>
      <c r="O150" s="116">
        <v>531.35</v>
      </c>
      <c r="P150" s="116">
        <v>538.95000000000005</v>
      </c>
      <c r="Q150" s="116">
        <v>539.9</v>
      </c>
      <c r="R150">
        <v>210166</v>
      </c>
    </row>
    <row r="151" spans="1:18" x14ac:dyDescent="0.25">
      <c r="A151" s="170">
        <v>45100</v>
      </c>
      <c r="B151" s="116">
        <v>552.70000000000005</v>
      </c>
      <c r="C151" s="116">
        <v>534.79999999999995</v>
      </c>
      <c r="D151" s="116">
        <v>534</v>
      </c>
      <c r="E151" s="116">
        <v>546.95000000000005</v>
      </c>
      <c r="F151" s="116">
        <v>534.79999999999995</v>
      </c>
      <c r="G151">
        <v>13554</v>
      </c>
      <c r="H151" s="116"/>
      <c r="I151" s="116"/>
      <c r="L151" s="170">
        <v>45100</v>
      </c>
      <c r="M151" s="116">
        <v>535.1</v>
      </c>
      <c r="N151" s="116">
        <v>552.9</v>
      </c>
      <c r="O151" s="116">
        <v>533.4</v>
      </c>
      <c r="P151" s="116">
        <v>542.4</v>
      </c>
      <c r="Q151" s="116">
        <v>535.1</v>
      </c>
      <c r="R151">
        <v>242356</v>
      </c>
    </row>
    <row r="152" spans="1:18" x14ac:dyDescent="0.25">
      <c r="A152" s="170">
        <v>45103</v>
      </c>
      <c r="B152" s="116">
        <v>542.65</v>
      </c>
      <c r="C152" s="116">
        <v>532.15</v>
      </c>
      <c r="D152" s="116">
        <v>526.54999999999995</v>
      </c>
      <c r="E152" s="116">
        <v>534.85</v>
      </c>
      <c r="F152" s="116">
        <v>532.15</v>
      </c>
      <c r="G152">
        <v>5784</v>
      </c>
      <c r="H152" s="116"/>
      <c r="I152" s="116"/>
      <c r="L152" s="170">
        <v>45103</v>
      </c>
      <c r="M152" s="116">
        <v>533.4</v>
      </c>
      <c r="N152" s="116">
        <v>542.4</v>
      </c>
      <c r="O152" s="116">
        <v>530</v>
      </c>
      <c r="P152" s="116">
        <v>537.5</v>
      </c>
      <c r="Q152" s="116">
        <v>533.4</v>
      </c>
      <c r="R152">
        <v>109395</v>
      </c>
    </row>
    <row r="153" spans="1:18" x14ac:dyDescent="0.25">
      <c r="A153" s="170">
        <v>45104</v>
      </c>
      <c r="B153" s="116">
        <v>541.5</v>
      </c>
      <c r="C153" s="116">
        <v>540.15</v>
      </c>
      <c r="D153" s="116">
        <v>529.04999999999995</v>
      </c>
      <c r="E153" s="116">
        <v>533</v>
      </c>
      <c r="F153" s="116">
        <v>540.15</v>
      </c>
      <c r="G153">
        <v>8496</v>
      </c>
      <c r="H153" s="116"/>
      <c r="I153" s="116"/>
      <c r="L153" s="170">
        <v>45104</v>
      </c>
      <c r="M153" s="116">
        <v>540.1</v>
      </c>
      <c r="N153" s="116">
        <v>541.95000000000005</v>
      </c>
      <c r="O153" s="116">
        <v>529.04999999999995</v>
      </c>
      <c r="P153" s="116">
        <v>538.9</v>
      </c>
      <c r="Q153" s="116">
        <v>540.1</v>
      </c>
      <c r="R153">
        <v>249526</v>
      </c>
    </row>
    <row r="154" spans="1:18" x14ac:dyDescent="0.25">
      <c r="A154" s="170">
        <v>45105</v>
      </c>
      <c r="B154" s="116">
        <v>544.54999999999995</v>
      </c>
      <c r="C154" s="116">
        <v>540.25</v>
      </c>
      <c r="D154" s="116">
        <v>530</v>
      </c>
      <c r="E154" s="116">
        <v>542</v>
      </c>
      <c r="F154" s="116">
        <v>540.25</v>
      </c>
      <c r="G154">
        <v>19492</v>
      </c>
      <c r="H154" s="116"/>
      <c r="I154" s="116"/>
      <c r="L154" s="170">
        <v>45105</v>
      </c>
      <c r="M154" s="116">
        <v>540.45000000000005</v>
      </c>
      <c r="N154" s="116">
        <v>544.70000000000005</v>
      </c>
      <c r="O154" s="116">
        <v>529.79999999999995</v>
      </c>
      <c r="P154" s="116">
        <v>544.70000000000005</v>
      </c>
      <c r="Q154" s="116">
        <v>540.45000000000005</v>
      </c>
      <c r="R154">
        <v>291476</v>
      </c>
    </row>
    <row r="155" spans="1:18" x14ac:dyDescent="0.25">
      <c r="A155" s="170">
        <v>45107</v>
      </c>
      <c r="B155" s="116">
        <v>543.45000000000005</v>
      </c>
      <c r="C155" s="116">
        <v>537</v>
      </c>
      <c r="D155" s="116">
        <v>531.70000000000005</v>
      </c>
      <c r="E155" s="116">
        <v>541</v>
      </c>
      <c r="F155" s="116">
        <v>537</v>
      </c>
      <c r="G155">
        <v>8716</v>
      </c>
      <c r="H155" s="116"/>
      <c r="I155" s="116"/>
      <c r="L155" s="170">
        <v>45107</v>
      </c>
      <c r="M155" s="116">
        <v>536.25</v>
      </c>
      <c r="N155" s="116">
        <v>544</v>
      </c>
      <c r="O155" s="116">
        <v>531.6</v>
      </c>
      <c r="P155" s="116">
        <v>540.5</v>
      </c>
      <c r="Q155" s="116">
        <v>536.25</v>
      </c>
      <c r="R155">
        <v>259326</v>
      </c>
    </row>
    <row r="156" spans="1:18" x14ac:dyDescent="0.25">
      <c r="A156" s="170">
        <v>45110</v>
      </c>
      <c r="B156" s="116">
        <v>550.95000000000005</v>
      </c>
      <c r="C156" s="116">
        <v>545.35</v>
      </c>
      <c r="D156" s="116">
        <v>541</v>
      </c>
      <c r="E156" s="116">
        <v>548.85</v>
      </c>
      <c r="F156" s="116">
        <v>545.35</v>
      </c>
      <c r="G156">
        <v>35482</v>
      </c>
      <c r="H156" s="116"/>
      <c r="I156" s="116"/>
      <c r="L156" s="170">
        <v>45110</v>
      </c>
      <c r="M156" s="116">
        <v>545.15</v>
      </c>
      <c r="N156" s="116">
        <v>551.95000000000005</v>
      </c>
      <c r="O156" s="116">
        <v>542.1</v>
      </c>
      <c r="P156" s="116">
        <v>545</v>
      </c>
      <c r="Q156" s="116">
        <v>545.15</v>
      </c>
      <c r="R156">
        <v>313325</v>
      </c>
    </row>
    <row r="157" spans="1:18" x14ac:dyDescent="0.25">
      <c r="A157" s="170">
        <v>45111</v>
      </c>
      <c r="B157" s="116">
        <v>551.9</v>
      </c>
      <c r="C157" s="116">
        <v>538.25</v>
      </c>
      <c r="D157" s="116">
        <v>536</v>
      </c>
      <c r="E157" s="116">
        <v>542.85</v>
      </c>
      <c r="F157" s="116">
        <v>538.25</v>
      </c>
      <c r="G157">
        <v>18638</v>
      </c>
      <c r="H157" s="116"/>
      <c r="I157" s="116"/>
      <c r="L157" s="170">
        <v>45111</v>
      </c>
      <c r="M157" s="116">
        <v>537.9</v>
      </c>
      <c r="N157" s="116">
        <v>553.75</v>
      </c>
      <c r="O157" s="116">
        <v>535</v>
      </c>
      <c r="P157" s="116">
        <v>549.85</v>
      </c>
      <c r="Q157" s="116">
        <v>537.9</v>
      </c>
      <c r="R157">
        <v>160389</v>
      </c>
    </row>
    <row r="158" spans="1:18" x14ac:dyDescent="0.25">
      <c r="A158" s="170">
        <v>45112</v>
      </c>
      <c r="B158" s="116">
        <v>543.5</v>
      </c>
      <c r="C158" s="116">
        <v>535.85</v>
      </c>
      <c r="D158" s="116">
        <v>532.75</v>
      </c>
      <c r="E158" s="116">
        <v>543.5</v>
      </c>
      <c r="F158" s="116">
        <v>535.85</v>
      </c>
      <c r="G158">
        <v>15849</v>
      </c>
      <c r="H158" s="116"/>
      <c r="I158" s="116"/>
      <c r="L158" s="170">
        <v>45112</v>
      </c>
      <c r="M158" s="116">
        <v>536.45000000000005</v>
      </c>
      <c r="N158" s="116">
        <v>541.70000000000005</v>
      </c>
      <c r="O158" s="116">
        <v>532.6</v>
      </c>
      <c r="P158" s="116">
        <v>540.54999999999995</v>
      </c>
      <c r="Q158" s="116">
        <v>536.45000000000005</v>
      </c>
      <c r="R158">
        <v>137220</v>
      </c>
    </row>
    <row r="159" spans="1:18" x14ac:dyDescent="0.25">
      <c r="A159" s="170">
        <v>45113</v>
      </c>
      <c r="B159" s="116">
        <v>541.95000000000005</v>
      </c>
      <c r="C159" s="116">
        <v>539.20000000000005</v>
      </c>
      <c r="D159" s="116">
        <v>530</v>
      </c>
      <c r="E159" s="116">
        <v>539.95000000000005</v>
      </c>
      <c r="F159" s="116">
        <v>539.20000000000005</v>
      </c>
      <c r="G159">
        <v>14714</v>
      </c>
      <c r="H159" s="116"/>
      <c r="I159" s="116"/>
      <c r="L159" s="170">
        <v>45113</v>
      </c>
      <c r="M159" s="116">
        <v>538.79999999999995</v>
      </c>
      <c r="N159" s="116">
        <v>542.04999999999995</v>
      </c>
      <c r="O159" s="116">
        <v>534.65</v>
      </c>
      <c r="P159" s="116">
        <v>536.45000000000005</v>
      </c>
      <c r="Q159" s="116">
        <v>538.79999999999995</v>
      </c>
      <c r="R159">
        <v>134137</v>
      </c>
    </row>
    <row r="160" spans="1:18" x14ac:dyDescent="0.25">
      <c r="A160" s="170">
        <v>45114</v>
      </c>
      <c r="B160" s="116">
        <v>540.5</v>
      </c>
      <c r="C160" s="116">
        <v>534.75</v>
      </c>
      <c r="D160" s="116">
        <v>532</v>
      </c>
      <c r="E160" s="116">
        <v>539.45000000000005</v>
      </c>
      <c r="F160" s="116">
        <v>534.75</v>
      </c>
      <c r="G160">
        <v>13519</v>
      </c>
      <c r="H160" s="116"/>
      <c r="I160" s="116"/>
      <c r="L160" s="170">
        <v>45114</v>
      </c>
      <c r="M160" s="116">
        <v>534.54999999999995</v>
      </c>
      <c r="N160" s="116">
        <v>540.95000000000005</v>
      </c>
      <c r="O160" s="116">
        <v>532.04999999999995</v>
      </c>
      <c r="P160" s="116">
        <v>539.4</v>
      </c>
      <c r="Q160" s="116">
        <v>534.54999999999995</v>
      </c>
      <c r="R160">
        <v>114843</v>
      </c>
    </row>
    <row r="161" spans="1:18" x14ac:dyDescent="0.25">
      <c r="A161" s="170">
        <v>45117</v>
      </c>
      <c r="B161" s="116">
        <v>548.4</v>
      </c>
      <c r="C161" s="116">
        <v>538.75</v>
      </c>
      <c r="D161" s="116">
        <v>535</v>
      </c>
      <c r="E161" s="116">
        <v>540.5</v>
      </c>
      <c r="F161" s="116">
        <v>538.75</v>
      </c>
      <c r="G161">
        <v>21614</v>
      </c>
      <c r="H161" s="116"/>
      <c r="I161" s="116"/>
      <c r="L161" s="170">
        <v>45117</v>
      </c>
      <c r="M161" s="116">
        <v>537.9</v>
      </c>
      <c r="N161" s="116">
        <v>548.25</v>
      </c>
      <c r="O161" s="116">
        <v>534.65</v>
      </c>
      <c r="P161" s="116">
        <v>543</v>
      </c>
      <c r="Q161" s="116">
        <v>537.9</v>
      </c>
      <c r="R161">
        <v>187860</v>
      </c>
    </row>
    <row r="162" spans="1:18" x14ac:dyDescent="0.25">
      <c r="A162" s="170">
        <v>45118</v>
      </c>
      <c r="B162" s="116">
        <v>538.25</v>
      </c>
      <c r="C162" s="116">
        <v>534.6</v>
      </c>
      <c r="D162" s="116">
        <v>531.54999999999995</v>
      </c>
      <c r="E162" s="116">
        <v>537</v>
      </c>
      <c r="F162" s="116">
        <v>534.6</v>
      </c>
      <c r="G162">
        <v>18118</v>
      </c>
      <c r="H162" s="116"/>
      <c r="I162" s="116"/>
      <c r="L162" s="170">
        <v>45118</v>
      </c>
      <c r="M162" s="116">
        <v>534.5</v>
      </c>
      <c r="N162" s="116">
        <v>537.9</v>
      </c>
      <c r="O162" s="116">
        <v>531.1</v>
      </c>
      <c r="P162" s="116">
        <v>537</v>
      </c>
      <c r="Q162" s="116">
        <v>534.5</v>
      </c>
      <c r="R162">
        <v>137610</v>
      </c>
    </row>
    <row r="163" spans="1:18" x14ac:dyDescent="0.25">
      <c r="A163" s="170">
        <v>45119</v>
      </c>
      <c r="B163" s="116">
        <v>544.9</v>
      </c>
      <c r="C163" s="116">
        <v>539</v>
      </c>
      <c r="D163" s="116">
        <v>530.1</v>
      </c>
      <c r="E163" s="116">
        <v>538.9</v>
      </c>
      <c r="F163" s="116">
        <v>539</v>
      </c>
      <c r="G163">
        <v>21899</v>
      </c>
      <c r="H163" s="116"/>
      <c r="I163" s="116"/>
      <c r="L163" s="170">
        <v>45119</v>
      </c>
      <c r="M163" s="116">
        <v>538.85</v>
      </c>
      <c r="N163" s="116">
        <v>545</v>
      </c>
      <c r="O163" s="116">
        <v>530.1</v>
      </c>
      <c r="P163" s="116">
        <v>537</v>
      </c>
      <c r="Q163" s="116">
        <v>538.85</v>
      </c>
      <c r="R163">
        <v>191264</v>
      </c>
    </row>
    <row r="164" spans="1:18" x14ac:dyDescent="0.25">
      <c r="A164" s="170">
        <v>45120</v>
      </c>
      <c r="B164" s="116">
        <v>540.1</v>
      </c>
      <c r="C164" s="116">
        <v>533.35</v>
      </c>
      <c r="D164" s="116">
        <v>531.95000000000005</v>
      </c>
      <c r="E164" s="116">
        <v>537.04999999999995</v>
      </c>
      <c r="F164" s="116">
        <v>533.35</v>
      </c>
      <c r="G164">
        <v>15224</v>
      </c>
      <c r="H164" s="116"/>
      <c r="I164" s="116"/>
      <c r="L164" s="170">
        <v>45120</v>
      </c>
      <c r="M164" s="116">
        <v>533.65</v>
      </c>
      <c r="N164" s="116">
        <v>542.70000000000005</v>
      </c>
      <c r="O164" s="116">
        <v>532.1</v>
      </c>
      <c r="P164" s="116">
        <v>542.70000000000005</v>
      </c>
      <c r="Q164" s="116">
        <v>533.65</v>
      </c>
      <c r="R164">
        <v>130335</v>
      </c>
    </row>
    <row r="165" spans="1:18" x14ac:dyDescent="0.25">
      <c r="A165" s="170">
        <v>45121</v>
      </c>
      <c r="B165" s="116">
        <v>538.95000000000005</v>
      </c>
      <c r="C165" s="116">
        <v>530.20000000000005</v>
      </c>
      <c r="D165" s="116">
        <v>526.54999999999995</v>
      </c>
      <c r="E165" s="116">
        <v>538.95000000000005</v>
      </c>
      <c r="F165" s="116">
        <v>530.20000000000005</v>
      </c>
      <c r="G165">
        <v>8668</v>
      </c>
      <c r="H165" s="116"/>
      <c r="I165" s="116"/>
      <c r="L165" s="170">
        <v>45121</v>
      </c>
      <c r="M165" s="116">
        <v>529.95000000000005</v>
      </c>
      <c r="N165" s="116">
        <v>537</v>
      </c>
      <c r="O165" s="116">
        <v>526.70000000000005</v>
      </c>
      <c r="P165" s="116">
        <v>535.5</v>
      </c>
      <c r="Q165" s="116">
        <v>529.95000000000005</v>
      </c>
      <c r="R165">
        <v>168758</v>
      </c>
    </row>
    <row r="166" spans="1:18" x14ac:dyDescent="0.25">
      <c r="A166" s="170">
        <v>45124</v>
      </c>
      <c r="B166" s="116">
        <v>535.1</v>
      </c>
      <c r="C166" s="116">
        <v>532.20000000000005</v>
      </c>
      <c r="D166" s="116">
        <v>528.25</v>
      </c>
      <c r="E166" s="116">
        <v>530.04999999999995</v>
      </c>
      <c r="F166" s="116">
        <v>532.20000000000005</v>
      </c>
      <c r="G166">
        <v>17566</v>
      </c>
      <c r="H166" s="116"/>
      <c r="I166" s="116"/>
      <c r="L166" s="170">
        <v>45124</v>
      </c>
      <c r="M166" s="116">
        <v>532.4</v>
      </c>
      <c r="N166" s="116">
        <v>533.9</v>
      </c>
      <c r="O166" s="116">
        <v>527.79999999999995</v>
      </c>
      <c r="P166" s="116">
        <v>533.79999999999995</v>
      </c>
      <c r="Q166" s="116">
        <v>532.4</v>
      </c>
      <c r="R166">
        <v>169300</v>
      </c>
    </row>
    <row r="167" spans="1:18" x14ac:dyDescent="0.25">
      <c r="A167" s="170">
        <v>45125</v>
      </c>
      <c r="B167" s="116">
        <v>536.1</v>
      </c>
      <c r="C167" s="116">
        <v>531.75</v>
      </c>
      <c r="D167" s="116">
        <v>528.35</v>
      </c>
      <c r="E167" s="116">
        <v>528.35</v>
      </c>
      <c r="F167" s="116">
        <v>531.75</v>
      </c>
      <c r="G167">
        <v>11745</v>
      </c>
      <c r="H167" s="116"/>
      <c r="I167" s="116"/>
      <c r="L167" s="170">
        <v>45125</v>
      </c>
      <c r="M167" s="116">
        <v>530.54999999999995</v>
      </c>
      <c r="N167" s="116">
        <v>536</v>
      </c>
      <c r="O167" s="116">
        <v>528.54999999999995</v>
      </c>
      <c r="P167" s="116">
        <v>535</v>
      </c>
      <c r="Q167" s="116">
        <v>530.54999999999995</v>
      </c>
      <c r="R167">
        <v>129229</v>
      </c>
    </row>
    <row r="168" spans="1:18" x14ac:dyDescent="0.25">
      <c r="A168" s="170">
        <v>45126</v>
      </c>
      <c r="B168" s="116">
        <v>534.5</v>
      </c>
      <c r="C168" s="116">
        <v>531.95000000000005</v>
      </c>
      <c r="D168" s="116">
        <v>528.35</v>
      </c>
      <c r="E168" s="116">
        <v>528.35</v>
      </c>
      <c r="F168" s="116">
        <v>531.95000000000005</v>
      </c>
      <c r="G168">
        <v>11156</v>
      </c>
      <c r="H168" s="116"/>
      <c r="I168" s="116"/>
      <c r="L168" s="170">
        <v>45126</v>
      </c>
      <c r="M168" s="116">
        <v>531.29999999999995</v>
      </c>
      <c r="N168" s="116">
        <v>534.25</v>
      </c>
      <c r="O168" s="116">
        <v>529.4</v>
      </c>
      <c r="P168" s="116">
        <v>531</v>
      </c>
      <c r="Q168" s="116">
        <v>531.29999999999995</v>
      </c>
      <c r="R168">
        <v>122853</v>
      </c>
    </row>
    <row r="169" spans="1:18" x14ac:dyDescent="0.25">
      <c r="A169" s="170">
        <v>45127</v>
      </c>
      <c r="B169" s="116">
        <v>535.75</v>
      </c>
      <c r="C169" s="116">
        <v>529.9</v>
      </c>
      <c r="D169" s="116">
        <v>528.35</v>
      </c>
      <c r="E169" s="116">
        <v>535.75</v>
      </c>
      <c r="F169" s="116">
        <v>529.9</v>
      </c>
      <c r="G169">
        <v>10161</v>
      </c>
      <c r="H169" s="116"/>
      <c r="I169" s="116"/>
      <c r="L169" s="170">
        <v>45127</v>
      </c>
      <c r="M169" s="116">
        <v>529.79999999999995</v>
      </c>
      <c r="N169" s="116">
        <v>533.45000000000005</v>
      </c>
      <c r="O169" s="116">
        <v>528.5</v>
      </c>
      <c r="P169" s="116">
        <v>532.5</v>
      </c>
      <c r="Q169" s="116">
        <v>529.79999999999995</v>
      </c>
      <c r="R169">
        <v>89932</v>
      </c>
    </row>
    <row r="170" spans="1:18" x14ac:dyDescent="0.25">
      <c r="A170" s="170">
        <v>45128</v>
      </c>
      <c r="B170" s="116">
        <v>533</v>
      </c>
      <c r="C170" s="116">
        <v>529.45000000000005</v>
      </c>
      <c r="D170" s="116">
        <v>528.70000000000005</v>
      </c>
      <c r="E170" s="116">
        <v>532.04999999999995</v>
      </c>
      <c r="F170" s="116">
        <v>529.45000000000005</v>
      </c>
      <c r="G170">
        <v>14317</v>
      </c>
      <c r="H170" s="116"/>
      <c r="I170" s="116"/>
      <c r="L170" s="170">
        <v>45128</v>
      </c>
      <c r="M170" s="116">
        <v>529.9</v>
      </c>
      <c r="N170" s="116">
        <v>533.45000000000005</v>
      </c>
      <c r="O170" s="116">
        <v>529.15</v>
      </c>
      <c r="P170" s="116">
        <v>532.5</v>
      </c>
      <c r="Q170" s="116">
        <v>529.9</v>
      </c>
      <c r="R170">
        <v>100950</v>
      </c>
    </row>
    <row r="171" spans="1:18" x14ac:dyDescent="0.25">
      <c r="A171" s="170">
        <v>45131</v>
      </c>
      <c r="B171" s="116">
        <v>539</v>
      </c>
      <c r="C171" s="116">
        <v>528.70000000000005</v>
      </c>
      <c r="D171" s="116">
        <v>526.95000000000005</v>
      </c>
      <c r="E171" s="116">
        <v>530.04999999999995</v>
      </c>
      <c r="F171" s="116">
        <v>528.70000000000005</v>
      </c>
      <c r="G171">
        <v>7084</v>
      </c>
      <c r="H171" s="116"/>
      <c r="I171" s="116"/>
      <c r="L171" s="170">
        <v>45131</v>
      </c>
      <c r="M171" s="116">
        <v>528.45000000000005</v>
      </c>
      <c r="N171" s="116">
        <v>538.75</v>
      </c>
      <c r="O171" s="116">
        <v>526.95000000000005</v>
      </c>
      <c r="P171" s="116">
        <v>533</v>
      </c>
      <c r="Q171" s="116">
        <v>528.45000000000005</v>
      </c>
      <c r="R171">
        <v>166910</v>
      </c>
    </row>
    <row r="172" spans="1:18" x14ac:dyDescent="0.25">
      <c r="A172" s="170">
        <v>45132</v>
      </c>
      <c r="B172" s="116">
        <v>535.95000000000005</v>
      </c>
      <c r="C172" s="116">
        <v>523.9</v>
      </c>
      <c r="D172" s="116">
        <v>520.04999999999995</v>
      </c>
      <c r="E172" s="116">
        <v>535.95000000000005</v>
      </c>
      <c r="F172" s="116">
        <v>523.9</v>
      </c>
      <c r="G172">
        <v>18640</v>
      </c>
      <c r="H172" s="116"/>
      <c r="I172" s="116"/>
      <c r="L172" s="170">
        <v>45132</v>
      </c>
      <c r="M172" s="116">
        <v>524.5</v>
      </c>
      <c r="N172" s="116">
        <v>532.4</v>
      </c>
      <c r="O172" s="116">
        <v>520.29999999999995</v>
      </c>
      <c r="P172" s="116">
        <v>528.45000000000005</v>
      </c>
      <c r="Q172" s="116">
        <v>524.5</v>
      </c>
      <c r="R172">
        <v>179692</v>
      </c>
    </row>
    <row r="173" spans="1:18" x14ac:dyDescent="0.25">
      <c r="A173" s="170">
        <v>45133</v>
      </c>
      <c r="B173" s="116">
        <v>529.5</v>
      </c>
      <c r="C173" s="116">
        <v>524.65</v>
      </c>
      <c r="D173" s="116">
        <v>521.35</v>
      </c>
      <c r="E173" s="116">
        <v>521.35</v>
      </c>
      <c r="F173" s="116">
        <v>524.65</v>
      </c>
      <c r="G173">
        <v>4201</v>
      </c>
      <c r="H173" s="116"/>
      <c r="I173" s="116"/>
      <c r="L173" s="170">
        <v>45133</v>
      </c>
      <c r="M173" s="116">
        <v>524.75</v>
      </c>
      <c r="N173" s="116">
        <v>529.6</v>
      </c>
      <c r="O173" s="116">
        <v>522.1</v>
      </c>
      <c r="P173" s="116">
        <v>528</v>
      </c>
      <c r="Q173" s="116">
        <v>524.75</v>
      </c>
      <c r="R173">
        <v>68398</v>
      </c>
    </row>
    <row r="174" spans="1:18" x14ac:dyDescent="0.25">
      <c r="A174" s="170">
        <v>45134</v>
      </c>
      <c r="B174" s="116">
        <v>528.5</v>
      </c>
      <c r="C174" s="116">
        <v>523.1</v>
      </c>
      <c r="D174" s="116">
        <v>518.6</v>
      </c>
      <c r="E174" s="116">
        <v>528.5</v>
      </c>
      <c r="F174" s="116">
        <v>523.1</v>
      </c>
      <c r="G174">
        <v>5429</v>
      </c>
      <c r="H174" s="116"/>
      <c r="I174" s="116"/>
      <c r="L174" s="170">
        <v>45134</v>
      </c>
      <c r="M174" s="116">
        <v>522.20000000000005</v>
      </c>
      <c r="N174" s="116">
        <v>529</v>
      </c>
      <c r="O174" s="116">
        <v>519</v>
      </c>
      <c r="P174" s="116">
        <v>528.95000000000005</v>
      </c>
      <c r="Q174" s="116">
        <v>522.20000000000005</v>
      </c>
      <c r="R174">
        <v>109580</v>
      </c>
    </row>
    <row r="175" spans="1:18" x14ac:dyDescent="0.25">
      <c r="A175" s="170">
        <v>45135</v>
      </c>
      <c r="B175" s="116">
        <v>527.79999999999995</v>
      </c>
      <c r="C175" s="116">
        <v>523.15</v>
      </c>
      <c r="D175" s="116">
        <v>521.04999999999995</v>
      </c>
      <c r="E175" s="116">
        <v>521.04999999999995</v>
      </c>
      <c r="F175" s="116">
        <v>523.15</v>
      </c>
      <c r="G175">
        <v>12498</v>
      </c>
      <c r="H175" s="116"/>
      <c r="I175" s="116"/>
      <c r="L175" s="170">
        <v>45135</v>
      </c>
      <c r="M175" s="116">
        <v>523.1</v>
      </c>
      <c r="N175" s="116">
        <v>527.95000000000005</v>
      </c>
      <c r="O175" s="116">
        <v>521.95000000000005</v>
      </c>
      <c r="P175" s="116">
        <v>524.9</v>
      </c>
      <c r="Q175" s="116">
        <v>523.1</v>
      </c>
      <c r="R175">
        <v>126489</v>
      </c>
    </row>
    <row r="176" spans="1:18" x14ac:dyDescent="0.25">
      <c r="A176" s="170">
        <v>45138</v>
      </c>
      <c r="B176" s="116">
        <v>528.45000000000005</v>
      </c>
      <c r="C176" s="116">
        <v>520.29999999999995</v>
      </c>
      <c r="D176" s="116">
        <v>515.04999999999995</v>
      </c>
      <c r="E176" s="116">
        <v>522.20000000000005</v>
      </c>
      <c r="F176" s="116">
        <v>520.29999999999995</v>
      </c>
      <c r="G176">
        <v>23198</v>
      </c>
      <c r="H176" s="116"/>
      <c r="I176" s="116"/>
      <c r="L176" s="170">
        <v>45138</v>
      </c>
      <c r="M176" s="116">
        <v>520.54999999999995</v>
      </c>
      <c r="N176" s="116">
        <v>528.5</v>
      </c>
      <c r="O176" s="116">
        <v>515.35</v>
      </c>
      <c r="P176" s="116">
        <v>524.95000000000005</v>
      </c>
      <c r="Q176" s="116">
        <v>520.54999999999995</v>
      </c>
      <c r="R176">
        <v>611663</v>
      </c>
    </row>
    <row r="177" spans="1:18" x14ac:dyDescent="0.25">
      <c r="A177" s="170">
        <v>45139</v>
      </c>
      <c r="B177" s="116">
        <v>527</v>
      </c>
      <c r="C177" s="116">
        <v>512.6</v>
      </c>
      <c r="D177" s="116">
        <v>510.4</v>
      </c>
      <c r="E177" s="116">
        <v>525.9</v>
      </c>
      <c r="F177" s="116">
        <v>512.6</v>
      </c>
      <c r="G177">
        <v>15706</v>
      </c>
      <c r="H177" s="116"/>
      <c r="I177" s="116"/>
      <c r="L177" s="170">
        <v>45139</v>
      </c>
      <c r="M177" s="116">
        <v>512.6</v>
      </c>
      <c r="N177" s="116">
        <v>524.9</v>
      </c>
      <c r="O177" s="116">
        <v>510.5</v>
      </c>
      <c r="P177" s="116">
        <v>520.6</v>
      </c>
      <c r="Q177" s="116">
        <v>512.6</v>
      </c>
      <c r="R177">
        <v>212871</v>
      </c>
    </row>
    <row r="178" spans="1:18" x14ac:dyDescent="0.25">
      <c r="A178" s="170">
        <v>45140</v>
      </c>
      <c r="B178" s="116">
        <v>517</v>
      </c>
      <c r="C178" s="116">
        <v>501.45</v>
      </c>
      <c r="D178" s="116">
        <v>498.25</v>
      </c>
      <c r="E178" s="116">
        <v>515</v>
      </c>
      <c r="F178" s="116">
        <v>501.45</v>
      </c>
      <c r="G178">
        <v>13824</v>
      </c>
      <c r="H178" s="116"/>
      <c r="I178" s="116"/>
      <c r="L178" s="170">
        <v>45140</v>
      </c>
      <c r="M178" s="116">
        <v>501.65</v>
      </c>
      <c r="N178" s="116">
        <v>519.95000000000005</v>
      </c>
      <c r="O178" s="116">
        <v>498.9</v>
      </c>
      <c r="P178" s="116">
        <v>513</v>
      </c>
      <c r="Q178" s="116">
        <v>501.65</v>
      </c>
      <c r="R178">
        <v>782572</v>
      </c>
    </row>
    <row r="179" spans="1:18" x14ac:dyDescent="0.25">
      <c r="A179" s="170">
        <v>45141</v>
      </c>
      <c r="B179" s="116">
        <v>514.45000000000005</v>
      </c>
      <c r="C179" s="116">
        <v>506.6</v>
      </c>
      <c r="D179" s="116">
        <v>495</v>
      </c>
      <c r="E179" s="116">
        <v>501.45</v>
      </c>
      <c r="F179" s="116">
        <v>506.6</v>
      </c>
      <c r="G179">
        <v>8913</v>
      </c>
      <c r="H179" s="116"/>
      <c r="I179" s="116"/>
      <c r="L179" s="170">
        <v>45141</v>
      </c>
      <c r="M179" s="116">
        <v>508.5</v>
      </c>
      <c r="N179" s="116">
        <v>514.15</v>
      </c>
      <c r="O179" s="116">
        <v>494.15</v>
      </c>
      <c r="P179" s="116">
        <v>495</v>
      </c>
      <c r="Q179" s="116">
        <v>508.5</v>
      </c>
      <c r="R179">
        <v>190006</v>
      </c>
    </row>
    <row r="180" spans="1:18" x14ac:dyDescent="0.25">
      <c r="A180" s="170">
        <v>45142</v>
      </c>
      <c r="B180" s="116">
        <v>522.15</v>
      </c>
      <c r="C180" s="116">
        <v>516.9</v>
      </c>
      <c r="D180" s="116">
        <v>510</v>
      </c>
      <c r="E180" s="116">
        <v>517.5</v>
      </c>
      <c r="F180" s="116">
        <v>516.9</v>
      </c>
      <c r="G180">
        <v>8242</v>
      </c>
      <c r="H180" s="116"/>
      <c r="I180" s="116"/>
      <c r="L180" s="170">
        <v>45142</v>
      </c>
      <c r="M180" s="116">
        <v>515.54999999999995</v>
      </c>
      <c r="N180" s="116">
        <v>521.95000000000005</v>
      </c>
      <c r="O180" s="116">
        <v>509.55</v>
      </c>
      <c r="P180" s="116">
        <v>513</v>
      </c>
      <c r="Q180" s="116">
        <v>515.54999999999995</v>
      </c>
      <c r="R180">
        <v>219478</v>
      </c>
    </row>
    <row r="181" spans="1:18" x14ac:dyDescent="0.25">
      <c r="A181" s="170">
        <v>45145</v>
      </c>
      <c r="B181" s="116">
        <v>524</v>
      </c>
      <c r="C181" s="116">
        <v>517.6</v>
      </c>
      <c r="D181" s="116">
        <v>511.05</v>
      </c>
      <c r="E181" s="116">
        <v>520.04999999999995</v>
      </c>
      <c r="F181" s="116">
        <v>517.6</v>
      </c>
      <c r="G181">
        <v>24161</v>
      </c>
      <c r="H181" s="116"/>
      <c r="I181" s="116"/>
      <c r="L181" s="170">
        <v>45145</v>
      </c>
      <c r="M181" s="116">
        <v>517.35</v>
      </c>
      <c r="N181" s="116">
        <v>525</v>
      </c>
      <c r="O181" s="116">
        <v>511.5</v>
      </c>
      <c r="P181" s="116">
        <v>524.75</v>
      </c>
      <c r="Q181" s="116">
        <v>517.35</v>
      </c>
      <c r="R181">
        <v>196244</v>
      </c>
    </row>
    <row r="182" spans="1:18" x14ac:dyDescent="0.25">
      <c r="A182" s="170">
        <v>45146</v>
      </c>
      <c r="B182" s="116">
        <v>524.95000000000005</v>
      </c>
      <c r="C182" s="116">
        <v>518.75</v>
      </c>
      <c r="D182" s="116">
        <v>517</v>
      </c>
      <c r="E182" s="116">
        <v>524.95000000000005</v>
      </c>
      <c r="F182" s="116">
        <v>518.75</v>
      </c>
      <c r="G182">
        <v>16270</v>
      </c>
      <c r="H182" s="116"/>
      <c r="I182" s="116"/>
      <c r="L182" s="170">
        <v>45146</v>
      </c>
      <c r="M182" s="116">
        <v>518.6</v>
      </c>
      <c r="N182" s="116">
        <v>524.5</v>
      </c>
      <c r="O182" s="116">
        <v>517.5</v>
      </c>
      <c r="P182" s="116">
        <v>522</v>
      </c>
      <c r="Q182" s="116">
        <v>518.6</v>
      </c>
      <c r="R182">
        <v>120084</v>
      </c>
    </row>
    <row r="183" spans="1:18" x14ac:dyDescent="0.25">
      <c r="A183" s="170">
        <v>45147</v>
      </c>
      <c r="B183" s="116">
        <v>523.6</v>
      </c>
      <c r="C183" s="116">
        <v>518.29999999999995</v>
      </c>
      <c r="D183" s="116">
        <v>517.1</v>
      </c>
      <c r="E183" s="116">
        <v>523.6</v>
      </c>
      <c r="F183" s="116">
        <v>518.29999999999995</v>
      </c>
      <c r="G183">
        <v>11479</v>
      </c>
      <c r="H183" s="116"/>
      <c r="I183" s="116"/>
      <c r="L183" s="170">
        <v>45147</v>
      </c>
      <c r="M183" s="116">
        <v>518.5</v>
      </c>
      <c r="N183" s="116">
        <v>522.4</v>
      </c>
      <c r="O183" s="116">
        <v>517.20000000000005</v>
      </c>
      <c r="P183" s="116">
        <v>518.65</v>
      </c>
      <c r="Q183" s="116">
        <v>518.5</v>
      </c>
      <c r="R183">
        <v>101887</v>
      </c>
    </row>
    <row r="184" spans="1:18" x14ac:dyDescent="0.25">
      <c r="A184" s="170">
        <v>45148</v>
      </c>
      <c r="B184" s="116">
        <v>526.95000000000005</v>
      </c>
      <c r="C184" s="116">
        <v>511.95</v>
      </c>
      <c r="D184" s="116">
        <v>507.05</v>
      </c>
      <c r="E184" s="116">
        <v>526.95000000000005</v>
      </c>
      <c r="F184" s="116">
        <v>511.95</v>
      </c>
      <c r="G184">
        <v>14729</v>
      </c>
      <c r="H184" s="116"/>
      <c r="I184" s="116"/>
      <c r="L184" s="170">
        <v>45148</v>
      </c>
      <c r="M184" s="116">
        <v>511.6</v>
      </c>
      <c r="N184" s="116">
        <v>522</v>
      </c>
      <c r="O184" s="116">
        <v>507</v>
      </c>
      <c r="P184" s="116">
        <v>518.5</v>
      </c>
      <c r="Q184" s="116">
        <v>511.6</v>
      </c>
      <c r="R184">
        <v>145243</v>
      </c>
    </row>
    <row r="185" spans="1:18" x14ac:dyDescent="0.25">
      <c r="A185" s="170">
        <v>45149</v>
      </c>
      <c r="B185" s="116">
        <v>525.4</v>
      </c>
      <c r="C185" s="116">
        <v>519.9</v>
      </c>
      <c r="D185" s="116">
        <v>513.9</v>
      </c>
      <c r="E185" s="116">
        <v>517.15</v>
      </c>
      <c r="F185" s="116">
        <v>519.9</v>
      </c>
      <c r="G185">
        <v>546108</v>
      </c>
      <c r="H185" s="116"/>
      <c r="I185" s="116"/>
      <c r="L185" s="170">
        <v>45149</v>
      </c>
      <c r="M185" s="116">
        <v>519.6</v>
      </c>
      <c r="N185" s="116">
        <v>525.5</v>
      </c>
      <c r="O185" s="116">
        <v>513.29999999999995</v>
      </c>
      <c r="P185" s="116">
        <v>519.79999999999995</v>
      </c>
      <c r="Q185" s="116">
        <v>519.6</v>
      </c>
      <c r="R185">
        <v>452473</v>
      </c>
    </row>
    <row r="186" spans="1:18" x14ac:dyDescent="0.25">
      <c r="A186" s="170">
        <v>45152</v>
      </c>
      <c r="B186" s="116">
        <v>543.79999999999995</v>
      </c>
      <c r="C186" s="116">
        <v>539.29999999999995</v>
      </c>
      <c r="D186" s="116">
        <v>502.55</v>
      </c>
      <c r="E186" s="116">
        <v>502.55</v>
      </c>
      <c r="F186" s="116">
        <v>539.29999999999995</v>
      </c>
      <c r="G186">
        <v>53655</v>
      </c>
      <c r="H186" s="116"/>
      <c r="I186" s="116"/>
      <c r="L186" s="170">
        <v>45152</v>
      </c>
      <c r="M186" s="116">
        <v>539.15</v>
      </c>
      <c r="N186" s="116">
        <v>543.95000000000005</v>
      </c>
      <c r="O186" s="116">
        <v>504</v>
      </c>
      <c r="P186" s="116">
        <v>504</v>
      </c>
      <c r="Q186" s="116">
        <v>539.15</v>
      </c>
      <c r="R186">
        <v>687565</v>
      </c>
    </row>
    <row r="187" spans="1:18" x14ac:dyDescent="0.25">
      <c r="A187" s="170">
        <v>45154</v>
      </c>
      <c r="B187" s="116">
        <v>551.9</v>
      </c>
      <c r="C187" s="116">
        <v>546.70000000000005</v>
      </c>
      <c r="D187" s="116">
        <v>534.79999999999995</v>
      </c>
      <c r="E187" s="116">
        <v>536.04999999999995</v>
      </c>
      <c r="F187" s="116">
        <v>546.70000000000005</v>
      </c>
      <c r="G187">
        <v>40456</v>
      </c>
      <c r="H187" s="116"/>
      <c r="I187" s="116"/>
      <c r="L187" s="170">
        <v>45154</v>
      </c>
      <c r="M187" s="116">
        <v>547.54999999999995</v>
      </c>
      <c r="N187" s="116">
        <v>552</v>
      </c>
      <c r="O187" s="116">
        <v>535.04999999999995</v>
      </c>
      <c r="P187" s="116">
        <v>539.95000000000005</v>
      </c>
      <c r="Q187" s="116">
        <v>547.54999999999995</v>
      </c>
      <c r="R187">
        <v>293689</v>
      </c>
    </row>
    <row r="188" spans="1:18" x14ac:dyDescent="0.25">
      <c r="A188" s="170">
        <v>45155</v>
      </c>
      <c r="B188" s="116">
        <v>567</v>
      </c>
      <c r="C188" s="116">
        <v>563.04999999999995</v>
      </c>
      <c r="D188" s="116">
        <v>546.70000000000005</v>
      </c>
      <c r="E188" s="116">
        <v>549.85</v>
      </c>
      <c r="F188" s="116">
        <v>563.04999999999995</v>
      </c>
      <c r="G188">
        <v>27613</v>
      </c>
      <c r="H188" s="116"/>
      <c r="I188" s="116"/>
      <c r="L188" s="170">
        <v>45155</v>
      </c>
      <c r="M188" s="116">
        <v>563.29999999999995</v>
      </c>
      <c r="N188" s="116">
        <v>567.29999999999995</v>
      </c>
      <c r="O188" s="116">
        <v>545.70000000000005</v>
      </c>
      <c r="P188" s="116">
        <v>546.9</v>
      </c>
      <c r="Q188" s="116">
        <v>563.29999999999995</v>
      </c>
      <c r="R188">
        <v>662867</v>
      </c>
    </row>
    <row r="189" spans="1:18" x14ac:dyDescent="0.25">
      <c r="A189" s="170">
        <v>45156</v>
      </c>
      <c r="B189" s="116">
        <v>568.9</v>
      </c>
      <c r="C189" s="116">
        <v>561.15</v>
      </c>
      <c r="D189" s="116">
        <v>555.4</v>
      </c>
      <c r="E189" s="116">
        <v>563.04999999999995</v>
      </c>
      <c r="F189" s="116">
        <v>561.15</v>
      </c>
      <c r="G189">
        <v>22051</v>
      </c>
      <c r="H189" s="116"/>
      <c r="I189" s="116"/>
      <c r="L189" s="170">
        <v>45156</v>
      </c>
      <c r="M189" s="116">
        <v>558.54999999999995</v>
      </c>
      <c r="N189" s="116">
        <v>569</v>
      </c>
      <c r="O189" s="116">
        <v>555.04999999999995</v>
      </c>
      <c r="P189" s="116">
        <v>562.45000000000005</v>
      </c>
      <c r="Q189" s="116">
        <v>558.54999999999995</v>
      </c>
      <c r="R189">
        <v>278680</v>
      </c>
    </row>
    <row r="190" spans="1:18" x14ac:dyDescent="0.25">
      <c r="A190" s="170">
        <v>45159</v>
      </c>
      <c r="B190" s="116">
        <v>561.15</v>
      </c>
      <c r="C190" s="116">
        <v>558.25</v>
      </c>
      <c r="D190" s="116">
        <v>546.04999999999995</v>
      </c>
      <c r="E190" s="116">
        <v>559</v>
      </c>
      <c r="F190" s="116">
        <v>558.25</v>
      </c>
      <c r="G190">
        <v>27309</v>
      </c>
      <c r="H190" s="116"/>
      <c r="I190" s="116"/>
      <c r="L190" s="170">
        <v>45159</v>
      </c>
      <c r="M190" s="116">
        <v>558.15</v>
      </c>
      <c r="N190" s="116">
        <v>562.79999999999995</v>
      </c>
      <c r="O190" s="116">
        <v>546.54999999999995</v>
      </c>
      <c r="P190" s="116">
        <v>562.79999999999995</v>
      </c>
      <c r="Q190" s="116">
        <v>558.15</v>
      </c>
      <c r="R190">
        <v>133681</v>
      </c>
    </row>
    <row r="191" spans="1:18" x14ac:dyDescent="0.25">
      <c r="A191" s="170">
        <v>45160</v>
      </c>
      <c r="B191" s="116">
        <v>585</v>
      </c>
      <c r="C191" s="116">
        <v>580.6</v>
      </c>
      <c r="D191" s="116">
        <v>558.25</v>
      </c>
      <c r="E191" s="116">
        <v>558.29999999999995</v>
      </c>
      <c r="F191" s="116">
        <v>580.6</v>
      </c>
      <c r="G191">
        <v>53797</v>
      </c>
      <c r="H191" s="116"/>
      <c r="I191" s="116"/>
      <c r="L191" s="170">
        <v>45160</v>
      </c>
      <c r="M191" s="116">
        <v>581.65</v>
      </c>
      <c r="N191" s="116">
        <v>585.20000000000005</v>
      </c>
      <c r="O191" s="116">
        <v>557.95000000000005</v>
      </c>
      <c r="P191" s="116">
        <v>560.6</v>
      </c>
      <c r="Q191" s="116">
        <v>581.65</v>
      </c>
      <c r="R191">
        <v>496917</v>
      </c>
    </row>
    <row r="192" spans="1:18" x14ac:dyDescent="0.25">
      <c r="A192" s="170">
        <v>45161</v>
      </c>
      <c r="B192" s="116">
        <v>599</v>
      </c>
      <c r="C192" s="116">
        <v>590.35</v>
      </c>
      <c r="D192" s="116">
        <v>580.65</v>
      </c>
      <c r="E192" s="116">
        <v>580.65</v>
      </c>
      <c r="F192" s="116">
        <v>590.35</v>
      </c>
      <c r="G192">
        <v>34139</v>
      </c>
      <c r="H192" s="116"/>
      <c r="I192" s="116"/>
      <c r="L192" s="170">
        <v>45161</v>
      </c>
      <c r="M192" s="116">
        <v>589.79999999999995</v>
      </c>
      <c r="N192" s="116">
        <v>600</v>
      </c>
      <c r="O192" s="116">
        <v>580.70000000000005</v>
      </c>
      <c r="P192" s="116">
        <v>585.9</v>
      </c>
      <c r="Q192" s="116">
        <v>589.79999999999995</v>
      </c>
      <c r="R192">
        <v>506619</v>
      </c>
    </row>
    <row r="193" spans="1:18" x14ac:dyDescent="0.25">
      <c r="A193" s="170">
        <v>45162</v>
      </c>
      <c r="B193" s="116">
        <v>600</v>
      </c>
      <c r="C193" s="116">
        <v>580.95000000000005</v>
      </c>
      <c r="D193" s="116">
        <v>576.20000000000005</v>
      </c>
      <c r="E193" s="116">
        <v>600</v>
      </c>
      <c r="F193" s="116">
        <v>580.95000000000005</v>
      </c>
      <c r="G193">
        <v>30537</v>
      </c>
      <c r="H193" s="116"/>
      <c r="I193" s="116"/>
      <c r="L193" s="170">
        <v>45162</v>
      </c>
      <c r="M193" s="116">
        <v>581.9</v>
      </c>
      <c r="N193" s="116">
        <v>600</v>
      </c>
      <c r="O193" s="116">
        <v>580</v>
      </c>
      <c r="P193" s="116">
        <v>598.79999999999995</v>
      </c>
      <c r="Q193" s="116">
        <v>581.9</v>
      </c>
      <c r="R193">
        <v>175693</v>
      </c>
    </row>
    <row r="194" spans="1:18" x14ac:dyDescent="0.25">
      <c r="A194" s="170">
        <v>45163</v>
      </c>
      <c r="B194" s="116">
        <v>597.4</v>
      </c>
      <c r="C194" s="116">
        <v>594.79999999999995</v>
      </c>
      <c r="D194" s="116">
        <v>584.79999999999995</v>
      </c>
      <c r="E194" s="116">
        <v>584.85</v>
      </c>
      <c r="F194" s="116">
        <v>594.79999999999995</v>
      </c>
      <c r="G194">
        <v>11936</v>
      </c>
      <c r="H194" s="116"/>
      <c r="I194" s="116"/>
      <c r="L194" s="170">
        <v>45163</v>
      </c>
      <c r="M194" s="116">
        <v>593.85</v>
      </c>
      <c r="N194" s="116">
        <v>598</v>
      </c>
      <c r="O194" s="116">
        <v>582.95000000000005</v>
      </c>
      <c r="P194" s="116">
        <v>583</v>
      </c>
      <c r="Q194" s="116">
        <v>593.85</v>
      </c>
      <c r="R194">
        <v>233258</v>
      </c>
    </row>
    <row r="195" spans="1:18" x14ac:dyDescent="0.25">
      <c r="A195" s="170">
        <v>45166</v>
      </c>
      <c r="B195" s="116">
        <v>658.4</v>
      </c>
      <c r="C195" s="116">
        <v>649.9</v>
      </c>
      <c r="D195" s="116">
        <v>592.95000000000005</v>
      </c>
      <c r="E195" s="116">
        <v>600.15</v>
      </c>
      <c r="F195" s="116">
        <v>649.9</v>
      </c>
      <c r="G195">
        <v>111589</v>
      </c>
      <c r="H195" s="116"/>
      <c r="I195" s="116"/>
      <c r="L195" s="170">
        <v>45166</v>
      </c>
      <c r="M195" s="116">
        <v>649.54999999999995</v>
      </c>
      <c r="N195" s="116">
        <v>658.95</v>
      </c>
      <c r="O195" s="116">
        <v>593.29999999999995</v>
      </c>
      <c r="P195" s="116">
        <v>601.95000000000005</v>
      </c>
      <c r="Q195" s="116">
        <v>649.54999999999995</v>
      </c>
      <c r="R195">
        <v>1343484</v>
      </c>
    </row>
    <row r="196" spans="1:18" x14ac:dyDescent="0.25">
      <c r="A196" s="170">
        <v>45167</v>
      </c>
      <c r="B196" s="116">
        <v>681.3</v>
      </c>
      <c r="C196" s="116">
        <v>647.25</v>
      </c>
      <c r="D196" s="116">
        <v>635.29999999999995</v>
      </c>
      <c r="E196" s="116">
        <v>649.95000000000005</v>
      </c>
      <c r="F196" s="116">
        <v>647.25</v>
      </c>
      <c r="G196">
        <v>101798</v>
      </c>
      <c r="H196" s="116"/>
      <c r="I196" s="116"/>
      <c r="L196" s="170">
        <v>45167</v>
      </c>
      <c r="M196" s="116">
        <v>648.75</v>
      </c>
      <c r="N196" s="116">
        <v>680.8</v>
      </c>
      <c r="O196" s="116">
        <v>635.4</v>
      </c>
      <c r="P196" s="116">
        <v>648.79999999999995</v>
      </c>
      <c r="Q196" s="116">
        <v>648.75</v>
      </c>
      <c r="R196">
        <v>912181</v>
      </c>
    </row>
    <row r="197" spans="1:18" x14ac:dyDescent="0.25">
      <c r="A197" s="170">
        <v>45168</v>
      </c>
      <c r="B197" s="116">
        <v>676.25</v>
      </c>
      <c r="C197" s="116">
        <v>651</v>
      </c>
      <c r="D197" s="116">
        <v>644.5</v>
      </c>
      <c r="E197" s="116">
        <v>650.04999999999995</v>
      </c>
      <c r="F197" s="116">
        <v>651</v>
      </c>
      <c r="G197">
        <v>26010</v>
      </c>
      <c r="H197" s="116"/>
      <c r="I197" s="116"/>
      <c r="L197" s="170">
        <v>45168</v>
      </c>
      <c r="M197" s="116">
        <v>649.29999999999995</v>
      </c>
      <c r="N197" s="116">
        <v>677.45</v>
      </c>
      <c r="O197" s="116">
        <v>643.04999999999995</v>
      </c>
      <c r="P197" s="116">
        <v>654.9</v>
      </c>
      <c r="Q197" s="116">
        <v>649.29999999999995</v>
      </c>
      <c r="R197">
        <v>490605</v>
      </c>
    </row>
    <row r="198" spans="1:18" x14ac:dyDescent="0.25">
      <c r="A198" s="170">
        <v>45169</v>
      </c>
      <c r="B198" s="116">
        <v>677.75</v>
      </c>
      <c r="C198" s="116">
        <v>672.4</v>
      </c>
      <c r="D198" s="116">
        <v>650.79999999999995</v>
      </c>
      <c r="E198" s="116">
        <v>663.65</v>
      </c>
      <c r="F198" s="116">
        <v>672.4</v>
      </c>
      <c r="G198">
        <v>45324</v>
      </c>
      <c r="H198" s="116"/>
      <c r="I198" s="116"/>
      <c r="L198" s="170">
        <v>45169</v>
      </c>
      <c r="M198" s="116">
        <v>670.45</v>
      </c>
      <c r="N198" s="116">
        <v>678.95</v>
      </c>
      <c r="O198" s="116">
        <v>651.04999999999995</v>
      </c>
      <c r="P198" s="116">
        <v>656</v>
      </c>
      <c r="Q198" s="116">
        <v>670.45</v>
      </c>
      <c r="R198">
        <v>799886</v>
      </c>
    </row>
    <row r="199" spans="1:18" x14ac:dyDescent="0.25">
      <c r="A199" s="170">
        <v>45170</v>
      </c>
      <c r="B199" s="116">
        <v>685</v>
      </c>
      <c r="C199" s="116">
        <v>664.45</v>
      </c>
      <c r="D199" s="116">
        <v>662</v>
      </c>
      <c r="E199" s="116">
        <v>679.95</v>
      </c>
      <c r="F199" s="116">
        <v>664.45</v>
      </c>
      <c r="G199">
        <v>38665</v>
      </c>
      <c r="H199" s="116"/>
      <c r="I199" s="116"/>
      <c r="L199" s="170">
        <v>45170</v>
      </c>
      <c r="M199" s="116">
        <v>664.3</v>
      </c>
      <c r="N199" s="116">
        <v>685</v>
      </c>
      <c r="O199" s="116">
        <v>662</v>
      </c>
      <c r="P199" s="116">
        <v>677.2</v>
      </c>
      <c r="Q199" s="116">
        <v>664.3</v>
      </c>
      <c r="R199">
        <v>213625</v>
      </c>
    </row>
    <row r="200" spans="1:18" x14ac:dyDescent="0.25">
      <c r="A200" s="170">
        <v>45173</v>
      </c>
      <c r="B200" s="116">
        <v>673.6</v>
      </c>
      <c r="C200" s="116">
        <v>653.4</v>
      </c>
      <c r="D200" s="116">
        <v>642.70000000000005</v>
      </c>
      <c r="E200" s="116">
        <v>667.25</v>
      </c>
      <c r="F200" s="116">
        <v>653.4</v>
      </c>
      <c r="G200">
        <v>27651</v>
      </c>
      <c r="H200" s="116"/>
      <c r="I200" s="116"/>
      <c r="L200" s="170">
        <v>45173</v>
      </c>
      <c r="M200" s="116">
        <v>653.79999999999995</v>
      </c>
      <c r="N200" s="116">
        <v>673.65</v>
      </c>
      <c r="O200" s="116">
        <v>643.04999999999995</v>
      </c>
      <c r="P200" s="116">
        <v>673.55</v>
      </c>
      <c r="Q200" s="116">
        <v>653.79999999999995</v>
      </c>
      <c r="R200">
        <v>295439</v>
      </c>
    </row>
    <row r="201" spans="1:18" x14ac:dyDescent="0.25">
      <c r="A201" s="170">
        <v>45174</v>
      </c>
      <c r="B201" s="116">
        <v>664.5</v>
      </c>
      <c r="C201" s="116">
        <v>656.6</v>
      </c>
      <c r="D201" s="116">
        <v>648</v>
      </c>
      <c r="E201" s="116">
        <v>651.29999999999995</v>
      </c>
      <c r="F201" s="116">
        <v>656.6</v>
      </c>
      <c r="G201">
        <v>7343</v>
      </c>
      <c r="H201" s="116"/>
      <c r="I201" s="116"/>
      <c r="L201" s="170">
        <v>45174</v>
      </c>
      <c r="M201" s="116">
        <v>656.25</v>
      </c>
      <c r="N201" s="116">
        <v>665</v>
      </c>
      <c r="O201" s="116">
        <v>647.29999999999995</v>
      </c>
      <c r="P201" s="116">
        <v>660</v>
      </c>
      <c r="Q201" s="116">
        <v>656.25</v>
      </c>
      <c r="R201">
        <v>232065</v>
      </c>
    </row>
    <row r="202" spans="1:18" x14ac:dyDescent="0.25">
      <c r="A202" s="170">
        <v>45175</v>
      </c>
      <c r="B202" s="116">
        <v>661.05</v>
      </c>
      <c r="C202" s="116">
        <v>639.95000000000005</v>
      </c>
      <c r="D202" s="116">
        <v>635</v>
      </c>
      <c r="E202" s="116">
        <v>650.04999999999995</v>
      </c>
      <c r="F202" s="116">
        <v>639.95000000000005</v>
      </c>
      <c r="G202">
        <v>19043</v>
      </c>
      <c r="H202" s="116"/>
      <c r="I202" s="116"/>
      <c r="L202" s="170">
        <v>45175</v>
      </c>
      <c r="M202" s="116">
        <v>639.65</v>
      </c>
      <c r="N202" s="116">
        <v>661</v>
      </c>
      <c r="O202" s="116">
        <v>637.5</v>
      </c>
      <c r="P202" s="116">
        <v>660</v>
      </c>
      <c r="Q202" s="116">
        <v>639.65</v>
      </c>
      <c r="R202">
        <v>162170</v>
      </c>
    </row>
    <row r="203" spans="1:18" x14ac:dyDescent="0.25">
      <c r="A203" s="170">
        <v>45176</v>
      </c>
      <c r="B203" s="116">
        <v>641.75</v>
      </c>
      <c r="C203" s="116">
        <v>624</v>
      </c>
      <c r="D203" s="116">
        <v>622.5</v>
      </c>
      <c r="E203" s="116">
        <v>632.70000000000005</v>
      </c>
      <c r="F203" s="116">
        <v>624</v>
      </c>
      <c r="G203">
        <v>22713</v>
      </c>
      <c r="H203" s="116"/>
      <c r="I203" s="116"/>
      <c r="L203" s="170">
        <v>45176</v>
      </c>
      <c r="M203" s="116">
        <v>624</v>
      </c>
      <c r="N203" s="116">
        <v>645.29999999999995</v>
      </c>
      <c r="O203" s="116">
        <v>622.04999999999995</v>
      </c>
      <c r="P203" s="116">
        <v>643</v>
      </c>
      <c r="Q203" s="116">
        <v>624</v>
      </c>
      <c r="R203">
        <v>229982</v>
      </c>
    </row>
    <row r="204" spans="1:18" x14ac:dyDescent="0.25">
      <c r="A204" s="170">
        <v>45177</v>
      </c>
      <c r="B204" s="116">
        <v>640.20000000000005</v>
      </c>
      <c r="C204" s="116">
        <v>636.1</v>
      </c>
      <c r="D204" s="116">
        <v>625</v>
      </c>
      <c r="E204" s="116">
        <v>625.04999999999995</v>
      </c>
      <c r="F204" s="116">
        <v>636.1</v>
      </c>
      <c r="G204">
        <v>27729</v>
      </c>
      <c r="H204" s="116"/>
      <c r="I204" s="116"/>
      <c r="L204" s="170">
        <v>45177</v>
      </c>
      <c r="M204" s="116">
        <v>633.20000000000005</v>
      </c>
      <c r="N204" s="116">
        <v>639.79999999999995</v>
      </c>
      <c r="O204" s="116">
        <v>624.15</v>
      </c>
      <c r="P204" s="116">
        <v>627</v>
      </c>
      <c r="Q204" s="116">
        <v>633.20000000000005</v>
      </c>
      <c r="R204">
        <v>312152</v>
      </c>
    </row>
    <row r="205" spans="1:18" x14ac:dyDescent="0.25">
      <c r="A205" s="170">
        <v>45180</v>
      </c>
      <c r="B205" s="116">
        <v>652.35</v>
      </c>
      <c r="C205" s="116">
        <v>641.04999999999995</v>
      </c>
      <c r="D205" s="116">
        <v>635</v>
      </c>
      <c r="E205" s="116">
        <v>635</v>
      </c>
      <c r="F205" s="116">
        <v>641.04999999999995</v>
      </c>
      <c r="G205">
        <v>30223</v>
      </c>
      <c r="H205" s="116"/>
      <c r="I205" s="116"/>
      <c r="L205" s="170">
        <v>45180</v>
      </c>
      <c r="M205" s="116">
        <v>641.35</v>
      </c>
      <c r="N205" s="116">
        <v>653</v>
      </c>
      <c r="O205" s="116">
        <v>635</v>
      </c>
      <c r="P205" s="116">
        <v>637.85</v>
      </c>
      <c r="Q205" s="116">
        <v>641.35</v>
      </c>
      <c r="R205">
        <v>381754</v>
      </c>
    </row>
    <row r="206" spans="1:18" x14ac:dyDescent="0.25">
      <c r="A206" s="170">
        <v>45181</v>
      </c>
      <c r="B206" s="116">
        <v>649.04999999999995</v>
      </c>
      <c r="C206" s="116">
        <v>607.95000000000005</v>
      </c>
      <c r="D206" s="116">
        <v>596.6</v>
      </c>
      <c r="E206" s="116">
        <v>641.29999999999995</v>
      </c>
      <c r="F206" s="116">
        <v>607.95000000000005</v>
      </c>
      <c r="G206">
        <v>16825</v>
      </c>
      <c r="H206" s="116"/>
      <c r="I206" s="116"/>
      <c r="L206" s="170">
        <v>45181</v>
      </c>
      <c r="M206" s="116">
        <v>608.5</v>
      </c>
      <c r="N206" s="116">
        <v>649.5</v>
      </c>
      <c r="O206" s="116">
        <v>595.9</v>
      </c>
      <c r="P206" s="116">
        <v>643.75</v>
      </c>
      <c r="Q206" s="116">
        <v>608.5</v>
      </c>
      <c r="R206">
        <v>355748</v>
      </c>
    </row>
    <row r="207" spans="1:18" x14ac:dyDescent="0.25">
      <c r="A207" s="170">
        <v>45182</v>
      </c>
      <c r="B207" s="116">
        <v>627.75</v>
      </c>
      <c r="C207" s="116">
        <v>606.54999999999995</v>
      </c>
      <c r="D207" s="116">
        <v>601.29999999999995</v>
      </c>
      <c r="E207" s="116">
        <v>610</v>
      </c>
      <c r="F207" s="116">
        <v>606.54999999999995</v>
      </c>
      <c r="G207">
        <v>12448</v>
      </c>
      <c r="H207" s="116"/>
      <c r="I207" s="116"/>
      <c r="L207" s="170">
        <v>45182</v>
      </c>
      <c r="M207" s="116">
        <v>605.25</v>
      </c>
      <c r="N207" s="116">
        <v>628.29999999999995</v>
      </c>
      <c r="O207" s="116">
        <v>601.4</v>
      </c>
      <c r="P207" s="116">
        <v>608.5</v>
      </c>
      <c r="Q207" s="116">
        <v>605.25</v>
      </c>
      <c r="R207">
        <v>272209</v>
      </c>
    </row>
    <row r="208" spans="1:18" x14ac:dyDescent="0.25">
      <c r="A208" s="170">
        <v>45183</v>
      </c>
      <c r="B208" s="116">
        <v>623</v>
      </c>
      <c r="C208" s="116">
        <v>619.75</v>
      </c>
      <c r="D208" s="116">
        <v>616.6</v>
      </c>
      <c r="E208" s="116">
        <v>621.75</v>
      </c>
      <c r="F208" s="116">
        <v>619.75</v>
      </c>
      <c r="G208">
        <v>23443</v>
      </c>
      <c r="H208" s="116"/>
      <c r="I208" s="116"/>
      <c r="L208" s="170">
        <v>45183</v>
      </c>
      <c r="M208" s="116">
        <v>619.9</v>
      </c>
      <c r="N208" s="116">
        <v>623.29999999999995</v>
      </c>
      <c r="O208" s="116">
        <v>615.29999999999995</v>
      </c>
      <c r="P208" s="116">
        <v>619</v>
      </c>
      <c r="Q208" s="116">
        <v>619.9</v>
      </c>
      <c r="R208">
        <v>128905</v>
      </c>
    </row>
    <row r="209" spans="1:18" x14ac:dyDescent="0.25">
      <c r="A209" s="170">
        <v>45184</v>
      </c>
      <c r="B209" s="116">
        <v>624.79999999999995</v>
      </c>
      <c r="C209" s="116">
        <v>616.29999999999995</v>
      </c>
      <c r="D209" s="116">
        <v>607.1</v>
      </c>
      <c r="E209" s="116">
        <v>621.95000000000005</v>
      </c>
      <c r="F209" s="116">
        <v>616.29999999999995</v>
      </c>
      <c r="G209">
        <v>5696</v>
      </c>
      <c r="H209" s="116"/>
      <c r="I209" s="116"/>
      <c r="L209" s="170">
        <v>45184</v>
      </c>
      <c r="M209" s="116">
        <v>612.29999999999995</v>
      </c>
      <c r="N209" s="116">
        <v>624.70000000000005</v>
      </c>
      <c r="O209" s="116">
        <v>606.54999999999995</v>
      </c>
      <c r="P209" s="116">
        <v>620.04999999999995</v>
      </c>
      <c r="Q209" s="116">
        <v>612.29999999999995</v>
      </c>
      <c r="R209">
        <v>146730</v>
      </c>
    </row>
    <row r="210" spans="1:18" x14ac:dyDescent="0.25">
      <c r="A210" s="170">
        <v>45187</v>
      </c>
      <c r="B210" s="116">
        <v>620.95000000000005</v>
      </c>
      <c r="C210" s="116">
        <v>604.20000000000005</v>
      </c>
      <c r="D210" s="116">
        <v>601.65</v>
      </c>
      <c r="E210" s="116">
        <v>613.6</v>
      </c>
      <c r="F210" s="116">
        <v>604.20000000000005</v>
      </c>
      <c r="G210">
        <v>26008</v>
      </c>
      <c r="H210" s="116"/>
      <c r="I210" s="116"/>
      <c r="L210" s="170">
        <v>45187</v>
      </c>
      <c r="M210" s="116">
        <v>604.6</v>
      </c>
      <c r="N210" s="116">
        <v>621.95000000000005</v>
      </c>
      <c r="O210" s="116">
        <v>601.1</v>
      </c>
      <c r="P210" s="116">
        <v>619.9</v>
      </c>
      <c r="Q210" s="116">
        <v>604.6</v>
      </c>
      <c r="R210">
        <v>201679</v>
      </c>
    </row>
    <row r="211" spans="1:18" x14ac:dyDescent="0.25">
      <c r="A211" s="170">
        <v>45189</v>
      </c>
      <c r="B211" s="116">
        <v>617.95000000000005</v>
      </c>
      <c r="C211" s="116">
        <v>598.45000000000005</v>
      </c>
      <c r="D211" s="116">
        <v>593.29999999999995</v>
      </c>
      <c r="E211" s="116">
        <v>617.95000000000005</v>
      </c>
      <c r="F211" s="116">
        <v>598.45000000000005</v>
      </c>
      <c r="G211">
        <v>9596</v>
      </c>
      <c r="H211" s="116"/>
      <c r="I211" s="116"/>
      <c r="L211" s="170">
        <v>45189</v>
      </c>
      <c r="M211" s="116">
        <v>598.9</v>
      </c>
      <c r="N211" s="116">
        <v>613.6</v>
      </c>
      <c r="O211" s="116">
        <v>593.9</v>
      </c>
      <c r="P211" s="116">
        <v>605.95000000000005</v>
      </c>
      <c r="Q211" s="116">
        <v>598.9</v>
      </c>
      <c r="R211">
        <v>215443</v>
      </c>
    </row>
    <row r="212" spans="1:18" x14ac:dyDescent="0.25">
      <c r="A212" s="170">
        <v>45190</v>
      </c>
      <c r="B212" s="116">
        <v>602.75</v>
      </c>
      <c r="C212" s="116">
        <v>594.20000000000005</v>
      </c>
      <c r="D212" s="116">
        <v>589</v>
      </c>
      <c r="E212" s="116">
        <v>596.04999999999995</v>
      </c>
      <c r="F212" s="116">
        <v>594.20000000000005</v>
      </c>
      <c r="G212">
        <v>5675</v>
      </c>
      <c r="H212" s="116"/>
      <c r="I212" s="116"/>
      <c r="L212" s="170">
        <v>45190</v>
      </c>
      <c r="M212" s="116">
        <v>594.25</v>
      </c>
      <c r="N212" s="116">
        <v>603.25</v>
      </c>
      <c r="O212" s="116">
        <v>588.95000000000005</v>
      </c>
      <c r="P212" s="116">
        <v>598.9</v>
      </c>
      <c r="Q212" s="116">
        <v>594.25</v>
      </c>
      <c r="R212">
        <v>129147</v>
      </c>
    </row>
    <row r="213" spans="1:18" x14ac:dyDescent="0.25">
      <c r="A213" s="170">
        <v>45191</v>
      </c>
      <c r="B213" s="116">
        <v>599</v>
      </c>
      <c r="C213" s="116">
        <v>586.35</v>
      </c>
      <c r="D213" s="116">
        <v>584</v>
      </c>
      <c r="E213" s="116">
        <v>585.29999999999995</v>
      </c>
      <c r="F213" s="116">
        <v>586.35</v>
      </c>
      <c r="G213">
        <v>18311</v>
      </c>
      <c r="H213" s="116"/>
      <c r="I213" s="116"/>
      <c r="L213" s="170">
        <v>45191</v>
      </c>
      <c r="M213" s="116">
        <v>585.75</v>
      </c>
      <c r="N213" s="116">
        <v>599.9</v>
      </c>
      <c r="O213" s="116">
        <v>583.70000000000005</v>
      </c>
      <c r="P213" s="116">
        <v>598.5</v>
      </c>
      <c r="Q213" s="116">
        <v>585.75</v>
      </c>
      <c r="R213">
        <v>127665</v>
      </c>
    </row>
    <row r="214" spans="1:18" x14ac:dyDescent="0.25">
      <c r="A214" s="170">
        <v>45194</v>
      </c>
      <c r="B214" s="116">
        <v>596.4</v>
      </c>
      <c r="C214" s="116">
        <v>588.15</v>
      </c>
      <c r="D214" s="116">
        <v>583.20000000000005</v>
      </c>
      <c r="E214" s="116">
        <v>596.29999999999995</v>
      </c>
      <c r="F214" s="116">
        <v>588.15</v>
      </c>
      <c r="G214">
        <v>21009</v>
      </c>
      <c r="H214" s="116"/>
      <c r="I214" s="116"/>
      <c r="L214" s="170">
        <v>45194</v>
      </c>
      <c r="M214" s="116">
        <v>588.29999999999995</v>
      </c>
      <c r="N214" s="116">
        <v>599</v>
      </c>
      <c r="O214" s="116">
        <v>583.54999999999995</v>
      </c>
      <c r="P214" s="116">
        <v>594</v>
      </c>
      <c r="Q214" s="116">
        <v>588.29999999999995</v>
      </c>
      <c r="R214">
        <v>91821</v>
      </c>
    </row>
    <row r="215" spans="1:18" x14ac:dyDescent="0.25">
      <c r="A215" s="170">
        <v>45195</v>
      </c>
      <c r="B215" s="116">
        <v>601.6</v>
      </c>
      <c r="C215" s="116">
        <v>584.04999999999995</v>
      </c>
      <c r="D215" s="116">
        <v>582</v>
      </c>
      <c r="E215" s="116">
        <v>588.04999999999995</v>
      </c>
      <c r="F215" s="116">
        <v>584.04999999999995</v>
      </c>
      <c r="G215">
        <v>22506</v>
      </c>
      <c r="H215" s="116"/>
      <c r="I215" s="116"/>
      <c r="L215" s="170">
        <v>45195</v>
      </c>
      <c r="M215" s="116">
        <v>584.29999999999995</v>
      </c>
      <c r="N215" s="116">
        <v>605</v>
      </c>
      <c r="O215" s="116">
        <v>581.79999999999995</v>
      </c>
      <c r="P215" s="116">
        <v>591.79999999999995</v>
      </c>
      <c r="Q215" s="116">
        <v>584.29999999999995</v>
      </c>
      <c r="R215">
        <v>157690</v>
      </c>
    </row>
    <row r="216" spans="1:18" x14ac:dyDescent="0.25">
      <c r="A216" s="170">
        <v>45196</v>
      </c>
      <c r="B216" s="116">
        <v>594.79999999999995</v>
      </c>
      <c r="C216" s="116">
        <v>584</v>
      </c>
      <c r="D216" s="116">
        <v>582</v>
      </c>
      <c r="E216" s="116">
        <v>585.04999999999995</v>
      </c>
      <c r="F216" s="116">
        <v>584</v>
      </c>
      <c r="G216">
        <v>22694</v>
      </c>
      <c r="H216" s="116"/>
      <c r="I216" s="116"/>
      <c r="L216" s="170">
        <v>45196</v>
      </c>
      <c r="M216" s="116">
        <v>583.79999999999995</v>
      </c>
      <c r="N216" s="116">
        <v>595</v>
      </c>
      <c r="O216" s="116">
        <v>580.04999999999995</v>
      </c>
      <c r="P216" s="116">
        <v>585.95000000000005</v>
      </c>
      <c r="Q216" s="116">
        <v>583.79999999999995</v>
      </c>
      <c r="R216">
        <v>155404</v>
      </c>
    </row>
    <row r="217" spans="1:18" x14ac:dyDescent="0.25">
      <c r="A217" s="170">
        <v>45197</v>
      </c>
      <c r="B217" s="116">
        <v>594.45000000000005</v>
      </c>
      <c r="C217" s="116">
        <v>584.95000000000005</v>
      </c>
      <c r="D217" s="116">
        <v>580.4</v>
      </c>
      <c r="E217" s="116">
        <v>584</v>
      </c>
      <c r="F217" s="116">
        <v>584.95000000000005</v>
      </c>
      <c r="G217">
        <v>18191</v>
      </c>
      <c r="H217" s="116"/>
      <c r="I217" s="116"/>
      <c r="L217" s="170">
        <v>45197</v>
      </c>
      <c r="M217" s="116">
        <v>584</v>
      </c>
      <c r="N217" s="116">
        <v>596.65</v>
      </c>
      <c r="O217" s="116">
        <v>580.1</v>
      </c>
      <c r="P217" s="116">
        <v>584.95000000000005</v>
      </c>
      <c r="Q217" s="116">
        <v>584</v>
      </c>
      <c r="R217">
        <v>181136</v>
      </c>
    </row>
    <row r="218" spans="1:18" x14ac:dyDescent="0.25">
      <c r="A218" s="170">
        <v>45198</v>
      </c>
      <c r="B218" s="116">
        <v>599</v>
      </c>
      <c r="C218" s="116">
        <v>589.5</v>
      </c>
      <c r="D218" s="116">
        <v>581.5</v>
      </c>
      <c r="E218" s="116">
        <v>591.95000000000005</v>
      </c>
      <c r="F218" s="116">
        <v>589.5</v>
      </c>
      <c r="G218">
        <v>16293</v>
      </c>
      <c r="H218" s="116"/>
      <c r="I218" s="116"/>
      <c r="L218" s="170">
        <v>45198</v>
      </c>
      <c r="M218" s="116">
        <v>588.85</v>
      </c>
      <c r="N218" s="116">
        <v>599</v>
      </c>
      <c r="O218" s="116">
        <v>580.1</v>
      </c>
      <c r="P218" s="116">
        <v>587</v>
      </c>
      <c r="Q218" s="116">
        <v>588.85</v>
      </c>
      <c r="R218">
        <v>170987</v>
      </c>
    </row>
    <row r="219" spans="1:18" x14ac:dyDescent="0.25">
      <c r="A219" s="170">
        <v>45202</v>
      </c>
      <c r="B219" s="116">
        <v>612.45000000000005</v>
      </c>
      <c r="C219" s="116">
        <v>609.25</v>
      </c>
      <c r="D219" s="116">
        <v>584.15</v>
      </c>
      <c r="E219" s="116">
        <v>596.65</v>
      </c>
      <c r="F219" s="116">
        <v>609.25</v>
      </c>
      <c r="G219">
        <v>29673</v>
      </c>
      <c r="H219" s="116"/>
      <c r="I219" s="116"/>
      <c r="L219" s="170">
        <v>45202</v>
      </c>
      <c r="M219" s="116">
        <v>609.20000000000005</v>
      </c>
      <c r="N219" s="116">
        <v>612.5</v>
      </c>
      <c r="O219" s="116">
        <v>584.5</v>
      </c>
      <c r="P219" s="116">
        <v>590.45000000000005</v>
      </c>
      <c r="Q219" s="116">
        <v>609.20000000000005</v>
      </c>
      <c r="R219">
        <v>214693</v>
      </c>
    </row>
    <row r="220" spans="1:18" x14ac:dyDescent="0.25">
      <c r="A220" s="170">
        <v>45203</v>
      </c>
      <c r="B220" s="116">
        <v>617.20000000000005</v>
      </c>
      <c r="C220" s="116">
        <v>604.15</v>
      </c>
      <c r="D220" s="116">
        <v>601.70000000000005</v>
      </c>
      <c r="E220" s="116">
        <v>609</v>
      </c>
      <c r="F220" s="116">
        <v>604.15</v>
      </c>
      <c r="G220">
        <v>19259</v>
      </c>
      <c r="H220" s="116"/>
      <c r="I220" s="116"/>
      <c r="L220" s="170">
        <v>45203</v>
      </c>
      <c r="M220" s="116">
        <v>603.54999999999995</v>
      </c>
      <c r="N220" s="116">
        <v>617.5</v>
      </c>
      <c r="O220" s="116">
        <v>601</v>
      </c>
      <c r="P220" s="116">
        <v>609.20000000000005</v>
      </c>
      <c r="Q220" s="116">
        <v>603.54999999999995</v>
      </c>
      <c r="R220">
        <v>183677</v>
      </c>
    </row>
    <row r="221" spans="1:18" x14ac:dyDescent="0.25">
      <c r="A221" s="170">
        <v>45204</v>
      </c>
      <c r="B221" s="116">
        <v>612.45000000000005</v>
      </c>
      <c r="C221" s="116">
        <v>597.85</v>
      </c>
      <c r="D221" s="116">
        <v>592.85</v>
      </c>
      <c r="E221" s="116">
        <v>610.9</v>
      </c>
      <c r="F221" s="116">
        <v>597.85</v>
      </c>
      <c r="G221">
        <v>17114</v>
      </c>
      <c r="H221" s="116"/>
      <c r="I221" s="116"/>
      <c r="L221" s="170">
        <v>45204</v>
      </c>
      <c r="M221" s="116">
        <v>599.1</v>
      </c>
      <c r="N221" s="116">
        <v>612.5</v>
      </c>
      <c r="O221" s="116">
        <v>595.20000000000005</v>
      </c>
      <c r="P221" s="116">
        <v>608.1</v>
      </c>
      <c r="Q221" s="116">
        <v>599.1</v>
      </c>
      <c r="R221">
        <v>90209</v>
      </c>
    </row>
    <row r="222" spans="1:18" x14ac:dyDescent="0.25">
      <c r="A222" s="170">
        <v>45205</v>
      </c>
      <c r="B222" s="116">
        <v>612</v>
      </c>
      <c r="C222" s="116">
        <v>588.29999999999995</v>
      </c>
      <c r="D222" s="116">
        <v>586.1</v>
      </c>
      <c r="E222" s="116">
        <v>612</v>
      </c>
      <c r="F222" s="116">
        <v>588.29999999999995</v>
      </c>
      <c r="G222">
        <v>7099</v>
      </c>
      <c r="H222" s="116"/>
      <c r="I222" s="116"/>
      <c r="L222" s="170">
        <v>45205</v>
      </c>
      <c r="M222" s="116">
        <v>587.5</v>
      </c>
      <c r="N222" s="116">
        <v>604.95000000000005</v>
      </c>
      <c r="O222" s="116">
        <v>586.04999999999995</v>
      </c>
      <c r="P222" s="116">
        <v>599.5</v>
      </c>
      <c r="Q222" s="116">
        <v>587.5</v>
      </c>
      <c r="R222">
        <v>154870</v>
      </c>
    </row>
    <row r="223" spans="1:18" x14ac:dyDescent="0.25">
      <c r="A223" s="170">
        <v>45208</v>
      </c>
      <c r="B223" s="116">
        <v>639.95000000000005</v>
      </c>
      <c r="C223" s="116">
        <v>601.54999999999995</v>
      </c>
      <c r="D223" s="116">
        <v>555</v>
      </c>
      <c r="E223" s="116">
        <v>555</v>
      </c>
      <c r="F223" s="116">
        <v>601.54999999999995</v>
      </c>
      <c r="G223">
        <v>125390</v>
      </c>
      <c r="H223" s="116"/>
      <c r="I223" s="116"/>
      <c r="L223" s="170">
        <v>45208</v>
      </c>
      <c r="M223" s="116">
        <v>602.25</v>
      </c>
      <c r="N223" s="116">
        <v>639.79999999999995</v>
      </c>
      <c r="O223" s="116">
        <v>589</v>
      </c>
      <c r="P223" s="116">
        <v>589</v>
      </c>
      <c r="Q223" s="116">
        <v>602.25</v>
      </c>
      <c r="R223">
        <v>2466451</v>
      </c>
    </row>
    <row r="224" spans="1:18" x14ac:dyDescent="0.25">
      <c r="A224" s="170">
        <v>45209</v>
      </c>
      <c r="B224" s="116">
        <v>642.95000000000005</v>
      </c>
      <c r="C224" s="116">
        <v>629.35</v>
      </c>
      <c r="D224" s="116">
        <v>603.04999999999995</v>
      </c>
      <c r="E224" s="116">
        <v>603.04999999999995</v>
      </c>
      <c r="F224" s="116">
        <v>629.35</v>
      </c>
      <c r="G224">
        <v>45225</v>
      </c>
      <c r="H224" s="116"/>
      <c r="I224" s="116"/>
      <c r="L224" s="170">
        <v>45209</v>
      </c>
      <c r="M224" s="116">
        <v>628.35</v>
      </c>
      <c r="N224" s="116">
        <v>643</v>
      </c>
      <c r="O224" s="116">
        <v>608</v>
      </c>
      <c r="P224" s="116">
        <v>609.20000000000005</v>
      </c>
      <c r="Q224" s="116">
        <v>628.35</v>
      </c>
      <c r="R224">
        <v>1447632</v>
      </c>
    </row>
    <row r="225" spans="1:18" x14ac:dyDescent="0.25">
      <c r="A225" s="170">
        <v>45210</v>
      </c>
      <c r="B225" s="116">
        <v>656.9</v>
      </c>
      <c r="C225" s="116">
        <v>649.1</v>
      </c>
      <c r="D225" s="116">
        <v>633.95000000000005</v>
      </c>
      <c r="E225" s="116">
        <v>639.75</v>
      </c>
      <c r="F225" s="116">
        <v>649.1</v>
      </c>
      <c r="G225">
        <v>86503</v>
      </c>
      <c r="H225" s="116"/>
      <c r="I225" s="116"/>
      <c r="L225" s="170">
        <v>45210</v>
      </c>
      <c r="M225" s="116">
        <v>648.95000000000005</v>
      </c>
      <c r="N225" s="116">
        <v>657.3</v>
      </c>
      <c r="O225" s="116">
        <v>633.35</v>
      </c>
      <c r="P225" s="116">
        <v>639.95000000000005</v>
      </c>
      <c r="Q225" s="116">
        <v>648.95000000000005</v>
      </c>
      <c r="R225">
        <v>1192678</v>
      </c>
    </row>
    <row r="226" spans="1:18" x14ac:dyDescent="0.25">
      <c r="A226" s="170">
        <v>45211</v>
      </c>
      <c r="B226" s="116">
        <v>666.95</v>
      </c>
      <c r="C226" s="116">
        <v>648.15</v>
      </c>
      <c r="D226" s="116">
        <v>641.95000000000005</v>
      </c>
      <c r="E226" s="116">
        <v>654.9</v>
      </c>
      <c r="F226" s="116">
        <v>648.15</v>
      </c>
      <c r="G226">
        <v>62912</v>
      </c>
      <c r="H226" s="116"/>
      <c r="I226" s="116"/>
      <c r="L226" s="170">
        <v>45211</v>
      </c>
      <c r="M226" s="116">
        <v>648.45000000000005</v>
      </c>
      <c r="N226" s="116">
        <v>666.95</v>
      </c>
      <c r="O226" s="116">
        <v>642.9</v>
      </c>
      <c r="P226" s="116">
        <v>654.95000000000005</v>
      </c>
      <c r="Q226" s="116">
        <v>648.45000000000005</v>
      </c>
      <c r="R226">
        <v>659928</v>
      </c>
    </row>
    <row r="227" spans="1:18" x14ac:dyDescent="0.25">
      <c r="A227" s="170">
        <v>45212</v>
      </c>
      <c r="B227" s="116">
        <v>672.95</v>
      </c>
      <c r="C227" s="116">
        <v>651.29999999999995</v>
      </c>
      <c r="D227" s="116">
        <v>645</v>
      </c>
      <c r="E227" s="116">
        <v>645</v>
      </c>
      <c r="F227" s="116">
        <v>651.29999999999995</v>
      </c>
      <c r="G227">
        <v>22135</v>
      </c>
      <c r="H227" s="116"/>
      <c r="I227" s="116"/>
      <c r="L227" s="170">
        <v>45212</v>
      </c>
      <c r="M227" s="116">
        <v>649.75</v>
      </c>
      <c r="N227" s="116">
        <v>672.5</v>
      </c>
      <c r="O227" s="116">
        <v>648</v>
      </c>
      <c r="P227" s="116">
        <v>654.29999999999995</v>
      </c>
      <c r="Q227" s="116">
        <v>649.75</v>
      </c>
      <c r="R227">
        <v>486142</v>
      </c>
    </row>
    <row r="228" spans="1:18" x14ac:dyDescent="0.25">
      <c r="A228" s="170">
        <v>45215</v>
      </c>
      <c r="B228" s="116">
        <v>663.95</v>
      </c>
      <c r="C228" s="116">
        <v>657.9</v>
      </c>
      <c r="D228" s="116">
        <v>651.5</v>
      </c>
      <c r="E228" s="116">
        <v>656.95</v>
      </c>
      <c r="F228" s="116">
        <v>657.9</v>
      </c>
      <c r="G228">
        <v>35478</v>
      </c>
      <c r="H228" s="116"/>
      <c r="I228" s="116"/>
      <c r="L228" s="170">
        <v>45215</v>
      </c>
      <c r="M228" s="116">
        <v>658.75</v>
      </c>
      <c r="N228" s="116">
        <v>664.2</v>
      </c>
      <c r="O228" s="116">
        <v>652.04999999999995</v>
      </c>
      <c r="P228" s="116">
        <v>655.6</v>
      </c>
      <c r="Q228" s="116">
        <v>658.75</v>
      </c>
      <c r="R228">
        <v>320960</v>
      </c>
    </row>
    <row r="229" spans="1:18" x14ac:dyDescent="0.25">
      <c r="A229" s="170">
        <v>45216</v>
      </c>
      <c r="B229" s="116">
        <v>674</v>
      </c>
      <c r="C229" s="116">
        <v>670.6</v>
      </c>
      <c r="D229" s="116">
        <v>656.2</v>
      </c>
      <c r="E229" s="116">
        <v>658.15</v>
      </c>
      <c r="F229" s="116">
        <v>670.6</v>
      </c>
      <c r="G229">
        <v>24459</v>
      </c>
      <c r="H229" s="116"/>
      <c r="I229" s="116"/>
      <c r="L229" s="170">
        <v>45216</v>
      </c>
      <c r="M229" s="116">
        <v>670.65</v>
      </c>
      <c r="N229" s="116">
        <v>674</v>
      </c>
      <c r="O229" s="116">
        <v>655.9</v>
      </c>
      <c r="P229" s="116">
        <v>662.95</v>
      </c>
      <c r="Q229" s="116">
        <v>670.65</v>
      </c>
      <c r="R229">
        <v>345481</v>
      </c>
    </row>
    <row r="230" spans="1:18" x14ac:dyDescent="0.25">
      <c r="A230" s="170">
        <v>45217</v>
      </c>
      <c r="B230" s="116">
        <v>687.9</v>
      </c>
      <c r="C230" s="116">
        <v>659.35</v>
      </c>
      <c r="D230" s="116">
        <v>655.35</v>
      </c>
      <c r="E230" s="116">
        <v>679.7</v>
      </c>
      <c r="F230" s="116">
        <v>659.35</v>
      </c>
      <c r="G230">
        <v>23966</v>
      </c>
      <c r="H230" s="116"/>
      <c r="I230" s="116"/>
      <c r="L230" s="170">
        <v>45217</v>
      </c>
      <c r="M230" s="116">
        <v>660.45</v>
      </c>
      <c r="N230" s="116">
        <v>689</v>
      </c>
      <c r="O230" s="116">
        <v>656.2</v>
      </c>
      <c r="P230" s="116">
        <v>675.7</v>
      </c>
      <c r="Q230" s="116">
        <v>660.45</v>
      </c>
      <c r="R230">
        <v>417765</v>
      </c>
    </row>
    <row r="231" spans="1:18" x14ac:dyDescent="0.25">
      <c r="A231" s="170">
        <v>45218</v>
      </c>
      <c r="B231" s="116">
        <v>658</v>
      </c>
      <c r="C231" s="116">
        <v>645.4</v>
      </c>
      <c r="D231" s="116">
        <v>642.9</v>
      </c>
      <c r="E231" s="116">
        <v>657.6</v>
      </c>
      <c r="F231" s="116">
        <v>645.4</v>
      </c>
      <c r="G231">
        <v>10342</v>
      </c>
      <c r="H231" s="116"/>
      <c r="I231" s="116"/>
      <c r="L231" s="170">
        <v>45218</v>
      </c>
      <c r="M231" s="116">
        <v>647.25</v>
      </c>
      <c r="N231" s="116">
        <v>658.8</v>
      </c>
      <c r="O231" s="116">
        <v>642.04999999999995</v>
      </c>
      <c r="P231" s="116">
        <v>653</v>
      </c>
      <c r="Q231" s="116">
        <v>647.25</v>
      </c>
      <c r="R231">
        <v>341627</v>
      </c>
    </row>
    <row r="232" spans="1:18" x14ac:dyDescent="0.25">
      <c r="A232" s="170">
        <v>45219</v>
      </c>
      <c r="B232" s="116">
        <v>653.4</v>
      </c>
      <c r="C232" s="116">
        <v>632.75</v>
      </c>
      <c r="D232" s="116">
        <v>629.04999999999995</v>
      </c>
      <c r="E232" s="116">
        <v>648.9</v>
      </c>
      <c r="F232" s="116">
        <v>632.75</v>
      </c>
      <c r="G232">
        <v>8800</v>
      </c>
      <c r="H232" s="116"/>
      <c r="I232" s="116"/>
      <c r="L232" s="170">
        <v>45219</v>
      </c>
      <c r="M232" s="116">
        <v>632.6</v>
      </c>
      <c r="N232" s="116">
        <v>653</v>
      </c>
      <c r="O232" s="116">
        <v>629</v>
      </c>
      <c r="P232" s="116">
        <v>649.85</v>
      </c>
      <c r="Q232" s="116">
        <v>632.6</v>
      </c>
      <c r="R232">
        <v>256619</v>
      </c>
    </row>
    <row r="233" spans="1:18" x14ac:dyDescent="0.25">
      <c r="A233" s="170">
        <v>45222</v>
      </c>
      <c r="B233" s="116">
        <v>634.04999999999995</v>
      </c>
      <c r="C233" s="116">
        <v>605</v>
      </c>
      <c r="D233" s="116">
        <v>599</v>
      </c>
      <c r="E233" s="116">
        <v>630.04999999999995</v>
      </c>
      <c r="F233" s="116">
        <v>605</v>
      </c>
      <c r="G233">
        <v>48011</v>
      </c>
      <c r="H233" s="116"/>
      <c r="I233" s="116"/>
      <c r="L233" s="170">
        <v>45222</v>
      </c>
      <c r="M233" s="116">
        <v>604</v>
      </c>
      <c r="N233" s="116">
        <v>635.6</v>
      </c>
      <c r="O233" s="116">
        <v>598</v>
      </c>
      <c r="P233" s="116">
        <v>633</v>
      </c>
      <c r="Q233" s="116">
        <v>604</v>
      </c>
      <c r="R233">
        <v>282439</v>
      </c>
    </row>
    <row r="234" spans="1:18" x14ac:dyDescent="0.25">
      <c r="A234" s="170">
        <v>45224</v>
      </c>
      <c r="B234" s="116">
        <v>619.6</v>
      </c>
      <c r="C234" s="116">
        <v>591.6</v>
      </c>
      <c r="D234" s="116">
        <v>583.6</v>
      </c>
      <c r="E234" s="116">
        <v>606.04999999999995</v>
      </c>
      <c r="F234" s="116">
        <v>591.6</v>
      </c>
      <c r="G234">
        <v>28388</v>
      </c>
      <c r="H234" s="116"/>
      <c r="I234" s="116"/>
      <c r="L234" s="170">
        <v>45224</v>
      </c>
      <c r="M234" s="116">
        <v>593.15</v>
      </c>
      <c r="N234" s="116">
        <v>618.20000000000005</v>
      </c>
      <c r="O234" s="116">
        <v>582.54999999999995</v>
      </c>
      <c r="P234" s="116">
        <v>607</v>
      </c>
      <c r="Q234" s="116">
        <v>593.15</v>
      </c>
      <c r="R234">
        <v>223879</v>
      </c>
    </row>
    <row r="235" spans="1:18" x14ac:dyDescent="0.25">
      <c r="A235" s="170">
        <v>45225</v>
      </c>
      <c r="B235" s="116">
        <v>623.20000000000005</v>
      </c>
      <c r="C235" s="116">
        <v>590.65</v>
      </c>
      <c r="D235" s="116">
        <v>573.5</v>
      </c>
      <c r="E235" s="116">
        <v>595</v>
      </c>
      <c r="F235" s="116">
        <v>590.65</v>
      </c>
      <c r="G235">
        <v>21062</v>
      </c>
      <c r="H235" s="116"/>
      <c r="I235" s="116"/>
      <c r="L235" s="170">
        <v>45225</v>
      </c>
      <c r="M235" s="116">
        <v>590.04999999999995</v>
      </c>
      <c r="N235" s="116">
        <v>624</v>
      </c>
      <c r="O235" s="116">
        <v>572.95000000000005</v>
      </c>
      <c r="P235" s="116">
        <v>592.70000000000005</v>
      </c>
      <c r="Q235" s="116">
        <v>590.04999999999995</v>
      </c>
      <c r="R235">
        <v>490716</v>
      </c>
    </row>
    <row r="236" spans="1:18" x14ac:dyDescent="0.25">
      <c r="A236" s="170">
        <v>45226</v>
      </c>
      <c r="B236" s="116">
        <v>610</v>
      </c>
      <c r="C236" s="116">
        <v>607.65</v>
      </c>
      <c r="D236" s="116">
        <v>594.1</v>
      </c>
      <c r="E236" s="116">
        <v>596.5</v>
      </c>
      <c r="F236" s="116">
        <v>607.65</v>
      </c>
      <c r="G236">
        <v>21460</v>
      </c>
      <c r="H236" s="116"/>
      <c r="I236" s="116"/>
      <c r="L236" s="170">
        <v>45226</v>
      </c>
      <c r="M236" s="116">
        <v>607.4</v>
      </c>
      <c r="N236" s="116">
        <v>611.20000000000005</v>
      </c>
      <c r="O236" s="116">
        <v>593</v>
      </c>
      <c r="P236" s="116">
        <v>594.70000000000005</v>
      </c>
      <c r="Q236" s="116">
        <v>607.4</v>
      </c>
      <c r="R236">
        <v>104283</v>
      </c>
    </row>
    <row r="237" spans="1:18" x14ac:dyDescent="0.25">
      <c r="A237" s="170">
        <v>45229</v>
      </c>
      <c r="B237" s="116">
        <v>606.29999999999995</v>
      </c>
      <c r="C237" s="116">
        <v>595.35</v>
      </c>
      <c r="D237" s="116">
        <v>592.6</v>
      </c>
      <c r="E237" s="116">
        <v>606.1</v>
      </c>
      <c r="F237" s="116">
        <v>595.35</v>
      </c>
      <c r="G237">
        <v>22412</v>
      </c>
      <c r="H237" s="116"/>
      <c r="I237" s="116"/>
      <c r="L237" s="170">
        <v>45229</v>
      </c>
      <c r="M237" s="116">
        <v>594.25</v>
      </c>
      <c r="N237" s="116">
        <v>609.9</v>
      </c>
      <c r="O237" s="116">
        <v>590</v>
      </c>
      <c r="P237" s="116">
        <v>608.29999999999995</v>
      </c>
      <c r="Q237" s="116">
        <v>594.25</v>
      </c>
      <c r="R237">
        <v>162329</v>
      </c>
    </row>
    <row r="238" spans="1:18" x14ac:dyDescent="0.25">
      <c r="A238" s="170">
        <v>45230</v>
      </c>
      <c r="B238" s="116">
        <v>599.65</v>
      </c>
      <c r="C238" s="116">
        <v>572.85</v>
      </c>
      <c r="D238" s="116">
        <v>570.1</v>
      </c>
      <c r="E238" s="116">
        <v>595.35</v>
      </c>
      <c r="F238" s="116">
        <v>572.85</v>
      </c>
      <c r="G238">
        <v>37133</v>
      </c>
      <c r="H238" s="116"/>
      <c r="I238" s="116"/>
      <c r="L238" s="170">
        <v>45230</v>
      </c>
      <c r="M238" s="116">
        <v>572.75</v>
      </c>
      <c r="N238" s="116">
        <v>599.85</v>
      </c>
      <c r="O238" s="116">
        <v>570</v>
      </c>
      <c r="P238" s="116">
        <v>595</v>
      </c>
      <c r="Q238" s="116">
        <v>572.75</v>
      </c>
      <c r="R238">
        <v>365936</v>
      </c>
    </row>
    <row r="239" spans="1:18" x14ac:dyDescent="0.25">
      <c r="A239" s="170">
        <v>45231</v>
      </c>
      <c r="B239" s="116">
        <v>569.75</v>
      </c>
      <c r="C239" s="116">
        <v>548.04999999999995</v>
      </c>
      <c r="D239" s="116">
        <v>546</v>
      </c>
      <c r="E239" s="116">
        <v>565.70000000000005</v>
      </c>
      <c r="F239" s="116">
        <v>548.04999999999995</v>
      </c>
      <c r="G239">
        <v>41714</v>
      </c>
      <c r="H239" s="116"/>
      <c r="I239" s="116"/>
      <c r="L239" s="170">
        <v>45231</v>
      </c>
      <c r="M239" s="116">
        <v>548.70000000000005</v>
      </c>
      <c r="N239" s="116">
        <v>568.5</v>
      </c>
      <c r="O239" s="116">
        <v>547</v>
      </c>
      <c r="P239" s="116">
        <v>564.45000000000005</v>
      </c>
      <c r="Q239" s="116">
        <v>548.70000000000005</v>
      </c>
      <c r="R239">
        <v>330388</v>
      </c>
    </row>
    <row r="240" spans="1:18" x14ac:dyDescent="0.25">
      <c r="A240" s="170">
        <v>45232</v>
      </c>
      <c r="B240" s="116">
        <v>558.6</v>
      </c>
      <c r="C240" s="116">
        <v>526.1</v>
      </c>
      <c r="D240" s="116">
        <v>524</v>
      </c>
      <c r="E240" s="116">
        <v>556.35</v>
      </c>
      <c r="F240" s="116">
        <v>526.1</v>
      </c>
      <c r="G240">
        <v>22193</v>
      </c>
      <c r="H240" s="116"/>
      <c r="I240" s="116"/>
      <c r="L240" s="170">
        <v>45232</v>
      </c>
      <c r="M240" s="116">
        <v>526.25</v>
      </c>
      <c r="N240" s="116">
        <v>558.5</v>
      </c>
      <c r="O240" s="116">
        <v>523.45000000000005</v>
      </c>
      <c r="P240" s="116">
        <v>557</v>
      </c>
      <c r="Q240" s="116">
        <v>526.25</v>
      </c>
      <c r="R240">
        <v>615674</v>
      </c>
    </row>
    <row r="241" spans="1:18" x14ac:dyDescent="0.25">
      <c r="A241" s="170">
        <v>45233</v>
      </c>
      <c r="B241" s="116">
        <v>530.65</v>
      </c>
      <c r="C241" s="116">
        <v>518.04999999999995</v>
      </c>
      <c r="D241" s="116">
        <v>510.3</v>
      </c>
      <c r="E241" s="116">
        <v>530.65</v>
      </c>
      <c r="F241" s="116">
        <v>518.04999999999995</v>
      </c>
      <c r="G241">
        <v>18428</v>
      </c>
      <c r="H241" s="116"/>
      <c r="I241" s="116"/>
      <c r="L241" s="170">
        <v>45233</v>
      </c>
      <c r="M241" s="116">
        <v>517.29999999999995</v>
      </c>
      <c r="N241" s="116">
        <v>530</v>
      </c>
      <c r="O241" s="116">
        <v>510.05</v>
      </c>
      <c r="P241" s="116">
        <v>529.95000000000005</v>
      </c>
      <c r="Q241" s="116">
        <v>517.29999999999995</v>
      </c>
      <c r="R241">
        <v>571336</v>
      </c>
    </row>
    <row r="242" spans="1:18" x14ac:dyDescent="0.25">
      <c r="A242" s="170">
        <v>45236</v>
      </c>
      <c r="B242" s="116">
        <v>543.75</v>
      </c>
      <c r="C242" s="116">
        <v>524.65</v>
      </c>
      <c r="D242" s="116">
        <v>522.04999999999995</v>
      </c>
      <c r="E242" s="116">
        <v>522.04999999999995</v>
      </c>
      <c r="F242" s="116">
        <v>524.65</v>
      </c>
      <c r="G242">
        <v>35788</v>
      </c>
      <c r="H242" s="116"/>
      <c r="I242" s="116"/>
      <c r="L242" s="170">
        <v>45236</v>
      </c>
      <c r="M242" s="116">
        <v>524.4</v>
      </c>
      <c r="N242" s="116">
        <v>543.70000000000005</v>
      </c>
      <c r="O242" s="116">
        <v>522.5</v>
      </c>
      <c r="P242" s="116">
        <v>530</v>
      </c>
      <c r="Q242" s="116">
        <v>524.4</v>
      </c>
      <c r="R242">
        <v>488539</v>
      </c>
    </row>
    <row r="243" spans="1:18" x14ac:dyDescent="0.25">
      <c r="A243" s="170">
        <v>45237</v>
      </c>
      <c r="B243" s="116">
        <v>533.9</v>
      </c>
      <c r="C243" s="116">
        <v>524.70000000000005</v>
      </c>
      <c r="D243" s="116">
        <v>523</v>
      </c>
      <c r="E243" s="116">
        <v>533.9</v>
      </c>
      <c r="F243" s="116">
        <v>524.70000000000005</v>
      </c>
      <c r="G243">
        <v>25345</v>
      </c>
      <c r="H243" s="116"/>
      <c r="I243" s="116"/>
      <c r="L243" s="170">
        <v>45237</v>
      </c>
      <c r="M243" s="116">
        <v>524</v>
      </c>
      <c r="N243" s="116">
        <v>533.95000000000005</v>
      </c>
      <c r="O243" s="116">
        <v>522.6</v>
      </c>
      <c r="P243" s="116">
        <v>528</v>
      </c>
      <c r="Q243" s="116">
        <v>524</v>
      </c>
      <c r="R243">
        <v>232771</v>
      </c>
    </row>
    <row r="244" spans="1:18" x14ac:dyDescent="0.25">
      <c r="A244" s="170">
        <v>45238</v>
      </c>
      <c r="B244" s="116">
        <v>531.6</v>
      </c>
      <c r="C244" s="116">
        <v>523.25</v>
      </c>
      <c r="D244" s="116">
        <v>521</v>
      </c>
      <c r="E244" s="116">
        <v>529.45000000000005</v>
      </c>
      <c r="F244" s="116">
        <v>523.25</v>
      </c>
      <c r="G244">
        <v>33961</v>
      </c>
      <c r="H244" s="116"/>
      <c r="I244" s="116"/>
      <c r="L244" s="170">
        <v>45238</v>
      </c>
      <c r="M244" s="116">
        <v>523.75</v>
      </c>
      <c r="N244" s="116">
        <v>532.5</v>
      </c>
      <c r="O244" s="116">
        <v>520.20000000000005</v>
      </c>
      <c r="P244" s="116">
        <v>528.70000000000005</v>
      </c>
      <c r="Q244" s="116">
        <v>523.75</v>
      </c>
      <c r="R244">
        <v>252461</v>
      </c>
    </row>
    <row r="245" spans="1:18" x14ac:dyDescent="0.25">
      <c r="A245" s="170">
        <v>45239</v>
      </c>
      <c r="B245" s="116">
        <v>541.65</v>
      </c>
      <c r="C245" s="116">
        <v>527.95000000000005</v>
      </c>
      <c r="D245" s="116">
        <v>522.04999999999995</v>
      </c>
      <c r="E245" s="116">
        <v>522.04999999999995</v>
      </c>
      <c r="F245" s="116">
        <v>527.95000000000005</v>
      </c>
      <c r="G245">
        <v>14471</v>
      </c>
      <c r="H245" s="116"/>
      <c r="I245" s="116"/>
      <c r="L245" s="170">
        <v>45239</v>
      </c>
      <c r="M245" s="116">
        <v>527.1</v>
      </c>
      <c r="N245" s="116">
        <v>541.70000000000005</v>
      </c>
      <c r="O245" s="116">
        <v>523.4</v>
      </c>
      <c r="P245" s="116">
        <v>526</v>
      </c>
      <c r="Q245" s="116">
        <v>527.1</v>
      </c>
      <c r="R245">
        <v>363364</v>
      </c>
    </row>
    <row r="246" spans="1:18" x14ac:dyDescent="0.25">
      <c r="A246" s="170">
        <v>45240</v>
      </c>
      <c r="B246" s="116">
        <v>535.35</v>
      </c>
      <c r="C246" s="116">
        <v>527.20000000000005</v>
      </c>
      <c r="D246" s="116">
        <v>524.9</v>
      </c>
      <c r="E246" s="116">
        <v>532.95000000000005</v>
      </c>
      <c r="F246" s="116">
        <v>527.20000000000005</v>
      </c>
      <c r="G246">
        <v>22211</v>
      </c>
      <c r="H246" s="116"/>
      <c r="I246" s="116"/>
      <c r="L246" s="170">
        <v>45240</v>
      </c>
      <c r="M246" s="116">
        <v>527.1</v>
      </c>
      <c r="N246" s="116">
        <v>535.79999999999995</v>
      </c>
      <c r="O246" s="116">
        <v>526</v>
      </c>
      <c r="P246" s="116">
        <v>529.79999999999995</v>
      </c>
      <c r="Q246" s="116">
        <v>527.1</v>
      </c>
      <c r="R246">
        <v>295865</v>
      </c>
    </row>
    <row r="247" spans="1:18" x14ac:dyDescent="0.25">
      <c r="A247" s="170">
        <v>45242</v>
      </c>
      <c r="B247" s="116">
        <v>539</v>
      </c>
      <c r="C247" s="116">
        <v>538.20000000000005</v>
      </c>
      <c r="D247" s="116">
        <v>531.9</v>
      </c>
      <c r="E247" s="116">
        <v>536</v>
      </c>
      <c r="F247" s="116">
        <v>538.20000000000005</v>
      </c>
      <c r="G247">
        <v>13098</v>
      </c>
      <c r="H247" s="116"/>
      <c r="I247" s="116"/>
      <c r="L247" s="170">
        <v>45242</v>
      </c>
      <c r="M247" s="116">
        <v>538.4</v>
      </c>
      <c r="N247" s="116">
        <v>540</v>
      </c>
      <c r="O247" s="116">
        <v>532</v>
      </c>
      <c r="P247" s="116">
        <v>536.95000000000005</v>
      </c>
      <c r="Q247" s="116">
        <v>538.4</v>
      </c>
      <c r="R247">
        <v>81254</v>
      </c>
    </row>
    <row r="248" spans="1:18" x14ac:dyDescent="0.25">
      <c r="A248" s="170">
        <v>45243</v>
      </c>
      <c r="B248" s="116">
        <v>545</v>
      </c>
      <c r="C248" s="116">
        <v>535.6</v>
      </c>
      <c r="D248" s="116">
        <v>534.25</v>
      </c>
      <c r="E248" s="116">
        <v>543.95000000000005</v>
      </c>
      <c r="F248" s="116">
        <v>535.6</v>
      </c>
      <c r="G248">
        <v>14036</v>
      </c>
      <c r="H248" s="116"/>
      <c r="I248" s="116"/>
      <c r="L248" s="170">
        <v>45243</v>
      </c>
      <c r="M248" s="116">
        <v>535.35</v>
      </c>
      <c r="N248" s="116">
        <v>545.70000000000005</v>
      </c>
      <c r="O248" s="116">
        <v>534</v>
      </c>
      <c r="P248" s="116">
        <v>540</v>
      </c>
      <c r="Q248" s="116">
        <v>535.35</v>
      </c>
      <c r="R248">
        <v>270513</v>
      </c>
    </row>
    <row r="249" spans="1:18" x14ac:dyDescent="0.25">
      <c r="A249" s="170">
        <v>45245</v>
      </c>
      <c r="B249" s="116">
        <v>542</v>
      </c>
      <c r="C249" s="116">
        <v>528.79999999999995</v>
      </c>
      <c r="D249" s="116">
        <v>527.35</v>
      </c>
      <c r="E249" s="116">
        <v>540</v>
      </c>
      <c r="F249" s="116">
        <v>528.79999999999995</v>
      </c>
      <c r="G249">
        <v>25572</v>
      </c>
      <c r="H249" s="116"/>
      <c r="I249" s="116"/>
      <c r="L249" s="170">
        <v>45245</v>
      </c>
      <c r="M249" s="116">
        <v>528.70000000000005</v>
      </c>
      <c r="N249" s="116">
        <v>544.9</v>
      </c>
      <c r="O249" s="116">
        <v>526.95000000000005</v>
      </c>
      <c r="P249" s="116">
        <v>540.79999999999995</v>
      </c>
      <c r="Q249" s="116">
        <v>528.70000000000005</v>
      </c>
      <c r="R249">
        <v>210854</v>
      </c>
    </row>
    <row r="250" spans="1:18" x14ac:dyDescent="0.25">
      <c r="A250" s="170">
        <v>45246</v>
      </c>
      <c r="B250" s="116">
        <v>539.75</v>
      </c>
      <c r="C250" s="116">
        <v>530.35</v>
      </c>
      <c r="D250" s="116">
        <v>528</v>
      </c>
      <c r="E250" s="116">
        <v>539.75</v>
      </c>
      <c r="F250" s="116">
        <v>530.35</v>
      </c>
      <c r="G250">
        <v>17621</v>
      </c>
      <c r="H250" s="116"/>
      <c r="I250" s="116"/>
      <c r="L250" s="170">
        <v>45246</v>
      </c>
      <c r="M250" s="116">
        <v>530.70000000000005</v>
      </c>
      <c r="N250" s="116">
        <v>534.9</v>
      </c>
      <c r="O250" s="116">
        <v>528.54999999999995</v>
      </c>
      <c r="P250" s="116">
        <v>531.9</v>
      </c>
      <c r="Q250" s="116">
        <v>530.70000000000005</v>
      </c>
      <c r="R250">
        <v>205682</v>
      </c>
    </row>
    <row r="251" spans="1:18" x14ac:dyDescent="0.25">
      <c r="A251" s="170">
        <v>45247</v>
      </c>
      <c r="B251" s="116">
        <v>534.54999999999995</v>
      </c>
      <c r="C251" s="116">
        <v>530.15</v>
      </c>
      <c r="D251" s="116">
        <v>525.04999999999995</v>
      </c>
      <c r="E251" s="116">
        <v>525.04999999999995</v>
      </c>
      <c r="F251" s="116">
        <v>530.15</v>
      </c>
      <c r="G251">
        <v>4588</v>
      </c>
      <c r="H251" s="116"/>
      <c r="I251" s="116"/>
      <c r="L251" s="170">
        <v>45247</v>
      </c>
      <c r="M251" s="116">
        <v>529.95000000000005</v>
      </c>
      <c r="N251" s="116">
        <v>535</v>
      </c>
      <c r="O251" s="116">
        <v>528.25</v>
      </c>
      <c r="P251" s="116">
        <v>532.95000000000005</v>
      </c>
      <c r="Q251" s="116">
        <v>529.95000000000005</v>
      </c>
      <c r="R251">
        <v>104985</v>
      </c>
    </row>
    <row r="252" spans="1:18" x14ac:dyDescent="0.25">
      <c r="A252" s="170">
        <v>45250</v>
      </c>
      <c r="B252" s="116">
        <v>535.20000000000005</v>
      </c>
      <c r="C252" s="116">
        <v>524.9</v>
      </c>
      <c r="D252" s="116">
        <v>524.25</v>
      </c>
      <c r="E252" s="116">
        <v>526.04999999999995</v>
      </c>
      <c r="F252" s="116">
        <v>524.9</v>
      </c>
      <c r="G252">
        <v>19657</v>
      </c>
      <c r="H252" s="116"/>
      <c r="I252" s="116"/>
      <c r="L252" s="170">
        <v>45250</v>
      </c>
      <c r="M252" s="116">
        <v>524.95000000000005</v>
      </c>
      <c r="N252" s="116">
        <v>535.75</v>
      </c>
      <c r="O252" s="116">
        <v>524.04999999999995</v>
      </c>
      <c r="P252" s="116">
        <v>529.9</v>
      </c>
      <c r="Q252" s="116">
        <v>524.95000000000005</v>
      </c>
      <c r="R252">
        <v>196981</v>
      </c>
    </row>
    <row r="253" spans="1:18" x14ac:dyDescent="0.25">
      <c r="A253" s="170">
        <v>45251</v>
      </c>
      <c r="B253" s="116">
        <v>529.95000000000005</v>
      </c>
      <c r="C253" s="116">
        <v>524.9</v>
      </c>
      <c r="D253" s="116">
        <v>520</v>
      </c>
      <c r="E253" s="116">
        <v>529.95000000000005</v>
      </c>
      <c r="F253" s="116">
        <v>524.9</v>
      </c>
      <c r="G253">
        <v>13409</v>
      </c>
      <c r="H253" s="116"/>
      <c r="I253" s="116"/>
      <c r="L253" s="170">
        <v>45251</v>
      </c>
      <c r="M253" s="116">
        <v>525.04999999999995</v>
      </c>
      <c r="N253" s="116">
        <v>528.9</v>
      </c>
      <c r="O253" s="116">
        <v>520</v>
      </c>
      <c r="P253" s="116">
        <v>528.1</v>
      </c>
      <c r="Q253" s="116">
        <v>525.04999999999995</v>
      </c>
      <c r="R253">
        <v>244849</v>
      </c>
    </row>
    <row r="254" spans="1:18" x14ac:dyDescent="0.25">
      <c r="A254" s="170">
        <v>45252</v>
      </c>
      <c r="B254" s="116">
        <v>533.85</v>
      </c>
      <c r="C254" s="116">
        <v>518.65</v>
      </c>
      <c r="D254" s="116">
        <v>517.5</v>
      </c>
      <c r="E254" s="116">
        <v>533.85</v>
      </c>
      <c r="F254" s="116">
        <v>518.65</v>
      </c>
      <c r="G254">
        <v>5306</v>
      </c>
      <c r="H254" s="116"/>
      <c r="I254" s="116"/>
      <c r="L254" s="170">
        <v>45252</v>
      </c>
      <c r="M254" s="116">
        <v>518.35</v>
      </c>
      <c r="N254" s="116">
        <v>527.95000000000005</v>
      </c>
      <c r="O254" s="116">
        <v>516</v>
      </c>
      <c r="P254" s="116">
        <v>527.95000000000005</v>
      </c>
      <c r="Q254" s="116">
        <v>518.35</v>
      </c>
      <c r="R254">
        <v>177263</v>
      </c>
    </row>
    <row r="255" spans="1:18" x14ac:dyDescent="0.25">
      <c r="A255" s="170">
        <v>45253</v>
      </c>
      <c r="B255" s="116">
        <v>539</v>
      </c>
      <c r="C255" s="116">
        <v>535.4</v>
      </c>
      <c r="D255" s="116">
        <v>517.70000000000005</v>
      </c>
      <c r="E255" s="116">
        <v>523.79999999999995</v>
      </c>
      <c r="F255" s="116">
        <v>535.4</v>
      </c>
      <c r="G255">
        <v>28329</v>
      </c>
      <c r="H255" s="116"/>
      <c r="I255" s="116"/>
      <c r="L255" s="170">
        <v>45253</v>
      </c>
      <c r="M255" s="116">
        <v>536.04999999999995</v>
      </c>
      <c r="N255" s="116">
        <v>539.25</v>
      </c>
      <c r="O255" s="116">
        <v>518</v>
      </c>
      <c r="P255" s="116">
        <v>519.5</v>
      </c>
      <c r="Q255" s="116">
        <v>536.04999999999995</v>
      </c>
      <c r="R255">
        <v>577804</v>
      </c>
    </row>
    <row r="256" spans="1:18" x14ac:dyDescent="0.25">
      <c r="A256" s="170">
        <v>45254</v>
      </c>
      <c r="B256" s="116">
        <v>565</v>
      </c>
      <c r="C256" s="116">
        <v>559.29999999999995</v>
      </c>
      <c r="D256" s="116">
        <v>538.4</v>
      </c>
      <c r="E256" s="116">
        <v>543</v>
      </c>
      <c r="F256" s="116">
        <v>559.29999999999995</v>
      </c>
      <c r="G256">
        <v>24219</v>
      </c>
      <c r="H256" s="116"/>
      <c r="I256" s="116"/>
      <c r="L256" s="170">
        <v>45254</v>
      </c>
      <c r="M256" s="116">
        <v>559.75</v>
      </c>
      <c r="N256" s="116">
        <v>565.20000000000005</v>
      </c>
      <c r="O256" s="116">
        <v>537.70000000000005</v>
      </c>
      <c r="P256" s="116">
        <v>539.9</v>
      </c>
      <c r="Q256" s="116">
        <v>559.75</v>
      </c>
      <c r="R256">
        <v>1620055</v>
      </c>
    </row>
    <row r="257" spans="1:18" x14ac:dyDescent="0.25">
      <c r="A257" s="170">
        <v>45258</v>
      </c>
      <c r="B257" s="116">
        <v>568</v>
      </c>
      <c r="C257" s="116">
        <v>551.79999999999995</v>
      </c>
      <c r="D257" s="116">
        <v>549.54999999999995</v>
      </c>
      <c r="E257" s="116">
        <v>560.04999999999995</v>
      </c>
      <c r="F257" s="116">
        <v>551.79999999999995</v>
      </c>
      <c r="G257">
        <v>18211</v>
      </c>
      <c r="H257" s="116"/>
      <c r="I257" s="116"/>
      <c r="L257" s="170">
        <v>45258</v>
      </c>
      <c r="M257" s="116">
        <v>552.79999999999995</v>
      </c>
      <c r="N257" s="116">
        <v>568.4</v>
      </c>
      <c r="O257" s="116">
        <v>549.1</v>
      </c>
      <c r="P257" s="116">
        <v>562</v>
      </c>
      <c r="Q257" s="116">
        <v>552.79999999999995</v>
      </c>
      <c r="R257">
        <v>419931</v>
      </c>
    </row>
    <row r="258" spans="1:18" x14ac:dyDescent="0.25">
      <c r="A258" s="170">
        <v>45259</v>
      </c>
      <c r="B258" s="116">
        <v>566.75</v>
      </c>
      <c r="C258" s="116">
        <v>563.35</v>
      </c>
      <c r="D258" s="116">
        <v>552.45000000000005</v>
      </c>
      <c r="E258" s="116">
        <v>561.95000000000005</v>
      </c>
      <c r="F258" s="116">
        <v>563.35</v>
      </c>
      <c r="G258">
        <v>13290</v>
      </c>
      <c r="H258" s="116"/>
      <c r="I258" s="116"/>
      <c r="L258" s="170">
        <v>45259</v>
      </c>
      <c r="M258" s="116">
        <v>563.65</v>
      </c>
      <c r="N258" s="116">
        <v>567</v>
      </c>
      <c r="O258" s="116">
        <v>552.1</v>
      </c>
      <c r="P258" s="116">
        <v>556.70000000000005</v>
      </c>
      <c r="Q258" s="116">
        <v>563.65</v>
      </c>
      <c r="R258">
        <v>240202</v>
      </c>
    </row>
    <row r="259" spans="1:18" x14ac:dyDescent="0.25">
      <c r="A259" s="170">
        <v>45260</v>
      </c>
      <c r="B259" s="116">
        <v>590.95000000000005</v>
      </c>
      <c r="C259" s="116">
        <v>585.4</v>
      </c>
      <c r="D259" s="116">
        <v>552.79999999999995</v>
      </c>
      <c r="E259" s="116">
        <v>562.15</v>
      </c>
      <c r="F259" s="116">
        <v>585.4</v>
      </c>
      <c r="G259">
        <v>15698</v>
      </c>
      <c r="H259" s="116"/>
      <c r="I259" s="116"/>
      <c r="L259" s="170">
        <v>45260</v>
      </c>
      <c r="M259" s="116">
        <v>584.9</v>
      </c>
      <c r="N259" s="116">
        <v>591.9</v>
      </c>
      <c r="O259" s="116">
        <v>553</v>
      </c>
      <c r="P259" s="116">
        <v>563.6</v>
      </c>
      <c r="Q259" s="116">
        <v>584.9</v>
      </c>
      <c r="R259">
        <v>738456</v>
      </c>
    </row>
    <row r="260" spans="1:18" x14ac:dyDescent="0.25">
      <c r="A260" s="170">
        <v>45261</v>
      </c>
      <c r="B260" s="116">
        <v>594.35</v>
      </c>
      <c r="C260" s="116">
        <v>591.4</v>
      </c>
      <c r="D260" s="116">
        <v>578.54999999999995</v>
      </c>
      <c r="E260" s="116">
        <v>591.95000000000005</v>
      </c>
      <c r="F260" s="116">
        <v>591.4</v>
      </c>
      <c r="G260">
        <v>24838</v>
      </c>
      <c r="H260" s="116"/>
      <c r="I260" s="116"/>
      <c r="L260" s="170">
        <v>45261</v>
      </c>
      <c r="M260" s="116">
        <v>591.4</v>
      </c>
      <c r="N260" s="116">
        <v>594.9</v>
      </c>
      <c r="O260" s="116">
        <v>578.54999999999995</v>
      </c>
      <c r="P260" s="116">
        <v>590.1</v>
      </c>
      <c r="Q260" s="116">
        <v>591.4</v>
      </c>
      <c r="R260">
        <v>317201</v>
      </c>
    </row>
    <row r="261" spans="1:18" x14ac:dyDescent="0.25">
      <c r="A261" s="170">
        <v>45264</v>
      </c>
      <c r="B261" s="116">
        <v>615</v>
      </c>
      <c r="C261" s="116">
        <v>605.75</v>
      </c>
      <c r="D261" s="116">
        <v>591.85</v>
      </c>
      <c r="E261" s="116">
        <v>591.85</v>
      </c>
      <c r="F261" s="116">
        <v>605.75</v>
      </c>
      <c r="G261">
        <v>18646</v>
      </c>
      <c r="H261" s="116"/>
      <c r="I261" s="116"/>
      <c r="L261" s="170">
        <v>45264</v>
      </c>
      <c r="M261" s="116">
        <v>605.70000000000005</v>
      </c>
      <c r="N261" s="116">
        <v>615.20000000000005</v>
      </c>
      <c r="O261" s="116">
        <v>596</v>
      </c>
      <c r="P261" s="116">
        <v>599</v>
      </c>
      <c r="Q261" s="116">
        <v>605.70000000000005</v>
      </c>
      <c r="R261">
        <v>536425</v>
      </c>
    </row>
    <row r="262" spans="1:18" x14ac:dyDescent="0.25">
      <c r="A262" s="170">
        <v>45265</v>
      </c>
      <c r="B262" s="116">
        <v>628</v>
      </c>
      <c r="C262" s="116">
        <v>609.04999999999995</v>
      </c>
      <c r="D262" s="116">
        <v>603.5</v>
      </c>
      <c r="E262" s="116">
        <v>608.85</v>
      </c>
      <c r="F262" s="116">
        <v>609.04999999999995</v>
      </c>
      <c r="G262">
        <v>53899</v>
      </c>
      <c r="H262" s="116"/>
      <c r="I262" s="116"/>
      <c r="L262" s="170">
        <v>45265</v>
      </c>
      <c r="M262" s="116">
        <v>608.45000000000005</v>
      </c>
      <c r="N262" s="116">
        <v>628.79999999999995</v>
      </c>
      <c r="O262" s="116">
        <v>603.04999999999995</v>
      </c>
      <c r="P262" s="116">
        <v>605.70000000000005</v>
      </c>
      <c r="Q262" s="116">
        <v>608.45000000000005</v>
      </c>
      <c r="R262">
        <v>519485</v>
      </c>
    </row>
    <row r="263" spans="1:18" x14ac:dyDescent="0.25">
      <c r="A263" s="170">
        <v>45266</v>
      </c>
      <c r="B263" s="116">
        <v>616.5</v>
      </c>
      <c r="C263" s="116">
        <v>589.25</v>
      </c>
      <c r="D263" s="116">
        <v>582</v>
      </c>
      <c r="E263" s="116">
        <v>600.1</v>
      </c>
      <c r="F263" s="116">
        <v>589.25</v>
      </c>
      <c r="G263">
        <v>54498</v>
      </c>
      <c r="H263" s="116"/>
      <c r="I263" s="116"/>
      <c r="L263" s="170">
        <v>45266</v>
      </c>
      <c r="M263" s="116">
        <v>589.35</v>
      </c>
      <c r="N263" s="116">
        <v>617</v>
      </c>
      <c r="O263" s="116">
        <v>581.54999999999995</v>
      </c>
      <c r="P263" s="116">
        <v>608.45000000000005</v>
      </c>
      <c r="Q263" s="116">
        <v>589.35</v>
      </c>
      <c r="R263">
        <v>437544</v>
      </c>
    </row>
    <row r="264" spans="1:18" x14ac:dyDescent="0.25">
      <c r="A264" s="170">
        <v>45267</v>
      </c>
      <c r="B264" s="116">
        <v>617</v>
      </c>
      <c r="C264" s="116">
        <v>611.6</v>
      </c>
      <c r="D264" s="116">
        <v>586.15</v>
      </c>
      <c r="E264" s="116">
        <v>586.15</v>
      </c>
      <c r="F264" s="116">
        <v>611.6</v>
      </c>
      <c r="G264">
        <v>12437</v>
      </c>
      <c r="H264" s="116"/>
      <c r="I264" s="116"/>
      <c r="L264" s="170">
        <v>45267</v>
      </c>
      <c r="M264" s="116">
        <v>612.1</v>
      </c>
      <c r="N264" s="116">
        <v>617</v>
      </c>
      <c r="O264" s="116">
        <v>586.04999999999995</v>
      </c>
      <c r="P264" s="116">
        <v>589.35</v>
      </c>
      <c r="Q264" s="116">
        <v>612.1</v>
      </c>
      <c r="R264">
        <v>303585</v>
      </c>
    </row>
    <row r="265" spans="1:18" x14ac:dyDescent="0.25">
      <c r="A265" s="170">
        <v>45268</v>
      </c>
      <c r="B265" s="116">
        <v>624.95000000000005</v>
      </c>
      <c r="C265" s="116">
        <v>621.4</v>
      </c>
      <c r="D265" s="116">
        <v>603.79999999999995</v>
      </c>
      <c r="E265" s="116">
        <v>617.1</v>
      </c>
      <c r="F265" s="116">
        <v>621.4</v>
      </c>
      <c r="G265">
        <v>23538</v>
      </c>
      <c r="H265" s="116"/>
      <c r="I265" s="116"/>
      <c r="L265" s="170">
        <v>45268</v>
      </c>
      <c r="M265" s="116">
        <v>622.25</v>
      </c>
      <c r="N265" s="116">
        <v>625</v>
      </c>
      <c r="O265" s="116">
        <v>606.75</v>
      </c>
      <c r="P265" s="116">
        <v>613.5</v>
      </c>
      <c r="Q265" s="116">
        <v>622.25</v>
      </c>
      <c r="R265">
        <v>267720</v>
      </c>
    </row>
    <row r="266" spans="1:18" x14ac:dyDescent="0.25">
      <c r="A266" s="170">
        <v>45271</v>
      </c>
      <c r="B266" s="116">
        <v>644.29999999999995</v>
      </c>
      <c r="C266" s="116">
        <v>641.04999999999995</v>
      </c>
      <c r="D266" s="116">
        <v>615.85</v>
      </c>
      <c r="E266" s="116">
        <v>615.85</v>
      </c>
      <c r="F266" s="116">
        <v>641.04999999999995</v>
      </c>
      <c r="G266">
        <v>9080</v>
      </c>
      <c r="H266" s="116"/>
      <c r="I266" s="116"/>
      <c r="L266" s="170">
        <v>45271</v>
      </c>
      <c r="M266" s="116">
        <v>641.75</v>
      </c>
      <c r="N266" s="116">
        <v>644.6</v>
      </c>
      <c r="O266" s="116">
        <v>612</v>
      </c>
      <c r="P266" s="116">
        <v>612</v>
      </c>
      <c r="Q266" s="116">
        <v>641.75</v>
      </c>
      <c r="R266">
        <v>376734</v>
      </c>
    </row>
    <row r="267" spans="1:18" x14ac:dyDescent="0.25">
      <c r="A267" s="170">
        <v>45272</v>
      </c>
      <c r="B267" s="116">
        <v>647.79999999999995</v>
      </c>
      <c r="C267" s="116">
        <v>619.9</v>
      </c>
      <c r="D267" s="116">
        <v>613.29999999999995</v>
      </c>
      <c r="E267" s="116">
        <v>642.75</v>
      </c>
      <c r="F267" s="116">
        <v>619.9</v>
      </c>
      <c r="G267">
        <v>10970</v>
      </c>
      <c r="H267" s="116"/>
      <c r="I267" s="116"/>
      <c r="L267" s="170">
        <v>45272</v>
      </c>
      <c r="M267" s="116">
        <v>620.04999999999995</v>
      </c>
      <c r="N267" s="116">
        <v>647.79999999999995</v>
      </c>
      <c r="O267" s="116">
        <v>613</v>
      </c>
      <c r="P267" s="116">
        <v>642</v>
      </c>
      <c r="Q267" s="116">
        <v>620.04999999999995</v>
      </c>
      <c r="R267">
        <v>377428</v>
      </c>
    </row>
    <row r="268" spans="1:18" x14ac:dyDescent="0.25">
      <c r="A268" s="170">
        <v>45273</v>
      </c>
      <c r="B268" s="116">
        <v>624.85</v>
      </c>
      <c r="C268" s="116">
        <v>608.45000000000005</v>
      </c>
      <c r="D268" s="116">
        <v>598</v>
      </c>
      <c r="E268" s="116">
        <v>623.65</v>
      </c>
      <c r="F268" s="116">
        <v>608.45000000000005</v>
      </c>
      <c r="G268">
        <v>11593</v>
      </c>
      <c r="H268" s="116"/>
      <c r="I268" s="116"/>
      <c r="L268" s="170">
        <v>45273</v>
      </c>
      <c r="M268" s="116">
        <v>608.70000000000005</v>
      </c>
      <c r="N268" s="116">
        <v>625.04999999999995</v>
      </c>
      <c r="O268" s="116">
        <v>597.1</v>
      </c>
      <c r="P268" s="116">
        <v>623</v>
      </c>
      <c r="Q268" s="116">
        <v>608.70000000000005</v>
      </c>
      <c r="R268">
        <v>452623</v>
      </c>
    </row>
    <row r="269" spans="1:18" x14ac:dyDescent="0.25">
      <c r="A269" s="170">
        <v>45274</v>
      </c>
      <c r="B269" s="116">
        <v>619.15</v>
      </c>
      <c r="C269" s="116">
        <v>610.95000000000005</v>
      </c>
      <c r="D269" s="116">
        <v>609</v>
      </c>
      <c r="E269" s="116">
        <v>614.70000000000005</v>
      </c>
      <c r="F269" s="116">
        <v>610.95000000000005</v>
      </c>
      <c r="G269">
        <v>4121</v>
      </c>
      <c r="H269" s="116"/>
      <c r="I269" s="116"/>
      <c r="L269" s="170">
        <v>45274</v>
      </c>
      <c r="M269" s="116">
        <v>610.79999999999995</v>
      </c>
      <c r="N269" s="116">
        <v>619.95000000000005</v>
      </c>
      <c r="O269" s="116">
        <v>608.15</v>
      </c>
      <c r="P269" s="116">
        <v>614.79999999999995</v>
      </c>
      <c r="Q269" s="116">
        <v>610.79999999999995</v>
      </c>
      <c r="R269">
        <v>94616</v>
      </c>
    </row>
    <row r="270" spans="1:18" x14ac:dyDescent="0.25">
      <c r="A270" s="170">
        <v>45275</v>
      </c>
      <c r="B270" s="116">
        <v>634</v>
      </c>
      <c r="C270" s="116">
        <v>630.04999999999995</v>
      </c>
      <c r="D270" s="116">
        <v>610.9</v>
      </c>
      <c r="E270" s="116">
        <v>614.54999999999995</v>
      </c>
      <c r="F270" s="116">
        <v>630.04999999999995</v>
      </c>
      <c r="G270">
        <v>33966</v>
      </c>
      <c r="H270" s="116"/>
      <c r="I270" s="116"/>
      <c r="L270" s="170">
        <v>45275</v>
      </c>
      <c r="M270" s="116">
        <v>630.4</v>
      </c>
      <c r="N270" s="116">
        <v>633.9</v>
      </c>
      <c r="O270" s="116">
        <v>611</v>
      </c>
      <c r="P270" s="116">
        <v>611</v>
      </c>
      <c r="Q270" s="116">
        <v>630.4</v>
      </c>
      <c r="R270">
        <v>288431</v>
      </c>
    </row>
    <row r="271" spans="1:18" x14ac:dyDescent="0.25">
      <c r="A271" s="170">
        <v>45278</v>
      </c>
      <c r="B271" s="116">
        <v>639.85</v>
      </c>
      <c r="C271" s="116">
        <v>609.6</v>
      </c>
      <c r="D271" s="116">
        <v>600.65</v>
      </c>
      <c r="E271" s="116">
        <v>639.85</v>
      </c>
      <c r="F271" s="116">
        <v>609.6</v>
      </c>
      <c r="G271">
        <v>103042</v>
      </c>
      <c r="H271" s="116"/>
      <c r="I271" s="116"/>
      <c r="L271" s="170">
        <v>45278</v>
      </c>
      <c r="M271" s="116">
        <v>611.5</v>
      </c>
      <c r="N271" s="116">
        <v>639.9</v>
      </c>
      <c r="O271" s="116">
        <v>600</v>
      </c>
      <c r="P271" s="116">
        <v>634</v>
      </c>
      <c r="Q271" s="116">
        <v>611.5</v>
      </c>
      <c r="R271">
        <v>5836709</v>
      </c>
    </row>
    <row r="272" spans="1:18" x14ac:dyDescent="0.25">
      <c r="A272" s="170">
        <v>45279</v>
      </c>
      <c r="B272" s="116">
        <v>629.25</v>
      </c>
      <c r="C272" s="116">
        <v>621.54999999999995</v>
      </c>
      <c r="D272" s="116">
        <v>615.54999999999995</v>
      </c>
      <c r="E272" s="116">
        <v>615.65</v>
      </c>
      <c r="F272" s="116">
        <v>621.54999999999995</v>
      </c>
      <c r="G272">
        <v>20198</v>
      </c>
      <c r="H272" s="116"/>
      <c r="I272" s="116"/>
      <c r="L272" s="170">
        <v>45279</v>
      </c>
      <c r="M272" s="116">
        <v>622.1</v>
      </c>
      <c r="N272" s="116">
        <v>628.9</v>
      </c>
      <c r="O272" s="116">
        <v>616</v>
      </c>
      <c r="P272" s="116">
        <v>616</v>
      </c>
      <c r="Q272" s="116">
        <v>622.1</v>
      </c>
      <c r="R272">
        <v>499640</v>
      </c>
    </row>
    <row r="273" spans="1:18" x14ac:dyDescent="0.25">
      <c r="A273" s="170">
        <v>45280</v>
      </c>
      <c r="B273" s="116">
        <v>668.25</v>
      </c>
      <c r="C273" s="116">
        <v>630.9</v>
      </c>
      <c r="D273" s="116">
        <v>629.1</v>
      </c>
      <c r="E273" s="116">
        <v>633.9</v>
      </c>
      <c r="F273" s="116">
        <v>630.9</v>
      </c>
      <c r="G273">
        <v>78836</v>
      </c>
      <c r="H273" s="116"/>
      <c r="I273" s="116"/>
      <c r="L273" s="170">
        <v>45280</v>
      </c>
      <c r="M273" s="116">
        <v>630.35</v>
      </c>
      <c r="N273" s="116">
        <v>668</v>
      </c>
      <c r="O273" s="116">
        <v>628.1</v>
      </c>
      <c r="P273" s="116">
        <v>629.25</v>
      </c>
      <c r="Q273" s="116">
        <v>630.35</v>
      </c>
      <c r="R273">
        <v>2038320</v>
      </c>
    </row>
    <row r="274" spans="1:18" x14ac:dyDescent="0.25">
      <c r="A274" s="170">
        <v>45281</v>
      </c>
      <c r="B274" s="116">
        <v>668.35</v>
      </c>
      <c r="C274" s="116">
        <v>662.45</v>
      </c>
      <c r="D274" s="116">
        <v>618.1</v>
      </c>
      <c r="E274" s="116">
        <v>629.29999999999995</v>
      </c>
      <c r="F274" s="116">
        <v>662.45</v>
      </c>
      <c r="G274">
        <v>87274</v>
      </c>
      <c r="H274" s="116"/>
      <c r="I274" s="116"/>
      <c r="L274" s="170">
        <v>45281</v>
      </c>
      <c r="M274" s="116">
        <v>661.5</v>
      </c>
      <c r="N274" s="116">
        <v>667.95</v>
      </c>
      <c r="O274" s="116">
        <v>618.04999999999995</v>
      </c>
      <c r="P274" s="116">
        <v>628.9</v>
      </c>
      <c r="Q274" s="116">
        <v>661.5</v>
      </c>
      <c r="R274">
        <v>740631</v>
      </c>
    </row>
    <row r="275" spans="1:18" x14ac:dyDescent="0.25">
      <c r="A275" s="170">
        <v>45282</v>
      </c>
      <c r="B275" s="116">
        <v>674.9</v>
      </c>
      <c r="C275" s="116">
        <v>648.4</v>
      </c>
      <c r="D275" s="116">
        <v>641</v>
      </c>
      <c r="E275" s="116">
        <v>670.4</v>
      </c>
      <c r="F275" s="116">
        <v>648.4</v>
      </c>
      <c r="G275">
        <v>54863</v>
      </c>
      <c r="H275" s="116"/>
      <c r="I275" s="116"/>
      <c r="L275" s="170">
        <v>45282</v>
      </c>
      <c r="M275" s="116">
        <v>648.70000000000005</v>
      </c>
      <c r="N275" s="116">
        <v>676.5</v>
      </c>
      <c r="O275" s="116">
        <v>640.65</v>
      </c>
      <c r="P275" s="116">
        <v>673.8</v>
      </c>
      <c r="Q275" s="116">
        <v>648.70000000000005</v>
      </c>
      <c r="R275">
        <v>408725</v>
      </c>
    </row>
    <row r="276" spans="1:18" x14ac:dyDescent="0.25">
      <c r="A276" s="170">
        <v>45286</v>
      </c>
      <c r="B276" s="116">
        <v>651.9</v>
      </c>
      <c r="C276" s="116">
        <v>643.70000000000005</v>
      </c>
      <c r="D276" s="116">
        <v>639</v>
      </c>
      <c r="E276" s="116">
        <v>650.45000000000005</v>
      </c>
      <c r="F276" s="116">
        <v>643.70000000000005</v>
      </c>
      <c r="G276">
        <v>17741</v>
      </c>
      <c r="H276" s="116"/>
      <c r="I276" s="116"/>
      <c r="L276" s="170">
        <v>45286</v>
      </c>
      <c r="M276" s="116">
        <v>643.79999999999995</v>
      </c>
      <c r="N276" s="116">
        <v>652.6</v>
      </c>
      <c r="O276" s="116">
        <v>638.5</v>
      </c>
      <c r="P276" s="116">
        <v>651.85</v>
      </c>
      <c r="Q276" s="116">
        <v>643.79999999999995</v>
      </c>
      <c r="R276">
        <v>366961</v>
      </c>
    </row>
    <row r="277" spans="1:18" x14ac:dyDescent="0.25">
      <c r="A277" s="170">
        <v>45287</v>
      </c>
      <c r="B277" s="116">
        <v>673.45</v>
      </c>
      <c r="C277" s="116">
        <v>649.1</v>
      </c>
      <c r="D277" s="116">
        <v>644</v>
      </c>
      <c r="E277" s="116">
        <v>644</v>
      </c>
      <c r="F277" s="116">
        <v>649.1</v>
      </c>
      <c r="G277">
        <v>45356</v>
      </c>
      <c r="H277" s="116"/>
      <c r="I277" s="116"/>
      <c r="L277" s="170">
        <v>45287</v>
      </c>
      <c r="M277" s="116">
        <v>649.9</v>
      </c>
      <c r="N277" s="116">
        <v>673.9</v>
      </c>
      <c r="O277" s="116">
        <v>645.1</v>
      </c>
      <c r="P277" s="116">
        <v>650</v>
      </c>
      <c r="Q277" s="116">
        <v>649.9</v>
      </c>
      <c r="R277">
        <v>936637</v>
      </c>
    </row>
    <row r="278" spans="1:18" x14ac:dyDescent="0.25">
      <c r="A278" s="170">
        <v>45288</v>
      </c>
      <c r="B278" s="116">
        <v>674.65</v>
      </c>
      <c r="C278" s="116">
        <v>650.95000000000005</v>
      </c>
      <c r="D278" s="116">
        <v>648.95000000000005</v>
      </c>
      <c r="E278" s="116">
        <v>674.65</v>
      </c>
      <c r="F278" s="116">
        <v>650.95000000000005</v>
      </c>
      <c r="G278">
        <v>11216</v>
      </c>
      <c r="H278" s="116"/>
      <c r="I278" s="116"/>
      <c r="L278" s="170">
        <v>45288</v>
      </c>
      <c r="M278" s="116">
        <v>650.54999999999995</v>
      </c>
      <c r="N278" s="116">
        <v>660</v>
      </c>
      <c r="O278" s="116">
        <v>648.15</v>
      </c>
      <c r="P278" s="116">
        <v>656.55</v>
      </c>
      <c r="Q278" s="116">
        <v>650.54999999999995</v>
      </c>
      <c r="R278">
        <v>372152</v>
      </c>
    </row>
    <row r="279" spans="1:18" x14ac:dyDescent="0.25">
      <c r="A279" s="170">
        <v>45289</v>
      </c>
      <c r="B279" s="116">
        <v>653.65</v>
      </c>
      <c r="C279" s="116">
        <v>648.9</v>
      </c>
      <c r="D279" s="116">
        <v>644.5</v>
      </c>
      <c r="E279" s="116">
        <v>649.70000000000005</v>
      </c>
      <c r="F279" s="116">
        <v>648.9</v>
      </c>
      <c r="G279">
        <v>241281</v>
      </c>
      <c r="H279" s="116"/>
      <c r="I279" s="116"/>
      <c r="L279" s="170">
        <v>45289</v>
      </c>
      <c r="M279" s="116">
        <v>649.70000000000005</v>
      </c>
      <c r="N279" s="116">
        <v>654.15</v>
      </c>
      <c r="O279" s="116">
        <v>644.1</v>
      </c>
      <c r="P279" s="116">
        <v>646.04999999999995</v>
      </c>
      <c r="Q279" s="116">
        <v>649.70000000000005</v>
      </c>
      <c r="R279">
        <v>441698</v>
      </c>
    </row>
    <row r="280" spans="1:18" x14ac:dyDescent="0.25">
      <c r="A280" s="170">
        <v>45292</v>
      </c>
      <c r="B280" s="116">
        <v>677</v>
      </c>
      <c r="C280" s="116">
        <v>647.65</v>
      </c>
      <c r="D280" s="116">
        <v>645.85</v>
      </c>
      <c r="E280" s="116">
        <v>654</v>
      </c>
      <c r="F280" s="116">
        <v>647.65</v>
      </c>
      <c r="G280">
        <v>25261</v>
      </c>
      <c r="H280" s="116"/>
      <c r="I280" s="116"/>
      <c r="L280" s="170">
        <v>45292</v>
      </c>
      <c r="M280" s="116">
        <v>647.20000000000005</v>
      </c>
      <c r="N280" s="116">
        <v>677.1</v>
      </c>
      <c r="O280" s="116">
        <v>646</v>
      </c>
      <c r="P280" s="116">
        <v>653.4</v>
      </c>
      <c r="Q280" s="116">
        <v>647.20000000000005</v>
      </c>
      <c r="R280">
        <v>793927</v>
      </c>
    </row>
    <row r="281" spans="1:18" x14ac:dyDescent="0.25">
      <c r="A281" s="170">
        <v>45293</v>
      </c>
      <c r="B281" s="116">
        <v>659</v>
      </c>
      <c r="C281" s="116">
        <v>644.35</v>
      </c>
      <c r="D281" s="116">
        <v>638.79999999999995</v>
      </c>
      <c r="E281" s="116">
        <v>648.45000000000005</v>
      </c>
      <c r="F281" s="116">
        <v>644.35</v>
      </c>
      <c r="G281">
        <v>39569</v>
      </c>
      <c r="H281" s="116"/>
      <c r="I281" s="116"/>
      <c r="L281" s="170">
        <v>45293</v>
      </c>
      <c r="M281" s="116">
        <v>644.75</v>
      </c>
      <c r="N281" s="116">
        <v>659.8</v>
      </c>
      <c r="O281" s="116">
        <v>638.70000000000005</v>
      </c>
      <c r="P281" s="116">
        <v>650.85</v>
      </c>
      <c r="Q281" s="116">
        <v>644.75</v>
      </c>
      <c r="R281">
        <v>425081</v>
      </c>
    </row>
    <row r="282" spans="1:18" x14ac:dyDescent="0.25">
      <c r="A282" s="170">
        <v>45294</v>
      </c>
      <c r="B282" s="116">
        <v>655</v>
      </c>
      <c r="C282" s="116">
        <v>646.54999999999995</v>
      </c>
      <c r="D282" s="116">
        <v>640.15</v>
      </c>
      <c r="E282" s="116">
        <v>640.15</v>
      </c>
      <c r="F282" s="116">
        <v>646.54999999999995</v>
      </c>
      <c r="G282">
        <v>11130</v>
      </c>
      <c r="H282" s="116"/>
      <c r="I282" s="116"/>
      <c r="L282" s="170">
        <v>45294</v>
      </c>
      <c r="M282" s="116">
        <v>646.85</v>
      </c>
      <c r="N282" s="116">
        <v>656</v>
      </c>
      <c r="O282" s="116">
        <v>640</v>
      </c>
      <c r="P282" s="116">
        <v>641</v>
      </c>
      <c r="Q282" s="116">
        <v>646.85</v>
      </c>
      <c r="R282">
        <v>368123</v>
      </c>
    </row>
    <row r="283" spans="1:18" x14ac:dyDescent="0.25">
      <c r="A283" s="170">
        <v>45295</v>
      </c>
      <c r="B283" s="116">
        <v>659.6</v>
      </c>
      <c r="C283" s="116">
        <v>648.45000000000005</v>
      </c>
      <c r="D283" s="116">
        <v>642</v>
      </c>
      <c r="E283" s="116">
        <v>644.6</v>
      </c>
      <c r="F283" s="116">
        <v>648.45000000000005</v>
      </c>
      <c r="G283">
        <v>6957</v>
      </c>
      <c r="H283" s="116"/>
      <c r="I283" s="116"/>
      <c r="L283" s="170">
        <v>45295</v>
      </c>
      <c r="M283" s="116">
        <v>648.6</v>
      </c>
      <c r="N283" s="116">
        <v>658.85</v>
      </c>
      <c r="O283" s="116">
        <v>644</v>
      </c>
      <c r="P283" s="116">
        <v>649.70000000000005</v>
      </c>
      <c r="Q283" s="116">
        <v>648.6</v>
      </c>
      <c r="R283">
        <v>416363</v>
      </c>
    </row>
    <row r="284" spans="1:18" x14ac:dyDescent="0.25">
      <c r="A284" s="170">
        <v>45296</v>
      </c>
      <c r="B284" s="116">
        <v>667.95</v>
      </c>
      <c r="C284" s="116">
        <v>637.45000000000005</v>
      </c>
      <c r="D284" s="116">
        <v>635.1</v>
      </c>
      <c r="E284" s="116">
        <v>649.15</v>
      </c>
      <c r="F284" s="116">
        <v>637.45000000000005</v>
      </c>
      <c r="G284">
        <v>47273</v>
      </c>
      <c r="H284" s="116"/>
      <c r="I284" s="116"/>
      <c r="L284" s="170">
        <v>45296</v>
      </c>
      <c r="M284" s="116">
        <v>637.35</v>
      </c>
      <c r="N284" s="116">
        <v>667.75</v>
      </c>
      <c r="O284" s="116">
        <v>635</v>
      </c>
      <c r="P284" s="116">
        <v>653</v>
      </c>
      <c r="Q284" s="116">
        <v>637.35</v>
      </c>
      <c r="R284">
        <v>1145373</v>
      </c>
    </row>
    <row r="285" spans="1:18" x14ac:dyDescent="0.25">
      <c r="A285" s="170">
        <v>45299</v>
      </c>
      <c r="B285" s="116">
        <v>647.29999999999995</v>
      </c>
      <c r="C285" s="116">
        <v>636.95000000000005</v>
      </c>
      <c r="D285" s="116">
        <v>617.20000000000005</v>
      </c>
      <c r="E285" s="116">
        <v>638.29999999999995</v>
      </c>
      <c r="F285" s="116">
        <v>636.95000000000005</v>
      </c>
      <c r="G285">
        <v>86445</v>
      </c>
      <c r="H285" s="116"/>
      <c r="I285" s="116"/>
      <c r="L285" s="170">
        <v>45299</v>
      </c>
      <c r="M285" s="116">
        <v>636.5</v>
      </c>
      <c r="N285" s="116">
        <v>646.9</v>
      </c>
      <c r="O285" s="116">
        <v>617.5</v>
      </c>
      <c r="P285" s="116">
        <v>639</v>
      </c>
      <c r="Q285" s="116">
        <v>636.5</v>
      </c>
      <c r="R285">
        <v>808305</v>
      </c>
    </row>
    <row r="286" spans="1:18" x14ac:dyDescent="0.25">
      <c r="A286" s="170">
        <v>45300</v>
      </c>
      <c r="B286" s="116">
        <v>644.70000000000005</v>
      </c>
      <c r="C286" s="116">
        <v>622.75</v>
      </c>
      <c r="D286" s="116">
        <v>618.1</v>
      </c>
      <c r="E286" s="116">
        <v>638.75</v>
      </c>
      <c r="F286" s="116">
        <v>622.75</v>
      </c>
      <c r="G286">
        <v>45481</v>
      </c>
      <c r="H286" s="116"/>
      <c r="I286" s="116"/>
      <c r="L286" s="170">
        <v>45300</v>
      </c>
      <c r="M286" s="116">
        <v>625.1</v>
      </c>
      <c r="N286" s="116">
        <v>644.5</v>
      </c>
      <c r="O286" s="116">
        <v>611.54999999999995</v>
      </c>
      <c r="P286" s="116">
        <v>639.04999999999995</v>
      </c>
      <c r="Q286" s="116">
        <v>625.1</v>
      </c>
      <c r="R286">
        <v>393072</v>
      </c>
    </row>
    <row r="287" spans="1:18" x14ac:dyDescent="0.25">
      <c r="A287" s="170">
        <v>45301</v>
      </c>
      <c r="B287" s="116">
        <v>636</v>
      </c>
      <c r="C287" s="116">
        <v>631</v>
      </c>
      <c r="D287" s="116">
        <v>617.65</v>
      </c>
      <c r="E287" s="116">
        <v>623.04999999999995</v>
      </c>
      <c r="F287" s="116">
        <v>631</v>
      </c>
      <c r="G287">
        <v>9369</v>
      </c>
      <c r="H287" s="116"/>
      <c r="I287" s="116"/>
      <c r="L287" s="170">
        <v>45301</v>
      </c>
      <c r="M287" s="116">
        <v>630.95000000000005</v>
      </c>
      <c r="N287" s="116">
        <v>636.6</v>
      </c>
      <c r="O287" s="116">
        <v>618</v>
      </c>
      <c r="P287" s="116">
        <v>625</v>
      </c>
      <c r="Q287" s="116">
        <v>630.95000000000005</v>
      </c>
      <c r="R287">
        <v>219578</v>
      </c>
    </row>
    <row r="288" spans="1:18" x14ac:dyDescent="0.25">
      <c r="A288" s="170">
        <v>45302</v>
      </c>
      <c r="B288" s="116">
        <v>636.25</v>
      </c>
      <c r="C288" s="116">
        <v>621.35</v>
      </c>
      <c r="D288" s="116">
        <v>613.6</v>
      </c>
      <c r="E288" s="116">
        <v>634.6</v>
      </c>
      <c r="F288" s="116">
        <v>621.35</v>
      </c>
      <c r="G288">
        <v>33352</v>
      </c>
      <c r="H288" s="116"/>
      <c r="I288" s="116"/>
      <c r="L288" s="170">
        <v>45302</v>
      </c>
      <c r="M288" s="116">
        <v>621.95000000000005</v>
      </c>
      <c r="N288" s="116">
        <v>636.45000000000005</v>
      </c>
      <c r="O288" s="116">
        <v>613.6</v>
      </c>
      <c r="P288" s="116">
        <v>630.95000000000005</v>
      </c>
      <c r="Q288" s="116">
        <v>621.95000000000005</v>
      </c>
      <c r="R288">
        <v>341263</v>
      </c>
    </row>
    <row r="289" spans="1:18" x14ac:dyDescent="0.25">
      <c r="A289" s="170">
        <v>45303</v>
      </c>
      <c r="B289" s="116">
        <v>639.9</v>
      </c>
      <c r="C289" s="116">
        <v>623.04999999999995</v>
      </c>
      <c r="D289" s="116">
        <v>620</v>
      </c>
      <c r="E289" s="116">
        <v>632.1</v>
      </c>
      <c r="F289" s="116">
        <v>623.04999999999995</v>
      </c>
      <c r="G289">
        <v>14188</v>
      </c>
      <c r="H289" s="116"/>
      <c r="I289" s="116"/>
      <c r="L289" s="170">
        <v>45303</v>
      </c>
      <c r="M289" s="116">
        <v>623.15</v>
      </c>
      <c r="N289" s="116">
        <v>639.9</v>
      </c>
      <c r="O289" s="116">
        <v>619.95000000000005</v>
      </c>
      <c r="P289" s="116">
        <v>625</v>
      </c>
      <c r="Q289" s="116">
        <v>623.15</v>
      </c>
      <c r="R289">
        <v>406307</v>
      </c>
    </row>
    <row r="290" spans="1:18" x14ac:dyDescent="0.25">
      <c r="A290" s="170">
        <v>45306</v>
      </c>
      <c r="B290" s="116">
        <v>633.15</v>
      </c>
      <c r="C290" s="116">
        <v>620.95000000000005</v>
      </c>
      <c r="D290" s="116">
        <v>620</v>
      </c>
      <c r="E290" s="116">
        <v>628</v>
      </c>
      <c r="F290" s="116">
        <v>620.95000000000005</v>
      </c>
      <c r="G290">
        <v>12705</v>
      </c>
      <c r="H290" s="116"/>
      <c r="I290" s="116"/>
      <c r="L290" s="170">
        <v>45306</v>
      </c>
      <c r="M290" s="116">
        <v>620.75</v>
      </c>
      <c r="N290" s="116">
        <v>633.85</v>
      </c>
      <c r="O290" s="116">
        <v>619.54999999999995</v>
      </c>
      <c r="P290" s="116">
        <v>626.85</v>
      </c>
      <c r="Q290" s="116">
        <v>620.75</v>
      </c>
      <c r="R290">
        <v>320653</v>
      </c>
    </row>
    <row r="291" spans="1:18" x14ac:dyDescent="0.25">
      <c r="A291" s="170">
        <v>45307</v>
      </c>
      <c r="B291" s="116">
        <v>628.29999999999995</v>
      </c>
      <c r="C291" s="116">
        <v>611.5</v>
      </c>
      <c r="D291" s="116">
        <v>607</v>
      </c>
      <c r="E291" s="116">
        <v>620.79999999999995</v>
      </c>
      <c r="F291" s="116">
        <v>611.5</v>
      </c>
      <c r="G291">
        <v>30232</v>
      </c>
      <c r="H291" s="116"/>
      <c r="I291" s="116"/>
      <c r="L291" s="170">
        <v>45307</v>
      </c>
      <c r="M291" s="116">
        <v>611.45000000000005</v>
      </c>
      <c r="N291" s="116">
        <v>628.54999999999995</v>
      </c>
      <c r="O291" s="116">
        <v>606.5</v>
      </c>
      <c r="P291" s="116">
        <v>623</v>
      </c>
      <c r="Q291" s="116">
        <v>611.45000000000005</v>
      </c>
      <c r="R291">
        <v>287552</v>
      </c>
    </row>
    <row r="292" spans="1:18" x14ac:dyDescent="0.25">
      <c r="A292" s="170">
        <v>45308</v>
      </c>
      <c r="B292" s="116">
        <v>621</v>
      </c>
      <c r="C292" s="116">
        <v>608.65</v>
      </c>
      <c r="D292" s="116">
        <v>603</v>
      </c>
      <c r="E292" s="116">
        <v>610.1</v>
      </c>
      <c r="F292" s="116">
        <v>608.65</v>
      </c>
      <c r="G292">
        <v>33939</v>
      </c>
      <c r="H292" s="116"/>
      <c r="I292" s="116"/>
      <c r="L292" s="170">
        <v>45308</v>
      </c>
      <c r="M292" s="116">
        <v>608.75</v>
      </c>
      <c r="N292" s="116">
        <v>622.95000000000005</v>
      </c>
      <c r="O292" s="116">
        <v>606</v>
      </c>
      <c r="P292" s="116">
        <v>609.5</v>
      </c>
      <c r="Q292" s="116">
        <v>608.75</v>
      </c>
      <c r="R292">
        <v>214229</v>
      </c>
    </row>
    <row r="293" spans="1:18" x14ac:dyDescent="0.25">
      <c r="A293" s="170">
        <v>45309</v>
      </c>
      <c r="B293" s="116">
        <v>615.5</v>
      </c>
      <c r="C293" s="116">
        <v>600.6</v>
      </c>
      <c r="D293" s="116">
        <v>593.79999999999995</v>
      </c>
      <c r="E293" s="116">
        <v>607.75</v>
      </c>
      <c r="F293" s="116">
        <v>600.6</v>
      </c>
      <c r="G293">
        <v>28937</v>
      </c>
      <c r="H293" s="116"/>
      <c r="I293" s="116"/>
      <c r="L293" s="170">
        <v>45309</v>
      </c>
      <c r="M293" s="116">
        <v>600.15</v>
      </c>
      <c r="N293" s="116">
        <v>615</v>
      </c>
      <c r="O293" s="116">
        <v>592.95000000000005</v>
      </c>
      <c r="P293" s="116">
        <v>609</v>
      </c>
      <c r="Q293" s="116">
        <v>600.15</v>
      </c>
      <c r="R293">
        <v>274930</v>
      </c>
    </row>
    <row r="294" spans="1:18" x14ac:dyDescent="0.25">
      <c r="A294" s="170">
        <v>45310</v>
      </c>
      <c r="B294" s="116">
        <v>620</v>
      </c>
      <c r="C294" s="116">
        <v>617.6</v>
      </c>
      <c r="D294" s="116">
        <v>605.35</v>
      </c>
      <c r="E294" s="116">
        <v>605.35</v>
      </c>
      <c r="F294" s="116">
        <v>617.6</v>
      </c>
      <c r="G294">
        <v>36021</v>
      </c>
      <c r="H294" s="116"/>
      <c r="I294" s="116"/>
      <c r="L294" s="170">
        <v>45310</v>
      </c>
      <c r="M294" s="116">
        <v>617.1</v>
      </c>
      <c r="N294" s="116">
        <v>619.95000000000005</v>
      </c>
      <c r="O294" s="116">
        <v>605</v>
      </c>
      <c r="P294" s="116">
        <v>611</v>
      </c>
      <c r="Q294" s="116">
        <v>617.1</v>
      </c>
      <c r="R294">
        <v>252769</v>
      </c>
    </row>
    <row r="295" spans="1:18" x14ac:dyDescent="0.25">
      <c r="A295" s="170">
        <v>45311</v>
      </c>
      <c r="B295" s="116">
        <v>627</v>
      </c>
      <c r="C295" s="116">
        <v>622.04999999999995</v>
      </c>
      <c r="D295" s="116">
        <v>617.1</v>
      </c>
      <c r="E295" s="116">
        <v>617.1</v>
      </c>
      <c r="F295" s="116">
        <v>622.04999999999995</v>
      </c>
      <c r="G295">
        <v>16014</v>
      </c>
      <c r="H295" s="116"/>
      <c r="I295" s="116"/>
      <c r="L295" s="170">
        <v>45311</v>
      </c>
      <c r="M295" s="116">
        <v>622.70000000000005</v>
      </c>
      <c r="N295" s="116">
        <v>626.85</v>
      </c>
      <c r="O295" s="116">
        <v>618.79999999999995</v>
      </c>
      <c r="P295" s="116">
        <v>621</v>
      </c>
      <c r="Q295" s="116">
        <v>622.70000000000005</v>
      </c>
      <c r="R295">
        <v>128599</v>
      </c>
    </row>
    <row r="296" spans="1:18" x14ac:dyDescent="0.25">
      <c r="A296" s="170">
        <v>45314</v>
      </c>
      <c r="B296" s="116">
        <v>628.54999999999995</v>
      </c>
      <c r="C296" s="116">
        <v>607.79999999999995</v>
      </c>
      <c r="D296" s="116">
        <v>602</v>
      </c>
      <c r="E296" s="116">
        <v>628.54999999999995</v>
      </c>
      <c r="F296" s="116">
        <v>607.79999999999995</v>
      </c>
      <c r="G296">
        <v>15790</v>
      </c>
      <c r="H296" s="116"/>
      <c r="I296" s="116"/>
      <c r="L296" s="170">
        <v>45314</v>
      </c>
      <c r="M296" s="116">
        <v>607.65</v>
      </c>
      <c r="N296" s="116">
        <v>626.4</v>
      </c>
      <c r="O296" s="116">
        <v>600.20000000000005</v>
      </c>
      <c r="P296" s="116">
        <v>622.70000000000005</v>
      </c>
      <c r="Q296" s="116">
        <v>607.65</v>
      </c>
      <c r="R296">
        <v>255805</v>
      </c>
    </row>
    <row r="297" spans="1:18" x14ac:dyDescent="0.25">
      <c r="A297" s="170">
        <v>45315</v>
      </c>
      <c r="B297" s="116">
        <v>621.35</v>
      </c>
      <c r="C297" s="116">
        <v>617.20000000000005</v>
      </c>
      <c r="D297" s="116">
        <v>595.15</v>
      </c>
      <c r="E297" s="116">
        <v>595.15</v>
      </c>
      <c r="F297" s="116">
        <v>617.20000000000005</v>
      </c>
      <c r="G297">
        <v>30539</v>
      </c>
      <c r="H297" s="116"/>
      <c r="I297" s="116"/>
      <c r="L297" s="170">
        <v>45315</v>
      </c>
      <c r="M297" s="116">
        <v>616.20000000000005</v>
      </c>
      <c r="N297" s="116">
        <v>621.75</v>
      </c>
      <c r="O297" s="116">
        <v>600</v>
      </c>
      <c r="P297" s="116">
        <v>605</v>
      </c>
      <c r="Q297" s="116">
        <v>616.20000000000005</v>
      </c>
      <c r="R297">
        <v>182757</v>
      </c>
    </row>
    <row r="298" spans="1:18" x14ac:dyDescent="0.25">
      <c r="A298" s="170">
        <v>45316</v>
      </c>
      <c r="B298" s="116">
        <v>624</v>
      </c>
      <c r="C298" s="116">
        <v>621.35</v>
      </c>
      <c r="D298" s="116">
        <v>610.5</v>
      </c>
      <c r="E298" s="116">
        <v>617</v>
      </c>
      <c r="F298" s="116">
        <v>621.35</v>
      </c>
      <c r="G298">
        <v>15110</v>
      </c>
      <c r="H298" s="116"/>
      <c r="I298" s="116"/>
      <c r="L298" s="170">
        <v>45316</v>
      </c>
      <c r="M298" s="116">
        <v>621.6</v>
      </c>
      <c r="N298" s="116">
        <v>624.5</v>
      </c>
      <c r="O298" s="116">
        <v>610.35</v>
      </c>
      <c r="P298" s="116">
        <v>616.25</v>
      </c>
      <c r="Q298" s="116">
        <v>621.6</v>
      </c>
      <c r="R298">
        <v>131602</v>
      </c>
    </row>
    <row r="299" spans="1:18" x14ac:dyDescent="0.25">
      <c r="A299" s="170">
        <v>45320</v>
      </c>
      <c r="B299" s="116">
        <v>628.29999999999995</v>
      </c>
      <c r="C299" s="116">
        <v>622.1</v>
      </c>
      <c r="D299" s="116">
        <v>611.15</v>
      </c>
      <c r="E299" s="116">
        <v>611.15</v>
      </c>
      <c r="F299" s="116">
        <v>622.1</v>
      </c>
      <c r="G299">
        <v>7029</v>
      </c>
      <c r="H299" s="116"/>
      <c r="I299" s="116"/>
      <c r="L299" s="170">
        <v>45320</v>
      </c>
      <c r="M299" s="116">
        <v>619.70000000000005</v>
      </c>
      <c r="N299" s="116">
        <v>630</v>
      </c>
      <c r="O299" s="116">
        <v>615</v>
      </c>
      <c r="P299" s="116">
        <v>622.15</v>
      </c>
      <c r="Q299" s="116">
        <v>619.70000000000005</v>
      </c>
      <c r="R299">
        <v>166924</v>
      </c>
    </row>
    <row r="300" spans="1:18" x14ac:dyDescent="0.25">
      <c r="A300" s="170">
        <v>45321</v>
      </c>
      <c r="B300" s="116">
        <v>636</v>
      </c>
      <c r="C300" s="116">
        <v>629.04999999999995</v>
      </c>
      <c r="D300" s="116">
        <v>623.35</v>
      </c>
      <c r="E300" s="116">
        <v>627.54999999999995</v>
      </c>
      <c r="F300" s="116">
        <v>629.04999999999995</v>
      </c>
      <c r="G300">
        <v>31533</v>
      </c>
      <c r="H300" s="116"/>
      <c r="I300" s="116"/>
      <c r="L300" s="170">
        <v>45321</v>
      </c>
      <c r="M300" s="116">
        <v>628.45000000000005</v>
      </c>
      <c r="N300" s="116">
        <v>636.29999999999995</v>
      </c>
      <c r="O300" s="116">
        <v>619.70000000000005</v>
      </c>
      <c r="P300" s="116">
        <v>621</v>
      </c>
      <c r="Q300" s="116">
        <v>628.45000000000005</v>
      </c>
      <c r="R300">
        <v>250941</v>
      </c>
    </row>
    <row r="301" spans="1:18" x14ac:dyDescent="0.25">
      <c r="A301" s="170">
        <v>45322</v>
      </c>
      <c r="B301" s="116">
        <v>637.29999999999995</v>
      </c>
      <c r="C301" s="116">
        <v>634</v>
      </c>
      <c r="D301" s="116">
        <v>623.65</v>
      </c>
      <c r="E301" s="116">
        <v>623.65</v>
      </c>
      <c r="F301" s="116">
        <v>634</v>
      </c>
      <c r="G301">
        <v>22938</v>
      </c>
      <c r="H301" s="116"/>
      <c r="I301" s="116"/>
      <c r="L301" s="170">
        <v>45322</v>
      </c>
      <c r="M301" s="116">
        <v>633.5</v>
      </c>
      <c r="N301" s="116">
        <v>637</v>
      </c>
      <c r="O301" s="116">
        <v>625.25</v>
      </c>
      <c r="P301" s="116">
        <v>625.25</v>
      </c>
      <c r="Q301" s="116">
        <v>633.5</v>
      </c>
      <c r="R301">
        <v>162399</v>
      </c>
    </row>
    <row r="302" spans="1:18" x14ac:dyDescent="0.25">
      <c r="A302" s="170">
        <v>45323</v>
      </c>
      <c r="B302" s="116">
        <v>638.85</v>
      </c>
      <c r="C302" s="116">
        <v>627.6</v>
      </c>
      <c r="D302" s="116">
        <v>625.04999999999995</v>
      </c>
      <c r="E302" s="116">
        <v>635.75</v>
      </c>
      <c r="F302" s="116">
        <v>627.6</v>
      </c>
      <c r="G302">
        <v>21792</v>
      </c>
      <c r="H302" s="116"/>
      <c r="I302" s="116"/>
      <c r="L302" s="170">
        <v>45323</v>
      </c>
      <c r="M302" s="116">
        <v>628.4</v>
      </c>
      <c r="N302" s="116">
        <v>639</v>
      </c>
      <c r="O302" s="116">
        <v>625</v>
      </c>
      <c r="P302" s="116">
        <v>636.65</v>
      </c>
      <c r="Q302" s="116">
        <v>628.4</v>
      </c>
      <c r="R302">
        <v>205060</v>
      </c>
    </row>
    <row r="303" spans="1:18" x14ac:dyDescent="0.25">
      <c r="A303" s="170">
        <v>45324</v>
      </c>
      <c r="B303" s="116">
        <v>636</v>
      </c>
      <c r="C303" s="116">
        <v>619.5</v>
      </c>
      <c r="D303" s="116">
        <v>617.35</v>
      </c>
      <c r="E303" s="116">
        <v>623.35</v>
      </c>
      <c r="F303" s="116">
        <v>619.5</v>
      </c>
      <c r="G303">
        <v>7927</v>
      </c>
      <c r="H303" s="116"/>
      <c r="I303" s="116"/>
      <c r="L303" s="170">
        <v>45324</v>
      </c>
      <c r="M303" s="116">
        <v>619.45000000000005</v>
      </c>
      <c r="N303" s="116">
        <v>636</v>
      </c>
      <c r="O303" s="116">
        <v>617.04999999999995</v>
      </c>
      <c r="P303" s="116">
        <v>631.5</v>
      </c>
      <c r="Q303" s="116">
        <v>619.45000000000005</v>
      </c>
      <c r="R303">
        <v>324554</v>
      </c>
    </row>
    <row r="304" spans="1:18" x14ac:dyDescent="0.25">
      <c r="A304" s="170">
        <v>45327</v>
      </c>
      <c r="B304" s="116">
        <v>643.95000000000005</v>
      </c>
      <c r="C304" s="116">
        <v>626.95000000000005</v>
      </c>
      <c r="D304" s="116">
        <v>623</v>
      </c>
      <c r="E304" s="116">
        <v>643.95000000000005</v>
      </c>
      <c r="F304" s="116">
        <v>626.95000000000005</v>
      </c>
      <c r="G304">
        <v>32946</v>
      </c>
      <c r="H304" s="116"/>
      <c r="I304" s="116"/>
      <c r="L304" s="170">
        <v>45327</v>
      </c>
      <c r="M304" s="116">
        <v>627.45000000000005</v>
      </c>
      <c r="N304" s="116">
        <v>644</v>
      </c>
      <c r="O304" s="116">
        <v>623</v>
      </c>
      <c r="P304" s="116">
        <v>643</v>
      </c>
      <c r="Q304" s="116">
        <v>627.45000000000005</v>
      </c>
      <c r="R304">
        <v>524877</v>
      </c>
    </row>
    <row r="305" spans="1:18" x14ac:dyDescent="0.25">
      <c r="A305" s="170">
        <v>45328</v>
      </c>
      <c r="B305" s="116">
        <v>631.85</v>
      </c>
      <c r="C305" s="116">
        <v>616.70000000000005</v>
      </c>
      <c r="D305" s="116">
        <v>613.04999999999995</v>
      </c>
      <c r="E305" s="116">
        <v>631.85</v>
      </c>
      <c r="F305" s="116">
        <v>616.70000000000005</v>
      </c>
      <c r="G305">
        <v>8883</v>
      </c>
      <c r="H305" s="116"/>
      <c r="I305" s="116"/>
      <c r="L305" s="170">
        <v>45328</v>
      </c>
      <c r="M305" s="116">
        <v>616.95000000000005</v>
      </c>
      <c r="N305" s="116">
        <v>634</v>
      </c>
      <c r="O305" s="116">
        <v>613.15</v>
      </c>
      <c r="P305" s="116">
        <v>631</v>
      </c>
      <c r="Q305" s="116">
        <v>616.95000000000005</v>
      </c>
      <c r="R305">
        <v>288922</v>
      </c>
    </row>
    <row r="306" spans="1:18" x14ac:dyDescent="0.25">
      <c r="A306" s="170">
        <v>45329</v>
      </c>
      <c r="B306" s="116">
        <v>636.29999999999995</v>
      </c>
      <c r="C306" s="116">
        <v>622.1</v>
      </c>
      <c r="D306" s="116">
        <v>612.54999999999995</v>
      </c>
      <c r="E306" s="116">
        <v>618</v>
      </c>
      <c r="F306" s="116">
        <v>622.1</v>
      </c>
      <c r="G306">
        <v>15848</v>
      </c>
      <c r="H306" s="116"/>
      <c r="I306" s="116"/>
      <c r="L306" s="170">
        <v>45329</v>
      </c>
      <c r="M306" s="116">
        <v>624.6</v>
      </c>
      <c r="N306" s="116">
        <v>636.95000000000005</v>
      </c>
      <c r="O306" s="116">
        <v>612.35</v>
      </c>
      <c r="P306" s="116">
        <v>620.65</v>
      </c>
      <c r="Q306" s="116">
        <v>624.6</v>
      </c>
      <c r="R306">
        <v>1207553</v>
      </c>
    </row>
    <row r="307" spans="1:18" x14ac:dyDescent="0.25">
      <c r="A307" s="170">
        <v>45330</v>
      </c>
      <c r="B307" s="116">
        <v>633.1</v>
      </c>
      <c r="C307" s="116">
        <v>627.04999999999995</v>
      </c>
      <c r="D307" s="116">
        <v>618.9</v>
      </c>
      <c r="E307" s="116">
        <v>624.6</v>
      </c>
      <c r="F307" s="116">
        <v>627.04999999999995</v>
      </c>
      <c r="G307">
        <v>16134</v>
      </c>
      <c r="H307" s="116"/>
      <c r="I307" s="116"/>
      <c r="L307" s="170">
        <v>45330</v>
      </c>
      <c r="M307" s="116">
        <v>626.15</v>
      </c>
      <c r="N307" s="116">
        <v>632.70000000000005</v>
      </c>
      <c r="O307" s="116">
        <v>618.29999999999995</v>
      </c>
      <c r="P307" s="116">
        <v>623.04999999999995</v>
      </c>
      <c r="Q307" s="116">
        <v>626.15</v>
      </c>
      <c r="R307">
        <v>362306</v>
      </c>
    </row>
    <row r="308" spans="1:18" x14ac:dyDescent="0.25">
      <c r="A308" s="170">
        <v>45331</v>
      </c>
      <c r="B308" s="116">
        <v>642</v>
      </c>
      <c r="C308" s="116">
        <v>639.20000000000005</v>
      </c>
      <c r="D308" s="116">
        <v>608.5</v>
      </c>
      <c r="E308" s="116">
        <v>616.75</v>
      </c>
      <c r="F308" s="116">
        <v>639.20000000000005</v>
      </c>
      <c r="G308">
        <v>43354</v>
      </c>
      <c r="H308" s="116"/>
      <c r="I308" s="116"/>
      <c r="L308" s="170">
        <v>45331</v>
      </c>
      <c r="M308" s="116">
        <v>639.1</v>
      </c>
      <c r="N308" s="116">
        <v>642.4</v>
      </c>
      <c r="O308" s="116">
        <v>608</v>
      </c>
      <c r="P308" s="116">
        <v>631.95000000000005</v>
      </c>
      <c r="Q308" s="116">
        <v>639.1</v>
      </c>
      <c r="R308">
        <v>467554</v>
      </c>
    </row>
    <row r="309" spans="1:18" x14ac:dyDescent="0.25">
      <c r="A309" s="170">
        <v>45334</v>
      </c>
      <c r="B309" s="116">
        <v>657.3</v>
      </c>
      <c r="C309" s="116">
        <v>647.4</v>
      </c>
      <c r="D309" s="116">
        <v>622.04999999999995</v>
      </c>
      <c r="E309" s="116">
        <v>640.15</v>
      </c>
      <c r="F309" s="116">
        <v>647.4</v>
      </c>
      <c r="G309">
        <v>61214</v>
      </c>
      <c r="H309" s="116"/>
      <c r="I309" s="116"/>
      <c r="L309" s="170">
        <v>45334</v>
      </c>
      <c r="M309" s="116">
        <v>646.04999999999995</v>
      </c>
      <c r="N309" s="116">
        <v>656.65</v>
      </c>
      <c r="O309" s="116">
        <v>622</v>
      </c>
      <c r="P309" s="116">
        <v>643.6</v>
      </c>
      <c r="Q309" s="116">
        <v>646.04999999999995</v>
      </c>
      <c r="R309">
        <v>582061</v>
      </c>
    </row>
    <row r="310" spans="1:18" x14ac:dyDescent="0.25">
      <c r="A310" s="170">
        <v>45335</v>
      </c>
      <c r="B310" s="116">
        <v>655</v>
      </c>
      <c r="C310" s="116">
        <v>651.29999999999995</v>
      </c>
      <c r="D310" s="116">
        <v>625.29999999999995</v>
      </c>
      <c r="E310" s="116">
        <v>646.85</v>
      </c>
      <c r="F310" s="116">
        <v>651.29999999999995</v>
      </c>
      <c r="G310">
        <v>36737</v>
      </c>
      <c r="H310" s="116"/>
      <c r="I310" s="116"/>
      <c r="L310" s="170">
        <v>45335</v>
      </c>
      <c r="M310" s="116">
        <v>651.85</v>
      </c>
      <c r="N310" s="116">
        <v>655.55</v>
      </c>
      <c r="O310" s="116">
        <v>624.4</v>
      </c>
      <c r="P310" s="116">
        <v>646</v>
      </c>
      <c r="Q310" s="116">
        <v>651.85</v>
      </c>
      <c r="R310">
        <v>489092</v>
      </c>
    </row>
    <row r="311" spans="1:18" x14ac:dyDescent="0.25">
      <c r="A311" s="170">
        <v>45336</v>
      </c>
      <c r="B311" s="116">
        <v>650.65</v>
      </c>
      <c r="C311" s="116">
        <v>636.20000000000005</v>
      </c>
      <c r="D311" s="116">
        <v>632</v>
      </c>
      <c r="E311" s="116">
        <v>650.65</v>
      </c>
      <c r="F311" s="116">
        <v>636.20000000000005</v>
      </c>
      <c r="G311">
        <v>10550</v>
      </c>
      <c r="H311" s="116"/>
      <c r="I311" s="116"/>
      <c r="L311" s="170">
        <v>45336</v>
      </c>
      <c r="M311" s="116">
        <v>636.70000000000005</v>
      </c>
      <c r="N311" s="116">
        <v>649.85</v>
      </c>
      <c r="O311" s="116">
        <v>632.29999999999995</v>
      </c>
      <c r="P311" s="116">
        <v>649.85</v>
      </c>
      <c r="Q311" s="116">
        <v>636.70000000000005</v>
      </c>
      <c r="R311">
        <v>367093</v>
      </c>
    </row>
    <row r="312" spans="1:18" x14ac:dyDescent="0.25">
      <c r="A312" s="170">
        <v>45337</v>
      </c>
      <c r="B312" s="116">
        <v>644.15</v>
      </c>
      <c r="C312" s="116">
        <v>632.20000000000005</v>
      </c>
      <c r="D312" s="116">
        <v>630</v>
      </c>
      <c r="E312" s="116">
        <v>638.6</v>
      </c>
      <c r="F312" s="116">
        <v>632.20000000000005</v>
      </c>
      <c r="G312">
        <v>7312</v>
      </c>
      <c r="H312" s="116"/>
      <c r="I312" s="116"/>
      <c r="L312" s="170">
        <v>45337</v>
      </c>
      <c r="M312" s="116">
        <v>631.5</v>
      </c>
      <c r="N312" s="116">
        <v>644.4</v>
      </c>
      <c r="O312" s="116">
        <v>630.1</v>
      </c>
      <c r="P312" s="116">
        <v>639.4</v>
      </c>
      <c r="Q312" s="116">
        <v>631.5</v>
      </c>
      <c r="R312">
        <v>228640</v>
      </c>
    </row>
    <row r="313" spans="1:18" x14ac:dyDescent="0.25">
      <c r="A313" s="170">
        <v>45338</v>
      </c>
      <c r="B313" s="116">
        <v>666</v>
      </c>
      <c r="C313" s="116">
        <v>659.05</v>
      </c>
      <c r="D313" s="116">
        <v>628</v>
      </c>
      <c r="E313" s="116">
        <v>632.04999999999995</v>
      </c>
      <c r="F313" s="116">
        <v>659.05</v>
      </c>
      <c r="G313">
        <v>61604</v>
      </c>
      <c r="H313" s="116"/>
      <c r="I313" s="116"/>
      <c r="L313" s="170">
        <v>45338</v>
      </c>
      <c r="M313" s="116">
        <v>659.15</v>
      </c>
      <c r="N313" s="116">
        <v>664.3</v>
      </c>
      <c r="O313" s="116">
        <v>628.1</v>
      </c>
      <c r="P313" s="116">
        <v>634.65</v>
      </c>
      <c r="Q313" s="116">
        <v>659.15</v>
      </c>
      <c r="R313">
        <v>722138</v>
      </c>
    </row>
    <row r="314" spans="1:18" x14ac:dyDescent="0.25">
      <c r="A314" s="170">
        <v>45341</v>
      </c>
      <c r="B314" s="116">
        <v>744.4</v>
      </c>
      <c r="C314" s="116">
        <v>717.85</v>
      </c>
      <c r="D314" s="116">
        <v>665.05</v>
      </c>
      <c r="E314" s="116">
        <v>674.65</v>
      </c>
      <c r="F314" s="116">
        <v>717.85</v>
      </c>
      <c r="G314">
        <v>222617</v>
      </c>
      <c r="H314" s="116"/>
      <c r="I314" s="116"/>
      <c r="L314" s="170">
        <v>45341</v>
      </c>
      <c r="M314" s="116">
        <v>717.7</v>
      </c>
      <c r="N314" s="116">
        <v>744</v>
      </c>
      <c r="O314" s="116">
        <v>665</v>
      </c>
      <c r="P314" s="116">
        <v>669</v>
      </c>
      <c r="Q314" s="116">
        <v>717.7</v>
      </c>
      <c r="R314">
        <v>5021145</v>
      </c>
    </row>
    <row r="315" spans="1:18" x14ac:dyDescent="0.25">
      <c r="A315" s="170">
        <v>45342</v>
      </c>
      <c r="B315" s="116">
        <v>749</v>
      </c>
      <c r="C315" s="116">
        <v>740.1</v>
      </c>
      <c r="D315" s="116">
        <v>703.95</v>
      </c>
      <c r="E315" s="116">
        <v>719.55</v>
      </c>
      <c r="F315" s="116">
        <v>740.1</v>
      </c>
      <c r="G315">
        <v>121675</v>
      </c>
      <c r="H315" s="116"/>
      <c r="I315" s="116"/>
      <c r="L315" s="170">
        <v>45342</v>
      </c>
      <c r="M315" s="116">
        <v>739.85</v>
      </c>
      <c r="N315" s="116">
        <v>749</v>
      </c>
      <c r="O315" s="116">
        <v>704.15</v>
      </c>
      <c r="P315" s="116">
        <v>720.5</v>
      </c>
      <c r="Q315" s="116">
        <v>739.85</v>
      </c>
      <c r="R315">
        <v>1383473</v>
      </c>
    </row>
    <row r="316" spans="1:18" x14ac:dyDescent="0.25">
      <c r="A316" s="170">
        <v>45343</v>
      </c>
      <c r="B316" s="116">
        <v>767</v>
      </c>
      <c r="C316" s="116">
        <v>758.8</v>
      </c>
      <c r="D316" s="116">
        <v>732.6</v>
      </c>
      <c r="E316" s="116">
        <v>744.45</v>
      </c>
      <c r="F316" s="116">
        <v>758.8</v>
      </c>
      <c r="G316">
        <v>137135</v>
      </c>
      <c r="H316" s="116"/>
      <c r="I316" s="116"/>
      <c r="L316" s="170">
        <v>45343</v>
      </c>
      <c r="M316" s="116">
        <v>759.15</v>
      </c>
      <c r="N316" s="116">
        <v>767.3</v>
      </c>
      <c r="O316" s="116">
        <v>731.05</v>
      </c>
      <c r="P316" s="116">
        <v>740.95</v>
      </c>
      <c r="Q316" s="116">
        <v>759.15</v>
      </c>
      <c r="R316">
        <v>1480764</v>
      </c>
    </row>
    <row r="317" spans="1:18" x14ac:dyDescent="0.25">
      <c r="A317" s="170">
        <v>45344</v>
      </c>
      <c r="B317" s="116">
        <v>779.6</v>
      </c>
      <c r="C317" s="116">
        <v>748.7</v>
      </c>
      <c r="D317" s="116">
        <v>733.6</v>
      </c>
      <c r="E317" s="116">
        <v>767.05</v>
      </c>
      <c r="F317" s="116">
        <v>748.7</v>
      </c>
      <c r="G317">
        <v>69581</v>
      </c>
      <c r="H317" s="116"/>
      <c r="I317" s="116"/>
      <c r="L317" s="170">
        <v>45344</v>
      </c>
      <c r="M317" s="116">
        <v>746.25</v>
      </c>
      <c r="N317" s="116">
        <v>779.35</v>
      </c>
      <c r="O317" s="116">
        <v>733.35</v>
      </c>
      <c r="P317" s="116">
        <v>766</v>
      </c>
      <c r="Q317" s="116">
        <v>746.25</v>
      </c>
      <c r="R317">
        <v>1309657</v>
      </c>
    </row>
    <row r="318" spans="1:18" x14ac:dyDescent="0.25">
      <c r="A318" s="170">
        <v>45345</v>
      </c>
      <c r="B318" s="116">
        <v>799</v>
      </c>
      <c r="C318" s="116">
        <v>789.95</v>
      </c>
      <c r="D318" s="116">
        <v>747</v>
      </c>
      <c r="E318" s="116">
        <v>747.35</v>
      </c>
      <c r="F318" s="116">
        <v>789.95</v>
      </c>
      <c r="G318">
        <v>150692</v>
      </c>
      <c r="H318" s="116"/>
      <c r="I318" s="116"/>
      <c r="L318" s="170">
        <v>45345</v>
      </c>
      <c r="M318" s="116">
        <v>789.95</v>
      </c>
      <c r="N318" s="116">
        <v>799.85</v>
      </c>
      <c r="O318" s="116">
        <v>746</v>
      </c>
      <c r="P318" s="116">
        <v>746.25</v>
      </c>
      <c r="Q318" s="116">
        <v>789.95</v>
      </c>
      <c r="R318">
        <v>2064676</v>
      </c>
    </row>
    <row r="319" spans="1:18" x14ac:dyDescent="0.25">
      <c r="A319" s="170">
        <v>45348</v>
      </c>
      <c r="B319" s="116">
        <v>834.25</v>
      </c>
      <c r="C319" s="116">
        <v>823.35</v>
      </c>
      <c r="D319" s="116">
        <v>775.35</v>
      </c>
      <c r="E319" s="116">
        <v>792.45</v>
      </c>
      <c r="F319" s="116">
        <v>823.35</v>
      </c>
      <c r="G319">
        <v>125188</v>
      </c>
      <c r="H319" s="116"/>
      <c r="I319" s="116"/>
      <c r="L319" s="170">
        <v>45348</v>
      </c>
      <c r="M319" s="116">
        <v>822.75</v>
      </c>
      <c r="N319" s="116">
        <v>833.85</v>
      </c>
      <c r="O319" s="116">
        <v>775</v>
      </c>
      <c r="P319" s="116">
        <v>789.95</v>
      </c>
      <c r="Q319" s="116">
        <v>822.75</v>
      </c>
      <c r="R319">
        <v>1269511</v>
      </c>
    </row>
    <row r="320" spans="1:18" x14ac:dyDescent="0.25">
      <c r="A320" s="170">
        <v>45349</v>
      </c>
      <c r="B320" s="116">
        <v>838.2</v>
      </c>
      <c r="C320" s="116">
        <v>792.5</v>
      </c>
      <c r="D320" s="116">
        <v>788</v>
      </c>
      <c r="E320" s="116">
        <v>820.15</v>
      </c>
      <c r="F320" s="116">
        <v>792.5</v>
      </c>
      <c r="G320">
        <v>96980</v>
      </c>
      <c r="H320" s="116"/>
      <c r="I320" s="116"/>
      <c r="L320" s="170">
        <v>45349</v>
      </c>
      <c r="M320" s="116">
        <v>794.25</v>
      </c>
      <c r="N320" s="116">
        <v>837.7</v>
      </c>
      <c r="O320" s="116">
        <v>787.95</v>
      </c>
      <c r="P320" s="116">
        <v>827</v>
      </c>
      <c r="Q320" s="116">
        <v>794.25</v>
      </c>
      <c r="R320">
        <v>772048</v>
      </c>
    </row>
    <row r="321" spans="1:18" x14ac:dyDescent="0.25">
      <c r="A321" s="170">
        <v>45350</v>
      </c>
      <c r="B321" s="116">
        <v>794.95</v>
      </c>
      <c r="C321" s="116">
        <v>752.8</v>
      </c>
      <c r="D321" s="116">
        <v>747.4</v>
      </c>
      <c r="E321" s="116">
        <v>792.5</v>
      </c>
      <c r="F321" s="116">
        <v>752.8</v>
      </c>
      <c r="G321">
        <v>37921</v>
      </c>
      <c r="H321" s="116"/>
      <c r="I321" s="116"/>
      <c r="L321" s="170">
        <v>45350</v>
      </c>
      <c r="M321" s="116">
        <v>752.45</v>
      </c>
      <c r="N321" s="116">
        <v>795</v>
      </c>
      <c r="O321" s="116">
        <v>746.75</v>
      </c>
      <c r="P321" s="116">
        <v>790</v>
      </c>
      <c r="Q321" s="116">
        <v>752.45</v>
      </c>
      <c r="R321">
        <v>879366</v>
      </c>
    </row>
    <row r="322" spans="1:18" x14ac:dyDescent="0.25">
      <c r="A322" s="170">
        <v>45351</v>
      </c>
      <c r="B322" s="116">
        <v>770.85</v>
      </c>
      <c r="C322" s="116">
        <v>760.95</v>
      </c>
      <c r="D322" s="116">
        <v>720.9</v>
      </c>
      <c r="E322" s="116">
        <v>752.5</v>
      </c>
      <c r="F322" s="116">
        <v>760.95</v>
      </c>
      <c r="G322">
        <v>68506</v>
      </c>
      <c r="H322" s="116"/>
      <c r="I322" s="116"/>
      <c r="L322" s="170">
        <v>45351</v>
      </c>
      <c r="M322" s="116">
        <v>757.4</v>
      </c>
      <c r="N322" s="116">
        <v>770</v>
      </c>
      <c r="O322" s="116">
        <v>721.1</v>
      </c>
      <c r="P322" s="116">
        <v>754</v>
      </c>
      <c r="Q322" s="116">
        <v>757.4</v>
      </c>
      <c r="R322">
        <v>1484057</v>
      </c>
    </row>
    <row r="323" spans="1:18" x14ac:dyDescent="0.25">
      <c r="A323" s="170">
        <v>45352</v>
      </c>
      <c r="B323" s="116">
        <v>758.9</v>
      </c>
      <c r="C323" s="116">
        <v>731.15</v>
      </c>
      <c r="D323" s="116">
        <v>727</v>
      </c>
      <c r="E323" s="116">
        <v>752.15</v>
      </c>
      <c r="F323" s="116">
        <v>731.15</v>
      </c>
      <c r="G323">
        <v>59601</v>
      </c>
      <c r="H323" s="116"/>
      <c r="I323" s="116"/>
      <c r="L323" s="170">
        <v>45352</v>
      </c>
      <c r="M323" s="116">
        <v>731.3</v>
      </c>
      <c r="N323" s="116">
        <v>758</v>
      </c>
      <c r="O323" s="116">
        <v>725</v>
      </c>
      <c r="P323" s="116">
        <v>755</v>
      </c>
      <c r="Q323" s="116">
        <v>731.3</v>
      </c>
      <c r="R323">
        <v>674870</v>
      </c>
    </row>
    <row r="324" spans="1:18" x14ac:dyDescent="0.25">
      <c r="A324" s="170">
        <v>45353</v>
      </c>
      <c r="B324" s="116">
        <v>745</v>
      </c>
      <c r="C324" s="116">
        <v>741.85</v>
      </c>
      <c r="D324" s="116">
        <v>729.6</v>
      </c>
      <c r="E324" s="116">
        <v>729.6</v>
      </c>
      <c r="F324" s="116">
        <v>741.85</v>
      </c>
      <c r="G324">
        <v>3624</v>
      </c>
      <c r="H324" s="116"/>
      <c r="I324" s="116"/>
      <c r="L324" s="170">
        <v>45353</v>
      </c>
      <c r="M324" s="116">
        <v>742</v>
      </c>
      <c r="N324" s="116">
        <v>746.5</v>
      </c>
      <c r="O324" s="116">
        <v>731.55</v>
      </c>
      <c r="P324" s="116">
        <v>738</v>
      </c>
      <c r="Q324" s="116">
        <v>742</v>
      </c>
      <c r="R324">
        <v>56903</v>
      </c>
    </row>
    <row r="325" spans="1:18" x14ac:dyDescent="0.25">
      <c r="A325" s="170">
        <v>45355</v>
      </c>
      <c r="B325" s="116">
        <v>741.05</v>
      </c>
      <c r="C325" s="116">
        <v>719</v>
      </c>
      <c r="D325" s="116">
        <v>715.25</v>
      </c>
      <c r="E325" s="116">
        <v>741.05</v>
      </c>
      <c r="F325" s="116">
        <v>719</v>
      </c>
      <c r="G325">
        <v>25428</v>
      </c>
      <c r="H325" s="116"/>
      <c r="I325" s="116"/>
      <c r="L325" s="170">
        <v>45355</v>
      </c>
      <c r="M325" s="116">
        <v>719</v>
      </c>
      <c r="N325" s="116">
        <v>745.95</v>
      </c>
      <c r="O325" s="116">
        <v>715</v>
      </c>
      <c r="P325" s="116">
        <v>745.95</v>
      </c>
      <c r="Q325" s="116">
        <v>719</v>
      </c>
      <c r="R325">
        <v>480016</v>
      </c>
    </row>
    <row r="326" spans="1:18" x14ac:dyDescent="0.25">
      <c r="A326" s="170">
        <v>45356</v>
      </c>
      <c r="B326" s="116">
        <v>725.75</v>
      </c>
      <c r="C326" s="116">
        <v>704.5</v>
      </c>
      <c r="D326" s="116">
        <v>701.15</v>
      </c>
      <c r="E326" s="116">
        <v>721.05</v>
      </c>
      <c r="F326" s="116">
        <v>704.5</v>
      </c>
      <c r="G326">
        <v>39906</v>
      </c>
      <c r="H326" s="116"/>
      <c r="I326" s="116"/>
      <c r="L326" s="170">
        <v>45356</v>
      </c>
      <c r="M326" s="116">
        <v>705.25</v>
      </c>
      <c r="N326" s="116">
        <v>724.85</v>
      </c>
      <c r="O326" s="116">
        <v>701</v>
      </c>
      <c r="P326" s="116">
        <v>724.85</v>
      </c>
      <c r="Q326" s="116">
        <v>705.25</v>
      </c>
      <c r="R326">
        <v>509669</v>
      </c>
    </row>
    <row r="327" spans="1:18" x14ac:dyDescent="0.25">
      <c r="A327" s="170">
        <v>45357</v>
      </c>
      <c r="B327" s="116">
        <v>715.55</v>
      </c>
      <c r="C327" s="116">
        <v>701.75</v>
      </c>
      <c r="D327" s="116">
        <v>682.7</v>
      </c>
      <c r="E327" s="116">
        <v>704.15</v>
      </c>
      <c r="F327" s="116">
        <v>701.75</v>
      </c>
      <c r="G327">
        <v>29283</v>
      </c>
      <c r="H327" s="116"/>
      <c r="I327" s="116"/>
      <c r="L327" s="170">
        <v>45357</v>
      </c>
      <c r="M327" s="116">
        <v>700.65</v>
      </c>
      <c r="N327" s="116">
        <v>715.65</v>
      </c>
      <c r="O327" s="116">
        <v>683.1</v>
      </c>
      <c r="P327" s="116">
        <v>705</v>
      </c>
      <c r="Q327" s="116">
        <v>700.65</v>
      </c>
      <c r="R327">
        <v>741486</v>
      </c>
    </row>
    <row r="328" spans="1:18" x14ac:dyDescent="0.25">
      <c r="A328" s="170">
        <v>45358</v>
      </c>
      <c r="B328" s="116">
        <v>714.95</v>
      </c>
      <c r="C328" s="116">
        <v>687.95</v>
      </c>
      <c r="D328" s="116">
        <v>680</v>
      </c>
      <c r="E328" s="116">
        <v>714.95</v>
      </c>
      <c r="F328" s="116">
        <v>687.95</v>
      </c>
      <c r="G328">
        <v>46798</v>
      </c>
      <c r="H328" s="116"/>
      <c r="I328" s="116"/>
      <c r="L328" s="170">
        <v>45358</v>
      </c>
      <c r="M328" s="116">
        <v>687.95</v>
      </c>
      <c r="N328" s="116">
        <v>703</v>
      </c>
      <c r="O328" s="116">
        <v>679.05</v>
      </c>
      <c r="P328" s="116">
        <v>703</v>
      </c>
      <c r="Q328" s="116">
        <v>687.95</v>
      </c>
      <c r="R328">
        <v>458109</v>
      </c>
    </row>
    <row r="329" spans="1:18" x14ac:dyDescent="0.25">
      <c r="A329" s="170">
        <v>45362</v>
      </c>
      <c r="B329" s="116">
        <v>693.5</v>
      </c>
      <c r="C329" s="116">
        <v>649.5</v>
      </c>
      <c r="D329" s="116">
        <v>645</v>
      </c>
      <c r="E329" s="116">
        <v>688.75</v>
      </c>
      <c r="F329" s="116">
        <v>649.5</v>
      </c>
      <c r="G329">
        <v>65756</v>
      </c>
      <c r="H329" s="116"/>
      <c r="I329" s="116"/>
      <c r="L329" s="170">
        <v>45362</v>
      </c>
      <c r="M329" s="116">
        <v>649.70000000000005</v>
      </c>
      <c r="N329" s="116">
        <v>696.9</v>
      </c>
      <c r="O329" s="116">
        <v>645.85</v>
      </c>
      <c r="P329" s="116">
        <v>694.8</v>
      </c>
      <c r="Q329" s="116">
        <v>649.70000000000005</v>
      </c>
      <c r="R329">
        <v>613001</v>
      </c>
    </row>
    <row r="330" spans="1:18" x14ac:dyDescent="0.25">
      <c r="A330" s="170">
        <v>45363</v>
      </c>
      <c r="B330" s="116">
        <v>651.75</v>
      </c>
      <c r="C330" s="116">
        <v>639.65</v>
      </c>
      <c r="D330" s="116">
        <v>615</v>
      </c>
      <c r="E330" s="116">
        <v>646.35</v>
      </c>
      <c r="F330" s="116">
        <v>639.65</v>
      </c>
      <c r="G330">
        <v>35191</v>
      </c>
      <c r="H330" s="116"/>
      <c r="I330" s="116"/>
      <c r="L330" s="170">
        <v>45363</v>
      </c>
      <c r="M330" s="116">
        <v>639.15</v>
      </c>
      <c r="N330" s="116">
        <v>653.15</v>
      </c>
      <c r="O330" s="116">
        <v>615</v>
      </c>
      <c r="P330" s="116">
        <v>652</v>
      </c>
      <c r="Q330" s="116">
        <v>639.15</v>
      </c>
      <c r="R330">
        <v>999532</v>
      </c>
    </row>
    <row r="331" spans="1:18" x14ac:dyDescent="0.25">
      <c r="A331" s="170">
        <v>45364</v>
      </c>
      <c r="B331" s="116">
        <v>636.15</v>
      </c>
      <c r="C331" s="116">
        <v>605.6</v>
      </c>
      <c r="D331" s="116">
        <v>583.54999999999995</v>
      </c>
      <c r="E331" s="116">
        <v>636.15</v>
      </c>
      <c r="F331" s="116">
        <v>605.6</v>
      </c>
      <c r="G331">
        <v>127375</v>
      </c>
      <c r="H331" s="116"/>
      <c r="I331" s="116"/>
      <c r="L331" s="170">
        <v>45364</v>
      </c>
      <c r="M331" s="116">
        <v>607.29999999999995</v>
      </c>
      <c r="N331" s="116">
        <v>637</v>
      </c>
      <c r="O331" s="116">
        <v>583.29999999999995</v>
      </c>
      <c r="P331" s="116">
        <v>637</v>
      </c>
      <c r="Q331" s="116">
        <v>607.29999999999995</v>
      </c>
      <c r="R331">
        <v>1516224</v>
      </c>
    </row>
    <row r="332" spans="1:18" x14ac:dyDescent="0.25">
      <c r="A332" s="170">
        <v>45365</v>
      </c>
      <c r="B332" s="116">
        <v>603</v>
      </c>
      <c r="C332" s="116">
        <v>588.70000000000005</v>
      </c>
      <c r="D332" s="116">
        <v>575.70000000000005</v>
      </c>
      <c r="E332" s="116">
        <v>575.70000000000005</v>
      </c>
      <c r="F332" s="116">
        <v>588.70000000000005</v>
      </c>
      <c r="G332">
        <v>31146</v>
      </c>
      <c r="H332" s="116"/>
      <c r="I332" s="116"/>
      <c r="L332" s="170">
        <v>45365</v>
      </c>
      <c r="M332" s="116">
        <v>588.4</v>
      </c>
      <c r="N332" s="116">
        <v>603.45000000000005</v>
      </c>
      <c r="O332" s="116">
        <v>584.79999999999995</v>
      </c>
      <c r="P332" s="116">
        <v>602</v>
      </c>
      <c r="Q332" s="116">
        <v>588.4</v>
      </c>
      <c r="R332">
        <v>873115</v>
      </c>
    </row>
    <row r="333" spans="1:18" x14ac:dyDescent="0.25">
      <c r="A333" s="170">
        <v>45366</v>
      </c>
      <c r="B333" s="116">
        <v>621.9</v>
      </c>
      <c r="C333" s="116">
        <v>595.20000000000005</v>
      </c>
      <c r="D333" s="116">
        <v>571.5</v>
      </c>
      <c r="E333" s="116">
        <v>589.79999999999995</v>
      </c>
      <c r="F333" s="116">
        <v>595.20000000000005</v>
      </c>
      <c r="G333">
        <v>89634</v>
      </c>
      <c r="H333" s="116"/>
      <c r="I333" s="116"/>
      <c r="L333" s="170">
        <v>45366</v>
      </c>
      <c r="M333" s="116">
        <v>596.6</v>
      </c>
      <c r="N333" s="116">
        <v>621</v>
      </c>
      <c r="O333" s="116">
        <v>571.29999999999995</v>
      </c>
      <c r="P333" s="116">
        <v>589</v>
      </c>
      <c r="Q333" s="116">
        <v>596.6</v>
      </c>
      <c r="R333">
        <v>3365498</v>
      </c>
    </row>
    <row r="334" spans="1:18" x14ac:dyDescent="0.25">
      <c r="A334" s="170">
        <v>45369</v>
      </c>
      <c r="B334" s="116">
        <v>631.54999999999995</v>
      </c>
      <c r="C334" s="116">
        <v>614.70000000000005</v>
      </c>
      <c r="D334" s="116">
        <v>601</v>
      </c>
      <c r="E334" s="116">
        <v>615</v>
      </c>
      <c r="F334" s="116">
        <v>614.70000000000005</v>
      </c>
      <c r="G334">
        <v>52988</v>
      </c>
      <c r="H334" s="116"/>
      <c r="I334" s="116"/>
      <c r="L334" s="170">
        <v>45369</v>
      </c>
      <c r="M334" s="116">
        <v>614.4</v>
      </c>
      <c r="N334" s="116">
        <v>631</v>
      </c>
      <c r="O334" s="116">
        <v>600.25</v>
      </c>
      <c r="P334" s="116">
        <v>615.54999999999995</v>
      </c>
      <c r="Q334" s="116">
        <v>614.4</v>
      </c>
      <c r="R334">
        <v>1378025</v>
      </c>
    </row>
    <row r="335" spans="1:18" x14ac:dyDescent="0.25">
      <c r="A335" s="170">
        <v>45370</v>
      </c>
      <c r="B335" s="116">
        <v>623.35</v>
      </c>
      <c r="C335" s="116">
        <v>606.6</v>
      </c>
      <c r="D335" s="116">
        <v>601.35</v>
      </c>
      <c r="E335" s="116">
        <v>612.75</v>
      </c>
      <c r="F335" s="116">
        <v>606.6</v>
      </c>
      <c r="G335">
        <v>51214</v>
      </c>
      <c r="H335" s="116"/>
      <c r="I335" s="116"/>
      <c r="L335" s="170">
        <v>45370</v>
      </c>
      <c r="M335" s="116">
        <v>606.20000000000005</v>
      </c>
      <c r="N335" s="116">
        <v>622.54999999999995</v>
      </c>
      <c r="O335" s="116">
        <v>601.25</v>
      </c>
      <c r="P335" s="116">
        <v>620</v>
      </c>
      <c r="Q335" s="116">
        <v>606.20000000000005</v>
      </c>
      <c r="R335">
        <v>347735</v>
      </c>
    </row>
    <row r="336" spans="1:18" x14ac:dyDescent="0.25">
      <c r="A336" s="170">
        <v>45371</v>
      </c>
      <c r="B336" s="116">
        <v>615</v>
      </c>
      <c r="C336" s="116">
        <v>603.65</v>
      </c>
      <c r="D336" s="116">
        <v>596.4</v>
      </c>
      <c r="E336" s="116">
        <v>609</v>
      </c>
      <c r="F336" s="116">
        <v>603.65</v>
      </c>
      <c r="G336">
        <v>36310</v>
      </c>
      <c r="H336" s="116"/>
      <c r="I336" s="116"/>
      <c r="L336" s="170">
        <v>45371</v>
      </c>
      <c r="M336" s="116">
        <v>605.85</v>
      </c>
      <c r="N336" s="116">
        <v>616.4</v>
      </c>
      <c r="O336" s="116">
        <v>596.04999999999995</v>
      </c>
      <c r="P336" s="116">
        <v>608.5</v>
      </c>
      <c r="Q336" s="116">
        <v>605.85</v>
      </c>
      <c r="R336">
        <v>507240</v>
      </c>
    </row>
    <row r="337" spans="1:18" x14ac:dyDescent="0.25">
      <c r="A337" s="170">
        <v>45372</v>
      </c>
      <c r="B337" s="116">
        <v>631.20000000000005</v>
      </c>
      <c r="C337" s="116">
        <v>622.9</v>
      </c>
      <c r="D337" s="116">
        <v>609.54999999999995</v>
      </c>
      <c r="E337" s="116">
        <v>618.45000000000005</v>
      </c>
      <c r="F337" s="116">
        <v>622.9</v>
      </c>
      <c r="G337">
        <v>15259</v>
      </c>
      <c r="H337" s="116"/>
      <c r="I337" s="116"/>
      <c r="L337" s="170">
        <v>45372</v>
      </c>
      <c r="M337" s="116">
        <v>621.95000000000005</v>
      </c>
      <c r="N337" s="116">
        <v>632</v>
      </c>
      <c r="O337" s="116">
        <v>609.04999999999995</v>
      </c>
      <c r="P337" s="116">
        <v>614</v>
      </c>
      <c r="Q337" s="116">
        <v>621.95000000000005</v>
      </c>
      <c r="R337">
        <v>389742</v>
      </c>
    </row>
    <row r="338" spans="1:18" x14ac:dyDescent="0.25">
      <c r="A338" s="170">
        <v>45373</v>
      </c>
      <c r="B338" s="116">
        <v>642.85</v>
      </c>
      <c r="C338" s="116">
        <v>638.54999999999995</v>
      </c>
      <c r="D338" s="116">
        <v>619.04999999999995</v>
      </c>
      <c r="E338" s="116">
        <v>628.95000000000005</v>
      </c>
      <c r="F338" s="116">
        <v>638.54999999999995</v>
      </c>
      <c r="G338">
        <v>39338</v>
      </c>
      <c r="H338" s="116"/>
      <c r="I338" s="116"/>
      <c r="L338" s="170">
        <v>45373</v>
      </c>
      <c r="M338" s="116">
        <v>638.75</v>
      </c>
      <c r="N338" s="116">
        <v>643</v>
      </c>
      <c r="O338" s="116">
        <v>620.1</v>
      </c>
      <c r="P338" s="116">
        <v>622.79999999999995</v>
      </c>
      <c r="Q338" s="116">
        <v>638.75</v>
      </c>
      <c r="R338">
        <v>642505</v>
      </c>
    </row>
    <row r="339" spans="1:18" x14ac:dyDescent="0.25">
      <c r="A339" s="170">
        <v>45377</v>
      </c>
      <c r="B339" s="116">
        <v>645.35</v>
      </c>
      <c r="C339" s="116">
        <v>634.54999999999995</v>
      </c>
      <c r="D339" s="116">
        <v>627.95000000000005</v>
      </c>
      <c r="E339" s="116">
        <v>635.95000000000005</v>
      </c>
      <c r="F339" s="116">
        <v>634.54999999999995</v>
      </c>
      <c r="G339">
        <v>15636</v>
      </c>
      <c r="H339" s="116"/>
      <c r="I339" s="116"/>
      <c r="L339" s="170">
        <v>45377</v>
      </c>
      <c r="M339" s="116">
        <v>636.35</v>
      </c>
      <c r="N339" s="116">
        <v>645</v>
      </c>
      <c r="O339" s="116">
        <v>628.65</v>
      </c>
      <c r="P339" s="116">
        <v>635.75</v>
      </c>
      <c r="Q339" s="116">
        <v>636.35</v>
      </c>
      <c r="R339">
        <v>305970</v>
      </c>
    </row>
    <row r="340" spans="1:18" x14ac:dyDescent="0.25">
      <c r="A340" s="170">
        <v>45378</v>
      </c>
      <c r="B340" s="116">
        <v>658.3</v>
      </c>
      <c r="C340" s="116">
        <v>653.95000000000005</v>
      </c>
      <c r="D340" s="116">
        <v>634.54999999999995</v>
      </c>
      <c r="E340" s="116">
        <v>634.54999999999995</v>
      </c>
      <c r="F340" s="116">
        <v>653.95000000000005</v>
      </c>
      <c r="G340">
        <v>12896</v>
      </c>
      <c r="H340" s="116"/>
      <c r="I340" s="116"/>
      <c r="L340" s="170">
        <v>45378</v>
      </c>
      <c r="M340" s="116">
        <v>653.45000000000005</v>
      </c>
      <c r="N340" s="116">
        <v>658.75</v>
      </c>
      <c r="O340" s="116">
        <v>636.35</v>
      </c>
      <c r="P340" s="116">
        <v>636.35</v>
      </c>
      <c r="Q340" s="116">
        <v>653.45000000000005</v>
      </c>
      <c r="R340">
        <v>502943</v>
      </c>
    </row>
    <row r="341" spans="1:18" x14ac:dyDescent="0.25">
      <c r="A341" s="170">
        <v>45379</v>
      </c>
      <c r="B341" s="116">
        <v>676.15</v>
      </c>
      <c r="C341" s="116">
        <v>670.15</v>
      </c>
      <c r="D341" s="116">
        <v>644.1</v>
      </c>
      <c r="E341" s="116">
        <v>644.1</v>
      </c>
      <c r="F341" s="116">
        <v>670.15</v>
      </c>
      <c r="G341">
        <v>39140</v>
      </c>
      <c r="H341" s="116"/>
      <c r="I341" s="116"/>
      <c r="L341" s="170">
        <v>45379</v>
      </c>
      <c r="M341" s="116">
        <v>669</v>
      </c>
      <c r="N341" s="116">
        <v>676.95</v>
      </c>
      <c r="O341" s="116">
        <v>655.85</v>
      </c>
      <c r="P341" s="116">
        <v>655.85</v>
      </c>
      <c r="Q341" s="116">
        <v>669</v>
      </c>
      <c r="R341">
        <v>315691</v>
      </c>
    </row>
    <row r="342" spans="1:18" x14ac:dyDescent="0.25">
      <c r="A342" s="170">
        <v>45383</v>
      </c>
      <c r="B342" s="116">
        <v>688.05</v>
      </c>
      <c r="C342" s="116">
        <v>675.65</v>
      </c>
      <c r="D342" s="116">
        <v>655.6</v>
      </c>
      <c r="E342" s="116">
        <v>669.25</v>
      </c>
      <c r="F342" s="116">
        <v>675.65</v>
      </c>
      <c r="G342">
        <v>67780</v>
      </c>
      <c r="H342" s="116"/>
      <c r="I342" s="116"/>
      <c r="L342" s="170">
        <v>45383</v>
      </c>
      <c r="M342" s="116">
        <v>676.25</v>
      </c>
      <c r="N342" s="116">
        <v>687.6</v>
      </c>
      <c r="O342" s="116">
        <v>656</v>
      </c>
      <c r="P342" s="116">
        <v>665</v>
      </c>
      <c r="Q342" s="116">
        <v>676.25</v>
      </c>
      <c r="R342">
        <v>566132</v>
      </c>
    </row>
    <row r="343" spans="1:18" x14ac:dyDescent="0.25">
      <c r="A343" s="170">
        <v>45384</v>
      </c>
      <c r="B343" s="116">
        <v>689.2</v>
      </c>
      <c r="C343" s="116">
        <v>666.5</v>
      </c>
      <c r="D343" s="116">
        <v>664.35</v>
      </c>
      <c r="E343" s="116">
        <v>673.45</v>
      </c>
      <c r="F343" s="116">
        <v>666.5</v>
      </c>
      <c r="G343">
        <v>18457</v>
      </c>
      <c r="H343" s="116"/>
      <c r="I343" s="116"/>
      <c r="L343" s="170">
        <v>45384</v>
      </c>
      <c r="M343" s="116">
        <v>666.9</v>
      </c>
      <c r="N343" s="116">
        <v>689.7</v>
      </c>
      <c r="O343" s="116">
        <v>664.75</v>
      </c>
      <c r="P343" s="116">
        <v>671.75</v>
      </c>
      <c r="Q343" s="116">
        <v>666.9</v>
      </c>
      <c r="R343">
        <v>418156</v>
      </c>
    </row>
    <row r="344" spans="1:18" x14ac:dyDescent="0.25">
      <c r="A344" s="170">
        <v>45385</v>
      </c>
      <c r="B344" s="116">
        <v>673.95</v>
      </c>
      <c r="C344" s="116">
        <v>656.3</v>
      </c>
      <c r="D344" s="116">
        <v>653.29999999999995</v>
      </c>
      <c r="E344" s="116">
        <v>665.65</v>
      </c>
      <c r="F344" s="116">
        <v>656.3</v>
      </c>
      <c r="G344">
        <v>16457</v>
      </c>
      <c r="H344" s="116"/>
      <c r="I344" s="116"/>
      <c r="L344" s="170">
        <v>45385</v>
      </c>
      <c r="M344" s="116">
        <v>655.8</v>
      </c>
      <c r="N344" s="116">
        <v>673.9</v>
      </c>
      <c r="O344" s="116">
        <v>653.25</v>
      </c>
      <c r="P344" s="116">
        <v>663.2</v>
      </c>
      <c r="Q344" s="116">
        <v>655.8</v>
      </c>
      <c r="R344">
        <v>313733</v>
      </c>
    </row>
    <row r="345" spans="1:18" x14ac:dyDescent="0.25">
      <c r="A345" s="170">
        <v>45386</v>
      </c>
      <c r="B345" s="116">
        <v>666.9</v>
      </c>
      <c r="C345" s="116">
        <v>637.9</v>
      </c>
      <c r="D345" s="116">
        <v>636</v>
      </c>
      <c r="E345" s="116">
        <v>660</v>
      </c>
      <c r="F345" s="116">
        <v>637.9</v>
      </c>
      <c r="G345">
        <v>36501</v>
      </c>
      <c r="H345" s="116"/>
      <c r="I345" s="116"/>
      <c r="L345" s="170">
        <v>45386</v>
      </c>
      <c r="M345" s="116">
        <v>638.25</v>
      </c>
      <c r="N345" s="116">
        <v>667.25</v>
      </c>
      <c r="O345" s="116">
        <v>636</v>
      </c>
      <c r="P345" s="116">
        <v>659</v>
      </c>
      <c r="Q345" s="116">
        <v>638.25</v>
      </c>
      <c r="R345">
        <v>568715</v>
      </c>
    </row>
    <row r="346" spans="1:18" x14ac:dyDescent="0.25">
      <c r="A346" s="170">
        <v>45387</v>
      </c>
      <c r="B346" s="116">
        <v>649.25</v>
      </c>
      <c r="C346" s="116">
        <v>626.75</v>
      </c>
      <c r="D346" s="116">
        <v>624</v>
      </c>
      <c r="E346" s="116">
        <v>649.25</v>
      </c>
      <c r="F346" s="116">
        <v>626.75</v>
      </c>
      <c r="G346">
        <v>10828</v>
      </c>
      <c r="H346" s="116"/>
      <c r="I346" s="116"/>
      <c r="L346" s="170">
        <v>45387</v>
      </c>
      <c r="M346" s="116">
        <v>626.54999999999995</v>
      </c>
      <c r="N346" s="116">
        <v>644</v>
      </c>
      <c r="O346" s="116">
        <v>623.20000000000005</v>
      </c>
      <c r="P346" s="116">
        <v>638</v>
      </c>
      <c r="Q346" s="116">
        <v>626.54999999999995</v>
      </c>
      <c r="R346">
        <v>392961</v>
      </c>
    </row>
    <row r="347" spans="1:18" x14ac:dyDescent="0.25">
      <c r="A347" s="170">
        <v>45390</v>
      </c>
      <c r="B347" s="116">
        <v>645</v>
      </c>
      <c r="C347" s="116">
        <v>620.04999999999995</v>
      </c>
      <c r="D347" s="116">
        <v>618</v>
      </c>
      <c r="E347" s="116">
        <v>632.95000000000005</v>
      </c>
      <c r="F347" s="116">
        <v>620.04999999999995</v>
      </c>
      <c r="G347">
        <v>36630</v>
      </c>
      <c r="H347" s="116"/>
      <c r="I347" s="116"/>
      <c r="L347" s="170">
        <v>45390</v>
      </c>
      <c r="M347" s="116">
        <v>619.79999999999995</v>
      </c>
      <c r="N347" s="116">
        <v>644.70000000000005</v>
      </c>
      <c r="O347" s="116">
        <v>617</v>
      </c>
      <c r="P347" s="116">
        <v>631</v>
      </c>
      <c r="Q347" s="116">
        <v>619.79999999999995</v>
      </c>
      <c r="R347">
        <v>447635</v>
      </c>
    </row>
    <row r="348" spans="1:18" x14ac:dyDescent="0.25">
      <c r="A348" s="170">
        <v>45391</v>
      </c>
      <c r="B348" s="116">
        <v>629.95000000000005</v>
      </c>
      <c r="C348" s="116">
        <v>609.79999999999995</v>
      </c>
      <c r="D348" s="116">
        <v>608.04999999999995</v>
      </c>
      <c r="E348" s="116">
        <v>626.45000000000005</v>
      </c>
      <c r="F348" s="116">
        <v>609.79999999999995</v>
      </c>
      <c r="G348">
        <v>26518</v>
      </c>
      <c r="H348" s="116"/>
      <c r="I348" s="116"/>
      <c r="L348" s="170">
        <v>45391</v>
      </c>
      <c r="M348" s="116">
        <v>610.04999999999995</v>
      </c>
      <c r="N348" s="116">
        <v>629.79999999999995</v>
      </c>
      <c r="O348" s="116">
        <v>608.15</v>
      </c>
      <c r="P348" s="116">
        <v>624.79999999999995</v>
      </c>
      <c r="Q348" s="116">
        <v>610.04999999999995</v>
      </c>
      <c r="R348">
        <v>440530</v>
      </c>
    </row>
    <row r="349" spans="1:18" x14ac:dyDescent="0.25">
      <c r="A349" s="170">
        <v>45392</v>
      </c>
      <c r="B349" s="116">
        <v>660</v>
      </c>
      <c r="C349" s="116">
        <v>654</v>
      </c>
      <c r="D349" s="116">
        <v>611.54999999999995</v>
      </c>
      <c r="E349" s="116">
        <v>616.04999999999995</v>
      </c>
      <c r="F349" s="116">
        <v>654</v>
      </c>
      <c r="G349">
        <v>52376</v>
      </c>
      <c r="H349" s="116"/>
      <c r="I349" s="116"/>
      <c r="L349" s="170">
        <v>45392</v>
      </c>
      <c r="M349" s="116">
        <v>653.54999999999995</v>
      </c>
      <c r="N349" s="116">
        <v>658.85</v>
      </c>
      <c r="O349" s="116">
        <v>611.79999999999995</v>
      </c>
      <c r="P349" s="116">
        <v>617</v>
      </c>
      <c r="Q349" s="116">
        <v>653.54999999999995</v>
      </c>
      <c r="R349">
        <v>1755726</v>
      </c>
    </row>
    <row r="350" spans="1:18" x14ac:dyDescent="0.25">
      <c r="A350" s="170">
        <v>45394</v>
      </c>
      <c r="B350" s="116">
        <v>705.9</v>
      </c>
      <c r="C350" s="116">
        <v>694.4</v>
      </c>
      <c r="D350" s="116">
        <v>649.29999999999995</v>
      </c>
      <c r="E350" s="116">
        <v>653</v>
      </c>
      <c r="F350" s="116">
        <v>694.4</v>
      </c>
      <c r="G350">
        <v>192658</v>
      </c>
      <c r="H350" s="116"/>
      <c r="I350" s="116"/>
      <c r="L350" s="170">
        <v>45394</v>
      </c>
      <c r="M350" s="116">
        <v>694.6</v>
      </c>
      <c r="N350" s="116">
        <v>704.9</v>
      </c>
      <c r="O350" s="116">
        <v>649.04999999999995</v>
      </c>
      <c r="P350" s="116">
        <v>652.95000000000005</v>
      </c>
      <c r="Q350" s="116">
        <v>694.6</v>
      </c>
      <c r="R350">
        <v>3324651</v>
      </c>
    </row>
    <row r="351" spans="1:18" x14ac:dyDescent="0.25">
      <c r="A351" s="170">
        <v>45397</v>
      </c>
      <c r="B351" s="116">
        <v>716.5</v>
      </c>
      <c r="C351" s="116">
        <v>696.4</v>
      </c>
      <c r="D351" s="116">
        <v>665.4</v>
      </c>
      <c r="E351" s="116">
        <v>680.55</v>
      </c>
      <c r="F351" s="116">
        <v>696.4</v>
      </c>
      <c r="G351">
        <v>60982</v>
      </c>
      <c r="H351" s="116"/>
      <c r="I351" s="116"/>
      <c r="L351" s="170">
        <v>45397</v>
      </c>
      <c r="M351" s="116">
        <v>696.65</v>
      </c>
      <c r="N351" s="116">
        <v>716.55</v>
      </c>
      <c r="O351" s="116">
        <v>665.3</v>
      </c>
      <c r="P351" s="116">
        <v>688</v>
      </c>
      <c r="Q351" s="116">
        <v>696.65</v>
      </c>
      <c r="R351">
        <v>1557173</v>
      </c>
    </row>
    <row r="352" spans="1:18" x14ac:dyDescent="0.25">
      <c r="A352" s="170">
        <v>45398</v>
      </c>
      <c r="B352" s="116">
        <v>708.9</v>
      </c>
      <c r="C352" s="116">
        <v>680.7</v>
      </c>
      <c r="D352" s="116">
        <v>676.95</v>
      </c>
      <c r="E352" s="116">
        <v>689.3</v>
      </c>
      <c r="F352" s="116">
        <v>680.7</v>
      </c>
      <c r="G352">
        <v>23014</v>
      </c>
      <c r="H352" s="116"/>
      <c r="I352" s="116"/>
      <c r="L352" s="170">
        <v>45398</v>
      </c>
      <c r="M352" s="116">
        <v>680.8</v>
      </c>
      <c r="N352" s="116">
        <v>708.7</v>
      </c>
      <c r="O352" s="116">
        <v>673.4</v>
      </c>
      <c r="P352" s="116">
        <v>695.7</v>
      </c>
      <c r="Q352" s="116">
        <v>680.8</v>
      </c>
      <c r="R352">
        <v>739475</v>
      </c>
    </row>
    <row r="353" spans="1:18" x14ac:dyDescent="0.25">
      <c r="A353" s="170">
        <v>45400</v>
      </c>
      <c r="B353" s="116">
        <v>707.25</v>
      </c>
      <c r="C353" s="116">
        <v>661</v>
      </c>
      <c r="D353" s="116">
        <v>655.5</v>
      </c>
      <c r="E353" s="116">
        <v>707.25</v>
      </c>
      <c r="F353" s="116">
        <v>661</v>
      </c>
      <c r="G353">
        <v>19404</v>
      </c>
      <c r="H353" s="116"/>
      <c r="I353" s="116"/>
      <c r="L353" s="170">
        <v>45400</v>
      </c>
      <c r="M353" s="116">
        <v>660</v>
      </c>
      <c r="N353" s="116">
        <v>690.2</v>
      </c>
      <c r="O353" s="116">
        <v>654.95000000000005</v>
      </c>
      <c r="P353" s="116">
        <v>681.6</v>
      </c>
      <c r="Q353" s="116">
        <v>660</v>
      </c>
      <c r="R353">
        <v>525447</v>
      </c>
    </row>
    <row r="354" spans="1:18" x14ac:dyDescent="0.25">
      <c r="A354" s="170">
        <v>45401</v>
      </c>
      <c r="B354" s="116">
        <v>689.1</v>
      </c>
      <c r="C354" s="116">
        <v>683.1</v>
      </c>
      <c r="D354" s="116">
        <v>645</v>
      </c>
      <c r="E354" s="116">
        <v>651.45000000000005</v>
      </c>
      <c r="F354" s="116">
        <v>683.1</v>
      </c>
      <c r="G354">
        <v>59559</v>
      </c>
      <c r="H354" s="116"/>
      <c r="I354" s="116"/>
      <c r="L354" s="170">
        <v>45401</v>
      </c>
      <c r="M354" s="116">
        <v>683.7</v>
      </c>
      <c r="N354" s="116">
        <v>690</v>
      </c>
      <c r="O354" s="116">
        <v>645.15</v>
      </c>
      <c r="P354" s="116">
        <v>652.85</v>
      </c>
      <c r="Q354" s="116">
        <v>683.7</v>
      </c>
      <c r="R354">
        <v>796938</v>
      </c>
    </row>
    <row r="355" spans="1:18" x14ac:dyDescent="0.25">
      <c r="A355" s="170">
        <v>45404</v>
      </c>
      <c r="B355" s="116">
        <v>699.2</v>
      </c>
      <c r="C355" s="116">
        <v>693.8</v>
      </c>
      <c r="D355" s="116">
        <v>682</v>
      </c>
      <c r="E355" s="116">
        <v>686.3</v>
      </c>
      <c r="F355" s="116">
        <v>693.8</v>
      </c>
      <c r="G355">
        <v>19464</v>
      </c>
      <c r="H355" s="116"/>
      <c r="I355" s="116"/>
      <c r="L355" s="170">
        <v>45404</v>
      </c>
      <c r="M355" s="116">
        <v>692.85</v>
      </c>
      <c r="N355" s="116">
        <v>698.95</v>
      </c>
      <c r="O355" s="116">
        <v>682.15</v>
      </c>
      <c r="P355" s="116">
        <v>690.95</v>
      </c>
      <c r="Q355" s="116">
        <v>692.85</v>
      </c>
      <c r="R355">
        <v>367646</v>
      </c>
    </row>
    <row r="356" spans="1:18" x14ac:dyDescent="0.25">
      <c r="A356" s="170">
        <v>45405</v>
      </c>
      <c r="B356" s="116">
        <v>697.15</v>
      </c>
      <c r="C356" s="116">
        <v>684.4</v>
      </c>
      <c r="D356" s="116">
        <v>682</v>
      </c>
      <c r="E356" s="116">
        <v>694.05</v>
      </c>
      <c r="F356" s="116">
        <v>684.4</v>
      </c>
      <c r="G356">
        <v>28356</v>
      </c>
      <c r="H356" s="116"/>
      <c r="I356" s="116"/>
      <c r="L356" s="170">
        <v>45405</v>
      </c>
      <c r="M356" s="116">
        <v>684.75</v>
      </c>
      <c r="N356" s="116">
        <v>696.95</v>
      </c>
      <c r="O356" s="116">
        <v>681.15</v>
      </c>
      <c r="P356" s="116">
        <v>694</v>
      </c>
      <c r="Q356" s="116">
        <v>684.75</v>
      </c>
      <c r="R356">
        <v>250504</v>
      </c>
    </row>
    <row r="357" spans="1:18" x14ac:dyDescent="0.25">
      <c r="A357" s="170">
        <v>45406</v>
      </c>
      <c r="B357" s="116">
        <v>690.6</v>
      </c>
      <c r="C357" s="116">
        <v>679.5</v>
      </c>
      <c r="D357" s="116">
        <v>676.85</v>
      </c>
      <c r="E357" s="116">
        <v>685.25</v>
      </c>
      <c r="F357" s="116">
        <v>679.5</v>
      </c>
      <c r="G357">
        <v>11632</v>
      </c>
      <c r="H357" s="116"/>
      <c r="I357" s="116"/>
      <c r="L357" s="170">
        <v>45406</v>
      </c>
      <c r="M357" s="116">
        <v>679.85</v>
      </c>
      <c r="N357" s="116">
        <v>691.4</v>
      </c>
      <c r="O357" s="116">
        <v>676.2</v>
      </c>
      <c r="P357" s="116">
        <v>686</v>
      </c>
      <c r="Q357" s="116">
        <v>679.85</v>
      </c>
      <c r="R357">
        <v>230040</v>
      </c>
    </row>
    <row r="358" spans="1:18" x14ac:dyDescent="0.25">
      <c r="A358" s="170">
        <v>45407</v>
      </c>
      <c r="B358" s="116">
        <v>701.65</v>
      </c>
      <c r="C358" s="116">
        <v>678.2</v>
      </c>
      <c r="D358" s="116">
        <v>673.85</v>
      </c>
      <c r="E358" s="116">
        <v>687.95</v>
      </c>
      <c r="F358" s="116">
        <v>678.2</v>
      </c>
      <c r="G358">
        <v>14140</v>
      </c>
      <c r="H358" s="116"/>
      <c r="I358" s="116"/>
      <c r="L358" s="170">
        <v>45407</v>
      </c>
      <c r="M358" s="116">
        <v>679.4</v>
      </c>
      <c r="N358" s="116">
        <v>703.1</v>
      </c>
      <c r="O358" s="116">
        <v>672.55</v>
      </c>
      <c r="P358" s="116">
        <v>682.8</v>
      </c>
      <c r="Q358" s="116">
        <v>679.4</v>
      </c>
      <c r="R358">
        <v>445982</v>
      </c>
    </row>
    <row r="359" spans="1:18" x14ac:dyDescent="0.25">
      <c r="A359" s="170">
        <v>45408</v>
      </c>
      <c r="B359" s="116">
        <v>683.1</v>
      </c>
      <c r="C359" s="116">
        <v>667.1</v>
      </c>
      <c r="D359" s="116">
        <v>665.2</v>
      </c>
      <c r="E359" s="116">
        <v>679.9</v>
      </c>
      <c r="F359" s="116">
        <v>667.1</v>
      </c>
      <c r="G359">
        <v>8506</v>
      </c>
      <c r="H359" s="116"/>
      <c r="I359" s="116"/>
      <c r="L359" s="170">
        <v>45408</v>
      </c>
      <c r="M359" s="116">
        <v>667.2</v>
      </c>
      <c r="N359" s="116">
        <v>685</v>
      </c>
      <c r="O359" s="116">
        <v>665</v>
      </c>
      <c r="P359" s="116">
        <v>684.4</v>
      </c>
      <c r="Q359" s="116">
        <v>667.2</v>
      </c>
      <c r="R359">
        <v>266084</v>
      </c>
    </row>
    <row r="360" spans="1:18" x14ac:dyDescent="0.25">
      <c r="A360" s="170">
        <v>45411</v>
      </c>
      <c r="B360" s="116">
        <v>672</v>
      </c>
      <c r="C360" s="116">
        <v>662.35</v>
      </c>
      <c r="D360" s="116">
        <v>660.7</v>
      </c>
      <c r="E360" s="116">
        <v>667.25</v>
      </c>
      <c r="F360" s="116">
        <v>662.35</v>
      </c>
      <c r="G360">
        <v>6144</v>
      </c>
      <c r="H360" s="116"/>
      <c r="I360" s="116"/>
      <c r="L360" s="170">
        <v>45411</v>
      </c>
      <c r="M360" s="116">
        <v>662.15</v>
      </c>
      <c r="N360" s="116">
        <v>673</v>
      </c>
      <c r="O360" s="116">
        <v>660</v>
      </c>
      <c r="P360" s="116">
        <v>672.8</v>
      </c>
      <c r="Q360" s="116">
        <v>662.15</v>
      </c>
      <c r="R360">
        <v>265179</v>
      </c>
    </row>
    <row r="361" spans="1:18" x14ac:dyDescent="0.25">
      <c r="A361" s="170">
        <v>45412</v>
      </c>
      <c r="B361" s="116">
        <v>671.45</v>
      </c>
      <c r="C361" s="116">
        <v>651.54999999999995</v>
      </c>
      <c r="D361" s="116">
        <v>647.85</v>
      </c>
      <c r="E361" s="116">
        <v>664.2</v>
      </c>
      <c r="F361" s="116">
        <v>651.54999999999995</v>
      </c>
      <c r="G361">
        <v>30471</v>
      </c>
      <c r="H361" s="116"/>
      <c r="I361" s="116"/>
      <c r="L361" s="170">
        <v>45412</v>
      </c>
      <c r="M361" s="116">
        <v>652.25</v>
      </c>
      <c r="N361" s="116">
        <v>672.7</v>
      </c>
      <c r="O361" s="116">
        <v>648</v>
      </c>
      <c r="P361" s="116">
        <v>664.05</v>
      </c>
      <c r="Q361" s="116">
        <v>652.25</v>
      </c>
      <c r="R361">
        <v>545785</v>
      </c>
    </row>
    <row r="362" spans="1:18" x14ac:dyDescent="0.25">
      <c r="A362" s="170">
        <v>45414</v>
      </c>
      <c r="B362" s="116">
        <v>658.25</v>
      </c>
      <c r="C362" s="116">
        <v>640.04999999999995</v>
      </c>
      <c r="D362" s="116">
        <v>636.85</v>
      </c>
      <c r="E362" s="116">
        <v>653.04999999999995</v>
      </c>
      <c r="F362" s="116">
        <v>640.04999999999995</v>
      </c>
      <c r="G362">
        <v>10095</v>
      </c>
      <c r="H362" s="116"/>
      <c r="I362" s="116"/>
      <c r="L362" s="170">
        <v>45414</v>
      </c>
      <c r="M362" s="116">
        <v>639.79999999999995</v>
      </c>
      <c r="N362" s="116">
        <v>660</v>
      </c>
      <c r="O362" s="116">
        <v>636.5</v>
      </c>
      <c r="P362" s="116">
        <v>652.29999999999995</v>
      </c>
      <c r="Q362" s="116">
        <v>639.79999999999995</v>
      </c>
      <c r="R362">
        <v>317892</v>
      </c>
    </row>
    <row r="363" spans="1:18" x14ac:dyDescent="0.25">
      <c r="A363" s="170">
        <v>45415</v>
      </c>
      <c r="B363" s="116">
        <v>664</v>
      </c>
      <c r="C363" s="116">
        <v>657.5</v>
      </c>
      <c r="D363" s="116">
        <v>630.20000000000005</v>
      </c>
      <c r="E363" s="116">
        <v>642.25</v>
      </c>
      <c r="F363" s="116">
        <v>657.5</v>
      </c>
      <c r="G363">
        <v>39535</v>
      </c>
      <c r="H363" s="116"/>
      <c r="I363" s="116"/>
      <c r="L363" s="170">
        <v>45415</v>
      </c>
      <c r="M363" s="116">
        <v>657.7</v>
      </c>
      <c r="N363" s="116">
        <v>663.9</v>
      </c>
      <c r="O363" s="116">
        <v>630</v>
      </c>
      <c r="P363" s="116">
        <v>643</v>
      </c>
      <c r="Q363" s="116">
        <v>657.7</v>
      </c>
      <c r="R363">
        <v>542899</v>
      </c>
    </row>
    <row r="364" spans="1:18" x14ac:dyDescent="0.25">
      <c r="A364" s="170">
        <v>45418</v>
      </c>
      <c r="B364" s="116">
        <v>669</v>
      </c>
      <c r="C364" s="116">
        <v>632.70000000000005</v>
      </c>
      <c r="D364" s="116">
        <v>626.04999999999995</v>
      </c>
      <c r="E364" s="116">
        <v>648.6</v>
      </c>
      <c r="F364" s="116">
        <v>632.70000000000005</v>
      </c>
      <c r="G364">
        <v>17005</v>
      </c>
      <c r="H364" s="116"/>
      <c r="I364" s="116"/>
      <c r="L364" s="170">
        <v>45418</v>
      </c>
      <c r="M364" s="116">
        <v>632.9</v>
      </c>
      <c r="N364" s="116">
        <v>669.6</v>
      </c>
      <c r="O364" s="116">
        <v>624.15</v>
      </c>
      <c r="P364" s="116">
        <v>660.45</v>
      </c>
      <c r="Q364" s="116">
        <v>632.9</v>
      </c>
      <c r="R364">
        <v>776078</v>
      </c>
    </row>
    <row r="365" spans="1:18" x14ac:dyDescent="0.25">
      <c r="A365" s="170">
        <v>45419</v>
      </c>
      <c r="B365" s="116">
        <v>638.45000000000005</v>
      </c>
      <c r="C365" s="116">
        <v>630.1</v>
      </c>
      <c r="D365" s="116">
        <v>623</v>
      </c>
      <c r="E365" s="116">
        <v>634.75</v>
      </c>
      <c r="F365" s="116">
        <v>630.1</v>
      </c>
      <c r="G365">
        <v>9656</v>
      </c>
      <c r="H365" s="116"/>
      <c r="I365" s="116"/>
      <c r="L365" s="170">
        <v>45419</v>
      </c>
      <c r="M365" s="116">
        <v>629</v>
      </c>
      <c r="N365" s="116">
        <v>639.20000000000005</v>
      </c>
      <c r="O365" s="116">
        <v>622.5</v>
      </c>
      <c r="P365" s="116">
        <v>635.4</v>
      </c>
      <c r="Q365" s="116">
        <v>629</v>
      </c>
      <c r="R365">
        <v>245516</v>
      </c>
    </row>
    <row r="366" spans="1:18" x14ac:dyDescent="0.25">
      <c r="A366" s="170">
        <v>45420</v>
      </c>
      <c r="B366" s="116">
        <v>638.15</v>
      </c>
      <c r="C366" s="116">
        <v>629.04999999999995</v>
      </c>
      <c r="D366" s="116">
        <v>622.95000000000005</v>
      </c>
      <c r="E366" s="116">
        <v>629.9</v>
      </c>
      <c r="F366" s="116">
        <v>629.04999999999995</v>
      </c>
      <c r="G366">
        <v>19493</v>
      </c>
      <c r="H366" s="116"/>
      <c r="I366" s="116"/>
      <c r="L366" s="170">
        <v>45420</v>
      </c>
      <c r="M366" s="116">
        <v>629.5</v>
      </c>
      <c r="N366" s="116">
        <v>638.9</v>
      </c>
      <c r="O366" s="116">
        <v>622.79999999999995</v>
      </c>
      <c r="P366" s="116">
        <v>625</v>
      </c>
      <c r="Q366" s="116">
        <v>629.5</v>
      </c>
      <c r="R366">
        <v>155236</v>
      </c>
    </row>
    <row r="367" spans="1:18" x14ac:dyDescent="0.25">
      <c r="A367" s="170">
        <v>45421</v>
      </c>
      <c r="B367" s="116">
        <v>636.95000000000005</v>
      </c>
      <c r="C367" s="116">
        <v>621.54999999999995</v>
      </c>
      <c r="D367" s="116">
        <v>617.29999999999995</v>
      </c>
      <c r="E367" s="116">
        <v>636.95000000000005</v>
      </c>
      <c r="F367" s="116">
        <v>621.54999999999995</v>
      </c>
      <c r="G367">
        <v>8914</v>
      </c>
      <c r="H367" s="116"/>
      <c r="I367" s="116"/>
      <c r="L367" s="170">
        <v>45421</v>
      </c>
      <c r="M367" s="116">
        <v>619.9</v>
      </c>
      <c r="N367" s="116">
        <v>633</v>
      </c>
      <c r="O367" s="116">
        <v>616.4</v>
      </c>
      <c r="P367" s="116">
        <v>628.75</v>
      </c>
      <c r="Q367" s="116">
        <v>619.9</v>
      </c>
      <c r="R367">
        <v>156616</v>
      </c>
    </row>
    <row r="368" spans="1:18" x14ac:dyDescent="0.25">
      <c r="A368" s="170">
        <v>45422</v>
      </c>
      <c r="B368" s="116">
        <v>634.79999999999995</v>
      </c>
      <c r="C368" s="116">
        <v>628.5</v>
      </c>
      <c r="D368" s="116">
        <v>616.04999999999995</v>
      </c>
      <c r="E368" s="116">
        <v>628.95000000000005</v>
      </c>
      <c r="F368" s="116">
        <v>628.5</v>
      </c>
      <c r="G368">
        <v>16347</v>
      </c>
      <c r="H368" s="116"/>
      <c r="I368" s="116"/>
      <c r="L368" s="170">
        <v>45422</v>
      </c>
      <c r="M368" s="116">
        <v>629.25</v>
      </c>
      <c r="N368" s="116">
        <v>634.70000000000005</v>
      </c>
      <c r="O368" s="116">
        <v>616.75</v>
      </c>
      <c r="P368" s="116">
        <v>625</v>
      </c>
      <c r="Q368" s="116">
        <v>629.25</v>
      </c>
      <c r="R368">
        <v>207558</v>
      </c>
    </row>
    <row r="369" spans="1:18" x14ac:dyDescent="0.25">
      <c r="A369" s="170">
        <v>45425</v>
      </c>
      <c r="B369" s="116">
        <v>637.4</v>
      </c>
      <c r="C369" s="116">
        <v>633.85</v>
      </c>
      <c r="D369" s="116">
        <v>624.20000000000005</v>
      </c>
      <c r="E369" s="116">
        <v>633.85</v>
      </c>
      <c r="F369" s="116">
        <v>633.85</v>
      </c>
      <c r="G369">
        <v>10363</v>
      </c>
      <c r="H369" s="116"/>
      <c r="I369" s="116"/>
      <c r="L369" s="170">
        <v>45425</v>
      </c>
      <c r="M369" s="116">
        <v>633.95000000000005</v>
      </c>
      <c r="N369" s="116">
        <v>638</v>
      </c>
      <c r="O369" s="116">
        <v>623.1</v>
      </c>
      <c r="P369" s="116">
        <v>628.54999999999995</v>
      </c>
      <c r="Q369" s="116">
        <v>633.95000000000005</v>
      </c>
      <c r="R369">
        <v>198161</v>
      </c>
    </row>
    <row r="370" spans="1:18" x14ac:dyDescent="0.25">
      <c r="A370" s="170">
        <v>45426</v>
      </c>
      <c r="B370" s="116">
        <v>649.54999999999995</v>
      </c>
      <c r="C370" s="116">
        <v>644.79999999999995</v>
      </c>
      <c r="D370" s="116">
        <v>634.95000000000005</v>
      </c>
      <c r="E370" s="116">
        <v>634.95000000000005</v>
      </c>
      <c r="F370" s="116">
        <v>644.79999999999995</v>
      </c>
      <c r="G370">
        <v>9932</v>
      </c>
      <c r="H370" s="116"/>
      <c r="I370" s="116"/>
      <c r="L370" s="170">
        <v>45426</v>
      </c>
      <c r="M370" s="116">
        <v>645.79999999999995</v>
      </c>
      <c r="N370" s="116">
        <v>649.70000000000005</v>
      </c>
      <c r="O370" s="116">
        <v>633.45000000000005</v>
      </c>
      <c r="P370" s="116">
        <v>634</v>
      </c>
      <c r="Q370" s="116">
        <v>645.79999999999995</v>
      </c>
      <c r="R370">
        <v>214983</v>
      </c>
    </row>
    <row r="371" spans="1:18" x14ac:dyDescent="0.25">
      <c r="A371" s="170">
        <v>45427</v>
      </c>
      <c r="B371" s="116">
        <v>629.4</v>
      </c>
      <c r="C371" s="116">
        <v>616.29999999999995</v>
      </c>
      <c r="D371" s="116">
        <v>596.65</v>
      </c>
      <c r="E371" s="116">
        <v>599.35</v>
      </c>
      <c r="F371" s="116">
        <v>616.29999999999995</v>
      </c>
      <c r="G371">
        <v>51010</v>
      </c>
      <c r="H371" s="116"/>
      <c r="I371" s="116"/>
      <c r="L371" s="170">
        <v>45427</v>
      </c>
      <c r="M371" s="116">
        <v>616.6</v>
      </c>
      <c r="N371" s="116">
        <v>629.70000000000005</v>
      </c>
      <c r="O371" s="116">
        <v>583.54999999999995</v>
      </c>
      <c r="P371" s="116">
        <v>600</v>
      </c>
      <c r="Q371" s="116">
        <v>616.6</v>
      </c>
      <c r="R371">
        <v>1347131</v>
      </c>
    </row>
    <row r="372" spans="1:18" x14ac:dyDescent="0.25">
      <c r="A372" s="170">
        <v>45428</v>
      </c>
      <c r="B372" s="116">
        <v>645.54999999999995</v>
      </c>
      <c r="C372" s="116">
        <v>628.6</v>
      </c>
      <c r="D372" s="116">
        <v>621.6</v>
      </c>
      <c r="E372" s="116">
        <v>624.85</v>
      </c>
      <c r="F372" s="116">
        <v>628.6</v>
      </c>
      <c r="G372">
        <v>23904</v>
      </c>
      <c r="H372" s="116"/>
      <c r="I372" s="116"/>
      <c r="L372" s="170">
        <v>45428</v>
      </c>
      <c r="M372" s="116">
        <v>626.95000000000005</v>
      </c>
      <c r="N372" s="116">
        <v>645.95000000000005</v>
      </c>
      <c r="O372" s="116">
        <v>617.25</v>
      </c>
      <c r="P372" s="116">
        <v>617.25</v>
      </c>
      <c r="Q372" s="116">
        <v>626.95000000000005</v>
      </c>
      <c r="R372">
        <v>716618</v>
      </c>
    </row>
    <row r="373" spans="1:18" x14ac:dyDescent="0.25">
      <c r="A373" s="170">
        <v>45429</v>
      </c>
      <c r="B373" s="116">
        <v>628.35</v>
      </c>
      <c r="C373" s="116">
        <v>620.5</v>
      </c>
      <c r="D373" s="116">
        <v>616.29999999999995</v>
      </c>
      <c r="E373" s="116">
        <v>620.04999999999995</v>
      </c>
      <c r="F373" s="116">
        <v>620.5</v>
      </c>
      <c r="G373">
        <v>27626</v>
      </c>
      <c r="H373" s="116"/>
      <c r="I373" s="116"/>
      <c r="L373" s="170">
        <v>45429</v>
      </c>
      <c r="M373" s="116">
        <v>621.04999999999995</v>
      </c>
      <c r="N373" s="116">
        <v>628.35</v>
      </c>
      <c r="O373" s="116">
        <v>616.20000000000005</v>
      </c>
      <c r="P373" s="116">
        <v>624.85</v>
      </c>
      <c r="Q373" s="116">
        <v>621.04999999999995</v>
      </c>
      <c r="R373">
        <v>281560</v>
      </c>
    </row>
    <row r="374" spans="1:18" x14ac:dyDescent="0.25">
      <c r="A374" s="170">
        <v>45430</v>
      </c>
      <c r="B374" s="116">
        <v>639.70000000000005</v>
      </c>
      <c r="C374" s="116">
        <v>622.35</v>
      </c>
      <c r="D374" s="116">
        <v>619.9</v>
      </c>
      <c r="E374" s="116">
        <v>620.5</v>
      </c>
      <c r="F374" s="116">
        <v>622.35</v>
      </c>
      <c r="G374">
        <v>1732</v>
      </c>
      <c r="H374" s="116"/>
      <c r="I374" s="116"/>
      <c r="L374" s="170">
        <v>45430</v>
      </c>
      <c r="M374" s="116">
        <v>621.79999999999995</v>
      </c>
      <c r="N374" s="116">
        <v>628.4</v>
      </c>
      <c r="O374" s="116">
        <v>618.04999999999995</v>
      </c>
      <c r="P374" s="116">
        <v>618.04999999999995</v>
      </c>
      <c r="Q374" s="116">
        <v>621.79999999999995</v>
      </c>
      <c r="R374">
        <v>47373</v>
      </c>
    </row>
    <row r="375" spans="1:18" x14ac:dyDescent="0.25">
      <c r="A375" s="170">
        <v>45433</v>
      </c>
      <c r="B375" s="116">
        <v>625</v>
      </c>
      <c r="C375" s="116">
        <v>619.15</v>
      </c>
      <c r="D375" s="116">
        <v>615</v>
      </c>
      <c r="E375" s="116">
        <v>625</v>
      </c>
      <c r="F375" s="116">
        <v>619.15</v>
      </c>
      <c r="G375">
        <v>21058</v>
      </c>
      <c r="H375" s="116"/>
      <c r="I375" s="116"/>
      <c r="L375" s="170">
        <v>45433</v>
      </c>
      <c r="M375" s="116">
        <v>619.54999999999995</v>
      </c>
      <c r="N375" s="116">
        <v>625.79999999999995</v>
      </c>
      <c r="O375" s="116">
        <v>615.29999999999995</v>
      </c>
      <c r="P375" s="116">
        <v>621</v>
      </c>
      <c r="Q375" s="116">
        <v>619.54999999999995</v>
      </c>
      <c r="R375">
        <v>244015</v>
      </c>
    </row>
    <row r="376" spans="1:18" x14ac:dyDescent="0.25">
      <c r="A376" s="170">
        <v>45434</v>
      </c>
      <c r="B376" s="116">
        <v>620.70000000000005</v>
      </c>
      <c r="C376" s="116">
        <v>617.20000000000005</v>
      </c>
      <c r="D376" s="116">
        <v>613.65</v>
      </c>
      <c r="E376" s="116">
        <v>614.04999999999995</v>
      </c>
      <c r="F376" s="116">
        <v>617.20000000000005</v>
      </c>
      <c r="G376">
        <v>11264</v>
      </c>
      <c r="H376" s="116"/>
      <c r="I376" s="116"/>
      <c r="L376" s="170">
        <v>45434</v>
      </c>
      <c r="M376" s="116">
        <v>616.5</v>
      </c>
      <c r="N376" s="116">
        <v>621.79999999999995</v>
      </c>
      <c r="O376" s="116">
        <v>614.20000000000005</v>
      </c>
      <c r="P376" s="116">
        <v>621</v>
      </c>
      <c r="Q376" s="116">
        <v>616.5</v>
      </c>
      <c r="R376">
        <v>169119</v>
      </c>
    </row>
    <row r="377" spans="1:18" x14ac:dyDescent="0.25">
      <c r="A377" s="170">
        <v>45435</v>
      </c>
      <c r="B377" s="116">
        <v>619.9</v>
      </c>
      <c r="C377" s="116">
        <v>613.70000000000005</v>
      </c>
      <c r="D377" s="116">
        <v>611.70000000000005</v>
      </c>
      <c r="E377" s="116">
        <v>615.04999999999995</v>
      </c>
      <c r="F377" s="116">
        <v>613.70000000000005</v>
      </c>
      <c r="G377">
        <v>19168</v>
      </c>
      <c r="H377" s="116"/>
      <c r="I377" s="116"/>
      <c r="L377" s="170">
        <v>45435</v>
      </c>
      <c r="M377" s="116">
        <v>613.54999999999995</v>
      </c>
      <c r="N377" s="116">
        <v>620</v>
      </c>
      <c r="O377" s="116">
        <v>612</v>
      </c>
      <c r="P377" s="116">
        <v>616.29999999999995</v>
      </c>
      <c r="Q377" s="116">
        <v>613.54999999999995</v>
      </c>
      <c r="R377">
        <v>189277</v>
      </c>
    </row>
    <row r="378" spans="1:18" x14ac:dyDescent="0.25">
      <c r="A378" s="170">
        <v>45436</v>
      </c>
      <c r="B378" s="116">
        <v>630.9</v>
      </c>
      <c r="C378" s="116">
        <v>624.29999999999995</v>
      </c>
      <c r="D378" s="116">
        <v>611.1</v>
      </c>
      <c r="E378" s="116">
        <v>613.04999999999995</v>
      </c>
      <c r="F378" s="116">
        <v>624.29999999999995</v>
      </c>
      <c r="G378">
        <v>34655</v>
      </c>
      <c r="H378" s="116"/>
      <c r="I378" s="116"/>
      <c r="L378" s="170">
        <v>45436</v>
      </c>
      <c r="M378" s="116">
        <v>625.04999999999995</v>
      </c>
      <c r="N378" s="116">
        <v>631</v>
      </c>
      <c r="O378" s="116">
        <v>611.5</v>
      </c>
      <c r="P378" s="116">
        <v>613.54999999999995</v>
      </c>
      <c r="Q378" s="116">
        <v>625.04999999999995</v>
      </c>
      <c r="R378">
        <v>347320</v>
      </c>
    </row>
    <row r="379" spans="1:18" x14ac:dyDescent="0.25">
      <c r="A379" s="170">
        <v>45439</v>
      </c>
      <c r="B379" s="116">
        <v>625.95000000000005</v>
      </c>
      <c r="C379" s="116">
        <v>614.54999999999995</v>
      </c>
      <c r="D379" s="116">
        <v>613.29999999999995</v>
      </c>
      <c r="E379" s="116">
        <v>625</v>
      </c>
      <c r="F379" s="116">
        <v>614.54999999999995</v>
      </c>
      <c r="G379">
        <v>6421</v>
      </c>
      <c r="H379" s="116"/>
      <c r="I379" s="116"/>
      <c r="L379" s="170">
        <v>45439</v>
      </c>
      <c r="M379" s="116">
        <v>614.54999999999995</v>
      </c>
      <c r="N379" s="116">
        <v>626.85</v>
      </c>
      <c r="O379" s="116">
        <v>613</v>
      </c>
      <c r="P379" s="116">
        <v>625.04999999999995</v>
      </c>
      <c r="Q379" s="116">
        <v>614.54999999999995</v>
      </c>
      <c r="R379">
        <v>269262</v>
      </c>
    </row>
    <row r="380" spans="1:18" x14ac:dyDescent="0.25">
      <c r="A380" s="170">
        <v>45440</v>
      </c>
      <c r="B380" s="116">
        <v>617</v>
      </c>
      <c r="C380" s="116">
        <v>614.65</v>
      </c>
      <c r="D380" s="116">
        <v>603.1</v>
      </c>
      <c r="E380" s="116">
        <v>617</v>
      </c>
      <c r="F380" s="116">
        <v>614.65</v>
      </c>
      <c r="G380">
        <v>19250</v>
      </c>
      <c r="H380" s="116"/>
      <c r="I380" s="116"/>
      <c r="L380" s="170">
        <v>45440</v>
      </c>
      <c r="M380" s="116">
        <v>614.65</v>
      </c>
      <c r="N380" s="116">
        <v>617.45000000000005</v>
      </c>
      <c r="O380" s="116">
        <v>603.29999999999995</v>
      </c>
      <c r="P380" s="116">
        <v>615.95000000000005</v>
      </c>
      <c r="Q380" s="116">
        <v>614.65</v>
      </c>
      <c r="R380">
        <v>204343</v>
      </c>
    </row>
    <row r="381" spans="1:18" x14ac:dyDescent="0.25">
      <c r="A381" s="170">
        <v>45441</v>
      </c>
      <c r="B381" s="116">
        <v>619.75</v>
      </c>
      <c r="C381" s="116">
        <v>617.1</v>
      </c>
      <c r="D381" s="116">
        <v>604.25</v>
      </c>
      <c r="E381" s="116">
        <v>605.29999999999995</v>
      </c>
      <c r="F381" s="116">
        <v>617.1</v>
      </c>
      <c r="G381">
        <v>19031</v>
      </c>
      <c r="H381" s="116"/>
      <c r="I381" s="116"/>
      <c r="L381" s="170">
        <v>45441</v>
      </c>
      <c r="M381" s="116">
        <v>617.4</v>
      </c>
      <c r="N381" s="116">
        <v>619.95000000000005</v>
      </c>
      <c r="O381" s="116">
        <v>604.20000000000005</v>
      </c>
      <c r="P381" s="116">
        <v>610</v>
      </c>
      <c r="Q381" s="116">
        <v>617.4</v>
      </c>
      <c r="R381">
        <v>140122</v>
      </c>
    </row>
    <row r="382" spans="1:18" x14ac:dyDescent="0.25">
      <c r="A382" s="170">
        <v>45442</v>
      </c>
      <c r="B382" s="116">
        <v>625.54999999999995</v>
      </c>
      <c r="C382" s="116">
        <v>613.25</v>
      </c>
      <c r="D382" s="116">
        <v>610</v>
      </c>
      <c r="E382" s="116">
        <v>610</v>
      </c>
      <c r="F382" s="116">
        <v>613.25</v>
      </c>
      <c r="G382">
        <v>10266</v>
      </c>
      <c r="H382" s="116"/>
      <c r="I382" s="116"/>
      <c r="L382" s="170">
        <v>45442</v>
      </c>
      <c r="M382" s="116">
        <v>613.79999999999995</v>
      </c>
      <c r="N382" s="116">
        <v>625.6</v>
      </c>
      <c r="O382" s="116">
        <v>610.25</v>
      </c>
      <c r="P382" s="116">
        <v>615</v>
      </c>
      <c r="Q382" s="116">
        <v>613.79999999999995</v>
      </c>
      <c r="R382">
        <v>196595</v>
      </c>
    </row>
    <row r="383" spans="1:18" x14ac:dyDescent="0.25">
      <c r="A383" s="170">
        <v>45443</v>
      </c>
      <c r="B383" s="116">
        <v>624.15</v>
      </c>
      <c r="C383" s="116">
        <v>619.54999999999995</v>
      </c>
      <c r="D383" s="116">
        <v>609</v>
      </c>
      <c r="E383" s="116">
        <v>609</v>
      </c>
      <c r="F383" s="116">
        <v>619.54999999999995</v>
      </c>
      <c r="G383">
        <v>10347</v>
      </c>
      <c r="H383" s="116"/>
      <c r="I383" s="116"/>
      <c r="L383" s="170">
        <v>45443</v>
      </c>
      <c r="M383" s="116">
        <v>621.4</v>
      </c>
      <c r="N383" s="116">
        <v>624.1</v>
      </c>
      <c r="O383" s="116">
        <v>609</v>
      </c>
      <c r="P383" s="116">
        <v>616</v>
      </c>
      <c r="Q383" s="116">
        <v>621.4</v>
      </c>
      <c r="R383">
        <v>154130</v>
      </c>
    </row>
    <row r="384" spans="1:18" x14ac:dyDescent="0.25">
      <c r="A384" s="170">
        <v>45446</v>
      </c>
      <c r="B384" s="116">
        <v>639.54999999999995</v>
      </c>
      <c r="C384" s="116">
        <v>616.6</v>
      </c>
      <c r="D384" s="116">
        <v>609.65</v>
      </c>
      <c r="E384" s="116">
        <v>631.95000000000005</v>
      </c>
      <c r="F384" s="116">
        <v>616.6</v>
      </c>
      <c r="G384">
        <v>12927</v>
      </c>
      <c r="H384" s="116"/>
      <c r="I384" s="116"/>
      <c r="L384" s="170">
        <v>45446</v>
      </c>
      <c r="M384" s="116">
        <v>617.4</v>
      </c>
      <c r="N384" s="116">
        <v>645</v>
      </c>
      <c r="O384" s="116">
        <v>610</v>
      </c>
      <c r="P384" s="116">
        <v>645</v>
      </c>
      <c r="Q384" s="116">
        <v>617.4</v>
      </c>
      <c r="R384">
        <v>383563</v>
      </c>
    </row>
    <row r="385" spans="1:18" x14ac:dyDescent="0.25">
      <c r="A385" s="170">
        <v>45447</v>
      </c>
      <c r="B385" s="116">
        <v>614.29999999999995</v>
      </c>
      <c r="C385" s="116">
        <v>601.65</v>
      </c>
      <c r="D385" s="116">
        <v>582.9</v>
      </c>
      <c r="E385" s="116">
        <v>610</v>
      </c>
      <c r="F385" s="116">
        <v>601.65</v>
      </c>
      <c r="G385">
        <v>17433</v>
      </c>
      <c r="H385" s="116"/>
      <c r="I385" s="116"/>
      <c r="L385" s="170">
        <v>45447</v>
      </c>
      <c r="M385" s="116">
        <v>600.25</v>
      </c>
      <c r="N385" s="116">
        <v>616.04999999999995</v>
      </c>
      <c r="O385" s="116">
        <v>581.1</v>
      </c>
      <c r="P385" s="116">
        <v>615</v>
      </c>
      <c r="Q385" s="116">
        <v>600.25</v>
      </c>
      <c r="R385">
        <v>380772</v>
      </c>
    </row>
    <row r="386" spans="1:18" x14ac:dyDescent="0.25">
      <c r="A386" s="170">
        <v>45448</v>
      </c>
      <c r="B386" s="116">
        <v>615.95000000000005</v>
      </c>
      <c r="C386" s="116">
        <v>608.79999999999995</v>
      </c>
      <c r="D386" s="116">
        <v>586.54999999999995</v>
      </c>
      <c r="E386" s="116">
        <v>598</v>
      </c>
      <c r="F386" s="116">
        <v>608.79999999999995</v>
      </c>
      <c r="G386">
        <v>22940</v>
      </c>
      <c r="H386" s="116"/>
      <c r="I386" s="116"/>
      <c r="L386" s="170">
        <v>45448</v>
      </c>
      <c r="M386" s="116">
        <v>610.15</v>
      </c>
      <c r="N386" s="116">
        <v>616</v>
      </c>
      <c r="O386" s="116">
        <v>586.1</v>
      </c>
      <c r="P386" s="116">
        <v>601.85</v>
      </c>
      <c r="Q386" s="116">
        <v>610.15</v>
      </c>
      <c r="R386">
        <v>160254</v>
      </c>
    </row>
    <row r="387" spans="1:18" x14ac:dyDescent="0.25">
      <c r="A387" s="170">
        <v>45449</v>
      </c>
      <c r="B387" s="116">
        <v>625</v>
      </c>
      <c r="C387" s="116">
        <v>608.6</v>
      </c>
      <c r="D387" s="116">
        <v>606.75</v>
      </c>
      <c r="E387" s="116">
        <v>625</v>
      </c>
      <c r="F387" s="116">
        <v>608.6</v>
      </c>
      <c r="G387">
        <v>5663</v>
      </c>
      <c r="H387" s="116"/>
      <c r="I387" s="116"/>
      <c r="L387" s="170">
        <v>45449</v>
      </c>
      <c r="M387" s="116">
        <v>608.65</v>
      </c>
      <c r="N387" s="116">
        <v>625</v>
      </c>
      <c r="O387" s="116">
        <v>607</v>
      </c>
      <c r="P387" s="116">
        <v>620</v>
      </c>
      <c r="Q387" s="116">
        <v>608.65</v>
      </c>
      <c r="R387">
        <v>203527</v>
      </c>
    </row>
    <row r="388" spans="1:18" x14ac:dyDescent="0.25">
      <c r="A388" s="170">
        <v>45450</v>
      </c>
      <c r="B388" s="116">
        <v>616.20000000000005</v>
      </c>
      <c r="C388" s="116">
        <v>612.70000000000005</v>
      </c>
      <c r="D388" s="116">
        <v>607.5</v>
      </c>
      <c r="E388" s="116">
        <v>607.5</v>
      </c>
      <c r="F388" s="116">
        <v>612.70000000000005</v>
      </c>
      <c r="G388">
        <v>6167</v>
      </c>
      <c r="H388" s="116"/>
      <c r="I388" s="116"/>
      <c r="L388" s="170">
        <v>45450</v>
      </c>
      <c r="M388" s="116">
        <v>614</v>
      </c>
      <c r="N388" s="116">
        <v>616.5</v>
      </c>
      <c r="O388" s="116">
        <v>607.04999999999995</v>
      </c>
      <c r="P388" s="116">
        <v>610</v>
      </c>
      <c r="Q388" s="116">
        <v>614</v>
      </c>
      <c r="R388">
        <v>201924</v>
      </c>
    </row>
    <row r="389" spans="1:18" x14ac:dyDescent="0.25">
      <c r="A389" s="170">
        <v>45453</v>
      </c>
      <c r="B389" s="116">
        <v>622.79999999999995</v>
      </c>
      <c r="C389" s="116">
        <v>611.25</v>
      </c>
      <c r="D389" s="116">
        <v>608.4</v>
      </c>
      <c r="E389" s="116">
        <v>622.79999999999995</v>
      </c>
      <c r="F389" s="116">
        <v>611.25</v>
      </c>
      <c r="G389">
        <v>9747</v>
      </c>
      <c r="H389" s="116"/>
      <c r="I389" s="116"/>
      <c r="L389" s="170">
        <v>45453</v>
      </c>
      <c r="M389" s="116">
        <v>610.75</v>
      </c>
      <c r="N389" s="116">
        <v>622.95000000000005</v>
      </c>
      <c r="O389" s="116">
        <v>608.1</v>
      </c>
      <c r="P389" s="116">
        <v>620.15</v>
      </c>
      <c r="Q389" s="116">
        <v>610.75</v>
      </c>
      <c r="R389">
        <v>291599</v>
      </c>
    </row>
    <row r="390" spans="1:18" x14ac:dyDescent="0.25">
      <c r="A390" s="170">
        <v>45454</v>
      </c>
      <c r="B390" s="116">
        <v>631</v>
      </c>
      <c r="C390" s="116">
        <v>623.1</v>
      </c>
      <c r="D390" s="116">
        <v>610</v>
      </c>
      <c r="E390" s="116">
        <v>615</v>
      </c>
      <c r="F390" s="116">
        <v>623.1</v>
      </c>
      <c r="G390">
        <v>32628</v>
      </c>
      <c r="H390" s="116"/>
      <c r="I390" s="116"/>
      <c r="L390" s="170">
        <v>45454</v>
      </c>
      <c r="M390" s="116">
        <v>624.15</v>
      </c>
      <c r="N390" s="116">
        <v>632</v>
      </c>
      <c r="O390" s="116">
        <v>610.1</v>
      </c>
      <c r="P390" s="116">
        <v>615.29999999999995</v>
      </c>
      <c r="Q390" s="116">
        <v>624.15</v>
      </c>
      <c r="R390">
        <v>341443</v>
      </c>
    </row>
    <row r="391" spans="1:18" x14ac:dyDescent="0.25">
      <c r="A391" s="170">
        <v>45455</v>
      </c>
      <c r="B391" s="116">
        <v>627.45000000000005</v>
      </c>
      <c r="C391" s="116">
        <v>622</v>
      </c>
      <c r="D391" s="116">
        <v>620.20000000000005</v>
      </c>
      <c r="E391" s="116">
        <v>624</v>
      </c>
      <c r="F391" s="116">
        <v>622</v>
      </c>
      <c r="G391">
        <v>9277</v>
      </c>
      <c r="H391" s="116"/>
      <c r="I391" s="116"/>
      <c r="L391" s="170">
        <v>45455</v>
      </c>
      <c r="M391" s="116">
        <v>622.04999999999995</v>
      </c>
      <c r="N391" s="116">
        <v>627.79999999999995</v>
      </c>
      <c r="O391" s="116">
        <v>620</v>
      </c>
      <c r="P391" s="116">
        <v>624</v>
      </c>
      <c r="Q391" s="116">
        <v>622.04999999999995</v>
      </c>
      <c r="R391">
        <v>211880</v>
      </c>
    </row>
    <row r="392" spans="1:18" x14ac:dyDescent="0.25">
      <c r="A392" s="170">
        <v>45456</v>
      </c>
      <c r="B392" s="116">
        <v>687</v>
      </c>
      <c r="C392" s="116">
        <v>658.6</v>
      </c>
      <c r="D392" s="116">
        <v>638.45000000000005</v>
      </c>
      <c r="E392" s="116">
        <v>641.04999999999995</v>
      </c>
      <c r="F392" s="116">
        <v>658.6</v>
      </c>
      <c r="G392">
        <v>105470</v>
      </c>
      <c r="H392" s="116"/>
      <c r="I392" s="116"/>
      <c r="L392" s="170">
        <v>45456</v>
      </c>
      <c r="M392" s="116">
        <v>658.95</v>
      </c>
      <c r="N392" s="116">
        <v>686.9</v>
      </c>
      <c r="O392" s="116">
        <v>638.15</v>
      </c>
      <c r="P392" s="116">
        <v>645.04999999999995</v>
      </c>
      <c r="Q392" s="116">
        <v>658.95</v>
      </c>
      <c r="R392">
        <v>3789776</v>
      </c>
    </row>
    <row r="393" spans="1:18" x14ac:dyDescent="0.25">
      <c r="A393" s="170">
        <v>45457</v>
      </c>
      <c r="B393" s="116">
        <v>680.05</v>
      </c>
      <c r="C393" s="116">
        <v>671.5</v>
      </c>
      <c r="D393" s="116">
        <v>648.45000000000005</v>
      </c>
      <c r="E393" s="116">
        <v>665.8</v>
      </c>
      <c r="F393" s="116">
        <v>671.5</v>
      </c>
      <c r="G393">
        <v>32518</v>
      </c>
      <c r="H393" s="116"/>
      <c r="I393" s="116"/>
      <c r="L393" s="170">
        <v>45457</v>
      </c>
      <c r="M393" s="116">
        <v>672.8</v>
      </c>
      <c r="N393" s="116">
        <v>680.95</v>
      </c>
      <c r="O393" s="116">
        <v>648</v>
      </c>
      <c r="P393" s="116">
        <v>663</v>
      </c>
      <c r="Q393" s="116">
        <v>672.8</v>
      </c>
      <c r="R393">
        <v>801151</v>
      </c>
    </row>
    <row r="394" spans="1:18" x14ac:dyDescent="0.25">
      <c r="A394" s="170">
        <v>45461</v>
      </c>
      <c r="B394" s="116">
        <v>677.35</v>
      </c>
      <c r="C394" s="116">
        <v>658.3</v>
      </c>
      <c r="D394" s="116">
        <v>653</v>
      </c>
      <c r="E394" s="116">
        <v>673.8</v>
      </c>
      <c r="F394" s="116">
        <v>658.3</v>
      </c>
      <c r="G394">
        <v>12788</v>
      </c>
      <c r="H394" s="116"/>
      <c r="I394" s="116"/>
      <c r="L394" s="170">
        <v>45461</v>
      </c>
      <c r="M394" s="116">
        <v>657.3</v>
      </c>
      <c r="N394" s="116">
        <v>677.4</v>
      </c>
      <c r="O394" s="116">
        <v>653.20000000000005</v>
      </c>
      <c r="P394" s="116">
        <v>673</v>
      </c>
      <c r="Q394" s="116">
        <v>657.3</v>
      </c>
      <c r="R394">
        <v>350470</v>
      </c>
    </row>
    <row r="395" spans="1:18" x14ac:dyDescent="0.25">
      <c r="A395" s="170">
        <v>45462</v>
      </c>
      <c r="B395" s="116">
        <v>677.7</v>
      </c>
      <c r="C395" s="116">
        <v>671.85</v>
      </c>
      <c r="D395" s="116">
        <v>642.20000000000005</v>
      </c>
      <c r="E395" s="116">
        <v>659.4</v>
      </c>
      <c r="F395" s="116">
        <v>671.85</v>
      </c>
      <c r="G395">
        <v>49486</v>
      </c>
      <c r="H395" s="116"/>
      <c r="I395" s="116"/>
      <c r="L395" s="170">
        <v>45462</v>
      </c>
      <c r="M395" s="116">
        <v>671.9</v>
      </c>
      <c r="N395" s="116">
        <v>677</v>
      </c>
      <c r="O395" s="116">
        <v>641.35</v>
      </c>
      <c r="P395" s="116">
        <v>658.7</v>
      </c>
      <c r="Q395" s="116">
        <v>671.9</v>
      </c>
      <c r="R395">
        <v>540733</v>
      </c>
    </row>
    <row r="396" spans="1:18" x14ac:dyDescent="0.25">
      <c r="A396" s="170">
        <v>45463</v>
      </c>
      <c r="B396" s="116">
        <v>701.2</v>
      </c>
      <c r="C396" s="116">
        <v>695.85</v>
      </c>
      <c r="D396" s="116">
        <v>651.5</v>
      </c>
      <c r="E396" s="116">
        <v>665.6</v>
      </c>
      <c r="F396" s="116">
        <v>695.85</v>
      </c>
      <c r="G396">
        <v>79659</v>
      </c>
      <c r="H396" s="116"/>
      <c r="I396" s="116"/>
      <c r="L396" s="170">
        <v>45463</v>
      </c>
      <c r="M396" s="116">
        <v>695.5</v>
      </c>
      <c r="N396" s="116">
        <v>700</v>
      </c>
      <c r="O396" s="116">
        <v>651.65</v>
      </c>
      <c r="P396" s="116">
        <v>669.95</v>
      </c>
      <c r="Q396" s="116">
        <v>695.5</v>
      </c>
      <c r="R396">
        <v>1734869</v>
      </c>
    </row>
    <row r="397" spans="1:18" x14ac:dyDescent="0.25">
      <c r="A397" s="170">
        <v>45464</v>
      </c>
      <c r="B397" s="116">
        <v>704.6</v>
      </c>
      <c r="C397" s="116">
        <v>696.05</v>
      </c>
      <c r="D397" s="116">
        <v>677.15</v>
      </c>
      <c r="E397" s="116">
        <v>701.5</v>
      </c>
      <c r="F397" s="116">
        <v>696.05</v>
      </c>
      <c r="G397">
        <v>54411</v>
      </c>
      <c r="H397" s="116"/>
      <c r="I397" s="116"/>
      <c r="L397" s="170">
        <v>45464</v>
      </c>
      <c r="M397" s="116">
        <v>696.7</v>
      </c>
      <c r="N397" s="116">
        <v>704.25</v>
      </c>
      <c r="O397" s="116">
        <v>677.3</v>
      </c>
      <c r="P397" s="116">
        <v>704.25</v>
      </c>
      <c r="Q397" s="116">
        <v>696.7</v>
      </c>
      <c r="R397">
        <v>717321</v>
      </c>
    </row>
    <row r="398" spans="1:18" x14ac:dyDescent="0.25">
      <c r="A398" s="170">
        <v>45467</v>
      </c>
      <c r="B398" s="116">
        <v>695.05</v>
      </c>
      <c r="C398" s="116">
        <v>685.25</v>
      </c>
      <c r="D398" s="116">
        <v>675.1</v>
      </c>
      <c r="E398" s="116">
        <v>682.65</v>
      </c>
      <c r="F398" s="116">
        <v>685.25</v>
      </c>
      <c r="G398">
        <v>13456</v>
      </c>
      <c r="H398" s="116"/>
      <c r="I398" s="116"/>
      <c r="L398" s="170">
        <v>45467</v>
      </c>
      <c r="M398" s="116">
        <v>685.7</v>
      </c>
      <c r="N398" s="116">
        <v>696.25</v>
      </c>
      <c r="O398" s="116">
        <v>675.05</v>
      </c>
      <c r="P398" s="116">
        <v>689.7</v>
      </c>
      <c r="Q398" s="116">
        <v>685.7</v>
      </c>
      <c r="R398">
        <v>298646</v>
      </c>
    </row>
    <row r="399" spans="1:18" x14ac:dyDescent="0.25">
      <c r="A399" s="170">
        <v>45468</v>
      </c>
      <c r="B399" s="116">
        <v>709</v>
      </c>
      <c r="C399" s="116">
        <v>689.55</v>
      </c>
      <c r="D399" s="116">
        <v>682.15</v>
      </c>
      <c r="E399" s="116">
        <v>702.75</v>
      </c>
      <c r="F399" s="116">
        <v>689.55</v>
      </c>
      <c r="G399">
        <v>27532</v>
      </c>
      <c r="H399" s="116"/>
      <c r="I399" s="116"/>
      <c r="L399" s="170">
        <v>45468</v>
      </c>
      <c r="M399" s="116">
        <v>689.35</v>
      </c>
      <c r="N399" s="116">
        <v>709.2</v>
      </c>
      <c r="O399" s="116">
        <v>682.2</v>
      </c>
      <c r="P399" s="116">
        <v>687</v>
      </c>
      <c r="Q399" s="116">
        <v>689.35</v>
      </c>
      <c r="R399">
        <v>550126</v>
      </c>
    </row>
    <row r="400" spans="1:18" x14ac:dyDescent="0.25">
      <c r="A400" s="170">
        <v>45469</v>
      </c>
      <c r="B400" s="116">
        <v>696.5</v>
      </c>
      <c r="C400" s="116">
        <v>691.4</v>
      </c>
      <c r="D400" s="116">
        <v>682.7</v>
      </c>
      <c r="E400" s="116">
        <v>694</v>
      </c>
      <c r="F400" s="116">
        <v>691.4</v>
      </c>
      <c r="G400">
        <v>29220</v>
      </c>
      <c r="H400" s="116"/>
      <c r="I400" s="116"/>
      <c r="L400" s="170">
        <v>45469</v>
      </c>
      <c r="M400" s="116">
        <v>691.65</v>
      </c>
      <c r="N400" s="116">
        <v>697</v>
      </c>
      <c r="O400" s="116">
        <v>682.6</v>
      </c>
      <c r="P400" s="116">
        <v>689.7</v>
      </c>
      <c r="Q400" s="116">
        <v>691.65</v>
      </c>
      <c r="R400">
        <v>226561</v>
      </c>
    </row>
    <row r="401" spans="1:18" x14ac:dyDescent="0.25">
      <c r="A401" s="170">
        <v>45470</v>
      </c>
      <c r="B401" s="116">
        <v>673.7</v>
      </c>
      <c r="C401" s="116">
        <v>657.4</v>
      </c>
      <c r="D401" s="116">
        <v>653.9</v>
      </c>
      <c r="E401" s="116">
        <v>658</v>
      </c>
      <c r="F401" s="116">
        <v>657.4</v>
      </c>
      <c r="G401">
        <v>16326388</v>
      </c>
      <c r="H401" s="116"/>
      <c r="I401" s="116"/>
      <c r="L401" s="170">
        <v>45470</v>
      </c>
      <c r="M401" s="116">
        <v>657.6</v>
      </c>
      <c r="N401" s="116">
        <v>673.2</v>
      </c>
      <c r="O401" s="116">
        <v>654</v>
      </c>
      <c r="P401" s="116">
        <v>667</v>
      </c>
      <c r="Q401" s="116">
        <v>657.6</v>
      </c>
      <c r="R401">
        <v>10056951</v>
      </c>
    </row>
    <row r="402" spans="1:18" x14ac:dyDescent="0.25">
      <c r="A402" s="170">
        <v>45471</v>
      </c>
      <c r="B402" s="116">
        <v>677.35</v>
      </c>
      <c r="C402" s="116">
        <v>668</v>
      </c>
      <c r="D402" s="116">
        <v>660.05</v>
      </c>
      <c r="E402" s="116">
        <v>661.85</v>
      </c>
      <c r="F402" s="116">
        <v>668</v>
      </c>
      <c r="G402">
        <v>373341</v>
      </c>
      <c r="H402" s="116"/>
      <c r="I402" s="116"/>
      <c r="L402" s="170">
        <v>45471</v>
      </c>
      <c r="M402" s="116">
        <v>669</v>
      </c>
      <c r="N402" s="116">
        <v>677</v>
      </c>
      <c r="O402" s="116">
        <v>660</v>
      </c>
      <c r="P402" s="116">
        <v>660.1</v>
      </c>
      <c r="Q402" s="116">
        <v>669</v>
      </c>
      <c r="R402">
        <v>2148265</v>
      </c>
    </row>
    <row r="403" spans="1:18" x14ac:dyDescent="0.25">
      <c r="A403" s="170">
        <v>45474</v>
      </c>
      <c r="B403" s="116">
        <v>685.7</v>
      </c>
      <c r="C403" s="116">
        <v>680.05</v>
      </c>
      <c r="D403" s="116">
        <v>673.95</v>
      </c>
      <c r="E403" s="116">
        <v>675</v>
      </c>
      <c r="F403" s="116">
        <v>680.05</v>
      </c>
      <c r="G403">
        <v>58003</v>
      </c>
      <c r="H403" s="116"/>
      <c r="I403" s="116"/>
      <c r="L403" s="170">
        <v>45474</v>
      </c>
      <c r="M403" s="116">
        <v>680.9</v>
      </c>
      <c r="N403" s="116">
        <v>687</v>
      </c>
      <c r="O403" s="116">
        <v>673.3</v>
      </c>
      <c r="P403" s="116">
        <v>676</v>
      </c>
      <c r="Q403" s="116">
        <v>680.9</v>
      </c>
      <c r="R403">
        <v>1951300</v>
      </c>
    </row>
    <row r="404" spans="1:18" x14ac:dyDescent="0.25">
      <c r="A404" s="170">
        <v>45475</v>
      </c>
      <c r="B404" s="116">
        <v>742</v>
      </c>
      <c r="C404" s="116">
        <v>728.6</v>
      </c>
      <c r="D404" s="116">
        <v>686</v>
      </c>
      <c r="E404" s="116">
        <v>687.55</v>
      </c>
      <c r="F404" s="116">
        <v>728.6</v>
      </c>
      <c r="G404">
        <v>153266</v>
      </c>
      <c r="H404" s="116"/>
      <c r="I404" s="116"/>
      <c r="L404" s="170">
        <v>45475</v>
      </c>
      <c r="M404" s="116">
        <v>728.1</v>
      </c>
      <c r="N404" s="116">
        <v>742</v>
      </c>
      <c r="O404" s="116">
        <v>684.75</v>
      </c>
      <c r="P404" s="116">
        <v>684.8</v>
      </c>
      <c r="Q404" s="116">
        <v>728.1</v>
      </c>
      <c r="R404">
        <v>6333580</v>
      </c>
    </row>
    <row r="405" spans="1:18" x14ac:dyDescent="0.25">
      <c r="A405" s="170">
        <v>45476</v>
      </c>
      <c r="B405" s="116">
        <v>738.85</v>
      </c>
      <c r="C405" s="116">
        <v>727.5</v>
      </c>
      <c r="D405" s="116">
        <v>715.4</v>
      </c>
      <c r="E405" s="116">
        <v>734.8</v>
      </c>
      <c r="F405" s="116">
        <v>727.5</v>
      </c>
      <c r="G405">
        <v>108941</v>
      </c>
      <c r="H405" s="116"/>
      <c r="I405" s="116"/>
      <c r="L405" s="170">
        <v>45476</v>
      </c>
      <c r="M405" s="116">
        <v>727.15</v>
      </c>
      <c r="N405" s="116">
        <v>739.3</v>
      </c>
      <c r="O405" s="116">
        <v>718</v>
      </c>
      <c r="P405" s="116">
        <v>734</v>
      </c>
      <c r="Q405" s="116">
        <v>727.15</v>
      </c>
      <c r="R405">
        <v>1238442</v>
      </c>
    </row>
    <row r="406" spans="1:18" x14ac:dyDescent="0.25">
      <c r="A406" s="170">
        <v>45477</v>
      </c>
      <c r="B406" s="116">
        <v>747.5</v>
      </c>
      <c r="C406" s="116">
        <v>736.05</v>
      </c>
      <c r="D406" s="116">
        <v>723.55</v>
      </c>
      <c r="E406" s="116">
        <v>730</v>
      </c>
      <c r="F406" s="116">
        <v>736.05</v>
      </c>
      <c r="G406">
        <v>83975</v>
      </c>
      <c r="H406" s="116"/>
      <c r="I406" s="116"/>
      <c r="L406" s="170">
        <v>45477</v>
      </c>
      <c r="M406" s="116">
        <v>736.25</v>
      </c>
      <c r="N406" s="116">
        <v>747.55</v>
      </c>
      <c r="O406" s="116">
        <v>723.45</v>
      </c>
      <c r="P406" s="116">
        <v>731</v>
      </c>
      <c r="Q406" s="116">
        <v>736.25</v>
      </c>
      <c r="R406">
        <v>1019342</v>
      </c>
    </row>
    <row r="407" spans="1:18" x14ac:dyDescent="0.25">
      <c r="A407" s="170">
        <v>45478</v>
      </c>
      <c r="B407" s="116">
        <v>759.8</v>
      </c>
      <c r="C407" s="116">
        <v>747.1</v>
      </c>
      <c r="D407" s="116">
        <v>732</v>
      </c>
      <c r="E407" s="116">
        <v>736.05</v>
      </c>
      <c r="F407" s="116">
        <v>747.1</v>
      </c>
      <c r="G407">
        <v>47934</v>
      </c>
      <c r="H407" s="116"/>
      <c r="I407" s="116"/>
      <c r="L407" s="170">
        <v>45478</v>
      </c>
      <c r="M407" s="116">
        <v>747.05</v>
      </c>
      <c r="N407" s="116">
        <v>759.9</v>
      </c>
      <c r="O407" s="116">
        <v>730.5</v>
      </c>
      <c r="P407" s="116">
        <v>735.5</v>
      </c>
      <c r="Q407" s="116">
        <v>747.05</v>
      </c>
      <c r="R407">
        <v>1344732</v>
      </c>
    </row>
    <row r="408" spans="1:18" x14ac:dyDescent="0.25">
      <c r="A408" s="170">
        <v>45481</v>
      </c>
      <c r="B408" s="116">
        <v>756.45</v>
      </c>
      <c r="C408" s="116">
        <v>723.4</v>
      </c>
      <c r="D408" s="116">
        <v>721</v>
      </c>
      <c r="E408" s="116">
        <v>756.45</v>
      </c>
      <c r="F408" s="116">
        <v>723.4</v>
      </c>
      <c r="G408">
        <v>67486</v>
      </c>
      <c r="H408" s="116"/>
      <c r="I408" s="116"/>
      <c r="L408" s="170">
        <v>45481</v>
      </c>
      <c r="M408" s="116">
        <v>723.65</v>
      </c>
      <c r="N408" s="116">
        <v>749.8</v>
      </c>
      <c r="O408" s="116">
        <v>721.25</v>
      </c>
      <c r="P408" s="116">
        <v>747.05</v>
      </c>
      <c r="Q408" s="116">
        <v>723.65</v>
      </c>
      <c r="R408">
        <v>875446</v>
      </c>
    </row>
    <row r="409" spans="1:18" x14ac:dyDescent="0.25">
      <c r="A409" s="170">
        <v>45482</v>
      </c>
      <c r="B409" s="116">
        <v>730</v>
      </c>
      <c r="C409" s="116">
        <v>719.05</v>
      </c>
      <c r="D409" s="116">
        <v>711</v>
      </c>
      <c r="E409" s="116">
        <v>730</v>
      </c>
      <c r="F409" s="116">
        <v>719.05</v>
      </c>
      <c r="G409">
        <v>20711</v>
      </c>
      <c r="H409" s="116"/>
      <c r="I409" s="116"/>
      <c r="L409" s="170">
        <v>45482</v>
      </c>
      <c r="M409" s="116">
        <v>719.45</v>
      </c>
      <c r="N409" s="116">
        <v>730.25</v>
      </c>
      <c r="O409" s="116">
        <v>710.6</v>
      </c>
      <c r="P409" s="116">
        <v>725.7</v>
      </c>
      <c r="Q409" s="116">
        <v>719.45</v>
      </c>
      <c r="R409">
        <v>603690</v>
      </c>
    </row>
    <row r="410" spans="1:18" x14ac:dyDescent="0.25">
      <c r="A410" s="170">
        <v>45483</v>
      </c>
      <c r="B410" s="116">
        <v>725</v>
      </c>
      <c r="C410" s="116">
        <v>717.95</v>
      </c>
      <c r="D410" s="116">
        <v>694.45</v>
      </c>
      <c r="E410" s="116">
        <v>719.05</v>
      </c>
      <c r="F410" s="116">
        <v>717.95</v>
      </c>
      <c r="G410">
        <v>22123</v>
      </c>
      <c r="H410" s="116"/>
      <c r="I410" s="116"/>
      <c r="L410" s="170">
        <v>45483</v>
      </c>
      <c r="M410" s="116">
        <v>719.25</v>
      </c>
      <c r="N410" s="116">
        <v>725.1</v>
      </c>
      <c r="O410" s="116">
        <v>695</v>
      </c>
      <c r="P410" s="116">
        <v>721</v>
      </c>
      <c r="Q410" s="116">
        <v>719.25</v>
      </c>
      <c r="R410">
        <v>709568</v>
      </c>
    </row>
    <row r="411" spans="1:18" x14ac:dyDescent="0.25">
      <c r="A411" s="170">
        <v>45484</v>
      </c>
      <c r="B411" s="116">
        <v>739.95</v>
      </c>
      <c r="C411" s="116">
        <v>717.05</v>
      </c>
      <c r="D411" s="116">
        <v>715</v>
      </c>
      <c r="E411" s="116">
        <v>715</v>
      </c>
      <c r="F411" s="116">
        <v>717.05</v>
      </c>
      <c r="G411">
        <v>12089</v>
      </c>
      <c r="H411" s="116"/>
      <c r="I411" s="116"/>
      <c r="L411" s="170">
        <v>45484</v>
      </c>
      <c r="M411" s="116">
        <v>717.1</v>
      </c>
      <c r="N411" s="116">
        <v>739.95</v>
      </c>
      <c r="O411" s="116">
        <v>713.35</v>
      </c>
      <c r="P411" s="116">
        <v>722</v>
      </c>
      <c r="Q411" s="116">
        <v>717.1</v>
      </c>
      <c r="R411">
        <v>354363</v>
      </c>
    </row>
    <row r="412" spans="1:18" x14ac:dyDescent="0.25">
      <c r="A412" s="170">
        <v>45485</v>
      </c>
      <c r="B412" s="116">
        <v>724.45</v>
      </c>
      <c r="C412" s="116">
        <v>711.6</v>
      </c>
      <c r="D412" s="116">
        <v>707.9</v>
      </c>
      <c r="E412" s="116">
        <v>715</v>
      </c>
      <c r="F412" s="116">
        <v>711.6</v>
      </c>
      <c r="G412">
        <v>9705</v>
      </c>
      <c r="H412" s="116"/>
      <c r="I412" s="116"/>
      <c r="L412" s="170">
        <v>45485</v>
      </c>
      <c r="M412" s="116">
        <v>712.3</v>
      </c>
      <c r="N412" s="116">
        <v>724.95</v>
      </c>
      <c r="O412" s="116">
        <v>708</v>
      </c>
      <c r="P412" s="116">
        <v>719</v>
      </c>
      <c r="Q412" s="116">
        <v>712.3</v>
      </c>
      <c r="R412">
        <v>275007</v>
      </c>
    </row>
    <row r="413" spans="1:18" x14ac:dyDescent="0.25">
      <c r="A413" s="170">
        <v>45488</v>
      </c>
      <c r="B413" s="116">
        <v>714</v>
      </c>
      <c r="C413" s="116">
        <v>703.5</v>
      </c>
      <c r="D413" s="116">
        <v>692</v>
      </c>
      <c r="E413" s="116">
        <v>710</v>
      </c>
      <c r="F413" s="116">
        <v>703.5</v>
      </c>
      <c r="G413">
        <v>26580</v>
      </c>
      <c r="H413" s="116"/>
      <c r="I413" s="116"/>
      <c r="L413" s="170">
        <v>45488</v>
      </c>
      <c r="M413" s="116">
        <v>703.2</v>
      </c>
      <c r="N413" s="116">
        <v>714.7</v>
      </c>
      <c r="O413" s="116">
        <v>691.85</v>
      </c>
      <c r="P413" s="116">
        <v>714.7</v>
      </c>
      <c r="Q413" s="116">
        <v>703.2</v>
      </c>
      <c r="R413">
        <v>504221</v>
      </c>
    </row>
    <row r="414" spans="1:18" x14ac:dyDescent="0.25">
      <c r="A414" s="170">
        <v>45489</v>
      </c>
      <c r="B414" s="116">
        <v>710</v>
      </c>
      <c r="C414" s="116">
        <v>701.2</v>
      </c>
      <c r="D414" s="116">
        <v>695.55</v>
      </c>
      <c r="E414" s="116">
        <v>698.15</v>
      </c>
      <c r="F414" s="116">
        <v>701.2</v>
      </c>
      <c r="G414">
        <v>47139</v>
      </c>
      <c r="H414" s="116"/>
      <c r="I414" s="116"/>
      <c r="L414" s="170">
        <v>45489</v>
      </c>
      <c r="M414" s="116">
        <v>702.3</v>
      </c>
      <c r="N414" s="116">
        <v>710</v>
      </c>
      <c r="O414" s="116">
        <v>696.5</v>
      </c>
      <c r="P414" s="116">
        <v>704.7</v>
      </c>
      <c r="Q414" s="116">
        <v>702.3</v>
      </c>
      <c r="R414">
        <v>499177</v>
      </c>
    </row>
    <row r="415" spans="1:18" x14ac:dyDescent="0.25">
      <c r="A415" s="170">
        <v>45491</v>
      </c>
      <c r="B415" s="116">
        <v>707.95</v>
      </c>
      <c r="C415" s="116">
        <v>700.65</v>
      </c>
      <c r="D415" s="116">
        <v>688.25</v>
      </c>
      <c r="E415" s="116">
        <v>701.35</v>
      </c>
      <c r="F415" s="116">
        <v>700.65</v>
      </c>
      <c r="G415">
        <v>20799</v>
      </c>
      <c r="H415" s="116"/>
      <c r="I415" s="116"/>
      <c r="L415" s="170">
        <v>45491</v>
      </c>
      <c r="M415" s="116">
        <v>701.15</v>
      </c>
      <c r="N415" s="116">
        <v>708</v>
      </c>
      <c r="O415" s="116">
        <v>688.5</v>
      </c>
      <c r="P415" s="116">
        <v>702</v>
      </c>
      <c r="Q415" s="116">
        <v>701.15</v>
      </c>
      <c r="R415">
        <v>340821</v>
      </c>
    </row>
    <row r="416" spans="1:18" x14ac:dyDescent="0.25">
      <c r="A416" s="170">
        <v>45492</v>
      </c>
      <c r="B416" s="116">
        <v>703.1</v>
      </c>
      <c r="C416" s="116">
        <v>684.4</v>
      </c>
      <c r="D416" s="116">
        <v>680.55</v>
      </c>
      <c r="E416" s="116">
        <v>695</v>
      </c>
      <c r="F416" s="116">
        <v>684.4</v>
      </c>
      <c r="G416">
        <v>27297</v>
      </c>
      <c r="H416" s="116"/>
      <c r="I416" s="116"/>
      <c r="L416" s="170">
        <v>45492</v>
      </c>
      <c r="M416" s="116">
        <v>684.3</v>
      </c>
      <c r="N416" s="116">
        <v>703.8</v>
      </c>
      <c r="O416" s="116">
        <v>680.5</v>
      </c>
      <c r="P416" s="116">
        <v>700</v>
      </c>
      <c r="Q416" s="116">
        <v>684.3</v>
      </c>
      <c r="R416">
        <v>397698</v>
      </c>
    </row>
    <row r="417" spans="1:18" x14ac:dyDescent="0.25">
      <c r="A417" s="170">
        <v>45495</v>
      </c>
      <c r="B417" s="116">
        <v>712.9</v>
      </c>
      <c r="C417" s="116">
        <v>709.1</v>
      </c>
      <c r="D417" s="116">
        <v>671.25</v>
      </c>
      <c r="E417" s="116">
        <v>671.25</v>
      </c>
      <c r="F417" s="116">
        <v>709.1</v>
      </c>
      <c r="G417">
        <v>64201</v>
      </c>
      <c r="H417" s="116"/>
      <c r="I417" s="116"/>
      <c r="L417" s="170">
        <v>45495</v>
      </c>
      <c r="M417" s="116">
        <v>709.95</v>
      </c>
      <c r="N417" s="116">
        <v>712.9</v>
      </c>
      <c r="O417" s="116">
        <v>674</v>
      </c>
      <c r="P417" s="116">
        <v>678</v>
      </c>
      <c r="Q417" s="116">
        <v>709.95</v>
      </c>
      <c r="R417">
        <v>597864</v>
      </c>
    </row>
    <row r="418" spans="1:18" x14ac:dyDescent="0.25">
      <c r="A418" s="170">
        <v>45496</v>
      </c>
      <c r="B418" s="116">
        <v>715</v>
      </c>
      <c r="C418" s="116">
        <v>701</v>
      </c>
      <c r="D418" s="116">
        <v>665.25</v>
      </c>
      <c r="E418" s="116">
        <v>715</v>
      </c>
      <c r="F418" s="116">
        <v>701</v>
      </c>
      <c r="G418">
        <v>31202</v>
      </c>
      <c r="H418" s="116"/>
      <c r="I418" s="116"/>
      <c r="L418" s="170">
        <v>45496</v>
      </c>
      <c r="M418" s="116">
        <v>699.6</v>
      </c>
      <c r="N418" s="116">
        <v>712.7</v>
      </c>
      <c r="O418" s="116">
        <v>660.05</v>
      </c>
      <c r="P418" s="116">
        <v>712.7</v>
      </c>
      <c r="Q418" s="116">
        <v>699.6</v>
      </c>
      <c r="R418">
        <v>590934</v>
      </c>
    </row>
    <row r="419" spans="1:18" x14ac:dyDescent="0.25">
      <c r="A419" s="170">
        <v>45497</v>
      </c>
      <c r="B419" s="116">
        <v>747.55</v>
      </c>
      <c r="C419" s="116">
        <v>741.15</v>
      </c>
      <c r="D419" s="116">
        <v>690</v>
      </c>
      <c r="E419" s="116">
        <v>690</v>
      </c>
      <c r="F419" s="116">
        <v>741.15</v>
      </c>
      <c r="G419">
        <v>83507</v>
      </c>
      <c r="H419" s="116"/>
      <c r="I419" s="116"/>
      <c r="L419" s="170">
        <v>45497</v>
      </c>
      <c r="M419" s="116">
        <v>741.55</v>
      </c>
      <c r="N419" s="116">
        <v>747.4</v>
      </c>
      <c r="O419" s="116">
        <v>691.5</v>
      </c>
      <c r="P419" s="116">
        <v>691.5</v>
      </c>
      <c r="Q419" s="116">
        <v>741.55</v>
      </c>
      <c r="R419">
        <v>972433</v>
      </c>
    </row>
    <row r="420" spans="1:18" x14ac:dyDescent="0.25">
      <c r="A420" s="170">
        <v>45498</v>
      </c>
      <c r="B420" s="116">
        <v>736.75</v>
      </c>
      <c r="C420" s="116">
        <v>723.75</v>
      </c>
      <c r="D420" s="116">
        <v>719</v>
      </c>
      <c r="E420" s="116">
        <v>733.8</v>
      </c>
      <c r="F420" s="116">
        <v>723.75</v>
      </c>
      <c r="G420">
        <v>26371</v>
      </c>
      <c r="H420" s="116"/>
      <c r="I420" s="116"/>
      <c r="L420" s="170">
        <v>45498</v>
      </c>
      <c r="M420" s="116">
        <v>724.6</v>
      </c>
      <c r="N420" s="116">
        <v>738</v>
      </c>
      <c r="O420" s="116">
        <v>718.75</v>
      </c>
      <c r="P420" s="116">
        <v>728.85</v>
      </c>
      <c r="Q420" s="116">
        <v>724.6</v>
      </c>
      <c r="R420">
        <v>414098</v>
      </c>
    </row>
    <row r="421" spans="1:18" x14ac:dyDescent="0.25">
      <c r="A421" s="170">
        <v>45499</v>
      </c>
      <c r="B421" s="116">
        <v>736</v>
      </c>
      <c r="C421" s="116">
        <v>733.45</v>
      </c>
      <c r="D421" s="116">
        <v>720</v>
      </c>
      <c r="E421" s="116">
        <v>720</v>
      </c>
      <c r="F421" s="116">
        <v>733.45</v>
      </c>
      <c r="G421">
        <v>11617</v>
      </c>
      <c r="H421" s="116"/>
      <c r="I421" s="116"/>
      <c r="L421" s="170">
        <v>45499</v>
      </c>
      <c r="M421" s="116">
        <v>732.75</v>
      </c>
      <c r="N421" s="116">
        <v>737</v>
      </c>
      <c r="O421" s="116">
        <v>720.1</v>
      </c>
      <c r="P421" s="116">
        <v>726.75</v>
      </c>
      <c r="Q421" s="116">
        <v>732.75</v>
      </c>
      <c r="R421">
        <v>295992</v>
      </c>
    </row>
    <row r="422" spans="1:18" x14ac:dyDescent="0.25">
      <c r="A422" s="170">
        <v>45502</v>
      </c>
      <c r="B422" s="116">
        <v>786.85</v>
      </c>
      <c r="C422" s="116">
        <v>774.9</v>
      </c>
      <c r="D422" s="116">
        <v>721.05</v>
      </c>
      <c r="E422" s="116">
        <v>721.05</v>
      </c>
      <c r="F422" s="116">
        <v>774.9</v>
      </c>
      <c r="G422">
        <v>140700</v>
      </c>
      <c r="H422" s="116"/>
      <c r="I422" s="116"/>
      <c r="L422" s="170">
        <v>45502</v>
      </c>
      <c r="M422" s="116">
        <v>773.8</v>
      </c>
      <c r="N422" s="116">
        <v>787</v>
      </c>
      <c r="O422" s="116">
        <v>732.75</v>
      </c>
      <c r="P422" s="116">
        <v>735</v>
      </c>
      <c r="Q422" s="116">
        <v>773.8</v>
      </c>
      <c r="R422">
        <v>2267594</v>
      </c>
    </row>
    <row r="423" spans="1:18" x14ac:dyDescent="0.25">
      <c r="A423" s="170">
        <v>45503</v>
      </c>
      <c r="B423" s="116">
        <v>779.45</v>
      </c>
      <c r="C423" s="116">
        <v>761.7</v>
      </c>
      <c r="D423" s="116">
        <v>754.45</v>
      </c>
      <c r="E423" s="116">
        <v>770.05</v>
      </c>
      <c r="F423" s="116">
        <v>761.7</v>
      </c>
      <c r="G423">
        <v>56169</v>
      </c>
      <c r="H423" s="116"/>
      <c r="I423" s="116"/>
      <c r="L423" s="170">
        <v>45503</v>
      </c>
      <c r="M423" s="116">
        <v>761</v>
      </c>
      <c r="N423" s="116">
        <v>779.6</v>
      </c>
      <c r="O423" s="116">
        <v>754.95</v>
      </c>
      <c r="P423" s="116">
        <v>771</v>
      </c>
      <c r="Q423" s="116">
        <v>761</v>
      </c>
      <c r="R423">
        <v>505755</v>
      </c>
    </row>
    <row r="424" spans="1:18" x14ac:dyDescent="0.25">
      <c r="A424" s="170">
        <v>45504</v>
      </c>
      <c r="B424" s="116">
        <v>779.45</v>
      </c>
      <c r="C424" s="116">
        <v>772.35</v>
      </c>
      <c r="D424" s="116">
        <v>760</v>
      </c>
      <c r="E424" s="116">
        <v>767.95</v>
      </c>
      <c r="F424" s="116">
        <v>772.35</v>
      </c>
      <c r="G424">
        <v>33493</v>
      </c>
      <c r="H424" s="116"/>
      <c r="I424" s="116"/>
      <c r="L424" s="170">
        <v>45504</v>
      </c>
      <c r="M424" s="116">
        <v>771.65</v>
      </c>
      <c r="N424" s="116">
        <v>779.7</v>
      </c>
      <c r="O424" s="116">
        <v>760</v>
      </c>
      <c r="P424" s="116">
        <v>764.4</v>
      </c>
      <c r="Q424" s="116">
        <v>771.65</v>
      </c>
      <c r="R424">
        <v>423966</v>
      </c>
    </row>
    <row r="425" spans="1:18" x14ac:dyDescent="0.25">
      <c r="A425" s="170">
        <v>45505</v>
      </c>
      <c r="B425" s="116">
        <v>806.5</v>
      </c>
      <c r="C425" s="116">
        <v>783.7</v>
      </c>
      <c r="D425" s="116">
        <v>776</v>
      </c>
      <c r="E425" s="116">
        <v>776</v>
      </c>
      <c r="F425" s="116">
        <v>783.7</v>
      </c>
      <c r="G425">
        <v>118165</v>
      </c>
      <c r="H425" s="116"/>
      <c r="I425" s="116"/>
      <c r="L425" s="170">
        <v>45505</v>
      </c>
      <c r="M425" s="116">
        <v>785.95</v>
      </c>
      <c r="N425" s="116">
        <v>806.9</v>
      </c>
      <c r="O425" s="116">
        <v>776</v>
      </c>
      <c r="P425" s="116">
        <v>776</v>
      </c>
      <c r="Q425" s="116">
        <v>785.95</v>
      </c>
      <c r="R425">
        <v>1517628</v>
      </c>
    </row>
    <row r="426" spans="1:18" x14ac:dyDescent="0.25">
      <c r="A426" s="170">
        <v>45506</v>
      </c>
      <c r="B426" s="116">
        <v>798.9</v>
      </c>
      <c r="C426" s="116">
        <v>767.9</v>
      </c>
      <c r="D426" s="116">
        <v>762.9</v>
      </c>
      <c r="E426" s="116">
        <v>783.55</v>
      </c>
      <c r="F426" s="116">
        <v>767.9</v>
      </c>
      <c r="G426">
        <v>43733</v>
      </c>
      <c r="H426" s="116"/>
      <c r="I426" s="116"/>
      <c r="L426" s="170">
        <v>45506</v>
      </c>
      <c r="M426" s="116">
        <v>771.45</v>
      </c>
      <c r="N426" s="116">
        <v>799</v>
      </c>
      <c r="O426" s="116">
        <v>762.4</v>
      </c>
      <c r="P426" s="116">
        <v>780.95</v>
      </c>
      <c r="Q426" s="116">
        <v>771.45</v>
      </c>
      <c r="R426">
        <v>569218</v>
      </c>
    </row>
    <row r="427" spans="1:18" x14ac:dyDescent="0.25">
      <c r="A427" s="170">
        <v>45509</v>
      </c>
      <c r="B427" s="116">
        <v>753.65</v>
      </c>
      <c r="C427" s="116">
        <v>743.25</v>
      </c>
      <c r="D427" s="116">
        <v>675</v>
      </c>
      <c r="E427" s="116">
        <v>681</v>
      </c>
      <c r="F427" s="116">
        <v>743.25</v>
      </c>
      <c r="G427">
        <v>125647</v>
      </c>
      <c r="H427" s="116"/>
      <c r="I427" s="116"/>
      <c r="L427" s="170">
        <v>45509</v>
      </c>
      <c r="M427" s="116">
        <v>741.75</v>
      </c>
      <c r="N427" s="116">
        <v>753.3</v>
      </c>
      <c r="O427" s="116">
        <v>674.85</v>
      </c>
      <c r="P427" s="116">
        <v>682.35</v>
      </c>
      <c r="Q427" s="116">
        <v>741.75</v>
      </c>
      <c r="R427">
        <v>3252863</v>
      </c>
    </row>
    <row r="428" spans="1:18" x14ac:dyDescent="0.25">
      <c r="A428" s="170">
        <v>45510</v>
      </c>
      <c r="B428" s="116">
        <v>750.5</v>
      </c>
      <c r="C428" s="116">
        <v>708.6</v>
      </c>
      <c r="D428" s="116">
        <v>702.85</v>
      </c>
      <c r="E428" s="116">
        <v>740.1</v>
      </c>
      <c r="F428" s="116">
        <v>708.6</v>
      </c>
      <c r="G428">
        <v>68054</v>
      </c>
      <c r="H428" s="116"/>
      <c r="I428" s="116"/>
      <c r="L428" s="170">
        <v>45510</v>
      </c>
      <c r="M428" s="116">
        <v>709.15</v>
      </c>
      <c r="N428" s="116">
        <v>749.9</v>
      </c>
      <c r="O428" s="116">
        <v>702.3</v>
      </c>
      <c r="P428" s="116">
        <v>742</v>
      </c>
      <c r="Q428" s="116">
        <v>709.15</v>
      </c>
      <c r="R428">
        <v>721047</v>
      </c>
    </row>
    <row r="429" spans="1:18" x14ac:dyDescent="0.25">
      <c r="A429" s="170">
        <v>45511</v>
      </c>
      <c r="B429" s="116">
        <v>719.65</v>
      </c>
      <c r="C429" s="116">
        <v>680.15</v>
      </c>
      <c r="D429" s="116">
        <v>677.4</v>
      </c>
      <c r="E429" s="116">
        <v>710.1</v>
      </c>
      <c r="F429" s="116">
        <v>680.15</v>
      </c>
      <c r="G429">
        <v>165313</v>
      </c>
      <c r="H429" s="116"/>
      <c r="I429" s="116"/>
      <c r="L429" s="170">
        <v>45511</v>
      </c>
      <c r="M429" s="116">
        <v>680.35</v>
      </c>
      <c r="N429" s="116">
        <v>720.65</v>
      </c>
      <c r="O429" s="116">
        <v>677.3</v>
      </c>
      <c r="P429" s="116">
        <v>713.45</v>
      </c>
      <c r="Q429" s="116">
        <v>680.35</v>
      </c>
      <c r="R429">
        <v>1140008</v>
      </c>
    </row>
    <row r="430" spans="1:18" x14ac:dyDescent="0.25">
      <c r="A430" s="170">
        <v>45512</v>
      </c>
      <c r="B430" s="116">
        <v>688.55</v>
      </c>
      <c r="C430" s="116">
        <v>680.15</v>
      </c>
      <c r="D430" s="116">
        <v>674.4</v>
      </c>
      <c r="E430" s="116">
        <v>679.6</v>
      </c>
      <c r="F430" s="116">
        <v>680.15</v>
      </c>
      <c r="G430">
        <v>74529</v>
      </c>
      <c r="H430" s="116"/>
      <c r="I430" s="116"/>
      <c r="L430" s="170">
        <v>45512</v>
      </c>
      <c r="M430" s="116">
        <v>680.15</v>
      </c>
      <c r="N430" s="116">
        <v>689.4</v>
      </c>
      <c r="O430" s="116">
        <v>674</v>
      </c>
      <c r="P430" s="116">
        <v>680.35</v>
      </c>
      <c r="Q430" s="116">
        <v>680.15</v>
      </c>
      <c r="R430">
        <v>651654</v>
      </c>
    </row>
    <row r="431" spans="1:18" x14ac:dyDescent="0.25">
      <c r="A431" s="170">
        <v>45513</v>
      </c>
      <c r="B431" s="116">
        <v>718.45</v>
      </c>
      <c r="C431" s="116">
        <v>709.65</v>
      </c>
      <c r="D431" s="116">
        <v>684.9</v>
      </c>
      <c r="E431" s="116">
        <v>685</v>
      </c>
      <c r="F431" s="116">
        <v>709.65</v>
      </c>
      <c r="G431">
        <v>71742</v>
      </c>
      <c r="H431" s="116"/>
      <c r="I431" s="116"/>
      <c r="L431" s="170">
        <v>45513</v>
      </c>
      <c r="M431" s="116">
        <v>712.05</v>
      </c>
      <c r="N431" s="116">
        <v>718</v>
      </c>
      <c r="O431" s="116">
        <v>684</v>
      </c>
      <c r="P431" s="116">
        <v>684</v>
      </c>
      <c r="Q431" s="116">
        <v>712.05</v>
      </c>
      <c r="R431">
        <v>1627821</v>
      </c>
    </row>
    <row r="432" spans="1:18" x14ac:dyDescent="0.25">
      <c r="A432" s="170">
        <v>45516</v>
      </c>
      <c r="B432" s="116">
        <v>740</v>
      </c>
      <c r="C432" s="116">
        <v>736.5</v>
      </c>
      <c r="D432" s="116">
        <v>709.65</v>
      </c>
      <c r="E432" s="116">
        <v>710.15</v>
      </c>
      <c r="F432" s="116">
        <v>736.5</v>
      </c>
      <c r="G432">
        <v>36180</v>
      </c>
      <c r="H432" s="116"/>
      <c r="I432" s="116"/>
      <c r="L432" s="170">
        <v>45516</v>
      </c>
      <c r="M432" s="116">
        <v>735.1</v>
      </c>
      <c r="N432" s="116">
        <v>739.9</v>
      </c>
      <c r="O432" s="116">
        <v>710.1</v>
      </c>
      <c r="P432" s="116">
        <v>713.95</v>
      </c>
      <c r="Q432" s="116">
        <v>735.1</v>
      </c>
      <c r="R432">
        <v>866783</v>
      </c>
    </row>
    <row r="433" spans="1:18" x14ac:dyDescent="0.25">
      <c r="A433" s="170">
        <v>45517</v>
      </c>
      <c r="B433" s="116">
        <v>741.25</v>
      </c>
      <c r="C433" s="116">
        <v>708.15</v>
      </c>
      <c r="D433" s="116">
        <v>704.4</v>
      </c>
      <c r="E433" s="116">
        <v>738.95</v>
      </c>
      <c r="F433" s="116">
        <v>708.15</v>
      </c>
      <c r="G433">
        <v>50432</v>
      </c>
      <c r="H433" s="116"/>
      <c r="I433" s="116"/>
      <c r="L433" s="170">
        <v>45517</v>
      </c>
      <c r="M433" s="116">
        <v>709.95</v>
      </c>
      <c r="N433" s="116">
        <v>739.9</v>
      </c>
      <c r="O433" s="116">
        <v>705</v>
      </c>
      <c r="P433" s="116">
        <v>739.9</v>
      </c>
      <c r="Q433" s="116">
        <v>709.95</v>
      </c>
      <c r="R433">
        <v>523481</v>
      </c>
    </row>
    <row r="434" spans="1:18" x14ac:dyDescent="0.25">
      <c r="A434" s="170">
        <v>45518</v>
      </c>
      <c r="B434" s="116">
        <v>718.75</v>
      </c>
      <c r="C434" s="116">
        <v>715.85</v>
      </c>
      <c r="D434" s="116">
        <v>695.8</v>
      </c>
      <c r="E434" s="116">
        <v>717.4</v>
      </c>
      <c r="F434" s="116">
        <v>715.85</v>
      </c>
      <c r="G434">
        <v>22141</v>
      </c>
      <c r="H434" s="116"/>
      <c r="I434" s="116"/>
      <c r="L434" s="170">
        <v>45518</v>
      </c>
      <c r="M434" s="116">
        <v>716.5</v>
      </c>
      <c r="N434" s="116">
        <v>720</v>
      </c>
      <c r="O434" s="116">
        <v>695.9</v>
      </c>
      <c r="P434" s="116">
        <v>713.9</v>
      </c>
      <c r="Q434" s="116">
        <v>716.5</v>
      </c>
      <c r="R434">
        <v>345094</v>
      </c>
    </row>
    <row r="435" spans="1:18" x14ac:dyDescent="0.25">
      <c r="A435" s="170">
        <v>45520</v>
      </c>
      <c r="B435" s="116">
        <v>755</v>
      </c>
      <c r="C435" s="116">
        <v>751.85</v>
      </c>
      <c r="D435" s="116">
        <v>715</v>
      </c>
      <c r="E435" s="116">
        <v>715</v>
      </c>
      <c r="F435" s="116">
        <v>751.85</v>
      </c>
      <c r="G435">
        <v>19283</v>
      </c>
      <c r="H435" s="116"/>
      <c r="I435" s="116"/>
      <c r="L435" s="170">
        <v>45520</v>
      </c>
      <c r="M435" s="116">
        <v>749.75</v>
      </c>
      <c r="N435" s="116">
        <v>755</v>
      </c>
      <c r="O435" s="116">
        <v>720</v>
      </c>
      <c r="P435" s="116">
        <v>720</v>
      </c>
      <c r="Q435" s="116">
        <v>749.75</v>
      </c>
      <c r="R435">
        <v>681984</v>
      </c>
    </row>
    <row r="436" spans="1:18" x14ac:dyDescent="0.25">
      <c r="A436" s="170">
        <v>45523</v>
      </c>
      <c r="B436" s="116">
        <v>769</v>
      </c>
      <c r="C436" s="116">
        <v>766.1</v>
      </c>
      <c r="D436" s="116">
        <v>747.1</v>
      </c>
      <c r="E436" s="116">
        <v>756.1</v>
      </c>
      <c r="F436" s="116">
        <v>766.1</v>
      </c>
      <c r="G436">
        <v>46616</v>
      </c>
      <c r="H436" s="116"/>
      <c r="I436" s="116"/>
      <c r="L436" s="170">
        <v>45523</v>
      </c>
      <c r="M436" s="116">
        <v>766.8</v>
      </c>
      <c r="N436" s="116">
        <v>769.5</v>
      </c>
      <c r="O436" s="116">
        <v>747.45</v>
      </c>
      <c r="P436" s="116">
        <v>750.4</v>
      </c>
      <c r="Q436" s="116">
        <v>766.8</v>
      </c>
      <c r="R436">
        <v>510934</v>
      </c>
    </row>
    <row r="437" spans="1:18" x14ac:dyDescent="0.25">
      <c r="A437" s="170">
        <v>45524</v>
      </c>
      <c r="B437" s="116">
        <v>792.1</v>
      </c>
      <c r="C437" s="116">
        <v>775.65</v>
      </c>
      <c r="D437" s="116">
        <v>762.55</v>
      </c>
      <c r="E437" s="116">
        <v>769</v>
      </c>
      <c r="F437" s="116">
        <v>775.65</v>
      </c>
      <c r="G437">
        <v>43279</v>
      </c>
      <c r="H437" s="116"/>
      <c r="I437" s="116"/>
      <c r="L437" s="170">
        <v>45524</v>
      </c>
      <c r="M437" s="116">
        <v>775.8</v>
      </c>
      <c r="N437" s="116">
        <v>792.95</v>
      </c>
      <c r="O437" s="116">
        <v>763</v>
      </c>
      <c r="P437" s="116">
        <v>764.5</v>
      </c>
      <c r="Q437" s="116">
        <v>775.8</v>
      </c>
      <c r="R437">
        <v>931330</v>
      </c>
    </row>
    <row r="438" spans="1:18" x14ac:dyDescent="0.25">
      <c r="A438" s="170">
        <v>45525</v>
      </c>
      <c r="B438" s="116">
        <v>783.75</v>
      </c>
      <c r="C438" s="116">
        <v>762.95</v>
      </c>
      <c r="D438" s="116">
        <v>760</v>
      </c>
      <c r="E438" s="116">
        <v>783.75</v>
      </c>
      <c r="F438" s="116">
        <v>762.95</v>
      </c>
      <c r="G438">
        <v>9193</v>
      </c>
      <c r="H438" s="116"/>
      <c r="I438" s="116"/>
      <c r="L438" s="170">
        <v>45525</v>
      </c>
      <c r="M438" s="116">
        <v>762.45</v>
      </c>
      <c r="N438" s="116">
        <v>779.9</v>
      </c>
      <c r="O438" s="116">
        <v>760.15</v>
      </c>
      <c r="P438" s="116">
        <v>776</v>
      </c>
      <c r="Q438" s="116">
        <v>762.45</v>
      </c>
      <c r="R438">
        <v>243581</v>
      </c>
    </row>
    <row r="439" spans="1:18" x14ac:dyDescent="0.25">
      <c r="A439" s="170">
        <v>45526</v>
      </c>
      <c r="B439" s="116">
        <v>831</v>
      </c>
      <c r="C439" s="116">
        <v>821.3</v>
      </c>
      <c r="D439" s="116">
        <v>760</v>
      </c>
      <c r="E439" s="116">
        <v>760</v>
      </c>
      <c r="F439" s="116">
        <v>821.3</v>
      </c>
      <c r="G439">
        <v>117920</v>
      </c>
      <c r="H439" s="116"/>
      <c r="I439" s="116"/>
      <c r="L439" s="170">
        <v>45526</v>
      </c>
      <c r="M439" s="116">
        <v>821</v>
      </c>
      <c r="N439" s="116">
        <v>832</v>
      </c>
      <c r="O439" s="116">
        <v>765</v>
      </c>
      <c r="P439" s="116">
        <v>765</v>
      </c>
      <c r="Q439" s="116">
        <v>821</v>
      </c>
      <c r="R439">
        <v>2182079</v>
      </c>
    </row>
    <row r="440" spans="1:18" x14ac:dyDescent="0.25">
      <c r="A440" s="170">
        <v>45527</v>
      </c>
      <c r="B440" s="116">
        <v>819.1</v>
      </c>
      <c r="C440" s="116">
        <v>802.75</v>
      </c>
      <c r="D440" s="116">
        <v>797.15</v>
      </c>
      <c r="E440" s="116">
        <v>819.1</v>
      </c>
      <c r="F440" s="116">
        <v>802.75</v>
      </c>
      <c r="G440">
        <v>51845</v>
      </c>
      <c r="H440" s="116"/>
      <c r="I440" s="116"/>
      <c r="L440" s="170">
        <v>45527</v>
      </c>
      <c r="M440" s="116">
        <v>801.2</v>
      </c>
      <c r="N440" s="116">
        <v>819</v>
      </c>
      <c r="O440" s="116">
        <v>797.05</v>
      </c>
      <c r="P440" s="116">
        <v>815</v>
      </c>
      <c r="Q440" s="116">
        <v>801.2</v>
      </c>
      <c r="R440">
        <v>437794</v>
      </c>
    </row>
    <row r="441" spans="1:18" x14ac:dyDescent="0.25">
      <c r="A441" s="170">
        <v>45530</v>
      </c>
      <c r="B441" s="116">
        <v>814</v>
      </c>
      <c r="C441" s="116">
        <v>790.25</v>
      </c>
      <c r="D441" s="116">
        <v>788.75</v>
      </c>
      <c r="E441" s="116">
        <v>810</v>
      </c>
      <c r="F441" s="116">
        <v>790.25</v>
      </c>
      <c r="G441">
        <v>44133</v>
      </c>
      <c r="H441" s="116"/>
      <c r="I441" s="116"/>
      <c r="L441" s="170">
        <v>45530</v>
      </c>
      <c r="M441" s="116">
        <v>790.8</v>
      </c>
      <c r="N441" s="116">
        <v>814.3</v>
      </c>
      <c r="O441" s="116">
        <v>788.1</v>
      </c>
      <c r="P441" s="116">
        <v>811.1</v>
      </c>
      <c r="Q441" s="116">
        <v>790.8</v>
      </c>
      <c r="R441">
        <v>358212</v>
      </c>
    </row>
    <row r="442" spans="1:18" x14ac:dyDescent="0.25">
      <c r="A442" s="170">
        <v>45531</v>
      </c>
      <c r="B442" s="116">
        <v>800</v>
      </c>
      <c r="C442" s="116">
        <v>775.6</v>
      </c>
      <c r="D442" s="116">
        <v>773.2</v>
      </c>
      <c r="E442" s="116">
        <v>800</v>
      </c>
      <c r="F442" s="116">
        <v>775.6</v>
      </c>
      <c r="G442">
        <v>11241</v>
      </c>
      <c r="H442" s="116"/>
      <c r="I442" s="116"/>
      <c r="L442" s="170">
        <v>45531</v>
      </c>
      <c r="M442" s="116">
        <v>775.35</v>
      </c>
      <c r="N442" s="116">
        <v>796.75</v>
      </c>
      <c r="O442" s="116">
        <v>773</v>
      </c>
      <c r="P442" s="116">
        <v>792</v>
      </c>
      <c r="Q442" s="116">
        <v>775.35</v>
      </c>
      <c r="R442">
        <v>268003</v>
      </c>
    </row>
    <row r="443" spans="1:18" x14ac:dyDescent="0.25">
      <c r="A443" s="170">
        <v>45532</v>
      </c>
      <c r="B443" s="116">
        <v>794.3</v>
      </c>
      <c r="C443" s="116">
        <v>767.9</v>
      </c>
      <c r="D443" s="116">
        <v>765</v>
      </c>
      <c r="E443" s="116">
        <v>775.1</v>
      </c>
      <c r="F443" s="116">
        <v>767.9</v>
      </c>
      <c r="G443">
        <v>17002</v>
      </c>
      <c r="H443" s="116"/>
      <c r="I443" s="116"/>
      <c r="L443" s="170">
        <v>45532</v>
      </c>
      <c r="M443" s="116">
        <v>767.95</v>
      </c>
      <c r="N443" s="116">
        <v>794.8</v>
      </c>
      <c r="O443" s="116">
        <v>764.7</v>
      </c>
      <c r="P443" s="116">
        <v>783</v>
      </c>
      <c r="Q443" s="116">
        <v>767.95</v>
      </c>
      <c r="R443">
        <v>290988</v>
      </c>
    </row>
    <row r="444" spans="1:18" x14ac:dyDescent="0.25">
      <c r="A444" s="170">
        <v>45533</v>
      </c>
      <c r="B444" s="116">
        <v>783.3</v>
      </c>
      <c r="C444" s="116">
        <v>748</v>
      </c>
      <c r="D444" s="116">
        <v>745</v>
      </c>
      <c r="E444" s="116">
        <v>783.3</v>
      </c>
      <c r="F444" s="116">
        <v>748</v>
      </c>
      <c r="G444">
        <v>15053</v>
      </c>
      <c r="H444" s="116"/>
      <c r="I444" s="116"/>
      <c r="L444" s="170">
        <v>45533</v>
      </c>
      <c r="M444" s="116">
        <v>748.5</v>
      </c>
      <c r="N444" s="116">
        <v>778</v>
      </c>
      <c r="O444" s="116">
        <v>745</v>
      </c>
      <c r="P444" s="116">
        <v>772.5</v>
      </c>
      <c r="Q444" s="116">
        <v>748.5</v>
      </c>
      <c r="R444">
        <v>312229</v>
      </c>
    </row>
    <row r="445" spans="1:18" x14ac:dyDescent="0.25">
      <c r="A445" s="170">
        <v>45534</v>
      </c>
      <c r="B445" s="116">
        <v>764.4</v>
      </c>
      <c r="C445" s="116">
        <v>741.65</v>
      </c>
      <c r="D445" s="116">
        <v>733.1</v>
      </c>
      <c r="E445" s="116">
        <v>752</v>
      </c>
      <c r="F445" s="116">
        <v>741.65</v>
      </c>
      <c r="G445">
        <v>46755</v>
      </c>
      <c r="H445" s="116"/>
      <c r="I445" s="116"/>
      <c r="L445" s="170">
        <v>45534</v>
      </c>
      <c r="M445" s="116">
        <v>742.85</v>
      </c>
      <c r="N445" s="116">
        <v>764</v>
      </c>
      <c r="O445" s="116">
        <v>734</v>
      </c>
      <c r="P445" s="116">
        <v>755</v>
      </c>
      <c r="Q445" s="116">
        <v>742.85</v>
      </c>
      <c r="R445">
        <v>733829</v>
      </c>
    </row>
    <row r="446" spans="1:18" x14ac:dyDescent="0.25">
      <c r="A446" s="170">
        <v>45537</v>
      </c>
      <c r="B446" s="116">
        <v>740.8</v>
      </c>
      <c r="C446" s="116">
        <v>708.05</v>
      </c>
      <c r="D446" s="116">
        <v>702</v>
      </c>
      <c r="E446" s="116">
        <v>740</v>
      </c>
      <c r="F446" s="116">
        <v>708.05</v>
      </c>
      <c r="G446">
        <v>22231</v>
      </c>
      <c r="H446" s="116"/>
      <c r="I446" s="116"/>
      <c r="L446" s="170">
        <v>45537</v>
      </c>
      <c r="M446" s="116">
        <v>707.8</v>
      </c>
      <c r="N446" s="116">
        <v>740.8</v>
      </c>
      <c r="O446" s="116">
        <v>702.25</v>
      </c>
      <c r="P446" s="116">
        <v>740.05</v>
      </c>
      <c r="Q446" s="116">
        <v>707.8</v>
      </c>
      <c r="R446">
        <v>1527970</v>
      </c>
    </row>
    <row r="447" spans="1:18" x14ac:dyDescent="0.25">
      <c r="A447" s="170">
        <v>45538</v>
      </c>
      <c r="B447" s="116">
        <v>727.95</v>
      </c>
      <c r="C447" s="116">
        <v>719</v>
      </c>
      <c r="D447" s="116">
        <v>711.65</v>
      </c>
      <c r="E447" s="116">
        <v>717.5</v>
      </c>
      <c r="F447" s="116">
        <v>719</v>
      </c>
      <c r="G447">
        <v>25814</v>
      </c>
      <c r="H447" s="116"/>
      <c r="I447" s="116"/>
      <c r="L447" s="170">
        <v>45538</v>
      </c>
      <c r="M447" s="116">
        <v>720.8</v>
      </c>
      <c r="N447" s="116">
        <v>727.9</v>
      </c>
      <c r="O447" s="116">
        <v>711.45</v>
      </c>
      <c r="P447" s="116">
        <v>714</v>
      </c>
      <c r="Q447" s="116">
        <v>720.8</v>
      </c>
      <c r="R447">
        <v>628033</v>
      </c>
    </row>
    <row r="448" spans="1:18" x14ac:dyDescent="0.25">
      <c r="A448" s="170">
        <v>45539</v>
      </c>
      <c r="B448" s="116">
        <v>738.35</v>
      </c>
      <c r="C448" s="116">
        <v>732.1</v>
      </c>
      <c r="D448" s="116">
        <v>705.4</v>
      </c>
      <c r="E448" s="116">
        <v>705.4</v>
      </c>
      <c r="F448" s="116">
        <v>732.1</v>
      </c>
      <c r="G448">
        <v>29446</v>
      </c>
      <c r="H448" s="116"/>
      <c r="I448" s="116"/>
      <c r="L448" s="170">
        <v>45539</v>
      </c>
      <c r="M448" s="116">
        <v>732.1</v>
      </c>
      <c r="N448" s="116">
        <v>737.9</v>
      </c>
      <c r="O448" s="116">
        <v>712.75</v>
      </c>
      <c r="P448" s="116">
        <v>716.5</v>
      </c>
      <c r="Q448" s="116">
        <v>732.1</v>
      </c>
      <c r="R448">
        <v>743954</v>
      </c>
    </row>
    <row r="449" spans="1:18" x14ac:dyDescent="0.25">
      <c r="A449" s="170">
        <v>45540</v>
      </c>
      <c r="B449" s="116">
        <v>753.1</v>
      </c>
      <c r="C449" s="116">
        <v>728.8</v>
      </c>
      <c r="D449" s="116">
        <v>726.1</v>
      </c>
      <c r="E449" s="116">
        <v>739</v>
      </c>
      <c r="F449" s="116">
        <v>728.8</v>
      </c>
      <c r="G449">
        <v>32064</v>
      </c>
      <c r="H449" s="116"/>
      <c r="I449" s="116"/>
      <c r="L449" s="170">
        <v>45540</v>
      </c>
      <c r="M449" s="116">
        <v>728.7</v>
      </c>
      <c r="N449" s="116">
        <v>753.85</v>
      </c>
      <c r="O449" s="116">
        <v>726.3</v>
      </c>
      <c r="P449" s="116">
        <v>737.85</v>
      </c>
      <c r="Q449" s="116">
        <v>728.7</v>
      </c>
      <c r="R449">
        <v>535128</v>
      </c>
    </row>
    <row r="450" spans="1:18" x14ac:dyDescent="0.25">
      <c r="A450" s="170">
        <v>45541</v>
      </c>
      <c r="B450" s="116">
        <v>735</v>
      </c>
      <c r="C450" s="116">
        <v>717.65</v>
      </c>
      <c r="D450" s="116">
        <v>710.85</v>
      </c>
      <c r="E450" s="116">
        <v>735</v>
      </c>
      <c r="F450" s="116">
        <v>717.65</v>
      </c>
      <c r="G450">
        <v>21195</v>
      </c>
      <c r="H450" s="116"/>
      <c r="I450" s="116"/>
      <c r="L450" s="170">
        <v>45541</v>
      </c>
      <c r="M450" s="116">
        <v>719.3</v>
      </c>
      <c r="N450" s="116">
        <v>734.3</v>
      </c>
      <c r="O450" s="116">
        <v>710.4</v>
      </c>
      <c r="P450" s="116">
        <v>729.7</v>
      </c>
      <c r="Q450" s="116">
        <v>719.3</v>
      </c>
      <c r="R450">
        <v>271279</v>
      </c>
    </row>
    <row r="451" spans="1:18" x14ac:dyDescent="0.25">
      <c r="A451" s="170">
        <v>45544</v>
      </c>
      <c r="B451" s="116">
        <v>720</v>
      </c>
      <c r="C451" s="116">
        <v>700.45</v>
      </c>
      <c r="D451" s="116">
        <v>699.3</v>
      </c>
      <c r="E451" s="116">
        <v>720</v>
      </c>
      <c r="F451" s="116">
        <v>700.45</v>
      </c>
      <c r="G451">
        <v>10288</v>
      </c>
      <c r="H451" s="116"/>
      <c r="I451" s="116"/>
      <c r="L451" s="170">
        <v>45544</v>
      </c>
      <c r="M451" s="116">
        <v>700.8</v>
      </c>
      <c r="N451" s="116">
        <v>718</v>
      </c>
      <c r="O451" s="116">
        <v>699</v>
      </c>
      <c r="P451" s="116">
        <v>717</v>
      </c>
      <c r="Q451" s="116">
        <v>700.8</v>
      </c>
      <c r="R451">
        <v>393974</v>
      </c>
    </row>
    <row r="452" spans="1:18" x14ac:dyDescent="0.25">
      <c r="A452" s="170">
        <v>45545</v>
      </c>
      <c r="B452" s="116">
        <v>723.75</v>
      </c>
      <c r="C452" s="116">
        <v>722.25</v>
      </c>
      <c r="D452" s="116">
        <v>703.4</v>
      </c>
      <c r="E452" s="116">
        <v>703.4</v>
      </c>
      <c r="F452" s="116">
        <v>722.25</v>
      </c>
      <c r="G452">
        <v>9879</v>
      </c>
      <c r="H452" s="116"/>
      <c r="I452" s="116"/>
      <c r="L452" s="170">
        <v>45545</v>
      </c>
      <c r="M452" s="116">
        <v>722.05</v>
      </c>
      <c r="N452" s="116">
        <v>723.9</v>
      </c>
      <c r="O452" s="116">
        <v>705</v>
      </c>
      <c r="P452" s="116">
        <v>705</v>
      </c>
      <c r="Q452" s="116">
        <v>722.05</v>
      </c>
      <c r="R452">
        <v>312099</v>
      </c>
    </row>
    <row r="453" spans="1:18" x14ac:dyDescent="0.25">
      <c r="A453" s="170">
        <v>45546</v>
      </c>
      <c r="B453" s="116">
        <v>734.05</v>
      </c>
      <c r="C453" s="116">
        <v>715.05</v>
      </c>
      <c r="D453" s="116">
        <v>712.05</v>
      </c>
      <c r="E453" s="116">
        <v>728</v>
      </c>
      <c r="F453" s="116">
        <v>715.05</v>
      </c>
      <c r="G453">
        <v>19540</v>
      </c>
      <c r="H453" s="116"/>
      <c r="I453" s="116"/>
      <c r="L453" s="170">
        <v>45546</v>
      </c>
      <c r="M453" s="116">
        <v>715.6</v>
      </c>
      <c r="N453" s="116">
        <v>734</v>
      </c>
      <c r="O453" s="116">
        <v>711.1</v>
      </c>
      <c r="P453" s="116">
        <v>725.95</v>
      </c>
      <c r="Q453" s="116">
        <v>715.6</v>
      </c>
      <c r="R453">
        <v>340059</v>
      </c>
    </row>
    <row r="454" spans="1:18" x14ac:dyDescent="0.25">
      <c r="A454" s="170">
        <v>45547</v>
      </c>
      <c r="B454" s="116">
        <v>719.25</v>
      </c>
      <c r="C454" s="116">
        <v>710.7</v>
      </c>
      <c r="D454" s="116">
        <v>704.75</v>
      </c>
      <c r="E454" s="116">
        <v>715.2</v>
      </c>
      <c r="F454" s="116">
        <v>710.7</v>
      </c>
      <c r="G454">
        <v>7739</v>
      </c>
      <c r="H454" s="116"/>
      <c r="I454" s="116"/>
      <c r="L454" s="170">
        <v>45547</v>
      </c>
      <c r="M454" s="116">
        <v>710.15</v>
      </c>
      <c r="N454" s="116">
        <v>720.35</v>
      </c>
      <c r="O454" s="116">
        <v>704.6</v>
      </c>
      <c r="P454" s="116">
        <v>716.5</v>
      </c>
      <c r="Q454" s="116">
        <v>710.15</v>
      </c>
      <c r="R454">
        <v>272632</v>
      </c>
    </row>
    <row r="455" spans="1:18" x14ac:dyDescent="0.25">
      <c r="A455" s="170">
        <v>45548</v>
      </c>
      <c r="B455" s="116">
        <v>725.7</v>
      </c>
      <c r="C455" s="116">
        <v>708.1</v>
      </c>
      <c r="D455" s="116">
        <v>706.9</v>
      </c>
      <c r="E455" s="116">
        <v>725.7</v>
      </c>
      <c r="F455" s="116">
        <v>708.1</v>
      </c>
      <c r="G455">
        <v>15391</v>
      </c>
      <c r="H455" s="116"/>
      <c r="I455" s="116"/>
      <c r="L455" s="170">
        <v>45548</v>
      </c>
      <c r="M455" s="116">
        <v>708.25</v>
      </c>
      <c r="N455" s="116">
        <v>716.7</v>
      </c>
      <c r="O455" s="116">
        <v>706.05</v>
      </c>
      <c r="P455" s="116">
        <v>716.7</v>
      </c>
      <c r="Q455" s="116">
        <v>708.25</v>
      </c>
      <c r="R455">
        <v>190953</v>
      </c>
    </row>
    <row r="456" spans="1:18" x14ac:dyDescent="0.25">
      <c r="A456" s="170">
        <v>45551</v>
      </c>
      <c r="B456" s="116">
        <v>714</v>
      </c>
      <c r="C456" s="116">
        <v>699.45</v>
      </c>
      <c r="D456" s="116">
        <v>695.4</v>
      </c>
      <c r="E456" s="116">
        <v>708.15</v>
      </c>
      <c r="F456" s="116">
        <v>699.45</v>
      </c>
      <c r="G456">
        <v>9931</v>
      </c>
      <c r="H456" s="116"/>
      <c r="I456" s="116"/>
      <c r="L456" s="170">
        <v>45551</v>
      </c>
      <c r="M456" s="116">
        <v>699.6</v>
      </c>
      <c r="N456" s="116">
        <v>715.9</v>
      </c>
      <c r="O456" s="116">
        <v>696.1</v>
      </c>
      <c r="P456" s="116">
        <v>713.6</v>
      </c>
      <c r="Q456" s="116">
        <v>699.6</v>
      </c>
      <c r="R456">
        <v>345579</v>
      </c>
    </row>
    <row r="457" spans="1:18" x14ac:dyDescent="0.25">
      <c r="A457" s="170">
        <v>45552</v>
      </c>
      <c r="B457" s="116">
        <v>709.8</v>
      </c>
      <c r="C457" s="116">
        <v>700.4</v>
      </c>
      <c r="D457" s="116">
        <v>695</v>
      </c>
      <c r="E457" s="116">
        <v>695</v>
      </c>
      <c r="F457" s="116">
        <v>700.4</v>
      </c>
      <c r="G457">
        <v>4304</v>
      </c>
      <c r="H457" s="116"/>
      <c r="I457" s="116"/>
      <c r="L457" s="170">
        <v>45552</v>
      </c>
      <c r="M457" s="116">
        <v>700.5</v>
      </c>
      <c r="N457" s="116">
        <v>710.95</v>
      </c>
      <c r="O457" s="116">
        <v>696.35</v>
      </c>
      <c r="P457" s="116">
        <v>701.05</v>
      </c>
      <c r="Q457" s="116">
        <v>700.5</v>
      </c>
      <c r="R457">
        <v>186763</v>
      </c>
    </row>
    <row r="458" spans="1:18" x14ac:dyDescent="0.25">
      <c r="A458" s="170">
        <v>45553</v>
      </c>
      <c r="B458" s="116">
        <v>722.35</v>
      </c>
      <c r="C458" s="116">
        <v>703.5</v>
      </c>
      <c r="D458" s="116">
        <v>701.85</v>
      </c>
      <c r="E458" s="116">
        <v>714</v>
      </c>
      <c r="F458" s="116">
        <v>703.5</v>
      </c>
      <c r="G458">
        <v>22872</v>
      </c>
      <c r="H458" s="116"/>
      <c r="I458" s="116"/>
      <c r="L458" s="170">
        <v>45553</v>
      </c>
      <c r="M458" s="116">
        <v>704.4</v>
      </c>
      <c r="N458" s="116">
        <v>719.9</v>
      </c>
      <c r="O458" s="116">
        <v>701.55</v>
      </c>
      <c r="P458" s="116">
        <v>705</v>
      </c>
      <c r="Q458" s="116">
        <v>704.4</v>
      </c>
      <c r="R458">
        <v>377370</v>
      </c>
    </row>
    <row r="459" spans="1:18" x14ac:dyDescent="0.25">
      <c r="A459" s="170">
        <v>45554</v>
      </c>
      <c r="B459" s="116">
        <v>714.1</v>
      </c>
      <c r="C459" s="116">
        <v>696</v>
      </c>
      <c r="D459" s="116">
        <v>689.85</v>
      </c>
      <c r="E459" s="116">
        <v>714.1</v>
      </c>
      <c r="F459" s="116">
        <v>696</v>
      </c>
      <c r="G459">
        <v>10130</v>
      </c>
      <c r="H459" s="116"/>
      <c r="I459" s="116"/>
      <c r="L459" s="170">
        <v>45554</v>
      </c>
      <c r="M459" s="116">
        <v>696.45</v>
      </c>
      <c r="N459" s="116">
        <v>711.9</v>
      </c>
      <c r="O459" s="116">
        <v>689.15</v>
      </c>
      <c r="P459" s="116">
        <v>710.9</v>
      </c>
      <c r="Q459" s="116">
        <v>696.45</v>
      </c>
      <c r="R459">
        <v>224385</v>
      </c>
    </row>
    <row r="460" spans="1:18" x14ac:dyDescent="0.25">
      <c r="A460" s="170">
        <v>45555</v>
      </c>
      <c r="B460" s="116">
        <v>706.15</v>
      </c>
      <c r="C460" s="116">
        <v>696</v>
      </c>
      <c r="D460" s="116">
        <v>694.15</v>
      </c>
      <c r="E460" s="116">
        <v>695</v>
      </c>
      <c r="F460" s="116">
        <v>696</v>
      </c>
      <c r="G460">
        <v>5851</v>
      </c>
      <c r="H460" s="116"/>
      <c r="I460" s="116"/>
      <c r="L460" s="170">
        <v>45555</v>
      </c>
      <c r="M460" s="116">
        <v>695.65</v>
      </c>
      <c r="N460" s="116">
        <v>707</v>
      </c>
      <c r="O460" s="116">
        <v>693.75</v>
      </c>
      <c r="P460" s="116">
        <v>702</v>
      </c>
      <c r="Q460" s="116">
        <v>695.65</v>
      </c>
      <c r="R460">
        <v>214476</v>
      </c>
    </row>
    <row r="461" spans="1:18" x14ac:dyDescent="0.25">
      <c r="A461" s="170">
        <v>45558</v>
      </c>
      <c r="B461" s="116">
        <v>700.7</v>
      </c>
      <c r="C461" s="116">
        <v>691.3</v>
      </c>
      <c r="D461" s="116">
        <v>689.55</v>
      </c>
      <c r="E461" s="116">
        <v>696.05</v>
      </c>
      <c r="F461" s="116">
        <v>691.3</v>
      </c>
      <c r="G461">
        <v>21987</v>
      </c>
      <c r="H461" s="116"/>
      <c r="I461" s="116"/>
      <c r="L461" s="170">
        <v>45558</v>
      </c>
      <c r="M461" s="116">
        <v>691</v>
      </c>
      <c r="N461" s="116">
        <v>702</v>
      </c>
      <c r="O461" s="116">
        <v>688.2</v>
      </c>
      <c r="P461" s="116">
        <v>699.95</v>
      </c>
      <c r="Q461" s="116">
        <v>691</v>
      </c>
      <c r="R461">
        <v>187570</v>
      </c>
    </row>
    <row r="462" spans="1:18" x14ac:dyDescent="0.25">
      <c r="A462" s="170">
        <v>45559</v>
      </c>
      <c r="B462" s="116">
        <v>708.45</v>
      </c>
      <c r="C462" s="116">
        <v>705.6</v>
      </c>
      <c r="D462" s="116">
        <v>692</v>
      </c>
      <c r="E462" s="116">
        <v>696</v>
      </c>
      <c r="F462" s="116">
        <v>705.6</v>
      </c>
      <c r="G462">
        <v>21807</v>
      </c>
      <c r="H462" s="116"/>
      <c r="I462" s="116"/>
      <c r="L462" s="170">
        <v>45559</v>
      </c>
      <c r="M462" s="116">
        <v>705.7</v>
      </c>
      <c r="N462" s="116">
        <v>708.8</v>
      </c>
      <c r="O462" s="116">
        <v>691</v>
      </c>
      <c r="P462" s="116">
        <v>695</v>
      </c>
      <c r="Q462" s="116">
        <v>705.7</v>
      </c>
      <c r="R462">
        <v>270377</v>
      </c>
    </row>
    <row r="463" spans="1:18" x14ac:dyDescent="0.25">
      <c r="A463" s="170">
        <v>45560</v>
      </c>
      <c r="B463" s="116">
        <v>704.25</v>
      </c>
      <c r="C463" s="116">
        <v>688</v>
      </c>
      <c r="D463" s="116">
        <v>686.2</v>
      </c>
      <c r="E463" s="116">
        <v>704</v>
      </c>
      <c r="F463" s="116">
        <v>688</v>
      </c>
      <c r="G463">
        <v>10986</v>
      </c>
      <c r="H463" s="116"/>
      <c r="I463" s="116"/>
      <c r="L463" s="170">
        <v>45560</v>
      </c>
      <c r="M463" s="116">
        <v>687.9</v>
      </c>
      <c r="N463" s="116">
        <v>708.05</v>
      </c>
      <c r="O463" s="116">
        <v>685.15</v>
      </c>
      <c r="P463" s="116">
        <v>708</v>
      </c>
      <c r="Q463" s="116">
        <v>687.9</v>
      </c>
      <c r="R463">
        <v>294198</v>
      </c>
    </row>
    <row r="464" spans="1:18" x14ac:dyDescent="0.25">
      <c r="A464" s="170">
        <v>45561</v>
      </c>
      <c r="B464" s="116">
        <v>693.9</v>
      </c>
      <c r="C464" s="116">
        <v>691.5</v>
      </c>
      <c r="D464" s="116">
        <v>682.05</v>
      </c>
      <c r="E464" s="116">
        <v>688.25</v>
      </c>
      <c r="F464" s="116">
        <v>691.5</v>
      </c>
      <c r="G464">
        <v>16702</v>
      </c>
      <c r="H464" s="116"/>
      <c r="I464" s="116"/>
      <c r="L464" s="170">
        <v>45561</v>
      </c>
      <c r="M464" s="116">
        <v>691.2</v>
      </c>
      <c r="N464" s="116">
        <v>695.8</v>
      </c>
      <c r="O464" s="116">
        <v>682</v>
      </c>
      <c r="P464" s="116">
        <v>690</v>
      </c>
      <c r="Q464" s="116">
        <v>691.2</v>
      </c>
      <c r="R464">
        <v>272397</v>
      </c>
    </row>
    <row r="465" spans="1:18" x14ac:dyDescent="0.25">
      <c r="A465" s="170">
        <v>45562</v>
      </c>
      <c r="B465" s="116">
        <v>707</v>
      </c>
      <c r="C465" s="116">
        <v>695.55</v>
      </c>
      <c r="D465" s="116">
        <v>690.8</v>
      </c>
      <c r="E465" s="116">
        <v>691.5</v>
      </c>
      <c r="F465" s="116">
        <v>695.55</v>
      </c>
      <c r="G465">
        <v>19534</v>
      </c>
      <c r="H465" s="116"/>
      <c r="I465" s="116"/>
      <c r="L465" s="170">
        <v>45562</v>
      </c>
      <c r="M465" s="116">
        <v>696.75</v>
      </c>
      <c r="N465" s="116">
        <v>707.25</v>
      </c>
      <c r="O465" s="116">
        <v>690.25</v>
      </c>
      <c r="P465" s="116">
        <v>693</v>
      </c>
      <c r="Q465" s="116">
        <v>696.75</v>
      </c>
      <c r="R465">
        <v>254364</v>
      </c>
    </row>
    <row r="466" spans="1:18" x14ac:dyDescent="0.25">
      <c r="A466" s="170">
        <v>45565</v>
      </c>
      <c r="B466" s="116">
        <v>724.95</v>
      </c>
      <c r="C466" s="116">
        <v>721.55</v>
      </c>
      <c r="D466" s="116">
        <v>690</v>
      </c>
      <c r="E466" s="116">
        <v>692.2</v>
      </c>
      <c r="F466" s="116">
        <v>721.55</v>
      </c>
      <c r="G466">
        <v>12872</v>
      </c>
      <c r="H466" s="116"/>
      <c r="I466" s="116"/>
      <c r="L466" s="170">
        <v>45565</v>
      </c>
      <c r="M466" s="116">
        <v>721.8</v>
      </c>
      <c r="N466" s="116">
        <v>725</v>
      </c>
      <c r="O466" s="116">
        <v>689.1</v>
      </c>
      <c r="P466" s="116">
        <v>696.85</v>
      </c>
      <c r="Q466" s="116">
        <v>721.8</v>
      </c>
      <c r="R466">
        <v>520894</v>
      </c>
    </row>
    <row r="467" spans="1:18" x14ac:dyDescent="0.25">
      <c r="A467" s="170">
        <v>45566</v>
      </c>
      <c r="B467" s="116">
        <v>729.7</v>
      </c>
      <c r="C467" s="116">
        <v>718.4</v>
      </c>
      <c r="D467" s="116">
        <v>711.15</v>
      </c>
      <c r="E467" s="116">
        <v>724.4</v>
      </c>
      <c r="F467" s="116">
        <v>718.4</v>
      </c>
      <c r="G467">
        <v>10397</v>
      </c>
      <c r="H467" s="116"/>
      <c r="I467" s="116"/>
      <c r="L467" s="170">
        <v>45566</v>
      </c>
      <c r="M467" s="116">
        <v>720.05</v>
      </c>
      <c r="N467" s="116">
        <v>729.55</v>
      </c>
      <c r="O467" s="116">
        <v>710.1</v>
      </c>
      <c r="P467" s="116">
        <v>721.8</v>
      </c>
      <c r="Q467" s="116">
        <v>720.05</v>
      </c>
      <c r="R467">
        <v>287933</v>
      </c>
    </row>
    <row r="468" spans="1:18" x14ac:dyDescent="0.25">
      <c r="A468" s="170">
        <v>45568</v>
      </c>
      <c r="B468" s="116">
        <v>725.45</v>
      </c>
      <c r="C468" s="116">
        <v>714.85</v>
      </c>
      <c r="D468" s="116">
        <v>702</v>
      </c>
      <c r="E468" s="116">
        <v>702</v>
      </c>
      <c r="F468" s="116">
        <v>714.85</v>
      </c>
      <c r="G468">
        <v>17367</v>
      </c>
      <c r="H468" s="116"/>
      <c r="I468" s="116"/>
      <c r="L468" s="170">
        <v>45568</v>
      </c>
      <c r="M468" s="116">
        <v>716.35</v>
      </c>
      <c r="N468" s="116">
        <v>726.55</v>
      </c>
      <c r="O468" s="116">
        <v>700.5</v>
      </c>
      <c r="P468" s="116">
        <v>700.55</v>
      </c>
      <c r="Q468" s="116">
        <v>716.35</v>
      </c>
      <c r="R468">
        <v>484255</v>
      </c>
    </row>
    <row r="469" spans="1:18" x14ac:dyDescent="0.25">
      <c r="A469" s="170">
        <v>45569</v>
      </c>
      <c r="B469" s="116">
        <v>716.25</v>
      </c>
      <c r="C469" s="116">
        <v>702.35</v>
      </c>
      <c r="D469" s="116">
        <v>695</v>
      </c>
      <c r="E469" s="116">
        <v>714.85</v>
      </c>
      <c r="F469" s="116">
        <v>702.35</v>
      </c>
      <c r="G469">
        <v>12123</v>
      </c>
      <c r="H469" s="116"/>
      <c r="I469" s="116"/>
      <c r="L469" s="170">
        <v>45569</v>
      </c>
      <c r="M469" s="116">
        <v>704.15</v>
      </c>
      <c r="N469" s="116">
        <v>718</v>
      </c>
      <c r="O469" s="116">
        <v>695</v>
      </c>
      <c r="P469" s="116">
        <v>715</v>
      </c>
      <c r="Q469" s="116">
        <v>704.15</v>
      </c>
      <c r="R469">
        <v>304156</v>
      </c>
    </row>
    <row r="470" spans="1:18" x14ac:dyDescent="0.25">
      <c r="A470" s="170">
        <v>45572</v>
      </c>
      <c r="B470" s="116">
        <v>720</v>
      </c>
      <c r="C470" s="116">
        <v>676.95</v>
      </c>
      <c r="D470" s="116">
        <v>670.4</v>
      </c>
      <c r="E470" s="116">
        <v>720</v>
      </c>
      <c r="F470" s="116">
        <v>676.95</v>
      </c>
      <c r="G470">
        <v>10856</v>
      </c>
      <c r="H470" s="116"/>
      <c r="I470" s="116"/>
      <c r="L470" s="170">
        <v>45572</v>
      </c>
      <c r="M470" s="116">
        <v>677.65</v>
      </c>
      <c r="N470" s="116">
        <v>710</v>
      </c>
      <c r="O470" s="116">
        <v>670</v>
      </c>
      <c r="P470" s="116">
        <v>704.25</v>
      </c>
      <c r="Q470" s="116">
        <v>677.65</v>
      </c>
      <c r="R470">
        <v>425495</v>
      </c>
    </row>
    <row r="471" spans="1:18" x14ac:dyDescent="0.25">
      <c r="A471" s="170">
        <v>45573</v>
      </c>
      <c r="B471" s="116">
        <v>698.3</v>
      </c>
      <c r="C471" s="116">
        <v>690.55</v>
      </c>
      <c r="D471" s="116">
        <v>666.7</v>
      </c>
      <c r="E471" s="116">
        <v>670.05</v>
      </c>
      <c r="F471" s="116">
        <v>690.55</v>
      </c>
      <c r="G471">
        <v>8694</v>
      </c>
      <c r="H471" s="116"/>
      <c r="I471" s="116"/>
      <c r="L471" s="170">
        <v>45573</v>
      </c>
      <c r="M471" s="116">
        <v>690.05</v>
      </c>
      <c r="N471" s="116">
        <v>699</v>
      </c>
      <c r="O471" s="116">
        <v>665.55</v>
      </c>
      <c r="P471" s="116">
        <v>677</v>
      </c>
      <c r="Q471" s="116">
        <v>690.05</v>
      </c>
      <c r="R471">
        <v>308405</v>
      </c>
    </row>
    <row r="472" spans="1:18" x14ac:dyDescent="0.25">
      <c r="A472" s="170">
        <v>45574</v>
      </c>
      <c r="B472" s="116">
        <v>701.55</v>
      </c>
      <c r="C472" s="116">
        <v>679.9</v>
      </c>
      <c r="D472" s="116">
        <v>670</v>
      </c>
      <c r="E472" s="116">
        <v>690</v>
      </c>
      <c r="F472" s="116">
        <v>679.9</v>
      </c>
      <c r="G472">
        <v>23100</v>
      </c>
      <c r="H472" s="116"/>
      <c r="I472" s="116"/>
      <c r="L472" s="170">
        <v>45574</v>
      </c>
      <c r="M472" s="116">
        <v>680</v>
      </c>
      <c r="N472" s="116">
        <v>701.3</v>
      </c>
      <c r="O472" s="116">
        <v>670.55</v>
      </c>
      <c r="P472" s="116">
        <v>695</v>
      </c>
      <c r="Q472" s="116">
        <v>680</v>
      </c>
      <c r="R472">
        <v>375180</v>
      </c>
    </row>
    <row r="473" spans="1:18" x14ac:dyDescent="0.25">
      <c r="A473" s="170">
        <v>45575</v>
      </c>
      <c r="B473" s="116">
        <v>690.35</v>
      </c>
      <c r="C473" s="116">
        <v>671.2</v>
      </c>
      <c r="D473" s="116">
        <v>668.55</v>
      </c>
      <c r="E473" s="116">
        <v>680.05</v>
      </c>
      <c r="F473" s="116">
        <v>671.2</v>
      </c>
      <c r="G473">
        <v>9152</v>
      </c>
      <c r="H473" s="116"/>
      <c r="I473" s="116"/>
      <c r="L473" s="170">
        <v>45575</v>
      </c>
      <c r="M473" s="116">
        <v>670.95</v>
      </c>
      <c r="N473" s="116">
        <v>690.9</v>
      </c>
      <c r="O473" s="116">
        <v>667</v>
      </c>
      <c r="P473" s="116">
        <v>687.7</v>
      </c>
      <c r="Q473" s="116">
        <v>670.95</v>
      </c>
      <c r="R473">
        <v>337478</v>
      </c>
    </row>
    <row r="474" spans="1:18" x14ac:dyDescent="0.25">
      <c r="A474" s="170">
        <v>45576</v>
      </c>
      <c r="B474" s="116">
        <v>681</v>
      </c>
      <c r="C474" s="116">
        <v>673.1</v>
      </c>
      <c r="D474" s="116">
        <v>670.25</v>
      </c>
      <c r="E474" s="116">
        <v>678.4</v>
      </c>
      <c r="F474" s="116">
        <v>673.1</v>
      </c>
      <c r="G474">
        <v>11640</v>
      </c>
      <c r="H474" s="116"/>
      <c r="I474" s="116"/>
      <c r="L474" s="170">
        <v>45576</v>
      </c>
      <c r="M474" s="116">
        <v>672.35</v>
      </c>
      <c r="N474" s="116">
        <v>681.2</v>
      </c>
      <c r="O474" s="116">
        <v>670.1</v>
      </c>
      <c r="P474" s="116">
        <v>674</v>
      </c>
      <c r="Q474" s="116">
        <v>672.35</v>
      </c>
      <c r="R474">
        <v>161640</v>
      </c>
    </row>
    <row r="475" spans="1:18" x14ac:dyDescent="0.25">
      <c r="A475" s="170">
        <v>45579</v>
      </c>
      <c r="B475" s="116">
        <v>681.55</v>
      </c>
      <c r="C475" s="116">
        <v>668</v>
      </c>
      <c r="D475" s="116">
        <v>666</v>
      </c>
      <c r="E475" s="116">
        <v>673</v>
      </c>
      <c r="F475" s="116">
        <v>668</v>
      </c>
      <c r="G475">
        <v>15508</v>
      </c>
      <c r="H475" s="116"/>
      <c r="I475" s="116"/>
      <c r="L475" s="170">
        <v>45579</v>
      </c>
      <c r="M475" s="116">
        <v>669.65</v>
      </c>
      <c r="N475" s="116">
        <v>680</v>
      </c>
      <c r="O475" s="116">
        <v>666.1</v>
      </c>
      <c r="P475" s="116">
        <v>673.9</v>
      </c>
      <c r="Q475" s="116">
        <v>669.65</v>
      </c>
      <c r="R475">
        <v>199639</v>
      </c>
    </row>
    <row r="476" spans="1:18" x14ac:dyDescent="0.25">
      <c r="A476" s="170">
        <v>45580</v>
      </c>
      <c r="B476" s="116">
        <v>671.4</v>
      </c>
      <c r="C476" s="116">
        <v>668.45</v>
      </c>
      <c r="D476" s="116">
        <v>662.1</v>
      </c>
      <c r="E476" s="116">
        <v>671.35</v>
      </c>
      <c r="F476" s="116">
        <v>668.45</v>
      </c>
      <c r="G476">
        <v>6733</v>
      </c>
      <c r="H476" s="116"/>
      <c r="I476" s="116"/>
      <c r="L476" s="170">
        <v>45580</v>
      </c>
      <c r="M476" s="116">
        <v>668.5</v>
      </c>
      <c r="N476" s="116">
        <v>673.75</v>
      </c>
      <c r="O476" s="116">
        <v>660.6</v>
      </c>
      <c r="P476" s="116">
        <v>669.65</v>
      </c>
      <c r="Q476" s="116">
        <v>668.5</v>
      </c>
      <c r="R476">
        <v>176432</v>
      </c>
    </row>
    <row r="477" spans="1:18" x14ac:dyDescent="0.25">
      <c r="A477" s="170">
        <v>45581</v>
      </c>
      <c r="B477" s="116">
        <v>671.35</v>
      </c>
      <c r="C477" s="116">
        <v>664</v>
      </c>
      <c r="D477" s="116">
        <v>660.55</v>
      </c>
      <c r="E477" s="116">
        <v>665.95</v>
      </c>
      <c r="F477" s="116">
        <v>664</v>
      </c>
      <c r="G477">
        <v>5159</v>
      </c>
      <c r="H477" s="116"/>
      <c r="I477" s="116"/>
      <c r="L477" s="170">
        <v>45581</v>
      </c>
      <c r="M477" s="116">
        <v>664.35</v>
      </c>
      <c r="N477" s="116">
        <v>672.1</v>
      </c>
      <c r="O477" s="116">
        <v>660.85</v>
      </c>
      <c r="P477" s="116">
        <v>669</v>
      </c>
      <c r="Q477" s="116">
        <v>664.35</v>
      </c>
      <c r="R477">
        <v>175757</v>
      </c>
    </row>
    <row r="478" spans="1:18" x14ac:dyDescent="0.25">
      <c r="A478" s="170">
        <v>45582</v>
      </c>
      <c r="B478" s="116">
        <v>670.55</v>
      </c>
      <c r="C478" s="116">
        <v>663.4</v>
      </c>
      <c r="D478" s="116">
        <v>660.6</v>
      </c>
      <c r="E478" s="116">
        <v>664</v>
      </c>
      <c r="F478" s="116">
        <v>663.4</v>
      </c>
      <c r="G478">
        <v>2939</v>
      </c>
      <c r="H478" s="116"/>
      <c r="I478" s="116"/>
      <c r="L478" s="170">
        <v>45582</v>
      </c>
      <c r="M478" s="116">
        <v>664.2</v>
      </c>
      <c r="N478" s="116">
        <v>674</v>
      </c>
      <c r="O478" s="116">
        <v>660.2</v>
      </c>
      <c r="P478" s="116">
        <v>666.05</v>
      </c>
      <c r="Q478" s="116">
        <v>664.2</v>
      </c>
      <c r="R478">
        <v>130656</v>
      </c>
    </row>
    <row r="479" spans="1:18" x14ac:dyDescent="0.25">
      <c r="A479" s="170">
        <v>45583</v>
      </c>
      <c r="B479" s="116">
        <v>664.15</v>
      </c>
      <c r="C479" s="116">
        <v>658.7</v>
      </c>
      <c r="D479" s="116">
        <v>635.25</v>
      </c>
      <c r="E479" s="116">
        <v>658</v>
      </c>
      <c r="F479" s="116">
        <v>658.7</v>
      </c>
      <c r="G479">
        <v>10203</v>
      </c>
      <c r="H479" s="116"/>
      <c r="I479" s="116"/>
      <c r="L479" s="170">
        <v>45583</v>
      </c>
      <c r="M479" s="116">
        <v>658.9</v>
      </c>
      <c r="N479" s="116">
        <v>665.6</v>
      </c>
      <c r="O479" s="116">
        <v>631.9</v>
      </c>
      <c r="P479" s="116">
        <v>663</v>
      </c>
      <c r="Q479" s="116">
        <v>658.9</v>
      </c>
      <c r="R479">
        <v>277058</v>
      </c>
    </row>
    <row r="480" spans="1:18" x14ac:dyDescent="0.25">
      <c r="A480" s="170">
        <v>45586</v>
      </c>
      <c r="B480" s="116">
        <v>658.65</v>
      </c>
      <c r="C480" s="116">
        <v>645.65</v>
      </c>
      <c r="D480" s="116">
        <v>642</v>
      </c>
      <c r="E480" s="116">
        <v>645.54999999999995</v>
      </c>
      <c r="F480" s="116">
        <v>645.65</v>
      </c>
      <c r="G480">
        <v>5238</v>
      </c>
      <c r="H480" s="116"/>
      <c r="I480" s="116"/>
      <c r="L480" s="170">
        <v>45586</v>
      </c>
      <c r="M480" s="116">
        <v>646.04999999999995</v>
      </c>
      <c r="N480" s="116">
        <v>662</v>
      </c>
      <c r="O480" s="116">
        <v>640.6</v>
      </c>
      <c r="P480" s="116">
        <v>658</v>
      </c>
      <c r="Q480" s="116">
        <v>646.04999999999995</v>
      </c>
      <c r="R480">
        <v>214816</v>
      </c>
    </row>
    <row r="481" spans="1:18" x14ac:dyDescent="0.25">
      <c r="A481" s="170">
        <v>45587</v>
      </c>
      <c r="B481" s="116">
        <v>664.6</v>
      </c>
      <c r="C481" s="116">
        <v>617.20000000000005</v>
      </c>
      <c r="D481" s="116">
        <v>614.25</v>
      </c>
      <c r="E481" s="116">
        <v>664.6</v>
      </c>
      <c r="F481" s="116">
        <v>617.20000000000005</v>
      </c>
      <c r="G481">
        <v>7203</v>
      </c>
      <c r="H481" s="116"/>
      <c r="I481" s="116"/>
      <c r="L481" s="170">
        <v>45587</v>
      </c>
      <c r="M481" s="116">
        <v>617.75</v>
      </c>
      <c r="N481" s="116">
        <v>648.35</v>
      </c>
      <c r="O481" s="116">
        <v>613</v>
      </c>
      <c r="P481" s="116">
        <v>647</v>
      </c>
      <c r="Q481" s="116">
        <v>617.75</v>
      </c>
      <c r="R481">
        <v>286125</v>
      </c>
    </row>
    <row r="482" spans="1:18" x14ac:dyDescent="0.25">
      <c r="A482" s="170">
        <v>45588</v>
      </c>
      <c r="B482" s="116">
        <v>631.1</v>
      </c>
      <c r="C482" s="116">
        <v>620.4</v>
      </c>
      <c r="D482" s="116">
        <v>607</v>
      </c>
      <c r="E482" s="116">
        <v>609</v>
      </c>
      <c r="F482" s="116">
        <v>620.4</v>
      </c>
      <c r="G482">
        <v>13578</v>
      </c>
      <c r="H482" s="116"/>
      <c r="I482" s="116"/>
      <c r="L482" s="170">
        <v>45588</v>
      </c>
      <c r="M482" s="116">
        <v>619.79999999999995</v>
      </c>
      <c r="N482" s="116">
        <v>632.4</v>
      </c>
      <c r="O482" s="116">
        <v>605.79999999999995</v>
      </c>
      <c r="P482" s="116">
        <v>620</v>
      </c>
      <c r="Q482" s="116">
        <v>619.79999999999995</v>
      </c>
      <c r="R482">
        <v>241908</v>
      </c>
    </row>
    <row r="483" spans="1:18" x14ac:dyDescent="0.25">
      <c r="A483" s="170">
        <v>45589</v>
      </c>
      <c r="B483" s="116">
        <v>632</v>
      </c>
      <c r="C483" s="116">
        <v>608.70000000000005</v>
      </c>
      <c r="D483" s="116">
        <v>607</v>
      </c>
      <c r="E483" s="116">
        <v>632</v>
      </c>
      <c r="F483" s="116">
        <v>608.70000000000005</v>
      </c>
      <c r="G483">
        <v>14986</v>
      </c>
      <c r="H483" s="116"/>
      <c r="I483" s="116"/>
      <c r="L483" s="170">
        <v>45589</v>
      </c>
      <c r="M483" s="116">
        <v>608.65</v>
      </c>
      <c r="N483" s="116">
        <v>623.95000000000005</v>
      </c>
      <c r="O483" s="116">
        <v>607</v>
      </c>
      <c r="P483" s="116">
        <v>620.1</v>
      </c>
      <c r="Q483" s="116">
        <v>608.65</v>
      </c>
      <c r="R483">
        <v>191823</v>
      </c>
    </row>
    <row r="484" spans="1:18" x14ac:dyDescent="0.25">
      <c r="A484" s="170">
        <v>45590</v>
      </c>
      <c r="B484" s="116">
        <v>616.15</v>
      </c>
      <c r="C484" s="116">
        <v>596.1</v>
      </c>
      <c r="D484" s="116">
        <v>591</v>
      </c>
      <c r="E484" s="116">
        <v>608</v>
      </c>
      <c r="F484" s="116">
        <v>596.1</v>
      </c>
      <c r="G484">
        <v>21962</v>
      </c>
      <c r="H484" s="116"/>
      <c r="I484" s="116"/>
      <c r="L484" s="170">
        <v>45590</v>
      </c>
      <c r="M484" s="116">
        <v>596.85</v>
      </c>
      <c r="N484" s="116">
        <v>617.20000000000005</v>
      </c>
      <c r="O484" s="116">
        <v>590.04999999999995</v>
      </c>
      <c r="P484" s="116">
        <v>609</v>
      </c>
      <c r="Q484" s="116">
        <v>596.85</v>
      </c>
      <c r="R484">
        <v>269300</v>
      </c>
    </row>
    <row r="485" spans="1:18" x14ac:dyDescent="0.25">
      <c r="A485" s="170">
        <v>45593</v>
      </c>
      <c r="B485" s="116">
        <v>693.85</v>
      </c>
      <c r="C485" s="116">
        <v>650.29999999999995</v>
      </c>
      <c r="D485" s="116">
        <v>610</v>
      </c>
      <c r="E485" s="116">
        <v>610</v>
      </c>
      <c r="F485" s="116">
        <v>650.29999999999995</v>
      </c>
      <c r="G485">
        <v>151724</v>
      </c>
      <c r="H485" s="116"/>
      <c r="I485" s="116"/>
      <c r="L485" s="170">
        <v>45593</v>
      </c>
      <c r="M485" s="116">
        <v>651.79999999999995</v>
      </c>
      <c r="N485" s="116">
        <v>694.6</v>
      </c>
      <c r="O485" s="116">
        <v>630.79999999999995</v>
      </c>
      <c r="P485" s="116">
        <v>630.79999999999995</v>
      </c>
      <c r="Q485" s="116">
        <v>651.79999999999995</v>
      </c>
      <c r="R485">
        <v>6447564</v>
      </c>
    </row>
    <row r="486" spans="1:18" x14ac:dyDescent="0.25">
      <c r="A486" s="170">
        <v>45594</v>
      </c>
      <c r="B486" s="116">
        <v>645.9</v>
      </c>
      <c r="C486" s="116">
        <v>627.9</v>
      </c>
      <c r="D486" s="116">
        <v>622.15</v>
      </c>
      <c r="E486" s="116">
        <v>640.9</v>
      </c>
      <c r="F486" s="116">
        <v>627.9</v>
      </c>
      <c r="G486">
        <v>14169</v>
      </c>
      <c r="H486" s="116"/>
      <c r="I486" s="116"/>
      <c r="L486" s="170">
        <v>45594</v>
      </c>
      <c r="M486" s="116">
        <v>628.20000000000005</v>
      </c>
      <c r="N486" s="116">
        <v>645.85</v>
      </c>
      <c r="O486" s="116">
        <v>622.1</v>
      </c>
      <c r="P486" s="116">
        <v>637.15</v>
      </c>
      <c r="Q486" s="116">
        <v>628.20000000000005</v>
      </c>
      <c r="R486">
        <v>497826</v>
      </c>
    </row>
    <row r="487" spans="1:18" x14ac:dyDescent="0.25">
      <c r="A487" s="170">
        <v>45595</v>
      </c>
      <c r="B487" s="116">
        <v>643.29999999999995</v>
      </c>
      <c r="C487" s="116">
        <v>638.95000000000005</v>
      </c>
      <c r="D487" s="116">
        <v>627</v>
      </c>
      <c r="E487" s="116">
        <v>641</v>
      </c>
      <c r="F487" s="116">
        <v>638.95000000000005</v>
      </c>
      <c r="G487">
        <v>11825</v>
      </c>
      <c r="H487" s="116"/>
      <c r="I487" s="116"/>
      <c r="L487" s="170">
        <v>45595</v>
      </c>
      <c r="M487" s="116">
        <v>639.85</v>
      </c>
      <c r="N487" s="116">
        <v>643.75</v>
      </c>
      <c r="O487" s="116">
        <v>625.04999999999995</v>
      </c>
      <c r="P487" s="116">
        <v>628.9</v>
      </c>
      <c r="Q487" s="116">
        <v>639.85</v>
      </c>
      <c r="R487">
        <v>250963</v>
      </c>
    </row>
    <row r="488" spans="1:18" x14ac:dyDescent="0.25">
      <c r="A488" s="170">
        <v>45596</v>
      </c>
      <c r="B488" s="116">
        <v>649.29999999999995</v>
      </c>
      <c r="C488" s="116">
        <v>644.45000000000005</v>
      </c>
      <c r="D488" s="116">
        <v>634.1</v>
      </c>
      <c r="E488" s="116">
        <v>640.75</v>
      </c>
      <c r="F488" s="116">
        <v>644.45000000000005</v>
      </c>
      <c r="G488">
        <v>7151</v>
      </c>
      <c r="H488" s="116"/>
      <c r="I488" s="116"/>
      <c r="L488" s="170">
        <v>45596</v>
      </c>
      <c r="M488" s="116">
        <v>645.95000000000005</v>
      </c>
      <c r="N488" s="116">
        <v>649</v>
      </c>
      <c r="O488" s="116">
        <v>633.75</v>
      </c>
      <c r="P488" s="116">
        <v>641</v>
      </c>
      <c r="Q488" s="116">
        <v>645.95000000000005</v>
      </c>
      <c r="R488">
        <v>212379</v>
      </c>
    </row>
    <row r="489" spans="1:18" x14ac:dyDescent="0.25">
      <c r="A489" s="170">
        <v>45597</v>
      </c>
      <c r="B489" s="116">
        <v>658.9</v>
      </c>
      <c r="C489" s="116">
        <v>650.25</v>
      </c>
      <c r="D489" s="116">
        <v>644.75</v>
      </c>
      <c r="E489" s="116">
        <v>658.9</v>
      </c>
      <c r="F489" s="116">
        <v>650.25</v>
      </c>
      <c r="G489">
        <v>3083</v>
      </c>
      <c r="H489" s="116"/>
      <c r="I489" s="116"/>
      <c r="L489" s="170">
        <v>45597</v>
      </c>
      <c r="M489" s="116">
        <v>649.70000000000005</v>
      </c>
      <c r="N489" s="116">
        <v>654.65</v>
      </c>
      <c r="O489" s="116">
        <v>644.54999999999995</v>
      </c>
      <c r="P489" s="116">
        <v>646.65</v>
      </c>
      <c r="Q489" s="116">
        <v>649.70000000000005</v>
      </c>
      <c r="R489">
        <v>138118</v>
      </c>
    </row>
    <row r="490" spans="1:18" x14ac:dyDescent="0.25">
      <c r="A490" s="170">
        <v>45600</v>
      </c>
      <c r="B490" s="116">
        <v>659.95</v>
      </c>
      <c r="C490" s="116">
        <v>653.54999999999995</v>
      </c>
      <c r="D490" s="116">
        <v>636.65</v>
      </c>
      <c r="E490" s="116">
        <v>655.1</v>
      </c>
      <c r="F490" s="116">
        <v>653.54999999999995</v>
      </c>
      <c r="G490">
        <v>17581</v>
      </c>
      <c r="H490" s="116"/>
      <c r="I490" s="116"/>
      <c r="L490" s="170">
        <v>45600</v>
      </c>
      <c r="M490" s="116">
        <v>653.6</v>
      </c>
      <c r="N490" s="116">
        <v>659.8</v>
      </c>
      <c r="O490" s="116">
        <v>636.1</v>
      </c>
      <c r="P490" s="116">
        <v>649.45000000000005</v>
      </c>
      <c r="Q490" s="116">
        <v>653.6</v>
      </c>
      <c r="R490">
        <v>429252</v>
      </c>
    </row>
    <row r="491" spans="1:18" x14ac:dyDescent="0.25">
      <c r="A491" s="170">
        <v>45601</v>
      </c>
      <c r="B491" s="116">
        <v>692.25</v>
      </c>
      <c r="C491" s="116">
        <v>685.15</v>
      </c>
      <c r="D491" s="116">
        <v>649.85</v>
      </c>
      <c r="E491" s="116">
        <v>663.85</v>
      </c>
      <c r="F491" s="116">
        <v>685.15</v>
      </c>
      <c r="G491">
        <v>121168</v>
      </c>
      <c r="H491" s="116"/>
      <c r="I491" s="116"/>
      <c r="L491" s="170">
        <v>45601</v>
      </c>
      <c r="M491" s="116">
        <v>684</v>
      </c>
      <c r="N491" s="116">
        <v>691.8</v>
      </c>
      <c r="O491" s="116">
        <v>649.15</v>
      </c>
      <c r="P491" s="116">
        <v>652.75</v>
      </c>
      <c r="Q491" s="116">
        <v>684</v>
      </c>
      <c r="R491">
        <v>1098787</v>
      </c>
    </row>
    <row r="492" spans="1:18" x14ac:dyDescent="0.25">
      <c r="A492" s="170">
        <v>45602</v>
      </c>
      <c r="B492" s="116">
        <v>693.65</v>
      </c>
      <c r="C492" s="116">
        <v>686.05</v>
      </c>
      <c r="D492" s="116">
        <v>683.1</v>
      </c>
      <c r="E492" s="116">
        <v>692.95</v>
      </c>
      <c r="F492" s="116">
        <v>686.05</v>
      </c>
      <c r="G492">
        <v>24688</v>
      </c>
      <c r="H492" s="116"/>
      <c r="I492" s="116"/>
      <c r="L492" s="170">
        <v>45602</v>
      </c>
      <c r="M492" s="116">
        <v>686</v>
      </c>
      <c r="N492" s="116">
        <v>693.1</v>
      </c>
      <c r="O492" s="116">
        <v>679</v>
      </c>
      <c r="P492" s="116">
        <v>682.8</v>
      </c>
      <c r="Q492" s="116">
        <v>686</v>
      </c>
      <c r="R492">
        <v>293509</v>
      </c>
    </row>
    <row r="493" spans="1:18" x14ac:dyDescent="0.25">
      <c r="A493" s="170">
        <v>45603</v>
      </c>
      <c r="B493" s="116">
        <v>698.75</v>
      </c>
      <c r="C493" s="116">
        <v>685.65</v>
      </c>
      <c r="D493" s="116">
        <v>676.1</v>
      </c>
      <c r="E493" s="116">
        <v>686</v>
      </c>
      <c r="F493" s="116">
        <v>685.65</v>
      </c>
      <c r="G493">
        <v>27395</v>
      </c>
      <c r="H493" s="116"/>
      <c r="I493" s="116"/>
      <c r="L493" s="170">
        <v>45603</v>
      </c>
      <c r="M493" s="116">
        <v>685.85</v>
      </c>
      <c r="N493" s="116">
        <v>699</v>
      </c>
      <c r="O493" s="116">
        <v>675.05</v>
      </c>
      <c r="P493" s="116">
        <v>680</v>
      </c>
      <c r="Q493" s="116">
        <v>685.85</v>
      </c>
      <c r="R493">
        <v>232473</v>
      </c>
    </row>
    <row r="494" spans="1:18" x14ac:dyDescent="0.25">
      <c r="A494" s="170">
        <v>45604</v>
      </c>
      <c r="B494" s="116">
        <v>684.6</v>
      </c>
      <c r="C494" s="116">
        <v>677.95</v>
      </c>
      <c r="D494" s="116">
        <v>669.5</v>
      </c>
      <c r="E494" s="116">
        <v>684.6</v>
      </c>
      <c r="F494" s="116">
        <v>677.95</v>
      </c>
      <c r="G494">
        <v>8818</v>
      </c>
      <c r="H494" s="116"/>
      <c r="I494" s="116"/>
      <c r="L494" s="170">
        <v>45604</v>
      </c>
      <c r="M494" s="116">
        <v>679.8</v>
      </c>
      <c r="N494" s="116">
        <v>689.7</v>
      </c>
      <c r="O494" s="116">
        <v>669.1</v>
      </c>
      <c r="P494" s="116">
        <v>689.7</v>
      </c>
      <c r="Q494" s="116">
        <v>679.8</v>
      </c>
      <c r="R494">
        <v>198520</v>
      </c>
    </row>
    <row r="495" spans="1:18" x14ac:dyDescent="0.25">
      <c r="A495" s="170">
        <v>45607</v>
      </c>
      <c r="B495" s="116">
        <v>691.85</v>
      </c>
      <c r="C495" s="116">
        <v>686.65</v>
      </c>
      <c r="D495" s="116">
        <v>633.45000000000005</v>
      </c>
      <c r="E495" s="116">
        <v>658</v>
      </c>
      <c r="F495" s="116">
        <v>686.65</v>
      </c>
      <c r="G495">
        <v>26704</v>
      </c>
      <c r="H495" s="116"/>
      <c r="I495" s="116"/>
      <c r="L495" s="170">
        <v>45607</v>
      </c>
      <c r="M495" s="116">
        <v>686.8</v>
      </c>
      <c r="N495" s="116">
        <v>692.9</v>
      </c>
      <c r="O495" s="116">
        <v>631</v>
      </c>
      <c r="P495" s="116">
        <v>650</v>
      </c>
      <c r="Q495" s="116">
        <v>686.8</v>
      </c>
      <c r="R495">
        <v>581371</v>
      </c>
    </row>
    <row r="496" spans="1:18" x14ac:dyDescent="0.25">
      <c r="A496" s="170">
        <v>45608</v>
      </c>
      <c r="B496" s="116">
        <v>700</v>
      </c>
      <c r="C496" s="116">
        <v>686.95</v>
      </c>
      <c r="D496" s="116">
        <v>670.45</v>
      </c>
      <c r="E496" s="116">
        <v>700</v>
      </c>
      <c r="F496" s="116">
        <v>686.95</v>
      </c>
      <c r="G496">
        <v>10972</v>
      </c>
      <c r="H496" s="116"/>
      <c r="I496" s="116"/>
      <c r="L496" s="170">
        <v>45608</v>
      </c>
      <c r="M496" s="116">
        <v>687.85</v>
      </c>
      <c r="N496" s="116">
        <v>696.8</v>
      </c>
      <c r="O496" s="116">
        <v>670.3</v>
      </c>
      <c r="P496" s="116">
        <v>686</v>
      </c>
      <c r="Q496" s="116">
        <v>687.85</v>
      </c>
      <c r="R496">
        <v>370820</v>
      </c>
    </row>
    <row r="497" spans="1:18" x14ac:dyDescent="0.25">
      <c r="A497" s="170">
        <v>45609</v>
      </c>
      <c r="B497" s="116">
        <v>685</v>
      </c>
      <c r="C497" s="116">
        <v>674.8</v>
      </c>
      <c r="D497" s="116">
        <v>659.45</v>
      </c>
      <c r="E497" s="116">
        <v>685</v>
      </c>
      <c r="F497" s="116">
        <v>674.8</v>
      </c>
      <c r="G497">
        <v>10246</v>
      </c>
      <c r="H497" s="116"/>
      <c r="I497" s="116"/>
      <c r="L497" s="170">
        <v>45609</v>
      </c>
      <c r="M497" s="116">
        <v>676.2</v>
      </c>
      <c r="N497" s="116">
        <v>685</v>
      </c>
      <c r="O497" s="116">
        <v>659.25</v>
      </c>
      <c r="P497" s="116">
        <v>685</v>
      </c>
      <c r="Q497" s="116">
        <v>676.2</v>
      </c>
      <c r="R497">
        <v>317135</v>
      </c>
    </row>
    <row r="498" spans="1:18" x14ac:dyDescent="0.25">
      <c r="A498" s="170">
        <v>45610</v>
      </c>
      <c r="B498" s="116">
        <v>694</v>
      </c>
      <c r="C498" s="116">
        <v>678.95</v>
      </c>
      <c r="D498" s="116">
        <v>662.75</v>
      </c>
      <c r="E498" s="116">
        <v>662.75</v>
      </c>
      <c r="F498" s="116">
        <v>678.95</v>
      </c>
      <c r="G498">
        <v>7005</v>
      </c>
      <c r="H498" s="116"/>
      <c r="I498" s="116"/>
      <c r="L498" s="170">
        <v>45610</v>
      </c>
      <c r="M498" s="116">
        <v>679.8</v>
      </c>
      <c r="N498" s="116">
        <v>694.5</v>
      </c>
      <c r="O498" s="116">
        <v>670.5</v>
      </c>
      <c r="P498" s="116">
        <v>671.65</v>
      </c>
      <c r="Q498" s="116">
        <v>679.8</v>
      </c>
      <c r="R498">
        <v>248870</v>
      </c>
    </row>
    <row r="499" spans="1:18" x14ac:dyDescent="0.25">
      <c r="A499" s="170">
        <v>45614</v>
      </c>
      <c r="B499" s="116">
        <v>691</v>
      </c>
      <c r="C499" s="116">
        <v>688.5</v>
      </c>
      <c r="D499" s="116">
        <v>666.15</v>
      </c>
      <c r="E499" s="116">
        <v>666.15</v>
      </c>
      <c r="F499" s="116">
        <v>688.5</v>
      </c>
      <c r="G499">
        <v>13196</v>
      </c>
      <c r="H499" s="116"/>
      <c r="I499" s="116"/>
      <c r="L499" s="170">
        <v>45614</v>
      </c>
      <c r="M499" s="116">
        <v>688.9</v>
      </c>
      <c r="N499" s="116">
        <v>691.8</v>
      </c>
      <c r="O499" s="116">
        <v>670.85</v>
      </c>
      <c r="P499" s="116">
        <v>671.45</v>
      </c>
      <c r="Q499" s="116">
        <v>688.9</v>
      </c>
      <c r="R499">
        <v>229309</v>
      </c>
    </row>
    <row r="500" spans="1:18" x14ac:dyDescent="0.25">
      <c r="A500" s="170">
        <v>45615</v>
      </c>
      <c r="B500" s="116">
        <v>703</v>
      </c>
      <c r="C500" s="116">
        <v>678.3</v>
      </c>
      <c r="D500" s="116">
        <v>674.5</v>
      </c>
      <c r="E500" s="116">
        <v>692.05</v>
      </c>
      <c r="F500" s="116">
        <v>678.3</v>
      </c>
      <c r="G500">
        <v>9571</v>
      </c>
      <c r="H500" s="116"/>
      <c r="I500" s="116"/>
      <c r="L500" s="170">
        <v>45615</v>
      </c>
      <c r="M500" s="116">
        <v>677.9</v>
      </c>
      <c r="N500" s="116">
        <v>703.9</v>
      </c>
      <c r="O500" s="116">
        <v>670.2</v>
      </c>
      <c r="P500" s="116">
        <v>694.85</v>
      </c>
      <c r="Q500" s="116">
        <v>677.9</v>
      </c>
      <c r="R500">
        <v>321352</v>
      </c>
    </row>
    <row r="501" spans="1:18" x14ac:dyDescent="0.25">
      <c r="A501" s="170">
        <v>45617</v>
      </c>
      <c r="B501" s="116">
        <v>679</v>
      </c>
      <c r="C501" s="116">
        <v>664.35</v>
      </c>
      <c r="D501" s="116">
        <v>659.7</v>
      </c>
      <c r="E501" s="116">
        <v>672.05</v>
      </c>
      <c r="F501" s="116">
        <v>664.35</v>
      </c>
      <c r="G501">
        <v>22316</v>
      </c>
      <c r="H501" s="116"/>
      <c r="I501" s="116"/>
      <c r="L501" s="170">
        <v>45617</v>
      </c>
      <c r="M501" s="116">
        <v>663.05</v>
      </c>
      <c r="N501" s="116">
        <v>679.9</v>
      </c>
      <c r="O501" s="116">
        <v>659</v>
      </c>
      <c r="P501" s="116">
        <v>679</v>
      </c>
      <c r="Q501" s="116">
        <v>663.05</v>
      </c>
      <c r="R501">
        <v>180663</v>
      </c>
    </row>
    <row r="502" spans="1:18" x14ac:dyDescent="0.25">
      <c r="A502" s="170">
        <v>45618</v>
      </c>
      <c r="B502" s="116">
        <v>685.6</v>
      </c>
      <c r="C502" s="116">
        <v>680.2</v>
      </c>
      <c r="D502" s="116">
        <v>653.1</v>
      </c>
      <c r="E502" s="116">
        <v>653.1</v>
      </c>
      <c r="F502" s="116">
        <v>680.2</v>
      </c>
      <c r="G502">
        <v>19201</v>
      </c>
      <c r="H502" s="116"/>
      <c r="I502" s="116"/>
      <c r="L502" s="170">
        <v>45618</v>
      </c>
      <c r="M502" s="116">
        <v>679.85</v>
      </c>
      <c r="N502" s="116">
        <v>686.45</v>
      </c>
      <c r="O502" s="116">
        <v>664</v>
      </c>
      <c r="P502" s="116">
        <v>664</v>
      </c>
      <c r="Q502" s="116">
        <v>679.85</v>
      </c>
      <c r="R502">
        <v>174525</v>
      </c>
    </row>
    <row r="503" spans="1:18" x14ac:dyDescent="0.25">
      <c r="A503" s="170">
        <v>45621</v>
      </c>
      <c r="B503" s="116">
        <v>720.25</v>
      </c>
      <c r="C503" s="116">
        <v>716.55</v>
      </c>
      <c r="D503" s="116">
        <v>680.95</v>
      </c>
      <c r="E503" s="116">
        <v>681.05</v>
      </c>
      <c r="F503" s="116">
        <v>716.55</v>
      </c>
      <c r="G503">
        <v>33434</v>
      </c>
      <c r="H503" s="116"/>
      <c r="I503" s="116"/>
      <c r="L503" s="170">
        <v>45621</v>
      </c>
      <c r="M503" s="116">
        <v>717</v>
      </c>
      <c r="N503" s="116">
        <v>720.9</v>
      </c>
      <c r="O503" s="116">
        <v>680.8</v>
      </c>
      <c r="P503" s="116">
        <v>686.95</v>
      </c>
      <c r="Q503" s="116">
        <v>717</v>
      </c>
      <c r="R503">
        <v>544565</v>
      </c>
    </row>
    <row r="504" spans="1:18" x14ac:dyDescent="0.25">
      <c r="A504" s="170">
        <v>45622</v>
      </c>
      <c r="B504" s="116">
        <v>725.3</v>
      </c>
      <c r="C504" s="116">
        <v>708.25</v>
      </c>
      <c r="D504" s="116">
        <v>703.15</v>
      </c>
      <c r="E504" s="116">
        <v>725.3</v>
      </c>
      <c r="F504" s="116">
        <v>708.25</v>
      </c>
      <c r="G504">
        <v>10217</v>
      </c>
      <c r="H504" s="116"/>
      <c r="I504" s="116"/>
      <c r="L504" s="170">
        <v>45622</v>
      </c>
      <c r="M504" s="116">
        <v>708.55</v>
      </c>
      <c r="N504" s="116">
        <v>721.9</v>
      </c>
      <c r="O504" s="116">
        <v>702.9</v>
      </c>
      <c r="P504" s="116">
        <v>720</v>
      </c>
      <c r="Q504" s="116">
        <v>708.55</v>
      </c>
      <c r="R504">
        <v>168568</v>
      </c>
    </row>
    <row r="505" spans="1:18" x14ac:dyDescent="0.25">
      <c r="A505" s="170">
        <v>45623</v>
      </c>
      <c r="B505" s="116">
        <v>715</v>
      </c>
      <c r="C505" s="116">
        <v>693.95</v>
      </c>
      <c r="D505" s="116">
        <v>690.95</v>
      </c>
      <c r="E505" s="116">
        <v>705.05</v>
      </c>
      <c r="F505" s="116">
        <v>693.95</v>
      </c>
      <c r="G505">
        <v>5691</v>
      </c>
      <c r="H505" s="116"/>
      <c r="I505" s="116"/>
      <c r="L505" s="170">
        <v>45623</v>
      </c>
      <c r="M505" s="116">
        <v>694.35</v>
      </c>
      <c r="N505" s="116">
        <v>716</v>
      </c>
      <c r="O505" s="116">
        <v>690.05</v>
      </c>
      <c r="P505" s="116">
        <v>709.95</v>
      </c>
      <c r="Q505" s="116">
        <v>694.35</v>
      </c>
      <c r="R505">
        <v>245310</v>
      </c>
    </row>
    <row r="506" spans="1:18" x14ac:dyDescent="0.25">
      <c r="A506" s="170">
        <v>45624</v>
      </c>
      <c r="B506" s="116">
        <v>707.85</v>
      </c>
      <c r="C506" s="116">
        <v>688.05</v>
      </c>
      <c r="D506" s="116">
        <v>685.6</v>
      </c>
      <c r="E506" s="116">
        <v>707.85</v>
      </c>
      <c r="F506" s="116">
        <v>688.05</v>
      </c>
      <c r="G506">
        <v>4089</v>
      </c>
      <c r="H506" s="116"/>
      <c r="I506" s="116"/>
      <c r="L506" s="170">
        <v>45624</v>
      </c>
      <c r="M506" s="116">
        <v>688.7</v>
      </c>
      <c r="N506" s="116">
        <v>706.35</v>
      </c>
      <c r="O506" s="116">
        <v>686</v>
      </c>
      <c r="P506" s="116">
        <v>696</v>
      </c>
      <c r="Q506" s="116">
        <v>688.7</v>
      </c>
      <c r="R506">
        <v>158928</v>
      </c>
    </row>
    <row r="507" spans="1:18" x14ac:dyDescent="0.25">
      <c r="A507" s="170">
        <v>45625</v>
      </c>
      <c r="B507" s="116">
        <v>719.3</v>
      </c>
      <c r="C507" s="116">
        <v>712.3</v>
      </c>
      <c r="D507" s="116">
        <v>688.05</v>
      </c>
      <c r="E507" s="116">
        <v>688.05</v>
      </c>
      <c r="F507" s="116">
        <v>712.3</v>
      </c>
      <c r="G507">
        <v>10428</v>
      </c>
      <c r="H507" s="116"/>
      <c r="I507" s="116"/>
      <c r="L507" s="170">
        <v>45625</v>
      </c>
      <c r="M507" s="116">
        <v>712.45</v>
      </c>
      <c r="N507" s="116">
        <v>719.9</v>
      </c>
      <c r="O507" s="116">
        <v>688.2</v>
      </c>
      <c r="P507" s="116">
        <v>689</v>
      </c>
      <c r="Q507" s="116">
        <v>712.45</v>
      </c>
      <c r="R507">
        <v>372050</v>
      </c>
    </row>
    <row r="508" spans="1:18" x14ac:dyDescent="0.25">
      <c r="A508" s="170">
        <v>45628</v>
      </c>
      <c r="B508" s="116">
        <v>721.1</v>
      </c>
      <c r="C508" s="116">
        <v>712.8</v>
      </c>
      <c r="D508" s="116">
        <v>702.2</v>
      </c>
      <c r="E508" s="116">
        <v>721.1</v>
      </c>
      <c r="F508" s="116">
        <v>712.8</v>
      </c>
      <c r="G508">
        <v>5626</v>
      </c>
      <c r="H508" s="116"/>
      <c r="I508" s="116"/>
      <c r="L508" s="170">
        <v>45628</v>
      </c>
      <c r="M508" s="116">
        <v>713.15</v>
      </c>
      <c r="N508" s="116">
        <v>716.65</v>
      </c>
      <c r="O508" s="116">
        <v>701.55</v>
      </c>
      <c r="P508" s="116">
        <v>710</v>
      </c>
      <c r="Q508" s="116">
        <v>713.15</v>
      </c>
      <c r="R508">
        <v>193508</v>
      </c>
    </row>
    <row r="509" spans="1:18" x14ac:dyDescent="0.25">
      <c r="A509" s="170">
        <v>45629</v>
      </c>
      <c r="B509" s="116">
        <v>730.45</v>
      </c>
      <c r="C509" s="116">
        <v>706.75</v>
      </c>
      <c r="D509" s="116">
        <v>700</v>
      </c>
      <c r="E509" s="116">
        <v>707</v>
      </c>
      <c r="F509" s="116">
        <v>706.75</v>
      </c>
      <c r="G509">
        <v>13626</v>
      </c>
      <c r="H509" s="116"/>
      <c r="I509" s="116"/>
      <c r="L509" s="170">
        <v>45629</v>
      </c>
      <c r="M509" s="116">
        <v>707.7</v>
      </c>
      <c r="N509" s="116">
        <v>730</v>
      </c>
      <c r="O509" s="116">
        <v>705.1</v>
      </c>
      <c r="P509" s="116">
        <v>715</v>
      </c>
      <c r="Q509" s="116">
        <v>707.7</v>
      </c>
      <c r="R509">
        <v>398842</v>
      </c>
    </row>
    <row r="510" spans="1:18" x14ac:dyDescent="0.25">
      <c r="A510" s="170">
        <v>45630</v>
      </c>
      <c r="B510" s="116">
        <v>720.45</v>
      </c>
      <c r="C510" s="116">
        <v>698.2</v>
      </c>
      <c r="D510" s="116">
        <v>694.35</v>
      </c>
      <c r="E510" s="116">
        <v>712.9</v>
      </c>
      <c r="F510" s="116">
        <v>698.2</v>
      </c>
      <c r="G510">
        <v>7728</v>
      </c>
      <c r="H510" s="116"/>
      <c r="I510" s="116"/>
      <c r="L510" s="170">
        <v>45630</v>
      </c>
      <c r="M510" s="116">
        <v>698.35</v>
      </c>
      <c r="N510" s="116">
        <v>720</v>
      </c>
      <c r="O510" s="116">
        <v>694.25</v>
      </c>
      <c r="P510" s="116">
        <v>712</v>
      </c>
      <c r="Q510" s="116">
        <v>698.35</v>
      </c>
      <c r="R510">
        <v>301979</v>
      </c>
    </row>
    <row r="511" spans="1:18" x14ac:dyDescent="0.25">
      <c r="A511" s="170">
        <v>45631</v>
      </c>
      <c r="B511" s="116">
        <v>700.15</v>
      </c>
      <c r="C511" s="116">
        <v>691.95</v>
      </c>
      <c r="D511" s="116">
        <v>687.6</v>
      </c>
      <c r="E511" s="116">
        <v>696.7</v>
      </c>
      <c r="F511" s="116">
        <v>691.95</v>
      </c>
      <c r="G511">
        <v>6564</v>
      </c>
      <c r="H511" s="116"/>
      <c r="I511" s="116"/>
      <c r="L511" s="170">
        <v>45631</v>
      </c>
      <c r="M511" s="116">
        <v>692.65</v>
      </c>
      <c r="N511" s="116">
        <v>700.45</v>
      </c>
      <c r="O511" s="116">
        <v>687</v>
      </c>
      <c r="P511" s="116">
        <v>699</v>
      </c>
      <c r="Q511" s="116">
        <v>692.65</v>
      </c>
      <c r="R511">
        <v>189350</v>
      </c>
    </row>
    <row r="512" spans="1:18" x14ac:dyDescent="0.25">
      <c r="A512" s="170">
        <v>45632</v>
      </c>
      <c r="B512" s="116">
        <v>708.95</v>
      </c>
      <c r="C512" s="116">
        <v>695.5</v>
      </c>
      <c r="D512" s="116">
        <v>685.25</v>
      </c>
      <c r="E512" s="116">
        <v>685.25</v>
      </c>
      <c r="F512" s="116">
        <v>695.5</v>
      </c>
      <c r="G512">
        <v>8519</v>
      </c>
      <c r="H512" s="116"/>
      <c r="I512" s="116"/>
      <c r="L512" s="170">
        <v>45632</v>
      </c>
      <c r="M512" s="116">
        <v>695.5</v>
      </c>
      <c r="N512" s="116">
        <v>709.9</v>
      </c>
      <c r="O512" s="116">
        <v>690.55</v>
      </c>
      <c r="P512" s="116">
        <v>693.9</v>
      </c>
      <c r="Q512" s="116">
        <v>695.5</v>
      </c>
      <c r="R512">
        <v>275731</v>
      </c>
    </row>
    <row r="513" spans="1:18" x14ac:dyDescent="0.25">
      <c r="A513" s="170">
        <v>45635</v>
      </c>
      <c r="B513" s="116">
        <v>702.05</v>
      </c>
      <c r="C513" s="116">
        <v>699.9</v>
      </c>
      <c r="D513" s="116">
        <v>691.2</v>
      </c>
      <c r="E513" s="116">
        <v>701.55</v>
      </c>
      <c r="F513" s="116">
        <v>699.9</v>
      </c>
      <c r="G513">
        <v>12032</v>
      </c>
      <c r="H513" s="116"/>
      <c r="I513" s="116"/>
      <c r="L513" s="170">
        <v>45635</v>
      </c>
      <c r="M513" s="116">
        <v>699.45</v>
      </c>
      <c r="N513" s="116">
        <v>702.9</v>
      </c>
      <c r="O513" s="116">
        <v>691.35</v>
      </c>
      <c r="P513" s="116">
        <v>694</v>
      </c>
      <c r="Q513" s="116">
        <v>699.45</v>
      </c>
      <c r="R513">
        <v>159761</v>
      </c>
    </row>
    <row r="514" spans="1:18" x14ac:dyDescent="0.25">
      <c r="A514" s="170">
        <v>45636</v>
      </c>
      <c r="B514" s="116">
        <v>715.05</v>
      </c>
      <c r="C514" s="116">
        <v>710.9</v>
      </c>
      <c r="D514" s="116">
        <v>691.1</v>
      </c>
      <c r="E514" s="116">
        <v>700</v>
      </c>
      <c r="F514" s="116">
        <v>710.9</v>
      </c>
      <c r="G514">
        <v>20598</v>
      </c>
      <c r="H514" s="116"/>
      <c r="I514" s="116"/>
      <c r="L514" s="170">
        <v>45636</v>
      </c>
      <c r="M514" s="116">
        <v>711.6</v>
      </c>
      <c r="N514" s="116">
        <v>715.35</v>
      </c>
      <c r="O514" s="116">
        <v>691.05</v>
      </c>
      <c r="P514" s="116">
        <v>700</v>
      </c>
      <c r="Q514" s="116">
        <v>711.6</v>
      </c>
      <c r="R514">
        <v>433146</v>
      </c>
    </row>
    <row r="515" spans="1:18" x14ac:dyDescent="0.25">
      <c r="A515" s="170">
        <v>45637</v>
      </c>
      <c r="B515" s="116">
        <v>715.1</v>
      </c>
      <c r="C515" s="116">
        <v>697.2</v>
      </c>
      <c r="D515" s="116">
        <v>692.1</v>
      </c>
      <c r="E515" s="116">
        <v>715.1</v>
      </c>
      <c r="F515" s="116">
        <v>697.2</v>
      </c>
      <c r="G515">
        <v>6524</v>
      </c>
      <c r="H515" s="116"/>
      <c r="I515" s="116"/>
      <c r="L515" s="170">
        <v>45637</v>
      </c>
      <c r="M515" s="116">
        <v>699.85</v>
      </c>
      <c r="N515" s="116">
        <v>711.95</v>
      </c>
      <c r="O515" s="116">
        <v>692.2</v>
      </c>
      <c r="P515" s="116">
        <v>711.95</v>
      </c>
      <c r="Q515" s="116">
        <v>699.85</v>
      </c>
      <c r="R515">
        <v>270903</v>
      </c>
    </row>
    <row r="516" spans="1:18" x14ac:dyDescent="0.25">
      <c r="A516" s="170">
        <v>45638</v>
      </c>
      <c r="B516" s="116">
        <v>708.95</v>
      </c>
      <c r="C516" s="116">
        <v>691.3</v>
      </c>
      <c r="D516" s="116">
        <v>682.5</v>
      </c>
      <c r="E516" s="116">
        <v>695.05</v>
      </c>
      <c r="F516" s="116">
        <v>691.3</v>
      </c>
      <c r="G516">
        <v>6178</v>
      </c>
      <c r="H516" s="116"/>
      <c r="I516" s="116"/>
      <c r="L516" s="170">
        <v>45638</v>
      </c>
      <c r="M516" s="116">
        <v>693.65</v>
      </c>
      <c r="N516" s="116">
        <v>709</v>
      </c>
      <c r="O516" s="116">
        <v>682.25</v>
      </c>
      <c r="P516" s="116">
        <v>699.9</v>
      </c>
      <c r="Q516" s="116">
        <v>693.65</v>
      </c>
      <c r="R516">
        <v>283732</v>
      </c>
    </row>
    <row r="517" spans="1:18" x14ac:dyDescent="0.25">
      <c r="A517" s="170">
        <v>45639</v>
      </c>
      <c r="B517" s="116">
        <v>694.35</v>
      </c>
      <c r="C517" s="116">
        <v>668.4</v>
      </c>
      <c r="D517" s="116">
        <v>656.8</v>
      </c>
      <c r="E517" s="116">
        <v>688.95</v>
      </c>
      <c r="F517" s="116">
        <v>668.4</v>
      </c>
      <c r="G517">
        <v>7820</v>
      </c>
      <c r="H517" s="116"/>
      <c r="I517" s="116"/>
      <c r="L517" s="170">
        <v>45639</v>
      </c>
      <c r="M517" s="116">
        <v>669.3</v>
      </c>
      <c r="N517" s="116">
        <v>695</v>
      </c>
      <c r="O517" s="116">
        <v>660.85</v>
      </c>
      <c r="P517" s="116">
        <v>684.05</v>
      </c>
      <c r="Q517" s="116">
        <v>669.3</v>
      </c>
      <c r="R517">
        <v>371578</v>
      </c>
    </row>
    <row r="518" spans="1:18" x14ac:dyDescent="0.25">
      <c r="A518" s="170">
        <v>45642</v>
      </c>
      <c r="B518" s="116">
        <v>671.85</v>
      </c>
      <c r="C518" s="116">
        <v>665.3</v>
      </c>
      <c r="D518" s="116">
        <v>660.4</v>
      </c>
      <c r="E518" s="116">
        <v>662.8</v>
      </c>
      <c r="F518" s="116">
        <v>665.3</v>
      </c>
      <c r="G518">
        <v>7367</v>
      </c>
      <c r="H518" s="116"/>
      <c r="I518" s="116"/>
      <c r="L518" s="170">
        <v>45642</v>
      </c>
      <c r="M518" s="116">
        <v>666.25</v>
      </c>
      <c r="N518" s="116">
        <v>671.85</v>
      </c>
      <c r="O518" s="116">
        <v>660.2</v>
      </c>
      <c r="P518" s="116">
        <v>662.55</v>
      </c>
      <c r="Q518" s="116">
        <v>666.25</v>
      </c>
      <c r="R518">
        <v>240741</v>
      </c>
    </row>
    <row r="519" spans="1:18" x14ac:dyDescent="0.25">
      <c r="A519" s="170">
        <v>45643</v>
      </c>
      <c r="B519" s="116">
        <v>676.9</v>
      </c>
      <c r="C519" s="116">
        <v>657.35</v>
      </c>
      <c r="D519" s="116">
        <v>655.20000000000005</v>
      </c>
      <c r="E519" s="116">
        <v>666.1</v>
      </c>
      <c r="F519" s="116">
        <v>657.35</v>
      </c>
      <c r="G519">
        <v>6823</v>
      </c>
      <c r="H519" s="116"/>
      <c r="I519" s="116"/>
      <c r="L519" s="170">
        <v>45643</v>
      </c>
      <c r="M519" s="116">
        <v>658.45</v>
      </c>
      <c r="N519" s="116">
        <v>677.5</v>
      </c>
      <c r="O519" s="116">
        <v>655.95</v>
      </c>
      <c r="P519" s="116">
        <v>666</v>
      </c>
      <c r="Q519" s="116">
        <v>658.45</v>
      </c>
      <c r="R519">
        <v>285150</v>
      </c>
    </row>
    <row r="520" spans="1:18" x14ac:dyDescent="0.25">
      <c r="A520" s="170">
        <v>45644</v>
      </c>
      <c r="B520" s="116">
        <v>670.45</v>
      </c>
      <c r="C520" s="116">
        <v>668</v>
      </c>
      <c r="D520" s="116">
        <v>658.05</v>
      </c>
      <c r="E520" s="116">
        <v>663.9</v>
      </c>
      <c r="F520" s="116">
        <v>668</v>
      </c>
      <c r="G520">
        <v>139554</v>
      </c>
      <c r="H520" s="116"/>
      <c r="I520" s="116"/>
      <c r="L520" s="170">
        <v>45644</v>
      </c>
      <c r="M520" s="116">
        <v>668.9</v>
      </c>
      <c r="N520" s="116">
        <v>670.85</v>
      </c>
      <c r="O520" s="116">
        <v>658</v>
      </c>
      <c r="P520" s="116">
        <v>660</v>
      </c>
      <c r="Q520" s="116">
        <v>668.9</v>
      </c>
      <c r="R520">
        <v>204159</v>
      </c>
    </row>
    <row r="521" spans="1:18" x14ac:dyDescent="0.25">
      <c r="A521" s="170">
        <v>45645</v>
      </c>
      <c r="B521" s="116">
        <v>668.6</v>
      </c>
      <c r="C521" s="116">
        <v>667.1</v>
      </c>
      <c r="D521" s="116">
        <v>654</v>
      </c>
      <c r="E521" s="116">
        <v>666.1</v>
      </c>
      <c r="F521" s="116">
        <v>667.1</v>
      </c>
      <c r="G521">
        <v>5521</v>
      </c>
      <c r="H521" s="116"/>
      <c r="I521" s="116"/>
      <c r="L521" s="170">
        <v>45645</v>
      </c>
      <c r="M521" s="116">
        <v>667.85</v>
      </c>
      <c r="N521" s="116">
        <v>669</v>
      </c>
      <c r="O521" s="116">
        <v>654</v>
      </c>
      <c r="P521" s="116">
        <v>662.2</v>
      </c>
      <c r="Q521" s="116">
        <v>667.85</v>
      </c>
      <c r="R521">
        <v>103961</v>
      </c>
    </row>
    <row r="522" spans="1:18" x14ac:dyDescent="0.25">
      <c r="A522" s="170">
        <v>45646</v>
      </c>
      <c r="B522" s="116">
        <v>670</v>
      </c>
      <c r="C522" s="116">
        <v>654.35</v>
      </c>
      <c r="D522" s="116">
        <v>651.5</v>
      </c>
      <c r="E522" s="116">
        <v>666.4</v>
      </c>
      <c r="F522" s="116">
        <v>654.35</v>
      </c>
      <c r="G522">
        <v>5461</v>
      </c>
      <c r="H522" s="116"/>
      <c r="I522" s="116"/>
      <c r="L522" s="170">
        <v>45646</v>
      </c>
      <c r="M522" s="116">
        <v>655.35</v>
      </c>
      <c r="N522" s="116">
        <v>672.8</v>
      </c>
      <c r="O522" s="116">
        <v>650</v>
      </c>
      <c r="P522" s="116">
        <v>672.8</v>
      </c>
      <c r="Q522" s="116">
        <v>655.35</v>
      </c>
      <c r="R522">
        <v>98153</v>
      </c>
    </row>
    <row r="523" spans="1:18" x14ac:dyDescent="0.25">
      <c r="A523" s="170">
        <v>45649</v>
      </c>
      <c r="B523" s="116">
        <v>667.75</v>
      </c>
      <c r="C523" s="116">
        <v>664.2</v>
      </c>
      <c r="D523" s="116">
        <v>638.6</v>
      </c>
      <c r="E523" s="116">
        <v>653</v>
      </c>
      <c r="F523" s="116">
        <v>664.2</v>
      </c>
      <c r="G523">
        <v>7828</v>
      </c>
      <c r="H523" s="116"/>
      <c r="I523" s="116"/>
      <c r="L523" s="170">
        <v>45649</v>
      </c>
      <c r="M523" s="116">
        <v>661.4</v>
      </c>
      <c r="N523" s="116">
        <v>668</v>
      </c>
      <c r="O523" s="116">
        <v>638.1</v>
      </c>
      <c r="P523" s="116">
        <v>656</v>
      </c>
      <c r="Q523" s="116">
        <v>661.4</v>
      </c>
      <c r="R523">
        <v>201906</v>
      </c>
    </row>
    <row r="524" spans="1:18" x14ac:dyDescent="0.25">
      <c r="A524" s="170">
        <v>45650</v>
      </c>
      <c r="B524" s="116">
        <v>668.95</v>
      </c>
      <c r="C524" s="116">
        <v>663</v>
      </c>
      <c r="D524" s="116">
        <v>652.85</v>
      </c>
      <c r="E524" s="116">
        <v>660.2</v>
      </c>
      <c r="F524" s="116">
        <v>663</v>
      </c>
      <c r="G524">
        <v>6749</v>
      </c>
      <c r="H524" s="116"/>
      <c r="I524" s="116"/>
      <c r="L524" s="170">
        <v>45650</v>
      </c>
      <c r="M524" s="116">
        <v>664.05</v>
      </c>
      <c r="N524" s="116">
        <v>669.75</v>
      </c>
      <c r="O524" s="116">
        <v>652.75</v>
      </c>
      <c r="P524" s="116">
        <v>661</v>
      </c>
      <c r="Q524" s="116">
        <v>664.05</v>
      </c>
      <c r="R524">
        <v>86216</v>
      </c>
    </row>
    <row r="525" spans="1:18" x14ac:dyDescent="0.25">
      <c r="A525" s="170">
        <v>45652</v>
      </c>
      <c r="B525" s="116">
        <v>669</v>
      </c>
      <c r="C525" s="116">
        <v>658.4</v>
      </c>
      <c r="D525" s="116">
        <v>655.7</v>
      </c>
      <c r="E525" s="116">
        <v>665</v>
      </c>
      <c r="F525" s="116">
        <v>658.4</v>
      </c>
      <c r="G525">
        <v>4402</v>
      </c>
      <c r="H525" s="116"/>
      <c r="I525" s="116"/>
      <c r="L525" s="170">
        <v>45652</v>
      </c>
      <c r="M525" s="116">
        <v>657.25</v>
      </c>
      <c r="N525" s="116">
        <v>671.5</v>
      </c>
      <c r="O525" s="116">
        <v>655</v>
      </c>
      <c r="P525" s="116">
        <v>669.8</v>
      </c>
      <c r="Q525" s="116">
        <v>657.25</v>
      </c>
      <c r="R525">
        <v>92989</v>
      </c>
    </row>
    <row r="526" spans="1:18" x14ac:dyDescent="0.25">
      <c r="A526" s="170">
        <v>45653</v>
      </c>
      <c r="B526" s="116">
        <v>670</v>
      </c>
      <c r="C526" s="116">
        <v>662.5</v>
      </c>
      <c r="D526" s="116">
        <v>656.55</v>
      </c>
      <c r="E526" s="116">
        <v>656.55</v>
      </c>
      <c r="F526" s="116">
        <v>662.5</v>
      </c>
      <c r="G526">
        <v>7940</v>
      </c>
      <c r="H526" s="116"/>
      <c r="I526" s="116"/>
      <c r="L526" s="170">
        <v>45653</v>
      </c>
      <c r="M526" s="116">
        <v>662.4</v>
      </c>
      <c r="N526" s="116">
        <v>670.2</v>
      </c>
      <c r="O526" s="116">
        <v>657.65</v>
      </c>
      <c r="P526" s="116">
        <v>659.9</v>
      </c>
      <c r="Q526" s="116">
        <v>662.4</v>
      </c>
      <c r="R526">
        <v>115399</v>
      </c>
    </row>
    <row r="527" spans="1:18" x14ac:dyDescent="0.25">
      <c r="A527" s="170">
        <v>45656</v>
      </c>
      <c r="B527" s="116">
        <v>669.9</v>
      </c>
      <c r="C527" s="116">
        <v>665.2</v>
      </c>
      <c r="D527" s="116">
        <v>660</v>
      </c>
      <c r="E527" s="116">
        <v>660.05</v>
      </c>
      <c r="F527" s="116">
        <v>665.2</v>
      </c>
      <c r="G527">
        <v>10456</v>
      </c>
      <c r="H527" s="116"/>
      <c r="I527" s="116"/>
      <c r="L527" s="170">
        <v>45656</v>
      </c>
      <c r="M527" s="116">
        <v>666.05</v>
      </c>
      <c r="N527" s="116">
        <v>670</v>
      </c>
      <c r="O527" s="116">
        <v>660.2</v>
      </c>
      <c r="P527" s="116">
        <v>663.05</v>
      </c>
      <c r="Q527" s="116">
        <v>666.05</v>
      </c>
      <c r="R527">
        <v>126348</v>
      </c>
    </row>
    <row r="528" spans="1:18" x14ac:dyDescent="0.25">
      <c r="A528" s="170">
        <v>45657</v>
      </c>
      <c r="B528" s="116">
        <v>670.45</v>
      </c>
      <c r="C528" s="116">
        <v>669.1</v>
      </c>
      <c r="D528" s="116">
        <v>656.1</v>
      </c>
      <c r="E528" s="116">
        <v>660.05</v>
      </c>
      <c r="F528" s="116">
        <v>669.1</v>
      </c>
      <c r="G528">
        <v>2237</v>
      </c>
      <c r="H528" s="116"/>
      <c r="I528" s="116"/>
      <c r="L528" s="170">
        <v>45657</v>
      </c>
      <c r="M528" s="116">
        <v>669.55</v>
      </c>
      <c r="N528" s="116">
        <v>670</v>
      </c>
      <c r="O528" s="116">
        <v>656.05</v>
      </c>
      <c r="P528" s="116">
        <v>669</v>
      </c>
      <c r="Q528" s="116">
        <v>669.55</v>
      </c>
      <c r="R528">
        <v>87977</v>
      </c>
    </row>
    <row r="529" spans="1:18" x14ac:dyDescent="0.25">
      <c r="A529" s="170">
        <v>45658</v>
      </c>
      <c r="B529" s="116">
        <v>690</v>
      </c>
      <c r="C529" s="116">
        <v>669.25</v>
      </c>
      <c r="D529" s="116">
        <v>666.15</v>
      </c>
      <c r="E529" s="116">
        <v>669.35</v>
      </c>
      <c r="F529" s="116">
        <v>669.25</v>
      </c>
      <c r="G529">
        <v>3698</v>
      </c>
      <c r="H529" s="116"/>
      <c r="I529" s="116"/>
      <c r="L529" s="170">
        <v>45658</v>
      </c>
      <c r="M529" s="116">
        <v>669.15</v>
      </c>
      <c r="N529" s="116">
        <v>673.55</v>
      </c>
      <c r="O529" s="116">
        <v>666.1</v>
      </c>
      <c r="P529" s="116">
        <v>670</v>
      </c>
      <c r="Q529" s="116">
        <v>669.15</v>
      </c>
      <c r="R529">
        <v>64440</v>
      </c>
    </row>
    <row r="530" spans="1:18" x14ac:dyDescent="0.25">
      <c r="A530" s="170">
        <v>45659</v>
      </c>
      <c r="B530" s="116">
        <v>674.95</v>
      </c>
      <c r="C530" s="116">
        <v>668.4</v>
      </c>
      <c r="D530" s="116">
        <v>657.85</v>
      </c>
      <c r="E530" s="116">
        <v>674.95</v>
      </c>
      <c r="F530" s="116">
        <v>668.4</v>
      </c>
      <c r="G530">
        <v>13542</v>
      </c>
      <c r="H530" s="116"/>
      <c r="I530" s="116"/>
      <c r="L530" s="170">
        <v>45659</v>
      </c>
      <c r="M530" s="116">
        <v>669.3</v>
      </c>
      <c r="N530" s="116">
        <v>674.15</v>
      </c>
      <c r="O530" s="116">
        <v>661.15</v>
      </c>
      <c r="P530" s="116">
        <v>669.15</v>
      </c>
      <c r="Q530" s="116">
        <v>669.3</v>
      </c>
      <c r="R530">
        <v>77271</v>
      </c>
    </row>
    <row r="531" spans="1:18" x14ac:dyDescent="0.25">
      <c r="A531" s="170">
        <v>45660</v>
      </c>
      <c r="B531" s="116">
        <v>670.8</v>
      </c>
      <c r="C531" s="116">
        <v>660.1</v>
      </c>
      <c r="D531" s="116">
        <v>658.9</v>
      </c>
      <c r="E531" s="116">
        <v>669.9</v>
      </c>
      <c r="F531" s="116">
        <v>660.1</v>
      </c>
      <c r="G531">
        <v>4923</v>
      </c>
      <c r="H531" s="116"/>
      <c r="I531" s="116"/>
      <c r="L531" s="170">
        <v>45660</v>
      </c>
      <c r="M531" s="116">
        <v>660.6</v>
      </c>
      <c r="N531" s="116">
        <v>673.5</v>
      </c>
      <c r="O531" s="116">
        <v>659</v>
      </c>
      <c r="P531" s="116">
        <v>673.5</v>
      </c>
      <c r="Q531" s="116">
        <v>660.6</v>
      </c>
      <c r="R531">
        <v>79507</v>
      </c>
    </row>
    <row r="532" spans="1:18" x14ac:dyDescent="0.25">
      <c r="A532" s="170">
        <v>45663</v>
      </c>
      <c r="B532" s="116">
        <v>665</v>
      </c>
      <c r="C532" s="116">
        <v>640.6</v>
      </c>
      <c r="D532" s="116">
        <v>616</v>
      </c>
      <c r="E532" s="116">
        <v>665</v>
      </c>
      <c r="F532" s="116">
        <v>640.6</v>
      </c>
      <c r="G532">
        <v>15502</v>
      </c>
      <c r="H532" s="116"/>
      <c r="I532" s="116"/>
      <c r="L532" s="170">
        <v>45663</v>
      </c>
      <c r="M532" s="116">
        <v>641.95000000000005</v>
      </c>
      <c r="N532" s="116">
        <v>663.85</v>
      </c>
      <c r="O532" s="116">
        <v>615.04999999999995</v>
      </c>
      <c r="P532" s="116">
        <v>661.1</v>
      </c>
      <c r="Q532" s="116">
        <v>641.95000000000005</v>
      </c>
      <c r="R532">
        <v>406774</v>
      </c>
    </row>
    <row r="533" spans="1:18" x14ac:dyDescent="0.25">
      <c r="A533" s="170">
        <v>45664</v>
      </c>
      <c r="B533" s="116">
        <v>652.5</v>
      </c>
      <c r="C533" s="116">
        <v>650.9</v>
      </c>
      <c r="D533" s="116">
        <v>630</v>
      </c>
      <c r="E533" s="116">
        <v>630</v>
      </c>
      <c r="F533" s="116">
        <v>650.9</v>
      </c>
      <c r="G533">
        <v>4175</v>
      </c>
      <c r="H533" s="116"/>
      <c r="I533" s="116"/>
      <c r="L533" s="170">
        <v>45664</v>
      </c>
      <c r="M533" s="116">
        <v>651</v>
      </c>
      <c r="N533" s="116">
        <v>653.70000000000005</v>
      </c>
      <c r="O533" s="116">
        <v>636</v>
      </c>
      <c r="P533" s="116">
        <v>640.9</v>
      </c>
      <c r="Q533" s="116">
        <v>651</v>
      </c>
      <c r="R533">
        <v>105004</v>
      </c>
    </row>
    <row r="534" spans="1:18" x14ac:dyDescent="0.25">
      <c r="A534" s="170">
        <v>45665</v>
      </c>
      <c r="B534" s="116">
        <v>652.95000000000005</v>
      </c>
      <c r="C534" s="116">
        <v>647.4</v>
      </c>
      <c r="D534" s="116">
        <v>632.79999999999995</v>
      </c>
      <c r="E534" s="116">
        <v>640</v>
      </c>
      <c r="F534" s="116">
        <v>647.4</v>
      </c>
      <c r="G534">
        <v>5719</v>
      </c>
      <c r="H534" s="116"/>
      <c r="I534" s="116"/>
      <c r="L534" s="170">
        <v>45665</v>
      </c>
      <c r="M534" s="116">
        <v>648.85</v>
      </c>
      <c r="N534" s="116">
        <v>654.9</v>
      </c>
      <c r="O534" s="116">
        <v>631.04999999999995</v>
      </c>
      <c r="P534" s="116">
        <v>645.54999999999995</v>
      </c>
      <c r="Q534" s="116">
        <v>648.85</v>
      </c>
      <c r="R534">
        <v>150973</v>
      </c>
    </row>
    <row r="535" spans="1:18" x14ac:dyDescent="0.25">
      <c r="A535" s="170">
        <v>45666</v>
      </c>
      <c r="B535" s="116">
        <v>664.95</v>
      </c>
      <c r="C535" s="116">
        <v>646.25</v>
      </c>
      <c r="D535" s="116">
        <v>640.04999999999995</v>
      </c>
      <c r="E535" s="116">
        <v>640.04999999999995</v>
      </c>
      <c r="F535" s="116">
        <v>646.25</v>
      </c>
      <c r="G535">
        <v>4169</v>
      </c>
      <c r="H535" s="116"/>
      <c r="I535" s="116"/>
      <c r="L535" s="170">
        <v>45666</v>
      </c>
      <c r="M535" s="116">
        <v>644.85</v>
      </c>
      <c r="N535" s="116">
        <v>666.3</v>
      </c>
      <c r="O535" s="116">
        <v>642.1</v>
      </c>
      <c r="P535" s="116">
        <v>649.79999999999995</v>
      </c>
      <c r="Q535" s="116">
        <v>644.85</v>
      </c>
      <c r="R535">
        <v>105021</v>
      </c>
    </row>
    <row r="536" spans="1:18" x14ac:dyDescent="0.25">
      <c r="A536" s="170">
        <v>45667</v>
      </c>
      <c r="B536" s="116">
        <v>644.5</v>
      </c>
      <c r="C536" s="116">
        <v>621.95000000000005</v>
      </c>
      <c r="D536" s="116">
        <v>619.85</v>
      </c>
      <c r="E536" s="116">
        <v>644.15</v>
      </c>
      <c r="F536" s="116">
        <v>621.95000000000005</v>
      </c>
      <c r="G536">
        <v>9950</v>
      </c>
      <c r="H536" s="116"/>
      <c r="I536" s="116"/>
      <c r="L536" s="170">
        <v>45667</v>
      </c>
      <c r="M536" s="116">
        <v>621.54999999999995</v>
      </c>
      <c r="N536" s="116">
        <v>647.29999999999995</v>
      </c>
      <c r="O536" s="116">
        <v>619.1</v>
      </c>
      <c r="P536" s="116">
        <v>645.4</v>
      </c>
      <c r="Q536" s="116">
        <v>621.54999999999995</v>
      </c>
      <c r="R536">
        <v>139393</v>
      </c>
    </row>
    <row r="537" spans="1:18" x14ac:dyDescent="0.25">
      <c r="A537" s="170">
        <v>45670</v>
      </c>
      <c r="B537" s="116">
        <v>620.9</v>
      </c>
      <c r="C537" s="116">
        <v>604.65</v>
      </c>
      <c r="D537" s="116">
        <v>594</v>
      </c>
      <c r="E537" s="116">
        <v>612.1</v>
      </c>
      <c r="F537" s="116">
        <v>604.65</v>
      </c>
      <c r="G537">
        <v>21436</v>
      </c>
      <c r="H537" s="116"/>
      <c r="I537" s="116"/>
      <c r="L537" s="170">
        <v>45670</v>
      </c>
      <c r="M537" s="116">
        <v>605.29999999999995</v>
      </c>
      <c r="N537" s="116">
        <v>622.65</v>
      </c>
      <c r="O537" s="116">
        <v>593.79999999999995</v>
      </c>
      <c r="P537" s="116">
        <v>619.9</v>
      </c>
      <c r="Q537" s="116">
        <v>605.29999999999995</v>
      </c>
      <c r="R537">
        <v>187030</v>
      </c>
    </row>
    <row r="538" spans="1:18" x14ac:dyDescent="0.25">
      <c r="A538" s="170">
        <v>45671</v>
      </c>
      <c r="B538" s="116">
        <v>615.1</v>
      </c>
      <c r="C538" s="116">
        <v>598.25</v>
      </c>
      <c r="D538" s="116">
        <v>594</v>
      </c>
      <c r="E538" s="116">
        <v>600.04999999999995</v>
      </c>
      <c r="F538" s="116">
        <v>598.25</v>
      </c>
      <c r="G538">
        <v>6160</v>
      </c>
      <c r="H538" s="116"/>
      <c r="I538" s="116"/>
      <c r="L538" s="170">
        <v>45671</v>
      </c>
      <c r="M538" s="116">
        <v>596.70000000000005</v>
      </c>
      <c r="N538" s="116">
        <v>615</v>
      </c>
      <c r="O538" s="116">
        <v>593.04999999999995</v>
      </c>
      <c r="P538" s="116">
        <v>605.29999999999995</v>
      </c>
      <c r="Q538" s="116">
        <v>596.70000000000005</v>
      </c>
      <c r="R538">
        <v>163407</v>
      </c>
    </row>
    <row r="539" spans="1:18" x14ac:dyDescent="0.25">
      <c r="A539" s="170">
        <v>45672</v>
      </c>
      <c r="B539" s="116">
        <v>607.54999999999995</v>
      </c>
      <c r="C539" s="116">
        <v>601.20000000000005</v>
      </c>
      <c r="D539" s="116">
        <v>596.95000000000005</v>
      </c>
      <c r="E539" s="116">
        <v>598</v>
      </c>
      <c r="F539" s="116">
        <v>601.20000000000005</v>
      </c>
      <c r="G539">
        <v>6351</v>
      </c>
      <c r="H539" s="116"/>
      <c r="I539" s="116"/>
      <c r="L539" s="170">
        <v>45672</v>
      </c>
      <c r="M539" s="116">
        <v>601.6</v>
      </c>
      <c r="N539" s="116">
        <v>607</v>
      </c>
      <c r="O539" s="116">
        <v>596.04999999999995</v>
      </c>
      <c r="P539" s="116">
        <v>598.04999999999995</v>
      </c>
      <c r="Q539" s="116">
        <v>601.6</v>
      </c>
      <c r="R539">
        <v>83448</v>
      </c>
    </row>
    <row r="540" spans="1:18" x14ac:dyDescent="0.25">
      <c r="A540" s="170">
        <v>45673</v>
      </c>
      <c r="B540" s="116">
        <v>620</v>
      </c>
      <c r="C540" s="116">
        <v>606.1</v>
      </c>
      <c r="D540" s="116">
        <v>605.20000000000005</v>
      </c>
      <c r="E540" s="116">
        <v>620</v>
      </c>
      <c r="F540" s="116">
        <v>606.1</v>
      </c>
      <c r="G540">
        <v>2297</v>
      </c>
      <c r="H540" s="116"/>
      <c r="I540" s="116"/>
      <c r="L540" s="170">
        <v>45673</v>
      </c>
      <c r="M540" s="116">
        <v>606.65</v>
      </c>
      <c r="N540" s="116">
        <v>615</v>
      </c>
      <c r="O540" s="116">
        <v>604</v>
      </c>
      <c r="P540" s="116">
        <v>610</v>
      </c>
      <c r="Q540" s="116">
        <v>606.65</v>
      </c>
      <c r="R540">
        <v>69255</v>
      </c>
    </row>
    <row r="541" spans="1:18" x14ac:dyDescent="0.25">
      <c r="A541" s="170">
        <v>45674</v>
      </c>
      <c r="B541" s="116">
        <v>620</v>
      </c>
      <c r="C541" s="116">
        <v>600.25</v>
      </c>
      <c r="D541" s="116">
        <v>598.54999999999995</v>
      </c>
      <c r="E541" s="116">
        <v>620</v>
      </c>
      <c r="F541" s="116">
        <v>600.25</v>
      </c>
      <c r="G541">
        <v>2589</v>
      </c>
      <c r="H541" s="116"/>
      <c r="I541" s="116"/>
      <c r="L541" s="170">
        <v>45674</v>
      </c>
      <c r="M541" s="116">
        <v>600.15</v>
      </c>
      <c r="N541" s="116">
        <v>608.95000000000005</v>
      </c>
      <c r="O541" s="116">
        <v>598.5</v>
      </c>
      <c r="P541" s="116">
        <v>607</v>
      </c>
      <c r="Q541" s="116">
        <v>600.15</v>
      </c>
      <c r="R541">
        <v>98708</v>
      </c>
    </row>
    <row r="542" spans="1:18" x14ac:dyDescent="0.25">
      <c r="A542" s="170">
        <v>45677</v>
      </c>
      <c r="B542" s="116">
        <v>612.15</v>
      </c>
      <c r="C542" s="116">
        <v>596.25</v>
      </c>
      <c r="D542" s="116">
        <v>595</v>
      </c>
      <c r="E542" s="116">
        <v>612.15</v>
      </c>
      <c r="F542" s="116">
        <v>596.25</v>
      </c>
      <c r="G542">
        <v>7744</v>
      </c>
      <c r="H542" s="116"/>
      <c r="I542" s="116"/>
      <c r="L542" s="170">
        <v>45677</v>
      </c>
      <c r="M542" s="116">
        <v>596.45000000000005</v>
      </c>
      <c r="N542" s="116">
        <v>602.70000000000005</v>
      </c>
      <c r="O542" s="116">
        <v>595.20000000000005</v>
      </c>
      <c r="P542" s="116">
        <v>602.70000000000005</v>
      </c>
      <c r="Q542" s="116">
        <v>596.45000000000005</v>
      </c>
      <c r="R542">
        <v>82557</v>
      </c>
    </row>
    <row r="543" spans="1:18" x14ac:dyDescent="0.25">
      <c r="A543" s="170">
        <v>45678</v>
      </c>
      <c r="B543" s="116">
        <v>607.95000000000005</v>
      </c>
      <c r="C543" s="116">
        <v>596.35</v>
      </c>
      <c r="D543" s="116">
        <v>593.54999999999995</v>
      </c>
      <c r="E543" s="116">
        <v>607.95000000000005</v>
      </c>
      <c r="F543" s="116">
        <v>596.35</v>
      </c>
      <c r="G543">
        <v>6256</v>
      </c>
      <c r="H543" s="116"/>
      <c r="I543" s="116"/>
      <c r="L543" s="170">
        <v>45678</v>
      </c>
      <c r="M543" s="116">
        <v>595.95000000000005</v>
      </c>
      <c r="N543" s="116">
        <v>605</v>
      </c>
      <c r="O543" s="116">
        <v>594.1</v>
      </c>
      <c r="P543" s="116">
        <v>598</v>
      </c>
      <c r="Q543" s="116">
        <v>595.95000000000005</v>
      </c>
      <c r="R543">
        <v>147083</v>
      </c>
    </row>
    <row r="544" spans="1:18" x14ac:dyDescent="0.25">
      <c r="A544" s="170">
        <v>45679</v>
      </c>
      <c r="B544" s="116">
        <v>604.9</v>
      </c>
      <c r="C544" s="116">
        <v>576.9</v>
      </c>
      <c r="D544" s="116">
        <v>569</v>
      </c>
      <c r="E544" s="116">
        <v>604.9</v>
      </c>
      <c r="F544" s="116">
        <v>576.9</v>
      </c>
      <c r="G544">
        <v>15866</v>
      </c>
      <c r="H544" s="116"/>
      <c r="I544" s="116"/>
      <c r="L544" s="170">
        <v>45679</v>
      </c>
      <c r="M544" s="116">
        <v>577.04999999999995</v>
      </c>
      <c r="N544" s="116">
        <v>600.35</v>
      </c>
      <c r="O544" s="116">
        <v>568</v>
      </c>
      <c r="P544" s="116">
        <v>597.1</v>
      </c>
      <c r="Q544" s="116">
        <v>577.04999999999995</v>
      </c>
      <c r="R544">
        <v>147780</v>
      </c>
    </row>
    <row r="545" spans="1:18" x14ac:dyDescent="0.25">
      <c r="A545" s="170">
        <v>45680</v>
      </c>
      <c r="B545" s="116">
        <v>588.6</v>
      </c>
      <c r="C545" s="116">
        <v>579.29999999999995</v>
      </c>
      <c r="D545" s="116">
        <v>571.95000000000005</v>
      </c>
      <c r="E545" s="116">
        <v>588.6</v>
      </c>
      <c r="F545" s="116">
        <v>579.29999999999995</v>
      </c>
      <c r="G545">
        <v>68677</v>
      </c>
      <c r="H545" s="116"/>
      <c r="I545" s="116"/>
      <c r="L545" s="170">
        <v>45680</v>
      </c>
      <c r="M545" s="116">
        <v>578.79999999999995</v>
      </c>
      <c r="N545" s="116">
        <v>585.20000000000005</v>
      </c>
      <c r="O545" s="116">
        <v>571.54999999999995</v>
      </c>
      <c r="P545" s="116">
        <v>578.70000000000005</v>
      </c>
      <c r="Q545" s="116">
        <v>578.79999999999995</v>
      </c>
      <c r="R545">
        <v>77887</v>
      </c>
    </row>
    <row r="546" spans="1:18" x14ac:dyDescent="0.25">
      <c r="A546" s="170">
        <v>45681</v>
      </c>
      <c r="B546" s="116">
        <v>580.95000000000005</v>
      </c>
      <c r="C546" s="116">
        <v>565.75</v>
      </c>
      <c r="D546" s="116">
        <v>562.25</v>
      </c>
      <c r="E546" s="116">
        <v>579</v>
      </c>
      <c r="F546" s="116">
        <v>565.75</v>
      </c>
      <c r="G546">
        <v>10101</v>
      </c>
      <c r="H546" s="116"/>
      <c r="I546" s="116"/>
      <c r="L546" s="170">
        <v>45681</v>
      </c>
      <c r="M546" s="116">
        <v>565.6</v>
      </c>
      <c r="N546" s="116">
        <v>581.1</v>
      </c>
      <c r="O546" s="116">
        <v>561.1</v>
      </c>
      <c r="P546" s="116">
        <v>579.95000000000005</v>
      </c>
      <c r="Q546" s="116">
        <v>565.6</v>
      </c>
      <c r="R546">
        <v>61680</v>
      </c>
    </row>
    <row r="547" spans="1:18" x14ac:dyDescent="0.25">
      <c r="A547" s="170">
        <v>45684</v>
      </c>
      <c r="B547" s="116">
        <v>560</v>
      </c>
      <c r="C547" s="116">
        <v>534.45000000000005</v>
      </c>
      <c r="D547" s="116">
        <v>529</v>
      </c>
      <c r="E547" s="116">
        <v>555.70000000000005</v>
      </c>
      <c r="F547" s="116">
        <v>534.45000000000005</v>
      </c>
      <c r="G547">
        <v>24733</v>
      </c>
      <c r="H547" s="116"/>
      <c r="I547" s="116"/>
      <c r="L547" s="170">
        <v>45684</v>
      </c>
      <c r="M547" s="116">
        <v>535.25</v>
      </c>
      <c r="N547" s="116">
        <v>561</v>
      </c>
      <c r="O547" s="116">
        <v>527.65</v>
      </c>
      <c r="P547" s="116">
        <v>561</v>
      </c>
      <c r="Q547" s="116">
        <v>535.25</v>
      </c>
      <c r="R547">
        <v>182297</v>
      </c>
    </row>
    <row r="548" spans="1:18" x14ac:dyDescent="0.25">
      <c r="A548" s="170">
        <v>45685</v>
      </c>
      <c r="B548" s="116">
        <v>540.9</v>
      </c>
      <c r="C548" s="116">
        <v>522.1</v>
      </c>
      <c r="D548" s="116">
        <v>505</v>
      </c>
      <c r="E548" s="116">
        <v>529.04999999999995</v>
      </c>
      <c r="F548" s="116">
        <v>522.1</v>
      </c>
      <c r="G548">
        <v>75836</v>
      </c>
      <c r="H548" s="116"/>
      <c r="I548" s="116"/>
      <c r="L548" s="170">
        <v>45685</v>
      </c>
      <c r="M548" s="116">
        <v>522.45000000000005</v>
      </c>
      <c r="N548" s="116">
        <v>539.95000000000005</v>
      </c>
      <c r="O548" s="116">
        <v>504.6</v>
      </c>
      <c r="P548" s="116">
        <v>538.04999999999995</v>
      </c>
      <c r="Q548" s="116">
        <v>522.45000000000005</v>
      </c>
      <c r="R548">
        <v>224739</v>
      </c>
    </row>
    <row r="549" spans="1:18" x14ac:dyDescent="0.25">
      <c r="A549" s="170">
        <v>45686</v>
      </c>
      <c r="B549" s="116">
        <v>550.4</v>
      </c>
      <c r="C549" s="116">
        <v>548</v>
      </c>
      <c r="D549" s="116">
        <v>527.65</v>
      </c>
      <c r="E549" s="116">
        <v>527.65</v>
      </c>
      <c r="F549" s="116">
        <v>548</v>
      </c>
      <c r="G549">
        <v>11194</v>
      </c>
      <c r="H549" s="116"/>
      <c r="I549" s="116"/>
      <c r="L549" s="170">
        <v>45686</v>
      </c>
      <c r="M549" s="116">
        <v>547.65</v>
      </c>
      <c r="N549" s="116">
        <v>549.6</v>
      </c>
      <c r="O549" s="116">
        <v>525</v>
      </c>
      <c r="P549" s="116">
        <v>525</v>
      </c>
      <c r="Q549" s="116">
        <v>547.65</v>
      </c>
      <c r="R549">
        <v>142491</v>
      </c>
    </row>
    <row r="550" spans="1:18" x14ac:dyDescent="0.25">
      <c r="A550" s="170">
        <v>45687</v>
      </c>
      <c r="B550" s="116">
        <v>642.9</v>
      </c>
      <c r="C550" s="116">
        <v>603.79999999999995</v>
      </c>
      <c r="D550" s="116">
        <v>566.65</v>
      </c>
      <c r="E550" s="116">
        <v>578</v>
      </c>
      <c r="F550" s="116">
        <v>603.79999999999995</v>
      </c>
      <c r="G550">
        <v>214251</v>
      </c>
      <c r="H550" s="116"/>
      <c r="I550" s="116"/>
      <c r="L550" s="170">
        <v>45687</v>
      </c>
      <c r="M550" s="116">
        <v>605.45000000000005</v>
      </c>
      <c r="N550" s="116">
        <v>644.6</v>
      </c>
      <c r="O550" s="116">
        <v>563.25</v>
      </c>
      <c r="P550" s="116">
        <v>576.75</v>
      </c>
      <c r="Q550" s="116">
        <v>605.45000000000005</v>
      </c>
      <c r="R550">
        <v>6421907</v>
      </c>
    </row>
    <row r="551" spans="1:18" x14ac:dyDescent="0.25">
      <c r="A551" s="170">
        <v>45688</v>
      </c>
      <c r="B551" s="116">
        <v>593</v>
      </c>
      <c r="C551" s="116">
        <v>585.79999999999995</v>
      </c>
      <c r="D551" s="116">
        <v>574.95000000000005</v>
      </c>
      <c r="E551" s="116">
        <v>584.95000000000005</v>
      </c>
      <c r="F551" s="116">
        <v>585.79999999999995</v>
      </c>
      <c r="G551">
        <v>18445</v>
      </c>
      <c r="H551" s="116"/>
      <c r="I551" s="116"/>
      <c r="L551" s="170">
        <v>45688</v>
      </c>
      <c r="M551" s="116">
        <v>585.6</v>
      </c>
      <c r="N551" s="116">
        <v>593.1</v>
      </c>
      <c r="O551" s="116">
        <v>574.29999999999995</v>
      </c>
      <c r="P551" s="116">
        <v>582</v>
      </c>
      <c r="Q551" s="116">
        <v>585.6</v>
      </c>
      <c r="R551">
        <v>474291</v>
      </c>
    </row>
    <row r="552" spans="1:18" x14ac:dyDescent="0.25">
      <c r="A552" s="170">
        <v>45689</v>
      </c>
      <c r="B552" s="116">
        <v>598.95000000000005</v>
      </c>
      <c r="C552" s="116">
        <v>586.5</v>
      </c>
      <c r="D552" s="116">
        <v>579.45000000000005</v>
      </c>
      <c r="E552" s="116">
        <v>590</v>
      </c>
      <c r="F552" s="116">
        <v>586.5</v>
      </c>
      <c r="G552">
        <v>16772</v>
      </c>
      <c r="H552" s="116"/>
      <c r="I552" s="116"/>
      <c r="L552" s="170">
        <v>45689</v>
      </c>
      <c r="M552" s="116">
        <v>586.85</v>
      </c>
      <c r="N552" s="116">
        <v>599.04999999999995</v>
      </c>
      <c r="O552" s="116">
        <v>577.75</v>
      </c>
      <c r="P552" s="116">
        <v>585.6</v>
      </c>
      <c r="Q552" s="116">
        <v>586.85</v>
      </c>
      <c r="R552">
        <v>193302</v>
      </c>
    </row>
    <row r="553" spans="1:18" x14ac:dyDescent="0.25">
      <c r="A553" s="170">
        <v>45691</v>
      </c>
      <c r="B553" s="116">
        <v>601</v>
      </c>
      <c r="C553" s="116">
        <v>590.70000000000005</v>
      </c>
      <c r="D553" s="116">
        <v>551.54999999999995</v>
      </c>
      <c r="E553" s="116">
        <v>586.1</v>
      </c>
      <c r="F553" s="116">
        <v>590.70000000000005</v>
      </c>
      <c r="G553">
        <v>13220</v>
      </c>
      <c r="H553" s="116"/>
      <c r="I553" s="116"/>
      <c r="L553" s="170">
        <v>45691</v>
      </c>
      <c r="M553" s="116">
        <v>583.79999999999995</v>
      </c>
      <c r="N553" s="116">
        <v>601</v>
      </c>
      <c r="O553" s="116">
        <v>551</v>
      </c>
      <c r="P553" s="116">
        <v>584.04999999999995</v>
      </c>
      <c r="Q553" s="116">
        <v>583.79999999999995</v>
      </c>
      <c r="R553">
        <v>488166</v>
      </c>
    </row>
    <row r="554" spans="1:18" x14ac:dyDescent="0.25">
      <c r="A554" s="170">
        <v>45692</v>
      </c>
      <c r="B554" s="116">
        <v>579.95000000000005</v>
      </c>
      <c r="C554" s="116">
        <v>569.45000000000005</v>
      </c>
      <c r="D554" s="116">
        <v>566</v>
      </c>
      <c r="E554" s="116">
        <v>575</v>
      </c>
      <c r="F554" s="116">
        <v>569.45000000000005</v>
      </c>
      <c r="G554">
        <v>13494</v>
      </c>
      <c r="H554" s="116"/>
      <c r="I554" s="116"/>
      <c r="L554" s="170">
        <v>45692</v>
      </c>
      <c r="M554" s="116">
        <v>570.65</v>
      </c>
      <c r="N554" s="116">
        <v>580.5</v>
      </c>
      <c r="O554" s="116">
        <v>565.65</v>
      </c>
      <c r="P554" s="116">
        <v>577.70000000000005</v>
      </c>
      <c r="Q554" s="116">
        <v>570.65</v>
      </c>
      <c r="R554">
        <v>247502</v>
      </c>
    </row>
    <row r="555" spans="1:18" x14ac:dyDescent="0.25">
      <c r="A555" s="170">
        <v>45693</v>
      </c>
      <c r="B555" s="116">
        <v>578.95000000000005</v>
      </c>
      <c r="C555" s="116">
        <v>562.29999999999995</v>
      </c>
      <c r="D555" s="116">
        <v>560.85</v>
      </c>
      <c r="E555" s="116">
        <v>578.95000000000005</v>
      </c>
      <c r="F555" s="116">
        <v>562.29999999999995</v>
      </c>
      <c r="G555">
        <v>8361</v>
      </c>
      <c r="H555" s="116"/>
      <c r="I555" s="116"/>
      <c r="L555" s="170">
        <v>45693</v>
      </c>
      <c r="M555" s="116">
        <v>563.04999999999995</v>
      </c>
      <c r="N555" s="116">
        <v>574.29999999999995</v>
      </c>
      <c r="O555" s="116">
        <v>560.6</v>
      </c>
      <c r="P555" s="116">
        <v>573.5</v>
      </c>
      <c r="Q555" s="116">
        <v>563.04999999999995</v>
      </c>
      <c r="R555">
        <v>195089</v>
      </c>
    </row>
    <row r="556" spans="1:18" x14ac:dyDescent="0.25">
      <c r="A556" s="170">
        <v>45694</v>
      </c>
      <c r="B556" s="116">
        <v>564.75</v>
      </c>
      <c r="C556" s="116">
        <v>544.15</v>
      </c>
      <c r="D556" s="116">
        <v>543.29999999999995</v>
      </c>
      <c r="E556" s="116">
        <v>563.9</v>
      </c>
      <c r="F556" s="116">
        <v>544.15</v>
      </c>
      <c r="G556">
        <v>7331</v>
      </c>
      <c r="H556" s="116"/>
      <c r="I556" s="116"/>
      <c r="L556" s="170">
        <v>45694</v>
      </c>
      <c r="M556" s="116">
        <v>544.35</v>
      </c>
      <c r="N556" s="116">
        <v>567.29999999999995</v>
      </c>
      <c r="O556" s="116">
        <v>542.15</v>
      </c>
      <c r="P556" s="116">
        <v>567.29999999999995</v>
      </c>
      <c r="Q556" s="116">
        <v>544.35</v>
      </c>
      <c r="R556">
        <v>235263</v>
      </c>
    </row>
    <row r="557" spans="1:18" x14ac:dyDescent="0.25">
      <c r="A557" s="170">
        <v>45695</v>
      </c>
      <c r="B557" s="116">
        <v>566.95000000000005</v>
      </c>
      <c r="C557" s="116">
        <v>564.1</v>
      </c>
      <c r="D557" s="116">
        <v>545.25</v>
      </c>
      <c r="E557" s="116">
        <v>555.25</v>
      </c>
      <c r="F557" s="116">
        <v>564.1</v>
      </c>
      <c r="G557">
        <v>19539</v>
      </c>
      <c r="H557" s="116"/>
      <c r="I557" s="116"/>
      <c r="L557" s="170">
        <v>45695</v>
      </c>
      <c r="M557" s="116">
        <v>563.35</v>
      </c>
      <c r="N557" s="116">
        <v>567.54999999999995</v>
      </c>
      <c r="O557" s="116">
        <v>544</v>
      </c>
      <c r="P557" s="116">
        <v>548</v>
      </c>
      <c r="Q557" s="116">
        <v>563.35</v>
      </c>
      <c r="R557">
        <v>346740</v>
      </c>
    </row>
    <row r="558" spans="1:18" x14ac:dyDescent="0.25">
      <c r="A558" s="170">
        <v>45698</v>
      </c>
      <c r="B558" s="116">
        <v>552.85</v>
      </c>
      <c r="C558" s="116">
        <v>536.04999999999995</v>
      </c>
      <c r="D558" s="116">
        <v>525.1</v>
      </c>
      <c r="E558" s="116">
        <v>551</v>
      </c>
      <c r="F558" s="116">
        <v>536.04999999999995</v>
      </c>
      <c r="G558">
        <v>27579</v>
      </c>
      <c r="H558" s="116"/>
      <c r="I558" s="116"/>
      <c r="L558" s="170">
        <v>45698</v>
      </c>
      <c r="M558" s="116">
        <v>535.79999999999995</v>
      </c>
      <c r="N558" s="116">
        <v>559.79999999999995</v>
      </c>
      <c r="O558" s="116">
        <v>525</v>
      </c>
      <c r="P558" s="116">
        <v>551</v>
      </c>
      <c r="Q558" s="116">
        <v>535.79999999999995</v>
      </c>
      <c r="R558">
        <v>372075</v>
      </c>
    </row>
    <row r="559" spans="1:18" x14ac:dyDescent="0.25">
      <c r="A559" s="170">
        <v>45699</v>
      </c>
      <c r="B559" s="116">
        <v>535</v>
      </c>
      <c r="C559" s="116">
        <v>504.7</v>
      </c>
      <c r="D559" s="116">
        <v>498</v>
      </c>
      <c r="E559" s="116">
        <v>530.04999999999995</v>
      </c>
      <c r="F559" s="116">
        <v>504.7</v>
      </c>
      <c r="G559">
        <v>30073</v>
      </c>
      <c r="H559" s="116"/>
      <c r="I559" s="116"/>
      <c r="L559" s="170">
        <v>45699</v>
      </c>
      <c r="M559" s="116">
        <v>503.8</v>
      </c>
      <c r="N559" s="116">
        <v>536.65</v>
      </c>
      <c r="O559" s="116">
        <v>498.25</v>
      </c>
      <c r="P559" s="116">
        <v>535.1</v>
      </c>
      <c r="Q559" s="116">
        <v>503.8</v>
      </c>
      <c r="R559">
        <v>380489</v>
      </c>
    </row>
    <row r="560" spans="1:18" x14ac:dyDescent="0.25">
      <c r="A560" s="170">
        <v>45700</v>
      </c>
      <c r="B560" s="116">
        <v>505.25</v>
      </c>
      <c r="C560" s="116">
        <v>464.45</v>
      </c>
      <c r="D560" s="116">
        <v>461</v>
      </c>
      <c r="E560" s="116">
        <v>498.05</v>
      </c>
      <c r="F560" s="116">
        <v>464.45</v>
      </c>
      <c r="G560">
        <v>94360</v>
      </c>
      <c r="H560" s="116"/>
      <c r="I560" s="116"/>
      <c r="L560" s="170">
        <v>45700</v>
      </c>
      <c r="M560" s="116">
        <v>463.95</v>
      </c>
      <c r="N560" s="116">
        <v>506.4</v>
      </c>
      <c r="O560" s="116">
        <v>460.85</v>
      </c>
      <c r="P560" s="116">
        <v>502.1</v>
      </c>
      <c r="Q560" s="116">
        <v>463.95</v>
      </c>
      <c r="R560">
        <v>1254177</v>
      </c>
    </row>
    <row r="561" spans="1:18" x14ac:dyDescent="0.25">
      <c r="A561" s="170">
        <v>45701</v>
      </c>
      <c r="B561" s="116">
        <v>477.15</v>
      </c>
      <c r="C561" s="116">
        <v>452</v>
      </c>
      <c r="D561" s="116">
        <v>436</v>
      </c>
      <c r="E561" s="116">
        <v>450.55</v>
      </c>
      <c r="F561" s="116">
        <v>452</v>
      </c>
      <c r="G561">
        <v>146472</v>
      </c>
      <c r="H561" s="116"/>
      <c r="I561" s="116"/>
      <c r="L561" s="170">
        <v>45701</v>
      </c>
      <c r="M561" s="116">
        <v>451.75</v>
      </c>
      <c r="N561" s="116">
        <v>476.7</v>
      </c>
      <c r="O561" s="116">
        <v>435.55</v>
      </c>
      <c r="P561" s="116">
        <v>466.5</v>
      </c>
      <c r="Q561" s="116">
        <v>451.75</v>
      </c>
      <c r="R561">
        <v>1955343</v>
      </c>
    </row>
    <row r="562" spans="1:18" x14ac:dyDescent="0.25">
      <c r="A562" s="170">
        <v>45702</v>
      </c>
      <c r="B562" s="116">
        <v>470.2</v>
      </c>
      <c r="C562" s="116">
        <v>424.9</v>
      </c>
      <c r="D562" s="116">
        <v>417.7</v>
      </c>
      <c r="E562" s="116">
        <v>470.2</v>
      </c>
      <c r="F562" s="116">
        <v>424.9</v>
      </c>
      <c r="G562">
        <v>83076</v>
      </c>
      <c r="H562" s="116"/>
      <c r="I562" s="116"/>
      <c r="L562" s="170">
        <v>45702</v>
      </c>
      <c r="M562" s="116">
        <v>424.6</v>
      </c>
      <c r="N562" s="116">
        <v>460.8</v>
      </c>
      <c r="O562" s="116">
        <v>417.4</v>
      </c>
      <c r="P562" s="116">
        <v>458</v>
      </c>
      <c r="Q562" s="116">
        <v>424.6</v>
      </c>
      <c r="R562">
        <v>986411</v>
      </c>
    </row>
    <row r="563" spans="1:18" x14ac:dyDescent="0.25">
      <c r="A563" s="170">
        <v>45705</v>
      </c>
      <c r="B563" s="116">
        <v>433.8</v>
      </c>
      <c r="C563" s="116">
        <v>430.05</v>
      </c>
      <c r="D563" s="116">
        <v>409</v>
      </c>
      <c r="E563" s="116">
        <v>424.55</v>
      </c>
      <c r="F563" s="116">
        <v>430.05</v>
      </c>
      <c r="G563">
        <v>47084</v>
      </c>
      <c r="H563" s="116"/>
      <c r="I563" s="116"/>
      <c r="L563" s="170">
        <v>45705</v>
      </c>
      <c r="M563" s="116">
        <v>428.95</v>
      </c>
      <c r="N563" s="116">
        <v>434.75</v>
      </c>
      <c r="O563" s="116">
        <v>408.35</v>
      </c>
      <c r="P563" s="116">
        <v>420.7</v>
      </c>
      <c r="Q563" s="116">
        <v>428.95</v>
      </c>
      <c r="R563">
        <v>1677556</v>
      </c>
    </row>
    <row r="564" spans="1:18" x14ac:dyDescent="0.25">
      <c r="A564" s="170">
        <v>45706</v>
      </c>
      <c r="B564" s="116">
        <v>444</v>
      </c>
      <c r="C564" s="116">
        <v>440.95</v>
      </c>
      <c r="D564" s="116">
        <v>422.85</v>
      </c>
      <c r="E564" s="116">
        <v>427</v>
      </c>
      <c r="F564" s="116">
        <v>440.95</v>
      </c>
      <c r="G564">
        <v>36726</v>
      </c>
      <c r="H564" s="116"/>
      <c r="I564" s="116"/>
      <c r="L564" s="170">
        <v>45706</v>
      </c>
      <c r="M564" s="116">
        <v>440.45</v>
      </c>
      <c r="N564" s="116">
        <v>444.85</v>
      </c>
      <c r="O564" s="116">
        <v>423.5</v>
      </c>
      <c r="P564" s="116">
        <v>429.9</v>
      </c>
      <c r="Q564" s="116">
        <v>440.45</v>
      </c>
      <c r="R564">
        <v>601156</v>
      </c>
    </row>
    <row r="565" spans="1:18" x14ac:dyDescent="0.25">
      <c r="A565" s="170">
        <v>45707</v>
      </c>
      <c r="B565" s="116">
        <v>453.35</v>
      </c>
      <c r="C565" s="116">
        <v>417.35</v>
      </c>
      <c r="D565" s="116">
        <v>415.3</v>
      </c>
      <c r="E565" s="116">
        <v>436.05</v>
      </c>
      <c r="F565" s="116">
        <v>417.35</v>
      </c>
      <c r="G565">
        <v>66088</v>
      </c>
      <c r="H565" s="116"/>
      <c r="I565" s="116"/>
      <c r="L565" s="170">
        <v>45707</v>
      </c>
      <c r="M565" s="116">
        <v>417.2</v>
      </c>
      <c r="N565" s="116">
        <v>452.55</v>
      </c>
      <c r="O565" s="116">
        <v>415.05</v>
      </c>
      <c r="P565" s="116">
        <v>440.4</v>
      </c>
      <c r="Q565" s="116">
        <v>417.2</v>
      </c>
      <c r="R565">
        <v>1217515</v>
      </c>
    </row>
    <row r="566" spans="1:18" x14ac:dyDescent="0.25">
      <c r="A566" s="170">
        <v>45708</v>
      </c>
      <c r="B566" s="116">
        <v>473</v>
      </c>
      <c r="C566" s="116">
        <v>448.2</v>
      </c>
      <c r="D566" s="116">
        <v>416.1</v>
      </c>
      <c r="E566" s="116">
        <v>417.2</v>
      </c>
      <c r="F566" s="116">
        <v>448.2</v>
      </c>
      <c r="G566">
        <v>255201</v>
      </c>
      <c r="H566" s="116"/>
      <c r="I566" s="116"/>
      <c r="L566" s="170">
        <v>45708</v>
      </c>
      <c r="M566" s="116">
        <v>449.45</v>
      </c>
      <c r="N566" s="116">
        <v>473</v>
      </c>
      <c r="O566" s="116">
        <v>415.6</v>
      </c>
      <c r="P566" s="116">
        <v>416</v>
      </c>
      <c r="Q566" s="116">
        <v>449.45</v>
      </c>
      <c r="R566">
        <v>5806807</v>
      </c>
    </row>
    <row r="567" spans="1:18" x14ac:dyDescent="0.25">
      <c r="A567" s="170">
        <v>45709</v>
      </c>
      <c r="B567" s="116">
        <v>493.75</v>
      </c>
      <c r="C567" s="116">
        <v>483.55</v>
      </c>
      <c r="D567" s="116">
        <v>444.95</v>
      </c>
      <c r="E567" s="116">
        <v>455</v>
      </c>
      <c r="F567" s="116">
        <v>483.55</v>
      </c>
      <c r="G567">
        <v>80129</v>
      </c>
      <c r="H567" s="116"/>
      <c r="I567" s="116"/>
      <c r="L567" s="170">
        <v>45709</v>
      </c>
      <c r="M567" s="116">
        <v>483.1</v>
      </c>
      <c r="N567" s="116">
        <v>494.2</v>
      </c>
      <c r="O567" s="116">
        <v>442.7</v>
      </c>
      <c r="P567" s="116">
        <v>442.7</v>
      </c>
      <c r="Q567" s="116">
        <v>483.1</v>
      </c>
      <c r="R567">
        <v>2230438</v>
      </c>
    </row>
    <row r="568" spans="1:18" x14ac:dyDescent="0.25">
      <c r="A568" s="170">
        <v>45712</v>
      </c>
      <c r="B568" s="116">
        <v>503.85</v>
      </c>
      <c r="C568" s="116">
        <v>496</v>
      </c>
      <c r="D568" s="116">
        <v>460.9</v>
      </c>
      <c r="E568" s="116">
        <v>478.4</v>
      </c>
      <c r="F568" s="116">
        <v>496</v>
      </c>
      <c r="G568">
        <v>55700</v>
      </c>
      <c r="H568" s="116"/>
      <c r="I568" s="116"/>
      <c r="L568" s="170">
        <v>45712</v>
      </c>
      <c r="M568" s="116">
        <v>497</v>
      </c>
      <c r="N568" s="116">
        <v>504.8</v>
      </c>
      <c r="O568" s="116">
        <v>461.25</v>
      </c>
      <c r="P568" s="116">
        <v>478</v>
      </c>
      <c r="Q568" s="116">
        <v>497</v>
      </c>
      <c r="R568">
        <v>1258422</v>
      </c>
    </row>
    <row r="569" spans="1:18" x14ac:dyDescent="0.25">
      <c r="A569" s="170">
        <v>45713</v>
      </c>
      <c r="B569" s="116">
        <v>504.35</v>
      </c>
      <c r="C569" s="116">
        <v>498.35</v>
      </c>
      <c r="D569" s="116">
        <v>483.25</v>
      </c>
      <c r="E569" s="116">
        <v>491.85</v>
      </c>
      <c r="F569" s="116">
        <v>498.35</v>
      </c>
      <c r="G569">
        <v>23401</v>
      </c>
      <c r="H569" s="116"/>
      <c r="I569" s="116"/>
      <c r="L569" s="170">
        <v>45713</v>
      </c>
      <c r="M569" s="116">
        <v>498.9</v>
      </c>
      <c r="N569" s="116">
        <v>504.8</v>
      </c>
      <c r="O569" s="116">
        <v>482.8</v>
      </c>
      <c r="P569" s="116">
        <v>492.75</v>
      </c>
      <c r="Q569" s="116">
        <v>498.9</v>
      </c>
      <c r="R569">
        <v>634768</v>
      </c>
    </row>
    <row r="570" spans="1:18" x14ac:dyDescent="0.25">
      <c r="A570" s="170">
        <v>45715</v>
      </c>
      <c r="B570" s="116">
        <v>514</v>
      </c>
      <c r="C570" s="116">
        <v>503.1</v>
      </c>
      <c r="D570" s="116">
        <v>480</v>
      </c>
      <c r="E570" s="116">
        <v>488.6</v>
      </c>
      <c r="F570" s="116">
        <v>503.1</v>
      </c>
      <c r="G570">
        <v>11239</v>
      </c>
      <c r="H570" s="116"/>
      <c r="I570" s="116"/>
      <c r="L570" s="170">
        <v>45715</v>
      </c>
      <c r="M570" s="116">
        <v>503.5</v>
      </c>
      <c r="N570" s="116">
        <v>514.45000000000005</v>
      </c>
      <c r="O570" s="116">
        <v>479.4</v>
      </c>
      <c r="P570" s="116">
        <v>491</v>
      </c>
      <c r="Q570" s="116">
        <v>503.5</v>
      </c>
      <c r="R570">
        <v>564419</v>
      </c>
    </row>
    <row r="571" spans="1:18" x14ac:dyDescent="0.25">
      <c r="A571" s="170">
        <v>45716</v>
      </c>
      <c r="B571" s="116">
        <v>510</v>
      </c>
      <c r="C571" s="116">
        <v>505.65</v>
      </c>
      <c r="D571" s="116">
        <v>476.9</v>
      </c>
      <c r="E571" s="116">
        <v>494.05</v>
      </c>
      <c r="F571" s="116">
        <v>505.65</v>
      </c>
      <c r="G571">
        <v>26864</v>
      </c>
      <c r="H571" s="116"/>
      <c r="I571" s="116"/>
      <c r="L571" s="170">
        <v>45716</v>
      </c>
      <c r="M571" s="116">
        <v>503.25</v>
      </c>
      <c r="N571" s="116">
        <v>511.5</v>
      </c>
      <c r="O571" s="116">
        <v>476.5</v>
      </c>
      <c r="P571" s="116">
        <v>498.4</v>
      </c>
      <c r="Q571" s="116">
        <v>503.25</v>
      </c>
      <c r="R571">
        <v>656081</v>
      </c>
    </row>
    <row r="572" spans="1:18" x14ac:dyDescent="0.25">
      <c r="A572" s="170">
        <v>45719</v>
      </c>
      <c r="B572" s="116">
        <v>505.45</v>
      </c>
      <c r="C572" s="116">
        <v>501.2</v>
      </c>
      <c r="D572" s="116">
        <v>472.4</v>
      </c>
      <c r="E572" s="116">
        <v>505.45</v>
      </c>
      <c r="F572" s="116">
        <v>501.2</v>
      </c>
      <c r="G572">
        <v>53173</v>
      </c>
      <c r="H572" s="116"/>
      <c r="I572" s="116"/>
      <c r="L572" s="170">
        <v>45719</v>
      </c>
      <c r="M572" s="116">
        <v>501.05</v>
      </c>
      <c r="N572" s="116">
        <v>504</v>
      </c>
      <c r="O572" s="116">
        <v>472.75</v>
      </c>
      <c r="P572" s="116">
        <v>495.15</v>
      </c>
      <c r="Q572" s="116">
        <v>501.05</v>
      </c>
      <c r="R572">
        <v>686691</v>
      </c>
    </row>
    <row r="573" spans="1:18" x14ac:dyDescent="0.25">
      <c r="A573" s="170">
        <v>45720</v>
      </c>
      <c r="B573" s="116">
        <v>516.5</v>
      </c>
      <c r="C573" s="116">
        <v>512.35</v>
      </c>
      <c r="D573" s="116">
        <v>481</v>
      </c>
      <c r="E573" s="116">
        <v>483</v>
      </c>
      <c r="F573" s="116">
        <v>512.35</v>
      </c>
      <c r="G573">
        <v>40753</v>
      </c>
      <c r="H573" s="116"/>
      <c r="I573" s="116"/>
      <c r="L573" s="170">
        <v>45720</v>
      </c>
      <c r="M573" s="116">
        <v>512.75</v>
      </c>
      <c r="N573" s="116">
        <v>517</v>
      </c>
      <c r="O573" s="116">
        <v>481</v>
      </c>
      <c r="P573" s="116">
        <v>491</v>
      </c>
      <c r="Q573" s="116">
        <v>512.75</v>
      </c>
      <c r="R573">
        <v>760725</v>
      </c>
    </row>
    <row r="574" spans="1:18" x14ac:dyDescent="0.25">
      <c r="A574" s="170">
        <v>45721</v>
      </c>
      <c r="B574" s="116">
        <v>535.54999999999995</v>
      </c>
      <c r="C574" s="116">
        <v>531.6</v>
      </c>
      <c r="D574" s="116">
        <v>510.05</v>
      </c>
      <c r="E574" s="116">
        <v>511.05</v>
      </c>
      <c r="F574" s="116">
        <v>531.6</v>
      </c>
      <c r="G574">
        <v>29184</v>
      </c>
      <c r="H574" s="116"/>
      <c r="I574" s="116"/>
      <c r="L574" s="170">
        <v>45721</v>
      </c>
      <c r="M574" s="116">
        <v>531.4</v>
      </c>
      <c r="N574" s="116">
        <v>536.54999999999995</v>
      </c>
      <c r="O574" s="116">
        <v>507.45</v>
      </c>
      <c r="P574" s="116">
        <v>510</v>
      </c>
      <c r="Q574" s="116">
        <v>531.4</v>
      </c>
      <c r="R574">
        <v>513018</v>
      </c>
    </row>
    <row r="575" spans="1:18" x14ac:dyDescent="0.25">
      <c r="A575" s="170">
        <v>45722</v>
      </c>
      <c r="B575" s="116">
        <v>548.5</v>
      </c>
      <c r="C575" s="116">
        <v>541.25</v>
      </c>
      <c r="D575" s="116">
        <v>530.1</v>
      </c>
      <c r="E575" s="116">
        <v>536.95000000000005</v>
      </c>
      <c r="F575" s="116">
        <v>541.25</v>
      </c>
      <c r="G575">
        <v>41848</v>
      </c>
      <c r="H575" s="116"/>
      <c r="I575" s="116"/>
      <c r="L575" s="170">
        <v>45722</v>
      </c>
      <c r="M575" s="116">
        <v>541.6</v>
      </c>
      <c r="N575" s="116">
        <v>549.25</v>
      </c>
      <c r="O575" s="116">
        <v>530.1</v>
      </c>
      <c r="P575" s="116">
        <v>533.6</v>
      </c>
      <c r="Q575" s="116">
        <v>541.6</v>
      </c>
      <c r="R575">
        <v>354710</v>
      </c>
    </row>
    <row r="576" spans="1:18" x14ac:dyDescent="0.25">
      <c r="A576" s="170">
        <v>45723</v>
      </c>
      <c r="B576" s="116">
        <v>548</v>
      </c>
      <c r="C576" s="116">
        <v>532.5</v>
      </c>
      <c r="D576" s="116">
        <v>524.70000000000005</v>
      </c>
      <c r="E576" s="116">
        <v>547.4</v>
      </c>
      <c r="F576" s="116">
        <v>532.5</v>
      </c>
      <c r="G576">
        <v>27475</v>
      </c>
      <c r="H576" s="116"/>
      <c r="I576" s="116"/>
      <c r="L576" s="170">
        <v>45723</v>
      </c>
      <c r="M576" s="116">
        <v>531.70000000000005</v>
      </c>
      <c r="N576" s="116">
        <v>548.75</v>
      </c>
      <c r="O576" s="116">
        <v>522.20000000000005</v>
      </c>
      <c r="P576" s="116">
        <v>539.95000000000005</v>
      </c>
      <c r="Q576" s="116">
        <v>531.70000000000005</v>
      </c>
      <c r="R576">
        <v>533552</v>
      </c>
    </row>
    <row r="577" spans="1:18" x14ac:dyDescent="0.25">
      <c r="A577" s="170">
        <v>45726</v>
      </c>
      <c r="B577" s="116">
        <v>536.5</v>
      </c>
      <c r="C577" s="116">
        <v>529.9</v>
      </c>
      <c r="D577" s="116">
        <v>518.5</v>
      </c>
      <c r="E577" s="116">
        <v>530.04999999999995</v>
      </c>
      <c r="F577" s="116">
        <v>529.9</v>
      </c>
      <c r="G577">
        <v>32190</v>
      </c>
      <c r="H577" s="116"/>
      <c r="I577" s="116"/>
      <c r="L577" s="170">
        <v>45726</v>
      </c>
      <c r="M577" s="116">
        <v>529.54999999999995</v>
      </c>
      <c r="N577" s="116">
        <v>537.04999999999995</v>
      </c>
      <c r="O577" s="116">
        <v>519.20000000000005</v>
      </c>
      <c r="P577" s="116">
        <v>531.54999999999995</v>
      </c>
      <c r="Q577" s="116">
        <v>529.54999999999995</v>
      </c>
      <c r="R577">
        <v>407065</v>
      </c>
    </row>
    <row r="578" spans="1:18" x14ac:dyDescent="0.25">
      <c r="A578" s="170">
        <v>45727</v>
      </c>
      <c r="B578" s="116">
        <v>559.70000000000005</v>
      </c>
      <c r="C578" s="116">
        <v>551.95000000000005</v>
      </c>
      <c r="D578" s="116">
        <v>508.05</v>
      </c>
      <c r="E578" s="116">
        <v>528.04999999999995</v>
      </c>
      <c r="F578" s="116">
        <v>551.95000000000005</v>
      </c>
      <c r="G578">
        <v>55924</v>
      </c>
      <c r="H578" s="116"/>
      <c r="I578" s="116"/>
      <c r="L578" s="170">
        <v>45727</v>
      </c>
      <c r="M578" s="116">
        <v>552.70000000000005</v>
      </c>
      <c r="N578" s="116">
        <v>560</v>
      </c>
      <c r="O578" s="116">
        <v>506</v>
      </c>
      <c r="P578" s="116">
        <v>529</v>
      </c>
      <c r="Q578" s="116">
        <v>552.70000000000005</v>
      </c>
      <c r="R578">
        <v>529540</v>
      </c>
    </row>
    <row r="579" spans="1:18" x14ac:dyDescent="0.25">
      <c r="A579" s="170">
        <v>45728</v>
      </c>
      <c r="B579" s="116">
        <v>565.9</v>
      </c>
      <c r="C579" s="116">
        <v>551.15</v>
      </c>
      <c r="D579" s="116">
        <v>542.65</v>
      </c>
      <c r="E579" s="116">
        <v>555.1</v>
      </c>
      <c r="F579" s="116">
        <v>551.15</v>
      </c>
      <c r="G579">
        <v>32773</v>
      </c>
      <c r="H579" s="116"/>
      <c r="I579" s="116"/>
      <c r="L579" s="170">
        <v>45728</v>
      </c>
      <c r="M579" s="116">
        <v>552</v>
      </c>
      <c r="N579" s="116">
        <v>566.95000000000005</v>
      </c>
      <c r="O579" s="116">
        <v>542</v>
      </c>
      <c r="P579" s="116">
        <v>555.5</v>
      </c>
      <c r="Q579" s="116">
        <v>552</v>
      </c>
      <c r="R579">
        <v>534532</v>
      </c>
    </row>
    <row r="580" spans="1:18" x14ac:dyDescent="0.25">
      <c r="A580" s="170">
        <v>45729</v>
      </c>
      <c r="B580" s="116">
        <v>576.1</v>
      </c>
      <c r="C580" s="116">
        <v>572.95000000000005</v>
      </c>
      <c r="D580" s="116">
        <v>541.75</v>
      </c>
      <c r="E580" s="116">
        <v>552</v>
      </c>
      <c r="F580" s="116">
        <v>572.95000000000005</v>
      </c>
      <c r="G580">
        <v>35492</v>
      </c>
      <c r="H580" s="116"/>
      <c r="I580" s="116"/>
      <c r="L580" s="170">
        <v>45729</v>
      </c>
      <c r="M580" s="116">
        <v>571.85</v>
      </c>
      <c r="N580" s="116">
        <v>576.5</v>
      </c>
      <c r="O580" s="116">
        <v>541.15</v>
      </c>
      <c r="P580" s="116">
        <v>552</v>
      </c>
      <c r="Q580" s="116">
        <v>571.85</v>
      </c>
      <c r="R580">
        <v>748781</v>
      </c>
    </row>
    <row r="581" spans="1:18" x14ac:dyDescent="0.25">
      <c r="A581" s="170">
        <v>45733</v>
      </c>
      <c r="B581" s="116">
        <v>578.65</v>
      </c>
      <c r="C581" s="116">
        <v>552.25</v>
      </c>
      <c r="D581" s="116">
        <v>541.1</v>
      </c>
      <c r="E581" s="116">
        <v>566.25</v>
      </c>
      <c r="F581" s="116">
        <v>552.25</v>
      </c>
      <c r="G581">
        <v>41313</v>
      </c>
      <c r="H581" s="116"/>
      <c r="I581" s="116"/>
      <c r="L581" s="170">
        <v>45733</v>
      </c>
      <c r="M581" s="116">
        <v>551.15</v>
      </c>
      <c r="N581" s="116">
        <v>578.79999999999995</v>
      </c>
      <c r="O581" s="116">
        <v>540.20000000000005</v>
      </c>
      <c r="P581" s="116">
        <v>575</v>
      </c>
      <c r="Q581" s="116">
        <v>551.15</v>
      </c>
      <c r="R581">
        <v>571788</v>
      </c>
    </row>
    <row r="582" spans="1:18" x14ac:dyDescent="0.25">
      <c r="A582" s="170">
        <v>45734</v>
      </c>
      <c r="B582" s="116">
        <v>561.6</v>
      </c>
      <c r="C582" s="116">
        <v>557.15</v>
      </c>
      <c r="D582" s="116">
        <v>547.29999999999995</v>
      </c>
      <c r="E582" s="116">
        <v>552.20000000000005</v>
      </c>
      <c r="F582" s="116">
        <v>557.15</v>
      </c>
      <c r="G582">
        <v>32756</v>
      </c>
      <c r="H582" s="116"/>
      <c r="I582" s="116"/>
      <c r="L582" s="170">
        <v>45734</v>
      </c>
      <c r="M582" s="116">
        <v>556.75</v>
      </c>
      <c r="N582" s="116">
        <v>561.6</v>
      </c>
      <c r="O582" s="116">
        <v>546.70000000000005</v>
      </c>
      <c r="P582" s="116">
        <v>550.75</v>
      </c>
      <c r="Q582" s="116">
        <v>556.75</v>
      </c>
      <c r="R582">
        <v>266049</v>
      </c>
    </row>
    <row r="583" spans="1:18" x14ac:dyDescent="0.25">
      <c r="A583" s="170">
        <v>45735</v>
      </c>
      <c r="B583" s="116">
        <v>569</v>
      </c>
      <c r="C583" s="116">
        <v>562.54999999999995</v>
      </c>
      <c r="D583" s="116">
        <v>547.29999999999995</v>
      </c>
      <c r="E583" s="116">
        <v>564.95000000000005</v>
      </c>
      <c r="F583" s="116">
        <v>562.54999999999995</v>
      </c>
      <c r="G583">
        <v>30039</v>
      </c>
      <c r="H583" s="116"/>
      <c r="I583" s="116"/>
      <c r="L583" s="170">
        <v>45735</v>
      </c>
      <c r="M583" s="116">
        <v>562.4</v>
      </c>
      <c r="N583" s="116">
        <v>569.75</v>
      </c>
      <c r="O583" s="116">
        <v>547.15</v>
      </c>
      <c r="P583" s="116">
        <v>558</v>
      </c>
      <c r="Q583" s="116">
        <v>562.4</v>
      </c>
      <c r="R583">
        <v>335389</v>
      </c>
    </row>
    <row r="584" spans="1:18" x14ac:dyDescent="0.25">
      <c r="A584" s="170">
        <v>45736</v>
      </c>
      <c r="B584" s="116">
        <v>568.45000000000005</v>
      </c>
      <c r="C584" s="116">
        <v>562.70000000000005</v>
      </c>
      <c r="D584" s="116">
        <v>554.15</v>
      </c>
      <c r="E584" s="116">
        <v>565</v>
      </c>
      <c r="F584" s="116">
        <v>562.70000000000005</v>
      </c>
      <c r="G584">
        <v>24911</v>
      </c>
      <c r="H584" s="116"/>
      <c r="I584" s="116"/>
      <c r="L584" s="170">
        <v>45736</v>
      </c>
      <c r="M584" s="116">
        <v>563.54999999999995</v>
      </c>
      <c r="N584" s="116">
        <v>568.6</v>
      </c>
      <c r="O584" s="116">
        <v>554.45000000000005</v>
      </c>
      <c r="P584" s="116">
        <v>566.9</v>
      </c>
      <c r="Q584" s="116">
        <v>563.54999999999995</v>
      </c>
      <c r="R584">
        <v>283645</v>
      </c>
    </row>
    <row r="585" spans="1:18" x14ac:dyDescent="0.25">
      <c r="A585" s="170">
        <v>45737</v>
      </c>
      <c r="B585" s="116">
        <v>564.70000000000005</v>
      </c>
      <c r="C585" s="116">
        <v>561.9</v>
      </c>
      <c r="D585" s="116">
        <v>554.45000000000005</v>
      </c>
      <c r="E585" s="116">
        <v>559</v>
      </c>
      <c r="F585" s="116">
        <v>561.9</v>
      </c>
      <c r="G585">
        <v>12034</v>
      </c>
      <c r="H585" s="116"/>
      <c r="I585" s="116"/>
      <c r="L585" s="170">
        <v>45737</v>
      </c>
      <c r="M585" s="116">
        <v>562.6</v>
      </c>
      <c r="N585" s="116">
        <v>565</v>
      </c>
      <c r="O585" s="116">
        <v>554</v>
      </c>
      <c r="P585" s="116">
        <v>563.54999999999995</v>
      </c>
      <c r="Q585" s="116">
        <v>562.6</v>
      </c>
      <c r="R585">
        <v>256653</v>
      </c>
    </row>
    <row r="586" spans="1:18" x14ac:dyDescent="0.25">
      <c r="A586" s="170">
        <v>45740</v>
      </c>
      <c r="B586" s="116">
        <v>567</v>
      </c>
      <c r="C586" s="116">
        <v>542.54999999999995</v>
      </c>
      <c r="D586" s="116">
        <v>540.45000000000005</v>
      </c>
      <c r="E586" s="116">
        <v>560</v>
      </c>
      <c r="F586" s="116">
        <v>542.54999999999995</v>
      </c>
      <c r="G586">
        <v>14149</v>
      </c>
      <c r="H586" s="116"/>
      <c r="I586" s="116"/>
      <c r="L586" s="170">
        <v>45740</v>
      </c>
      <c r="M586" s="116">
        <v>543.6</v>
      </c>
      <c r="N586" s="116">
        <v>570</v>
      </c>
      <c r="O586" s="116">
        <v>540.20000000000005</v>
      </c>
      <c r="P586" s="116">
        <v>562</v>
      </c>
      <c r="Q586" s="116">
        <v>543.6</v>
      </c>
      <c r="R586">
        <v>333533</v>
      </c>
    </row>
    <row r="587" spans="1:18" x14ac:dyDescent="0.25">
      <c r="A587" s="170">
        <v>45741</v>
      </c>
      <c r="B587" s="116">
        <v>548.45000000000005</v>
      </c>
      <c r="C587" s="116">
        <v>518.04999999999995</v>
      </c>
      <c r="D587" s="116">
        <v>513.20000000000005</v>
      </c>
      <c r="E587" s="116">
        <v>542.65</v>
      </c>
      <c r="F587" s="116">
        <v>518.04999999999995</v>
      </c>
      <c r="G587">
        <v>13483</v>
      </c>
      <c r="H587" s="116"/>
      <c r="I587" s="116"/>
      <c r="L587" s="170">
        <v>45741</v>
      </c>
      <c r="M587" s="116">
        <v>517.20000000000005</v>
      </c>
      <c r="N587" s="116">
        <v>548.79999999999995</v>
      </c>
      <c r="O587" s="116">
        <v>513.35</v>
      </c>
      <c r="P587" s="116">
        <v>548</v>
      </c>
      <c r="Q587" s="116">
        <v>517.20000000000005</v>
      </c>
      <c r="R587">
        <v>352655</v>
      </c>
    </row>
    <row r="588" spans="1:18" x14ac:dyDescent="0.25">
      <c r="A588" s="170">
        <v>45742</v>
      </c>
      <c r="B588" s="116">
        <v>516</v>
      </c>
      <c r="C588" s="116">
        <v>503.15</v>
      </c>
      <c r="D588" s="116">
        <v>492.5</v>
      </c>
      <c r="E588" s="116">
        <v>511.4</v>
      </c>
      <c r="F588" s="116">
        <v>503.15</v>
      </c>
      <c r="G588">
        <v>34088</v>
      </c>
      <c r="H588" s="116"/>
      <c r="I588" s="116"/>
      <c r="L588" s="170">
        <v>45742</v>
      </c>
      <c r="M588" s="116">
        <v>503.75</v>
      </c>
      <c r="N588" s="116">
        <v>521</v>
      </c>
      <c r="O588" s="116">
        <v>492.05</v>
      </c>
      <c r="P588" s="116">
        <v>520.9</v>
      </c>
      <c r="Q588" s="116">
        <v>503.75</v>
      </c>
      <c r="R588">
        <v>542138</v>
      </c>
    </row>
    <row r="589" spans="1:18" x14ac:dyDescent="0.25">
      <c r="A589" s="170">
        <v>45743</v>
      </c>
      <c r="B589" s="116">
        <v>549.29999999999995</v>
      </c>
      <c r="C589" s="116">
        <v>527.65</v>
      </c>
      <c r="D589" s="116">
        <v>498.9</v>
      </c>
      <c r="E589" s="116">
        <v>501</v>
      </c>
      <c r="F589" s="116">
        <v>527.65</v>
      </c>
      <c r="G589">
        <v>49810</v>
      </c>
      <c r="H589" s="116"/>
      <c r="I589" s="116"/>
      <c r="L589" s="170">
        <v>45743</v>
      </c>
      <c r="M589" s="116">
        <v>523.54999999999995</v>
      </c>
      <c r="N589" s="116">
        <v>549.79999999999995</v>
      </c>
      <c r="O589" s="116">
        <v>499</v>
      </c>
      <c r="P589" s="116">
        <v>505.05</v>
      </c>
      <c r="Q589" s="116">
        <v>523.54999999999995</v>
      </c>
      <c r="R589">
        <v>1395271</v>
      </c>
    </row>
    <row r="590" spans="1:18" x14ac:dyDescent="0.25">
      <c r="A590" s="170">
        <v>45744</v>
      </c>
      <c r="B590" s="116">
        <v>545</v>
      </c>
      <c r="C590" s="116">
        <v>515.45000000000005</v>
      </c>
      <c r="D590" s="116">
        <v>506.5</v>
      </c>
      <c r="E590" s="116">
        <v>527</v>
      </c>
      <c r="F590" s="116">
        <v>515.45000000000005</v>
      </c>
      <c r="G590">
        <v>45348</v>
      </c>
      <c r="H590" s="116"/>
      <c r="I590" s="116"/>
      <c r="L590" s="170">
        <v>45744</v>
      </c>
      <c r="M590" s="116">
        <v>517.9</v>
      </c>
      <c r="N590" s="116">
        <v>545.5</v>
      </c>
      <c r="O590" s="116">
        <v>506.25</v>
      </c>
      <c r="P590" s="116">
        <v>528</v>
      </c>
      <c r="Q590" s="116">
        <v>517.9</v>
      </c>
      <c r="R590">
        <v>826021</v>
      </c>
    </row>
    <row r="591" spans="1:18" x14ac:dyDescent="0.25">
      <c r="A591" s="170">
        <v>45748</v>
      </c>
      <c r="B591" s="116">
        <v>526.29999999999995</v>
      </c>
      <c r="C591" s="116">
        <v>523.45000000000005</v>
      </c>
      <c r="D591" s="116">
        <v>502.15</v>
      </c>
      <c r="E591" s="116">
        <v>519.4</v>
      </c>
      <c r="F591" s="116">
        <v>523.45000000000005</v>
      </c>
      <c r="G591">
        <v>16315</v>
      </c>
      <c r="H591" s="116"/>
      <c r="I591" s="116"/>
      <c r="L591" s="170">
        <v>45748</v>
      </c>
      <c r="M591" s="116">
        <v>523.85</v>
      </c>
      <c r="N591" s="116">
        <v>527.79999999999995</v>
      </c>
      <c r="O591" s="116">
        <v>502</v>
      </c>
      <c r="P591" s="116">
        <v>515</v>
      </c>
      <c r="Q591" s="116">
        <v>523.85</v>
      </c>
      <c r="R591">
        <v>494486</v>
      </c>
    </row>
    <row r="592" spans="1:18" x14ac:dyDescent="0.25">
      <c r="A592" s="170">
        <v>45749</v>
      </c>
      <c r="B592" s="116">
        <v>541.25</v>
      </c>
      <c r="C592" s="116">
        <v>536.6</v>
      </c>
      <c r="D592" s="116">
        <v>513.5</v>
      </c>
      <c r="E592" s="116">
        <v>523.79999999999995</v>
      </c>
      <c r="F592" s="116">
        <v>536.6</v>
      </c>
      <c r="G592">
        <v>8557</v>
      </c>
      <c r="H592" s="116"/>
      <c r="I592" s="116"/>
      <c r="L592" s="170">
        <v>45749</v>
      </c>
      <c r="M592" s="116">
        <v>538.29999999999995</v>
      </c>
      <c r="N592" s="116">
        <v>541.79999999999995</v>
      </c>
      <c r="O592" s="116">
        <v>513</v>
      </c>
      <c r="P592" s="116">
        <v>522.29999999999995</v>
      </c>
      <c r="Q592" s="116">
        <v>538.29999999999995</v>
      </c>
      <c r="R592">
        <v>271308</v>
      </c>
    </row>
    <row r="593" spans="1:18" x14ac:dyDescent="0.25">
      <c r="A593" s="170">
        <v>45750</v>
      </c>
      <c r="B593" s="116">
        <v>556</v>
      </c>
      <c r="C593" s="116">
        <v>547.85</v>
      </c>
      <c r="D593" s="116">
        <v>528.85</v>
      </c>
      <c r="E593" s="116">
        <v>533</v>
      </c>
      <c r="F593" s="116">
        <v>547.85</v>
      </c>
      <c r="G593">
        <v>8534</v>
      </c>
      <c r="H593" s="116"/>
      <c r="I593" s="116"/>
      <c r="L593" s="170">
        <v>45750</v>
      </c>
      <c r="M593" s="116">
        <v>546.9</v>
      </c>
      <c r="N593" s="116">
        <v>555.9</v>
      </c>
      <c r="O593" s="116">
        <v>526.75</v>
      </c>
      <c r="P593" s="116">
        <v>529</v>
      </c>
      <c r="Q593" s="116">
        <v>546.9</v>
      </c>
      <c r="R593">
        <v>262031</v>
      </c>
    </row>
    <row r="594" spans="1:18" x14ac:dyDescent="0.25">
      <c r="A594" s="170">
        <v>45751</v>
      </c>
      <c r="B594" s="116">
        <v>545.85</v>
      </c>
      <c r="C594" s="116">
        <v>523.45000000000005</v>
      </c>
      <c r="D594" s="116">
        <v>520.1</v>
      </c>
      <c r="E594" s="116">
        <v>545.85</v>
      </c>
      <c r="F594" s="116">
        <v>523.45000000000005</v>
      </c>
      <c r="G594">
        <v>21670</v>
      </c>
      <c r="H594" s="116"/>
      <c r="I594" s="116"/>
      <c r="L594" s="170">
        <v>45751</v>
      </c>
      <c r="M594" s="116">
        <v>523.25</v>
      </c>
      <c r="N594" s="116">
        <v>545</v>
      </c>
      <c r="O594" s="116">
        <v>520.1</v>
      </c>
      <c r="P594" s="116">
        <v>545</v>
      </c>
      <c r="Q594" s="116">
        <v>523.25</v>
      </c>
      <c r="R594">
        <v>230587</v>
      </c>
    </row>
    <row r="595" spans="1:18" x14ac:dyDescent="0.25">
      <c r="A595" s="170">
        <v>45754</v>
      </c>
      <c r="B595" s="116">
        <v>542.9</v>
      </c>
      <c r="C595" s="116">
        <v>528.85</v>
      </c>
      <c r="D595" s="116">
        <v>479.75</v>
      </c>
      <c r="E595" s="116">
        <v>499.95</v>
      </c>
      <c r="F595" s="116">
        <v>528.85</v>
      </c>
      <c r="G595">
        <v>46725</v>
      </c>
      <c r="H595" s="116"/>
      <c r="I595" s="116"/>
      <c r="L595" s="170">
        <v>45754</v>
      </c>
      <c r="M595" s="116">
        <v>529.04999999999995</v>
      </c>
      <c r="N595" s="116">
        <v>546.85</v>
      </c>
      <c r="O595" s="116">
        <v>480</v>
      </c>
      <c r="P595" s="116">
        <v>480</v>
      </c>
      <c r="Q595" s="116">
        <v>529.04999999999995</v>
      </c>
      <c r="R595">
        <v>500134</v>
      </c>
    </row>
    <row r="596" spans="1:18" x14ac:dyDescent="0.25">
      <c r="A596" s="170">
        <v>45755</v>
      </c>
      <c r="B596" s="116">
        <v>562</v>
      </c>
      <c r="C596" s="116">
        <v>558.20000000000005</v>
      </c>
      <c r="D596" s="116">
        <v>527.20000000000005</v>
      </c>
      <c r="E596" s="116">
        <v>528.9</v>
      </c>
      <c r="F596" s="116">
        <v>558.20000000000005</v>
      </c>
      <c r="G596">
        <v>20946</v>
      </c>
      <c r="H596" s="116"/>
      <c r="I596" s="116"/>
      <c r="L596" s="170">
        <v>45755</v>
      </c>
      <c r="M596" s="116">
        <v>558.6</v>
      </c>
      <c r="N596" s="116">
        <v>562.15</v>
      </c>
      <c r="O596" s="116">
        <v>525.79999999999995</v>
      </c>
      <c r="P596" s="116">
        <v>531.95000000000005</v>
      </c>
      <c r="Q596" s="116">
        <v>558.6</v>
      </c>
      <c r="R596">
        <v>552960</v>
      </c>
    </row>
    <row r="597" spans="1:18" x14ac:dyDescent="0.25">
      <c r="A597" s="170">
        <v>45756</v>
      </c>
      <c r="B597" s="116">
        <v>593.5</v>
      </c>
      <c r="C597" s="116">
        <v>578.95000000000005</v>
      </c>
      <c r="D597" s="116">
        <v>545.4</v>
      </c>
      <c r="E597" s="116">
        <v>557</v>
      </c>
      <c r="F597" s="116">
        <v>578.95000000000005</v>
      </c>
      <c r="G597">
        <v>12339</v>
      </c>
      <c r="H597" s="116"/>
      <c r="I597" s="116"/>
      <c r="L597" s="170">
        <v>45756</v>
      </c>
      <c r="M597" s="116">
        <v>577.9</v>
      </c>
      <c r="N597" s="116">
        <v>598.4</v>
      </c>
      <c r="O597" s="116">
        <v>544.54999999999995</v>
      </c>
      <c r="P597" s="116">
        <v>558</v>
      </c>
      <c r="Q597" s="116">
        <v>577.9</v>
      </c>
      <c r="R597">
        <v>460175</v>
      </c>
    </row>
    <row r="598" spans="1:18" x14ac:dyDescent="0.25">
      <c r="A598" s="170">
        <v>45758</v>
      </c>
      <c r="B598" s="116">
        <v>616.4</v>
      </c>
      <c r="C598" s="116">
        <v>600.79999999999995</v>
      </c>
      <c r="D598" s="116">
        <v>578.29999999999995</v>
      </c>
      <c r="E598" s="116">
        <v>582.75</v>
      </c>
      <c r="F598" s="116">
        <v>600.79999999999995</v>
      </c>
      <c r="G598">
        <v>73278</v>
      </c>
      <c r="H598" s="116"/>
      <c r="I598" s="116"/>
      <c r="L598" s="170">
        <v>45758</v>
      </c>
      <c r="M598" s="116">
        <v>601.1</v>
      </c>
      <c r="N598" s="116">
        <v>616.4</v>
      </c>
      <c r="O598" s="116">
        <v>577</v>
      </c>
      <c r="P598" s="116">
        <v>593.9</v>
      </c>
      <c r="Q598" s="116">
        <v>601.1</v>
      </c>
      <c r="R598">
        <v>968107</v>
      </c>
    </row>
    <row r="599" spans="1:18" x14ac:dyDescent="0.25">
      <c r="A599" s="170">
        <v>45762</v>
      </c>
      <c r="B599" s="116">
        <v>619.9</v>
      </c>
      <c r="C599" s="116">
        <v>612.9</v>
      </c>
      <c r="D599" s="116">
        <v>603.4</v>
      </c>
      <c r="E599" s="116">
        <v>615</v>
      </c>
      <c r="F599" s="116">
        <v>612.9</v>
      </c>
      <c r="G599">
        <v>17177</v>
      </c>
      <c r="H599" s="116"/>
      <c r="I599" s="116"/>
      <c r="L599" s="170">
        <v>45762</v>
      </c>
      <c r="M599" s="116">
        <v>613.25</v>
      </c>
      <c r="N599" s="116">
        <v>620</v>
      </c>
      <c r="O599" s="116">
        <v>601.6</v>
      </c>
      <c r="P599" s="116">
        <v>602.04999999999995</v>
      </c>
      <c r="Q599" s="116">
        <v>613.25</v>
      </c>
      <c r="R599">
        <v>409747</v>
      </c>
    </row>
    <row r="600" spans="1:18" x14ac:dyDescent="0.25">
      <c r="A600" s="170">
        <v>45763</v>
      </c>
      <c r="B600" s="116">
        <v>636</v>
      </c>
      <c r="C600" s="116">
        <v>633.35</v>
      </c>
      <c r="D600" s="116">
        <v>609</v>
      </c>
      <c r="E600" s="116">
        <v>614.20000000000005</v>
      </c>
      <c r="F600" s="116">
        <v>633.35</v>
      </c>
      <c r="G600">
        <v>13336</v>
      </c>
      <c r="H600" s="116"/>
      <c r="I600" s="116"/>
      <c r="L600" s="170">
        <v>45763</v>
      </c>
      <c r="M600" s="116">
        <v>633.20000000000005</v>
      </c>
      <c r="N600" s="116">
        <v>636</v>
      </c>
      <c r="O600" s="116">
        <v>608.54999999999995</v>
      </c>
      <c r="P600" s="116">
        <v>618</v>
      </c>
      <c r="Q600" s="116">
        <v>633.20000000000005</v>
      </c>
      <c r="R600">
        <v>330507</v>
      </c>
    </row>
    <row r="601" spans="1:18" x14ac:dyDescent="0.25">
      <c r="A601" s="170">
        <v>45764</v>
      </c>
      <c r="B601" s="116">
        <v>647</v>
      </c>
      <c r="C601" s="116">
        <v>640.25</v>
      </c>
      <c r="D601" s="116">
        <v>614.45000000000005</v>
      </c>
      <c r="E601" s="116">
        <v>621.04999999999995</v>
      </c>
      <c r="F601" s="116">
        <v>640.25</v>
      </c>
      <c r="G601">
        <v>43114</v>
      </c>
      <c r="H601" s="116"/>
      <c r="I601" s="116"/>
      <c r="L601" s="170">
        <v>45764</v>
      </c>
      <c r="M601" s="116">
        <v>638.65</v>
      </c>
      <c r="N601" s="116">
        <v>647</v>
      </c>
      <c r="O601" s="116">
        <v>614.6</v>
      </c>
      <c r="P601" s="116">
        <v>627</v>
      </c>
      <c r="Q601" s="116">
        <v>638.65</v>
      </c>
      <c r="R601">
        <v>520841</v>
      </c>
    </row>
    <row r="602" spans="1:18" x14ac:dyDescent="0.25">
      <c r="A602" s="170">
        <v>45768</v>
      </c>
      <c r="B602" s="116">
        <v>659.8</v>
      </c>
      <c r="C602" s="116">
        <v>646.95000000000005</v>
      </c>
      <c r="D602" s="116">
        <v>626.04999999999995</v>
      </c>
      <c r="E602" s="116">
        <v>640.20000000000005</v>
      </c>
      <c r="F602" s="116">
        <v>646.95000000000005</v>
      </c>
      <c r="G602">
        <v>45307</v>
      </c>
      <c r="H602" s="116"/>
      <c r="I602" s="116"/>
      <c r="L602" s="170">
        <v>45768</v>
      </c>
      <c r="M602" s="116">
        <v>646.9</v>
      </c>
      <c r="N602" s="116">
        <v>660</v>
      </c>
      <c r="O602" s="116">
        <v>626.20000000000005</v>
      </c>
      <c r="P602" s="116">
        <v>635.20000000000005</v>
      </c>
      <c r="Q602" s="116">
        <v>646.9</v>
      </c>
      <c r="R602">
        <v>498677</v>
      </c>
    </row>
    <row r="603" spans="1:18" x14ac:dyDescent="0.25">
      <c r="A603" s="170">
        <v>45769</v>
      </c>
      <c r="B603" s="116">
        <v>655.45</v>
      </c>
      <c r="C603" s="116">
        <v>636.4</v>
      </c>
      <c r="D603" s="116">
        <v>632</v>
      </c>
      <c r="E603" s="116">
        <v>640.1</v>
      </c>
      <c r="F603" s="116">
        <v>636.4</v>
      </c>
      <c r="G603">
        <v>25656</v>
      </c>
      <c r="H603" s="116"/>
      <c r="I603" s="116"/>
      <c r="L603" s="170">
        <v>45769</v>
      </c>
      <c r="M603" s="116">
        <v>635.6</v>
      </c>
      <c r="N603" s="116">
        <v>656.55</v>
      </c>
      <c r="O603" s="116">
        <v>631</v>
      </c>
      <c r="P603" s="116">
        <v>642</v>
      </c>
      <c r="Q603" s="116">
        <v>635.6</v>
      </c>
      <c r="R603">
        <v>238073</v>
      </c>
    </row>
    <row r="604" spans="1:18" x14ac:dyDescent="0.25">
      <c r="A604" s="170">
        <v>45770</v>
      </c>
      <c r="B604" s="116">
        <v>647.95000000000005</v>
      </c>
      <c r="C604" s="116">
        <v>629.9</v>
      </c>
      <c r="D604" s="116">
        <v>624.6</v>
      </c>
      <c r="E604" s="116">
        <v>647.95000000000005</v>
      </c>
      <c r="F604" s="116">
        <v>629.9</v>
      </c>
      <c r="G604">
        <v>24540</v>
      </c>
      <c r="H604" s="116"/>
      <c r="I604" s="116"/>
      <c r="L604" s="170">
        <v>45770</v>
      </c>
      <c r="M604" s="116">
        <v>629.65</v>
      </c>
      <c r="N604" s="116">
        <v>643.20000000000005</v>
      </c>
      <c r="O604" s="116">
        <v>624.5</v>
      </c>
      <c r="P604" s="116">
        <v>639</v>
      </c>
      <c r="Q604" s="116">
        <v>629.65</v>
      </c>
      <c r="R604">
        <v>288730</v>
      </c>
    </row>
    <row r="605" spans="1:18" x14ac:dyDescent="0.25">
      <c r="A605" s="170">
        <v>45771</v>
      </c>
      <c r="B605" s="116">
        <v>649.6</v>
      </c>
      <c r="C605" s="116">
        <v>637.6</v>
      </c>
      <c r="D605" s="116">
        <v>625.65</v>
      </c>
      <c r="E605" s="116">
        <v>634.5</v>
      </c>
      <c r="F605" s="116">
        <v>637.6</v>
      </c>
      <c r="G605">
        <v>14409</v>
      </c>
      <c r="H605" s="116"/>
      <c r="I605" s="116"/>
      <c r="L605" s="170">
        <v>45771</v>
      </c>
      <c r="M605" s="116">
        <v>637.75</v>
      </c>
      <c r="N605" s="116">
        <v>650</v>
      </c>
      <c r="O605" s="116">
        <v>626.25</v>
      </c>
      <c r="P605" s="116">
        <v>633.95000000000005</v>
      </c>
      <c r="Q605" s="116">
        <v>637.75</v>
      </c>
      <c r="R605">
        <v>191901</v>
      </c>
    </row>
    <row r="606" spans="1:18" x14ac:dyDescent="0.25">
      <c r="A606" s="170">
        <v>45772</v>
      </c>
      <c r="B606" s="116">
        <v>669</v>
      </c>
      <c r="C606" s="116">
        <v>653.04999999999995</v>
      </c>
      <c r="D606" s="116">
        <v>622.45000000000005</v>
      </c>
      <c r="E606" s="116">
        <v>631.9</v>
      </c>
      <c r="F606" s="116">
        <v>653.04999999999995</v>
      </c>
      <c r="G606">
        <v>39049</v>
      </c>
      <c r="H606" s="116"/>
      <c r="I606" s="116"/>
      <c r="L606" s="170">
        <v>45772</v>
      </c>
      <c r="M606" s="116">
        <v>656.7</v>
      </c>
      <c r="N606" s="116">
        <v>670</v>
      </c>
      <c r="O606" s="116">
        <v>622.54999999999995</v>
      </c>
      <c r="P606" s="116">
        <v>637.75</v>
      </c>
      <c r="Q606" s="116">
        <v>656.7</v>
      </c>
      <c r="R606">
        <v>988584</v>
      </c>
    </row>
    <row r="607" spans="1:18" x14ac:dyDescent="0.25">
      <c r="A607" s="170">
        <v>45775</v>
      </c>
      <c r="B607" s="116">
        <v>667.8</v>
      </c>
      <c r="C607" s="116">
        <v>663</v>
      </c>
      <c r="D607" s="116">
        <v>638</v>
      </c>
      <c r="E607" s="116">
        <v>650.45000000000005</v>
      </c>
      <c r="F607" s="116">
        <v>663</v>
      </c>
      <c r="G607">
        <v>14710</v>
      </c>
      <c r="H607" s="116"/>
      <c r="I607" s="116"/>
      <c r="L607" s="170">
        <v>45775</v>
      </c>
      <c r="M607" s="116">
        <v>663.15</v>
      </c>
      <c r="N607" s="116">
        <v>667.5</v>
      </c>
      <c r="O607" s="116">
        <v>636.5</v>
      </c>
      <c r="P607" s="116">
        <v>653.95000000000005</v>
      </c>
      <c r="Q607" s="116">
        <v>663.15</v>
      </c>
      <c r="R607">
        <v>400805</v>
      </c>
    </row>
    <row r="608" spans="1:18" x14ac:dyDescent="0.25">
      <c r="A608" s="170">
        <v>45776</v>
      </c>
      <c r="B608" s="116">
        <v>665</v>
      </c>
      <c r="C608" s="116">
        <v>636.20000000000005</v>
      </c>
      <c r="D608" s="116">
        <v>560.20000000000005</v>
      </c>
      <c r="E608" s="116">
        <v>662.95</v>
      </c>
      <c r="F608" s="116">
        <v>636.20000000000005</v>
      </c>
      <c r="G608">
        <v>77040</v>
      </c>
      <c r="H608" s="116"/>
      <c r="I608" s="116"/>
      <c r="L608" s="170">
        <v>45776</v>
      </c>
      <c r="M608" s="116">
        <v>635.4</v>
      </c>
      <c r="N608" s="116">
        <v>664.35</v>
      </c>
      <c r="O608" s="116">
        <v>560.04999999999995</v>
      </c>
      <c r="P608" s="116">
        <v>657.1</v>
      </c>
      <c r="Q608" s="116">
        <v>635.4</v>
      </c>
      <c r="R608">
        <v>1385139</v>
      </c>
    </row>
    <row r="609" spans="1:18" x14ac:dyDescent="0.25">
      <c r="A609" s="170">
        <v>45777</v>
      </c>
      <c r="B609" s="116">
        <v>636.9</v>
      </c>
      <c r="C609" s="116">
        <v>626.35</v>
      </c>
      <c r="D609" s="116">
        <v>607</v>
      </c>
      <c r="E609" s="116">
        <v>629</v>
      </c>
      <c r="F609" s="116">
        <v>626.35</v>
      </c>
      <c r="G609">
        <v>27516</v>
      </c>
      <c r="H609" s="116"/>
      <c r="I609" s="116"/>
      <c r="L609" s="170">
        <v>45777</v>
      </c>
      <c r="M609" s="116">
        <v>627.29999999999995</v>
      </c>
      <c r="N609" s="116">
        <v>636.95000000000005</v>
      </c>
      <c r="O609" s="116">
        <v>606.54999999999995</v>
      </c>
      <c r="P609" s="116">
        <v>626.85</v>
      </c>
      <c r="Q609" s="116">
        <v>627.29999999999995</v>
      </c>
      <c r="R609">
        <v>517125</v>
      </c>
    </row>
    <row r="610" spans="1:18" x14ac:dyDescent="0.25">
      <c r="A610" s="170">
        <v>45779</v>
      </c>
      <c r="B610" s="116">
        <v>627.75</v>
      </c>
      <c r="C610" s="116">
        <v>603.95000000000005</v>
      </c>
      <c r="D610" s="116">
        <v>597</v>
      </c>
      <c r="E610" s="116">
        <v>617.04999999999995</v>
      </c>
      <c r="F610" s="116">
        <v>603.95000000000005</v>
      </c>
      <c r="G610">
        <v>8199</v>
      </c>
      <c r="H610" s="116"/>
      <c r="I610" s="116"/>
      <c r="L610" s="170">
        <v>45779</v>
      </c>
      <c r="M610" s="116">
        <v>604.65</v>
      </c>
      <c r="N610" s="116">
        <v>628.95000000000005</v>
      </c>
      <c r="O610" s="116">
        <v>598</v>
      </c>
      <c r="P610" s="116">
        <v>625.9</v>
      </c>
      <c r="Q610" s="116">
        <v>604.65</v>
      </c>
      <c r="R610">
        <v>195208</v>
      </c>
    </row>
    <row r="611" spans="1:18" x14ac:dyDescent="0.25">
      <c r="A611" s="170">
        <v>45782</v>
      </c>
      <c r="B611" s="116">
        <v>627.4</v>
      </c>
      <c r="C611" s="116">
        <v>618.35</v>
      </c>
      <c r="D611" s="116">
        <v>574.9</v>
      </c>
      <c r="E611" s="116">
        <v>599.95000000000005</v>
      </c>
      <c r="F611" s="116">
        <v>618.35</v>
      </c>
      <c r="G611">
        <v>23129</v>
      </c>
      <c r="H611" s="116"/>
      <c r="I611" s="116"/>
      <c r="L611" s="170">
        <v>45782</v>
      </c>
      <c r="M611" s="116">
        <v>617.70000000000005</v>
      </c>
      <c r="N611" s="116">
        <v>628.5</v>
      </c>
      <c r="O611" s="116">
        <v>571.29999999999995</v>
      </c>
      <c r="P611" s="116">
        <v>571.29999999999995</v>
      </c>
      <c r="Q611" s="116">
        <v>617.70000000000005</v>
      </c>
      <c r="R611">
        <v>483621</v>
      </c>
    </row>
    <row r="612" spans="1:18" x14ac:dyDescent="0.25">
      <c r="A612" s="170">
        <v>45783</v>
      </c>
      <c r="B612" s="116">
        <v>624.9</v>
      </c>
      <c r="C612" s="116">
        <v>613.65</v>
      </c>
      <c r="D612" s="116">
        <v>597.65</v>
      </c>
      <c r="E612" s="116">
        <v>620.95000000000005</v>
      </c>
      <c r="F612" s="116">
        <v>613.65</v>
      </c>
      <c r="G612">
        <v>26636</v>
      </c>
      <c r="H612" s="116"/>
      <c r="I612" s="116"/>
      <c r="L612" s="170">
        <v>45783</v>
      </c>
      <c r="M612" s="116">
        <v>614</v>
      </c>
      <c r="N612" s="116">
        <v>625.15</v>
      </c>
      <c r="O612" s="116">
        <v>597</v>
      </c>
      <c r="P612" s="116">
        <v>618.1</v>
      </c>
      <c r="Q612" s="116">
        <v>614</v>
      </c>
      <c r="R612">
        <v>312482</v>
      </c>
    </row>
    <row r="613" spans="1:18" x14ac:dyDescent="0.25">
      <c r="A613" s="170">
        <v>45784</v>
      </c>
      <c r="B613" s="116">
        <v>613.6</v>
      </c>
      <c r="C613" s="116">
        <v>605.4</v>
      </c>
      <c r="D613" s="116">
        <v>586</v>
      </c>
      <c r="E613" s="116">
        <v>586</v>
      </c>
      <c r="F613" s="116">
        <v>605.4</v>
      </c>
      <c r="G613">
        <v>17360</v>
      </c>
      <c r="H613" s="116"/>
      <c r="I613" s="116"/>
      <c r="L613" s="170">
        <v>45784</v>
      </c>
      <c r="M613" s="116">
        <v>605.79999999999995</v>
      </c>
      <c r="N613" s="116">
        <v>614.4</v>
      </c>
      <c r="O613" s="116">
        <v>591.54999999999995</v>
      </c>
      <c r="P613" s="116">
        <v>609.9</v>
      </c>
      <c r="Q613" s="116">
        <v>605.79999999999995</v>
      </c>
      <c r="R613">
        <v>356504</v>
      </c>
    </row>
    <row r="614" spans="1:18" x14ac:dyDescent="0.25">
      <c r="A614" s="170">
        <v>45785</v>
      </c>
      <c r="B614" s="116">
        <v>604.6</v>
      </c>
      <c r="C614" s="116">
        <v>582.85</v>
      </c>
      <c r="D614" s="116">
        <v>572.5</v>
      </c>
      <c r="E614" s="116">
        <v>603.25</v>
      </c>
      <c r="F614" s="116">
        <v>582.85</v>
      </c>
      <c r="G614">
        <v>20501</v>
      </c>
      <c r="H614" s="116"/>
      <c r="I614" s="116"/>
      <c r="L614" s="170">
        <v>45785</v>
      </c>
      <c r="M614" s="116">
        <v>580.35</v>
      </c>
      <c r="N614" s="116">
        <v>606.45000000000005</v>
      </c>
      <c r="O614" s="116">
        <v>571.5</v>
      </c>
      <c r="P614" s="116">
        <v>600.20000000000005</v>
      </c>
      <c r="Q614" s="116">
        <v>580.35</v>
      </c>
      <c r="R614">
        <v>453518</v>
      </c>
    </row>
    <row r="615" spans="1:18" x14ac:dyDescent="0.25">
      <c r="A615" s="170">
        <v>45786</v>
      </c>
      <c r="B615" s="116">
        <v>576.29999999999995</v>
      </c>
      <c r="C615" s="116">
        <v>553.65</v>
      </c>
      <c r="D615" s="116">
        <v>544.5</v>
      </c>
      <c r="E615" s="116">
        <v>550.75</v>
      </c>
      <c r="F615" s="116">
        <v>553.65</v>
      </c>
      <c r="G615">
        <v>46688</v>
      </c>
      <c r="H615" s="116"/>
      <c r="I615" s="116"/>
      <c r="L615" s="170">
        <v>45786</v>
      </c>
      <c r="M615" s="116">
        <v>553.95000000000005</v>
      </c>
      <c r="N615" s="116">
        <v>577.95000000000005</v>
      </c>
      <c r="O615" s="116">
        <v>544.29999999999995</v>
      </c>
      <c r="P615" s="116">
        <v>561</v>
      </c>
      <c r="Q615" s="116">
        <v>553.95000000000005</v>
      </c>
      <c r="R615">
        <v>915192</v>
      </c>
    </row>
    <row r="616" spans="1:18" x14ac:dyDescent="0.25">
      <c r="A616" s="170">
        <v>45789</v>
      </c>
      <c r="B616" s="116">
        <v>592</v>
      </c>
      <c r="C616" s="116">
        <v>589.04999999999995</v>
      </c>
      <c r="D616" s="116">
        <v>569.75</v>
      </c>
      <c r="E616" s="116">
        <v>570</v>
      </c>
      <c r="F616" s="116">
        <v>589.04999999999995</v>
      </c>
      <c r="G616">
        <v>12345</v>
      </c>
      <c r="H616" s="116"/>
      <c r="I616" s="116"/>
      <c r="L616" s="170">
        <v>45789</v>
      </c>
      <c r="M616" s="116">
        <v>589.20000000000005</v>
      </c>
      <c r="N616" s="116">
        <v>592</v>
      </c>
      <c r="O616" s="116">
        <v>568</v>
      </c>
      <c r="P616" s="116">
        <v>568</v>
      </c>
      <c r="Q616" s="116">
        <v>589.20000000000005</v>
      </c>
      <c r="R616">
        <v>284301</v>
      </c>
    </row>
    <row r="617" spans="1:18" x14ac:dyDescent="0.25">
      <c r="A617" s="170">
        <v>45790</v>
      </c>
      <c r="B617" s="116">
        <v>610.9</v>
      </c>
      <c r="C617" s="116">
        <v>607.70000000000005</v>
      </c>
      <c r="D617" s="116">
        <v>582.85</v>
      </c>
      <c r="E617" s="116">
        <v>585</v>
      </c>
      <c r="F617" s="116">
        <v>607.70000000000005</v>
      </c>
      <c r="G617">
        <v>7880</v>
      </c>
      <c r="H617" s="116"/>
      <c r="I617" s="116"/>
      <c r="L617" s="170">
        <v>45790</v>
      </c>
      <c r="M617" s="116">
        <v>607.95000000000005</v>
      </c>
      <c r="N617" s="116">
        <v>611.9</v>
      </c>
      <c r="O617" s="116">
        <v>579.20000000000005</v>
      </c>
      <c r="P617" s="116">
        <v>589.20000000000005</v>
      </c>
      <c r="Q617" s="116">
        <v>607.95000000000005</v>
      </c>
      <c r="R617">
        <v>384924</v>
      </c>
    </row>
    <row r="618" spans="1:18" x14ac:dyDescent="0.25">
      <c r="A618" s="170">
        <v>45791</v>
      </c>
      <c r="B618" s="116">
        <v>611.54999999999995</v>
      </c>
      <c r="C618" s="116">
        <v>605.45000000000005</v>
      </c>
      <c r="D618" s="116">
        <v>593.1</v>
      </c>
      <c r="E618" s="116">
        <v>608.79999999999995</v>
      </c>
      <c r="F618" s="116">
        <v>605.45000000000005</v>
      </c>
      <c r="G618">
        <v>12537</v>
      </c>
      <c r="H618" s="116"/>
      <c r="I618" s="116"/>
      <c r="L618" s="170">
        <v>45791</v>
      </c>
      <c r="M618" s="116">
        <v>606.35</v>
      </c>
      <c r="N618" s="116">
        <v>613</v>
      </c>
      <c r="O618" s="116">
        <v>592.85</v>
      </c>
      <c r="P618" s="116">
        <v>610</v>
      </c>
      <c r="Q618" s="116">
        <v>606.35</v>
      </c>
      <c r="R618">
        <v>330922</v>
      </c>
    </row>
    <row r="619" spans="1:18" x14ac:dyDescent="0.25">
      <c r="A619" s="170">
        <v>45792</v>
      </c>
      <c r="B619" s="116">
        <v>610.6</v>
      </c>
      <c r="C619" s="116">
        <v>603.20000000000005</v>
      </c>
      <c r="D619" s="116">
        <v>600</v>
      </c>
      <c r="E619" s="116">
        <v>605</v>
      </c>
      <c r="F619" s="116">
        <v>603.20000000000005</v>
      </c>
      <c r="G619">
        <v>4038</v>
      </c>
      <c r="H619" s="116"/>
      <c r="I619" s="116"/>
      <c r="L619" s="170">
        <v>45792</v>
      </c>
      <c r="M619" s="116">
        <v>603.35</v>
      </c>
      <c r="N619" s="116">
        <v>612</v>
      </c>
      <c r="O619" s="116">
        <v>600</v>
      </c>
      <c r="P619" s="116">
        <v>605.45000000000005</v>
      </c>
      <c r="Q619" s="116">
        <v>603.35</v>
      </c>
      <c r="R619">
        <v>133002</v>
      </c>
    </row>
    <row r="620" spans="1:18" x14ac:dyDescent="0.25">
      <c r="A620" s="170">
        <v>45793</v>
      </c>
      <c r="B620" s="116">
        <v>613.85</v>
      </c>
      <c r="C620" s="116">
        <v>597.5</v>
      </c>
      <c r="D620" s="116">
        <v>595.04999999999995</v>
      </c>
      <c r="E620" s="116">
        <v>601.65</v>
      </c>
      <c r="F620" s="116">
        <v>597.5</v>
      </c>
      <c r="G620">
        <v>7244</v>
      </c>
      <c r="H620" s="116"/>
      <c r="I620" s="116"/>
      <c r="L620" s="170">
        <v>45793</v>
      </c>
      <c r="M620" s="116">
        <v>598.25</v>
      </c>
      <c r="N620" s="116">
        <v>614</v>
      </c>
      <c r="O620" s="116">
        <v>594.15</v>
      </c>
      <c r="P620" s="116">
        <v>605</v>
      </c>
      <c r="Q620" s="116">
        <v>598.25</v>
      </c>
      <c r="R620">
        <v>254360</v>
      </c>
    </row>
    <row r="621" spans="1:18" x14ac:dyDescent="0.25">
      <c r="A621" s="170">
        <v>45796</v>
      </c>
      <c r="B621" s="116">
        <v>622</v>
      </c>
      <c r="C621" s="116">
        <v>614.15</v>
      </c>
      <c r="D621" s="116">
        <v>598.29999999999995</v>
      </c>
      <c r="E621" s="116">
        <v>598.29999999999995</v>
      </c>
      <c r="F621" s="116">
        <v>614.15</v>
      </c>
      <c r="G621">
        <v>8875</v>
      </c>
      <c r="H621" s="116"/>
      <c r="I621" s="116"/>
      <c r="L621" s="170">
        <v>45796</v>
      </c>
      <c r="M621" s="116">
        <v>613.45000000000005</v>
      </c>
      <c r="N621" s="116">
        <v>622.79999999999995</v>
      </c>
      <c r="O621" s="116">
        <v>602</v>
      </c>
      <c r="P621" s="116">
        <v>602</v>
      </c>
      <c r="Q621" s="116">
        <v>613.45000000000005</v>
      </c>
      <c r="R621">
        <v>256773</v>
      </c>
    </row>
    <row r="622" spans="1:18" x14ac:dyDescent="0.25">
      <c r="A622" s="170">
        <v>45797</v>
      </c>
      <c r="B622" s="116">
        <v>625.15</v>
      </c>
      <c r="C622" s="116">
        <v>614.54999999999995</v>
      </c>
      <c r="D622" s="116">
        <v>608</v>
      </c>
      <c r="E622" s="116">
        <v>615.04999999999995</v>
      </c>
      <c r="F622" s="116">
        <v>614.54999999999995</v>
      </c>
      <c r="G622">
        <v>21136</v>
      </c>
      <c r="H622" s="116"/>
      <c r="I622" s="116"/>
      <c r="L622" s="170">
        <v>45797</v>
      </c>
      <c r="M622" s="116">
        <v>613.45000000000005</v>
      </c>
      <c r="N622" s="116">
        <v>626.95000000000005</v>
      </c>
      <c r="O622" s="116">
        <v>606.6</v>
      </c>
      <c r="P622" s="116">
        <v>613.45000000000005</v>
      </c>
      <c r="Q622" s="116">
        <v>613.45000000000005</v>
      </c>
      <c r="R622">
        <v>206284</v>
      </c>
    </row>
    <row r="623" spans="1:18" x14ac:dyDescent="0.25">
      <c r="A623" s="170">
        <v>45798</v>
      </c>
      <c r="B623" s="116">
        <v>629.45000000000005</v>
      </c>
      <c r="C623" s="116">
        <v>625.70000000000005</v>
      </c>
      <c r="D623" s="116">
        <v>604.04999999999995</v>
      </c>
      <c r="E623" s="116">
        <v>615</v>
      </c>
      <c r="F623" s="116">
        <v>625.70000000000005</v>
      </c>
      <c r="G623">
        <v>26978</v>
      </c>
      <c r="H623" s="116"/>
      <c r="I623" s="116"/>
      <c r="L623" s="170">
        <v>45798</v>
      </c>
      <c r="M623" s="116">
        <v>626.54999999999995</v>
      </c>
      <c r="N623" s="116">
        <v>629.79999999999995</v>
      </c>
      <c r="O623" s="116">
        <v>604</v>
      </c>
      <c r="P623" s="116">
        <v>613.45000000000005</v>
      </c>
      <c r="Q623" s="116">
        <v>626.54999999999995</v>
      </c>
      <c r="R623">
        <v>378587</v>
      </c>
    </row>
    <row r="624" spans="1:18" x14ac:dyDescent="0.25">
      <c r="A624" s="170">
        <v>45799</v>
      </c>
      <c r="B624" s="116">
        <v>632.45000000000005</v>
      </c>
      <c r="C624" s="116">
        <v>624.54999999999995</v>
      </c>
      <c r="D624" s="116">
        <v>616.15</v>
      </c>
      <c r="E624" s="116">
        <v>620.5</v>
      </c>
      <c r="F624" s="116">
        <v>624.54999999999995</v>
      </c>
      <c r="G624">
        <v>4452</v>
      </c>
      <c r="H624" s="116"/>
      <c r="I624" s="116"/>
      <c r="L624" s="170">
        <v>45799</v>
      </c>
      <c r="M624" s="116">
        <v>624.85</v>
      </c>
      <c r="N624" s="116">
        <v>633.85</v>
      </c>
      <c r="O624" s="116">
        <v>615</v>
      </c>
      <c r="P624" s="116">
        <v>627</v>
      </c>
      <c r="Q624" s="116">
        <v>624.85</v>
      </c>
      <c r="R624">
        <v>176703</v>
      </c>
    </row>
    <row r="625" spans="1:18" x14ac:dyDescent="0.25">
      <c r="A625" s="170">
        <v>45800</v>
      </c>
      <c r="B625" s="116">
        <v>627</v>
      </c>
      <c r="C625" s="116">
        <v>622.5</v>
      </c>
      <c r="D625" s="116">
        <v>613.45000000000005</v>
      </c>
      <c r="E625" s="116">
        <v>622</v>
      </c>
      <c r="F625" s="116">
        <v>622.5</v>
      </c>
      <c r="G625">
        <v>3075</v>
      </c>
      <c r="H625" s="116"/>
      <c r="I625" s="116"/>
      <c r="L625" s="170">
        <v>45800</v>
      </c>
      <c r="M625" s="116">
        <v>624</v>
      </c>
      <c r="N625" s="116">
        <v>629.54999999999995</v>
      </c>
      <c r="O625" s="116">
        <v>613.6</v>
      </c>
      <c r="P625" s="116">
        <v>626.9</v>
      </c>
      <c r="Q625" s="116">
        <v>624</v>
      </c>
      <c r="R625">
        <v>223786</v>
      </c>
    </row>
    <row r="626" spans="1:18" x14ac:dyDescent="0.25">
      <c r="A626" s="170">
        <v>45803</v>
      </c>
      <c r="B626" s="116">
        <v>637.9</v>
      </c>
      <c r="C626" s="116">
        <v>625.35</v>
      </c>
      <c r="D626" s="116">
        <v>619.79999999999995</v>
      </c>
      <c r="E626" s="116">
        <v>625.35</v>
      </c>
      <c r="F626" s="116">
        <v>625.35</v>
      </c>
      <c r="G626">
        <v>9762</v>
      </c>
      <c r="H626" s="116"/>
      <c r="I626" s="116"/>
      <c r="L626" s="170">
        <v>45803</v>
      </c>
      <c r="M626" s="116">
        <v>625.70000000000005</v>
      </c>
      <c r="N626" s="116">
        <v>637.9</v>
      </c>
      <c r="O626" s="116">
        <v>619.29999999999995</v>
      </c>
      <c r="P626" s="116">
        <v>625</v>
      </c>
      <c r="Q626" s="116">
        <v>625.70000000000005</v>
      </c>
      <c r="R626">
        <v>184868</v>
      </c>
    </row>
    <row r="627" spans="1:18" x14ac:dyDescent="0.25">
      <c r="A627" s="170">
        <v>45804</v>
      </c>
      <c r="B627" s="116">
        <v>635.45000000000005</v>
      </c>
      <c r="C627" s="116">
        <v>630.5</v>
      </c>
      <c r="D627" s="116">
        <v>624.6</v>
      </c>
      <c r="E627" s="116">
        <v>625.04999999999995</v>
      </c>
      <c r="F627" s="116">
        <v>630.5</v>
      </c>
      <c r="G627">
        <v>6033</v>
      </c>
      <c r="H627" s="116"/>
      <c r="I627" s="116"/>
      <c r="L627" s="170">
        <v>45804</v>
      </c>
      <c r="M627" s="116">
        <v>630.20000000000005</v>
      </c>
      <c r="N627" s="116">
        <v>635.25</v>
      </c>
      <c r="O627" s="116">
        <v>624</v>
      </c>
      <c r="P627" s="116">
        <v>626.9</v>
      </c>
      <c r="Q627" s="116">
        <v>630.20000000000005</v>
      </c>
      <c r="R627">
        <v>187337</v>
      </c>
    </row>
    <row r="628" spans="1:18" x14ac:dyDescent="0.25">
      <c r="A628" s="170">
        <v>45805</v>
      </c>
      <c r="B628" s="116">
        <v>639</v>
      </c>
      <c r="C628" s="116">
        <v>628.95000000000005</v>
      </c>
      <c r="D628" s="116">
        <v>627.79999999999995</v>
      </c>
      <c r="E628" s="116">
        <v>629.70000000000005</v>
      </c>
      <c r="F628" s="116">
        <v>628.95000000000005</v>
      </c>
      <c r="G628">
        <v>11734</v>
      </c>
      <c r="H628" s="116"/>
      <c r="I628" s="116"/>
      <c r="L628" s="170">
        <v>45805</v>
      </c>
      <c r="M628" s="116">
        <v>629.04999999999995</v>
      </c>
      <c r="N628" s="116">
        <v>638.5</v>
      </c>
      <c r="O628" s="116">
        <v>626.70000000000005</v>
      </c>
      <c r="P628" s="116">
        <v>630.20000000000005</v>
      </c>
      <c r="Q628" s="116">
        <v>629.04999999999995</v>
      </c>
      <c r="R628">
        <v>87851</v>
      </c>
    </row>
    <row r="629" spans="1:18" x14ac:dyDescent="0.25">
      <c r="A629" s="170">
        <v>45806</v>
      </c>
      <c r="B629" s="116">
        <v>636</v>
      </c>
      <c r="C629" s="116">
        <v>625.45000000000005</v>
      </c>
      <c r="D629" s="116">
        <v>623.25</v>
      </c>
      <c r="E629" s="116">
        <v>634.29999999999995</v>
      </c>
      <c r="F629" s="116">
        <v>625.45000000000005</v>
      </c>
      <c r="G629">
        <v>4206</v>
      </c>
      <c r="H629" s="116"/>
      <c r="I629" s="116"/>
      <c r="L629" s="170">
        <v>45806</v>
      </c>
      <c r="M629" s="116">
        <v>625.54999999999995</v>
      </c>
      <c r="N629" s="116">
        <v>636.29999999999995</v>
      </c>
      <c r="O629" s="116">
        <v>622.1</v>
      </c>
      <c r="P629" s="116">
        <v>633</v>
      </c>
      <c r="Q629" s="116">
        <v>625.54999999999995</v>
      </c>
      <c r="R629">
        <v>131811</v>
      </c>
    </row>
    <row r="630" spans="1:18" x14ac:dyDescent="0.25">
      <c r="A630" s="170">
        <v>45807</v>
      </c>
      <c r="B630" s="116">
        <v>630.75</v>
      </c>
      <c r="C630" s="116">
        <v>624.35</v>
      </c>
      <c r="D630" s="116">
        <v>621.4</v>
      </c>
      <c r="E630" s="116">
        <v>630.20000000000005</v>
      </c>
      <c r="F630" s="116">
        <v>624.35</v>
      </c>
      <c r="G630">
        <v>3095</v>
      </c>
      <c r="H630" s="116"/>
      <c r="I630" s="116"/>
      <c r="L630" s="170">
        <v>45807</v>
      </c>
      <c r="M630" s="116">
        <v>626</v>
      </c>
      <c r="N630" s="116">
        <v>631.25</v>
      </c>
      <c r="O630" s="116">
        <v>620</v>
      </c>
      <c r="P630" s="116">
        <v>629.1</v>
      </c>
      <c r="Q630" s="116">
        <v>626</v>
      </c>
      <c r="R630">
        <v>169239</v>
      </c>
    </row>
    <row r="631" spans="1:18" x14ac:dyDescent="0.25">
      <c r="A631" s="170">
        <v>45810</v>
      </c>
      <c r="B631" s="116">
        <v>628</v>
      </c>
      <c r="C631" s="116">
        <v>615.29999999999995</v>
      </c>
      <c r="D631" s="116">
        <v>614.45000000000005</v>
      </c>
      <c r="E631" s="116">
        <v>624</v>
      </c>
      <c r="F631" s="116">
        <v>615.29999999999995</v>
      </c>
      <c r="G631">
        <v>11724</v>
      </c>
      <c r="H631" s="116"/>
      <c r="I631" s="116"/>
      <c r="L631" s="170">
        <v>45810</v>
      </c>
      <c r="M631" s="116">
        <v>616.1</v>
      </c>
      <c r="N631" s="116">
        <v>628.70000000000005</v>
      </c>
      <c r="O631" s="116">
        <v>614</v>
      </c>
      <c r="P631" s="116">
        <v>625</v>
      </c>
      <c r="Q631" s="116">
        <v>616.1</v>
      </c>
      <c r="R631">
        <v>232040</v>
      </c>
    </row>
    <row r="632" spans="1:18" x14ac:dyDescent="0.25">
      <c r="A632" s="170">
        <v>45811</v>
      </c>
      <c r="B632" s="116">
        <v>626.15</v>
      </c>
      <c r="C632" s="116">
        <v>618.54999999999995</v>
      </c>
      <c r="D632" s="116">
        <v>614.95000000000005</v>
      </c>
      <c r="E632" s="116">
        <v>614.95000000000005</v>
      </c>
      <c r="F632" s="116">
        <v>618.54999999999995</v>
      </c>
      <c r="G632">
        <v>3150</v>
      </c>
      <c r="H632" s="116"/>
      <c r="I632" s="116"/>
      <c r="L632" s="170">
        <v>45811</v>
      </c>
      <c r="M632" s="116">
        <v>618.65</v>
      </c>
      <c r="N632" s="116">
        <v>625.70000000000005</v>
      </c>
      <c r="O632" s="116">
        <v>616.45000000000005</v>
      </c>
      <c r="P632" s="116">
        <v>621</v>
      </c>
      <c r="Q632" s="116">
        <v>618.65</v>
      </c>
      <c r="R632">
        <v>65243</v>
      </c>
    </row>
    <row r="633" spans="1:18" x14ac:dyDescent="0.25">
      <c r="A633" s="170">
        <v>45812</v>
      </c>
      <c r="B633" s="116">
        <v>635.35</v>
      </c>
      <c r="C633" s="116">
        <v>629.04999999999995</v>
      </c>
      <c r="D633" s="116">
        <v>615.70000000000005</v>
      </c>
      <c r="E633" s="116">
        <v>618.04999999999995</v>
      </c>
      <c r="F633" s="116">
        <v>629.04999999999995</v>
      </c>
      <c r="G633">
        <v>4852</v>
      </c>
      <c r="H633" s="116"/>
      <c r="I633" s="116"/>
      <c r="L633" s="170">
        <v>45812</v>
      </c>
      <c r="M633" s="116">
        <v>628.35</v>
      </c>
      <c r="N633" s="116">
        <v>634.95000000000005</v>
      </c>
      <c r="O633" s="116">
        <v>615</v>
      </c>
      <c r="P633" s="116">
        <v>620.5</v>
      </c>
      <c r="Q633" s="116">
        <v>628.35</v>
      </c>
      <c r="R633">
        <v>165064</v>
      </c>
    </row>
    <row r="634" spans="1:18" x14ac:dyDescent="0.25">
      <c r="A634" s="170">
        <v>45813</v>
      </c>
      <c r="B634" s="116">
        <v>650.1</v>
      </c>
      <c r="C634" s="116">
        <v>638.35</v>
      </c>
      <c r="D634" s="116">
        <v>625.9</v>
      </c>
      <c r="E634" s="116">
        <v>628.6</v>
      </c>
      <c r="F634" s="116">
        <v>638.35</v>
      </c>
      <c r="G634">
        <v>20853</v>
      </c>
      <c r="H634" s="116"/>
      <c r="I634" s="116"/>
      <c r="L634" s="170">
        <v>45813</v>
      </c>
      <c r="M634" s="116">
        <v>638.54999999999995</v>
      </c>
      <c r="N634" s="116">
        <v>650.29999999999995</v>
      </c>
      <c r="O634" s="116">
        <v>625.04999999999995</v>
      </c>
      <c r="P634" s="116">
        <v>628.29999999999995</v>
      </c>
      <c r="Q634" s="116">
        <v>638.54999999999995</v>
      </c>
      <c r="R634">
        <v>256565</v>
      </c>
    </row>
    <row r="635" spans="1:18" x14ac:dyDescent="0.25">
      <c r="A635" s="170">
        <v>45814</v>
      </c>
      <c r="B635" s="116">
        <v>644.54999999999995</v>
      </c>
      <c r="C635" s="116">
        <v>642.5</v>
      </c>
      <c r="D635" s="116">
        <v>633.9</v>
      </c>
      <c r="E635" s="116">
        <v>637.4</v>
      </c>
      <c r="F635" s="116">
        <v>642.5</v>
      </c>
      <c r="G635">
        <v>5274</v>
      </c>
      <c r="H635" s="116"/>
      <c r="I635" s="116"/>
      <c r="L635" s="170">
        <v>45814</v>
      </c>
      <c r="M635" s="116">
        <v>642.20000000000005</v>
      </c>
      <c r="N635" s="116">
        <v>645.5</v>
      </c>
      <c r="O635" s="116">
        <v>632.5</v>
      </c>
      <c r="P635" s="116">
        <v>639.5</v>
      </c>
      <c r="Q635" s="116">
        <v>642.20000000000005</v>
      </c>
      <c r="R635">
        <v>152661</v>
      </c>
    </row>
    <row r="636" spans="1:18" x14ac:dyDescent="0.25">
      <c r="A636" s="170">
        <v>45817</v>
      </c>
      <c r="B636" s="116">
        <v>652</v>
      </c>
      <c r="C636" s="116">
        <v>649.1</v>
      </c>
      <c r="D636" s="116">
        <v>636.29999999999995</v>
      </c>
      <c r="E636" s="116">
        <v>636.29999999999995</v>
      </c>
      <c r="F636" s="116">
        <v>649.1</v>
      </c>
      <c r="G636">
        <v>10463</v>
      </c>
      <c r="H636" s="116"/>
      <c r="I636" s="116"/>
      <c r="L636" s="170">
        <v>45817</v>
      </c>
      <c r="M636" s="116">
        <v>649.5</v>
      </c>
      <c r="N636" s="116">
        <v>651.9</v>
      </c>
      <c r="O636" s="116">
        <v>637.15</v>
      </c>
      <c r="P636" s="116">
        <v>642.20000000000005</v>
      </c>
      <c r="Q636" s="116">
        <v>649.5</v>
      </c>
      <c r="R636">
        <v>300752</v>
      </c>
    </row>
    <row r="637" spans="1:18" x14ac:dyDescent="0.25">
      <c r="A637" s="170">
        <v>45818</v>
      </c>
      <c r="B637" s="116">
        <v>653</v>
      </c>
      <c r="C637" s="116">
        <v>640.95000000000005</v>
      </c>
      <c r="D637" s="116">
        <v>639.29999999999995</v>
      </c>
      <c r="E637" s="116">
        <v>649.85</v>
      </c>
      <c r="F637" s="116">
        <v>640.95000000000005</v>
      </c>
      <c r="G637">
        <v>2333</v>
      </c>
      <c r="H637" s="116"/>
      <c r="I637" s="116"/>
      <c r="L637" s="170">
        <v>45818</v>
      </c>
      <c r="M637" s="116">
        <v>641.54999999999995</v>
      </c>
      <c r="N637" s="116">
        <v>653.4</v>
      </c>
      <c r="O637" s="116">
        <v>637.04999999999995</v>
      </c>
      <c r="P637" s="116">
        <v>650</v>
      </c>
      <c r="Q637" s="116">
        <v>641.54999999999995</v>
      </c>
      <c r="R637">
        <v>137002</v>
      </c>
    </row>
    <row r="638" spans="1:18" x14ac:dyDescent="0.25">
      <c r="A638" s="170">
        <v>45819</v>
      </c>
      <c r="B638" s="116">
        <v>645.4</v>
      </c>
      <c r="C638" s="116">
        <v>633.70000000000005</v>
      </c>
      <c r="D638" s="116">
        <v>630.20000000000005</v>
      </c>
      <c r="E638" s="116">
        <v>644.25</v>
      </c>
      <c r="F638" s="116">
        <v>633.70000000000005</v>
      </c>
      <c r="G638">
        <v>3158</v>
      </c>
      <c r="H638" s="116"/>
      <c r="I638" s="116"/>
      <c r="L638" s="170">
        <v>45819</v>
      </c>
      <c r="M638" s="116">
        <v>634.29999999999995</v>
      </c>
      <c r="N638" s="116">
        <v>645.6</v>
      </c>
      <c r="O638" s="116">
        <v>630.20000000000005</v>
      </c>
      <c r="P638" s="116">
        <v>643</v>
      </c>
      <c r="Q638" s="116">
        <v>634.29999999999995</v>
      </c>
      <c r="R638">
        <v>99458</v>
      </c>
    </row>
    <row r="639" spans="1:18" x14ac:dyDescent="0.25">
      <c r="A639" s="170">
        <v>45820</v>
      </c>
      <c r="B639" s="116">
        <v>648.79999999999995</v>
      </c>
      <c r="C639" s="116">
        <v>629.5</v>
      </c>
      <c r="D639" s="116">
        <v>626.35</v>
      </c>
      <c r="E639" s="116">
        <v>633.5</v>
      </c>
      <c r="F639" s="116">
        <v>629.5</v>
      </c>
      <c r="G639">
        <v>4193</v>
      </c>
      <c r="H639" s="116"/>
      <c r="I639" s="116"/>
      <c r="L639" s="170">
        <v>45820</v>
      </c>
      <c r="M639" s="116">
        <v>631.6</v>
      </c>
      <c r="N639" s="116">
        <v>649.79999999999995</v>
      </c>
      <c r="O639" s="116">
        <v>627</v>
      </c>
      <c r="P639" s="116">
        <v>634</v>
      </c>
      <c r="Q639" s="116">
        <v>631.6</v>
      </c>
      <c r="R639">
        <v>148147</v>
      </c>
    </row>
    <row r="640" spans="1:18" x14ac:dyDescent="0.25">
      <c r="A640" s="170">
        <v>45821</v>
      </c>
      <c r="B640" s="116">
        <v>640</v>
      </c>
      <c r="C640" s="116">
        <v>637.25</v>
      </c>
      <c r="D640" s="116">
        <v>615</v>
      </c>
      <c r="E640" s="116">
        <v>625</v>
      </c>
      <c r="F640" s="116">
        <v>637.25</v>
      </c>
      <c r="G640">
        <v>5170</v>
      </c>
      <c r="H640" s="116"/>
      <c r="I640" s="116"/>
      <c r="L640" s="170">
        <v>45821</v>
      </c>
      <c r="M640" s="116">
        <v>636.25</v>
      </c>
      <c r="N640" s="116">
        <v>639.79999999999995</v>
      </c>
      <c r="O640" s="116">
        <v>610</v>
      </c>
      <c r="P640" s="116">
        <v>620.20000000000005</v>
      </c>
      <c r="Q640" s="116">
        <v>636.25</v>
      </c>
      <c r="R640">
        <v>132532</v>
      </c>
    </row>
    <row r="641" spans="1:18" x14ac:dyDescent="0.25">
      <c r="A641" s="170">
        <v>45824</v>
      </c>
      <c r="B641" s="116">
        <v>637.79999999999995</v>
      </c>
      <c r="C641" s="116">
        <v>634.35</v>
      </c>
      <c r="D641" s="116">
        <v>618.29999999999995</v>
      </c>
      <c r="E641" s="116">
        <v>636.6</v>
      </c>
      <c r="F641" s="116">
        <v>634.35</v>
      </c>
      <c r="G641">
        <v>11493</v>
      </c>
      <c r="H641" s="116"/>
      <c r="I641" s="116"/>
      <c r="L641" s="170">
        <v>45824</v>
      </c>
      <c r="M641" s="116">
        <v>633.85</v>
      </c>
      <c r="N641" s="116">
        <v>638.95000000000005</v>
      </c>
      <c r="O641" s="116">
        <v>618.1</v>
      </c>
      <c r="P641" s="116">
        <v>634.1</v>
      </c>
      <c r="Q641" s="116">
        <v>633.85</v>
      </c>
      <c r="R641">
        <v>196418</v>
      </c>
    </row>
    <row r="642" spans="1:18" x14ac:dyDescent="0.25">
      <c r="A642" s="170">
        <v>45825</v>
      </c>
      <c r="B642" s="116">
        <v>633.95000000000005</v>
      </c>
      <c r="C642" s="116">
        <v>625.6</v>
      </c>
      <c r="D642" s="116">
        <v>621</v>
      </c>
      <c r="E642" s="116">
        <v>633.35</v>
      </c>
      <c r="F642" s="116">
        <v>625.6</v>
      </c>
      <c r="G642">
        <v>4365</v>
      </c>
      <c r="H642" s="116"/>
      <c r="I642" s="116"/>
      <c r="L642" s="170">
        <v>45825</v>
      </c>
      <c r="M642" s="116">
        <v>628.15</v>
      </c>
      <c r="N642" s="116">
        <v>634</v>
      </c>
      <c r="O642" s="116">
        <v>621.4</v>
      </c>
      <c r="P642" s="116">
        <v>634</v>
      </c>
      <c r="Q642" s="116">
        <v>628.15</v>
      </c>
      <c r="R642">
        <v>122353</v>
      </c>
    </row>
    <row r="643" spans="1:18" x14ac:dyDescent="0.25">
      <c r="A643" s="170">
        <v>45826</v>
      </c>
      <c r="B643" s="116">
        <v>631.75</v>
      </c>
      <c r="C643" s="116">
        <v>618.75</v>
      </c>
      <c r="D643" s="116">
        <v>616.9</v>
      </c>
      <c r="E643" s="116">
        <v>625.04999999999995</v>
      </c>
      <c r="F643" s="116">
        <v>618.75</v>
      </c>
      <c r="G643">
        <v>3590</v>
      </c>
      <c r="H643" s="116"/>
      <c r="I643" s="116"/>
      <c r="L643" s="170">
        <v>45826</v>
      </c>
      <c r="M643" s="116">
        <v>619.79999999999995</v>
      </c>
      <c r="N643" s="116">
        <v>631.95000000000005</v>
      </c>
      <c r="O643" s="116">
        <v>616.54999999999995</v>
      </c>
      <c r="P643" s="116">
        <v>629</v>
      </c>
      <c r="Q643" s="116">
        <v>619.79999999999995</v>
      </c>
      <c r="R643">
        <v>96112</v>
      </c>
    </row>
    <row r="644" spans="1:18" x14ac:dyDescent="0.25">
      <c r="A644" s="170">
        <v>45827</v>
      </c>
      <c r="B644" s="116">
        <v>623.79999999999995</v>
      </c>
      <c r="C644" s="116">
        <v>608.95000000000005</v>
      </c>
      <c r="D644" s="116">
        <v>606.4</v>
      </c>
      <c r="E644" s="116">
        <v>621.04999999999995</v>
      </c>
      <c r="F644" s="116">
        <v>608.95000000000005</v>
      </c>
      <c r="G644">
        <v>3299</v>
      </c>
      <c r="H644" s="116"/>
      <c r="I644" s="116"/>
      <c r="L644" s="170">
        <v>45827</v>
      </c>
      <c r="M644" s="116">
        <v>608.65</v>
      </c>
      <c r="N644" s="116">
        <v>623.9</v>
      </c>
      <c r="O644" s="116">
        <v>605.95000000000005</v>
      </c>
      <c r="P644" s="116">
        <v>622.79999999999995</v>
      </c>
      <c r="Q644" s="116">
        <v>608.65</v>
      </c>
      <c r="R644">
        <v>92959</v>
      </c>
    </row>
    <row r="645" spans="1:18" x14ac:dyDescent="0.25">
      <c r="A645" s="170">
        <v>45828</v>
      </c>
      <c r="B645" s="116">
        <v>638</v>
      </c>
      <c r="C645" s="116">
        <v>632.45000000000005</v>
      </c>
      <c r="D645" s="116">
        <v>606.25</v>
      </c>
      <c r="E645" s="116">
        <v>608.95000000000005</v>
      </c>
      <c r="F645" s="116">
        <v>632.45000000000005</v>
      </c>
      <c r="G645">
        <v>10464</v>
      </c>
      <c r="H645" s="116"/>
      <c r="I645" s="116"/>
      <c r="L645" s="170">
        <v>45828</v>
      </c>
      <c r="M645" s="116">
        <v>633.04999999999995</v>
      </c>
      <c r="N645" s="116">
        <v>639</v>
      </c>
      <c r="O645" s="116">
        <v>605.54999999999995</v>
      </c>
      <c r="P645" s="116">
        <v>610.75</v>
      </c>
      <c r="Q645" s="116">
        <v>633.04999999999995</v>
      </c>
      <c r="R645">
        <v>186154</v>
      </c>
    </row>
    <row r="646" spans="1:18" x14ac:dyDescent="0.25">
      <c r="A646" s="170">
        <v>45831</v>
      </c>
      <c r="B646" s="116">
        <v>630</v>
      </c>
      <c r="C646" s="116">
        <v>618.4</v>
      </c>
      <c r="D646" s="116">
        <v>614</v>
      </c>
      <c r="E646" s="116">
        <v>630</v>
      </c>
      <c r="F646" s="116">
        <v>618.4</v>
      </c>
      <c r="G646">
        <v>3822</v>
      </c>
      <c r="H646" s="116"/>
      <c r="I646" s="116"/>
      <c r="L646" s="170">
        <v>45831</v>
      </c>
      <c r="M646" s="116">
        <v>619.65</v>
      </c>
      <c r="N646" s="116">
        <v>631.75</v>
      </c>
      <c r="O646" s="116">
        <v>612.95000000000005</v>
      </c>
      <c r="P646" s="116">
        <v>615</v>
      </c>
      <c r="Q646" s="116">
        <v>619.65</v>
      </c>
      <c r="R646">
        <v>157498</v>
      </c>
    </row>
    <row r="647" spans="1:18" x14ac:dyDescent="0.25">
      <c r="A647" s="170">
        <v>45832</v>
      </c>
      <c r="B647" s="116">
        <v>630</v>
      </c>
      <c r="C647" s="116">
        <v>617.65</v>
      </c>
      <c r="D647" s="116">
        <v>614</v>
      </c>
      <c r="E647" s="116">
        <v>618.45000000000005</v>
      </c>
      <c r="F647" s="116">
        <v>617.65</v>
      </c>
      <c r="G647">
        <v>1625</v>
      </c>
      <c r="H647" s="116"/>
      <c r="I647" s="116"/>
      <c r="L647" s="170">
        <v>45832</v>
      </c>
      <c r="M647" s="116">
        <v>615.70000000000005</v>
      </c>
      <c r="N647" s="116">
        <v>630.45000000000005</v>
      </c>
      <c r="O647" s="116">
        <v>613.20000000000005</v>
      </c>
      <c r="P647" s="116">
        <v>622.04999999999995</v>
      </c>
      <c r="Q647" s="116">
        <v>615.70000000000005</v>
      </c>
      <c r="R647">
        <v>114755</v>
      </c>
    </row>
    <row r="648" spans="1:18" x14ac:dyDescent="0.25">
      <c r="A648" s="170">
        <v>45833</v>
      </c>
      <c r="B648" s="116">
        <v>637.5</v>
      </c>
      <c r="C648" s="116">
        <v>635.5</v>
      </c>
      <c r="D648" s="116">
        <v>615.70000000000005</v>
      </c>
      <c r="E648" s="116">
        <v>615.70000000000005</v>
      </c>
      <c r="F648" s="116">
        <v>635.5</v>
      </c>
      <c r="G648">
        <v>9282</v>
      </c>
      <c r="H648" s="116"/>
      <c r="I648" s="116"/>
      <c r="L648" s="170">
        <v>45833</v>
      </c>
      <c r="M648" s="116">
        <v>635.35</v>
      </c>
      <c r="N648" s="116">
        <v>638</v>
      </c>
      <c r="O648" s="116">
        <v>617.75</v>
      </c>
      <c r="P648" s="116">
        <v>620</v>
      </c>
      <c r="Q648" s="116">
        <v>635.35</v>
      </c>
      <c r="R648">
        <v>142362</v>
      </c>
    </row>
    <row r="649" spans="1:18" x14ac:dyDescent="0.25">
      <c r="A649" s="170">
        <v>45834</v>
      </c>
      <c r="B649" s="116">
        <v>644.95000000000005</v>
      </c>
      <c r="C649" s="116">
        <v>631.04999999999995</v>
      </c>
      <c r="D649" s="116">
        <v>627.15</v>
      </c>
      <c r="E649" s="116">
        <v>630.04999999999995</v>
      </c>
      <c r="F649" s="116">
        <v>631.04999999999995</v>
      </c>
      <c r="G649">
        <v>16422</v>
      </c>
      <c r="H649" s="116"/>
      <c r="I649" s="116"/>
      <c r="L649" s="170">
        <v>45834</v>
      </c>
      <c r="M649" s="116">
        <v>631.04999999999995</v>
      </c>
      <c r="N649" s="116">
        <v>646.4</v>
      </c>
      <c r="O649" s="116">
        <v>627.54999999999995</v>
      </c>
      <c r="P649" s="116">
        <v>638</v>
      </c>
      <c r="Q649" s="116">
        <v>631.04999999999995</v>
      </c>
      <c r="R649">
        <v>149964</v>
      </c>
    </row>
    <row r="650" spans="1:18" x14ac:dyDescent="0.25">
      <c r="A650" s="170">
        <v>45835</v>
      </c>
      <c r="B650" s="116">
        <v>636</v>
      </c>
      <c r="C650" s="116">
        <v>629.95000000000005</v>
      </c>
      <c r="D650" s="116">
        <v>626.5</v>
      </c>
      <c r="E650" s="116">
        <v>636</v>
      </c>
      <c r="F650" s="116">
        <v>629.95000000000005</v>
      </c>
      <c r="G650">
        <v>1383</v>
      </c>
      <c r="H650" s="116"/>
      <c r="I650" s="116"/>
      <c r="L650" s="170">
        <v>45835</v>
      </c>
      <c r="M650" s="116">
        <v>628.65</v>
      </c>
      <c r="N650" s="116">
        <v>634.20000000000005</v>
      </c>
      <c r="O650" s="116">
        <v>626.1</v>
      </c>
      <c r="P650" s="116">
        <v>633</v>
      </c>
      <c r="Q650" s="116">
        <v>628.65</v>
      </c>
      <c r="R650">
        <v>64758</v>
      </c>
    </row>
    <row r="651" spans="1:18" x14ac:dyDescent="0.25">
      <c r="A651" s="170">
        <v>45838</v>
      </c>
      <c r="B651" s="116">
        <v>637.9</v>
      </c>
      <c r="C651" s="116">
        <v>631.6</v>
      </c>
      <c r="D651" s="116">
        <v>626.04999999999995</v>
      </c>
      <c r="E651" s="116">
        <v>626.04999999999995</v>
      </c>
      <c r="F651" s="116">
        <v>631.6</v>
      </c>
      <c r="G651">
        <v>3786</v>
      </c>
      <c r="H651" s="116"/>
      <c r="I651" s="116"/>
      <c r="L651" s="170">
        <v>45838</v>
      </c>
      <c r="M651" s="116">
        <v>632.6</v>
      </c>
      <c r="N651" s="116">
        <v>639</v>
      </c>
      <c r="O651" s="116">
        <v>625.54999999999995</v>
      </c>
      <c r="P651" s="116">
        <v>630.9</v>
      </c>
      <c r="Q651" s="116">
        <v>632.6</v>
      </c>
      <c r="R651">
        <v>90338</v>
      </c>
    </row>
    <row r="652" spans="1:18" x14ac:dyDescent="0.25">
      <c r="A652" s="170">
        <v>45839</v>
      </c>
      <c r="B652" s="116">
        <v>636.1</v>
      </c>
      <c r="C652" s="116">
        <v>621.04999999999995</v>
      </c>
      <c r="D652" s="116">
        <v>620.1</v>
      </c>
      <c r="E652" s="116">
        <v>630</v>
      </c>
      <c r="F652" s="116">
        <v>621.04999999999995</v>
      </c>
      <c r="G652">
        <v>1315</v>
      </c>
      <c r="H652" s="116"/>
      <c r="I652" s="116"/>
      <c r="L652" s="170">
        <v>45839</v>
      </c>
      <c r="M652" s="116">
        <v>621.15</v>
      </c>
      <c r="N652" s="116">
        <v>637.45000000000005</v>
      </c>
      <c r="O652" s="116">
        <v>618.25</v>
      </c>
      <c r="P652" s="116">
        <v>634</v>
      </c>
      <c r="Q652" s="116">
        <v>621.15</v>
      </c>
      <c r="R652">
        <v>83441</v>
      </c>
    </row>
    <row r="653" spans="1:18" x14ac:dyDescent="0.25">
      <c r="A653" s="170">
        <v>45840</v>
      </c>
      <c r="B653" s="116">
        <v>624.45000000000005</v>
      </c>
      <c r="C653" s="116">
        <v>619.15</v>
      </c>
      <c r="D653" s="116">
        <v>612.65</v>
      </c>
      <c r="E653" s="116">
        <v>621.54999999999995</v>
      </c>
      <c r="F653" s="116">
        <v>619.15</v>
      </c>
      <c r="G653">
        <v>2822</v>
      </c>
      <c r="H653" s="116"/>
      <c r="I653" s="116"/>
      <c r="L653" s="170">
        <v>45840</v>
      </c>
      <c r="M653" s="116">
        <v>619.25</v>
      </c>
      <c r="N653" s="116">
        <v>626.35</v>
      </c>
      <c r="O653" s="116">
        <v>611.54999999999995</v>
      </c>
      <c r="P653" s="116">
        <v>622.45000000000005</v>
      </c>
      <c r="Q653" s="116">
        <v>619.25</v>
      </c>
      <c r="R653">
        <v>109651</v>
      </c>
    </row>
    <row r="654" spans="1:18" x14ac:dyDescent="0.25">
      <c r="A654" s="170">
        <v>45841</v>
      </c>
      <c r="B654" s="116">
        <v>632.15</v>
      </c>
      <c r="C654" s="116">
        <v>625.79999999999995</v>
      </c>
      <c r="D654" s="116">
        <v>619.20000000000005</v>
      </c>
      <c r="E654" s="116">
        <v>624.15</v>
      </c>
      <c r="F654" s="116">
        <v>625.79999999999995</v>
      </c>
      <c r="G654">
        <v>4978</v>
      </c>
      <c r="H654" s="116"/>
      <c r="I654" s="116"/>
      <c r="L654" s="170">
        <v>45841</v>
      </c>
      <c r="M654" s="116">
        <v>625.95000000000005</v>
      </c>
      <c r="N654" s="116">
        <v>632.95000000000005</v>
      </c>
      <c r="O654" s="116">
        <v>618.29999999999995</v>
      </c>
      <c r="P654" s="116">
        <v>620</v>
      </c>
      <c r="Q654" s="116">
        <v>625.95000000000005</v>
      </c>
      <c r="R654">
        <v>123361</v>
      </c>
    </row>
    <row r="655" spans="1:18" x14ac:dyDescent="0.25">
      <c r="A655" s="170">
        <v>45842</v>
      </c>
      <c r="B655" s="116">
        <v>660</v>
      </c>
      <c r="C655" s="116">
        <v>636.1</v>
      </c>
      <c r="D655" s="116">
        <v>625.79999999999995</v>
      </c>
      <c r="E655" s="116">
        <v>625.79999999999995</v>
      </c>
      <c r="F655" s="116">
        <v>636.1</v>
      </c>
      <c r="G655">
        <v>12230</v>
      </c>
      <c r="H655" s="116"/>
      <c r="I655" s="116"/>
      <c r="L655" s="170">
        <v>45842</v>
      </c>
      <c r="M655" s="116">
        <v>636.35</v>
      </c>
      <c r="N655" s="116">
        <v>660</v>
      </c>
      <c r="O655" s="116">
        <v>625.9</v>
      </c>
      <c r="P655" s="116">
        <v>625.95000000000005</v>
      </c>
      <c r="Q655" s="116">
        <v>636.35</v>
      </c>
      <c r="R655">
        <v>478956</v>
      </c>
    </row>
    <row r="656" spans="1:18" x14ac:dyDescent="0.25">
      <c r="A656" s="170">
        <v>45845</v>
      </c>
      <c r="B656" s="116">
        <v>637.29999999999995</v>
      </c>
      <c r="C656" s="116">
        <v>634.20000000000005</v>
      </c>
      <c r="D656" s="116">
        <v>630.35</v>
      </c>
      <c r="E656" s="116">
        <v>634.4</v>
      </c>
      <c r="F656" s="116">
        <v>634.20000000000005</v>
      </c>
      <c r="G656">
        <v>2837</v>
      </c>
      <c r="H656" s="116"/>
      <c r="I656" s="116"/>
      <c r="L656" s="170">
        <v>45845</v>
      </c>
      <c r="M656" s="116">
        <v>634.54999999999995</v>
      </c>
      <c r="N656" s="116">
        <v>638.45000000000005</v>
      </c>
      <c r="O656" s="116">
        <v>630.20000000000005</v>
      </c>
      <c r="P656" s="116">
        <v>636.35</v>
      </c>
      <c r="Q656" s="116">
        <v>634.54999999999995</v>
      </c>
      <c r="R656">
        <v>73389</v>
      </c>
    </row>
    <row r="657" spans="1:18" x14ac:dyDescent="0.25">
      <c r="A657" s="170">
        <v>45846</v>
      </c>
      <c r="B657" s="116">
        <v>666</v>
      </c>
      <c r="C657" s="116">
        <v>655.65</v>
      </c>
      <c r="D657" s="116">
        <v>627.95000000000005</v>
      </c>
      <c r="E657" s="116">
        <v>630.15</v>
      </c>
      <c r="F657" s="116">
        <v>655.65</v>
      </c>
      <c r="G657">
        <v>11714</v>
      </c>
      <c r="H657" s="116"/>
      <c r="I657" s="116"/>
      <c r="L657" s="170">
        <v>45846</v>
      </c>
      <c r="M657" s="116">
        <v>653.9</v>
      </c>
      <c r="N657" s="116">
        <v>667.85</v>
      </c>
      <c r="O657" s="116">
        <v>627.75</v>
      </c>
      <c r="P657" s="116">
        <v>634.54999999999995</v>
      </c>
      <c r="Q657" s="116">
        <v>653.9</v>
      </c>
      <c r="R657">
        <v>243423</v>
      </c>
    </row>
    <row r="658" spans="1:18" x14ac:dyDescent="0.25">
      <c r="A658" s="170">
        <v>45847</v>
      </c>
      <c r="B658" s="116">
        <v>674.45</v>
      </c>
      <c r="C658" s="116">
        <v>671.75</v>
      </c>
      <c r="D658" s="116">
        <v>646</v>
      </c>
      <c r="E658" s="116">
        <v>646</v>
      </c>
      <c r="F658" s="116">
        <v>671.75</v>
      </c>
      <c r="G658">
        <v>23762</v>
      </c>
      <c r="H658" s="116"/>
      <c r="I658" s="116"/>
      <c r="L658" s="170">
        <v>45847</v>
      </c>
      <c r="M658" s="116">
        <v>672.25</v>
      </c>
      <c r="N658" s="116">
        <v>674.6</v>
      </c>
      <c r="O658" s="116">
        <v>647.15</v>
      </c>
      <c r="P658" s="116">
        <v>650</v>
      </c>
      <c r="Q658" s="116">
        <v>672.25</v>
      </c>
      <c r="R658">
        <v>402347</v>
      </c>
    </row>
    <row r="659" spans="1:18" x14ac:dyDescent="0.25">
      <c r="A659" s="170">
        <v>45848</v>
      </c>
      <c r="B659" s="116">
        <v>678.85</v>
      </c>
      <c r="C659" s="116">
        <v>667.95</v>
      </c>
      <c r="D659" s="116">
        <v>660.35</v>
      </c>
      <c r="E659" s="116">
        <v>675.95</v>
      </c>
      <c r="F659" s="116">
        <v>667.95</v>
      </c>
      <c r="G659">
        <v>5970</v>
      </c>
      <c r="H659" s="116"/>
      <c r="I659" s="116"/>
      <c r="L659" s="170">
        <v>45848</v>
      </c>
      <c r="M659" s="116">
        <v>667.05</v>
      </c>
      <c r="N659" s="116">
        <v>679.2</v>
      </c>
      <c r="O659" s="116">
        <v>660.3</v>
      </c>
      <c r="P659" s="116">
        <v>674</v>
      </c>
      <c r="Q659" s="116">
        <v>667.05</v>
      </c>
      <c r="R659">
        <v>140347</v>
      </c>
    </row>
    <row r="660" spans="1:18" x14ac:dyDescent="0.25">
      <c r="A660" s="170">
        <v>45849</v>
      </c>
      <c r="B660" s="116">
        <v>679.45</v>
      </c>
      <c r="C660" s="116">
        <v>672.9</v>
      </c>
      <c r="D660" s="116">
        <v>651.29999999999995</v>
      </c>
      <c r="E660" s="116">
        <v>679.45</v>
      </c>
      <c r="F660" s="116">
        <v>672.9</v>
      </c>
      <c r="G660">
        <v>13391</v>
      </c>
      <c r="H660" s="116"/>
      <c r="I660" s="116"/>
      <c r="L660" s="170">
        <v>45849</v>
      </c>
      <c r="M660" s="116">
        <v>673.2</v>
      </c>
      <c r="N660" s="116">
        <v>677.5</v>
      </c>
      <c r="O660" s="116">
        <v>651.9</v>
      </c>
      <c r="P660" s="116">
        <v>665</v>
      </c>
      <c r="Q660" s="116">
        <v>673.2</v>
      </c>
      <c r="R660">
        <v>151865</v>
      </c>
    </row>
    <row r="661" spans="1:18" x14ac:dyDescent="0.25">
      <c r="A661" s="170">
        <v>45852</v>
      </c>
      <c r="B661" s="116">
        <v>689.2</v>
      </c>
      <c r="C661" s="116">
        <v>685.75</v>
      </c>
      <c r="D661" s="116">
        <v>661.35</v>
      </c>
      <c r="E661" s="116">
        <v>669</v>
      </c>
      <c r="F661" s="116">
        <v>685.75</v>
      </c>
      <c r="G661">
        <v>8144</v>
      </c>
      <c r="H661" s="116"/>
      <c r="I661" s="116"/>
      <c r="L661" s="170">
        <v>45852</v>
      </c>
      <c r="M661" s="116">
        <v>687.1</v>
      </c>
      <c r="N661" s="116">
        <v>689.6</v>
      </c>
      <c r="O661" s="116">
        <v>661.1</v>
      </c>
      <c r="P661" s="116">
        <v>675</v>
      </c>
      <c r="Q661" s="116">
        <v>687.1</v>
      </c>
      <c r="R661">
        <v>249485</v>
      </c>
    </row>
    <row r="662" spans="1:18" x14ac:dyDescent="0.25">
      <c r="A662" s="170">
        <v>45853</v>
      </c>
      <c r="B662" s="116">
        <v>699.55</v>
      </c>
      <c r="C662" s="116">
        <v>698.35</v>
      </c>
      <c r="D662" s="116">
        <v>676.5</v>
      </c>
      <c r="E662" s="116">
        <v>685</v>
      </c>
      <c r="F662" s="116">
        <v>698.35</v>
      </c>
      <c r="G662">
        <v>10596</v>
      </c>
      <c r="H662" s="116"/>
      <c r="I662" s="116"/>
      <c r="L662" s="170">
        <v>45853</v>
      </c>
      <c r="M662" s="116">
        <v>698.6</v>
      </c>
      <c r="N662" s="116">
        <v>699.7</v>
      </c>
      <c r="O662" s="116">
        <v>675.95</v>
      </c>
      <c r="P662" s="116">
        <v>683</v>
      </c>
      <c r="Q662" s="116">
        <v>698.6</v>
      </c>
      <c r="R662">
        <v>301960</v>
      </c>
    </row>
    <row r="663" spans="1:18" x14ac:dyDescent="0.25">
      <c r="A663" s="170">
        <v>45854</v>
      </c>
      <c r="B663" s="116">
        <v>705.9</v>
      </c>
      <c r="C663" s="116">
        <v>694.35</v>
      </c>
      <c r="D663" s="116">
        <v>679</v>
      </c>
      <c r="E663" s="116">
        <v>698.4</v>
      </c>
      <c r="F663" s="116">
        <v>694.35</v>
      </c>
      <c r="G663">
        <v>4526</v>
      </c>
      <c r="H663" s="116"/>
      <c r="I663" s="116"/>
      <c r="L663" s="170">
        <v>45854</v>
      </c>
      <c r="M663" s="116">
        <v>694.85</v>
      </c>
      <c r="N663" s="116">
        <v>708.75</v>
      </c>
      <c r="O663" s="116">
        <v>678.3</v>
      </c>
      <c r="P663" s="116">
        <v>699.8</v>
      </c>
      <c r="Q663" s="116">
        <v>694.85</v>
      </c>
      <c r="R663">
        <v>274775</v>
      </c>
    </row>
    <row r="664" spans="1:18" x14ac:dyDescent="0.25">
      <c r="A664" s="170">
        <v>45855</v>
      </c>
      <c r="B664" s="116">
        <v>695.95</v>
      </c>
      <c r="C664" s="116">
        <v>687.3</v>
      </c>
      <c r="D664" s="116">
        <v>684.6</v>
      </c>
      <c r="E664" s="116">
        <v>687.5</v>
      </c>
      <c r="F664" s="116">
        <v>687.3</v>
      </c>
      <c r="G664">
        <v>4846</v>
      </c>
      <c r="H664" s="116"/>
      <c r="I664" s="116"/>
      <c r="L664" s="170">
        <v>45855</v>
      </c>
      <c r="M664" s="116">
        <v>687.5</v>
      </c>
      <c r="N664" s="116">
        <v>697.4</v>
      </c>
      <c r="O664" s="116">
        <v>684.05</v>
      </c>
      <c r="P664" s="116">
        <v>694.8</v>
      </c>
      <c r="Q664" s="116">
        <v>687.5</v>
      </c>
      <c r="R664">
        <v>139890</v>
      </c>
    </row>
    <row r="665" spans="1:18" x14ac:dyDescent="0.25">
      <c r="A665" s="170">
        <v>45856</v>
      </c>
      <c r="B665" s="116">
        <v>700.5</v>
      </c>
      <c r="C665" s="116">
        <v>697.65</v>
      </c>
      <c r="D665" s="116">
        <v>677.8</v>
      </c>
      <c r="E665" s="116">
        <v>690.7</v>
      </c>
      <c r="F665" s="116">
        <v>697.65</v>
      </c>
      <c r="G665">
        <v>4168</v>
      </c>
      <c r="H665" s="116"/>
      <c r="I665" s="116"/>
      <c r="L665" s="170">
        <v>45856</v>
      </c>
      <c r="M665" s="116">
        <v>698.2</v>
      </c>
      <c r="N665" s="116">
        <v>701.2</v>
      </c>
      <c r="O665" s="116">
        <v>678</v>
      </c>
      <c r="P665" s="116">
        <v>687</v>
      </c>
      <c r="Q665" s="116">
        <v>698.2</v>
      </c>
      <c r="R665">
        <v>195028</v>
      </c>
    </row>
    <row r="666" spans="1:18" x14ac:dyDescent="0.25">
      <c r="A666" s="170">
        <v>45859</v>
      </c>
      <c r="B666" s="116">
        <v>704.9</v>
      </c>
      <c r="C666" s="116">
        <v>700.8</v>
      </c>
      <c r="D666" s="116">
        <v>686.45</v>
      </c>
      <c r="E666" s="116">
        <v>699.9</v>
      </c>
      <c r="F666" s="116">
        <v>700.8</v>
      </c>
      <c r="G666">
        <v>7610</v>
      </c>
      <c r="H666" s="116"/>
      <c r="I666" s="116"/>
      <c r="L666" s="170">
        <v>45859</v>
      </c>
      <c r="M666" s="116">
        <v>701.85</v>
      </c>
      <c r="N666" s="116">
        <v>705</v>
      </c>
      <c r="O666" s="116">
        <v>685.9</v>
      </c>
      <c r="P666" s="116">
        <v>699.4</v>
      </c>
      <c r="Q666" s="116">
        <v>701.85</v>
      </c>
      <c r="R666">
        <v>175054</v>
      </c>
    </row>
    <row r="667" spans="1:18" x14ac:dyDescent="0.25">
      <c r="A667" s="170">
        <v>45860</v>
      </c>
      <c r="B667" s="116">
        <v>701</v>
      </c>
      <c r="C667" s="116">
        <v>690.55</v>
      </c>
      <c r="D667" s="116">
        <v>686.2</v>
      </c>
      <c r="E667" s="116">
        <v>700.05</v>
      </c>
      <c r="F667" s="116">
        <v>690.55</v>
      </c>
      <c r="G667">
        <v>5213</v>
      </c>
      <c r="H667" s="116"/>
      <c r="I667" s="116"/>
      <c r="L667" s="170">
        <v>45860</v>
      </c>
      <c r="M667" s="116">
        <v>691.25</v>
      </c>
      <c r="N667" s="116">
        <v>702</v>
      </c>
      <c r="O667" s="116">
        <v>685.9</v>
      </c>
      <c r="P667" s="116">
        <v>701.5</v>
      </c>
      <c r="Q667" s="116">
        <v>691.25</v>
      </c>
      <c r="R667">
        <v>123570</v>
      </c>
    </row>
    <row r="668" spans="1:18" x14ac:dyDescent="0.25">
      <c r="A668" s="170">
        <v>45861</v>
      </c>
      <c r="B668" s="116">
        <v>700</v>
      </c>
      <c r="C668" s="116">
        <v>697.7</v>
      </c>
      <c r="D668" s="116">
        <v>676.55</v>
      </c>
      <c r="E668" s="116">
        <v>680.05</v>
      </c>
      <c r="F668" s="116">
        <v>697.7</v>
      </c>
      <c r="G668">
        <v>3898</v>
      </c>
      <c r="H668" s="116"/>
      <c r="I668" s="116"/>
      <c r="L668" s="170">
        <v>45861</v>
      </c>
      <c r="M668" s="116">
        <v>697.85</v>
      </c>
      <c r="N668" s="116">
        <v>701</v>
      </c>
      <c r="O668" s="116">
        <v>675.8</v>
      </c>
      <c r="P668" s="116">
        <v>685.15</v>
      </c>
      <c r="Q668" s="116">
        <v>697.85</v>
      </c>
      <c r="R668">
        <v>203618</v>
      </c>
    </row>
    <row r="669" spans="1:18" x14ac:dyDescent="0.25">
      <c r="A669" s="170">
        <v>45862</v>
      </c>
      <c r="B669" s="116">
        <v>693.8</v>
      </c>
      <c r="C669" s="116">
        <v>681.5</v>
      </c>
      <c r="D669" s="116">
        <v>678.25</v>
      </c>
      <c r="E669" s="116">
        <v>691.15</v>
      </c>
      <c r="F669" s="116">
        <v>681.5</v>
      </c>
      <c r="G669">
        <v>3410</v>
      </c>
      <c r="H669" s="116"/>
      <c r="I669" s="116"/>
      <c r="L669" s="170">
        <v>45862</v>
      </c>
      <c r="M669" s="116">
        <v>683.15</v>
      </c>
      <c r="N669" s="116">
        <v>696.2</v>
      </c>
      <c r="O669" s="116">
        <v>676.5</v>
      </c>
      <c r="P669" s="116">
        <v>696</v>
      </c>
      <c r="Q669" s="116">
        <v>683.15</v>
      </c>
      <c r="R669">
        <v>163245</v>
      </c>
    </row>
    <row r="670" spans="1:18" x14ac:dyDescent="0.25">
      <c r="A670" s="170">
        <v>45863</v>
      </c>
      <c r="B670" s="116">
        <v>684.05</v>
      </c>
      <c r="C670" s="116">
        <v>673.45</v>
      </c>
      <c r="D670" s="116">
        <v>654.45000000000005</v>
      </c>
      <c r="E670" s="116">
        <v>681</v>
      </c>
      <c r="F670" s="116">
        <v>673.45</v>
      </c>
      <c r="G670">
        <v>6170</v>
      </c>
      <c r="H670" s="116"/>
      <c r="I670" s="116"/>
      <c r="L670" s="170">
        <v>45863</v>
      </c>
      <c r="M670" s="116">
        <v>677.6</v>
      </c>
      <c r="N670" s="116">
        <v>685.2</v>
      </c>
      <c r="O670" s="116">
        <v>654</v>
      </c>
      <c r="P670" s="116">
        <v>682.8</v>
      </c>
      <c r="Q670" s="116">
        <v>677.6</v>
      </c>
      <c r="R670">
        <v>205055</v>
      </c>
    </row>
    <row r="671" spans="1:18" x14ac:dyDescent="0.25">
      <c r="A671" s="170">
        <v>45866</v>
      </c>
      <c r="B671" s="116">
        <v>680.2</v>
      </c>
      <c r="C671" s="116">
        <v>664.9</v>
      </c>
      <c r="D671" s="116">
        <v>655.95</v>
      </c>
      <c r="E671" s="116">
        <v>679.85</v>
      </c>
      <c r="F671" s="116">
        <v>664.9</v>
      </c>
      <c r="G671">
        <v>10325</v>
      </c>
      <c r="H671" s="116"/>
      <c r="I671" s="116"/>
      <c r="L671" s="170">
        <v>45866</v>
      </c>
      <c r="M671" s="116">
        <v>663.4</v>
      </c>
      <c r="N671" s="116">
        <v>680.55</v>
      </c>
      <c r="O671" s="116">
        <v>655.29999999999995</v>
      </c>
      <c r="P671" s="116">
        <v>679.95</v>
      </c>
      <c r="Q671" s="116">
        <v>663.4</v>
      </c>
      <c r="R671">
        <v>145953</v>
      </c>
    </row>
    <row r="672" spans="1:18" x14ac:dyDescent="0.25">
      <c r="A672" s="170">
        <v>45867</v>
      </c>
      <c r="B672" s="116">
        <v>646.35</v>
      </c>
      <c r="C672" s="116">
        <v>639.65</v>
      </c>
      <c r="D672" s="116">
        <v>630</v>
      </c>
      <c r="E672" s="116">
        <v>637.75</v>
      </c>
      <c r="F672" s="116">
        <v>639.65</v>
      </c>
      <c r="G672">
        <v>26914</v>
      </c>
      <c r="H672" s="116"/>
      <c r="I672" s="116"/>
      <c r="L672" s="170">
        <v>45867</v>
      </c>
      <c r="M672" s="116">
        <v>639.79999999999995</v>
      </c>
      <c r="N672" s="116">
        <v>649.29999999999995</v>
      </c>
      <c r="O672" s="116">
        <v>628.35</v>
      </c>
      <c r="P672" s="116">
        <v>635</v>
      </c>
      <c r="Q672" s="116">
        <v>639.79999999999995</v>
      </c>
      <c r="R672">
        <v>339800</v>
      </c>
    </row>
    <row r="673" spans="1:18" x14ac:dyDescent="0.25">
      <c r="A673" s="170">
        <v>45868</v>
      </c>
      <c r="B673" s="116">
        <v>659</v>
      </c>
      <c r="C673" s="116">
        <v>652.95000000000005</v>
      </c>
      <c r="D673" s="116">
        <v>637</v>
      </c>
      <c r="E673" s="116">
        <v>638.45000000000005</v>
      </c>
      <c r="F673" s="116">
        <v>652.95000000000005</v>
      </c>
      <c r="G673">
        <v>9802</v>
      </c>
      <c r="H673" s="116"/>
      <c r="I673" s="116"/>
      <c r="L673" s="170">
        <v>45868</v>
      </c>
      <c r="M673" s="116">
        <v>652.5</v>
      </c>
      <c r="N673" s="116">
        <v>659.35</v>
      </c>
      <c r="O673" s="116">
        <v>635.04999999999995</v>
      </c>
      <c r="P673" s="116">
        <v>635.04999999999995</v>
      </c>
      <c r="Q673" s="116">
        <v>652.5</v>
      </c>
      <c r="R673">
        <v>149213</v>
      </c>
    </row>
    <row r="674" spans="1:18" x14ac:dyDescent="0.25">
      <c r="A674" s="170">
        <v>45869</v>
      </c>
      <c r="B674" s="116">
        <v>686.1</v>
      </c>
      <c r="C674" s="116">
        <v>663.9</v>
      </c>
      <c r="D674" s="116">
        <v>643.20000000000005</v>
      </c>
      <c r="E674" s="116">
        <v>643.20000000000005</v>
      </c>
      <c r="F674" s="116">
        <v>663.9</v>
      </c>
      <c r="G674">
        <v>19553</v>
      </c>
      <c r="H674" s="116"/>
      <c r="I674" s="116"/>
      <c r="L674" s="170">
        <v>45869</v>
      </c>
      <c r="M674" s="116">
        <v>664.8</v>
      </c>
      <c r="N674" s="116">
        <v>686.6</v>
      </c>
      <c r="O674" s="116">
        <v>644.15</v>
      </c>
      <c r="P674" s="116">
        <v>646</v>
      </c>
      <c r="Q674" s="116">
        <v>664.8</v>
      </c>
      <c r="R674">
        <v>351038</v>
      </c>
    </row>
    <row r="675" spans="1:18" x14ac:dyDescent="0.25">
      <c r="A675" s="170">
        <v>45870</v>
      </c>
      <c r="B675" s="116">
        <v>671</v>
      </c>
      <c r="C675" s="116">
        <v>652.20000000000005</v>
      </c>
      <c r="D675" s="116">
        <v>646</v>
      </c>
      <c r="E675" s="116">
        <v>663.95</v>
      </c>
      <c r="F675" s="116">
        <v>652.20000000000005</v>
      </c>
      <c r="G675">
        <v>8044</v>
      </c>
      <c r="H675" s="116"/>
      <c r="I675" s="116"/>
      <c r="L675" s="170">
        <v>45870</v>
      </c>
      <c r="M675" s="116">
        <v>656.2</v>
      </c>
      <c r="N675" s="116">
        <v>671.5</v>
      </c>
      <c r="O675" s="116">
        <v>646.6</v>
      </c>
      <c r="P675" s="116">
        <v>666.95</v>
      </c>
      <c r="Q675" s="116">
        <v>656.2</v>
      </c>
      <c r="R675">
        <v>160845</v>
      </c>
    </row>
    <row r="676" spans="1:18" x14ac:dyDescent="0.25">
      <c r="A676" s="170">
        <v>45873</v>
      </c>
      <c r="B676" s="116">
        <v>655.9</v>
      </c>
      <c r="C676" s="116">
        <v>637.29999999999995</v>
      </c>
      <c r="D676" s="116">
        <v>632.6</v>
      </c>
      <c r="E676" s="116">
        <v>655</v>
      </c>
      <c r="F676" s="116">
        <v>637.29999999999995</v>
      </c>
      <c r="G676">
        <v>5907</v>
      </c>
      <c r="H676" s="116"/>
      <c r="I676" s="116"/>
      <c r="L676" s="170">
        <v>45873</v>
      </c>
      <c r="M676" s="116">
        <v>637.4</v>
      </c>
      <c r="N676" s="116">
        <v>656.8</v>
      </c>
      <c r="O676" s="116">
        <v>632.5</v>
      </c>
      <c r="P676" s="116">
        <v>653.15</v>
      </c>
      <c r="Q676" s="116">
        <v>637.4</v>
      </c>
      <c r="R676">
        <v>129754</v>
      </c>
    </row>
    <row r="677" spans="1:18" x14ac:dyDescent="0.25">
      <c r="A677" s="170">
        <v>45874</v>
      </c>
      <c r="B677" s="116">
        <v>649.9</v>
      </c>
      <c r="C677" s="116">
        <v>639.54999999999995</v>
      </c>
      <c r="D677" s="116">
        <v>633.70000000000005</v>
      </c>
      <c r="E677" s="116">
        <v>649.9</v>
      </c>
      <c r="F677" s="116">
        <v>639.54999999999995</v>
      </c>
      <c r="G677">
        <v>5112</v>
      </c>
      <c r="H677" s="116"/>
      <c r="I677" s="116"/>
      <c r="L677" s="170">
        <v>45874</v>
      </c>
      <c r="M677" s="116">
        <v>638.4</v>
      </c>
      <c r="N677" s="116">
        <v>650</v>
      </c>
      <c r="O677" s="116">
        <v>633.4</v>
      </c>
      <c r="P677" s="116">
        <v>642</v>
      </c>
      <c r="Q677" s="116">
        <v>638.4</v>
      </c>
      <c r="R677">
        <v>199252</v>
      </c>
    </row>
    <row r="678" spans="1:18" x14ac:dyDescent="0.25">
      <c r="A678" s="170">
        <v>45875</v>
      </c>
      <c r="B678" s="116">
        <v>639.9</v>
      </c>
      <c r="C678" s="116">
        <v>623.6</v>
      </c>
      <c r="D678" s="116">
        <v>620.25</v>
      </c>
      <c r="E678" s="116">
        <v>626.25</v>
      </c>
      <c r="F678" s="116">
        <v>623.6</v>
      </c>
      <c r="G678">
        <v>8882</v>
      </c>
      <c r="H678" s="116"/>
      <c r="I678" s="116"/>
      <c r="L678" s="170">
        <v>45875</v>
      </c>
      <c r="M678" s="116">
        <v>623.75</v>
      </c>
      <c r="N678" s="116">
        <v>640.45000000000005</v>
      </c>
      <c r="O678" s="116">
        <v>620</v>
      </c>
      <c r="P678" s="116">
        <v>639.95000000000005</v>
      </c>
      <c r="Q678" s="116">
        <v>623.75</v>
      </c>
      <c r="R678">
        <v>200631</v>
      </c>
    </row>
    <row r="679" spans="1:18" x14ac:dyDescent="0.25">
      <c r="A679" s="170">
        <v>45876</v>
      </c>
      <c r="B679" s="116">
        <v>631.04999999999995</v>
      </c>
      <c r="C679" s="116">
        <v>626.95000000000005</v>
      </c>
      <c r="D679" s="116">
        <v>608.70000000000005</v>
      </c>
      <c r="E679" s="116">
        <v>627.85</v>
      </c>
      <c r="F679" s="116">
        <v>626.95000000000005</v>
      </c>
      <c r="G679">
        <v>8821</v>
      </c>
      <c r="H679" s="116"/>
      <c r="I679" s="116"/>
      <c r="L679" s="170">
        <v>45876</v>
      </c>
      <c r="M679" s="116">
        <v>627.29999999999995</v>
      </c>
      <c r="N679" s="116">
        <v>631.5</v>
      </c>
      <c r="O679" s="116">
        <v>607.5</v>
      </c>
      <c r="P679" s="116">
        <v>623.75</v>
      </c>
      <c r="Q679" s="116">
        <v>627.29999999999995</v>
      </c>
      <c r="R679">
        <v>242676</v>
      </c>
    </row>
    <row r="680" spans="1:18" x14ac:dyDescent="0.25">
      <c r="A680" s="170">
        <v>45877</v>
      </c>
      <c r="B680" s="116">
        <v>636.95000000000005</v>
      </c>
      <c r="C680" s="116">
        <v>619.4</v>
      </c>
      <c r="D680" s="116">
        <v>613.4</v>
      </c>
      <c r="E680" s="116">
        <v>635.9</v>
      </c>
      <c r="F680" s="116">
        <v>619.4</v>
      </c>
      <c r="G680">
        <v>5416</v>
      </c>
      <c r="H680" s="116"/>
      <c r="I680" s="116"/>
      <c r="L680" s="170">
        <v>45877</v>
      </c>
      <c r="M680" s="116">
        <v>620.5</v>
      </c>
      <c r="N680" s="116">
        <v>637.95000000000005</v>
      </c>
      <c r="O680" s="116">
        <v>613</v>
      </c>
      <c r="P680" s="116">
        <v>629.79999999999995</v>
      </c>
      <c r="Q680" s="116">
        <v>620.5</v>
      </c>
      <c r="R680">
        <v>235198</v>
      </c>
    </row>
    <row r="681" spans="1:18" x14ac:dyDescent="0.25">
      <c r="A681" s="170">
        <v>45880</v>
      </c>
      <c r="B681" s="116">
        <v>629.6</v>
      </c>
      <c r="C681" s="116">
        <v>625.65</v>
      </c>
      <c r="D681" s="116">
        <v>617.04999999999995</v>
      </c>
      <c r="E681" s="116">
        <v>628.9</v>
      </c>
      <c r="F681" s="116">
        <v>625.65</v>
      </c>
      <c r="G681">
        <v>8835</v>
      </c>
      <c r="H681" s="116"/>
      <c r="I681" s="116"/>
      <c r="L681" s="170">
        <v>45880</v>
      </c>
      <c r="M681" s="116">
        <v>626.1</v>
      </c>
      <c r="N681" s="116">
        <v>630.1</v>
      </c>
      <c r="O681" s="116">
        <v>616.45000000000005</v>
      </c>
      <c r="P681" s="116">
        <v>618</v>
      </c>
      <c r="Q681" s="116">
        <v>626.1</v>
      </c>
      <c r="R681">
        <v>130022</v>
      </c>
    </row>
    <row r="682" spans="1:18" x14ac:dyDescent="0.25">
      <c r="A682" s="170">
        <v>45881</v>
      </c>
      <c r="B682" s="116">
        <v>658.4</v>
      </c>
      <c r="C682" s="116">
        <v>651.95000000000005</v>
      </c>
      <c r="D682" s="116">
        <v>621</v>
      </c>
      <c r="E682" s="116">
        <v>629.9</v>
      </c>
      <c r="F682" s="116">
        <v>651.95000000000005</v>
      </c>
      <c r="G682">
        <v>9560</v>
      </c>
      <c r="H682" s="116"/>
      <c r="I682" s="116"/>
      <c r="L682" s="170">
        <v>45881</v>
      </c>
      <c r="M682" s="116">
        <v>651.70000000000005</v>
      </c>
      <c r="N682" s="116">
        <v>658</v>
      </c>
      <c r="O682" s="116">
        <v>621</v>
      </c>
      <c r="P682" s="116">
        <v>627.9</v>
      </c>
      <c r="Q682" s="116">
        <v>651.70000000000005</v>
      </c>
      <c r="R682">
        <v>221758</v>
      </c>
    </row>
    <row r="683" spans="1:18" x14ac:dyDescent="0.25">
      <c r="A683" s="170">
        <v>45882</v>
      </c>
      <c r="B683" s="116">
        <v>727.8</v>
      </c>
      <c r="C683" s="116">
        <v>694.4</v>
      </c>
      <c r="D683" s="116">
        <v>668.55</v>
      </c>
      <c r="E683" s="116">
        <v>669</v>
      </c>
      <c r="F683" s="116">
        <v>694.4</v>
      </c>
      <c r="G683">
        <v>203925</v>
      </c>
      <c r="H683" s="116"/>
      <c r="I683" s="116"/>
      <c r="L683" s="170">
        <v>45882</v>
      </c>
      <c r="M683" s="116">
        <v>694.15</v>
      </c>
      <c r="N683" s="116">
        <v>727.6</v>
      </c>
      <c r="O683" s="116">
        <v>667.05</v>
      </c>
      <c r="P683" s="116">
        <v>672.95</v>
      </c>
      <c r="Q683" s="116">
        <v>694.15</v>
      </c>
      <c r="R683">
        <v>2813555</v>
      </c>
    </row>
    <row r="684" spans="1:18" x14ac:dyDescent="0.25">
      <c r="A684" s="170">
        <v>45883</v>
      </c>
      <c r="B684" s="116">
        <v>693.95</v>
      </c>
      <c r="C684" s="116">
        <v>674.05</v>
      </c>
      <c r="D684" s="116">
        <v>668.6</v>
      </c>
      <c r="E684" s="116">
        <v>693.95</v>
      </c>
      <c r="F684" s="116">
        <v>674.05</v>
      </c>
      <c r="G684">
        <v>24411</v>
      </c>
      <c r="H684" s="116"/>
      <c r="I684" s="116"/>
      <c r="L684" s="170">
        <v>45883</v>
      </c>
      <c r="M684" s="116">
        <v>675.65</v>
      </c>
      <c r="N684" s="116">
        <v>693.05</v>
      </c>
      <c r="O684" s="116">
        <v>668.45</v>
      </c>
      <c r="P684" s="116">
        <v>693.05</v>
      </c>
      <c r="Q684" s="116">
        <v>675.65</v>
      </c>
      <c r="R684">
        <v>232898</v>
      </c>
    </row>
    <row r="685" spans="1:18" x14ac:dyDescent="0.25">
      <c r="A685" s="170">
        <v>45887</v>
      </c>
      <c r="B685" s="116">
        <v>684</v>
      </c>
      <c r="C685" s="116">
        <v>674.75</v>
      </c>
      <c r="D685" s="116">
        <v>666.05</v>
      </c>
      <c r="E685" s="116">
        <v>666.05</v>
      </c>
      <c r="F685" s="116">
        <v>674.75</v>
      </c>
      <c r="G685">
        <v>13573</v>
      </c>
      <c r="H685" s="116"/>
      <c r="I685" s="116"/>
      <c r="L685" s="170">
        <v>45887</v>
      </c>
      <c r="M685" s="116">
        <v>675.35</v>
      </c>
      <c r="N685" s="116">
        <v>684.7</v>
      </c>
      <c r="O685" s="116">
        <v>670.35</v>
      </c>
      <c r="P685" s="116">
        <v>678</v>
      </c>
      <c r="Q685" s="116">
        <v>675.35</v>
      </c>
      <c r="R685">
        <v>150871</v>
      </c>
    </row>
    <row r="686" spans="1:18" x14ac:dyDescent="0.25">
      <c r="A686" s="170">
        <v>45888</v>
      </c>
      <c r="B686" s="116">
        <v>720.45</v>
      </c>
      <c r="C686" s="116">
        <v>699.9</v>
      </c>
      <c r="D686" s="116">
        <v>672.5</v>
      </c>
      <c r="E686" s="116">
        <v>673.2</v>
      </c>
      <c r="F686" s="116">
        <v>699.9</v>
      </c>
      <c r="G686">
        <v>14299</v>
      </c>
      <c r="H686" s="116"/>
      <c r="I686" s="116"/>
      <c r="L686" s="170">
        <v>45888</v>
      </c>
      <c r="M686" s="116">
        <v>698.35</v>
      </c>
      <c r="N686" s="116">
        <v>720</v>
      </c>
      <c r="O686" s="116">
        <v>671.8</v>
      </c>
      <c r="P686" s="116">
        <v>673</v>
      </c>
      <c r="Q686" s="116">
        <v>698.35</v>
      </c>
      <c r="R686">
        <v>430290</v>
      </c>
    </row>
    <row r="687" spans="1:18" x14ac:dyDescent="0.25">
      <c r="A687" s="170">
        <v>45889</v>
      </c>
      <c r="B687" s="116">
        <v>704</v>
      </c>
      <c r="C687" s="116">
        <v>692.6</v>
      </c>
      <c r="D687" s="116">
        <v>687.05</v>
      </c>
      <c r="E687" s="116">
        <v>694.1</v>
      </c>
      <c r="F687" s="116">
        <v>692.6</v>
      </c>
      <c r="G687">
        <v>14756</v>
      </c>
      <c r="H687" s="116"/>
      <c r="I687" s="116"/>
      <c r="L687" s="170">
        <v>45889</v>
      </c>
      <c r="M687" s="116">
        <v>693.3</v>
      </c>
      <c r="N687" s="116">
        <v>705</v>
      </c>
      <c r="O687" s="116">
        <v>687.35</v>
      </c>
      <c r="P687" s="116">
        <v>695.9</v>
      </c>
      <c r="Q687" s="116">
        <v>693.3</v>
      </c>
      <c r="R687">
        <v>134376</v>
      </c>
    </row>
    <row r="688" spans="1:18" x14ac:dyDescent="0.25">
      <c r="A688" s="170">
        <v>45890</v>
      </c>
      <c r="B688" s="116">
        <v>696</v>
      </c>
      <c r="C688" s="116">
        <v>691.3</v>
      </c>
      <c r="D688" s="116">
        <v>684.95</v>
      </c>
      <c r="E688" s="116">
        <v>692</v>
      </c>
      <c r="F688" s="116">
        <v>691.3</v>
      </c>
      <c r="G688">
        <v>7096</v>
      </c>
      <c r="H688" s="116"/>
      <c r="I688" s="116"/>
      <c r="L688" s="170">
        <v>45890</v>
      </c>
      <c r="M688" s="116">
        <v>689.35</v>
      </c>
      <c r="N688" s="116">
        <v>696.7</v>
      </c>
      <c r="O688" s="116">
        <v>685</v>
      </c>
      <c r="P688" s="116">
        <v>693.3</v>
      </c>
      <c r="Q688" s="116">
        <v>689.35</v>
      </c>
      <c r="R688">
        <v>77102</v>
      </c>
    </row>
    <row r="689" spans="1:18" x14ac:dyDescent="0.25">
      <c r="A689" s="170">
        <v>45891</v>
      </c>
      <c r="B689" s="116">
        <v>696.35</v>
      </c>
      <c r="C689" s="116">
        <v>673.6</v>
      </c>
      <c r="D689" s="116">
        <v>671</v>
      </c>
      <c r="E689" s="116">
        <v>680.05</v>
      </c>
      <c r="F689" s="116">
        <v>673.6</v>
      </c>
      <c r="G689">
        <v>12322</v>
      </c>
      <c r="H689" s="116"/>
      <c r="I689" s="116"/>
      <c r="L689" s="170">
        <v>45891</v>
      </c>
      <c r="M689" s="116">
        <v>674</v>
      </c>
      <c r="N689" s="116">
        <v>696.85</v>
      </c>
      <c r="O689" s="116">
        <v>669.3</v>
      </c>
      <c r="P689" s="116">
        <v>688</v>
      </c>
      <c r="Q689" s="116">
        <v>674</v>
      </c>
      <c r="R689">
        <v>142852</v>
      </c>
    </row>
    <row r="690" spans="1:18" x14ac:dyDescent="0.25">
      <c r="A690" s="170">
        <v>45894</v>
      </c>
      <c r="B690" s="116">
        <v>690.05</v>
      </c>
      <c r="C690" s="116">
        <v>687.6</v>
      </c>
      <c r="D690" s="116">
        <v>667</v>
      </c>
      <c r="E690" s="116">
        <v>673.65</v>
      </c>
      <c r="F690" s="116">
        <v>687.6</v>
      </c>
      <c r="G690">
        <v>6785</v>
      </c>
      <c r="H690" s="116"/>
      <c r="I690" s="116"/>
      <c r="L690" s="170">
        <v>45894</v>
      </c>
      <c r="M690" s="116">
        <v>685.2</v>
      </c>
      <c r="N690" s="116">
        <v>691</v>
      </c>
      <c r="O690" s="116">
        <v>666.5</v>
      </c>
      <c r="P690" s="116">
        <v>677</v>
      </c>
      <c r="Q690" s="116">
        <v>685.2</v>
      </c>
      <c r="R690">
        <v>223419</v>
      </c>
    </row>
    <row r="691" spans="1:18" x14ac:dyDescent="0.25">
      <c r="A691" s="170">
        <v>45895</v>
      </c>
      <c r="B691" s="116">
        <v>684.8</v>
      </c>
      <c r="C691" s="116">
        <v>654.45000000000005</v>
      </c>
      <c r="D691" s="116">
        <v>649.6</v>
      </c>
      <c r="E691" s="116">
        <v>681.8</v>
      </c>
      <c r="F691" s="116">
        <v>654.45000000000005</v>
      </c>
      <c r="G691">
        <v>14689</v>
      </c>
      <c r="H691" s="116"/>
      <c r="I691" s="116"/>
      <c r="L691" s="170">
        <v>45895</v>
      </c>
      <c r="M691" s="116">
        <v>655.25</v>
      </c>
      <c r="N691" s="116">
        <v>685</v>
      </c>
      <c r="O691" s="116">
        <v>650</v>
      </c>
      <c r="P691" s="116">
        <v>685</v>
      </c>
      <c r="Q691" s="116">
        <v>655.25</v>
      </c>
      <c r="R691">
        <v>205090</v>
      </c>
    </row>
    <row r="692" spans="1:18" x14ac:dyDescent="0.25">
      <c r="A692" s="170">
        <v>45897</v>
      </c>
      <c r="B692" s="116">
        <v>657.85</v>
      </c>
      <c r="C692" s="116">
        <v>649.65</v>
      </c>
      <c r="D692" s="116">
        <v>639.75</v>
      </c>
      <c r="E692" s="116">
        <v>645.35</v>
      </c>
      <c r="F692" s="116">
        <v>649.65</v>
      </c>
      <c r="G692">
        <v>14156</v>
      </c>
      <c r="H692" s="116"/>
      <c r="I692" s="116"/>
      <c r="L692" s="170">
        <v>45897</v>
      </c>
      <c r="M692" s="116">
        <v>649.95000000000005</v>
      </c>
      <c r="N692" s="116">
        <v>658.7</v>
      </c>
      <c r="O692" s="116">
        <v>640</v>
      </c>
      <c r="P692" s="116">
        <v>652</v>
      </c>
      <c r="Q692" s="116">
        <v>649.95000000000005</v>
      </c>
      <c r="R692">
        <v>182748</v>
      </c>
    </row>
    <row r="693" spans="1:18" x14ac:dyDescent="0.25">
      <c r="A693" s="170">
        <v>45898</v>
      </c>
      <c r="B693" s="116">
        <v>668.95</v>
      </c>
      <c r="C693" s="116">
        <v>655.7</v>
      </c>
      <c r="D693" s="116">
        <v>640.04999999999995</v>
      </c>
      <c r="E693" s="116">
        <v>650.9</v>
      </c>
      <c r="F693" s="116">
        <v>655.7</v>
      </c>
      <c r="G693">
        <v>8186</v>
      </c>
      <c r="H693" s="116"/>
      <c r="I693" s="116"/>
      <c r="L693" s="170">
        <v>45898</v>
      </c>
      <c r="M693" s="116">
        <v>656.35</v>
      </c>
      <c r="N693" s="116">
        <v>670</v>
      </c>
      <c r="O693" s="116">
        <v>640</v>
      </c>
      <c r="P693" s="116">
        <v>647.1</v>
      </c>
      <c r="Q693" s="116">
        <v>656.35</v>
      </c>
      <c r="R693">
        <v>250044</v>
      </c>
    </row>
    <row r="694" spans="1:18" x14ac:dyDescent="0.25">
      <c r="A694" s="170">
        <v>45901</v>
      </c>
      <c r="B694" s="116">
        <v>673.95</v>
      </c>
      <c r="C694" s="116">
        <v>669.25</v>
      </c>
      <c r="D694" s="116">
        <v>658.7</v>
      </c>
      <c r="E694" s="116">
        <v>659.6</v>
      </c>
      <c r="F694" s="116">
        <v>669.25</v>
      </c>
      <c r="G694">
        <v>5416</v>
      </c>
      <c r="H694" s="116"/>
      <c r="I694" s="116"/>
      <c r="L694" s="170">
        <v>45901</v>
      </c>
      <c r="M694" s="116">
        <v>667.55</v>
      </c>
      <c r="N694" s="116">
        <v>674.2</v>
      </c>
      <c r="O694" s="116">
        <v>658</v>
      </c>
      <c r="P694" s="116">
        <v>658</v>
      </c>
      <c r="Q694" s="116">
        <v>667.55</v>
      </c>
      <c r="R694">
        <v>119955</v>
      </c>
    </row>
    <row r="695" spans="1:18" x14ac:dyDescent="0.25">
      <c r="A695" s="170">
        <v>45902</v>
      </c>
      <c r="B695" s="116">
        <v>685</v>
      </c>
      <c r="C695" s="116">
        <v>681.55</v>
      </c>
      <c r="D695" s="116">
        <v>663.1</v>
      </c>
      <c r="E695" s="116">
        <v>676.85</v>
      </c>
      <c r="F695" s="116">
        <v>681.55</v>
      </c>
      <c r="G695">
        <v>19360</v>
      </c>
      <c r="H695" s="116"/>
      <c r="I695" s="116"/>
      <c r="L695" s="170">
        <v>45902</v>
      </c>
      <c r="M695" s="116">
        <v>678.95</v>
      </c>
      <c r="N695" s="116">
        <v>685.85</v>
      </c>
      <c r="O695" s="116">
        <v>662.15</v>
      </c>
      <c r="P695" s="116">
        <v>669</v>
      </c>
      <c r="Q695" s="116">
        <v>678.95</v>
      </c>
      <c r="R695">
        <v>223416</v>
      </c>
    </row>
    <row r="696" spans="1:18" x14ac:dyDescent="0.25">
      <c r="A696" s="170">
        <v>45903</v>
      </c>
      <c r="B696" s="116">
        <v>689</v>
      </c>
      <c r="C696" s="116">
        <v>686.35</v>
      </c>
      <c r="D696" s="116">
        <v>672.2</v>
      </c>
      <c r="E696" s="116">
        <v>672.2</v>
      </c>
      <c r="F696" s="116">
        <v>686.35</v>
      </c>
      <c r="G696">
        <v>8539</v>
      </c>
      <c r="H696" s="116"/>
      <c r="I696" s="116"/>
      <c r="L696" s="170">
        <v>45903</v>
      </c>
      <c r="M696" s="116">
        <v>686.5</v>
      </c>
      <c r="N696" s="116">
        <v>689.8</v>
      </c>
      <c r="O696" s="116">
        <v>675</v>
      </c>
      <c r="P696" s="116">
        <v>676.9</v>
      </c>
      <c r="Q696" s="116">
        <v>686.5</v>
      </c>
      <c r="R696">
        <v>86217</v>
      </c>
    </row>
    <row r="697" spans="1:18" x14ac:dyDescent="0.25">
      <c r="A697" s="170">
        <v>45904</v>
      </c>
      <c r="B697" s="116">
        <v>694.9</v>
      </c>
      <c r="C697" s="116">
        <v>687.05</v>
      </c>
      <c r="D697" s="116">
        <v>682.8</v>
      </c>
      <c r="E697" s="116">
        <v>689.5</v>
      </c>
      <c r="F697" s="116">
        <v>687.05</v>
      </c>
      <c r="G697">
        <v>9706</v>
      </c>
      <c r="H697" s="116"/>
      <c r="I697" s="116"/>
      <c r="L697" s="170">
        <v>45904</v>
      </c>
      <c r="M697" s="116">
        <v>687.55</v>
      </c>
      <c r="N697" s="116">
        <v>695.7</v>
      </c>
      <c r="O697" s="116">
        <v>682.5</v>
      </c>
      <c r="P697" s="116">
        <v>691.95</v>
      </c>
      <c r="Q697" s="116">
        <v>687.55</v>
      </c>
      <c r="R697">
        <v>135178</v>
      </c>
    </row>
    <row r="698" spans="1:18" x14ac:dyDescent="0.25">
      <c r="A698" s="170">
        <v>45905</v>
      </c>
      <c r="B698" s="116">
        <v>695</v>
      </c>
      <c r="C698" s="116">
        <v>687.1</v>
      </c>
      <c r="D698" s="116">
        <v>681.1</v>
      </c>
      <c r="E698" s="116">
        <v>693</v>
      </c>
      <c r="F698" s="116">
        <v>687.1</v>
      </c>
      <c r="G698">
        <v>5868</v>
      </c>
      <c r="H698" s="116"/>
      <c r="I698" s="116"/>
      <c r="L698" s="170">
        <v>45905</v>
      </c>
      <c r="M698" s="116">
        <v>687.8</v>
      </c>
      <c r="N698" s="116">
        <v>693</v>
      </c>
      <c r="O698" s="116">
        <v>681.15</v>
      </c>
      <c r="P698" s="116">
        <v>687.55</v>
      </c>
      <c r="Q698" s="116">
        <v>687.8</v>
      </c>
      <c r="R698">
        <v>109296</v>
      </c>
    </row>
    <row r="699" spans="1:18" x14ac:dyDescent="0.25">
      <c r="A699" s="170">
        <v>45908</v>
      </c>
      <c r="B699" s="116">
        <v>693.15</v>
      </c>
      <c r="C699" s="116">
        <v>690.85</v>
      </c>
      <c r="D699" s="116">
        <v>672.75</v>
      </c>
      <c r="E699" s="116">
        <v>689</v>
      </c>
      <c r="F699" s="116">
        <v>690.85</v>
      </c>
      <c r="G699">
        <v>14222</v>
      </c>
      <c r="H699" s="116"/>
      <c r="I699" s="116"/>
      <c r="L699" s="170">
        <v>45908</v>
      </c>
      <c r="M699" s="116">
        <v>690.25</v>
      </c>
      <c r="N699" s="116">
        <v>692.75</v>
      </c>
      <c r="O699" s="116">
        <v>673</v>
      </c>
      <c r="P699" s="116">
        <v>684</v>
      </c>
      <c r="Q699" s="116">
        <v>690.25</v>
      </c>
      <c r="R699">
        <v>155270</v>
      </c>
    </row>
    <row r="700" spans="1:18" x14ac:dyDescent="0.25">
      <c r="A700" s="170">
        <v>45909</v>
      </c>
      <c r="B700" s="116">
        <v>698.45</v>
      </c>
      <c r="C700" s="116">
        <v>687.45</v>
      </c>
      <c r="D700" s="116">
        <v>684.1</v>
      </c>
      <c r="E700" s="116">
        <v>691.45</v>
      </c>
      <c r="F700" s="116">
        <v>687.45</v>
      </c>
      <c r="G700">
        <v>10958</v>
      </c>
      <c r="H700" s="116"/>
      <c r="I700" s="116"/>
      <c r="L700" s="170">
        <v>45909</v>
      </c>
      <c r="M700" s="116">
        <v>688.15</v>
      </c>
      <c r="N700" s="116">
        <v>698</v>
      </c>
      <c r="O700" s="116">
        <v>684.1</v>
      </c>
      <c r="P700" s="116">
        <v>690.25</v>
      </c>
      <c r="Q700" s="116">
        <v>688.15</v>
      </c>
      <c r="R700">
        <v>128878</v>
      </c>
    </row>
    <row r="701" spans="1:18" x14ac:dyDescent="0.25">
      <c r="A701" s="170">
        <v>45910</v>
      </c>
      <c r="B701" s="116">
        <v>699.6</v>
      </c>
      <c r="C701" s="116">
        <v>697.15</v>
      </c>
      <c r="D701" s="116">
        <v>682.5</v>
      </c>
      <c r="E701" s="116">
        <v>688.55</v>
      </c>
      <c r="F701" s="116">
        <v>697.15</v>
      </c>
      <c r="G701">
        <v>8265</v>
      </c>
      <c r="H701" s="116"/>
      <c r="I701" s="116"/>
      <c r="L701" s="170">
        <v>45910</v>
      </c>
      <c r="M701" s="116">
        <v>696.15</v>
      </c>
      <c r="N701" s="116">
        <v>700</v>
      </c>
      <c r="O701" s="116">
        <v>681.85</v>
      </c>
      <c r="P701" s="116">
        <v>693.4</v>
      </c>
      <c r="Q701" s="116">
        <v>696.15</v>
      </c>
      <c r="R701">
        <v>173690</v>
      </c>
    </row>
    <row r="702" spans="1:18" x14ac:dyDescent="0.25">
      <c r="A702" s="170">
        <v>45911</v>
      </c>
      <c r="B702" s="116">
        <v>726</v>
      </c>
      <c r="C702" s="116">
        <v>711.75</v>
      </c>
      <c r="D702" s="116">
        <v>696.55</v>
      </c>
      <c r="E702" s="116">
        <v>697.05</v>
      </c>
      <c r="F702" s="116">
        <v>711.75</v>
      </c>
      <c r="G702">
        <v>40226</v>
      </c>
      <c r="H702" s="116"/>
      <c r="I702" s="116"/>
      <c r="L702" s="170">
        <v>45911</v>
      </c>
      <c r="M702" s="116">
        <v>712.8</v>
      </c>
      <c r="N702" s="116">
        <v>726</v>
      </c>
      <c r="O702" s="116">
        <v>696.5</v>
      </c>
      <c r="P702" s="116">
        <v>700.9</v>
      </c>
      <c r="Q702" s="116">
        <v>712.8</v>
      </c>
      <c r="R702">
        <v>375193</v>
      </c>
    </row>
    <row r="703" spans="1:18" x14ac:dyDescent="0.25">
      <c r="A703" s="170">
        <v>45912</v>
      </c>
      <c r="B703" s="116">
        <v>719.65</v>
      </c>
      <c r="C703" s="116">
        <v>705.5</v>
      </c>
      <c r="D703" s="116">
        <v>702.75</v>
      </c>
      <c r="E703" s="116">
        <v>716.95</v>
      </c>
      <c r="F703" s="116">
        <v>705.5</v>
      </c>
      <c r="G703">
        <v>9324</v>
      </c>
      <c r="H703" s="116"/>
      <c r="I703" s="116"/>
      <c r="L703" s="170">
        <v>45912</v>
      </c>
      <c r="M703" s="116">
        <v>705.9</v>
      </c>
      <c r="N703" s="116">
        <v>720</v>
      </c>
      <c r="O703" s="116">
        <v>702</v>
      </c>
      <c r="P703" s="116">
        <v>714.1</v>
      </c>
      <c r="Q703" s="116">
        <v>705.9</v>
      </c>
      <c r="R703">
        <v>132094</v>
      </c>
    </row>
    <row r="704" spans="1:18" x14ac:dyDescent="0.25">
      <c r="A704" s="170">
        <v>45915</v>
      </c>
      <c r="B704" s="116">
        <v>708.45</v>
      </c>
      <c r="C704" s="116">
        <v>702</v>
      </c>
      <c r="D704" s="116">
        <v>698</v>
      </c>
      <c r="E704" s="116">
        <v>700.1</v>
      </c>
      <c r="F704" s="116">
        <v>702</v>
      </c>
      <c r="G704">
        <v>4387</v>
      </c>
      <c r="H704" s="116"/>
      <c r="I704" s="116"/>
      <c r="L704" s="170">
        <v>45915</v>
      </c>
      <c r="M704" s="116">
        <v>702.8</v>
      </c>
      <c r="N704" s="116">
        <v>709.1</v>
      </c>
      <c r="O704" s="116">
        <v>696.2</v>
      </c>
      <c r="P704" s="116">
        <v>705.95</v>
      </c>
      <c r="Q704" s="116">
        <v>702.8</v>
      </c>
      <c r="R704">
        <v>101902</v>
      </c>
    </row>
    <row r="705" spans="1:18" x14ac:dyDescent="0.25">
      <c r="A705" s="170">
        <v>45916</v>
      </c>
      <c r="B705" s="116">
        <v>719.85</v>
      </c>
      <c r="C705" s="116">
        <v>712.6</v>
      </c>
      <c r="D705" s="116">
        <v>699.55</v>
      </c>
      <c r="E705" s="116">
        <v>700</v>
      </c>
      <c r="F705" s="116">
        <v>712.6</v>
      </c>
      <c r="G705">
        <v>5691</v>
      </c>
      <c r="H705" s="116"/>
      <c r="I705" s="116"/>
      <c r="L705" s="170">
        <v>45916</v>
      </c>
      <c r="M705" s="116">
        <v>714.05</v>
      </c>
      <c r="N705" s="116">
        <v>720</v>
      </c>
      <c r="O705" s="116">
        <v>699.2</v>
      </c>
      <c r="P705" s="116">
        <v>702.5</v>
      </c>
      <c r="Q705" s="116">
        <v>714.05</v>
      </c>
      <c r="R705">
        <v>154630</v>
      </c>
    </row>
    <row r="706" spans="1:18" x14ac:dyDescent="0.25">
      <c r="A706" s="170">
        <v>45917</v>
      </c>
      <c r="B706" s="116">
        <v>723</v>
      </c>
      <c r="C706" s="116">
        <v>715.35</v>
      </c>
      <c r="D706" s="116">
        <v>706.2</v>
      </c>
      <c r="E706" s="116">
        <v>706.2</v>
      </c>
      <c r="F706" s="116">
        <v>715.35</v>
      </c>
      <c r="G706">
        <v>8669</v>
      </c>
      <c r="H706" s="116"/>
      <c r="I706" s="116"/>
      <c r="L706" s="170">
        <v>45917</v>
      </c>
      <c r="M706" s="116">
        <v>715.6</v>
      </c>
      <c r="N706" s="116">
        <v>724</v>
      </c>
      <c r="O706" s="116">
        <v>710.15</v>
      </c>
      <c r="P706" s="116">
        <v>716</v>
      </c>
      <c r="Q706" s="116">
        <v>715.6</v>
      </c>
      <c r="R706">
        <v>135705</v>
      </c>
    </row>
    <row r="707" spans="1:18" x14ac:dyDescent="0.25">
      <c r="A707" s="170">
        <v>45918</v>
      </c>
      <c r="B707" s="116">
        <v>712.95</v>
      </c>
      <c r="C707" s="116">
        <v>695.25</v>
      </c>
      <c r="D707" s="116">
        <v>687.55</v>
      </c>
      <c r="E707" s="116">
        <v>709.05</v>
      </c>
      <c r="F707" s="116">
        <v>695.25</v>
      </c>
      <c r="G707">
        <v>8130</v>
      </c>
      <c r="H707" s="116"/>
      <c r="I707" s="116"/>
      <c r="L707" s="170">
        <v>45918</v>
      </c>
      <c r="M707" s="116">
        <v>694.4</v>
      </c>
      <c r="N707" s="116">
        <v>715</v>
      </c>
      <c r="O707" s="116">
        <v>688</v>
      </c>
      <c r="P707" s="116">
        <v>715</v>
      </c>
      <c r="Q707" s="116">
        <v>694.4</v>
      </c>
      <c r="R707">
        <v>169821</v>
      </c>
    </row>
    <row r="708" spans="1:18" x14ac:dyDescent="0.25">
      <c r="A708" s="170">
        <v>45919</v>
      </c>
      <c r="B708" s="116">
        <v>698.7</v>
      </c>
      <c r="C708" s="116">
        <v>693.75</v>
      </c>
      <c r="D708" s="116">
        <v>684.05</v>
      </c>
      <c r="E708" s="116">
        <v>698.7</v>
      </c>
      <c r="F708" s="116">
        <v>693.75</v>
      </c>
      <c r="G708">
        <v>17824</v>
      </c>
      <c r="H708" s="116"/>
      <c r="I708" s="116"/>
      <c r="L708" s="170">
        <v>45919</v>
      </c>
      <c r="M708" s="116">
        <v>695.2</v>
      </c>
      <c r="N708" s="116">
        <v>697.95</v>
      </c>
      <c r="O708" s="116">
        <v>685.85</v>
      </c>
      <c r="P708" s="116">
        <v>694.4</v>
      </c>
      <c r="Q708" s="116">
        <v>695.2</v>
      </c>
      <c r="R708">
        <v>132569</v>
      </c>
    </row>
    <row r="709" spans="1:18" x14ac:dyDescent="0.25">
      <c r="A709" s="170">
        <v>45922</v>
      </c>
      <c r="B709" s="116">
        <v>707.95</v>
      </c>
      <c r="C709" s="116">
        <v>705.95</v>
      </c>
      <c r="D709" s="116">
        <v>682.45</v>
      </c>
      <c r="E709" s="116">
        <v>700</v>
      </c>
      <c r="F709" s="116">
        <v>705.95</v>
      </c>
      <c r="G709">
        <v>9922</v>
      </c>
      <c r="H709" s="116"/>
      <c r="I709" s="116"/>
      <c r="L709" s="170">
        <v>45922</v>
      </c>
      <c r="M709" s="116">
        <v>705.2</v>
      </c>
      <c r="N709" s="116">
        <v>708</v>
      </c>
      <c r="O709" s="116">
        <v>683</v>
      </c>
      <c r="P709" s="116">
        <v>690</v>
      </c>
      <c r="Q709" s="116">
        <v>705.2</v>
      </c>
      <c r="R709">
        <v>184042</v>
      </c>
    </row>
    <row r="710" spans="1:18" x14ac:dyDescent="0.25">
      <c r="A710" s="170">
        <v>45923</v>
      </c>
      <c r="B710" s="116">
        <v>714.3</v>
      </c>
      <c r="C710" s="116">
        <v>706.4</v>
      </c>
      <c r="D710" s="116">
        <v>691</v>
      </c>
      <c r="E710" s="116">
        <v>695</v>
      </c>
      <c r="F710" s="116">
        <v>706.4</v>
      </c>
      <c r="G710">
        <v>6804</v>
      </c>
      <c r="H710" s="116"/>
      <c r="I710" s="116"/>
      <c r="L710" s="170">
        <v>45923</v>
      </c>
      <c r="M710" s="116">
        <v>707.45</v>
      </c>
      <c r="N710" s="116">
        <v>714.9</v>
      </c>
      <c r="O710" s="116">
        <v>690.5</v>
      </c>
      <c r="P710" s="116">
        <v>702.7</v>
      </c>
      <c r="Q710" s="116">
        <v>707.45</v>
      </c>
      <c r="R710">
        <v>129236</v>
      </c>
    </row>
    <row r="711" spans="1:18" x14ac:dyDescent="0.25">
      <c r="A711" s="170">
        <v>45924</v>
      </c>
      <c r="B711" s="116">
        <v>720</v>
      </c>
      <c r="C711" s="116">
        <v>706.75</v>
      </c>
      <c r="D711" s="116">
        <v>702.6</v>
      </c>
      <c r="E711" s="116">
        <v>708.85</v>
      </c>
      <c r="F711" s="116">
        <v>706.75</v>
      </c>
      <c r="G711">
        <v>7968</v>
      </c>
      <c r="H711" s="116"/>
      <c r="I711" s="116"/>
      <c r="L711" s="170">
        <v>45924</v>
      </c>
      <c r="M711" s="116">
        <v>707.95</v>
      </c>
      <c r="N711" s="116">
        <v>720</v>
      </c>
      <c r="O711" s="116">
        <v>701.6</v>
      </c>
      <c r="P711" s="116">
        <v>708.2</v>
      </c>
      <c r="Q711" s="116">
        <v>707.95</v>
      </c>
      <c r="R711">
        <v>184288</v>
      </c>
    </row>
    <row r="712" spans="1:18" x14ac:dyDescent="0.25">
      <c r="A712" s="170">
        <v>45925</v>
      </c>
      <c r="B712" s="116">
        <v>715.2</v>
      </c>
      <c r="C712" s="116">
        <v>709.75</v>
      </c>
      <c r="D712" s="116">
        <v>696.75</v>
      </c>
      <c r="E712" s="116">
        <v>709.5</v>
      </c>
      <c r="F712" s="116">
        <v>709.75</v>
      </c>
      <c r="G712">
        <v>5203</v>
      </c>
      <c r="H712" s="116"/>
      <c r="I712" s="116"/>
      <c r="L712" s="170">
        <v>45925</v>
      </c>
      <c r="M712" s="116">
        <v>707.2</v>
      </c>
      <c r="N712" s="116">
        <v>717</v>
      </c>
      <c r="O712" s="116">
        <v>696.15</v>
      </c>
      <c r="P712" s="116">
        <v>706.65</v>
      </c>
      <c r="Q712" s="116">
        <v>707.2</v>
      </c>
      <c r="R712">
        <v>289736</v>
      </c>
    </row>
    <row r="713" spans="1:18" x14ac:dyDescent="0.25">
      <c r="A713" s="170">
        <v>45926</v>
      </c>
      <c r="B713" s="116">
        <v>705</v>
      </c>
      <c r="C713" s="116">
        <v>691.65</v>
      </c>
      <c r="D713" s="116">
        <v>687.65</v>
      </c>
      <c r="E713" s="116">
        <v>700.05</v>
      </c>
      <c r="F713" s="116">
        <v>691.65</v>
      </c>
      <c r="G713">
        <v>12538</v>
      </c>
      <c r="H713" s="116"/>
      <c r="I713" s="116"/>
      <c r="L713" s="170">
        <v>45926</v>
      </c>
      <c r="M713" s="116">
        <v>692.9</v>
      </c>
      <c r="N713" s="116">
        <v>705.5</v>
      </c>
      <c r="O713" s="116">
        <v>688</v>
      </c>
      <c r="P713" s="116">
        <v>700</v>
      </c>
      <c r="Q713" s="116">
        <v>692.9</v>
      </c>
      <c r="R713">
        <v>204621</v>
      </c>
    </row>
    <row r="714" spans="1:18" x14ac:dyDescent="0.25">
      <c r="A714" s="170">
        <v>45929</v>
      </c>
      <c r="B714" s="116">
        <v>706.85</v>
      </c>
      <c r="C714" s="116">
        <v>680</v>
      </c>
      <c r="D714" s="116">
        <v>672.95</v>
      </c>
      <c r="E714" s="116">
        <v>706.85</v>
      </c>
      <c r="F714" s="116">
        <v>680</v>
      </c>
      <c r="G714">
        <v>9659</v>
      </c>
      <c r="H714" s="116"/>
      <c r="I714" s="116"/>
      <c r="L714" s="170">
        <v>45929</v>
      </c>
      <c r="M714" s="116">
        <v>680.1</v>
      </c>
      <c r="N714" s="116">
        <v>694.1</v>
      </c>
      <c r="O714" s="116">
        <v>672.55</v>
      </c>
      <c r="P714" s="116">
        <v>689.3</v>
      </c>
      <c r="Q714" s="116">
        <v>680.1</v>
      </c>
      <c r="R714">
        <v>331348</v>
      </c>
    </row>
    <row r="715" spans="1:18" x14ac:dyDescent="0.25">
      <c r="A715" s="170">
        <v>45930</v>
      </c>
      <c r="B715" s="116">
        <v>699.7</v>
      </c>
      <c r="C715" s="116">
        <v>691.4</v>
      </c>
      <c r="D715" s="116">
        <v>672.85</v>
      </c>
      <c r="E715" s="116">
        <v>699.7</v>
      </c>
      <c r="F715" s="116">
        <v>691.4</v>
      </c>
      <c r="G715">
        <v>5640</v>
      </c>
      <c r="H715" s="116"/>
      <c r="I715" s="116"/>
      <c r="L715" s="170">
        <v>45930</v>
      </c>
      <c r="M715" s="116">
        <v>689.3</v>
      </c>
      <c r="N715" s="116">
        <v>694.8</v>
      </c>
      <c r="O715" s="116">
        <v>672.35</v>
      </c>
      <c r="P715" s="116">
        <v>685</v>
      </c>
      <c r="Q715" s="116">
        <v>689.3</v>
      </c>
      <c r="R715">
        <v>279276</v>
      </c>
    </row>
    <row r="716" spans="1:18" x14ac:dyDescent="0.25">
      <c r="A716" s="170">
        <v>45931</v>
      </c>
      <c r="B716" s="116">
        <v>695.95</v>
      </c>
      <c r="C716" s="116">
        <v>692.55</v>
      </c>
      <c r="D716" s="116">
        <v>682.4</v>
      </c>
      <c r="E716" s="116">
        <v>686.5</v>
      </c>
      <c r="F716" s="116">
        <v>692.55</v>
      </c>
      <c r="G716">
        <v>5130</v>
      </c>
      <c r="H716" s="116"/>
      <c r="I716" s="116"/>
      <c r="L716" s="170">
        <v>45931</v>
      </c>
      <c r="M716" s="116">
        <v>693.05</v>
      </c>
      <c r="N716" s="116">
        <v>696.5</v>
      </c>
      <c r="O716" s="116">
        <v>682</v>
      </c>
      <c r="P716" s="116">
        <v>689.9</v>
      </c>
      <c r="Q716" s="116">
        <v>693.05</v>
      </c>
      <c r="R716">
        <v>87302</v>
      </c>
    </row>
    <row r="717" spans="1:18" x14ac:dyDescent="0.25">
      <c r="A717" s="170">
        <v>45933</v>
      </c>
      <c r="B717" s="116">
        <v>703.85</v>
      </c>
      <c r="C717" s="116">
        <v>676.6</v>
      </c>
      <c r="D717" s="116">
        <v>672.1</v>
      </c>
      <c r="E717" s="116">
        <v>692.05</v>
      </c>
      <c r="F717" s="116">
        <v>676.6</v>
      </c>
      <c r="G717">
        <v>12325</v>
      </c>
      <c r="H717" s="116"/>
      <c r="I717" s="116"/>
      <c r="L717" s="170">
        <v>45933</v>
      </c>
      <c r="M717" s="116">
        <v>676.8</v>
      </c>
      <c r="N717" s="116">
        <v>704.25</v>
      </c>
      <c r="O717" s="116">
        <v>670.05</v>
      </c>
      <c r="P717" s="116">
        <v>693.05</v>
      </c>
      <c r="Q717" s="116">
        <v>676.8</v>
      </c>
      <c r="R717">
        <v>214675</v>
      </c>
    </row>
    <row r="718" spans="1:18" x14ac:dyDescent="0.25">
      <c r="A718" s="170">
        <v>45936</v>
      </c>
      <c r="B718" s="116">
        <v>687.55</v>
      </c>
      <c r="C718" s="116">
        <v>674.75</v>
      </c>
      <c r="D718" s="116">
        <v>669.15</v>
      </c>
      <c r="E718" s="116">
        <v>687.55</v>
      </c>
      <c r="F718" s="116">
        <v>674.75</v>
      </c>
      <c r="G718">
        <v>6133</v>
      </c>
      <c r="H718" s="116"/>
      <c r="I718" s="116"/>
      <c r="L718" s="170">
        <v>45936</v>
      </c>
      <c r="M718" s="116">
        <v>674</v>
      </c>
      <c r="N718" s="116">
        <v>685.35</v>
      </c>
      <c r="O718" s="116">
        <v>670</v>
      </c>
      <c r="P718" s="116">
        <v>676</v>
      </c>
      <c r="Q718" s="116">
        <v>674</v>
      </c>
      <c r="R718">
        <v>141250</v>
      </c>
    </row>
    <row r="719" spans="1:18" x14ac:dyDescent="0.25">
      <c r="A719" s="170">
        <v>45937</v>
      </c>
      <c r="B719" s="116">
        <v>675.1</v>
      </c>
      <c r="C719" s="116">
        <v>656.25</v>
      </c>
      <c r="D719" s="116">
        <v>651.6</v>
      </c>
      <c r="E719" s="116">
        <v>670.05</v>
      </c>
      <c r="F719" s="116">
        <v>656.25</v>
      </c>
      <c r="G719">
        <v>13206</v>
      </c>
      <c r="H719" s="116"/>
      <c r="I719" s="116"/>
      <c r="L719" s="170">
        <v>45937</v>
      </c>
      <c r="M719" s="116">
        <v>656.75</v>
      </c>
      <c r="N719" s="116">
        <v>675.95</v>
      </c>
      <c r="O719" s="116">
        <v>652</v>
      </c>
      <c r="P719" s="116">
        <v>674</v>
      </c>
      <c r="Q719" s="116">
        <v>656.75</v>
      </c>
      <c r="R719">
        <v>355610</v>
      </c>
    </row>
    <row r="720" spans="1:18" x14ac:dyDescent="0.25">
      <c r="A720" s="170">
        <v>45938</v>
      </c>
      <c r="B720" s="116">
        <v>664.05</v>
      </c>
      <c r="C720" s="116">
        <v>656.75</v>
      </c>
      <c r="D720" s="116">
        <v>648.1</v>
      </c>
      <c r="E720" s="116">
        <v>651.54999999999995</v>
      </c>
      <c r="F720" s="116">
        <v>656.75</v>
      </c>
      <c r="G720">
        <v>3957</v>
      </c>
      <c r="H720" s="116"/>
      <c r="I720" s="116"/>
      <c r="L720" s="170">
        <v>45938</v>
      </c>
      <c r="M720" s="116">
        <v>659.8</v>
      </c>
      <c r="N720" s="116">
        <v>664.9</v>
      </c>
      <c r="O720" s="116">
        <v>648.35</v>
      </c>
      <c r="P720" s="116">
        <v>655</v>
      </c>
      <c r="Q720" s="116">
        <v>659.8</v>
      </c>
      <c r="R720">
        <v>91248</v>
      </c>
    </row>
    <row r="721" spans="1:18" x14ac:dyDescent="0.25">
      <c r="A721" s="170">
        <v>45939</v>
      </c>
      <c r="B721" s="116">
        <v>661</v>
      </c>
      <c r="C721" s="116">
        <v>647.65</v>
      </c>
      <c r="D721" s="116">
        <v>642.54999999999995</v>
      </c>
      <c r="E721" s="116">
        <v>661</v>
      </c>
      <c r="F721" s="116">
        <v>647.65</v>
      </c>
      <c r="G721">
        <v>8339</v>
      </c>
      <c r="H721" s="116"/>
      <c r="I721" s="116"/>
      <c r="L721" s="170">
        <v>45939</v>
      </c>
      <c r="M721" s="116">
        <v>646.1</v>
      </c>
      <c r="N721" s="116">
        <v>664</v>
      </c>
      <c r="O721" s="116">
        <v>642.04999999999995</v>
      </c>
      <c r="P721" s="116">
        <v>664</v>
      </c>
      <c r="Q721" s="116">
        <v>646.1</v>
      </c>
      <c r="R721">
        <v>136445</v>
      </c>
    </row>
    <row r="722" spans="1:18" x14ac:dyDescent="0.25">
      <c r="A722" s="170">
        <v>45940</v>
      </c>
      <c r="B722" s="116">
        <v>649</v>
      </c>
      <c r="C722" s="116">
        <v>640.15</v>
      </c>
      <c r="D722" s="116">
        <v>636.9</v>
      </c>
      <c r="E722" s="116">
        <v>641.79999999999995</v>
      </c>
      <c r="F722" s="116">
        <v>640.15</v>
      </c>
      <c r="G722">
        <v>5314</v>
      </c>
      <c r="H722" s="116"/>
      <c r="I722" s="116"/>
      <c r="L722" s="170">
        <v>45940</v>
      </c>
      <c r="M722" s="116">
        <v>640</v>
      </c>
      <c r="N722" s="116">
        <v>649</v>
      </c>
      <c r="O722" s="116">
        <v>636.1</v>
      </c>
      <c r="P722" s="116">
        <v>644.79999999999995</v>
      </c>
      <c r="Q722" s="116">
        <v>640</v>
      </c>
      <c r="R722">
        <v>110920</v>
      </c>
    </row>
    <row r="723" spans="1:18" x14ac:dyDescent="0.25">
      <c r="A723" s="170">
        <v>45943</v>
      </c>
      <c r="B723" s="116">
        <v>645.1</v>
      </c>
      <c r="C723" s="116">
        <v>638.45000000000005</v>
      </c>
      <c r="D723" s="116">
        <v>636.45000000000005</v>
      </c>
      <c r="E723" s="116">
        <v>636.85</v>
      </c>
      <c r="F723" s="116">
        <v>638.45000000000005</v>
      </c>
      <c r="G723">
        <v>5041</v>
      </c>
      <c r="H723" s="116"/>
      <c r="I723" s="116"/>
      <c r="L723" s="170">
        <v>45943</v>
      </c>
      <c r="M723" s="116">
        <v>638.20000000000005</v>
      </c>
      <c r="N723" s="116">
        <v>646.45000000000005</v>
      </c>
      <c r="O723" s="116">
        <v>636.29999999999995</v>
      </c>
      <c r="P723" s="116">
        <v>638.5</v>
      </c>
      <c r="Q723" s="116">
        <v>638.20000000000005</v>
      </c>
      <c r="R723">
        <v>74715</v>
      </c>
    </row>
    <row r="724" spans="1:18" x14ac:dyDescent="0.25">
      <c r="A724" s="170">
        <v>45944</v>
      </c>
      <c r="B724" s="116">
        <v>641.15</v>
      </c>
      <c r="C724" s="116">
        <v>630.70000000000005</v>
      </c>
      <c r="D724" s="116">
        <v>623.54999999999995</v>
      </c>
      <c r="E724" s="116">
        <v>638</v>
      </c>
      <c r="F724" s="116">
        <v>630.70000000000005</v>
      </c>
      <c r="G724">
        <v>5934</v>
      </c>
      <c r="H724" s="116"/>
      <c r="I724" s="116"/>
      <c r="L724" s="170">
        <v>45944</v>
      </c>
      <c r="M724" s="116">
        <v>631.70000000000005</v>
      </c>
      <c r="N724" s="116">
        <v>640.95000000000005</v>
      </c>
      <c r="O724" s="116">
        <v>623.15</v>
      </c>
      <c r="P724" s="116">
        <v>639.79999999999995</v>
      </c>
      <c r="Q724" s="116">
        <v>631.70000000000005</v>
      </c>
      <c r="R724">
        <v>93853</v>
      </c>
    </row>
    <row r="725" spans="1:18" x14ac:dyDescent="0.25">
      <c r="A725" s="170">
        <v>45945</v>
      </c>
      <c r="B725" s="116">
        <v>649.95000000000005</v>
      </c>
      <c r="C725" s="116">
        <v>640.20000000000005</v>
      </c>
      <c r="D725" s="116">
        <v>626.04999999999995</v>
      </c>
      <c r="E725" s="116">
        <v>626.04999999999995</v>
      </c>
      <c r="F725" s="116">
        <v>640.20000000000005</v>
      </c>
      <c r="G725">
        <v>4450</v>
      </c>
      <c r="H725" s="116"/>
      <c r="I725" s="116"/>
      <c r="L725" s="170">
        <v>45945</v>
      </c>
      <c r="M725" s="116">
        <v>638.75</v>
      </c>
      <c r="N725" s="116">
        <v>649.65</v>
      </c>
      <c r="O725" s="116">
        <v>629</v>
      </c>
      <c r="P725" s="116">
        <v>631</v>
      </c>
      <c r="Q725" s="116">
        <v>638.75</v>
      </c>
      <c r="R725">
        <v>129355</v>
      </c>
    </row>
    <row r="726" spans="1:18" x14ac:dyDescent="0.25">
      <c r="A726" s="170">
        <v>45946</v>
      </c>
      <c r="B726" s="116">
        <v>646.20000000000005</v>
      </c>
      <c r="C726" s="116">
        <v>644.1</v>
      </c>
      <c r="D726" s="116">
        <v>638.65</v>
      </c>
      <c r="E726" s="116">
        <v>640.25</v>
      </c>
      <c r="F726" s="116">
        <v>644.1</v>
      </c>
      <c r="G726">
        <v>3455</v>
      </c>
      <c r="H726" s="116"/>
      <c r="I726" s="116"/>
      <c r="L726" s="170">
        <v>45946</v>
      </c>
      <c r="M726" s="116">
        <v>643.70000000000005</v>
      </c>
      <c r="N726" s="116">
        <v>646.75</v>
      </c>
      <c r="O726" s="116">
        <v>638.25</v>
      </c>
      <c r="P726" s="116">
        <v>638.9</v>
      </c>
      <c r="Q726" s="116">
        <v>643.70000000000005</v>
      </c>
      <c r="R726">
        <v>51508</v>
      </c>
    </row>
    <row r="727" spans="1:18" x14ac:dyDescent="0.25">
      <c r="A727" s="170">
        <v>45947</v>
      </c>
      <c r="B727" s="116">
        <v>665</v>
      </c>
      <c r="C727" s="116">
        <v>658.3</v>
      </c>
      <c r="D727" s="116">
        <v>626.45000000000005</v>
      </c>
      <c r="E727" s="116">
        <v>637.75</v>
      </c>
      <c r="F727" s="116">
        <v>658.3</v>
      </c>
      <c r="G727">
        <v>9163</v>
      </c>
      <c r="H727" s="116"/>
      <c r="I727" s="116"/>
      <c r="L727" s="170">
        <v>45947</v>
      </c>
      <c r="M727" s="116">
        <v>651.04999999999995</v>
      </c>
      <c r="N727" s="116">
        <v>667.3</v>
      </c>
      <c r="O727" s="116">
        <v>626.5</v>
      </c>
      <c r="P727" s="116">
        <v>642.95000000000005</v>
      </c>
      <c r="Q727" s="116">
        <v>651.04999999999995</v>
      </c>
      <c r="R727">
        <v>171375</v>
      </c>
    </row>
    <row r="728" spans="1:18" x14ac:dyDescent="0.25">
      <c r="A728" s="170">
        <v>45950</v>
      </c>
      <c r="B728" s="116">
        <v>663.5</v>
      </c>
      <c r="C728" s="116">
        <v>653.79999999999995</v>
      </c>
      <c r="D728" s="116">
        <v>634.04999999999995</v>
      </c>
      <c r="E728" s="116">
        <v>655.04999999999995</v>
      </c>
      <c r="F728" s="116">
        <v>653.79999999999995</v>
      </c>
      <c r="G728">
        <v>10759</v>
      </c>
      <c r="H728" s="116"/>
      <c r="I728" s="116"/>
      <c r="L728" s="170">
        <v>45950</v>
      </c>
      <c r="M728" s="116">
        <v>655.35</v>
      </c>
      <c r="N728" s="116">
        <v>664.8</v>
      </c>
      <c r="O728" s="116">
        <v>634.5</v>
      </c>
      <c r="P728" s="116">
        <v>657.4</v>
      </c>
      <c r="Q728" s="116">
        <v>655.35</v>
      </c>
      <c r="R728">
        <v>197319</v>
      </c>
    </row>
    <row r="729" spans="1:18" x14ac:dyDescent="0.25">
      <c r="A729" s="170">
        <v>45951</v>
      </c>
      <c r="B729" s="116">
        <v>656.65</v>
      </c>
      <c r="C729" s="116">
        <v>655.1</v>
      </c>
      <c r="D729" s="116">
        <v>638.04999999999995</v>
      </c>
      <c r="E729" s="116">
        <v>638.04999999999995</v>
      </c>
      <c r="F729" s="116">
        <v>655.1</v>
      </c>
      <c r="G729">
        <v>873</v>
      </c>
      <c r="H729" s="116"/>
      <c r="I729" s="116"/>
      <c r="L729" s="170">
        <v>45951</v>
      </c>
      <c r="M729" s="116">
        <v>652.85</v>
      </c>
      <c r="N729" s="116">
        <v>659.05</v>
      </c>
      <c r="O729" s="116">
        <v>649.04999999999995</v>
      </c>
      <c r="P729" s="116">
        <v>649.15</v>
      </c>
      <c r="Q729" s="116">
        <v>652.85</v>
      </c>
      <c r="R729">
        <v>20687</v>
      </c>
    </row>
    <row r="730" spans="1:18" x14ac:dyDescent="0.25">
      <c r="A730" s="170">
        <v>45953</v>
      </c>
      <c r="B730" s="116">
        <v>653.20000000000005</v>
      </c>
      <c r="C730" s="116">
        <v>640.9</v>
      </c>
      <c r="D730" s="116">
        <v>638</v>
      </c>
      <c r="E730" s="116">
        <v>653</v>
      </c>
      <c r="F730" s="116">
        <v>640.9</v>
      </c>
      <c r="G730">
        <v>7576</v>
      </c>
      <c r="H730" s="116"/>
      <c r="I730" s="116"/>
      <c r="L730" s="170">
        <v>45953</v>
      </c>
      <c r="M730" s="116">
        <v>640.85</v>
      </c>
      <c r="N730" s="116">
        <v>656.9</v>
      </c>
      <c r="O730" s="116">
        <v>637</v>
      </c>
      <c r="P730" s="116">
        <v>653.20000000000005</v>
      </c>
      <c r="Q730" s="116">
        <v>640.85</v>
      </c>
      <c r="R730">
        <v>90636</v>
      </c>
    </row>
    <row r="731" spans="1:18" x14ac:dyDescent="0.25">
      <c r="A731" s="170">
        <v>45954</v>
      </c>
      <c r="B731" s="116">
        <v>645.85</v>
      </c>
      <c r="C731" s="116">
        <v>643.45000000000005</v>
      </c>
      <c r="D731" s="116">
        <v>636</v>
      </c>
      <c r="E731" s="116">
        <v>636</v>
      </c>
      <c r="F731" s="116">
        <v>643.45000000000005</v>
      </c>
      <c r="G731">
        <v>4679</v>
      </c>
      <c r="H731" s="116"/>
      <c r="I731" s="116"/>
      <c r="L731" s="170">
        <v>45954</v>
      </c>
      <c r="M731" s="116">
        <v>641.9</v>
      </c>
      <c r="N731" s="116">
        <v>646.35</v>
      </c>
      <c r="O731" s="116">
        <v>636.29999999999995</v>
      </c>
      <c r="P731" s="116">
        <v>640.85</v>
      </c>
      <c r="Q731" s="116">
        <v>641.9</v>
      </c>
      <c r="R731">
        <v>63218</v>
      </c>
    </row>
    <row r="732" spans="1:18" x14ac:dyDescent="0.25">
      <c r="A732" s="170">
        <v>45957</v>
      </c>
      <c r="B732" s="116">
        <v>650</v>
      </c>
      <c r="C732" s="116">
        <v>646.4</v>
      </c>
      <c r="D732" s="116">
        <v>635.15</v>
      </c>
      <c r="E732" s="116">
        <v>644.04999999999995</v>
      </c>
      <c r="F732" s="116">
        <v>646.4</v>
      </c>
      <c r="G732">
        <v>5391</v>
      </c>
      <c r="H732" s="116"/>
      <c r="I732" s="116"/>
      <c r="L732" s="170">
        <v>45957</v>
      </c>
      <c r="M732" s="116">
        <v>647.1</v>
      </c>
      <c r="N732" s="116">
        <v>651.54999999999995</v>
      </c>
      <c r="O732" s="116">
        <v>635</v>
      </c>
      <c r="P732" s="116">
        <v>641.95000000000005</v>
      </c>
      <c r="Q732" s="116">
        <v>647.1</v>
      </c>
      <c r="R732">
        <v>99790</v>
      </c>
    </row>
    <row r="733" spans="1:18" x14ac:dyDescent="0.25">
      <c r="A733" s="170">
        <v>45958</v>
      </c>
      <c r="B733" s="116">
        <v>658.85</v>
      </c>
      <c r="C733" s="116">
        <v>647.75</v>
      </c>
      <c r="D733" s="116">
        <v>634.35</v>
      </c>
      <c r="E733" s="116">
        <v>648.95000000000005</v>
      </c>
      <c r="F733" s="116">
        <v>647.75</v>
      </c>
      <c r="G733">
        <v>5697</v>
      </c>
      <c r="H733" s="116"/>
      <c r="I733" s="116"/>
      <c r="L733" s="170">
        <v>45958</v>
      </c>
      <c r="M733" s="116">
        <v>647.70000000000005</v>
      </c>
      <c r="N733" s="116">
        <v>659.45</v>
      </c>
      <c r="O733" s="116">
        <v>632.15</v>
      </c>
      <c r="P733" s="116">
        <v>647.5</v>
      </c>
      <c r="Q733" s="116">
        <v>647.70000000000005</v>
      </c>
      <c r="R733">
        <v>139815</v>
      </c>
    </row>
    <row r="734" spans="1:18" x14ac:dyDescent="0.25">
      <c r="A734" s="170">
        <v>45959</v>
      </c>
      <c r="B734" s="116">
        <v>652.04999999999995</v>
      </c>
      <c r="C734" s="116">
        <v>637.6</v>
      </c>
      <c r="D734" s="116">
        <v>634.4</v>
      </c>
      <c r="E734" s="116">
        <v>650.5</v>
      </c>
      <c r="F734" s="116">
        <v>637.6</v>
      </c>
      <c r="G734">
        <v>12456</v>
      </c>
      <c r="H734" s="116"/>
      <c r="I734" s="116"/>
      <c r="L734" s="170">
        <v>45959</v>
      </c>
      <c r="M734" s="116">
        <v>638.1</v>
      </c>
      <c r="N734" s="116">
        <v>652.25</v>
      </c>
      <c r="O734" s="116">
        <v>636</v>
      </c>
      <c r="P734" s="116">
        <v>649.95000000000005</v>
      </c>
      <c r="Q734" s="116">
        <v>638.1</v>
      </c>
      <c r="R734">
        <v>101178</v>
      </c>
    </row>
    <row r="735" spans="1:18" x14ac:dyDescent="0.25">
      <c r="A735" s="170">
        <v>45960</v>
      </c>
      <c r="B735" s="116">
        <v>641.20000000000005</v>
      </c>
      <c r="C735" s="116">
        <v>636.65</v>
      </c>
      <c r="D735" s="116">
        <v>629.9</v>
      </c>
      <c r="E735" s="116">
        <v>637.65</v>
      </c>
      <c r="F735" s="116">
        <v>636.65</v>
      </c>
      <c r="G735">
        <v>3282</v>
      </c>
      <c r="H735" s="116"/>
      <c r="I735" s="116"/>
      <c r="L735" s="170">
        <v>45960</v>
      </c>
      <c r="M735" s="116">
        <v>637.35</v>
      </c>
      <c r="N735" s="116">
        <v>641.5</v>
      </c>
      <c r="O735" s="116">
        <v>628.70000000000005</v>
      </c>
      <c r="P735" s="116">
        <v>639.79999999999995</v>
      </c>
      <c r="Q735" s="116">
        <v>637.35</v>
      </c>
      <c r="R735">
        <v>165046</v>
      </c>
    </row>
    <row r="736" spans="1:18" x14ac:dyDescent="0.25">
      <c r="A736" s="170">
        <v>45961</v>
      </c>
      <c r="B736" s="116">
        <v>675</v>
      </c>
      <c r="C736" s="116">
        <v>666</v>
      </c>
      <c r="D736" s="116">
        <v>636</v>
      </c>
      <c r="E736" s="116">
        <v>637.5</v>
      </c>
      <c r="F736" s="116">
        <v>666</v>
      </c>
      <c r="G736">
        <v>4466</v>
      </c>
      <c r="H736" s="116"/>
      <c r="I736" s="116"/>
      <c r="L736" s="170">
        <v>45961</v>
      </c>
      <c r="M736" s="116">
        <v>661.55</v>
      </c>
      <c r="N736" s="116">
        <v>676</v>
      </c>
      <c r="O736" s="116">
        <v>635</v>
      </c>
      <c r="P736" s="116">
        <v>635</v>
      </c>
      <c r="Q736" s="116">
        <v>661.55</v>
      </c>
      <c r="R736">
        <v>226411</v>
      </c>
    </row>
    <row r="737" spans="1:18" x14ac:dyDescent="0.25">
      <c r="A737" s="170">
        <v>45964</v>
      </c>
      <c r="B737" s="116">
        <v>674.05</v>
      </c>
      <c r="C737" s="116">
        <v>656.8</v>
      </c>
      <c r="D737" s="116">
        <v>653.25</v>
      </c>
      <c r="E737" s="116">
        <v>674.05</v>
      </c>
      <c r="F737" s="116">
        <v>656.8</v>
      </c>
      <c r="G737">
        <v>13548</v>
      </c>
      <c r="H737" s="116"/>
      <c r="I737" s="116"/>
      <c r="L737" s="170">
        <v>45964</v>
      </c>
      <c r="M737" s="116">
        <v>659.5</v>
      </c>
      <c r="N737" s="116">
        <v>671.45</v>
      </c>
      <c r="O737" s="116">
        <v>652.1</v>
      </c>
      <c r="P737" s="116">
        <v>668</v>
      </c>
      <c r="Q737" s="116">
        <v>659.5</v>
      </c>
      <c r="R737">
        <v>163471</v>
      </c>
    </row>
    <row r="738" spans="1:18" x14ac:dyDescent="0.25">
      <c r="A738" s="170">
        <v>45965</v>
      </c>
      <c r="B738" s="116">
        <v>660.8</v>
      </c>
      <c r="C738" s="116">
        <v>649.85</v>
      </c>
      <c r="D738" s="116">
        <v>647.6</v>
      </c>
      <c r="E738" s="116">
        <v>654</v>
      </c>
      <c r="F738" s="116">
        <v>649.85</v>
      </c>
      <c r="G738">
        <v>3576</v>
      </c>
      <c r="H738" s="116"/>
      <c r="I738" s="116"/>
      <c r="L738" s="170">
        <v>45965</v>
      </c>
      <c r="M738" s="116">
        <v>649.70000000000005</v>
      </c>
      <c r="N738" s="116">
        <v>661.05</v>
      </c>
      <c r="O738" s="116">
        <v>646.70000000000005</v>
      </c>
      <c r="P738" s="116">
        <v>660.9</v>
      </c>
      <c r="Q738" s="116">
        <v>649.70000000000005</v>
      </c>
      <c r="R738">
        <v>186662</v>
      </c>
    </row>
    <row r="739" spans="1:18" x14ac:dyDescent="0.25">
      <c r="A739" s="170">
        <v>45967</v>
      </c>
      <c r="B739" s="116">
        <v>660</v>
      </c>
      <c r="C739" s="116">
        <v>648.20000000000005</v>
      </c>
      <c r="D739" s="116">
        <v>640.45000000000005</v>
      </c>
      <c r="E739" s="116">
        <v>651.45000000000005</v>
      </c>
      <c r="F739" s="116">
        <v>648.20000000000005</v>
      </c>
      <c r="G739">
        <v>8554</v>
      </c>
      <c r="H739" s="116"/>
      <c r="I739" s="116"/>
      <c r="L739" s="170">
        <v>45967</v>
      </c>
      <c r="M739" s="116">
        <v>648.75</v>
      </c>
      <c r="N739" s="116">
        <v>659.6</v>
      </c>
      <c r="O739" s="116">
        <v>640</v>
      </c>
      <c r="P739" s="116">
        <v>653.04999999999995</v>
      </c>
      <c r="Q739" s="116">
        <v>648.75</v>
      </c>
      <c r="R739">
        <v>87744</v>
      </c>
    </row>
    <row r="740" spans="1:18" x14ac:dyDescent="0.25">
      <c r="A740" s="170">
        <v>45968</v>
      </c>
      <c r="B740" s="116">
        <v>645</v>
      </c>
      <c r="C740" s="116">
        <v>632.75</v>
      </c>
      <c r="D740" s="116">
        <v>630</v>
      </c>
      <c r="E740" s="116">
        <v>640.04999999999995</v>
      </c>
      <c r="F740" s="116">
        <v>632.75</v>
      </c>
      <c r="G740">
        <v>5554</v>
      </c>
      <c r="H740" s="116"/>
      <c r="I740" s="116"/>
      <c r="L740" s="170">
        <v>45968</v>
      </c>
      <c r="M740" s="116">
        <v>634.6</v>
      </c>
      <c r="N740" s="116">
        <v>645.75</v>
      </c>
      <c r="O740" s="116">
        <v>629.70000000000005</v>
      </c>
      <c r="P740" s="116">
        <v>644.79999999999995</v>
      </c>
      <c r="Q740" s="116">
        <v>634.6</v>
      </c>
      <c r="R740">
        <v>102167</v>
      </c>
    </row>
    <row r="741" spans="1:18" x14ac:dyDescent="0.25">
      <c r="A741" s="170">
        <v>45971</v>
      </c>
      <c r="B741" s="116">
        <v>639.54999999999995</v>
      </c>
      <c r="C741" s="116">
        <v>631.45000000000005</v>
      </c>
      <c r="D741" s="116">
        <v>626.25</v>
      </c>
      <c r="E741" s="116">
        <v>633.04999999999995</v>
      </c>
      <c r="F741" s="116">
        <v>631.45000000000005</v>
      </c>
      <c r="G741">
        <v>3062</v>
      </c>
      <c r="H741" s="116"/>
      <c r="I741" s="116"/>
      <c r="L741" s="170">
        <v>45971</v>
      </c>
      <c r="M741" s="116">
        <v>630.45000000000005</v>
      </c>
      <c r="N741" s="116">
        <v>639.9</v>
      </c>
      <c r="O741" s="116">
        <v>626.20000000000005</v>
      </c>
      <c r="P741" s="116">
        <v>633.9</v>
      </c>
      <c r="Q741" s="116">
        <v>630.45000000000005</v>
      </c>
      <c r="R741">
        <v>117657</v>
      </c>
    </row>
    <row r="742" spans="1:18" x14ac:dyDescent="0.25">
      <c r="A742" s="170">
        <v>45972</v>
      </c>
      <c r="B742" s="116">
        <v>637.6</v>
      </c>
      <c r="C742" s="116">
        <v>623.54999999999995</v>
      </c>
      <c r="D742" s="116">
        <v>621</v>
      </c>
      <c r="E742" s="116">
        <v>630.45000000000005</v>
      </c>
      <c r="F742" s="116">
        <v>623.54999999999995</v>
      </c>
      <c r="G742">
        <v>7037</v>
      </c>
      <c r="H742" s="116"/>
      <c r="I742" s="116"/>
      <c r="L742" s="170">
        <v>45972</v>
      </c>
      <c r="M742" s="116">
        <v>624</v>
      </c>
      <c r="N742" s="116">
        <v>636.9</v>
      </c>
      <c r="O742" s="116">
        <v>621</v>
      </c>
      <c r="P742" s="116">
        <v>629</v>
      </c>
      <c r="Q742" s="116">
        <v>624</v>
      </c>
      <c r="R742">
        <v>135773</v>
      </c>
    </row>
    <row r="743" spans="1:18" x14ac:dyDescent="0.25">
      <c r="A743" s="170">
        <v>45973</v>
      </c>
      <c r="B743" s="116">
        <v>636.29999999999995</v>
      </c>
      <c r="C743" s="116">
        <v>632.70000000000005</v>
      </c>
      <c r="D743" s="116">
        <v>619.85</v>
      </c>
      <c r="E743" s="116">
        <v>624.15</v>
      </c>
      <c r="F743" s="116">
        <v>632.70000000000005</v>
      </c>
      <c r="G743">
        <v>9253</v>
      </c>
      <c r="H743" s="116"/>
      <c r="I743" s="116"/>
      <c r="L743" s="170">
        <v>45973</v>
      </c>
      <c r="M743" s="116">
        <v>634.45000000000005</v>
      </c>
      <c r="N743" s="116">
        <v>637.54999999999995</v>
      </c>
      <c r="O743" s="116">
        <v>619.75</v>
      </c>
      <c r="P743" s="116">
        <v>624.45000000000005</v>
      </c>
      <c r="Q743" s="116">
        <v>634.45000000000005</v>
      </c>
      <c r="R743">
        <v>103698</v>
      </c>
    </row>
    <row r="744" spans="1:18" x14ac:dyDescent="0.25">
      <c r="A744" s="170">
        <v>45974</v>
      </c>
      <c r="B744" s="116">
        <v>638.5</v>
      </c>
      <c r="C744" s="116">
        <v>630.45000000000005</v>
      </c>
      <c r="D744" s="116">
        <v>625.29999999999995</v>
      </c>
      <c r="E744" s="116">
        <v>630.79999999999995</v>
      </c>
      <c r="F744" s="116">
        <v>630.45000000000005</v>
      </c>
      <c r="G744">
        <v>2151</v>
      </c>
      <c r="H744" s="116"/>
      <c r="I744" s="116"/>
      <c r="L744" s="170">
        <v>45974</v>
      </c>
      <c r="M744" s="116">
        <v>631.4</v>
      </c>
      <c r="N744" s="116">
        <v>639.45000000000005</v>
      </c>
      <c r="O744" s="116">
        <v>626</v>
      </c>
      <c r="P744" s="116">
        <v>631.1</v>
      </c>
      <c r="Q744" s="116">
        <v>631.4</v>
      </c>
      <c r="R744">
        <v>60840</v>
      </c>
    </row>
    <row r="745" spans="1:18" x14ac:dyDescent="0.25">
      <c r="A745" s="170">
        <v>45975</v>
      </c>
      <c r="B745" s="116">
        <v>633.70000000000005</v>
      </c>
      <c r="C745" s="116">
        <v>628.6</v>
      </c>
      <c r="D745" s="116">
        <v>622.65</v>
      </c>
      <c r="E745" s="116">
        <v>630.20000000000005</v>
      </c>
      <c r="F745" s="116">
        <v>628.6</v>
      </c>
      <c r="G745">
        <v>1345</v>
      </c>
      <c r="H745" s="116"/>
      <c r="I745" s="116"/>
      <c r="L745" s="170">
        <v>45975</v>
      </c>
      <c r="M745" s="116">
        <v>627.54999999999995</v>
      </c>
      <c r="N745" s="116">
        <v>633.25</v>
      </c>
      <c r="O745" s="116">
        <v>622.1</v>
      </c>
      <c r="P745" s="116">
        <v>631.1</v>
      </c>
      <c r="Q745" s="116">
        <v>627.54999999999995</v>
      </c>
      <c r="R745">
        <v>57713</v>
      </c>
    </row>
    <row r="746" spans="1:18" x14ac:dyDescent="0.25">
      <c r="A746" s="170">
        <v>45978</v>
      </c>
      <c r="B746" s="116">
        <v>623.9</v>
      </c>
      <c r="C746" s="116">
        <v>605.1</v>
      </c>
      <c r="D746" s="116">
        <v>600.85</v>
      </c>
      <c r="E746" s="116">
        <v>616.04999999999995</v>
      </c>
      <c r="F746" s="116">
        <v>605.1</v>
      </c>
      <c r="G746">
        <v>22289</v>
      </c>
      <c r="H746" s="116"/>
      <c r="I746" s="116"/>
      <c r="L746" s="170">
        <v>45978</v>
      </c>
      <c r="M746" s="116">
        <v>607.85</v>
      </c>
      <c r="N746" s="116">
        <v>624.65</v>
      </c>
      <c r="O746" s="116">
        <v>605</v>
      </c>
      <c r="P746" s="116">
        <v>622</v>
      </c>
      <c r="Q746" s="116">
        <v>607.85</v>
      </c>
      <c r="R746">
        <v>189402</v>
      </c>
    </row>
    <row r="747" spans="1:18" x14ac:dyDescent="0.25">
      <c r="A747" s="170">
        <v>45979</v>
      </c>
      <c r="B747" s="116">
        <v>609.25</v>
      </c>
      <c r="C747" s="116">
        <v>597.95000000000005</v>
      </c>
      <c r="D747" s="116">
        <v>590.5</v>
      </c>
      <c r="E747" s="116">
        <v>601.04999999999995</v>
      </c>
      <c r="F747" s="116">
        <v>597.95000000000005</v>
      </c>
      <c r="G747">
        <v>3924</v>
      </c>
      <c r="H747" s="116"/>
      <c r="I747" s="116"/>
      <c r="L747" s="170">
        <v>45979</v>
      </c>
      <c r="M747" s="116">
        <v>597.25</v>
      </c>
      <c r="N747" s="116">
        <v>609</v>
      </c>
      <c r="O747" s="116">
        <v>590</v>
      </c>
      <c r="P747" s="116">
        <v>607.85</v>
      </c>
      <c r="Q747" s="116">
        <v>597.25</v>
      </c>
      <c r="R747">
        <v>167947</v>
      </c>
    </row>
    <row r="748" spans="1:18" x14ac:dyDescent="0.25">
      <c r="A748" s="170">
        <v>45980</v>
      </c>
      <c r="B748" s="116">
        <v>594.1</v>
      </c>
      <c r="C748" s="116">
        <v>564.6</v>
      </c>
      <c r="D748" s="116">
        <v>560.75</v>
      </c>
      <c r="E748" s="116">
        <v>593.85</v>
      </c>
      <c r="F748" s="116">
        <v>564.6</v>
      </c>
      <c r="G748">
        <v>23041</v>
      </c>
      <c r="H748" s="116"/>
      <c r="I748" s="116"/>
      <c r="L748" s="170">
        <v>45980</v>
      </c>
      <c r="M748" s="116">
        <v>563.79999999999995</v>
      </c>
      <c r="N748" s="116">
        <v>592.25</v>
      </c>
      <c r="O748" s="116">
        <v>560.35</v>
      </c>
      <c r="P748" s="116">
        <v>591.04999999999995</v>
      </c>
      <c r="Q748" s="116">
        <v>563.79999999999995</v>
      </c>
      <c r="R748">
        <v>279892</v>
      </c>
    </row>
    <row r="749" spans="1:18" x14ac:dyDescent="0.25">
      <c r="A749" s="170">
        <v>45981</v>
      </c>
      <c r="B749" s="116">
        <v>571</v>
      </c>
      <c r="C749" s="116">
        <v>554.15</v>
      </c>
      <c r="D749" s="116">
        <v>551.6</v>
      </c>
      <c r="E749" s="116">
        <v>564.5</v>
      </c>
      <c r="F749" s="116">
        <v>554.15</v>
      </c>
      <c r="G749">
        <v>15479</v>
      </c>
      <c r="H749" s="116"/>
      <c r="I749" s="116"/>
      <c r="L749" s="170">
        <v>45981</v>
      </c>
      <c r="M749" s="116">
        <v>554</v>
      </c>
      <c r="N749" s="116">
        <v>571.5</v>
      </c>
      <c r="O749" s="116">
        <v>550</v>
      </c>
      <c r="P749" s="116">
        <v>563.9</v>
      </c>
      <c r="Q749" s="116">
        <v>554</v>
      </c>
      <c r="R749">
        <v>160294</v>
      </c>
    </row>
    <row r="750" spans="1:18" x14ac:dyDescent="0.25">
      <c r="A750" s="170">
        <v>45982</v>
      </c>
      <c r="B750" s="116">
        <v>561</v>
      </c>
      <c r="C750" s="116">
        <v>540.70000000000005</v>
      </c>
      <c r="D750" s="116">
        <v>538.4</v>
      </c>
      <c r="E750" s="116">
        <v>554.15</v>
      </c>
      <c r="F750" s="116">
        <v>540.70000000000005</v>
      </c>
      <c r="G750">
        <v>12869</v>
      </c>
      <c r="H750" s="116"/>
      <c r="I750" s="116"/>
      <c r="L750" s="170">
        <v>45982</v>
      </c>
      <c r="M750" s="116">
        <v>540.65</v>
      </c>
      <c r="N750" s="116">
        <v>561.79999999999995</v>
      </c>
      <c r="O750" s="116">
        <v>539</v>
      </c>
      <c r="P750" s="116">
        <v>554</v>
      </c>
      <c r="Q750" s="116">
        <v>540.65</v>
      </c>
      <c r="R750">
        <v>114373</v>
      </c>
    </row>
    <row r="751" spans="1:18" x14ac:dyDescent="0.25">
      <c r="A751" s="170">
        <v>45985</v>
      </c>
      <c r="B751" s="116">
        <v>544</v>
      </c>
      <c r="C751" s="116">
        <v>537.4</v>
      </c>
      <c r="D751" s="116">
        <v>531.70000000000005</v>
      </c>
      <c r="E751" s="116">
        <v>540.65</v>
      </c>
      <c r="F751" s="116">
        <v>537.4</v>
      </c>
      <c r="G751">
        <v>13377</v>
      </c>
      <c r="H751" s="116"/>
      <c r="I751" s="116"/>
      <c r="L751" s="170">
        <v>45985</v>
      </c>
      <c r="M751" s="116">
        <v>536.65</v>
      </c>
      <c r="N751" s="116">
        <v>544.4</v>
      </c>
      <c r="O751" s="116">
        <v>532.20000000000005</v>
      </c>
      <c r="P751" s="116">
        <v>540.45000000000005</v>
      </c>
      <c r="Q751" s="116">
        <v>536.65</v>
      </c>
      <c r="R751">
        <v>199261</v>
      </c>
    </row>
    <row r="752" spans="1:18" x14ac:dyDescent="0.25">
      <c r="A752" s="170">
        <v>45986</v>
      </c>
      <c r="B752" s="116">
        <v>535.15</v>
      </c>
      <c r="C752" s="116">
        <v>531.20000000000005</v>
      </c>
      <c r="D752" s="116">
        <v>529.70000000000005</v>
      </c>
      <c r="E752" s="116">
        <v>535</v>
      </c>
      <c r="F752" s="116">
        <v>531.20000000000005</v>
      </c>
      <c r="G752">
        <v>7051</v>
      </c>
      <c r="H752" s="116"/>
      <c r="I752" s="116"/>
      <c r="L752" s="170">
        <v>45986</v>
      </c>
      <c r="M752" s="116">
        <v>531.45000000000005</v>
      </c>
      <c r="N752" s="116">
        <v>535.79999999999995</v>
      </c>
      <c r="O752" s="116">
        <v>529</v>
      </c>
      <c r="P752" s="116">
        <v>535</v>
      </c>
      <c r="Q752" s="116">
        <v>531.45000000000005</v>
      </c>
      <c r="R752">
        <v>107852</v>
      </c>
    </row>
    <row r="753" spans="1:18" x14ac:dyDescent="0.25">
      <c r="A753" s="170">
        <v>45987</v>
      </c>
      <c r="B753" s="116">
        <v>535</v>
      </c>
      <c r="C753" s="116">
        <v>518.15</v>
      </c>
      <c r="D753" s="116">
        <v>514.6</v>
      </c>
      <c r="E753" s="116">
        <v>534.95000000000005</v>
      </c>
      <c r="F753" s="116">
        <v>518.15</v>
      </c>
      <c r="G753">
        <v>5444</v>
      </c>
      <c r="H753" s="116"/>
      <c r="I753" s="116"/>
      <c r="L753" s="170">
        <v>45987</v>
      </c>
      <c r="M753" s="116">
        <v>517.75</v>
      </c>
      <c r="N753" s="116">
        <v>535.5</v>
      </c>
      <c r="O753" s="116">
        <v>514.6</v>
      </c>
      <c r="P753" s="116">
        <v>534.9</v>
      </c>
      <c r="Q753" s="116">
        <v>517.75</v>
      </c>
      <c r="R753">
        <v>181563</v>
      </c>
    </row>
    <row r="754" spans="1:18" x14ac:dyDescent="0.25">
      <c r="A754" s="170">
        <v>45988</v>
      </c>
      <c r="B754" s="116">
        <v>527.95000000000005</v>
      </c>
      <c r="C754" s="116">
        <v>524.20000000000005</v>
      </c>
      <c r="D754" s="116">
        <v>518.20000000000005</v>
      </c>
      <c r="E754" s="116">
        <v>518.20000000000005</v>
      </c>
      <c r="F754" s="116">
        <v>524.20000000000005</v>
      </c>
      <c r="G754">
        <v>6974</v>
      </c>
      <c r="H754" s="116"/>
      <c r="I754" s="116"/>
      <c r="L754" s="170">
        <v>45988</v>
      </c>
      <c r="M754" s="116">
        <v>523.85</v>
      </c>
      <c r="N754" s="116">
        <v>528.6</v>
      </c>
      <c r="O754" s="116">
        <v>519.95000000000005</v>
      </c>
      <c r="P754" s="116">
        <v>519.95000000000005</v>
      </c>
      <c r="Q754" s="116">
        <v>523.85</v>
      </c>
      <c r="R754">
        <v>151639</v>
      </c>
    </row>
    <row r="755" spans="1:18" x14ac:dyDescent="0.25">
      <c r="A755" s="170">
        <v>45989</v>
      </c>
      <c r="B755" s="116">
        <v>524.25</v>
      </c>
      <c r="C755" s="116">
        <v>512.35</v>
      </c>
      <c r="D755" s="116">
        <v>508.45</v>
      </c>
      <c r="E755" s="116">
        <v>524.20000000000005</v>
      </c>
      <c r="F755" s="116">
        <v>512.35</v>
      </c>
      <c r="G755">
        <v>8518</v>
      </c>
      <c r="H755" s="116"/>
      <c r="I755" s="116"/>
      <c r="L755" s="170">
        <v>45989</v>
      </c>
      <c r="M755" s="116">
        <v>512.1</v>
      </c>
      <c r="N755" s="116">
        <v>525.9</v>
      </c>
      <c r="O755" s="116">
        <v>508.25</v>
      </c>
      <c r="P755" s="116">
        <v>525.85</v>
      </c>
      <c r="Q755" s="116">
        <v>512.1</v>
      </c>
      <c r="R755">
        <v>154992</v>
      </c>
    </row>
    <row r="756" spans="1:18" x14ac:dyDescent="0.25">
      <c r="A756" s="170">
        <v>45992</v>
      </c>
      <c r="B756" s="116">
        <v>520</v>
      </c>
      <c r="C756" s="116">
        <v>511.95</v>
      </c>
      <c r="D756" s="116">
        <v>509.2</v>
      </c>
      <c r="E756" s="116">
        <v>511.35</v>
      </c>
      <c r="F756" s="116">
        <v>511.95</v>
      </c>
      <c r="G756">
        <v>433646</v>
      </c>
      <c r="H756" s="116"/>
      <c r="I756" s="116"/>
      <c r="L756" s="170">
        <v>45992</v>
      </c>
      <c r="M756" s="116">
        <v>511.9</v>
      </c>
      <c r="N756" s="116">
        <v>521.70000000000005</v>
      </c>
      <c r="O756" s="116">
        <v>508.6</v>
      </c>
      <c r="P756" s="116">
        <v>512</v>
      </c>
      <c r="Q756" s="116">
        <v>511.9</v>
      </c>
      <c r="R756">
        <v>123982</v>
      </c>
    </row>
    <row r="757" spans="1:18" x14ac:dyDescent="0.25">
      <c r="A757" s="170">
        <v>45993</v>
      </c>
      <c r="B757" s="116">
        <v>513.85</v>
      </c>
      <c r="C757" s="116">
        <v>508.05</v>
      </c>
      <c r="D757" s="116">
        <v>501.55</v>
      </c>
      <c r="E757" s="116">
        <v>513.85</v>
      </c>
      <c r="F757" s="116">
        <v>508.05</v>
      </c>
      <c r="G757">
        <v>7157</v>
      </c>
      <c r="H757" s="116"/>
      <c r="I757" s="116"/>
      <c r="L757" s="170">
        <v>45993</v>
      </c>
      <c r="M757" s="116">
        <v>509.45</v>
      </c>
      <c r="N757" s="116">
        <v>514.79999999999995</v>
      </c>
      <c r="O757" s="116">
        <v>502</v>
      </c>
      <c r="P757" s="116">
        <v>511.9</v>
      </c>
      <c r="Q757" s="116">
        <v>509.45</v>
      </c>
      <c r="R757">
        <v>64335</v>
      </c>
    </row>
    <row r="758" spans="1:18" x14ac:dyDescent="0.25">
      <c r="A758" s="170">
        <v>45994</v>
      </c>
      <c r="B758" s="116">
        <v>510.05</v>
      </c>
      <c r="C758" s="116">
        <v>503.95</v>
      </c>
      <c r="D758" s="116">
        <v>501.95</v>
      </c>
      <c r="E758" s="116">
        <v>510</v>
      </c>
      <c r="F758" s="116">
        <v>503.95</v>
      </c>
      <c r="G758">
        <v>2215</v>
      </c>
      <c r="H758" s="116"/>
      <c r="I758" s="116"/>
      <c r="L758" s="170">
        <v>45994</v>
      </c>
      <c r="M758" s="116">
        <v>505.7</v>
      </c>
      <c r="N758" s="116">
        <v>512</v>
      </c>
      <c r="O758" s="116">
        <v>501.05</v>
      </c>
      <c r="P758" s="116">
        <v>512</v>
      </c>
      <c r="Q758" s="116">
        <v>505.7</v>
      </c>
      <c r="R758">
        <v>57869</v>
      </c>
    </row>
    <row r="759" spans="1:18" x14ac:dyDescent="0.25">
      <c r="A759" s="170">
        <v>45995</v>
      </c>
      <c r="B759" s="116">
        <v>509.9</v>
      </c>
      <c r="C759" s="116">
        <v>506.65</v>
      </c>
      <c r="D759" s="116">
        <v>501.2</v>
      </c>
      <c r="E759" s="116">
        <v>504</v>
      </c>
      <c r="F759" s="116">
        <v>506.65</v>
      </c>
      <c r="G759">
        <v>1009</v>
      </c>
      <c r="H759" s="116"/>
      <c r="I759" s="116"/>
      <c r="L759" s="170">
        <v>45995</v>
      </c>
      <c r="M759" s="116">
        <v>506.6</v>
      </c>
      <c r="N759" s="116">
        <v>510.9</v>
      </c>
      <c r="O759" s="116">
        <v>500.95</v>
      </c>
      <c r="P759" s="116">
        <v>504.95</v>
      </c>
      <c r="Q759" s="116">
        <v>506.6</v>
      </c>
      <c r="R759">
        <v>36397</v>
      </c>
    </row>
    <row r="760" spans="1:18" x14ac:dyDescent="0.25">
      <c r="A760" s="170">
        <v>45996</v>
      </c>
      <c r="B760" s="116">
        <v>506.35</v>
      </c>
      <c r="C760" s="116">
        <v>504.2</v>
      </c>
      <c r="D760" s="116">
        <v>501</v>
      </c>
      <c r="E760" s="116">
        <v>505.65</v>
      </c>
      <c r="F760" s="116">
        <v>504.2</v>
      </c>
      <c r="G760">
        <v>2496</v>
      </c>
      <c r="H760" s="116"/>
      <c r="I760" s="116"/>
      <c r="L760" s="170">
        <v>45996</v>
      </c>
      <c r="M760" s="116">
        <v>503.25</v>
      </c>
      <c r="N760" s="116">
        <v>509.3</v>
      </c>
      <c r="O760" s="116">
        <v>500.4</v>
      </c>
      <c r="P760" s="116">
        <v>509.3</v>
      </c>
      <c r="Q760" s="116">
        <v>503.25</v>
      </c>
      <c r="R760">
        <v>49832</v>
      </c>
    </row>
    <row r="761" spans="1:18" x14ac:dyDescent="0.25">
      <c r="A761" s="170">
        <v>45999</v>
      </c>
      <c r="B761" s="116">
        <v>504.2</v>
      </c>
      <c r="C761" s="116">
        <v>489.3</v>
      </c>
      <c r="D761" s="116">
        <v>484.6</v>
      </c>
      <c r="E761" s="116">
        <v>503.95</v>
      </c>
      <c r="F761" s="116">
        <v>489.3</v>
      </c>
      <c r="G761">
        <v>19872</v>
      </c>
      <c r="H761" s="116"/>
      <c r="I761" s="116"/>
      <c r="L761" s="170">
        <v>45999</v>
      </c>
      <c r="M761" s="116">
        <v>492.8</v>
      </c>
      <c r="N761" s="116">
        <v>503.5</v>
      </c>
      <c r="O761" s="116">
        <v>485.15</v>
      </c>
      <c r="P761" s="116">
        <v>503.25</v>
      </c>
      <c r="Q761" s="116">
        <v>492.8</v>
      </c>
      <c r="R761">
        <v>85908</v>
      </c>
    </row>
    <row r="762" spans="1:18" x14ac:dyDescent="0.25">
      <c r="A762" s="170">
        <v>46000</v>
      </c>
      <c r="B762" s="116">
        <v>509</v>
      </c>
      <c r="C762" s="116">
        <v>499.85</v>
      </c>
      <c r="D762" s="116">
        <v>487.3</v>
      </c>
      <c r="E762" s="116">
        <v>494</v>
      </c>
      <c r="F762" s="116">
        <v>499.85</v>
      </c>
      <c r="G762">
        <v>4800</v>
      </c>
      <c r="H762" s="116"/>
      <c r="I762" s="116"/>
      <c r="L762" s="170">
        <v>46000</v>
      </c>
      <c r="M762" s="116">
        <v>499.15</v>
      </c>
      <c r="N762" s="116">
        <v>509</v>
      </c>
      <c r="O762" s="116">
        <v>487</v>
      </c>
      <c r="P762" s="116">
        <v>490</v>
      </c>
      <c r="Q762" s="116">
        <v>499.15</v>
      </c>
      <c r="R762">
        <v>117226</v>
      </c>
    </row>
    <row r="763" spans="1:18" x14ac:dyDescent="0.25">
      <c r="A763" s="170">
        <v>46001</v>
      </c>
      <c r="B763" s="116">
        <v>507.95</v>
      </c>
      <c r="C763" s="116">
        <v>500.7</v>
      </c>
      <c r="D763" s="116">
        <v>495.4</v>
      </c>
      <c r="E763" s="116">
        <v>499.9</v>
      </c>
      <c r="F763" s="116">
        <v>500.7</v>
      </c>
      <c r="G763">
        <v>9494</v>
      </c>
      <c r="H763" s="116"/>
      <c r="I763" s="116"/>
      <c r="L763" s="170">
        <v>46001</v>
      </c>
      <c r="M763" s="116">
        <v>500.2</v>
      </c>
      <c r="N763" s="116">
        <v>507.9</v>
      </c>
      <c r="O763" s="116">
        <v>495</v>
      </c>
      <c r="P763" s="116">
        <v>498.7</v>
      </c>
      <c r="Q763" s="116">
        <v>500.2</v>
      </c>
      <c r="R763">
        <v>69201</v>
      </c>
    </row>
    <row r="764" spans="1:18" x14ac:dyDescent="0.25">
      <c r="A764" s="170">
        <v>46002</v>
      </c>
      <c r="B764" s="116">
        <v>501.05</v>
      </c>
      <c r="C764" s="116">
        <v>496.3</v>
      </c>
      <c r="D764" s="116">
        <v>492.8</v>
      </c>
      <c r="E764" s="116">
        <v>501.05</v>
      </c>
      <c r="F764" s="116">
        <v>496.3</v>
      </c>
      <c r="G764">
        <v>4459</v>
      </c>
      <c r="H764" s="116"/>
      <c r="I764" s="116"/>
      <c r="L764" s="170">
        <v>46002</v>
      </c>
      <c r="M764" s="116">
        <v>495.7</v>
      </c>
      <c r="N764" s="116">
        <v>502</v>
      </c>
      <c r="O764" s="116">
        <v>492.5</v>
      </c>
      <c r="P764" s="116">
        <v>502</v>
      </c>
      <c r="Q764" s="116">
        <v>495.7</v>
      </c>
      <c r="R764">
        <v>46223</v>
      </c>
    </row>
    <row r="765" spans="1:18" x14ac:dyDescent="0.25">
      <c r="A765" s="170">
        <v>46003</v>
      </c>
      <c r="B765" s="116">
        <v>499.85</v>
      </c>
      <c r="C765" s="116">
        <v>489.45</v>
      </c>
      <c r="D765" s="116">
        <v>483.1</v>
      </c>
      <c r="E765" s="116">
        <v>497.35</v>
      </c>
      <c r="F765" s="116">
        <v>489.45</v>
      </c>
      <c r="G765">
        <v>11153</v>
      </c>
      <c r="H765" s="116"/>
      <c r="I765" s="116"/>
      <c r="L765" s="170">
        <v>46003</v>
      </c>
      <c r="M765" s="116">
        <v>489.45</v>
      </c>
      <c r="N765" s="116">
        <v>500.35</v>
      </c>
      <c r="O765" s="116">
        <v>483</v>
      </c>
      <c r="P765" s="116">
        <v>498</v>
      </c>
      <c r="Q765" s="116">
        <v>489.45</v>
      </c>
      <c r="R765">
        <v>124591</v>
      </c>
    </row>
    <row r="766" spans="1:18" x14ac:dyDescent="0.25">
      <c r="A766" s="170">
        <v>46006</v>
      </c>
      <c r="B766" s="116">
        <v>505.5</v>
      </c>
      <c r="C766" s="116">
        <v>501.7</v>
      </c>
      <c r="D766" s="116">
        <v>487.85</v>
      </c>
      <c r="E766" s="116">
        <v>488.8</v>
      </c>
      <c r="F766" s="116">
        <v>501.7</v>
      </c>
      <c r="G766">
        <v>4364</v>
      </c>
      <c r="H766" s="116"/>
      <c r="I766" s="116"/>
      <c r="L766" s="170">
        <v>46006</v>
      </c>
      <c r="M766" s="116">
        <v>501.85</v>
      </c>
      <c r="N766" s="116">
        <v>506.8</v>
      </c>
      <c r="O766" s="116">
        <v>487.05</v>
      </c>
      <c r="P766" s="116">
        <v>488.15</v>
      </c>
      <c r="Q766" s="116">
        <v>501.85</v>
      </c>
      <c r="R766">
        <v>74950</v>
      </c>
    </row>
    <row r="767" spans="1:18" x14ac:dyDescent="0.25">
      <c r="A767" s="170">
        <v>46007</v>
      </c>
      <c r="B767" s="116">
        <v>513.35</v>
      </c>
      <c r="C767" s="116">
        <v>508.1</v>
      </c>
      <c r="D767" s="116">
        <v>493.8</v>
      </c>
      <c r="E767" s="116">
        <v>512.1</v>
      </c>
      <c r="F767" s="116">
        <v>508.1</v>
      </c>
      <c r="G767">
        <v>4113</v>
      </c>
      <c r="H767" s="116"/>
      <c r="I767" s="116"/>
      <c r="L767" s="170">
        <v>46007</v>
      </c>
      <c r="M767" s="116">
        <v>508</v>
      </c>
      <c r="N767" s="116">
        <v>514.75</v>
      </c>
      <c r="O767" s="116">
        <v>493.2</v>
      </c>
      <c r="P767" s="116">
        <v>501.85</v>
      </c>
      <c r="Q767" s="116">
        <v>508</v>
      </c>
      <c r="R767">
        <v>128606</v>
      </c>
    </row>
    <row r="768" spans="1:18" x14ac:dyDescent="0.25">
      <c r="A768" s="170">
        <v>46008</v>
      </c>
      <c r="B768" s="116">
        <v>507.9</v>
      </c>
      <c r="C768" s="116">
        <v>497.2</v>
      </c>
      <c r="D768" s="116">
        <v>493.4</v>
      </c>
      <c r="E768" s="116">
        <v>507.9</v>
      </c>
      <c r="F768" s="116">
        <v>497.2</v>
      </c>
      <c r="G768">
        <v>2615</v>
      </c>
      <c r="H768" s="116"/>
      <c r="I768" s="116"/>
      <c r="L768" s="170">
        <v>46008</v>
      </c>
      <c r="M768" s="116">
        <v>497.05</v>
      </c>
      <c r="N768" s="116">
        <v>505.6</v>
      </c>
      <c r="O768" s="116">
        <v>492.95</v>
      </c>
      <c r="P768" s="116">
        <v>505.5</v>
      </c>
      <c r="Q768" s="116">
        <v>497.05</v>
      </c>
      <c r="R768">
        <v>116743</v>
      </c>
    </row>
    <row r="769" spans="1:18" x14ac:dyDescent="0.25">
      <c r="A769" s="170">
        <v>46009</v>
      </c>
      <c r="B769" s="116">
        <v>511.5</v>
      </c>
      <c r="C769" s="116">
        <v>501.75</v>
      </c>
      <c r="D769" s="116">
        <v>485.5</v>
      </c>
      <c r="E769" s="116">
        <v>497.4</v>
      </c>
      <c r="F769" s="116">
        <v>501.75</v>
      </c>
      <c r="G769">
        <v>4968</v>
      </c>
      <c r="H769" s="116"/>
      <c r="I769" s="116"/>
      <c r="L769" s="170">
        <v>46009</v>
      </c>
      <c r="M769" s="116">
        <v>501.75</v>
      </c>
      <c r="N769" s="116">
        <v>520</v>
      </c>
      <c r="O769" s="116">
        <v>485.55</v>
      </c>
      <c r="P769" s="116">
        <v>497.9</v>
      </c>
      <c r="Q769" s="116">
        <v>501.75</v>
      </c>
      <c r="R769">
        <v>160583</v>
      </c>
    </row>
    <row r="770" spans="1:18" x14ac:dyDescent="0.25">
      <c r="A770" s="170">
        <v>46010</v>
      </c>
      <c r="B770" s="116">
        <v>519.45000000000005</v>
      </c>
      <c r="C770" s="116">
        <v>511.75</v>
      </c>
      <c r="D770" s="116">
        <v>497</v>
      </c>
      <c r="E770" s="116">
        <v>502.25</v>
      </c>
      <c r="F770" s="116">
        <v>511.75</v>
      </c>
      <c r="G770">
        <v>7514</v>
      </c>
      <c r="H770" s="116"/>
      <c r="I770" s="116"/>
      <c r="L770" s="170">
        <v>46010</v>
      </c>
      <c r="M770" s="116">
        <v>511.25</v>
      </c>
      <c r="N770" s="116">
        <v>519</v>
      </c>
      <c r="O770" s="116">
        <v>496.75</v>
      </c>
      <c r="P770" s="116">
        <v>503.95</v>
      </c>
      <c r="Q770" s="116">
        <v>511.25</v>
      </c>
      <c r="R770">
        <v>200496</v>
      </c>
    </row>
    <row r="771" spans="1:18" x14ac:dyDescent="0.25">
      <c r="A771" s="170">
        <v>46013</v>
      </c>
      <c r="B771" s="116">
        <v>523</v>
      </c>
      <c r="C771" s="116">
        <v>517.75</v>
      </c>
      <c r="D771" s="116">
        <v>508.35</v>
      </c>
      <c r="E771" s="116">
        <v>511.8</v>
      </c>
      <c r="F771" s="116">
        <v>517.75</v>
      </c>
      <c r="G771">
        <v>4145</v>
      </c>
      <c r="H771" s="116"/>
      <c r="I771" s="116"/>
      <c r="L771" s="170">
        <v>46013</v>
      </c>
      <c r="M771" s="116">
        <v>518.4</v>
      </c>
      <c r="N771" s="116">
        <v>523.85</v>
      </c>
      <c r="O771" s="116">
        <v>508.1</v>
      </c>
      <c r="P771" s="116">
        <v>511.25</v>
      </c>
      <c r="Q771" s="116">
        <v>518.4</v>
      </c>
      <c r="R771">
        <v>123708</v>
      </c>
    </row>
    <row r="772" spans="1:18" x14ac:dyDescent="0.25">
      <c r="A772" s="170">
        <v>46014</v>
      </c>
      <c r="B772" s="116">
        <v>521.20000000000005</v>
      </c>
      <c r="C772" s="116">
        <v>515.04999999999995</v>
      </c>
      <c r="D772" s="116">
        <v>512.65</v>
      </c>
      <c r="E772" s="116">
        <v>517.79999999999995</v>
      </c>
      <c r="F772" s="116">
        <v>515.04999999999995</v>
      </c>
      <c r="G772">
        <v>2069</v>
      </c>
      <c r="H772" s="116"/>
      <c r="I772" s="116"/>
      <c r="L772" s="170">
        <v>46014</v>
      </c>
      <c r="M772" s="116">
        <v>514.54999999999995</v>
      </c>
      <c r="N772" s="116">
        <v>521.9</v>
      </c>
      <c r="O772" s="116">
        <v>512.15</v>
      </c>
      <c r="P772" s="116">
        <v>521.1</v>
      </c>
      <c r="Q772" s="116">
        <v>514.54999999999995</v>
      </c>
      <c r="R772">
        <v>89409</v>
      </c>
    </row>
    <row r="773" spans="1:18" x14ac:dyDescent="0.25">
      <c r="A773" s="170">
        <v>46015</v>
      </c>
      <c r="B773" s="116">
        <v>526.45000000000005</v>
      </c>
      <c r="C773" s="116">
        <v>522.95000000000005</v>
      </c>
      <c r="D773" s="116">
        <v>512.1</v>
      </c>
      <c r="E773" s="116">
        <v>513.04999999999995</v>
      </c>
      <c r="F773" s="116">
        <v>522.95000000000005</v>
      </c>
      <c r="G773">
        <v>2208</v>
      </c>
      <c r="H773" s="116"/>
      <c r="I773" s="116"/>
      <c r="L773" s="170">
        <v>46015</v>
      </c>
      <c r="M773" s="116">
        <v>523.70000000000005</v>
      </c>
      <c r="N773" s="116">
        <v>526</v>
      </c>
      <c r="O773" s="116">
        <v>511.65</v>
      </c>
      <c r="P773" s="116">
        <v>515.95000000000005</v>
      </c>
      <c r="Q773" s="116">
        <v>523.70000000000005</v>
      </c>
      <c r="R773">
        <v>95763</v>
      </c>
    </row>
    <row r="774" spans="1:18" x14ac:dyDescent="0.25">
      <c r="A774" s="170">
        <v>46017</v>
      </c>
      <c r="B774" s="116">
        <v>543</v>
      </c>
      <c r="C774" s="116">
        <v>528.54999999999995</v>
      </c>
      <c r="D774" s="116">
        <v>519.9</v>
      </c>
      <c r="E774" s="116">
        <v>523</v>
      </c>
      <c r="F774" s="116">
        <v>528.54999999999995</v>
      </c>
      <c r="G774">
        <v>11377</v>
      </c>
      <c r="H774" s="116"/>
      <c r="I774" s="116"/>
      <c r="L774" s="170">
        <v>46017</v>
      </c>
      <c r="M774" s="116">
        <v>528.70000000000005</v>
      </c>
      <c r="N774" s="116">
        <v>543.9</v>
      </c>
      <c r="O774" s="116">
        <v>519</v>
      </c>
      <c r="P774" s="116">
        <v>523.6</v>
      </c>
      <c r="Q774" s="116">
        <v>528.70000000000005</v>
      </c>
      <c r="R774">
        <v>202376</v>
      </c>
    </row>
    <row r="775" spans="1:18" x14ac:dyDescent="0.25">
      <c r="A775" s="170">
        <v>46020</v>
      </c>
      <c r="B775" s="116">
        <v>538.54999999999995</v>
      </c>
      <c r="C775" s="116">
        <v>536.95000000000005</v>
      </c>
      <c r="D775" s="116">
        <v>525.1</v>
      </c>
      <c r="E775" s="116">
        <v>528.6</v>
      </c>
      <c r="F775" s="116">
        <v>536.95000000000005</v>
      </c>
      <c r="G775">
        <v>2376</v>
      </c>
      <c r="H775" s="116"/>
      <c r="I775" s="116"/>
      <c r="L775" s="170">
        <v>46020</v>
      </c>
      <c r="M775" s="116">
        <v>536.75</v>
      </c>
      <c r="N775" s="116">
        <v>538.29999999999995</v>
      </c>
      <c r="O775" s="116">
        <v>525.5</v>
      </c>
      <c r="P775" s="116">
        <v>529.85</v>
      </c>
      <c r="Q775" s="116">
        <v>536.75</v>
      </c>
      <c r="R775">
        <v>88908</v>
      </c>
    </row>
    <row r="776" spans="1:18" x14ac:dyDescent="0.25">
      <c r="A776" s="170">
        <v>46021</v>
      </c>
      <c r="B776" s="116">
        <v>555</v>
      </c>
      <c r="C776" s="116">
        <v>546.85</v>
      </c>
      <c r="D776" s="116">
        <v>531.65</v>
      </c>
      <c r="E776" s="116">
        <v>537</v>
      </c>
      <c r="F776" s="116">
        <v>546.85</v>
      </c>
      <c r="G776">
        <v>3833</v>
      </c>
      <c r="H776" s="116"/>
      <c r="I776" s="116"/>
      <c r="L776" s="170">
        <v>46021</v>
      </c>
      <c r="M776" s="116">
        <v>548.75</v>
      </c>
      <c r="N776" s="116">
        <v>555</v>
      </c>
      <c r="O776" s="116">
        <v>531</v>
      </c>
      <c r="P776" s="116">
        <v>540</v>
      </c>
      <c r="Q776" s="116">
        <v>548.75</v>
      </c>
      <c r="R776">
        <v>138223</v>
      </c>
    </row>
    <row r="777" spans="1:18" x14ac:dyDescent="0.25">
      <c r="A777" s="170">
        <v>46022</v>
      </c>
      <c r="B777" s="116">
        <v>563.15</v>
      </c>
      <c r="C777" s="116">
        <v>556.25</v>
      </c>
      <c r="D777" s="116">
        <v>543.95000000000005</v>
      </c>
      <c r="E777" s="116">
        <v>546.9</v>
      </c>
      <c r="F777" s="116">
        <v>556.25</v>
      </c>
      <c r="G777">
        <v>9845</v>
      </c>
      <c r="H777" s="116"/>
      <c r="I777" s="116"/>
      <c r="L777" s="170">
        <v>46022</v>
      </c>
      <c r="M777" s="116">
        <v>557.15</v>
      </c>
      <c r="N777" s="116">
        <v>560.1</v>
      </c>
      <c r="O777" s="116">
        <v>542.29999999999995</v>
      </c>
      <c r="P777" s="116">
        <v>551.45000000000005</v>
      </c>
      <c r="Q777" s="116">
        <v>557.15</v>
      </c>
      <c r="R777">
        <v>115055</v>
      </c>
    </row>
    <row r="778" spans="1:18" x14ac:dyDescent="0.25">
      <c r="A778" s="170">
        <v>46023</v>
      </c>
      <c r="B778" s="116">
        <v>558.95000000000005</v>
      </c>
      <c r="C778" s="116">
        <v>554</v>
      </c>
      <c r="D778" s="116">
        <v>548.29999999999995</v>
      </c>
      <c r="E778" s="116">
        <v>556.29999999999995</v>
      </c>
      <c r="F778" s="116">
        <v>554</v>
      </c>
      <c r="G778">
        <v>4075</v>
      </c>
      <c r="H778" s="116"/>
      <c r="I778" s="116"/>
      <c r="L778" s="170">
        <v>46023</v>
      </c>
      <c r="M778" s="116">
        <v>554</v>
      </c>
      <c r="N778" s="116">
        <v>560</v>
      </c>
      <c r="O778" s="116">
        <v>548.1</v>
      </c>
      <c r="P778" s="116">
        <v>560</v>
      </c>
      <c r="Q778" s="116">
        <v>554</v>
      </c>
      <c r="R778">
        <v>64622</v>
      </c>
    </row>
    <row r="779" spans="1:18" x14ac:dyDescent="0.25">
      <c r="A779" s="170">
        <v>46024</v>
      </c>
      <c r="B779" s="116">
        <v>566.4</v>
      </c>
      <c r="C779" s="116">
        <v>562.20000000000005</v>
      </c>
      <c r="D779" s="116">
        <v>550.04999999999995</v>
      </c>
      <c r="E779" s="116">
        <v>553.95000000000005</v>
      </c>
      <c r="F779" s="116">
        <v>562.20000000000005</v>
      </c>
      <c r="G779">
        <v>5313</v>
      </c>
      <c r="H779" s="116"/>
      <c r="I779" s="116"/>
      <c r="L779" s="170">
        <v>46024</v>
      </c>
      <c r="M779" s="116">
        <v>562.70000000000005</v>
      </c>
      <c r="N779" s="116">
        <v>566.65</v>
      </c>
      <c r="O779" s="116">
        <v>550.04999999999995</v>
      </c>
      <c r="P779" s="116">
        <v>550.29999999999995</v>
      </c>
      <c r="Q779" s="116">
        <v>562.70000000000005</v>
      </c>
      <c r="R779">
        <v>101450</v>
      </c>
    </row>
    <row r="780" spans="1:18" x14ac:dyDescent="0.25">
      <c r="A780" s="170">
        <v>46027</v>
      </c>
      <c r="B780" s="116">
        <v>577.5</v>
      </c>
      <c r="C780" s="116">
        <v>574</v>
      </c>
      <c r="D780" s="116">
        <v>555.4</v>
      </c>
      <c r="E780" s="116">
        <v>559.70000000000005</v>
      </c>
      <c r="F780" s="116">
        <v>574</v>
      </c>
      <c r="G780">
        <v>5239</v>
      </c>
      <c r="H780" s="116"/>
      <c r="I780" s="116"/>
      <c r="L780" s="170">
        <v>46027</v>
      </c>
      <c r="M780" s="116">
        <v>574.1</v>
      </c>
      <c r="N780" s="116">
        <v>578</v>
      </c>
      <c r="O780" s="116">
        <v>554.45000000000005</v>
      </c>
      <c r="P780" s="116">
        <v>565</v>
      </c>
      <c r="Q780" s="116">
        <v>574.1</v>
      </c>
      <c r="R780">
        <v>155775</v>
      </c>
    </row>
    <row r="781" spans="1:18" x14ac:dyDescent="0.25">
      <c r="A781" s="170">
        <v>46028</v>
      </c>
      <c r="B781" s="116">
        <v>572</v>
      </c>
      <c r="C781" s="116">
        <v>558.25</v>
      </c>
      <c r="D781" s="116">
        <v>554.6</v>
      </c>
      <c r="E781" s="116">
        <v>572</v>
      </c>
      <c r="F781" s="116">
        <v>558.25</v>
      </c>
      <c r="G781">
        <v>4540</v>
      </c>
      <c r="H781" s="116"/>
      <c r="I781" s="116"/>
      <c r="L781" s="170">
        <v>46028</v>
      </c>
      <c r="M781" s="116">
        <v>559.70000000000005</v>
      </c>
      <c r="N781" s="116">
        <v>575</v>
      </c>
      <c r="O781" s="116">
        <v>554</v>
      </c>
      <c r="P781" s="116">
        <v>574.79999999999995</v>
      </c>
      <c r="Q781" s="116">
        <v>559.70000000000005</v>
      </c>
      <c r="R781">
        <v>78243</v>
      </c>
    </row>
    <row r="782" spans="1:18" x14ac:dyDescent="0.25">
      <c r="A782" s="170">
        <v>46029</v>
      </c>
      <c r="B782" s="116">
        <v>553.95000000000005</v>
      </c>
      <c r="C782" s="116">
        <v>533.54999999999995</v>
      </c>
      <c r="D782" s="116">
        <v>531.29999999999995</v>
      </c>
      <c r="E782" s="116">
        <v>553.95000000000005</v>
      </c>
      <c r="F782" s="116">
        <v>533.54999999999995</v>
      </c>
      <c r="G782">
        <v>9259</v>
      </c>
      <c r="H782" s="116"/>
      <c r="I782" s="116"/>
      <c r="L782" s="170">
        <v>46029</v>
      </c>
      <c r="M782" s="116">
        <v>533.35</v>
      </c>
      <c r="N782" s="116">
        <v>553.1</v>
      </c>
      <c r="O782" s="116">
        <v>530.35</v>
      </c>
      <c r="P782" s="116">
        <v>553.1</v>
      </c>
      <c r="Q782" s="116">
        <v>533.35</v>
      </c>
      <c r="R782">
        <v>186925</v>
      </c>
    </row>
    <row r="783" spans="1:18" x14ac:dyDescent="0.25">
      <c r="A783" s="170">
        <v>46030</v>
      </c>
      <c r="B783" s="116">
        <v>532.35</v>
      </c>
      <c r="C783" s="116">
        <v>513.79999999999995</v>
      </c>
      <c r="D783" s="116">
        <v>510.75</v>
      </c>
      <c r="E783" s="116">
        <v>531.65</v>
      </c>
      <c r="F783" s="116">
        <v>513.79999999999995</v>
      </c>
      <c r="G783">
        <v>3242</v>
      </c>
      <c r="H783" s="116"/>
      <c r="I783" s="116"/>
      <c r="L783" s="170">
        <v>46030</v>
      </c>
      <c r="M783" s="116">
        <v>513.70000000000005</v>
      </c>
      <c r="N783" s="116">
        <v>532.45000000000005</v>
      </c>
      <c r="O783" s="116">
        <v>509.2</v>
      </c>
      <c r="P783" s="116">
        <v>532</v>
      </c>
      <c r="Q783" s="116">
        <v>513.70000000000005</v>
      </c>
      <c r="R783">
        <v>100721</v>
      </c>
    </row>
    <row r="784" spans="1:18" x14ac:dyDescent="0.25">
      <c r="A784" s="170">
        <v>46031</v>
      </c>
      <c r="B784" s="116">
        <v>522.5</v>
      </c>
      <c r="C784" s="116">
        <v>515.75</v>
      </c>
      <c r="D784" s="116">
        <v>511.75</v>
      </c>
      <c r="E784" s="116">
        <v>511.75</v>
      </c>
      <c r="F784" s="116">
        <v>515.75</v>
      </c>
      <c r="G784">
        <v>3626</v>
      </c>
      <c r="H784" s="116"/>
      <c r="I784" s="116"/>
      <c r="L784" s="170">
        <v>46031</v>
      </c>
      <c r="M784" s="116">
        <v>515.9</v>
      </c>
      <c r="N784" s="116">
        <v>522.95000000000005</v>
      </c>
      <c r="O784" s="116">
        <v>511.9</v>
      </c>
      <c r="P784" s="116">
        <v>513</v>
      </c>
      <c r="Q784" s="116">
        <v>515.9</v>
      </c>
      <c r="R784">
        <v>68126</v>
      </c>
    </row>
    <row r="785" spans="1:18" x14ac:dyDescent="0.25">
      <c r="A785" s="170">
        <v>46034</v>
      </c>
      <c r="B785" s="116">
        <v>517.54999999999995</v>
      </c>
      <c r="C785" s="116">
        <v>514.15</v>
      </c>
      <c r="D785" s="116">
        <v>502.5</v>
      </c>
      <c r="E785" s="116">
        <v>515.04999999999995</v>
      </c>
      <c r="F785" s="116">
        <v>514.15</v>
      </c>
      <c r="G785">
        <v>2507</v>
      </c>
      <c r="H785" s="116"/>
      <c r="I785" s="116"/>
      <c r="L785" s="170">
        <v>46034</v>
      </c>
      <c r="M785" s="116">
        <v>515.6</v>
      </c>
      <c r="N785" s="116">
        <v>519.6</v>
      </c>
      <c r="O785" s="116">
        <v>502.05</v>
      </c>
      <c r="P785" s="116">
        <v>515.85</v>
      </c>
      <c r="Q785" s="116">
        <v>515.6</v>
      </c>
      <c r="R785">
        <v>79834</v>
      </c>
    </row>
    <row r="786" spans="1:18" x14ac:dyDescent="0.25">
      <c r="A786" s="170">
        <v>46035</v>
      </c>
      <c r="B786" s="116">
        <v>517.29999999999995</v>
      </c>
      <c r="C786" s="116">
        <v>510.8</v>
      </c>
      <c r="D786" s="116">
        <v>506.5</v>
      </c>
      <c r="E786" s="116">
        <v>517</v>
      </c>
      <c r="F786" s="116">
        <v>510.8</v>
      </c>
      <c r="G786">
        <v>2226</v>
      </c>
      <c r="H786" s="116"/>
      <c r="I786" s="116"/>
      <c r="L786" s="170">
        <v>46035</v>
      </c>
      <c r="M786" s="116">
        <v>510.95</v>
      </c>
      <c r="N786" s="116">
        <v>525.20000000000005</v>
      </c>
      <c r="O786" s="116">
        <v>506</v>
      </c>
      <c r="P786" s="116">
        <v>515.6</v>
      </c>
      <c r="Q786" s="116">
        <v>510.95</v>
      </c>
      <c r="R786">
        <v>85804</v>
      </c>
    </row>
    <row r="787" spans="1:18" x14ac:dyDescent="0.25">
      <c r="A787" s="170">
        <v>46036</v>
      </c>
      <c r="B787" s="116">
        <v>515.75</v>
      </c>
      <c r="C787" s="116">
        <v>511.45</v>
      </c>
      <c r="D787" s="116">
        <v>508</v>
      </c>
      <c r="E787" s="116">
        <v>511.15</v>
      </c>
      <c r="F787" s="116">
        <v>511.45</v>
      </c>
      <c r="G787">
        <v>611</v>
      </c>
      <c r="H787" s="116"/>
      <c r="I787" s="116"/>
      <c r="L787" s="170">
        <v>46036</v>
      </c>
      <c r="M787" s="116">
        <v>510.5</v>
      </c>
      <c r="N787" s="116">
        <v>516.75</v>
      </c>
      <c r="O787" s="116">
        <v>508.05</v>
      </c>
      <c r="P787" s="116">
        <v>510</v>
      </c>
      <c r="Q787" s="116">
        <v>510.5</v>
      </c>
      <c r="R787">
        <v>58487</v>
      </c>
    </row>
    <row r="788" spans="1:18" x14ac:dyDescent="0.25">
      <c r="A788" s="170">
        <v>46038</v>
      </c>
      <c r="B788" s="116">
        <v>572.20000000000005</v>
      </c>
      <c r="C788" s="116">
        <v>548.54999999999995</v>
      </c>
      <c r="D788" s="116">
        <v>507.3</v>
      </c>
      <c r="E788" s="116">
        <v>510.5</v>
      </c>
      <c r="F788" s="116">
        <v>548.54999999999995</v>
      </c>
      <c r="G788">
        <v>11102</v>
      </c>
      <c r="H788" s="116"/>
      <c r="I788" s="116"/>
      <c r="L788" s="170">
        <v>46038</v>
      </c>
      <c r="M788" s="116">
        <v>546.29999999999995</v>
      </c>
      <c r="N788" s="116">
        <v>570.9</v>
      </c>
      <c r="O788" s="116">
        <v>505.05</v>
      </c>
      <c r="P788" s="116">
        <v>512</v>
      </c>
      <c r="Q788" s="116">
        <v>546.29999999999995</v>
      </c>
      <c r="R788">
        <v>326148</v>
      </c>
    </row>
    <row r="789" spans="1:18" x14ac:dyDescent="0.25">
      <c r="A789" s="170">
        <v>46041</v>
      </c>
      <c r="B789" s="116">
        <v>554.70000000000005</v>
      </c>
      <c r="C789" s="116">
        <v>545.1</v>
      </c>
      <c r="D789" s="116">
        <v>532.5</v>
      </c>
      <c r="E789" s="116">
        <v>545</v>
      </c>
      <c r="F789" s="116">
        <v>545.1</v>
      </c>
      <c r="G789">
        <v>3663</v>
      </c>
      <c r="H789" s="116"/>
      <c r="I789" s="116"/>
      <c r="L789" s="170">
        <v>46041</v>
      </c>
      <c r="M789" s="116">
        <v>545.20000000000005</v>
      </c>
      <c r="N789" s="116">
        <v>554.25</v>
      </c>
      <c r="O789" s="116">
        <v>532.1</v>
      </c>
      <c r="P789" s="116">
        <v>544</v>
      </c>
      <c r="Q789" s="116">
        <v>545.20000000000005</v>
      </c>
      <c r="R789">
        <v>144264</v>
      </c>
    </row>
    <row r="790" spans="1:18" x14ac:dyDescent="0.25">
      <c r="A790" s="170">
        <v>46042</v>
      </c>
      <c r="B790" s="116">
        <v>541.79999999999995</v>
      </c>
      <c r="C790" s="116">
        <v>532</v>
      </c>
      <c r="D790" s="116">
        <v>518</v>
      </c>
      <c r="E790" s="116">
        <v>538.04999999999995</v>
      </c>
      <c r="F790" s="116">
        <v>532</v>
      </c>
      <c r="G790">
        <v>5907</v>
      </c>
      <c r="H790" s="116"/>
      <c r="I790" s="116"/>
      <c r="L790" s="170">
        <v>46042</v>
      </c>
      <c r="M790" s="116">
        <v>535.1</v>
      </c>
      <c r="N790" s="116">
        <v>542.75</v>
      </c>
      <c r="O790" s="116">
        <v>516</v>
      </c>
      <c r="P790" s="116">
        <v>540</v>
      </c>
      <c r="Q790" s="116">
        <v>535.1</v>
      </c>
      <c r="R790">
        <v>208695</v>
      </c>
    </row>
    <row r="791" spans="1:18" x14ac:dyDescent="0.25">
      <c r="A791" s="170">
        <v>46043</v>
      </c>
      <c r="B791" s="116">
        <v>546.79999999999995</v>
      </c>
      <c r="C791" s="116">
        <v>536.79999999999995</v>
      </c>
      <c r="D791" s="116">
        <v>517.45000000000005</v>
      </c>
      <c r="E791" s="116">
        <v>519</v>
      </c>
      <c r="F791" s="116">
        <v>536.79999999999995</v>
      </c>
      <c r="G791">
        <v>13635</v>
      </c>
      <c r="H791" s="116"/>
      <c r="I791" s="116"/>
      <c r="L791" s="170">
        <v>46043</v>
      </c>
      <c r="M791" s="116">
        <v>534.25</v>
      </c>
      <c r="N791" s="116">
        <v>549</v>
      </c>
      <c r="O791" s="116">
        <v>517.29999999999995</v>
      </c>
      <c r="P791" s="116">
        <v>525</v>
      </c>
      <c r="Q791" s="116">
        <v>534.25</v>
      </c>
      <c r="R791">
        <v>190036</v>
      </c>
    </row>
    <row r="792" spans="1:18" x14ac:dyDescent="0.25">
      <c r="A792" s="170">
        <v>46044</v>
      </c>
      <c r="B792" s="116">
        <v>550.6</v>
      </c>
      <c r="C792" s="116">
        <v>547</v>
      </c>
      <c r="D792" s="116">
        <v>535.70000000000005</v>
      </c>
      <c r="E792" s="116">
        <v>536.79999999999995</v>
      </c>
      <c r="F792" s="116">
        <v>547</v>
      </c>
      <c r="G792">
        <v>4719</v>
      </c>
      <c r="H792" s="116"/>
      <c r="I792" s="116"/>
      <c r="L792" s="170">
        <v>46044</v>
      </c>
      <c r="M792" s="116">
        <v>548.35</v>
      </c>
      <c r="N792" s="116">
        <v>552</v>
      </c>
      <c r="O792" s="116">
        <v>534.25</v>
      </c>
      <c r="P792" s="116">
        <v>534.25</v>
      </c>
      <c r="Q792" s="116">
        <v>548.35</v>
      </c>
      <c r="R792">
        <v>68741</v>
      </c>
    </row>
    <row r="793" spans="1:18" x14ac:dyDescent="0.25">
      <c r="A793" s="170">
        <v>46045</v>
      </c>
      <c r="B793" s="116">
        <v>557.20000000000005</v>
      </c>
      <c r="C793" s="116">
        <v>552.4</v>
      </c>
      <c r="D793" s="116">
        <v>537.04999999999995</v>
      </c>
      <c r="E793" s="116">
        <v>549</v>
      </c>
      <c r="F793" s="116">
        <v>552.4</v>
      </c>
      <c r="G793">
        <v>2824</v>
      </c>
      <c r="H793" s="116"/>
      <c r="I793" s="116"/>
      <c r="L793" s="170">
        <v>46045</v>
      </c>
      <c r="M793" s="116">
        <v>552.79999999999995</v>
      </c>
      <c r="N793" s="116">
        <v>559</v>
      </c>
      <c r="O793" s="116">
        <v>536.85</v>
      </c>
      <c r="P793" s="116">
        <v>552.95000000000005</v>
      </c>
      <c r="Q793" s="116">
        <v>552.79999999999995</v>
      </c>
      <c r="R793">
        <v>102826</v>
      </c>
    </row>
    <row r="794" spans="1:18" x14ac:dyDescent="0.25">
      <c r="A794" s="170">
        <v>46049</v>
      </c>
      <c r="B794" s="116">
        <v>574</v>
      </c>
      <c r="C794" s="116">
        <v>569.54999999999995</v>
      </c>
      <c r="D794" s="116">
        <v>543.29999999999995</v>
      </c>
      <c r="E794" s="116">
        <v>552.35</v>
      </c>
      <c r="F794" s="116">
        <v>569.54999999999995</v>
      </c>
      <c r="G794">
        <v>6681</v>
      </c>
      <c r="H794" s="116"/>
      <c r="I794" s="116"/>
      <c r="L794" s="170">
        <v>46049</v>
      </c>
      <c r="M794" s="116">
        <v>568.6</v>
      </c>
      <c r="N794" s="116">
        <v>574</v>
      </c>
      <c r="O794" s="116">
        <v>544</v>
      </c>
      <c r="P794" s="116">
        <v>553</v>
      </c>
      <c r="Q794" s="116">
        <v>568.6</v>
      </c>
      <c r="R794">
        <v>209737</v>
      </c>
    </row>
    <row r="795" spans="1:18" x14ac:dyDescent="0.25">
      <c r="A795" s="170">
        <v>46050</v>
      </c>
      <c r="B795" s="116">
        <v>571.15</v>
      </c>
      <c r="C795" s="116">
        <v>564.70000000000005</v>
      </c>
      <c r="D795" s="116">
        <v>556.5</v>
      </c>
      <c r="E795" s="116">
        <v>565.29999999999995</v>
      </c>
      <c r="F795" s="116">
        <v>564.70000000000005</v>
      </c>
      <c r="G795">
        <v>4577</v>
      </c>
      <c r="H795" s="116"/>
      <c r="I795" s="116"/>
      <c r="L795" s="170">
        <v>46050</v>
      </c>
      <c r="M795" s="116">
        <v>564.95000000000005</v>
      </c>
      <c r="N795" s="116">
        <v>571.6</v>
      </c>
      <c r="O795" s="116">
        <v>556</v>
      </c>
      <c r="P795" s="116">
        <v>569</v>
      </c>
      <c r="Q795" s="116">
        <v>564.95000000000005</v>
      </c>
      <c r="R795">
        <v>147640</v>
      </c>
    </row>
    <row r="796" spans="1:18" x14ac:dyDescent="0.25">
      <c r="A796" s="170">
        <v>46051</v>
      </c>
      <c r="B796" s="116">
        <v>573.5</v>
      </c>
      <c r="C796" s="116">
        <v>564.35</v>
      </c>
      <c r="D796" s="116">
        <v>552</v>
      </c>
      <c r="E796" s="116">
        <v>565</v>
      </c>
      <c r="F796" s="116">
        <v>564.35</v>
      </c>
      <c r="G796">
        <v>2750</v>
      </c>
      <c r="H796" s="116"/>
      <c r="I796" s="116"/>
      <c r="L796" s="170">
        <v>46051</v>
      </c>
      <c r="M796" s="116">
        <v>564</v>
      </c>
      <c r="N796" s="116">
        <v>573</v>
      </c>
      <c r="O796" s="116">
        <v>551.54999999999995</v>
      </c>
      <c r="P796" s="116">
        <v>565</v>
      </c>
      <c r="Q796" s="116">
        <v>564</v>
      </c>
      <c r="R796">
        <v>100319</v>
      </c>
    </row>
    <row r="797" spans="1:18" x14ac:dyDescent="0.25">
      <c r="A797" s="170">
        <v>46052</v>
      </c>
      <c r="B797" s="116">
        <v>571.45000000000005</v>
      </c>
      <c r="C797" s="116">
        <v>565.29999999999995</v>
      </c>
      <c r="D797" s="116">
        <v>547.25</v>
      </c>
      <c r="E797" s="116">
        <v>555.5</v>
      </c>
      <c r="F797" s="116">
        <v>565.29999999999995</v>
      </c>
      <c r="G797">
        <v>3435</v>
      </c>
      <c r="H797" s="116"/>
      <c r="I797" s="116"/>
      <c r="L797" s="170">
        <v>46052</v>
      </c>
      <c r="M797" s="116">
        <v>566.04999999999995</v>
      </c>
      <c r="N797" s="116">
        <v>571.9</v>
      </c>
      <c r="O797" s="116">
        <v>547.1</v>
      </c>
      <c r="P797" s="116">
        <v>555.54999999999995</v>
      </c>
      <c r="Q797" s="116">
        <v>566.04999999999995</v>
      </c>
      <c r="R797">
        <v>122440</v>
      </c>
    </row>
    <row r="798" spans="1:18" x14ac:dyDescent="0.25">
      <c r="A798" s="170">
        <v>46054</v>
      </c>
      <c r="B798" s="116">
        <v>592</v>
      </c>
      <c r="C798" s="116">
        <v>587.75</v>
      </c>
      <c r="D798" s="116">
        <v>550.70000000000005</v>
      </c>
      <c r="E798" s="116">
        <v>550.70000000000005</v>
      </c>
      <c r="F798" s="116">
        <v>587.75</v>
      </c>
      <c r="G798">
        <v>10230</v>
      </c>
      <c r="H798" s="116"/>
      <c r="I798" s="116"/>
      <c r="L798" s="170">
        <v>46054</v>
      </c>
      <c r="M798" s="116">
        <v>587.95000000000005</v>
      </c>
      <c r="N798" s="116">
        <v>592</v>
      </c>
      <c r="O798" s="116">
        <v>555.29999999999995</v>
      </c>
      <c r="P798" s="116">
        <v>566.04999999999995</v>
      </c>
      <c r="Q798" s="116">
        <v>587.95000000000005</v>
      </c>
      <c r="R798">
        <v>159163</v>
      </c>
    </row>
    <row r="799" spans="1:18" x14ac:dyDescent="0.25">
      <c r="A799" s="170">
        <v>46055</v>
      </c>
      <c r="B799" s="116">
        <v>583</v>
      </c>
      <c r="C799" s="116">
        <v>571.5</v>
      </c>
      <c r="D799" s="116">
        <v>563.54999999999995</v>
      </c>
      <c r="E799" s="116">
        <v>583</v>
      </c>
      <c r="F799" s="116">
        <v>571.5</v>
      </c>
      <c r="G799">
        <v>4031</v>
      </c>
      <c r="H799" s="116"/>
      <c r="I799" s="116"/>
      <c r="L799" s="170">
        <v>46055</v>
      </c>
      <c r="M799" s="116">
        <v>571.85</v>
      </c>
      <c r="N799" s="116">
        <v>584.45000000000005</v>
      </c>
      <c r="O799" s="116">
        <v>563.29999999999995</v>
      </c>
      <c r="P799" s="116">
        <v>580</v>
      </c>
      <c r="Q799" s="116">
        <v>571.85</v>
      </c>
      <c r="R799">
        <v>165677</v>
      </c>
    </row>
    <row r="800" spans="1:18" x14ac:dyDescent="0.25">
      <c r="A800" s="170">
        <v>46056</v>
      </c>
      <c r="B800" s="116">
        <v>586.85</v>
      </c>
      <c r="C800" s="116">
        <v>585.1</v>
      </c>
      <c r="D800" s="116">
        <v>567.45000000000005</v>
      </c>
      <c r="E800" s="116">
        <v>579</v>
      </c>
      <c r="F800" s="116">
        <v>585.1</v>
      </c>
      <c r="G800">
        <v>2264</v>
      </c>
      <c r="H800" s="116"/>
      <c r="I800" s="116"/>
      <c r="L800" s="170">
        <v>46056</v>
      </c>
      <c r="M800" s="116">
        <v>584.95000000000005</v>
      </c>
      <c r="N800" s="116">
        <v>587.6</v>
      </c>
      <c r="O800" s="116">
        <v>566.79999999999995</v>
      </c>
      <c r="P800" s="116">
        <v>580</v>
      </c>
      <c r="Q800" s="116">
        <v>584.95000000000005</v>
      </c>
      <c r="R800">
        <v>136242</v>
      </c>
    </row>
    <row r="801" spans="1:18" x14ac:dyDescent="0.25">
      <c r="A801" s="170">
        <v>46057</v>
      </c>
      <c r="B801" s="116">
        <v>597</v>
      </c>
      <c r="C801" s="116">
        <v>592.29999999999995</v>
      </c>
      <c r="D801" s="116">
        <v>576</v>
      </c>
      <c r="E801" s="116">
        <v>585.20000000000005</v>
      </c>
      <c r="F801" s="116">
        <v>592.29999999999995</v>
      </c>
      <c r="G801">
        <v>2850</v>
      </c>
      <c r="H801" s="116"/>
      <c r="I801" s="116"/>
      <c r="L801" s="170">
        <v>46057</v>
      </c>
      <c r="M801" s="116">
        <v>592.25</v>
      </c>
      <c r="N801" s="116">
        <v>596.04999999999995</v>
      </c>
      <c r="O801" s="116">
        <v>575.35</v>
      </c>
      <c r="P801" s="116">
        <v>586.75</v>
      </c>
      <c r="Q801" s="116">
        <v>592.25</v>
      </c>
      <c r="R801">
        <v>138761</v>
      </c>
    </row>
    <row r="802" spans="1:18" x14ac:dyDescent="0.25">
      <c r="A802" s="170">
        <v>46058</v>
      </c>
      <c r="B802" s="116">
        <v>603.04999999999995</v>
      </c>
      <c r="C802" s="116">
        <v>593.29999999999995</v>
      </c>
      <c r="D802" s="116">
        <v>539.45000000000005</v>
      </c>
      <c r="E802" s="116">
        <v>572.15</v>
      </c>
      <c r="F802" s="116">
        <v>593.29999999999995</v>
      </c>
      <c r="G802">
        <v>20130</v>
      </c>
      <c r="H802" s="116"/>
      <c r="I802" s="116"/>
      <c r="L802" s="170">
        <v>46058</v>
      </c>
      <c r="M802" s="116">
        <v>596.15</v>
      </c>
      <c r="N802" s="116">
        <v>603.85</v>
      </c>
      <c r="O802" s="116">
        <v>540</v>
      </c>
      <c r="P802" s="116">
        <v>570</v>
      </c>
      <c r="Q802" s="116">
        <v>596.15</v>
      </c>
      <c r="R802">
        <v>562565</v>
      </c>
    </row>
    <row r="803" spans="1:18" x14ac:dyDescent="0.25">
      <c r="A803" s="170">
        <v>46059</v>
      </c>
      <c r="B803" s="116">
        <v>593.4</v>
      </c>
      <c r="C803" s="116">
        <v>581.4</v>
      </c>
      <c r="D803" s="116">
        <v>572.4</v>
      </c>
      <c r="E803" s="116">
        <v>593.4</v>
      </c>
      <c r="F803" s="116">
        <v>581.4</v>
      </c>
      <c r="G803">
        <v>4557</v>
      </c>
      <c r="H803" s="116"/>
      <c r="I803" s="116"/>
      <c r="L803" s="170">
        <v>46059</v>
      </c>
      <c r="M803" s="116">
        <v>580.20000000000005</v>
      </c>
      <c r="N803" s="116">
        <v>595</v>
      </c>
      <c r="O803" s="116">
        <v>571</v>
      </c>
      <c r="P803" s="116">
        <v>595</v>
      </c>
      <c r="Q803" s="116">
        <v>580.20000000000005</v>
      </c>
      <c r="R803">
        <v>131455</v>
      </c>
    </row>
    <row r="804" spans="1:18" x14ac:dyDescent="0.25">
      <c r="A804" s="170">
        <v>46062</v>
      </c>
      <c r="B804" s="116">
        <v>580</v>
      </c>
      <c r="C804" s="116">
        <v>572.54999999999995</v>
      </c>
      <c r="D804" s="116">
        <v>565</v>
      </c>
      <c r="E804" s="116">
        <v>580</v>
      </c>
      <c r="F804" s="116">
        <v>572.54999999999995</v>
      </c>
      <c r="G804">
        <v>3138</v>
      </c>
      <c r="H804" s="116"/>
      <c r="I804" s="116"/>
      <c r="L804" s="170">
        <v>46062</v>
      </c>
      <c r="M804" s="116">
        <v>571.25</v>
      </c>
      <c r="N804" s="116">
        <v>580.20000000000005</v>
      </c>
      <c r="O804" s="116">
        <v>565</v>
      </c>
      <c r="P804" s="116">
        <v>580.20000000000005</v>
      </c>
      <c r="Q804" s="116">
        <v>571.25</v>
      </c>
      <c r="R804">
        <v>132700</v>
      </c>
    </row>
    <row r="805" spans="1:18" x14ac:dyDescent="0.25">
      <c r="A805" s="170">
        <v>46063</v>
      </c>
      <c r="B805" s="116">
        <v>574.54999999999995</v>
      </c>
      <c r="C805" s="116">
        <v>569.65</v>
      </c>
      <c r="D805" s="116">
        <v>567.29999999999995</v>
      </c>
      <c r="E805" s="116">
        <v>569</v>
      </c>
      <c r="F805" s="116">
        <v>569.65</v>
      </c>
      <c r="G805">
        <v>1324</v>
      </c>
      <c r="H805" s="116"/>
      <c r="I805" s="116"/>
      <c r="L805" s="170">
        <v>46063</v>
      </c>
      <c r="M805" s="116">
        <v>569.29999999999995</v>
      </c>
      <c r="N805" s="116">
        <v>574.70000000000005</v>
      </c>
      <c r="O805" s="116">
        <v>566.25</v>
      </c>
      <c r="P805" s="116">
        <v>568.5</v>
      </c>
      <c r="Q805" s="116">
        <v>569.29999999999995</v>
      </c>
      <c r="R805">
        <v>58605</v>
      </c>
    </row>
    <row r="806" spans="1:18" x14ac:dyDescent="0.25">
      <c r="A806" s="170">
        <v>46064</v>
      </c>
      <c r="B806" s="116">
        <v>604.4</v>
      </c>
      <c r="C806" s="116">
        <v>594.29999999999995</v>
      </c>
      <c r="D806" s="116">
        <v>560.15</v>
      </c>
      <c r="E806" s="116">
        <v>565.70000000000005</v>
      </c>
      <c r="F806" s="116">
        <v>594.29999999999995</v>
      </c>
      <c r="G806">
        <v>8480</v>
      </c>
      <c r="H806" s="116"/>
      <c r="I806" s="116"/>
      <c r="L806" s="170">
        <v>46064</v>
      </c>
      <c r="M806" s="116">
        <v>594.65</v>
      </c>
      <c r="N806" s="116">
        <v>604.75</v>
      </c>
      <c r="O806" s="116">
        <v>560</v>
      </c>
      <c r="P806" s="116">
        <v>569.29999999999995</v>
      </c>
      <c r="Q806" s="116">
        <v>594.65</v>
      </c>
      <c r="R806">
        <v>223013</v>
      </c>
    </row>
    <row r="807" spans="1:18" x14ac:dyDescent="0.25">
      <c r="A807" s="170">
        <v>46065</v>
      </c>
      <c r="B807" s="116">
        <v>589.5</v>
      </c>
      <c r="C807" s="116">
        <v>580.5</v>
      </c>
      <c r="D807" s="116">
        <v>577.15</v>
      </c>
      <c r="E807" s="116">
        <v>589.04999999999995</v>
      </c>
      <c r="F807" s="116">
        <v>580.5</v>
      </c>
      <c r="G807">
        <v>305329</v>
      </c>
      <c r="H807" s="116"/>
      <c r="I807" s="116"/>
      <c r="L807" s="170">
        <v>46065</v>
      </c>
      <c r="M807" s="116">
        <v>581.5</v>
      </c>
      <c r="N807" s="116">
        <v>594.6</v>
      </c>
      <c r="O807" s="116">
        <v>576.6</v>
      </c>
      <c r="P807" s="116">
        <v>594.6</v>
      </c>
      <c r="Q807" s="116">
        <v>581.5</v>
      </c>
      <c r="R807">
        <v>142950</v>
      </c>
    </row>
    <row r="808" spans="1:18" x14ac:dyDescent="0.25">
      <c r="A808" s="170">
        <v>46066</v>
      </c>
      <c r="B808" s="116">
        <v>578.54999999999995</v>
      </c>
      <c r="C808" s="116">
        <v>569.15</v>
      </c>
      <c r="D808" s="116">
        <v>567</v>
      </c>
      <c r="E808" s="116">
        <v>570</v>
      </c>
      <c r="F808" s="116">
        <v>569.15</v>
      </c>
      <c r="G808">
        <v>3608</v>
      </c>
      <c r="H808" s="116"/>
      <c r="I808" s="116"/>
      <c r="L808" s="170">
        <v>46066</v>
      </c>
      <c r="M808" s="116">
        <v>569</v>
      </c>
      <c r="N808" s="116">
        <v>579.79999999999995</v>
      </c>
      <c r="O808" s="116">
        <v>566</v>
      </c>
      <c r="P808" s="116">
        <v>575</v>
      </c>
      <c r="Q808" s="116">
        <v>569</v>
      </c>
      <c r="R808">
        <v>66084</v>
      </c>
    </row>
    <row r="809" spans="1:18" x14ac:dyDescent="0.25">
      <c r="A809" s="170">
        <v>46069</v>
      </c>
      <c r="B809" s="116">
        <v>580.29999999999995</v>
      </c>
      <c r="C809" s="116">
        <v>576.15</v>
      </c>
      <c r="D809" s="116">
        <v>558.1</v>
      </c>
      <c r="E809" s="116">
        <v>561.35</v>
      </c>
      <c r="F809" s="116">
        <v>576.15</v>
      </c>
      <c r="G809">
        <v>2571</v>
      </c>
      <c r="H809" s="116"/>
      <c r="I809" s="116"/>
      <c r="L809" s="170">
        <v>46069</v>
      </c>
      <c r="M809" s="116">
        <v>575.75</v>
      </c>
      <c r="N809" s="116">
        <v>581.79999999999995</v>
      </c>
      <c r="O809" s="116">
        <v>557.04999999999995</v>
      </c>
      <c r="P809" s="116">
        <v>563.29999999999995</v>
      </c>
      <c r="Q809" s="116">
        <v>575.75</v>
      </c>
      <c r="R809">
        <v>99067</v>
      </c>
    </row>
    <row r="810" spans="1:18" x14ac:dyDescent="0.25">
      <c r="A810" s="170">
        <v>46070</v>
      </c>
      <c r="B810" s="116">
        <v>579.9</v>
      </c>
      <c r="C810" s="116">
        <v>570.95000000000005</v>
      </c>
      <c r="D810" s="116">
        <v>569</v>
      </c>
      <c r="E810" s="116">
        <v>569</v>
      </c>
      <c r="F810" s="116">
        <v>570.95000000000005</v>
      </c>
      <c r="G810">
        <v>1094</v>
      </c>
      <c r="H810" s="116"/>
      <c r="I810" s="116"/>
      <c r="L810" s="170">
        <v>46070</v>
      </c>
      <c r="M810" s="116">
        <v>569.85</v>
      </c>
      <c r="N810" s="116">
        <v>580</v>
      </c>
      <c r="O810" s="116">
        <v>568.20000000000005</v>
      </c>
      <c r="P810" s="116">
        <v>575.79999999999995</v>
      </c>
      <c r="Q810" s="116">
        <v>569.85</v>
      </c>
      <c r="R810">
        <v>69219</v>
      </c>
    </row>
    <row r="811" spans="1:18" x14ac:dyDescent="0.25">
      <c r="A811" s="170">
        <v>46071</v>
      </c>
      <c r="B811" s="116">
        <v>573.54999999999995</v>
      </c>
      <c r="C811" s="116">
        <v>565.04999999999995</v>
      </c>
      <c r="D811" s="116">
        <v>562.5</v>
      </c>
      <c r="E811" s="116">
        <v>570</v>
      </c>
      <c r="F811" s="116">
        <v>565.04999999999995</v>
      </c>
      <c r="G811">
        <v>1562</v>
      </c>
      <c r="H811" s="116"/>
      <c r="I811" s="116"/>
      <c r="L811" s="170">
        <v>46071</v>
      </c>
      <c r="M811" s="116">
        <v>565.4</v>
      </c>
      <c r="N811" s="116">
        <v>573</v>
      </c>
      <c r="O811" s="116">
        <v>562</v>
      </c>
      <c r="P811" s="116">
        <v>566.1</v>
      </c>
      <c r="Q811" s="116">
        <v>565.4</v>
      </c>
      <c r="R811">
        <v>64239</v>
      </c>
    </row>
    <row r="812" spans="1:18" x14ac:dyDescent="0.25">
      <c r="A812" s="170">
        <v>46072</v>
      </c>
      <c r="B812" s="116">
        <v>582</v>
      </c>
      <c r="C812" s="116">
        <v>566.65</v>
      </c>
      <c r="D812" s="116">
        <v>562.4</v>
      </c>
      <c r="E812" s="116">
        <v>565.1</v>
      </c>
      <c r="F812" s="116">
        <v>566.65</v>
      </c>
      <c r="G812">
        <v>2240</v>
      </c>
      <c r="H812" s="116"/>
      <c r="I812" s="116"/>
      <c r="L812" s="170">
        <v>46072</v>
      </c>
      <c r="M812" s="116">
        <v>566.6</v>
      </c>
      <c r="N812" s="116">
        <v>582.25</v>
      </c>
      <c r="O812" s="116">
        <v>562.1</v>
      </c>
      <c r="P812" s="116">
        <v>567.9</v>
      </c>
      <c r="Q812" s="116">
        <v>566.6</v>
      </c>
      <c r="R812">
        <v>113788</v>
      </c>
    </row>
    <row r="813" spans="1:18" x14ac:dyDescent="0.25">
      <c r="A813" s="170">
        <v>46073</v>
      </c>
      <c r="B813" s="116">
        <v>566.70000000000005</v>
      </c>
      <c r="C813" s="116">
        <v>561.6</v>
      </c>
      <c r="D813" s="116">
        <v>558.9</v>
      </c>
      <c r="E813" s="116">
        <v>566.70000000000005</v>
      </c>
      <c r="F813" s="116">
        <v>561.6</v>
      </c>
      <c r="G813">
        <v>827</v>
      </c>
      <c r="H813" s="116"/>
      <c r="I813" s="116"/>
      <c r="L813" s="170">
        <v>46073</v>
      </c>
      <c r="M813" s="116">
        <v>559.79999999999995</v>
      </c>
      <c r="N813" s="116">
        <v>566.15</v>
      </c>
      <c r="O813" s="116">
        <v>557.5</v>
      </c>
      <c r="P813" s="116">
        <v>561.4</v>
      </c>
      <c r="Q813" s="116">
        <v>559.79999999999995</v>
      </c>
      <c r="R813">
        <v>56437</v>
      </c>
    </row>
    <row r="814" spans="1:18" x14ac:dyDescent="0.25">
      <c r="A814" s="170">
        <v>46076</v>
      </c>
      <c r="B814" s="116">
        <v>568.75</v>
      </c>
      <c r="C814" s="116">
        <v>562.5</v>
      </c>
      <c r="D814" s="116">
        <v>558.6</v>
      </c>
      <c r="E814" s="116">
        <v>561.70000000000005</v>
      </c>
      <c r="F814" s="116">
        <v>562.5</v>
      </c>
      <c r="G814">
        <v>3646</v>
      </c>
      <c r="H814" s="116"/>
      <c r="I814" s="116"/>
      <c r="L814" s="170">
        <v>46076</v>
      </c>
      <c r="M814" s="116">
        <v>564</v>
      </c>
      <c r="N814" s="116">
        <v>569.1</v>
      </c>
      <c r="O814" s="116">
        <v>557.29999999999995</v>
      </c>
      <c r="P814" s="116">
        <v>564.29999999999995</v>
      </c>
      <c r="Q814" s="116">
        <v>564</v>
      </c>
      <c r="R814">
        <v>60740</v>
      </c>
    </row>
    <row r="815" spans="1:18" x14ac:dyDescent="0.25">
      <c r="A815" s="170">
        <v>46077</v>
      </c>
      <c r="B815" s="116">
        <v>579.65</v>
      </c>
      <c r="C815" s="116">
        <v>574.75</v>
      </c>
      <c r="D815" s="116">
        <v>548</v>
      </c>
      <c r="E815" s="116">
        <v>555.95000000000005</v>
      </c>
      <c r="F815" s="116">
        <v>574.75</v>
      </c>
      <c r="G815">
        <v>3731</v>
      </c>
      <c r="H815" s="116"/>
      <c r="I815" s="116"/>
      <c r="L815" s="170">
        <v>46077</v>
      </c>
      <c r="M815" s="116">
        <v>574.75</v>
      </c>
      <c r="N815" s="116">
        <v>580</v>
      </c>
      <c r="O815" s="116">
        <v>547.54999999999995</v>
      </c>
      <c r="P815" s="116">
        <v>559</v>
      </c>
      <c r="Q815" s="116">
        <v>574.75</v>
      </c>
      <c r="R815">
        <v>126671</v>
      </c>
    </row>
    <row r="816" spans="1:18" x14ac:dyDescent="0.25">
      <c r="A816" s="170">
        <v>46078</v>
      </c>
      <c r="B816" s="116">
        <v>592.5</v>
      </c>
      <c r="C816" s="116">
        <v>589.5</v>
      </c>
      <c r="D816" s="116">
        <v>566.79999999999995</v>
      </c>
      <c r="E816" s="116">
        <v>579.85</v>
      </c>
      <c r="F816" s="116">
        <v>589.5</v>
      </c>
      <c r="G816">
        <v>2385</v>
      </c>
      <c r="H816" s="116"/>
      <c r="I816" s="116"/>
      <c r="L816" s="170">
        <v>46078</v>
      </c>
      <c r="M816" s="116">
        <v>590.15</v>
      </c>
      <c r="N816" s="116">
        <v>593.04999999999995</v>
      </c>
      <c r="O816" s="116">
        <v>565.79999999999995</v>
      </c>
      <c r="P816" s="116">
        <v>579.04999999999995</v>
      </c>
      <c r="Q816" s="116">
        <v>590.15</v>
      </c>
      <c r="R816">
        <v>121531</v>
      </c>
    </row>
    <row r="817" spans="1:18" x14ac:dyDescent="0.25">
      <c r="A817" s="170">
        <v>46079</v>
      </c>
      <c r="B817" s="116">
        <v>600</v>
      </c>
      <c r="C817" s="116">
        <v>596.29999999999995</v>
      </c>
      <c r="D817" s="116">
        <v>579</v>
      </c>
      <c r="E817" s="116">
        <v>590.95000000000005</v>
      </c>
      <c r="F817" s="116">
        <v>596.29999999999995</v>
      </c>
      <c r="G817">
        <v>4318</v>
      </c>
      <c r="H817" s="116"/>
      <c r="I817" s="116"/>
      <c r="L817" s="170">
        <v>46079</v>
      </c>
      <c r="M817" s="116">
        <v>596</v>
      </c>
      <c r="N817" s="116">
        <v>599</v>
      </c>
      <c r="O817" s="116">
        <v>578.5</v>
      </c>
      <c r="P817" s="116">
        <v>593.29999999999995</v>
      </c>
      <c r="Q817" s="116">
        <v>596</v>
      </c>
      <c r="R817">
        <v>124686</v>
      </c>
    </row>
    <row r="818" spans="1:18" x14ac:dyDescent="0.25">
      <c r="A818" s="170">
        <v>46080</v>
      </c>
      <c r="B818" s="116">
        <v>596.25</v>
      </c>
      <c r="C818" s="116">
        <v>575.70000000000005</v>
      </c>
      <c r="D818" s="116">
        <v>566.5</v>
      </c>
      <c r="E818" s="116">
        <v>596.25</v>
      </c>
      <c r="F818" s="116">
        <v>575.70000000000005</v>
      </c>
      <c r="G818">
        <v>4730</v>
      </c>
      <c r="H818" s="116"/>
      <c r="I818" s="116"/>
      <c r="L818" s="170">
        <v>46080</v>
      </c>
      <c r="M818" s="116">
        <v>576.15</v>
      </c>
      <c r="N818" s="116">
        <v>594</v>
      </c>
      <c r="O818" s="116">
        <v>567.85</v>
      </c>
      <c r="P818" s="116">
        <v>594</v>
      </c>
      <c r="Q818" s="116">
        <v>576.15</v>
      </c>
      <c r="R818">
        <v>229773</v>
      </c>
    </row>
    <row r="819" spans="1:18" x14ac:dyDescent="0.25">
      <c r="A819" s="170">
        <v>46083</v>
      </c>
      <c r="B819" s="116">
        <v>565</v>
      </c>
      <c r="C819" s="116">
        <v>550.95000000000005</v>
      </c>
      <c r="D819" s="116">
        <v>545</v>
      </c>
      <c r="E819" s="116">
        <v>565</v>
      </c>
      <c r="F819" s="116">
        <v>550.95000000000005</v>
      </c>
      <c r="G819">
        <v>5736</v>
      </c>
      <c r="H819" s="116"/>
      <c r="I819" s="116"/>
      <c r="L819" s="170">
        <v>46083</v>
      </c>
      <c r="M819" s="116">
        <v>551.1</v>
      </c>
      <c r="N819" s="116">
        <v>564.29999999999995</v>
      </c>
      <c r="O819" s="116">
        <v>545</v>
      </c>
      <c r="P819" s="116">
        <v>552.29999999999995</v>
      </c>
      <c r="Q819" s="116">
        <v>551.1</v>
      </c>
      <c r="R819">
        <v>165835</v>
      </c>
    </row>
    <row r="820" spans="1:18" x14ac:dyDescent="0.25">
      <c r="A820" s="170">
        <v>46085</v>
      </c>
      <c r="B820" s="116">
        <v>536.20000000000005</v>
      </c>
      <c r="C820" s="116">
        <v>527.54999999999995</v>
      </c>
      <c r="D820" s="116">
        <v>516.79999999999995</v>
      </c>
      <c r="E820" s="116">
        <v>517.1</v>
      </c>
      <c r="F820" s="116">
        <v>527.54999999999995</v>
      </c>
      <c r="G820">
        <v>4175</v>
      </c>
      <c r="H820" s="116"/>
      <c r="I820" s="116"/>
      <c r="L820" s="170">
        <v>46085</v>
      </c>
      <c r="M820" s="116">
        <v>529.35</v>
      </c>
      <c r="N820" s="116">
        <v>537</v>
      </c>
      <c r="O820" s="116">
        <v>516.6</v>
      </c>
      <c r="P820" s="116">
        <v>535</v>
      </c>
      <c r="Q820" s="116">
        <v>529.35</v>
      </c>
      <c r="R820">
        <v>157956</v>
      </c>
    </row>
    <row r="821" spans="1:18" x14ac:dyDescent="0.25">
      <c r="A821" s="170">
        <v>46086</v>
      </c>
      <c r="B821" s="116">
        <v>544.1</v>
      </c>
      <c r="C821" s="116">
        <v>539.45000000000005</v>
      </c>
      <c r="D821" s="116">
        <v>523</v>
      </c>
      <c r="E821" s="116">
        <v>527.75</v>
      </c>
      <c r="F821" s="116">
        <v>539.45000000000005</v>
      </c>
      <c r="G821">
        <v>6945</v>
      </c>
      <c r="H821" s="116"/>
      <c r="I821" s="116"/>
      <c r="L821" s="170">
        <v>46086</v>
      </c>
      <c r="M821" s="116">
        <v>538.15</v>
      </c>
      <c r="N821" s="116">
        <v>544.75</v>
      </c>
      <c r="O821" s="116">
        <v>522.1</v>
      </c>
      <c r="P821" s="116">
        <v>530</v>
      </c>
      <c r="Q821" s="116">
        <v>538.15</v>
      </c>
      <c r="R821">
        <v>177809</v>
      </c>
    </row>
    <row r="822" spans="1:18" x14ac:dyDescent="0.25">
      <c r="A822" s="170">
        <v>46087</v>
      </c>
      <c r="B822" s="116">
        <v>562</v>
      </c>
      <c r="C822" s="116">
        <v>547.75</v>
      </c>
      <c r="D822" s="116">
        <v>535.45000000000005</v>
      </c>
      <c r="E822" s="116">
        <v>539.5</v>
      </c>
      <c r="F822" s="116">
        <v>547.75</v>
      </c>
      <c r="G822">
        <v>4015</v>
      </c>
      <c r="H822" s="116"/>
      <c r="I822" s="116"/>
      <c r="L822" s="170">
        <v>46087</v>
      </c>
      <c r="M822" s="116">
        <v>550.15</v>
      </c>
      <c r="N822" s="116">
        <v>563</v>
      </c>
      <c r="O822" s="116">
        <v>535.20000000000005</v>
      </c>
      <c r="P822" s="116">
        <v>538.9</v>
      </c>
      <c r="Q822" s="116">
        <v>550.15</v>
      </c>
      <c r="R822">
        <v>109768</v>
      </c>
    </row>
    <row r="823" spans="1:18" x14ac:dyDescent="0.25">
      <c r="A823" s="170">
        <v>46090</v>
      </c>
      <c r="B823" s="116">
        <v>541</v>
      </c>
      <c r="C823" s="116">
        <v>532.1</v>
      </c>
      <c r="D823" s="116">
        <v>529</v>
      </c>
      <c r="E823" s="116">
        <v>541</v>
      </c>
      <c r="F823" s="116">
        <v>532.1</v>
      </c>
      <c r="G823">
        <v>16785</v>
      </c>
      <c r="H823" s="116"/>
      <c r="I823" s="116"/>
      <c r="L823" s="170">
        <v>46090</v>
      </c>
      <c r="M823" s="116">
        <v>531.20000000000005</v>
      </c>
      <c r="N823" s="116">
        <v>538.85</v>
      </c>
      <c r="O823" s="116">
        <v>527.75</v>
      </c>
      <c r="P823" s="116">
        <v>535</v>
      </c>
      <c r="Q823" s="116">
        <v>531.20000000000005</v>
      </c>
      <c r="R823">
        <v>70871</v>
      </c>
    </row>
    <row r="824" spans="1:18" x14ac:dyDescent="0.25">
      <c r="A824" s="170">
        <v>46091</v>
      </c>
      <c r="B824" s="116">
        <v>550.35</v>
      </c>
      <c r="C824" s="116">
        <v>547.6</v>
      </c>
      <c r="D824" s="116">
        <v>532.20000000000005</v>
      </c>
      <c r="E824" s="116">
        <v>532.20000000000005</v>
      </c>
      <c r="F824" s="116">
        <v>547.6</v>
      </c>
      <c r="G824">
        <v>4656</v>
      </c>
      <c r="H824" s="116"/>
      <c r="I824" s="116"/>
      <c r="L824" s="170">
        <v>46091</v>
      </c>
      <c r="M824" s="116">
        <v>548.65</v>
      </c>
      <c r="N824" s="116">
        <v>552</v>
      </c>
      <c r="O824" s="116">
        <v>532.70000000000005</v>
      </c>
      <c r="P824" s="116">
        <v>535</v>
      </c>
      <c r="Q824" s="116">
        <v>548.65</v>
      </c>
      <c r="R824">
        <v>109250</v>
      </c>
    </row>
    <row r="825" spans="1:18" x14ac:dyDescent="0.25">
      <c r="A825" s="170">
        <v>46092</v>
      </c>
      <c r="B825" s="116">
        <v>553.35</v>
      </c>
      <c r="C825" s="116">
        <v>538.04999999999995</v>
      </c>
      <c r="D825" s="116">
        <v>535.45000000000005</v>
      </c>
      <c r="E825" s="116">
        <v>544.6</v>
      </c>
      <c r="F825" s="116">
        <v>538.04999999999995</v>
      </c>
      <c r="G825">
        <v>1573</v>
      </c>
      <c r="H825" s="116"/>
      <c r="I825" s="116"/>
      <c r="L825" s="170">
        <v>46092</v>
      </c>
      <c r="M825" s="116">
        <v>537.20000000000005</v>
      </c>
      <c r="N825" s="116">
        <v>553.5</v>
      </c>
      <c r="O825" s="116">
        <v>535.20000000000005</v>
      </c>
      <c r="P825" s="116">
        <v>548.70000000000005</v>
      </c>
      <c r="Q825" s="116">
        <v>537.20000000000005</v>
      </c>
      <c r="R825">
        <v>93423</v>
      </c>
    </row>
    <row r="826" spans="1:18" x14ac:dyDescent="0.25">
      <c r="A826" s="170">
        <v>46093</v>
      </c>
      <c r="B826" s="116">
        <v>569.95000000000005</v>
      </c>
      <c r="C826" s="116">
        <v>565.25</v>
      </c>
      <c r="D826" s="116">
        <v>526.54999999999995</v>
      </c>
      <c r="E826" s="116">
        <v>530.04999999999995</v>
      </c>
      <c r="F826" s="116">
        <v>565.25</v>
      </c>
      <c r="G826">
        <v>6370</v>
      </c>
      <c r="H826" s="116"/>
      <c r="I826" s="116"/>
      <c r="L826" s="170">
        <v>46093</v>
      </c>
      <c r="M826" s="116">
        <v>565.85</v>
      </c>
      <c r="N826" s="116">
        <v>570</v>
      </c>
      <c r="O826" s="116">
        <v>526.20000000000005</v>
      </c>
      <c r="P826" s="116">
        <v>533.1</v>
      </c>
      <c r="Q826" s="116">
        <v>565.85</v>
      </c>
      <c r="R826">
        <v>248949</v>
      </c>
    </row>
    <row r="827" spans="1:18" x14ac:dyDescent="0.25">
      <c r="A827" s="170">
        <v>46094</v>
      </c>
      <c r="B827" s="116">
        <v>596</v>
      </c>
      <c r="C827" s="116">
        <v>591.70000000000005</v>
      </c>
      <c r="D827" s="116">
        <v>551.29999999999995</v>
      </c>
      <c r="E827" s="116">
        <v>562</v>
      </c>
      <c r="F827" s="116">
        <v>591.70000000000005</v>
      </c>
      <c r="G827">
        <v>5193</v>
      </c>
      <c r="H827" s="116"/>
      <c r="I827" s="116"/>
      <c r="L827" s="170">
        <v>46094</v>
      </c>
      <c r="M827" s="116">
        <v>592.1</v>
      </c>
      <c r="N827" s="116">
        <v>598</v>
      </c>
      <c r="O827" s="116">
        <v>552.1</v>
      </c>
      <c r="P827" s="116">
        <v>564.65</v>
      </c>
      <c r="Q827" s="116">
        <v>592.1</v>
      </c>
      <c r="R827">
        <v>310257</v>
      </c>
    </row>
    <row r="828" spans="1:18" x14ac:dyDescent="0.25">
      <c r="A828" s="170">
        <v>46097</v>
      </c>
      <c r="B828" s="116">
        <v>591.65</v>
      </c>
      <c r="C828" s="116">
        <v>575.4</v>
      </c>
      <c r="D828" s="116">
        <v>566.25</v>
      </c>
      <c r="E828" s="116">
        <v>591.65</v>
      </c>
      <c r="F828" s="116">
        <v>575.4</v>
      </c>
      <c r="G828">
        <v>4358</v>
      </c>
      <c r="H828" s="116"/>
      <c r="I828" s="116"/>
      <c r="L828" s="170">
        <v>46097</v>
      </c>
      <c r="M828" s="116">
        <v>575.29999999999995</v>
      </c>
      <c r="N828" s="116">
        <v>587.5</v>
      </c>
      <c r="O828" s="116">
        <v>566.29999999999995</v>
      </c>
      <c r="P828" s="116">
        <v>580.6</v>
      </c>
      <c r="Q828" s="116">
        <v>575.29999999999995</v>
      </c>
      <c r="R828">
        <v>239808</v>
      </c>
    </row>
    <row r="829" spans="1:18" x14ac:dyDescent="0.25">
      <c r="A829" s="170">
        <v>46098</v>
      </c>
      <c r="B829" s="116">
        <v>575.4</v>
      </c>
      <c r="C829" s="116">
        <v>569.29999999999995</v>
      </c>
      <c r="D829" s="116">
        <v>562.25</v>
      </c>
      <c r="E829" s="116">
        <v>575.4</v>
      </c>
      <c r="F829" s="116">
        <v>569.29999999999995</v>
      </c>
      <c r="G829">
        <v>2963</v>
      </c>
      <c r="H829" s="116"/>
      <c r="I829" s="116"/>
      <c r="L829" s="170">
        <v>46098</v>
      </c>
      <c r="M829" s="116">
        <v>566.29999999999995</v>
      </c>
      <c r="N829" s="116">
        <v>578.15</v>
      </c>
      <c r="O829" s="116">
        <v>562.65</v>
      </c>
      <c r="P829" s="116">
        <v>576</v>
      </c>
      <c r="Q829" s="116">
        <v>566.29999999999995</v>
      </c>
      <c r="R829">
        <v>69522</v>
      </c>
    </row>
    <row r="830" spans="1:18" x14ac:dyDescent="0.25">
      <c r="A830" s="170">
        <v>46099</v>
      </c>
      <c r="B830" s="116">
        <v>580.65</v>
      </c>
      <c r="C830" s="116">
        <v>575.1</v>
      </c>
      <c r="D830" s="116">
        <v>561.45000000000005</v>
      </c>
      <c r="E830" s="116">
        <v>568</v>
      </c>
      <c r="F830" s="116">
        <v>575.1</v>
      </c>
      <c r="G830">
        <v>4443</v>
      </c>
      <c r="H830" s="116"/>
      <c r="I830" s="116"/>
      <c r="L830" s="170">
        <v>46099</v>
      </c>
      <c r="M830" s="116">
        <v>575.29999999999995</v>
      </c>
      <c r="N830" s="116">
        <v>582.65</v>
      </c>
      <c r="O830" s="116">
        <v>560.9</v>
      </c>
      <c r="P830" s="116">
        <v>569.1</v>
      </c>
      <c r="Q830" s="116">
        <v>575.29999999999995</v>
      </c>
      <c r="R830">
        <v>161505</v>
      </c>
    </row>
    <row r="831" spans="1:18" x14ac:dyDescent="0.25">
      <c r="A831" s="170">
        <v>46100</v>
      </c>
      <c r="B831" s="116">
        <v>579</v>
      </c>
      <c r="C831" s="116">
        <v>574.5</v>
      </c>
      <c r="D831" s="116">
        <v>561.9</v>
      </c>
      <c r="E831" s="116">
        <v>571.20000000000005</v>
      </c>
      <c r="F831" s="116">
        <v>574.5</v>
      </c>
      <c r="G831">
        <v>4084</v>
      </c>
      <c r="H831" s="116"/>
      <c r="I831" s="116"/>
      <c r="L831" s="170">
        <v>46100</v>
      </c>
      <c r="M831" s="116">
        <v>574.5</v>
      </c>
      <c r="N831" s="116">
        <v>579.29999999999995</v>
      </c>
      <c r="O831" s="116">
        <v>561.75</v>
      </c>
      <c r="P831" s="116">
        <v>568</v>
      </c>
      <c r="Q831" s="116">
        <v>574.5</v>
      </c>
      <c r="R831">
        <v>136336</v>
      </c>
    </row>
    <row r="832" spans="1:18" x14ac:dyDescent="0.25">
      <c r="A832" s="170">
        <v>46101</v>
      </c>
      <c r="B832" s="116">
        <v>604.29999999999995</v>
      </c>
      <c r="C832" s="116">
        <v>600.4</v>
      </c>
      <c r="D832" s="116">
        <v>572.6</v>
      </c>
      <c r="E832" s="116">
        <v>574.5</v>
      </c>
      <c r="F832" s="116">
        <v>600.4</v>
      </c>
      <c r="G832">
        <v>11539</v>
      </c>
      <c r="H832" s="116"/>
      <c r="I832" s="116"/>
      <c r="L832" s="170">
        <v>46101</v>
      </c>
      <c r="M832" s="116">
        <v>601.25</v>
      </c>
      <c r="N832" s="116">
        <v>604.70000000000005</v>
      </c>
      <c r="O832" s="116">
        <v>571.29999999999995</v>
      </c>
      <c r="P832" s="116">
        <v>580</v>
      </c>
      <c r="Q832" s="116">
        <v>601.25</v>
      </c>
      <c r="R832">
        <v>237171</v>
      </c>
    </row>
    <row r="833" spans="1:18" x14ac:dyDescent="0.25">
      <c r="A833" s="170">
        <v>46104</v>
      </c>
      <c r="B833" s="116">
        <v>621.65</v>
      </c>
      <c r="C833" s="116">
        <v>610.70000000000005</v>
      </c>
      <c r="D833" s="116">
        <v>582.45000000000005</v>
      </c>
      <c r="E833" s="116">
        <v>599.95000000000005</v>
      </c>
      <c r="F833" s="116">
        <v>610.70000000000005</v>
      </c>
      <c r="G833">
        <v>14448</v>
      </c>
      <c r="H833" s="116"/>
      <c r="I833" s="116"/>
      <c r="L833" s="170">
        <v>46104</v>
      </c>
      <c r="M833" s="116">
        <v>612.15</v>
      </c>
      <c r="N833" s="116">
        <v>622</v>
      </c>
      <c r="O833" s="116">
        <v>583.04999999999995</v>
      </c>
      <c r="P833" s="116">
        <v>598.75</v>
      </c>
      <c r="Q833" s="116">
        <v>612.15</v>
      </c>
      <c r="R833">
        <v>432463</v>
      </c>
    </row>
    <row r="834" spans="1:18" x14ac:dyDescent="0.25">
      <c r="A834" s="170">
        <v>46105</v>
      </c>
      <c r="B834" s="116">
        <v>628</v>
      </c>
      <c r="C834" s="116">
        <v>606.85</v>
      </c>
      <c r="D834" s="116">
        <v>601.20000000000005</v>
      </c>
      <c r="E834" s="116">
        <v>628</v>
      </c>
      <c r="F834" s="116">
        <v>606.85</v>
      </c>
      <c r="G834">
        <v>11087</v>
      </c>
      <c r="H834" s="116"/>
      <c r="I834" s="116"/>
      <c r="L834" s="170">
        <v>46105</v>
      </c>
      <c r="M834" s="116">
        <v>607.29999999999995</v>
      </c>
      <c r="N834" s="116">
        <v>620</v>
      </c>
      <c r="O834" s="116">
        <v>600.35</v>
      </c>
      <c r="P834" s="116">
        <v>620</v>
      </c>
      <c r="Q834" s="116">
        <v>607.29999999999995</v>
      </c>
      <c r="R834">
        <v>187371</v>
      </c>
    </row>
    <row r="835" spans="1:18" x14ac:dyDescent="0.25">
      <c r="A835" s="170">
        <v>46106</v>
      </c>
      <c r="B835" s="116">
        <v>613.25</v>
      </c>
      <c r="C835" s="116">
        <v>602.70000000000005</v>
      </c>
      <c r="D835" s="116">
        <v>595.5</v>
      </c>
      <c r="E835" s="116">
        <v>611.75</v>
      </c>
      <c r="F835" s="116">
        <v>602.70000000000005</v>
      </c>
      <c r="G835">
        <v>3589</v>
      </c>
      <c r="H835" s="116"/>
      <c r="I835" s="116"/>
      <c r="L835" s="170">
        <v>46106</v>
      </c>
      <c r="M835" s="116">
        <v>602</v>
      </c>
      <c r="N835" s="116">
        <v>615</v>
      </c>
      <c r="O835" s="116">
        <v>594.29999999999995</v>
      </c>
      <c r="P835" s="116">
        <v>613</v>
      </c>
      <c r="Q835" s="116">
        <v>602</v>
      </c>
      <c r="R835">
        <v>134962</v>
      </c>
    </row>
    <row r="836" spans="1:18" x14ac:dyDescent="0.25">
      <c r="A836" s="170">
        <v>46108</v>
      </c>
      <c r="B836" s="116">
        <v>616.5</v>
      </c>
      <c r="C836" s="116">
        <v>609.6</v>
      </c>
      <c r="D836" s="116">
        <v>577</v>
      </c>
      <c r="E836" s="116">
        <v>595</v>
      </c>
      <c r="F836" s="116">
        <v>609.6</v>
      </c>
      <c r="G836">
        <v>13968</v>
      </c>
      <c r="H836" s="116"/>
      <c r="I836" s="116"/>
      <c r="L836" s="170">
        <v>46108</v>
      </c>
      <c r="M836" s="116">
        <v>608.4</v>
      </c>
      <c r="N836" s="116">
        <v>617.45000000000005</v>
      </c>
      <c r="O836" s="116">
        <v>576.15</v>
      </c>
      <c r="P836" s="116">
        <v>590.5</v>
      </c>
      <c r="Q836" s="116">
        <v>608.4</v>
      </c>
      <c r="R836">
        <v>307402</v>
      </c>
    </row>
    <row r="837" spans="1:18" x14ac:dyDescent="0.25">
      <c r="A837" s="170">
        <v>46111</v>
      </c>
      <c r="B837" s="116">
        <v>602</v>
      </c>
      <c r="C837" s="116">
        <v>586.75</v>
      </c>
      <c r="D837" s="116">
        <v>577</v>
      </c>
      <c r="E837" s="116">
        <v>597</v>
      </c>
      <c r="F837" s="116">
        <v>586.75</v>
      </c>
      <c r="G837">
        <v>11799</v>
      </c>
      <c r="H837" s="116"/>
      <c r="I837" s="116"/>
      <c r="L837" s="170">
        <v>46111</v>
      </c>
      <c r="M837" s="116">
        <v>587.45000000000005</v>
      </c>
      <c r="N837" s="116">
        <v>605</v>
      </c>
      <c r="O837" s="116">
        <v>577.35</v>
      </c>
      <c r="P837" s="116">
        <v>605</v>
      </c>
      <c r="Q837" s="116">
        <v>587.45000000000005</v>
      </c>
      <c r="R837">
        <v>238014</v>
      </c>
    </row>
    <row r="838" spans="1:18" x14ac:dyDescent="0.25">
      <c r="A838" s="170">
        <v>46113</v>
      </c>
      <c r="B838" s="116">
        <v>611.9</v>
      </c>
      <c r="C838" s="116">
        <v>580.5</v>
      </c>
      <c r="D838" s="116">
        <v>579.25</v>
      </c>
      <c r="E838" s="116">
        <v>611.9</v>
      </c>
      <c r="F838" s="116">
        <v>580.5</v>
      </c>
      <c r="G838">
        <v>5407</v>
      </c>
      <c r="H838" s="116"/>
      <c r="I838" s="116"/>
      <c r="L838" s="170">
        <v>46113</v>
      </c>
      <c r="M838" s="116">
        <v>581.20000000000005</v>
      </c>
      <c r="N838" s="116">
        <v>603.75</v>
      </c>
      <c r="O838" s="116">
        <v>578.6</v>
      </c>
      <c r="P838" s="116">
        <v>596.35</v>
      </c>
      <c r="Q838" s="116">
        <v>581.20000000000005</v>
      </c>
      <c r="R838">
        <v>186060</v>
      </c>
    </row>
    <row r="839" spans="1:18" x14ac:dyDescent="0.25">
      <c r="A839" s="170">
        <v>46114</v>
      </c>
      <c r="B839" s="116">
        <v>590.75</v>
      </c>
      <c r="C839" s="116">
        <v>584.6</v>
      </c>
      <c r="D839" s="116">
        <v>568.04999999999995</v>
      </c>
      <c r="E839" s="116">
        <v>576</v>
      </c>
      <c r="F839" s="116">
        <v>584.6</v>
      </c>
      <c r="G839">
        <v>5894</v>
      </c>
      <c r="H839" s="116"/>
      <c r="I839" s="116"/>
      <c r="L839" s="170">
        <v>46114</v>
      </c>
      <c r="M839" s="116">
        <v>583.9</v>
      </c>
      <c r="N839" s="116">
        <v>590.95000000000005</v>
      </c>
      <c r="O839" s="116">
        <v>567.85</v>
      </c>
      <c r="P839" s="116">
        <v>580</v>
      </c>
      <c r="Q839" s="116">
        <v>583.9</v>
      </c>
      <c r="R839">
        <v>98808</v>
      </c>
    </row>
    <row r="840" spans="1:18" x14ac:dyDescent="0.25">
      <c r="A840" s="170">
        <v>46118</v>
      </c>
      <c r="B840" s="116">
        <v>580.9</v>
      </c>
      <c r="C840" s="116">
        <v>572.29999999999995</v>
      </c>
      <c r="D840" s="116">
        <v>569.04999999999995</v>
      </c>
      <c r="E840" s="116">
        <v>575.70000000000005</v>
      </c>
      <c r="F840" s="116">
        <v>572.29999999999995</v>
      </c>
      <c r="G840">
        <v>3418</v>
      </c>
      <c r="H840" s="116"/>
      <c r="I840" s="116"/>
      <c r="L840" s="170">
        <v>46118</v>
      </c>
      <c r="M840" s="116">
        <v>573.20000000000005</v>
      </c>
      <c r="N840" s="116">
        <v>580.9</v>
      </c>
      <c r="O840" s="116">
        <v>568.54999999999995</v>
      </c>
      <c r="P840" s="116">
        <v>578.6</v>
      </c>
      <c r="Q840" s="116">
        <v>573.20000000000005</v>
      </c>
      <c r="R840">
        <v>104986</v>
      </c>
    </row>
    <row r="841" spans="1:18" x14ac:dyDescent="0.25">
      <c r="A841" s="170">
        <v>46119</v>
      </c>
      <c r="B841" s="116">
        <v>581</v>
      </c>
      <c r="C841" s="116">
        <v>574.45000000000005</v>
      </c>
      <c r="D841" s="116">
        <v>571.29999999999995</v>
      </c>
      <c r="E841" s="116">
        <v>572.35</v>
      </c>
      <c r="F841" s="116">
        <v>574.45000000000005</v>
      </c>
      <c r="G841">
        <v>1602</v>
      </c>
      <c r="H841" s="116"/>
      <c r="I841" s="116"/>
      <c r="L841" s="170">
        <v>46119</v>
      </c>
      <c r="M841" s="116">
        <v>574.70000000000005</v>
      </c>
      <c r="N841" s="116">
        <v>582</v>
      </c>
      <c r="O841" s="116">
        <v>570.25</v>
      </c>
      <c r="P841" s="116">
        <v>576</v>
      </c>
      <c r="Q841" s="116">
        <v>574.70000000000005</v>
      </c>
      <c r="R841">
        <v>105587</v>
      </c>
    </row>
    <row r="842" spans="1:18" x14ac:dyDescent="0.25">
      <c r="A842" s="170">
        <v>46120</v>
      </c>
      <c r="B842" s="116">
        <v>609</v>
      </c>
      <c r="C842" s="116">
        <v>605.45000000000005</v>
      </c>
      <c r="D842" s="116">
        <v>577.15</v>
      </c>
      <c r="E842" s="116">
        <v>599.9</v>
      </c>
      <c r="F842" s="116">
        <v>605.45000000000005</v>
      </c>
      <c r="G842">
        <v>9096</v>
      </c>
      <c r="H842" s="116"/>
      <c r="I842" s="116"/>
      <c r="L842" s="170">
        <v>46120</v>
      </c>
      <c r="M842" s="116">
        <v>605.54999999999995</v>
      </c>
      <c r="N842" s="116">
        <v>608.5</v>
      </c>
      <c r="O842" s="116">
        <v>576.70000000000005</v>
      </c>
      <c r="P842" s="116">
        <v>584.5</v>
      </c>
      <c r="Q842" s="116">
        <v>605.54999999999995</v>
      </c>
      <c r="R842">
        <v>263447</v>
      </c>
    </row>
    <row r="843" spans="1:18" x14ac:dyDescent="0.25">
      <c r="A843" s="170">
        <v>46121</v>
      </c>
      <c r="B843" s="116">
        <v>620</v>
      </c>
      <c r="C843" s="116">
        <v>608.1</v>
      </c>
      <c r="D843" s="116">
        <v>601.4</v>
      </c>
      <c r="E843" s="116">
        <v>605.04999999999995</v>
      </c>
      <c r="F843" s="116">
        <v>608.1</v>
      </c>
      <c r="G843">
        <v>2495</v>
      </c>
      <c r="H843" s="116"/>
      <c r="I843" s="116"/>
      <c r="L843" s="170">
        <v>46121</v>
      </c>
      <c r="M843" s="116">
        <v>608.54999999999995</v>
      </c>
      <c r="N843" s="116">
        <v>620</v>
      </c>
      <c r="O843" s="116">
        <v>601.6</v>
      </c>
      <c r="P843" s="116">
        <v>608</v>
      </c>
      <c r="Q843" s="116">
        <v>608.54999999999995</v>
      </c>
      <c r="R843">
        <v>259460</v>
      </c>
    </row>
    <row r="844" spans="1:18" x14ac:dyDescent="0.25">
      <c r="A844" s="170">
        <v>46122</v>
      </c>
      <c r="B844" s="116">
        <v>630</v>
      </c>
      <c r="C844" s="116">
        <v>615.65</v>
      </c>
      <c r="D844" s="116">
        <v>611.25</v>
      </c>
      <c r="E844" s="116">
        <v>611.25</v>
      </c>
      <c r="F844" s="116">
        <v>615.65</v>
      </c>
      <c r="G844">
        <v>2719</v>
      </c>
      <c r="H844" s="116"/>
      <c r="I844" s="116"/>
      <c r="L844" s="170">
        <v>46122</v>
      </c>
      <c r="M844" s="116">
        <v>615.70000000000005</v>
      </c>
      <c r="N844" s="116">
        <v>630.85</v>
      </c>
      <c r="O844" s="116">
        <v>608.54999999999995</v>
      </c>
      <c r="P844" s="116">
        <v>615</v>
      </c>
      <c r="Q844" s="116">
        <v>615.70000000000005</v>
      </c>
      <c r="R844">
        <v>124819</v>
      </c>
    </row>
    <row r="845" spans="1:18" x14ac:dyDescent="0.25">
      <c r="A845" s="170">
        <v>46125</v>
      </c>
      <c r="B845" s="116">
        <v>615</v>
      </c>
      <c r="C845" s="116">
        <v>609.70000000000005</v>
      </c>
      <c r="D845" s="116">
        <v>600.04999999999995</v>
      </c>
      <c r="E845" s="116">
        <v>608.35</v>
      </c>
      <c r="F845" s="116">
        <v>609.70000000000005</v>
      </c>
      <c r="G845">
        <v>3777</v>
      </c>
      <c r="H845" s="116"/>
      <c r="I845" s="116"/>
      <c r="L845" s="170">
        <v>46125</v>
      </c>
      <c r="M845" s="116">
        <v>610.04999999999995</v>
      </c>
      <c r="N845" s="116">
        <v>615.65</v>
      </c>
      <c r="O845" s="116">
        <v>600.4</v>
      </c>
      <c r="P845" s="116">
        <v>610.1</v>
      </c>
      <c r="Q845" s="116">
        <v>610.04999999999995</v>
      </c>
      <c r="R845">
        <v>70656</v>
      </c>
    </row>
    <row r="846" spans="1:18" x14ac:dyDescent="0.25">
      <c r="A846" s="170">
        <v>46127</v>
      </c>
      <c r="B846" s="116">
        <v>615.9</v>
      </c>
      <c r="C846" s="116">
        <v>606.75</v>
      </c>
      <c r="D846" s="116">
        <v>604.20000000000005</v>
      </c>
      <c r="E846" s="116">
        <v>614.20000000000005</v>
      </c>
      <c r="F846" s="116">
        <v>606.75</v>
      </c>
      <c r="G846">
        <v>3689</v>
      </c>
      <c r="H846" s="116"/>
      <c r="I846" s="116"/>
      <c r="L846" s="170">
        <v>46127</v>
      </c>
      <c r="M846" s="116">
        <v>608.1</v>
      </c>
      <c r="N846" s="116">
        <v>617.85</v>
      </c>
      <c r="O846" s="116">
        <v>604</v>
      </c>
      <c r="P846" s="116">
        <v>615</v>
      </c>
      <c r="Q846" s="116">
        <v>608.1</v>
      </c>
      <c r="R846">
        <v>135194</v>
      </c>
    </row>
    <row r="847" spans="1:18" x14ac:dyDescent="0.25">
      <c r="A847" s="170">
        <v>46128</v>
      </c>
      <c r="B847" s="116">
        <v>620.20000000000005</v>
      </c>
      <c r="C847" s="116">
        <v>611.15</v>
      </c>
      <c r="D847" s="116">
        <v>608.70000000000005</v>
      </c>
      <c r="E847" s="116">
        <v>617.65</v>
      </c>
      <c r="F847" s="116">
        <v>611.15</v>
      </c>
      <c r="G847">
        <v>1761</v>
      </c>
      <c r="H847" s="116"/>
      <c r="I847" s="116"/>
      <c r="L847" s="170">
        <v>46128</v>
      </c>
      <c r="M847" s="116">
        <v>610.5</v>
      </c>
      <c r="N847" s="116">
        <v>621.20000000000005</v>
      </c>
      <c r="O847" s="116">
        <v>608</v>
      </c>
      <c r="P847" s="116">
        <v>615</v>
      </c>
      <c r="Q847" s="116">
        <v>610.5</v>
      </c>
      <c r="R847">
        <v>93638</v>
      </c>
    </row>
    <row r="848" spans="1:18" x14ac:dyDescent="0.25">
      <c r="A848" s="170">
        <v>46129</v>
      </c>
      <c r="B848" s="116">
        <v>615.70000000000005</v>
      </c>
      <c r="C848" s="116">
        <v>607.45000000000005</v>
      </c>
      <c r="D848" s="116">
        <v>606.5</v>
      </c>
      <c r="E848" s="116">
        <v>613.9</v>
      </c>
      <c r="F848" s="116">
        <v>607.45000000000005</v>
      </c>
      <c r="G848">
        <v>3028</v>
      </c>
      <c r="H848" s="116"/>
      <c r="I848" s="116"/>
      <c r="L848" s="170">
        <v>46129</v>
      </c>
      <c r="M848" s="116">
        <v>606.65</v>
      </c>
      <c r="N848" s="116">
        <v>615.95000000000005</v>
      </c>
      <c r="O848" s="116">
        <v>605.5</v>
      </c>
      <c r="P848" s="116">
        <v>615</v>
      </c>
      <c r="Q848" s="116">
        <v>606.65</v>
      </c>
      <c r="R848">
        <v>78361</v>
      </c>
    </row>
    <row r="849" spans="1:18" x14ac:dyDescent="0.25">
      <c r="A849" s="170">
        <v>46132</v>
      </c>
      <c r="B849" s="116">
        <v>608.70000000000005</v>
      </c>
      <c r="C849" s="116">
        <v>600.54999999999995</v>
      </c>
      <c r="D849" s="116">
        <v>596.70000000000005</v>
      </c>
      <c r="E849" s="116">
        <v>603.5</v>
      </c>
      <c r="F849" s="116">
        <v>600.54999999999995</v>
      </c>
      <c r="G849">
        <v>1890</v>
      </c>
      <c r="H849" s="116"/>
      <c r="I849" s="116"/>
      <c r="L849" s="170">
        <v>46132</v>
      </c>
      <c r="M849" s="116">
        <v>599.54999999999995</v>
      </c>
      <c r="N849" s="116">
        <v>607.65</v>
      </c>
      <c r="O849" s="116">
        <v>596.20000000000005</v>
      </c>
      <c r="P849" s="116">
        <v>606.95000000000005</v>
      </c>
      <c r="Q849" s="116">
        <v>599.54999999999995</v>
      </c>
      <c r="R849">
        <v>68567</v>
      </c>
    </row>
    <row r="850" spans="1:18" x14ac:dyDescent="0.25">
      <c r="A850" s="170">
        <v>46133</v>
      </c>
      <c r="B850" s="116">
        <v>607.29999999999995</v>
      </c>
      <c r="C850" s="116">
        <v>599.79999999999995</v>
      </c>
      <c r="D850" s="116">
        <v>597.9</v>
      </c>
      <c r="E850" s="116">
        <v>599</v>
      </c>
      <c r="F850" s="116">
        <v>599.79999999999995</v>
      </c>
      <c r="G850">
        <v>1548</v>
      </c>
      <c r="H850" s="116"/>
      <c r="I850" s="116"/>
      <c r="L850" s="170">
        <v>46133</v>
      </c>
      <c r="M850" s="116">
        <v>599.4</v>
      </c>
      <c r="N850" s="116">
        <v>609</v>
      </c>
      <c r="O850" s="116">
        <v>596.75</v>
      </c>
      <c r="P850" s="116">
        <v>598.04999999999995</v>
      </c>
      <c r="Q850" s="116">
        <v>599.4</v>
      </c>
      <c r="R850">
        <v>62441</v>
      </c>
    </row>
    <row r="851" spans="1:18" x14ac:dyDescent="0.25">
      <c r="A851" s="170">
        <v>46134</v>
      </c>
      <c r="B851" s="116">
        <v>605</v>
      </c>
      <c r="C851" s="116">
        <v>589.65</v>
      </c>
      <c r="D851" s="116">
        <v>586.25</v>
      </c>
      <c r="E851" s="116">
        <v>599.95000000000005</v>
      </c>
      <c r="F851" s="116">
        <v>589.65</v>
      </c>
      <c r="G851">
        <v>7145</v>
      </c>
      <c r="H851" s="116"/>
      <c r="I851" s="116"/>
      <c r="L851" s="170">
        <v>46134</v>
      </c>
      <c r="M851" s="116">
        <v>591.04999999999995</v>
      </c>
      <c r="N851" s="116">
        <v>605.70000000000005</v>
      </c>
      <c r="O851" s="116">
        <v>586.25</v>
      </c>
      <c r="P851" s="116">
        <v>601</v>
      </c>
      <c r="Q851" s="116">
        <v>591.04999999999995</v>
      </c>
      <c r="R851">
        <v>174077</v>
      </c>
    </row>
    <row r="852" spans="1:18" x14ac:dyDescent="0.25">
      <c r="A852" s="170">
        <v>46135</v>
      </c>
      <c r="B852" s="116">
        <v>608.75</v>
      </c>
      <c r="C852" s="116">
        <v>596.9</v>
      </c>
      <c r="D852" s="116">
        <v>592.54999999999995</v>
      </c>
      <c r="E852" s="116">
        <v>595</v>
      </c>
      <c r="F852" s="116">
        <v>596.9</v>
      </c>
      <c r="G852">
        <v>4396</v>
      </c>
      <c r="H852" s="116"/>
      <c r="I852" s="116"/>
      <c r="L852" s="170">
        <v>46135</v>
      </c>
      <c r="M852" s="116">
        <v>596.85</v>
      </c>
      <c r="N852" s="116">
        <v>609.85</v>
      </c>
      <c r="O852" s="116">
        <v>590.1</v>
      </c>
      <c r="P852" s="116">
        <v>596.65</v>
      </c>
      <c r="Q852" s="116">
        <v>596.85</v>
      </c>
      <c r="R852">
        <v>89019</v>
      </c>
    </row>
    <row r="853" spans="1:18" x14ac:dyDescent="0.25">
      <c r="A853" s="170">
        <v>46136</v>
      </c>
      <c r="B853" s="116">
        <v>605</v>
      </c>
      <c r="C853" s="116">
        <v>602.75</v>
      </c>
      <c r="D853" s="116">
        <v>596.29999999999995</v>
      </c>
      <c r="E853" s="116">
        <v>600</v>
      </c>
      <c r="F853" s="116">
        <v>602.75</v>
      </c>
      <c r="G853">
        <v>8793</v>
      </c>
      <c r="H853" s="116"/>
      <c r="I853" s="116"/>
      <c r="L853" s="170">
        <v>46136</v>
      </c>
      <c r="M853" s="116">
        <v>603.29999999999995</v>
      </c>
      <c r="N853" s="116">
        <v>605.1</v>
      </c>
      <c r="O853" s="116">
        <v>595.04999999999995</v>
      </c>
      <c r="P853" s="116">
        <v>599.95000000000005</v>
      </c>
      <c r="Q853" s="116">
        <v>603.29999999999995</v>
      </c>
      <c r="R853">
        <v>254018</v>
      </c>
    </row>
    <row r="854" spans="1:18" x14ac:dyDescent="0.25">
      <c r="A854" s="170">
        <v>46139</v>
      </c>
      <c r="B854" s="116">
        <v>605.95000000000005</v>
      </c>
      <c r="C854" s="116">
        <v>600.15</v>
      </c>
      <c r="D854" s="116">
        <v>595.70000000000005</v>
      </c>
      <c r="E854" s="116">
        <v>603.65</v>
      </c>
      <c r="F854" s="116">
        <v>600.15</v>
      </c>
      <c r="G854">
        <v>6458</v>
      </c>
      <c r="H854" s="116"/>
      <c r="I854" s="116"/>
      <c r="L854" s="170">
        <v>46139</v>
      </c>
      <c r="M854" s="116">
        <v>601.9</v>
      </c>
      <c r="N854" s="116">
        <v>606.1</v>
      </c>
      <c r="O854" s="116">
        <v>595.45000000000005</v>
      </c>
      <c r="P854" s="116">
        <v>603.29999999999995</v>
      </c>
      <c r="Q854" s="116">
        <v>601.9</v>
      </c>
      <c r="R854">
        <v>138431</v>
      </c>
    </row>
    <row r="855" spans="1:18" x14ac:dyDescent="0.25">
      <c r="A855" s="170">
        <v>46140</v>
      </c>
      <c r="B855" s="116">
        <v>623.70000000000005</v>
      </c>
      <c r="C855" s="116">
        <v>607.79999999999995</v>
      </c>
      <c r="D855" s="116">
        <v>604.70000000000005</v>
      </c>
      <c r="E855" s="116">
        <v>607.5</v>
      </c>
      <c r="F855" s="116">
        <v>607.79999999999995</v>
      </c>
      <c r="G855">
        <v>3767</v>
      </c>
      <c r="H855" s="116"/>
      <c r="I855" s="116"/>
      <c r="L855" s="170">
        <v>46140</v>
      </c>
      <c r="M855" s="116">
        <v>607.79999999999995</v>
      </c>
      <c r="N855" s="116">
        <v>623.9</v>
      </c>
      <c r="O855" s="116">
        <v>604.54999999999995</v>
      </c>
      <c r="P855" s="116">
        <v>607.75</v>
      </c>
      <c r="Q855" s="116">
        <v>607.79999999999995</v>
      </c>
      <c r="R855">
        <v>145802</v>
      </c>
    </row>
    <row r="856" spans="1:18" x14ac:dyDescent="0.25">
      <c r="A856" s="170">
        <v>46141</v>
      </c>
      <c r="B856" s="116">
        <v>627.35</v>
      </c>
      <c r="C856" s="116">
        <v>620.35</v>
      </c>
      <c r="D856" s="116">
        <v>610.45000000000005</v>
      </c>
      <c r="E856" s="116">
        <v>611.95000000000005</v>
      </c>
      <c r="F856" s="116">
        <v>620.35</v>
      </c>
      <c r="G856">
        <v>3397</v>
      </c>
      <c r="H856" s="116"/>
      <c r="I856" s="116"/>
      <c r="L856" s="170">
        <v>46141</v>
      </c>
      <c r="M856" s="116">
        <v>622.15</v>
      </c>
      <c r="N856" s="116">
        <v>627.79999999999995</v>
      </c>
      <c r="O856" s="116">
        <v>607.79999999999995</v>
      </c>
      <c r="P856" s="116">
        <v>607.79999999999995</v>
      </c>
      <c r="Q856" s="116">
        <v>622.15</v>
      </c>
      <c r="R856">
        <v>93392</v>
      </c>
    </row>
    <row r="857" spans="1:18" x14ac:dyDescent="0.25">
      <c r="A857" s="170">
        <v>46142</v>
      </c>
      <c r="B857" s="116">
        <v>624.85</v>
      </c>
      <c r="C857" s="116">
        <v>607.75</v>
      </c>
      <c r="D857" s="116">
        <v>603.9</v>
      </c>
      <c r="E857" s="116">
        <v>624.85</v>
      </c>
      <c r="F857" s="116">
        <v>607.75</v>
      </c>
      <c r="G857">
        <v>3879</v>
      </c>
      <c r="H857" s="116"/>
      <c r="I857" s="116"/>
      <c r="L857" s="170">
        <v>46142</v>
      </c>
      <c r="M857" s="116">
        <v>607.29999999999995</v>
      </c>
      <c r="N857" s="116">
        <v>622</v>
      </c>
      <c r="O857" s="116">
        <v>603.54999999999995</v>
      </c>
      <c r="P857" s="116">
        <v>622</v>
      </c>
      <c r="Q857" s="116">
        <v>607.29999999999995</v>
      </c>
      <c r="R857">
        <v>88680</v>
      </c>
    </row>
    <row r="858" spans="1:18" x14ac:dyDescent="0.25">
      <c r="A858" s="170">
        <v>46146</v>
      </c>
      <c r="B858" s="116">
        <v>640.95000000000005</v>
      </c>
      <c r="C858" s="116">
        <v>622.1</v>
      </c>
      <c r="D858" s="116">
        <v>599.9</v>
      </c>
      <c r="E858" s="116">
        <v>605</v>
      </c>
      <c r="F858" s="116">
        <v>622.1</v>
      </c>
      <c r="G858">
        <v>271215</v>
      </c>
      <c r="H858" s="116"/>
      <c r="I858" s="116"/>
      <c r="L858" s="170">
        <v>46146</v>
      </c>
      <c r="M858" s="116">
        <v>625.20000000000005</v>
      </c>
      <c r="N858" s="116">
        <v>639.79999999999995</v>
      </c>
      <c r="O858" s="116">
        <v>600</v>
      </c>
      <c r="P858" s="116">
        <v>610.29999999999995</v>
      </c>
      <c r="Q858" s="116">
        <v>625.20000000000005</v>
      </c>
      <c r="R858">
        <v>232203</v>
      </c>
    </row>
    <row r="859" spans="1:18" x14ac:dyDescent="0.25">
      <c r="A859" s="170">
        <v>46147</v>
      </c>
      <c r="B859" s="116">
        <v>625.95000000000005</v>
      </c>
      <c r="C859" s="116">
        <v>621.25</v>
      </c>
      <c r="D859" s="116">
        <v>615</v>
      </c>
      <c r="E859" s="116">
        <v>625.95000000000005</v>
      </c>
      <c r="F859" s="116">
        <v>621.25</v>
      </c>
      <c r="G859">
        <v>7670</v>
      </c>
      <c r="H859" s="116"/>
      <c r="I859" s="116"/>
      <c r="L859" s="170">
        <v>46147</v>
      </c>
      <c r="M859" s="116">
        <v>621.6</v>
      </c>
      <c r="N859" s="116">
        <v>625.5</v>
      </c>
      <c r="O859" s="116">
        <v>614.65</v>
      </c>
      <c r="P859" s="116">
        <v>619.04999999999995</v>
      </c>
      <c r="Q859" s="116">
        <v>621.6</v>
      </c>
      <c r="R859">
        <v>209012</v>
      </c>
    </row>
    <row r="860" spans="1:18" x14ac:dyDescent="0.25">
      <c r="A860" s="170">
        <v>46148</v>
      </c>
      <c r="B860" s="116">
        <v>625.04999999999995</v>
      </c>
      <c r="C860" s="116">
        <v>621.4</v>
      </c>
      <c r="D860" s="116">
        <v>618.85</v>
      </c>
      <c r="E860" s="116">
        <v>622.15</v>
      </c>
      <c r="F860" s="116">
        <v>621.4</v>
      </c>
      <c r="G860">
        <v>202861</v>
      </c>
      <c r="H860" s="116"/>
      <c r="I860" s="116"/>
      <c r="L860" s="170">
        <v>46148</v>
      </c>
      <c r="M860" s="116">
        <v>621.25</v>
      </c>
      <c r="N860" s="116">
        <v>628</v>
      </c>
      <c r="O860" s="116">
        <v>619.04999999999995</v>
      </c>
      <c r="P860" s="116">
        <v>628</v>
      </c>
      <c r="Q860" s="116">
        <v>621.25</v>
      </c>
      <c r="R860">
        <v>61701</v>
      </c>
    </row>
    <row r="861" spans="1:18" x14ac:dyDescent="0.25">
      <c r="A861" s="170">
        <v>46149</v>
      </c>
      <c r="B861" s="116">
        <v>629.54999999999995</v>
      </c>
      <c r="C861" s="116">
        <v>623.45000000000005</v>
      </c>
      <c r="D861" s="116">
        <v>618.20000000000005</v>
      </c>
      <c r="E861" s="116">
        <v>618.20000000000005</v>
      </c>
      <c r="F861" s="116">
        <v>623.45000000000005</v>
      </c>
      <c r="G861">
        <v>5049</v>
      </c>
      <c r="H861" s="116"/>
      <c r="I861" s="116"/>
      <c r="L861" s="170">
        <v>46149</v>
      </c>
      <c r="M861" s="116">
        <v>624.70000000000005</v>
      </c>
      <c r="N861" s="116">
        <v>629.70000000000005</v>
      </c>
      <c r="O861" s="116">
        <v>620</v>
      </c>
      <c r="P861" s="116">
        <v>624.35</v>
      </c>
      <c r="Q861" s="116">
        <v>624.70000000000005</v>
      </c>
      <c r="R861">
        <v>74920</v>
      </c>
    </row>
    <row r="862" spans="1:18" x14ac:dyDescent="0.25">
      <c r="A862" s="170">
        <v>46150</v>
      </c>
      <c r="B862" s="116">
        <v>624</v>
      </c>
      <c r="C862" s="116">
        <v>609.1</v>
      </c>
      <c r="D862" s="116">
        <v>606.04999999999995</v>
      </c>
      <c r="E862" s="116">
        <v>624</v>
      </c>
      <c r="F862" s="116">
        <v>609.1</v>
      </c>
      <c r="G862">
        <v>3324</v>
      </c>
      <c r="H862" s="116"/>
      <c r="I862" s="116"/>
      <c r="L862" s="170">
        <v>46150</v>
      </c>
      <c r="M862" s="116">
        <v>608.25</v>
      </c>
      <c r="N862" s="116">
        <v>626</v>
      </c>
      <c r="O862" s="116">
        <v>606.54999999999995</v>
      </c>
      <c r="P862" s="116">
        <v>626</v>
      </c>
      <c r="Q862" s="116">
        <v>608.25</v>
      </c>
      <c r="R862">
        <v>92096</v>
      </c>
    </row>
    <row r="863" spans="1:18" x14ac:dyDescent="0.25">
      <c r="A863" s="170">
        <v>46153</v>
      </c>
      <c r="B863" s="116">
        <v>635.85</v>
      </c>
      <c r="C863" s="116">
        <v>623.65</v>
      </c>
      <c r="D863" s="116">
        <v>594</v>
      </c>
      <c r="E863" s="116">
        <v>609.1</v>
      </c>
      <c r="F863" s="116">
        <v>623.65</v>
      </c>
      <c r="G863">
        <v>11887</v>
      </c>
      <c r="H863" s="116"/>
      <c r="I863" s="116"/>
      <c r="L863" s="170">
        <v>46153</v>
      </c>
      <c r="M863" s="116">
        <v>623.75</v>
      </c>
      <c r="N863" s="116">
        <v>636.95000000000005</v>
      </c>
      <c r="O863" s="116">
        <v>593.1</v>
      </c>
      <c r="P863" s="116">
        <v>600.5</v>
      </c>
      <c r="Q863" s="116">
        <v>623.75</v>
      </c>
      <c r="R863">
        <v>336487</v>
      </c>
    </row>
    <row r="864" spans="1:18" x14ac:dyDescent="0.25">
      <c r="A864" s="170">
        <v>46154</v>
      </c>
      <c r="B864" s="116">
        <v>612.85</v>
      </c>
      <c r="C864" s="116">
        <v>596.9</v>
      </c>
      <c r="D864" s="116">
        <v>576.35</v>
      </c>
      <c r="E864" s="116">
        <v>602</v>
      </c>
      <c r="F864" s="116">
        <v>596.9</v>
      </c>
      <c r="G864">
        <v>19844</v>
      </c>
      <c r="H864" s="116"/>
      <c r="I864" s="116"/>
      <c r="L864" s="170">
        <v>46154</v>
      </c>
      <c r="M864" s="116">
        <v>597.5</v>
      </c>
      <c r="N864" s="116">
        <v>612.75</v>
      </c>
      <c r="O864" s="116">
        <v>576.29999999999995</v>
      </c>
      <c r="P864" s="116">
        <v>595.70000000000005</v>
      </c>
      <c r="Q864" s="116">
        <v>597.5</v>
      </c>
      <c r="R864">
        <v>469785</v>
      </c>
    </row>
    <row r="865" spans="1:18" x14ac:dyDescent="0.25">
      <c r="A865" s="170">
        <v>46155</v>
      </c>
      <c r="B865" s="116">
        <v>602.70000000000005</v>
      </c>
      <c r="C865" s="116">
        <v>559.29999999999995</v>
      </c>
      <c r="D865" s="116">
        <v>551.1</v>
      </c>
      <c r="E865" s="116">
        <v>597.65</v>
      </c>
      <c r="F865" s="116">
        <v>559.29999999999995</v>
      </c>
      <c r="G865">
        <v>12643</v>
      </c>
      <c r="H865" s="116"/>
      <c r="I865" s="116"/>
      <c r="L865" s="170">
        <v>46155</v>
      </c>
      <c r="M865" s="116">
        <v>560</v>
      </c>
      <c r="N865" s="116">
        <v>602.1</v>
      </c>
      <c r="O865" s="116">
        <v>550.85</v>
      </c>
      <c r="P865" s="116">
        <v>594</v>
      </c>
      <c r="Q865" s="116">
        <v>560</v>
      </c>
      <c r="R865">
        <v>261126</v>
      </c>
    </row>
    <row r="866" spans="1:18" x14ac:dyDescent="0.25">
      <c r="A866" s="170">
        <v>46156</v>
      </c>
      <c r="B866" s="116">
        <v>561.4</v>
      </c>
      <c r="C866" s="116">
        <v>540.04999999999995</v>
      </c>
      <c r="D866" s="116">
        <v>531.4</v>
      </c>
      <c r="E866" s="116">
        <v>559.25</v>
      </c>
      <c r="F866" s="116">
        <v>540.04999999999995</v>
      </c>
      <c r="G866">
        <v>18788</v>
      </c>
      <c r="H866" s="116"/>
      <c r="I866" s="116"/>
      <c r="L866" s="170">
        <v>46156</v>
      </c>
      <c r="M866" s="116">
        <v>544.15</v>
      </c>
      <c r="N866" s="116">
        <v>562.29999999999995</v>
      </c>
      <c r="O866" s="116">
        <v>530.9</v>
      </c>
      <c r="P866" s="116">
        <v>555</v>
      </c>
      <c r="Q866" s="116">
        <v>544.15</v>
      </c>
      <c r="R866">
        <v>340987</v>
      </c>
    </row>
    <row r="867" spans="1:18" x14ac:dyDescent="0.25">
      <c r="A867" s="170">
        <v>46157</v>
      </c>
      <c r="B867" s="116">
        <v>545.85</v>
      </c>
      <c r="C867" s="116">
        <v>538.25</v>
      </c>
      <c r="D867" s="116">
        <v>526.5</v>
      </c>
      <c r="E867" s="116">
        <v>544.04999999999995</v>
      </c>
      <c r="F867" s="116">
        <v>538.25</v>
      </c>
      <c r="G867">
        <v>10265</v>
      </c>
      <c r="H867" s="116"/>
      <c r="I867" s="116"/>
      <c r="L867" s="170">
        <v>46157</v>
      </c>
      <c r="M867" s="116">
        <v>537.4</v>
      </c>
      <c r="N867" s="116">
        <v>549.4</v>
      </c>
      <c r="O867" s="116">
        <v>526.35</v>
      </c>
      <c r="P867" s="116">
        <v>549</v>
      </c>
      <c r="Q867" s="116">
        <v>537.4</v>
      </c>
      <c r="R867">
        <v>191773</v>
      </c>
    </row>
    <row r="868" spans="1:18" x14ac:dyDescent="0.25">
      <c r="A868" s="170">
        <v>46160</v>
      </c>
      <c r="B868" s="116">
        <v>545</v>
      </c>
      <c r="C868" s="116">
        <v>537.95000000000005</v>
      </c>
      <c r="D868" s="116">
        <v>510.7</v>
      </c>
      <c r="E868" s="116">
        <v>536.15</v>
      </c>
      <c r="F868" s="116">
        <v>537.95000000000005</v>
      </c>
      <c r="G868">
        <v>24109</v>
      </c>
      <c r="H868" s="116"/>
      <c r="I868" s="116"/>
      <c r="L868" s="170">
        <v>46160</v>
      </c>
      <c r="M868" s="116">
        <v>539.25</v>
      </c>
      <c r="N868" s="116">
        <v>546.25</v>
      </c>
      <c r="O868" s="116">
        <v>510.25</v>
      </c>
      <c r="P868" s="116">
        <v>535</v>
      </c>
      <c r="Q868" s="116">
        <v>539.25</v>
      </c>
      <c r="R868">
        <v>256723</v>
      </c>
    </row>
    <row r="869" spans="1:18" x14ac:dyDescent="0.25">
      <c r="A869" s="170">
        <v>46161</v>
      </c>
      <c r="B869" s="116">
        <v>544.4</v>
      </c>
      <c r="C869" s="116">
        <v>540.1</v>
      </c>
      <c r="D869" s="116">
        <v>534.29999999999995</v>
      </c>
      <c r="E869" s="116">
        <v>538</v>
      </c>
      <c r="F869" s="116">
        <v>540.1</v>
      </c>
      <c r="G869">
        <v>2783</v>
      </c>
      <c r="H869" s="116"/>
      <c r="I869" s="116"/>
      <c r="L869" s="170">
        <v>46161</v>
      </c>
      <c r="M869" s="116">
        <v>538.79999999999995</v>
      </c>
      <c r="N869" s="116">
        <v>544.85</v>
      </c>
      <c r="O869" s="116">
        <v>534.15</v>
      </c>
      <c r="P869" s="116">
        <v>543.95000000000005</v>
      </c>
      <c r="Q869" s="116">
        <v>538.79999999999995</v>
      </c>
      <c r="R869">
        <v>70820</v>
      </c>
    </row>
    <row r="870" spans="1:18" x14ac:dyDescent="0.25">
      <c r="A870" s="170">
        <v>46162</v>
      </c>
      <c r="B870" s="116">
        <v>538.15</v>
      </c>
      <c r="C870" s="116">
        <v>521.5</v>
      </c>
      <c r="D870" s="116">
        <v>520.29999999999995</v>
      </c>
      <c r="E870" s="116">
        <v>529.29999999999995</v>
      </c>
      <c r="F870" s="116">
        <v>521.5</v>
      </c>
      <c r="G870">
        <v>5656</v>
      </c>
      <c r="H870" s="116"/>
      <c r="I870" s="116"/>
      <c r="L870" s="170">
        <v>46162</v>
      </c>
      <c r="M870" s="116">
        <v>521.5</v>
      </c>
      <c r="N870" s="116">
        <v>538.79999999999995</v>
      </c>
      <c r="O870" s="116">
        <v>520.04999999999995</v>
      </c>
      <c r="P870" s="116">
        <v>538.79999999999995</v>
      </c>
      <c r="Q870" s="116">
        <v>521.5</v>
      </c>
      <c r="R870">
        <v>114014</v>
      </c>
    </row>
    <row r="871" spans="1:18" x14ac:dyDescent="0.25">
      <c r="A871" s="170">
        <v>46163</v>
      </c>
      <c r="B871" s="116">
        <v>528.35</v>
      </c>
      <c r="C871" s="116">
        <v>521.54999999999995</v>
      </c>
      <c r="D871" s="116">
        <v>518</v>
      </c>
      <c r="E871" s="116">
        <v>523.04999999999995</v>
      </c>
      <c r="F871" s="116">
        <v>521.54999999999995</v>
      </c>
      <c r="G871">
        <v>3889</v>
      </c>
      <c r="H871" s="116"/>
      <c r="I871" s="116"/>
      <c r="L871" s="170">
        <v>46163</v>
      </c>
      <c r="M871" s="116">
        <v>521.85</v>
      </c>
      <c r="N871" s="116">
        <v>529</v>
      </c>
      <c r="O871" s="116">
        <v>517.29999999999995</v>
      </c>
      <c r="P871" s="116">
        <v>526</v>
      </c>
      <c r="Q871" s="116">
        <v>521.85</v>
      </c>
      <c r="R871">
        <v>88282</v>
      </c>
    </row>
    <row r="872" spans="1:18" x14ac:dyDescent="0.25">
      <c r="A872" s="170">
        <v>46164</v>
      </c>
      <c r="B872" s="116">
        <v>539.04999999999995</v>
      </c>
      <c r="C872" s="116">
        <v>535.65</v>
      </c>
      <c r="D872" s="116">
        <v>518.45000000000005</v>
      </c>
      <c r="E872" s="116">
        <v>520.04999999999995</v>
      </c>
      <c r="F872" s="116">
        <v>535.65</v>
      </c>
      <c r="G872">
        <v>31208</v>
      </c>
      <c r="H872" s="116"/>
      <c r="I872" s="116"/>
      <c r="L872" s="170">
        <v>46164</v>
      </c>
      <c r="M872" s="116">
        <v>534.9</v>
      </c>
      <c r="N872" s="116">
        <v>538.4</v>
      </c>
      <c r="O872" s="116">
        <v>518</v>
      </c>
      <c r="P872" s="116">
        <v>523.95000000000005</v>
      </c>
      <c r="Q872" s="116">
        <v>534.9</v>
      </c>
      <c r="R872">
        <v>127644</v>
      </c>
    </row>
    <row r="873" spans="1:18" x14ac:dyDescent="0.25">
      <c r="A873" s="170">
        <v>46167</v>
      </c>
      <c r="B873" s="116">
        <v>548.25</v>
      </c>
      <c r="C873" s="116">
        <v>544.15</v>
      </c>
      <c r="D873" s="116">
        <v>530</v>
      </c>
      <c r="E873" s="116">
        <v>534.04999999999995</v>
      </c>
      <c r="F873" s="116">
        <v>544.15</v>
      </c>
      <c r="G873">
        <v>20559</v>
      </c>
      <c r="H873" s="116"/>
      <c r="I873" s="116"/>
      <c r="L873" s="170">
        <v>46167</v>
      </c>
      <c r="M873" s="116">
        <v>544.75</v>
      </c>
      <c r="N873" s="116">
        <v>548.4</v>
      </c>
      <c r="O873" s="116">
        <v>530.20000000000005</v>
      </c>
      <c r="P873" s="116">
        <v>535</v>
      </c>
      <c r="Q873" s="116">
        <v>544.75</v>
      </c>
      <c r="R873">
        <v>164596</v>
      </c>
    </row>
    <row r="874" spans="1:18" x14ac:dyDescent="0.25">
      <c r="A874" s="170">
        <v>46168</v>
      </c>
      <c r="B874" s="116">
        <v>549.85</v>
      </c>
      <c r="C874" s="116">
        <v>537.15</v>
      </c>
      <c r="D874" s="116">
        <v>534</v>
      </c>
      <c r="E874" s="116">
        <v>549.85</v>
      </c>
      <c r="F874" s="116">
        <v>537.15</v>
      </c>
      <c r="G874">
        <v>8584</v>
      </c>
      <c r="H874" s="116"/>
      <c r="I874" s="116"/>
      <c r="L874" s="170">
        <v>46168</v>
      </c>
      <c r="M874" s="116">
        <v>537.45000000000005</v>
      </c>
      <c r="N874" s="116">
        <v>543.4</v>
      </c>
      <c r="O874" s="116">
        <v>532.45000000000005</v>
      </c>
      <c r="P874" s="116">
        <v>543.4</v>
      </c>
      <c r="Q874" s="116">
        <v>537.45000000000005</v>
      </c>
      <c r="R874">
        <v>109735</v>
      </c>
    </row>
    <row r="875" spans="1:18" x14ac:dyDescent="0.25">
      <c r="A875" s="170">
        <v>46169</v>
      </c>
      <c r="B875" s="116">
        <v>542.75</v>
      </c>
      <c r="C875" s="116">
        <v>534.25</v>
      </c>
      <c r="D875" s="116">
        <v>531.65</v>
      </c>
      <c r="E875" s="116">
        <v>533.1</v>
      </c>
      <c r="F875" s="116">
        <v>534.25</v>
      </c>
      <c r="G875">
        <v>9057</v>
      </c>
      <c r="H875" s="116"/>
      <c r="I875" s="116"/>
      <c r="L875" s="170">
        <v>46169</v>
      </c>
      <c r="M875" s="116">
        <v>534.15</v>
      </c>
      <c r="N875" s="116">
        <v>542.70000000000005</v>
      </c>
      <c r="O875" s="116">
        <v>532</v>
      </c>
      <c r="P875" s="116">
        <v>539</v>
      </c>
      <c r="Q875" s="116">
        <v>534.15</v>
      </c>
      <c r="R875">
        <v>94406</v>
      </c>
    </row>
    <row r="876" spans="1:18" x14ac:dyDescent="0.25">
      <c r="A876" s="170">
        <v>46171</v>
      </c>
      <c r="B876" s="116">
        <v>542</v>
      </c>
      <c r="C876" s="116">
        <v>526.15</v>
      </c>
      <c r="D876" s="116">
        <v>520.5</v>
      </c>
      <c r="E876" s="116">
        <v>534</v>
      </c>
      <c r="F876" s="116">
        <v>526.15</v>
      </c>
      <c r="G876">
        <v>12665</v>
      </c>
      <c r="H876" s="116"/>
      <c r="I876" s="116"/>
      <c r="L876" s="170">
        <v>46171</v>
      </c>
      <c r="M876" s="116">
        <v>525.25</v>
      </c>
      <c r="N876" s="116">
        <v>542.85</v>
      </c>
      <c r="O876" s="116">
        <v>521</v>
      </c>
      <c r="P876" s="116">
        <v>536.29999999999995</v>
      </c>
      <c r="Q876" s="116">
        <v>525.25</v>
      </c>
      <c r="R876">
        <v>194206</v>
      </c>
    </row>
    <row r="877" spans="1:18" x14ac:dyDescent="0.25">
      <c r="A877" s="170">
        <v>46174</v>
      </c>
      <c r="B877" s="116">
        <v>538.54999999999995</v>
      </c>
      <c r="C877" s="116">
        <v>535.5</v>
      </c>
      <c r="D877" s="116">
        <v>516.29999999999995</v>
      </c>
      <c r="E877" s="116">
        <v>523</v>
      </c>
      <c r="F877" s="116">
        <v>535.5</v>
      </c>
      <c r="G877">
        <v>6771</v>
      </c>
      <c r="H877" s="116"/>
      <c r="I877" s="116"/>
      <c r="L877" s="170">
        <v>46174</v>
      </c>
      <c r="M877" s="116">
        <v>535.25</v>
      </c>
      <c r="N877" s="116">
        <v>539.75</v>
      </c>
      <c r="O877" s="116">
        <v>516.35</v>
      </c>
      <c r="P877" s="116">
        <v>525.25</v>
      </c>
      <c r="Q877" s="116">
        <v>535.25</v>
      </c>
      <c r="R877">
        <v>105826</v>
      </c>
    </row>
    <row r="878" spans="1:18" x14ac:dyDescent="0.25">
      <c r="A878" s="170">
        <v>46175</v>
      </c>
      <c r="B878" s="116">
        <v>544.6</v>
      </c>
      <c r="C878" s="116">
        <v>536.54999999999995</v>
      </c>
      <c r="D878" s="116">
        <v>527.6</v>
      </c>
      <c r="E878" s="116">
        <v>531.5</v>
      </c>
      <c r="F878" s="116">
        <v>536.54999999999995</v>
      </c>
      <c r="G878">
        <v>9056</v>
      </c>
      <c r="H878" s="116"/>
      <c r="I878" s="116"/>
      <c r="L878" s="170">
        <v>46175</v>
      </c>
      <c r="M878" s="116">
        <v>536.20000000000005</v>
      </c>
      <c r="N878" s="116">
        <v>544.6</v>
      </c>
      <c r="O878" s="116">
        <v>527.4</v>
      </c>
      <c r="P878" s="116">
        <v>533.1</v>
      </c>
      <c r="Q878" s="116">
        <v>536.20000000000005</v>
      </c>
      <c r="R878">
        <v>83566</v>
      </c>
    </row>
    <row r="879" spans="1:18" x14ac:dyDescent="0.25">
      <c r="A879" s="170">
        <v>46176</v>
      </c>
      <c r="B879" s="116">
        <v>540.1</v>
      </c>
      <c r="C879" s="116">
        <v>536.4</v>
      </c>
      <c r="D879" s="116">
        <v>526.79999999999995</v>
      </c>
      <c r="E879" s="116">
        <v>533.95000000000005</v>
      </c>
      <c r="F879" s="116">
        <v>536.4</v>
      </c>
      <c r="G879">
        <v>6371</v>
      </c>
      <c r="H879" s="116"/>
      <c r="I879" s="116"/>
      <c r="L879" s="170">
        <v>46176</v>
      </c>
      <c r="M879" s="116">
        <v>535.5</v>
      </c>
      <c r="N879" s="116">
        <v>541.45000000000005</v>
      </c>
      <c r="O879" s="116">
        <v>525.4</v>
      </c>
      <c r="P879" s="116">
        <v>538</v>
      </c>
      <c r="Q879" s="116">
        <v>535.5</v>
      </c>
      <c r="R879">
        <v>90335</v>
      </c>
    </row>
    <row r="880" spans="1:18" x14ac:dyDescent="0.25">
      <c r="A880" s="170">
        <v>46177</v>
      </c>
      <c r="B880" s="116">
        <v>537.54999999999995</v>
      </c>
      <c r="C880" s="116">
        <v>532.9</v>
      </c>
      <c r="D880" s="116">
        <v>529.9</v>
      </c>
      <c r="E880" s="116">
        <v>535</v>
      </c>
      <c r="F880" s="116">
        <v>532.9</v>
      </c>
      <c r="G880">
        <v>7030</v>
      </c>
      <c r="H880" s="116"/>
      <c r="I880" s="116"/>
      <c r="L880" s="170">
        <v>46177</v>
      </c>
      <c r="M880" s="116">
        <v>531.65</v>
      </c>
      <c r="N880" s="116">
        <v>538</v>
      </c>
      <c r="O880" s="116">
        <v>528.9</v>
      </c>
      <c r="P880" s="116">
        <v>536.85</v>
      </c>
      <c r="Q880" s="116">
        <v>531.65</v>
      </c>
      <c r="R880">
        <v>50198</v>
      </c>
    </row>
    <row r="881" spans="1:18" x14ac:dyDescent="0.25">
      <c r="A881" s="170">
        <v>46178</v>
      </c>
      <c r="B881" s="116">
        <v>535.4</v>
      </c>
      <c r="C881" s="116">
        <v>518.35</v>
      </c>
      <c r="D881" s="116">
        <v>513.95000000000005</v>
      </c>
      <c r="E881" s="116">
        <v>531</v>
      </c>
      <c r="F881" s="116">
        <v>518.35</v>
      </c>
      <c r="G881">
        <v>12810</v>
      </c>
      <c r="H881" s="116"/>
      <c r="I881" s="116"/>
      <c r="L881" s="170">
        <v>46178</v>
      </c>
      <c r="M881" s="116">
        <v>518.29999999999995</v>
      </c>
      <c r="N881" s="116">
        <v>537.20000000000005</v>
      </c>
      <c r="O881" s="116">
        <v>514.20000000000005</v>
      </c>
      <c r="P881" s="116">
        <v>531.04999999999995</v>
      </c>
      <c r="Q881" s="116">
        <v>518.29999999999995</v>
      </c>
      <c r="R881">
        <v>146242</v>
      </c>
    </row>
    <row r="882" spans="1:18" x14ac:dyDescent="0.25">
      <c r="A882" s="170">
        <v>46181</v>
      </c>
      <c r="B882" s="116">
        <v>515.95000000000005</v>
      </c>
      <c r="C882" s="116">
        <v>513.15</v>
      </c>
      <c r="D882" s="116">
        <v>509.35</v>
      </c>
      <c r="E882" s="116">
        <v>514</v>
      </c>
      <c r="F882" s="116">
        <v>513.15</v>
      </c>
      <c r="G882">
        <v>6658</v>
      </c>
      <c r="H882" s="116"/>
      <c r="I882" s="116"/>
      <c r="L882" s="170">
        <v>46181</v>
      </c>
      <c r="M882" s="116">
        <v>514.54999999999995</v>
      </c>
      <c r="N882" s="116">
        <v>516</v>
      </c>
      <c r="O882" s="116">
        <v>508.5</v>
      </c>
      <c r="P882" s="116">
        <v>514</v>
      </c>
      <c r="Q882" s="116">
        <v>514.54999999999995</v>
      </c>
      <c r="R882">
        <v>154561</v>
      </c>
    </row>
    <row r="883" spans="1:18" x14ac:dyDescent="0.25">
      <c r="A883" s="170">
        <v>46182</v>
      </c>
      <c r="B883" s="116">
        <v>546.75</v>
      </c>
      <c r="C883" s="116">
        <v>543.65</v>
      </c>
      <c r="D883" s="116">
        <v>512</v>
      </c>
      <c r="E883" s="116">
        <v>513.04999999999995</v>
      </c>
      <c r="F883" s="116">
        <v>543.65</v>
      </c>
      <c r="G883">
        <v>685498</v>
      </c>
      <c r="H883" s="116"/>
      <c r="I883" s="116"/>
      <c r="L883" s="170">
        <v>46182</v>
      </c>
      <c r="M883" s="116">
        <v>544.29999999999995</v>
      </c>
      <c r="N883" s="116">
        <v>547.29999999999995</v>
      </c>
      <c r="O883" s="116">
        <v>511.5</v>
      </c>
      <c r="P883" s="116">
        <v>515.20000000000005</v>
      </c>
      <c r="Q883" s="116">
        <v>544.29999999999995</v>
      </c>
      <c r="R883">
        <v>2189567</v>
      </c>
    </row>
    <row r="884" spans="1:18" x14ac:dyDescent="0.25">
      <c r="A884" s="170">
        <v>46183</v>
      </c>
      <c r="B884" s="116">
        <v>559.6</v>
      </c>
      <c r="C884" s="116">
        <v>536</v>
      </c>
      <c r="D884" s="116">
        <v>532.54999999999995</v>
      </c>
      <c r="E884" s="116">
        <v>548.79999999999995</v>
      </c>
      <c r="F884" s="116">
        <v>536</v>
      </c>
      <c r="G884">
        <v>30257</v>
      </c>
      <c r="H884" s="116"/>
      <c r="I884" s="116"/>
      <c r="L884" s="170">
        <v>46183</v>
      </c>
      <c r="M884" s="116">
        <v>536.95000000000005</v>
      </c>
      <c r="N884" s="116">
        <v>559.6</v>
      </c>
      <c r="O884" s="116">
        <v>533.6</v>
      </c>
      <c r="P884" s="116">
        <v>547.04999999999995</v>
      </c>
      <c r="Q884" s="116">
        <v>536.95000000000005</v>
      </c>
      <c r="R884">
        <v>189323</v>
      </c>
    </row>
    <row r="885" spans="1:18" x14ac:dyDescent="0.25">
      <c r="A885" s="170">
        <v>46184</v>
      </c>
      <c r="B885" s="116">
        <v>537</v>
      </c>
      <c r="C885" s="116">
        <v>532.95000000000005</v>
      </c>
      <c r="D885" s="116">
        <v>526.5</v>
      </c>
      <c r="E885" s="116">
        <v>537</v>
      </c>
      <c r="F885" s="116">
        <v>532.95000000000005</v>
      </c>
      <c r="G885">
        <v>11458</v>
      </c>
      <c r="H885" s="116"/>
      <c r="I885" s="116"/>
      <c r="L885" s="170">
        <v>46184</v>
      </c>
      <c r="M885" s="116">
        <v>529.9</v>
      </c>
      <c r="N885" s="116">
        <v>537.5</v>
      </c>
      <c r="O885" s="116">
        <v>526.4</v>
      </c>
      <c r="P885" s="116">
        <v>537.4</v>
      </c>
      <c r="Q885" s="116">
        <v>529.9</v>
      </c>
      <c r="R885">
        <v>160465</v>
      </c>
    </row>
    <row r="886" spans="1:18" x14ac:dyDescent="0.25">
      <c r="A886" s="170">
        <v>46185</v>
      </c>
      <c r="B886" s="116">
        <v>553.20000000000005</v>
      </c>
      <c r="C886" s="116">
        <v>542.95000000000005</v>
      </c>
      <c r="D886" s="116">
        <v>529.85</v>
      </c>
      <c r="E886" s="116">
        <v>535</v>
      </c>
      <c r="F886" s="116">
        <v>542.95000000000005</v>
      </c>
      <c r="G886">
        <v>13711</v>
      </c>
      <c r="H886" s="116"/>
      <c r="I886" s="116"/>
      <c r="L886" s="170">
        <v>46185</v>
      </c>
      <c r="M886" s="116">
        <v>543</v>
      </c>
      <c r="N886" s="116">
        <v>554</v>
      </c>
      <c r="O886" s="116">
        <v>532.5</v>
      </c>
      <c r="P886" s="116">
        <v>535.9</v>
      </c>
      <c r="Q886" s="116">
        <v>543</v>
      </c>
      <c r="R886">
        <v>162669</v>
      </c>
    </row>
    <row r="887" spans="1:18" x14ac:dyDescent="0.25">
      <c r="A887" s="170">
        <v>46188</v>
      </c>
      <c r="B887" s="116">
        <v>553.29999999999995</v>
      </c>
      <c r="C887" s="116">
        <v>540</v>
      </c>
      <c r="D887" s="116">
        <v>537</v>
      </c>
      <c r="E887" s="116">
        <v>546.75</v>
      </c>
      <c r="F887" s="116">
        <v>540</v>
      </c>
      <c r="G887">
        <v>26700</v>
      </c>
      <c r="H887" s="116"/>
      <c r="I887" s="116"/>
      <c r="L887" s="170">
        <v>46188</v>
      </c>
      <c r="M887" s="116">
        <v>538.9</v>
      </c>
      <c r="N887" s="116">
        <v>553.25</v>
      </c>
      <c r="O887" s="116">
        <v>536.75</v>
      </c>
      <c r="P887" s="116">
        <v>550</v>
      </c>
      <c r="Q887" s="116">
        <v>538.9</v>
      </c>
      <c r="R887">
        <v>203108</v>
      </c>
    </row>
    <row r="888" spans="1:18" x14ac:dyDescent="0.25">
      <c r="A888" s="170">
        <v>46189</v>
      </c>
      <c r="B888" s="116">
        <v>541.25</v>
      </c>
      <c r="C888" s="116">
        <v>526.79999999999995</v>
      </c>
      <c r="D888" s="116">
        <v>525.65</v>
      </c>
      <c r="E888" s="116">
        <v>541.20000000000005</v>
      </c>
      <c r="F888" s="116">
        <v>526.79999999999995</v>
      </c>
      <c r="G888">
        <v>6728</v>
      </c>
      <c r="H888" s="116"/>
      <c r="I888" s="116"/>
      <c r="L888" s="170">
        <v>46189</v>
      </c>
      <c r="M888" s="116">
        <v>527.45000000000005</v>
      </c>
      <c r="N888" s="116">
        <v>544.9</v>
      </c>
      <c r="O888" s="116">
        <v>525.25</v>
      </c>
      <c r="P888" s="116">
        <v>541.9</v>
      </c>
      <c r="Q888" s="116">
        <v>527.45000000000005</v>
      </c>
      <c r="R888">
        <v>141403</v>
      </c>
    </row>
    <row r="889" spans="1:18" x14ac:dyDescent="0.25">
      <c r="A889" s="170"/>
      <c r="B889" s="116"/>
      <c r="C889" s="116"/>
      <c r="D889" s="116"/>
      <c r="E889" s="116"/>
      <c r="F889" s="116"/>
      <c r="H889" s="116"/>
      <c r="I889" s="116"/>
      <c r="L889" s="170"/>
    </row>
    <row r="890" spans="1:18" x14ac:dyDescent="0.25">
      <c r="A890" s="170"/>
      <c r="B890" s="116"/>
      <c r="C890" s="116"/>
      <c r="D890" s="116"/>
      <c r="E890" s="116"/>
      <c r="F890" s="116"/>
      <c r="H890" s="116"/>
      <c r="I890" s="116"/>
      <c r="L890" s="170"/>
    </row>
    <row r="891" spans="1:18" x14ac:dyDescent="0.25">
      <c r="A891" s="170"/>
      <c r="B891" s="116"/>
      <c r="C891" s="116"/>
      <c r="D891" s="116"/>
      <c r="E891" s="116"/>
      <c r="F891" s="116"/>
      <c r="H891" s="116"/>
      <c r="I891" s="116"/>
      <c r="L891" s="170"/>
    </row>
    <row r="892" spans="1:18" x14ac:dyDescent="0.25">
      <c r="A892" s="170"/>
      <c r="B892" s="116"/>
      <c r="C892" s="116"/>
      <c r="D892" s="116"/>
      <c r="E892" s="116"/>
      <c r="F892" s="116"/>
      <c r="H892" s="116"/>
      <c r="I892" s="116"/>
      <c r="L892" s="170"/>
    </row>
    <row r="893" spans="1:18" x14ac:dyDescent="0.25">
      <c r="A893" s="170"/>
      <c r="B893" s="116"/>
      <c r="C893" s="116"/>
      <c r="D893" s="116"/>
      <c r="E893" s="116"/>
      <c r="F893" s="116"/>
      <c r="H893" s="116"/>
      <c r="I893" s="116"/>
      <c r="L893" s="170"/>
    </row>
    <row r="894" spans="1:18" x14ac:dyDescent="0.25">
      <c r="A894" s="170"/>
      <c r="B894" s="116"/>
      <c r="C894" s="116"/>
      <c r="D894" s="116"/>
      <c r="E894" s="116"/>
      <c r="F894" s="116"/>
      <c r="H894" s="116"/>
      <c r="I894" s="116"/>
      <c r="L894" s="170"/>
    </row>
    <row r="895" spans="1:18" x14ac:dyDescent="0.25">
      <c r="A895" s="170"/>
      <c r="B895" s="116"/>
      <c r="C895" s="116"/>
      <c r="D895" s="116"/>
      <c r="E895" s="116"/>
      <c r="F895" s="116"/>
      <c r="H895" s="116"/>
      <c r="I895" s="116"/>
      <c r="L895" s="170"/>
    </row>
    <row r="896" spans="1:18" x14ac:dyDescent="0.25">
      <c r="A896" s="170"/>
      <c r="B896" s="116"/>
      <c r="C896" s="116"/>
      <c r="D896" s="116"/>
      <c r="E896" s="116"/>
      <c r="F896" s="116"/>
      <c r="H896" s="116"/>
      <c r="I896" s="116"/>
      <c r="L896" s="170"/>
    </row>
    <row r="897" spans="1:12" x14ac:dyDescent="0.25">
      <c r="A897" s="170"/>
      <c r="B897" s="116"/>
      <c r="C897" s="116"/>
      <c r="D897" s="116"/>
      <c r="E897" s="116"/>
      <c r="F897" s="116"/>
      <c r="H897" s="116"/>
      <c r="I897" s="116"/>
      <c r="L897" s="170"/>
    </row>
    <row r="898" spans="1:12" x14ac:dyDescent="0.25">
      <c r="A898" s="170"/>
      <c r="B898" s="116"/>
      <c r="C898" s="116"/>
      <c r="D898" s="116"/>
      <c r="E898" s="116"/>
      <c r="F898" s="116"/>
      <c r="H898" s="116"/>
      <c r="I898" s="116"/>
      <c r="L898" s="170"/>
    </row>
    <row r="899" spans="1:12" x14ac:dyDescent="0.25">
      <c r="A899" s="170"/>
      <c r="B899" s="116"/>
      <c r="C899" s="116"/>
      <c r="D899" s="116"/>
      <c r="E899" s="116"/>
      <c r="F899" s="116"/>
      <c r="H899" s="116"/>
      <c r="I899" s="116"/>
      <c r="L899" s="170"/>
    </row>
    <row r="900" spans="1:12" x14ac:dyDescent="0.25">
      <c r="A900" s="170"/>
      <c r="B900" s="116"/>
      <c r="C900" s="116"/>
      <c r="D900" s="116"/>
      <c r="E900" s="116"/>
      <c r="F900" s="116"/>
      <c r="H900" s="116"/>
      <c r="I900" s="116"/>
      <c r="L900" s="170"/>
    </row>
    <row r="901" spans="1:12" x14ac:dyDescent="0.25">
      <c r="A901" s="170"/>
      <c r="B901" s="116"/>
      <c r="C901" s="116"/>
      <c r="D901" s="116"/>
      <c r="E901" s="116"/>
      <c r="F901" s="116"/>
      <c r="H901" s="116"/>
      <c r="I901" s="116"/>
      <c r="L901" s="170"/>
    </row>
    <row r="902" spans="1:12" x14ac:dyDescent="0.25">
      <c r="A902" s="170"/>
      <c r="B902" s="116"/>
      <c r="C902" s="116"/>
      <c r="D902" s="116"/>
      <c r="E902" s="116"/>
      <c r="F902" s="116"/>
      <c r="H902" s="116"/>
      <c r="I902" s="116"/>
      <c r="L902" s="170"/>
    </row>
    <row r="903" spans="1:12" x14ac:dyDescent="0.25">
      <c r="A903" s="170"/>
      <c r="B903" s="116"/>
      <c r="C903" s="116"/>
      <c r="D903" s="116"/>
      <c r="E903" s="116"/>
      <c r="F903" s="116"/>
      <c r="H903" s="116"/>
      <c r="I903" s="116"/>
      <c r="L903" s="170"/>
    </row>
    <row r="904" spans="1:12" x14ac:dyDescent="0.25">
      <c r="A904" s="170"/>
      <c r="B904" s="116"/>
      <c r="C904" s="116"/>
      <c r="D904" s="116"/>
      <c r="E904" s="116"/>
      <c r="F904" s="116"/>
      <c r="H904" s="116"/>
      <c r="I904" s="116"/>
      <c r="L904" s="170"/>
    </row>
    <row r="905" spans="1:12" x14ac:dyDescent="0.25">
      <c r="A905" s="170"/>
      <c r="B905" s="116"/>
      <c r="C905" s="116"/>
      <c r="D905" s="116"/>
      <c r="E905" s="116"/>
      <c r="F905" s="116"/>
      <c r="H905" s="116"/>
      <c r="I905" s="116"/>
      <c r="L905" s="170"/>
    </row>
    <row r="906" spans="1:12" x14ac:dyDescent="0.25">
      <c r="A906" s="170"/>
      <c r="B906" s="116"/>
      <c r="C906" s="116"/>
      <c r="D906" s="116"/>
      <c r="E906" s="116"/>
      <c r="F906" s="116"/>
      <c r="H906" s="116"/>
      <c r="I906" s="116"/>
      <c r="L906" s="170"/>
    </row>
    <row r="907" spans="1:12" x14ac:dyDescent="0.25">
      <c r="A907" s="170"/>
      <c r="B907" s="116"/>
      <c r="C907" s="116"/>
      <c r="D907" s="116"/>
      <c r="E907" s="116"/>
      <c r="F907" s="116"/>
      <c r="H907" s="116"/>
      <c r="I907" s="116"/>
      <c r="L907" s="170"/>
    </row>
    <row r="908" spans="1:12" x14ac:dyDescent="0.25">
      <c r="A908" s="170"/>
      <c r="B908" s="116"/>
      <c r="C908" s="116"/>
      <c r="D908" s="116"/>
      <c r="E908" s="116"/>
      <c r="F908" s="116"/>
      <c r="H908" s="116"/>
      <c r="I908" s="116"/>
      <c r="L908" s="170"/>
    </row>
    <row r="909" spans="1:12" x14ac:dyDescent="0.25">
      <c r="A909" s="170"/>
      <c r="B909" s="116"/>
      <c r="C909" s="116"/>
      <c r="D909" s="116"/>
      <c r="E909" s="116"/>
      <c r="F909" s="116"/>
      <c r="H909" s="116"/>
      <c r="I909" s="116"/>
      <c r="L909" s="170"/>
    </row>
    <row r="910" spans="1:12" x14ac:dyDescent="0.25">
      <c r="A910" s="170"/>
      <c r="B910" s="116"/>
      <c r="C910" s="116"/>
      <c r="D910" s="116"/>
      <c r="E910" s="116"/>
      <c r="F910" s="116"/>
      <c r="H910" s="116"/>
      <c r="I910" s="116"/>
      <c r="L910" s="170"/>
    </row>
    <row r="911" spans="1:12" x14ac:dyDescent="0.25">
      <c r="A911" s="170"/>
      <c r="B911" s="116"/>
      <c r="C911" s="116"/>
      <c r="D911" s="116"/>
      <c r="E911" s="116"/>
      <c r="F911" s="116"/>
      <c r="H911" s="116"/>
      <c r="I911" s="116"/>
      <c r="L911" s="170"/>
    </row>
    <row r="912" spans="1:12" x14ac:dyDescent="0.25">
      <c r="A912" s="170"/>
      <c r="B912" s="116"/>
      <c r="C912" s="116"/>
      <c r="D912" s="116"/>
      <c r="E912" s="116"/>
      <c r="F912" s="116"/>
      <c r="H912" s="116"/>
      <c r="I912" s="116"/>
      <c r="L912" s="170"/>
    </row>
    <row r="913" spans="1:12" x14ac:dyDescent="0.25">
      <c r="A913" s="170"/>
      <c r="B913" s="116"/>
      <c r="C913" s="116"/>
      <c r="D913" s="116"/>
      <c r="E913" s="116"/>
      <c r="F913" s="116"/>
      <c r="H913" s="116"/>
      <c r="I913" s="116"/>
      <c r="L913" s="170"/>
    </row>
    <row r="914" spans="1:12" x14ac:dyDescent="0.25">
      <c r="A914" s="170"/>
      <c r="B914" s="116"/>
      <c r="C914" s="116"/>
      <c r="D914" s="116"/>
      <c r="E914" s="116"/>
      <c r="F914" s="116"/>
      <c r="H914" s="116"/>
      <c r="I914" s="116"/>
      <c r="L914" s="170"/>
    </row>
    <row r="915" spans="1:12" x14ac:dyDescent="0.25">
      <c r="A915" s="170"/>
      <c r="B915" s="116"/>
      <c r="C915" s="116"/>
      <c r="D915" s="116"/>
      <c r="E915" s="116"/>
      <c r="F915" s="116"/>
      <c r="H915" s="116"/>
      <c r="I915" s="116"/>
      <c r="L915" s="170"/>
    </row>
    <row r="916" spans="1:12" x14ac:dyDescent="0.25">
      <c r="A916" s="170"/>
      <c r="B916" s="116"/>
      <c r="C916" s="116"/>
      <c r="D916" s="116"/>
      <c r="E916" s="116"/>
      <c r="F916" s="116"/>
      <c r="H916" s="116"/>
      <c r="I916" s="116"/>
      <c r="L916" s="170"/>
    </row>
    <row r="917" spans="1:12" x14ac:dyDescent="0.25">
      <c r="A917" s="170"/>
      <c r="B917" s="116"/>
      <c r="C917" s="116"/>
      <c r="D917" s="116"/>
      <c r="E917" s="116"/>
      <c r="F917" s="116"/>
      <c r="H917" s="116"/>
      <c r="I917" s="116"/>
      <c r="L917" s="170"/>
    </row>
    <row r="918" spans="1:12" x14ac:dyDescent="0.25">
      <c r="A918" s="170"/>
      <c r="B918" s="116"/>
      <c r="C918" s="116"/>
      <c r="D918" s="116"/>
      <c r="E918" s="116"/>
      <c r="F918" s="116"/>
      <c r="H918" s="116"/>
      <c r="I918" s="116"/>
      <c r="L918" s="170"/>
    </row>
    <row r="919" spans="1:12" x14ac:dyDescent="0.25">
      <c r="A919" s="170"/>
      <c r="B919" s="116"/>
      <c r="C919" s="116"/>
      <c r="D919" s="116"/>
      <c r="E919" s="116"/>
      <c r="F919" s="116"/>
      <c r="H919" s="116"/>
      <c r="I919" s="116"/>
      <c r="L919" s="170"/>
    </row>
    <row r="920" spans="1:12" x14ac:dyDescent="0.25">
      <c r="A920" s="170"/>
      <c r="B920" s="116"/>
      <c r="C920" s="116"/>
      <c r="D920" s="116"/>
      <c r="E920" s="116"/>
      <c r="F920" s="116"/>
      <c r="H920" s="116"/>
      <c r="I920" s="116"/>
      <c r="L920" s="170"/>
    </row>
    <row r="921" spans="1:12" x14ac:dyDescent="0.25">
      <c r="A921" s="170"/>
      <c r="B921" s="116"/>
      <c r="C921" s="116"/>
      <c r="D921" s="116"/>
      <c r="E921" s="116"/>
      <c r="F921" s="116"/>
      <c r="H921" s="116"/>
      <c r="I921" s="116"/>
      <c r="L921" s="170"/>
    </row>
    <row r="922" spans="1:12" x14ac:dyDescent="0.25">
      <c r="A922" s="170"/>
      <c r="B922" s="116"/>
      <c r="C922" s="116"/>
      <c r="D922" s="116"/>
      <c r="E922" s="116"/>
      <c r="F922" s="116"/>
      <c r="H922" s="116"/>
      <c r="I922" s="116"/>
      <c r="L922" s="170"/>
    </row>
    <row r="923" spans="1:12" x14ac:dyDescent="0.25">
      <c r="A923" s="170"/>
      <c r="B923" s="116"/>
      <c r="C923" s="116"/>
      <c r="D923" s="116"/>
      <c r="E923" s="116"/>
      <c r="F923" s="116"/>
      <c r="H923" s="116"/>
      <c r="I923" s="116"/>
      <c r="L923" s="170"/>
    </row>
    <row r="924" spans="1:12" x14ac:dyDescent="0.25">
      <c r="A924" s="170"/>
      <c r="B924" s="116"/>
      <c r="C924" s="116"/>
      <c r="D924" s="116"/>
      <c r="E924" s="116"/>
      <c r="F924" s="116"/>
      <c r="H924" s="116"/>
      <c r="I924" s="116"/>
      <c r="L924" s="170"/>
    </row>
    <row r="925" spans="1:12" x14ac:dyDescent="0.25">
      <c r="A925" s="170"/>
      <c r="B925" s="116"/>
      <c r="C925" s="116"/>
      <c r="D925" s="116"/>
      <c r="E925" s="116"/>
      <c r="F925" s="116"/>
      <c r="H925" s="116"/>
      <c r="I925" s="116"/>
      <c r="L925" s="170"/>
    </row>
    <row r="926" spans="1:12" x14ac:dyDescent="0.25">
      <c r="A926" s="170"/>
      <c r="B926" s="116"/>
      <c r="C926" s="116"/>
      <c r="D926" s="116"/>
      <c r="E926" s="116"/>
      <c r="F926" s="116"/>
      <c r="H926" s="116"/>
      <c r="I926" s="116"/>
      <c r="L926" s="170"/>
    </row>
    <row r="927" spans="1:12" x14ac:dyDescent="0.25">
      <c r="A927" s="170"/>
      <c r="B927" s="116"/>
      <c r="C927" s="116"/>
      <c r="D927" s="116"/>
      <c r="E927" s="116"/>
      <c r="F927" s="116"/>
      <c r="H927" s="116"/>
      <c r="I927" s="116"/>
      <c r="L927" s="170"/>
    </row>
    <row r="928" spans="1:12" x14ac:dyDescent="0.25">
      <c r="A928" s="170"/>
      <c r="B928" s="116"/>
      <c r="C928" s="116"/>
      <c r="D928" s="116"/>
      <c r="E928" s="116"/>
      <c r="F928" s="116"/>
      <c r="H928" s="116"/>
      <c r="I928" s="116"/>
      <c r="L928" s="170"/>
    </row>
    <row r="929" spans="1:12" x14ac:dyDescent="0.25">
      <c r="A929" s="170"/>
      <c r="B929" s="116"/>
      <c r="C929" s="116"/>
      <c r="D929" s="116"/>
      <c r="E929" s="116"/>
      <c r="F929" s="116"/>
      <c r="H929" s="116"/>
      <c r="I929" s="116"/>
      <c r="L929" s="170"/>
    </row>
    <row r="930" spans="1:12" x14ac:dyDescent="0.25">
      <c r="A930" s="170"/>
      <c r="B930" s="116"/>
      <c r="C930" s="116"/>
      <c r="D930" s="116"/>
      <c r="E930" s="116"/>
      <c r="F930" s="116"/>
      <c r="H930" s="116"/>
      <c r="I930" s="116"/>
      <c r="L930" s="170"/>
    </row>
    <row r="931" spans="1:12" x14ac:dyDescent="0.25">
      <c r="A931" s="170"/>
      <c r="B931" s="116"/>
      <c r="C931" s="116"/>
      <c r="D931" s="116"/>
      <c r="E931" s="116"/>
      <c r="F931" s="116"/>
      <c r="H931" s="116"/>
      <c r="I931" s="116"/>
      <c r="L931" s="170"/>
    </row>
    <row r="932" spans="1:12" x14ac:dyDescent="0.25">
      <c r="A932" s="170"/>
      <c r="B932" s="116"/>
      <c r="C932" s="116"/>
      <c r="D932" s="116"/>
      <c r="E932" s="116"/>
      <c r="F932" s="116"/>
      <c r="H932" s="116"/>
      <c r="I932" s="116"/>
      <c r="L932" s="170"/>
    </row>
    <row r="933" spans="1:12" x14ac:dyDescent="0.25">
      <c r="A933" s="170"/>
      <c r="B933" s="116"/>
      <c r="C933" s="116"/>
      <c r="D933" s="116"/>
      <c r="E933" s="116"/>
      <c r="F933" s="116"/>
      <c r="H933" s="116"/>
      <c r="I933" s="116"/>
      <c r="L933" s="170"/>
    </row>
    <row r="934" spans="1:12" x14ac:dyDescent="0.25">
      <c r="A934" s="170"/>
      <c r="B934" s="116"/>
      <c r="C934" s="116"/>
      <c r="D934" s="116"/>
      <c r="E934" s="116"/>
      <c r="F934" s="116"/>
      <c r="H934" s="116"/>
      <c r="I934" s="116"/>
      <c r="L934" s="170"/>
    </row>
    <row r="935" spans="1:12" x14ac:dyDescent="0.25">
      <c r="A935" s="170"/>
      <c r="B935" s="116"/>
      <c r="C935" s="116"/>
      <c r="D935" s="116"/>
      <c r="E935" s="116"/>
      <c r="F935" s="116"/>
      <c r="H935" s="116"/>
      <c r="I935" s="116"/>
      <c r="L935" s="170"/>
    </row>
    <row r="936" spans="1:12" x14ac:dyDescent="0.25">
      <c r="A936" s="170"/>
      <c r="B936" s="116"/>
      <c r="C936" s="116"/>
      <c r="D936" s="116"/>
      <c r="E936" s="116"/>
      <c r="F936" s="116"/>
      <c r="H936" s="116"/>
      <c r="I936" s="116"/>
      <c r="L936" s="170"/>
    </row>
    <row r="937" spans="1:12" x14ac:dyDescent="0.25">
      <c r="A937" s="170"/>
      <c r="B937" s="116"/>
      <c r="C937" s="116"/>
      <c r="D937" s="116"/>
      <c r="E937" s="116"/>
      <c r="F937" s="116"/>
      <c r="H937" s="116"/>
      <c r="I937" s="116"/>
      <c r="L937" s="170"/>
    </row>
    <row r="938" spans="1:12" x14ac:dyDescent="0.25">
      <c r="A938" s="170"/>
      <c r="B938" s="116"/>
      <c r="C938" s="116"/>
      <c r="D938" s="116"/>
      <c r="E938" s="116"/>
      <c r="F938" s="116"/>
      <c r="H938" s="116"/>
      <c r="I938" s="116"/>
      <c r="L938" s="170"/>
    </row>
    <row r="939" spans="1:12" x14ac:dyDescent="0.25">
      <c r="A939" s="170"/>
      <c r="B939" s="116"/>
      <c r="C939" s="116"/>
      <c r="D939" s="116"/>
      <c r="E939" s="116"/>
      <c r="F939" s="116"/>
      <c r="H939" s="116"/>
      <c r="I939" s="116"/>
      <c r="L939" s="170"/>
    </row>
    <row r="940" spans="1:12" x14ac:dyDescent="0.25">
      <c r="A940" s="170"/>
      <c r="B940" s="116"/>
      <c r="C940" s="116"/>
      <c r="D940" s="116"/>
      <c r="E940" s="116"/>
      <c r="F940" s="116"/>
      <c r="H940" s="116"/>
      <c r="I940" s="116"/>
      <c r="L940" s="170"/>
    </row>
    <row r="941" spans="1:12" x14ac:dyDescent="0.25">
      <c r="A941" s="170"/>
      <c r="B941" s="116"/>
      <c r="C941" s="116"/>
      <c r="D941" s="116"/>
      <c r="E941" s="116"/>
      <c r="F941" s="116"/>
      <c r="H941" s="116"/>
      <c r="I941" s="116"/>
      <c r="L941" s="170"/>
    </row>
    <row r="942" spans="1:12" x14ac:dyDescent="0.25">
      <c r="A942" s="170"/>
      <c r="B942" s="116"/>
      <c r="C942" s="116"/>
      <c r="D942" s="116"/>
      <c r="E942" s="116"/>
      <c r="F942" s="116"/>
      <c r="H942" s="116"/>
      <c r="I942" s="116"/>
      <c r="L942" s="170"/>
    </row>
    <row r="943" spans="1:12" x14ac:dyDescent="0.25">
      <c r="A943" s="170"/>
      <c r="B943" s="116"/>
      <c r="C943" s="116"/>
      <c r="D943" s="116"/>
      <c r="E943" s="116"/>
      <c r="F943" s="116"/>
      <c r="H943" s="116"/>
      <c r="I943" s="116"/>
      <c r="L943" s="170"/>
    </row>
    <row r="944" spans="1:12" x14ac:dyDescent="0.25">
      <c r="A944" s="170"/>
      <c r="B944" s="116"/>
      <c r="C944" s="116"/>
      <c r="D944" s="116"/>
      <c r="E944" s="116"/>
      <c r="F944" s="116"/>
      <c r="H944" s="116"/>
      <c r="I944" s="116"/>
      <c r="L944" s="170"/>
    </row>
    <row r="945" spans="1:12" x14ac:dyDescent="0.25">
      <c r="A945" s="170"/>
      <c r="B945" s="116"/>
      <c r="C945" s="116"/>
      <c r="D945" s="116"/>
      <c r="E945" s="116"/>
      <c r="F945" s="116"/>
      <c r="H945" s="116"/>
      <c r="I945" s="116"/>
      <c r="L945" s="170"/>
    </row>
    <row r="946" spans="1:12" x14ac:dyDescent="0.25">
      <c r="A946" s="170"/>
      <c r="B946" s="116"/>
      <c r="C946" s="116"/>
      <c r="D946" s="116"/>
      <c r="E946" s="116"/>
      <c r="F946" s="116"/>
      <c r="H946" s="116"/>
      <c r="I946" s="116"/>
      <c r="L946" s="170"/>
    </row>
    <row r="947" spans="1:12" x14ac:dyDescent="0.25">
      <c r="A947" s="170"/>
      <c r="B947" s="116"/>
      <c r="C947" s="116"/>
      <c r="D947" s="116"/>
      <c r="E947" s="116"/>
      <c r="F947" s="116"/>
      <c r="H947" s="116"/>
      <c r="I947" s="116"/>
      <c r="L947" s="170"/>
    </row>
    <row r="948" spans="1:12" x14ac:dyDescent="0.25">
      <c r="A948" s="170"/>
      <c r="B948" s="116"/>
      <c r="C948" s="116"/>
      <c r="D948" s="116"/>
      <c r="E948" s="116"/>
      <c r="F948" s="116"/>
      <c r="H948" s="116"/>
      <c r="I948" s="116"/>
      <c r="L948" s="170"/>
    </row>
    <row r="949" spans="1:12" x14ac:dyDescent="0.25">
      <c r="A949" s="170"/>
      <c r="B949" s="116"/>
      <c r="C949" s="116"/>
      <c r="D949" s="116"/>
      <c r="E949" s="116"/>
      <c r="F949" s="116"/>
      <c r="H949" s="116"/>
      <c r="I949" s="116"/>
      <c r="L949" s="170"/>
    </row>
    <row r="950" spans="1:12" x14ac:dyDescent="0.25">
      <c r="A950" s="170"/>
      <c r="B950" s="116"/>
      <c r="C950" s="116"/>
      <c r="D950" s="116"/>
      <c r="E950" s="116"/>
      <c r="F950" s="116"/>
      <c r="H950" s="116"/>
      <c r="I950" s="116"/>
      <c r="L950" s="170"/>
    </row>
    <row r="951" spans="1:12" x14ac:dyDescent="0.25">
      <c r="A951" s="170"/>
      <c r="B951" s="116"/>
      <c r="C951" s="116"/>
      <c r="D951" s="116"/>
      <c r="E951" s="116"/>
      <c r="F951" s="116"/>
      <c r="H951" s="116"/>
      <c r="I951" s="116"/>
      <c r="L951" s="170"/>
    </row>
    <row r="952" spans="1:12" x14ac:dyDescent="0.25">
      <c r="A952" s="170"/>
      <c r="B952" s="116"/>
      <c r="C952" s="116"/>
      <c r="D952" s="116"/>
      <c r="E952" s="116"/>
      <c r="F952" s="116"/>
      <c r="H952" s="116"/>
      <c r="I952" s="116"/>
      <c r="L952" s="170"/>
    </row>
    <row r="953" spans="1:12" x14ac:dyDescent="0.25">
      <c r="A953" s="170"/>
      <c r="B953" s="116"/>
      <c r="C953" s="116"/>
      <c r="D953" s="116"/>
      <c r="E953" s="116"/>
      <c r="F953" s="116"/>
      <c r="H953" s="116"/>
      <c r="I953" s="116"/>
      <c r="L953" s="170"/>
    </row>
    <row r="954" spans="1:12" x14ac:dyDescent="0.25">
      <c r="A954" s="170"/>
      <c r="B954" s="116"/>
      <c r="C954" s="116"/>
      <c r="D954" s="116"/>
      <c r="E954" s="116"/>
      <c r="F954" s="116"/>
      <c r="H954" s="116"/>
      <c r="I954" s="116"/>
      <c r="L954" s="170"/>
    </row>
    <row r="955" spans="1:12" x14ac:dyDescent="0.25">
      <c r="A955" s="170"/>
      <c r="B955" s="116"/>
      <c r="C955" s="116"/>
      <c r="D955" s="116"/>
      <c r="E955" s="116"/>
      <c r="F955" s="116"/>
      <c r="H955" s="116"/>
      <c r="I955" s="116"/>
      <c r="L955" s="170"/>
    </row>
    <row r="956" spans="1:12" x14ac:dyDescent="0.25">
      <c r="A956" s="170"/>
      <c r="B956" s="116"/>
      <c r="C956" s="116"/>
      <c r="D956" s="116"/>
      <c r="E956" s="116"/>
      <c r="F956" s="116"/>
      <c r="H956" s="116"/>
      <c r="I956" s="116"/>
      <c r="L956" s="170"/>
    </row>
    <row r="957" spans="1:12" x14ac:dyDescent="0.25">
      <c r="A957" s="170"/>
      <c r="B957" s="116"/>
      <c r="C957" s="116"/>
      <c r="D957" s="116"/>
      <c r="E957" s="116"/>
      <c r="F957" s="116"/>
      <c r="H957" s="116"/>
      <c r="I957" s="116"/>
      <c r="L957" s="170"/>
    </row>
    <row r="958" spans="1:12" x14ac:dyDescent="0.25">
      <c r="A958" s="170"/>
      <c r="B958" s="116"/>
      <c r="C958" s="116"/>
      <c r="D958" s="116"/>
      <c r="E958" s="116"/>
      <c r="F958" s="116"/>
      <c r="H958" s="116"/>
      <c r="I958" s="116"/>
      <c r="L958" s="170"/>
    </row>
    <row r="959" spans="1:12" x14ac:dyDescent="0.25">
      <c r="A959" s="170"/>
      <c r="B959" s="116"/>
      <c r="C959" s="116"/>
      <c r="D959" s="116"/>
      <c r="E959" s="116"/>
      <c r="F959" s="116"/>
      <c r="H959" s="116"/>
      <c r="I959" s="116"/>
      <c r="L959" s="170"/>
    </row>
    <row r="960" spans="1:12" x14ac:dyDescent="0.25">
      <c r="A960" s="170"/>
      <c r="B960" s="116"/>
      <c r="C960" s="116"/>
      <c r="D960" s="116"/>
      <c r="E960" s="116"/>
      <c r="F960" s="116"/>
      <c r="H960" s="116"/>
      <c r="I960" s="116"/>
      <c r="L960" s="170"/>
    </row>
    <row r="961" spans="1:12" x14ac:dyDescent="0.25">
      <c r="A961" s="170"/>
      <c r="B961" s="116"/>
      <c r="C961" s="116"/>
      <c r="D961" s="116"/>
      <c r="E961" s="116"/>
      <c r="F961" s="116"/>
      <c r="H961" s="116"/>
      <c r="I961" s="116"/>
      <c r="L961" s="170"/>
    </row>
    <row r="962" spans="1:12" x14ac:dyDescent="0.25">
      <c r="A962" s="170"/>
      <c r="B962" s="116"/>
      <c r="C962" s="116"/>
      <c r="D962" s="116"/>
      <c r="E962" s="116"/>
      <c r="F962" s="116"/>
      <c r="H962" s="116"/>
      <c r="I962" s="116"/>
      <c r="L962" s="170"/>
    </row>
    <row r="963" spans="1:12" x14ac:dyDescent="0.25">
      <c r="A963" s="170"/>
      <c r="B963" s="116"/>
      <c r="C963" s="116"/>
      <c r="D963" s="116"/>
      <c r="E963" s="116"/>
      <c r="F963" s="116"/>
      <c r="H963" s="116"/>
      <c r="I963" s="116"/>
      <c r="L963" s="170"/>
    </row>
    <row r="964" spans="1:12" x14ac:dyDescent="0.25">
      <c r="A964" s="170"/>
      <c r="B964" s="116"/>
      <c r="C964" s="116"/>
      <c r="D964" s="116"/>
      <c r="E964" s="116"/>
      <c r="F964" s="116"/>
      <c r="H964" s="116"/>
      <c r="I964" s="116"/>
      <c r="L964" s="170"/>
    </row>
    <row r="965" spans="1:12" x14ac:dyDescent="0.25">
      <c r="A965" s="170"/>
      <c r="B965" s="116"/>
      <c r="C965" s="116"/>
      <c r="D965" s="116"/>
      <c r="E965" s="116"/>
      <c r="F965" s="116"/>
      <c r="H965" s="116"/>
      <c r="I965" s="116"/>
      <c r="L965" s="170"/>
    </row>
    <row r="966" spans="1:12" x14ac:dyDescent="0.25">
      <c r="A966" s="170"/>
      <c r="B966" s="116"/>
      <c r="C966" s="116"/>
      <c r="D966" s="116"/>
      <c r="E966" s="116"/>
      <c r="F966" s="116"/>
      <c r="H966" s="116"/>
      <c r="I966" s="116"/>
      <c r="L966" s="170"/>
    </row>
    <row r="967" spans="1:12" x14ac:dyDescent="0.25">
      <c r="A967" s="170"/>
      <c r="B967" s="116"/>
      <c r="C967" s="116"/>
      <c r="D967" s="116"/>
      <c r="E967" s="116"/>
      <c r="F967" s="116"/>
      <c r="H967" s="116"/>
      <c r="I967" s="116"/>
      <c r="L967" s="170"/>
    </row>
    <row r="968" spans="1:12" x14ac:dyDescent="0.25">
      <c r="A968" s="170"/>
      <c r="B968" s="116"/>
      <c r="C968" s="116"/>
      <c r="D968" s="116"/>
      <c r="E968" s="116"/>
      <c r="F968" s="116"/>
      <c r="H968" s="116"/>
      <c r="I968" s="116"/>
      <c r="L968" s="170"/>
    </row>
    <row r="969" spans="1:12" x14ac:dyDescent="0.25">
      <c r="A969" s="170"/>
      <c r="B969" s="116"/>
      <c r="C969" s="116"/>
      <c r="D969" s="116"/>
      <c r="E969" s="116"/>
      <c r="F969" s="116"/>
      <c r="H969" s="116"/>
      <c r="I969" s="116"/>
      <c r="L969" s="170"/>
    </row>
    <row r="970" spans="1:12" x14ac:dyDescent="0.25">
      <c r="A970" s="170"/>
      <c r="B970" s="116"/>
      <c r="C970" s="116"/>
      <c r="D970" s="116"/>
      <c r="E970" s="116"/>
      <c r="F970" s="116"/>
      <c r="H970" s="116"/>
      <c r="I970" s="116"/>
      <c r="L970" s="170"/>
    </row>
    <row r="971" spans="1:12" x14ac:dyDescent="0.25">
      <c r="A971" s="170"/>
      <c r="B971" s="116"/>
      <c r="C971" s="116"/>
      <c r="D971" s="116"/>
      <c r="E971" s="116"/>
      <c r="F971" s="116"/>
      <c r="H971" s="116"/>
      <c r="I971" s="116"/>
      <c r="L971" s="170"/>
    </row>
    <row r="972" spans="1:12" x14ac:dyDescent="0.25">
      <c r="A972" s="170"/>
      <c r="B972" s="116"/>
      <c r="C972" s="116"/>
      <c r="D972" s="116"/>
      <c r="E972" s="116"/>
      <c r="F972" s="116"/>
      <c r="H972" s="116"/>
      <c r="I972" s="116"/>
      <c r="L972" s="170"/>
    </row>
    <row r="973" spans="1:12" x14ac:dyDescent="0.25">
      <c r="A973" s="170"/>
      <c r="B973" s="116"/>
      <c r="C973" s="116"/>
      <c r="D973" s="116"/>
      <c r="E973" s="116"/>
      <c r="F973" s="116"/>
      <c r="H973" s="116"/>
      <c r="I973" s="116"/>
      <c r="L973" s="170"/>
    </row>
    <row r="974" spans="1:12" x14ac:dyDescent="0.25">
      <c r="A974" s="170"/>
      <c r="B974" s="116"/>
      <c r="C974" s="116"/>
      <c r="D974" s="116"/>
      <c r="E974" s="116"/>
      <c r="F974" s="116"/>
      <c r="H974" s="116"/>
      <c r="I974" s="116"/>
      <c r="L974" s="170"/>
    </row>
    <row r="975" spans="1:12" x14ac:dyDescent="0.25">
      <c r="A975" s="170"/>
      <c r="B975" s="116"/>
      <c r="C975" s="116"/>
      <c r="D975" s="116"/>
      <c r="E975" s="116"/>
      <c r="F975" s="116"/>
      <c r="H975" s="116"/>
      <c r="I975" s="116"/>
      <c r="L975" s="170"/>
    </row>
    <row r="976" spans="1:12" x14ac:dyDescent="0.25">
      <c r="A976" s="170"/>
      <c r="B976" s="116"/>
      <c r="C976" s="116"/>
      <c r="D976" s="116"/>
      <c r="E976" s="116"/>
      <c r="F976" s="116"/>
      <c r="H976" s="116"/>
      <c r="I976" s="116"/>
      <c r="L976" s="170"/>
    </row>
    <row r="977" spans="1:12" x14ac:dyDescent="0.25">
      <c r="A977" s="170"/>
      <c r="B977" s="116"/>
      <c r="C977" s="116"/>
      <c r="D977" s="116"/>
      <c r="E977" s="116"/>
      <c r="F977" s="116"/>
      <c r="H977" s="116"/>
      <c r="I977" s="116"/>
      <c r="L977" s="170"/>
    </row>
    <row r="978" spans="1:12" x14ac:dyDescent="0.25">
      <c r="A978" s="170"/>
      <c r="B978" s="116"/>
      <c r="C978" s="116"/>
      <c r="D978" s="116"/>
      <c r="E978" s="116"/>
      <c r="F978" s="116"/>
      <c r="H978" s="116"/>
      <c r="I978" s="116"/>
      <c r="L978" s="170"/>
    </row>
    <row r="979" spans="1:12" x14ac:dyDescent="0.25">
      <c r="A979" s="170"/>
      <c r="B979" s="116"/>
      <c r="C979" s="116"/>
      <c r="D979" s="116"/>
      <c r="E979" s="116"/>
      <c r="F979" s="116"/>
      <c r="H979" s="116"/>
      <c r="I979" s="116"/>
      <c r="L979" s="170"/>
    </row>
    <row r="980" spans="1:12" x14ac:dyDescent="0.25">
      <c r="A980" s="170"/>
      <c r="B980" s="116"/>
      <c r="C980" s="116"/>
      <c r="D980" s="116"/>
      <c r="E980" s="116"/>
      <c r="F980" s="116"/>
      <c r="H980" s="116"/>
      <c r="I980" s="116"/>
      <c r="L980" s="170"/>
    </row>
    <row r="981" spans="1:12" x14ac:dyDescent="0.25">
      <c r="A981" s="170"/>
      <c r="B981" s="116"/>
      <c r="C981" s="116"/>
      <c r="D981" s="116"/>
      <c r="E981" s="116"/>
      <c r="F981" s="116"/>
      <c r="H981" s="116"/>
      <c r="I981" s="116"/>
      <c r="L981" s="170"/>
    </row>
    <row r="982" spans="1:12" x14ac:dyDescent="0.25">
      <c r="A982" s="170"/>
      <c r="B982" s="116"/>
      <c r="C982" s="116"/>
      <c r="D982" s="116"/>
      <c r="E982" s="116"/>
      <c r="F982" s="116"/>
      <c r="H982" s="116"/>
      <c r="I982" s="116"/>
      <c r="L982" s="170"/>
    </row>
    <row r="983" spans="1:12" x14ac:dyDescent="0.25">
      <c r="A983" s="170"/>
      <c r="B983" s="116"/>
      <c r="C983" s="116"/>
      <c r="D983" s="116"/>
      <c r="E983" s="116"/>
      <c r="F983" s="116"/>
      <c r="H983" s="116"/>
      <c r="I983" s="116"/>
      <c r="L983" s="170"/>
    </row>
    <row r="984" spans="1:12" x14ac:dyDescent="0.25">
      <c r="A984" s="170"/>
      <c r="B984" s="116"/>
      <c r="C984" s="116"/>
      <c r="D984" s="116"/>
      <c r="E984" s="116"/>
      <c r="F984" s="116"/>
      <c r="H984" s="116"/>
      <c r="I984" s="116"/>
      <c r="L984" s="170"/>
    </row>
    <row r="985" spans="1:12" x14ac:dyDescent="0.25">
      <c r="A985" s="170"/>
      <c r="B985" s="116"/>
      <c r="C985" s="116"/>
      <c r="D985" s="116"/>
      <c r="E985" s="116"/>
      <c r="F985" s="116"/>
      <c r="H985" s="116"/>
      <c r="I985" s="116"/>
      <c r="L985" s="170"/>
    </row>
    <row r="986" spans="1:12" x14ac:dyDescent="0.25">
      <c r="A986" s="170"/>
      <c r="B986" s="116"/>
      <c r="C986" s="116"/>
      <c r="D986" s="116"/>
      <c r="E986" s="116"/>
      <c r="F986" s="116"/>
      <c r="H986" s="116"/>
      <c r="I986" s="116"/>
      <c r="L986" s="170"/>
    </row>
    <row r="987" spans="1:12" x14ac:dyDescent="0.25">
      <c r="A987" s="170"/>
      <c r="B987" s="116"/>
      <c r="C987" s="116"/>
      <c r="D987" s="116"/>
      <c r="E987" s="116"/>
      <c r="F987" s="116"/>
      <c r="H987" s="116"/>
      <c r="I987" s="116"/>
      <c r="L987" s="170"/>
    </row>
    <row r="988" spans="1:12" x14ac:dyDescent="0.25">
      <c r="A988" s="170"/>
      <c r="B988" s="116"/>
      <c r="C988" s="116"/>
      <c r="D988" s="116"/>
      <c r="E988" s="116"/>
      <c r="F988" s="116"/>
      <c r="H988" s="116"/>
      <c r="I988" s="116"/>
      <c r="L988" s="170"/>
    </row>
    <row r="989" spans="1:12" x14ac:dyDescent="0.25">
      <c r="A989" s="170"/>
      <c r="B989" s="116"/>
      <c r="C989" s="116"/>
      <c r="D989" s="116"/>
      <c r="E989" s="116"/>
      <c r="F989" s="116"/>
      <c r="H989" s="116"/>
      <c r="I989" s="116"/>
      <c r="L989" s="170"/>
    </row>
    <row r="990" spans="1:12" x14ac:dyDescent="0.25">
      <c r="A990" s="170"/>
      <c r="B990" s="116"/>
      <c r="C990" s="116"/>
      <c r="D990" s="116"/>
      <c r="E990" s="116"/>
      <c r="F990" s="116"/>
      <c r="H990" s="116"/>
      <c r="I990" s="116"/>
      <c r="L990" s="170"/>
    </row>
    <row r="991" spans="1:12" x14ac:dyDescent="0.25">
      <c r="A991" s="170"/>
      <c r="B991" s="116"/>
      <c r="C991" s="116"/>
      <c r="D991" s="116"/>
      <c r="E991" s="116"/>
      <c r="F991" s="116"/>
      <c r="H991" s="116"/>
      <c r="I991" s="116"/>
      <c r="L991" s="170"/>
    </row>
    <row r="992" spans="1:12" x14ac:dyDescent="0.25">
      <c r="A992" s="170"/>
      <c r="B992" s="116"/>
      <c r="C992" s="116"/>
      <c r="D992" s="116"/>
      <c r="E992" s="116"/>
      <c r="F992" s="116"/>
      <c r="H992" s="116"/>
      <c r="I992" s="116"/>
      <c r="L992" s="170"/>
    </row>
    <row r="993" spans="1:12" x14ac:dyDescent="0.25">
      <c r="A993" s="170"/>
      <c r="B993" s="116"/>
      <c r="C993" s="116"/>
      <c r="D993" s="116"/>
      <c r="E993" s="116"/>
      <c r="F993" s="116"/>
      <c r="H993" s="116"/>
      <c r="I993" s="116"/>
      <c r="L993" s="170"/>
    </row>
    <row r="994" spans="1:12" x14ac:dyDescent="0.25">
      <c r="A994" s="170"/>
      <c r="B994" s="116"/>
      <c r="C994" s="116"/>
      <c r="D994" s="116"/>
      <c r="E994" s="116"/>
      <c r="F994" s="116"/>
      <c r="H994" s="116"/>
      <c r="I994" s="116"/>
      <c r="L994" s="170"/>
    </row>
    <row r="995" spans="1:12" x14ac:dyDescent="0.25">
      <c r="A995" s="170"/>
      <c r="B995" s="116"/>
      <c r="C995" s="116"/>
      <c r="D995" s="116"/>
      <c r="E995" s="116"/>
      <c r="F995" s="116"/>
      <c r="H995" s="116"/>
      <c r="I995" s="116"/>
      <c r="L995" s="170"/>
    </row>
    <row r="996" spans="1:12" x14ac:dyDescent="0.25">
      <c r="A996" s="170"/>
      <c r="B996" s="116"/>
      <c r="C996" s="116"/>
      <c r="D996" s="116"/>
      <c r="E996" s="116"/>
      <c r="F996" s="116"/>
      <c r="H996" s="116"/>
      <c r="I996" s="116"/>
      <c r="L996" s="170"/>
    </row>
    <row r="997" spans="1:12" x14ac:dyDescent="0.25">
      <c r="A997" s="170"/>
      <c r="B997" s="116"/>
      <c r="C997" s="116"/>
      <c r="D997" s="116"/>
      <c r="E997" s="116"/>
      <c r="F997" s="116"/>
      <c r="H997" s="116"/>
      <c r="I997" s="116"/>
      <c r="L997" s="170"/>
    </row>
    <row r="998" spans="1:12" x14ac:dyDescent="0.25">
      <c r="A998" s="170"/>
      <c r="B998" s="116"/>
      <c r="C998" s="116"/>
      <c r="D998" s="116"/>
      <c r="E998" s="116"/>
      <c r="F998" s="116"/>
      <c r="H998" s="116"/>
      <c r="I998" s="116"/>
      <c r="L998" s="170"/>
    </row>
    <row r="999" spans="1:12" x14ac:dyDescent="0.25">
      <c r="A999" s="170"/>
      <c r="B999" s="116"/>
      <c r="C999" s="116"/>
      <c r="D999" s="116"/>
      <c r="E999" s="116"/>
      <c r="F999" s="116"/>
      <c r="H999" s="116"/>
      <c r="I999" s="116"/>
      <c r="L999" s="170"/>
    </row>
    <row r="1000" spans="1:12" x14ac:dyDescent="0.25">
      <c r="A1000" s="170"/>
      <c r="B1000" s="116"/>
      <c r="C1000" s="116"/>
      <c r="D1000" s="116"/>
      <c r="E1000" s="116"/>
      <c r="F1000" s="116"/>
      <c r="H1000" s="116"/>
      <c r="I1000" s="116"/>
      <c r="L1000" s="170"/>
    </row>
    <row r="1001" spans="1:12" x14ac:dyDescent="0.25">
      <c r="A1001" s="170"/>
      <c r="B1001" s="116"/>
      <c r="C1001" s="116"/>
      <c r="D1001" s="116"/>
      <c r="E1001" s="116"/>
      <c r="F1001" s="116"/>
      <c r="H1001" s="116"/>
      <c r="I1001" s="116"/>
      <c r="L1001" s="170"/>
    </row>
    <row r="1002" spans="1:12" x14ac:dyDescent="0.25">
      <c r="A1002" s="170"/>
      <c r="B1002" s="116"/>
      <c r="C1002" s="116"/>
      <c r="D1002" s="116"/>
      <c r="E1002" s="116"/>
      <c r="F1002" s="116"/>
      <c r="H1002" s="116"/>
      <c r="I1002" s="116"/>
      <c r="L1002" s="170"/>
    </row>
    <row r="1003" spans="1:12" x14ac:dyDescent="0.25">
      <c r="A1003" s="170"/>
      <c r="B1003" s="116"/>
      <c r="C1003" s="116"/>
      <c r="D1003" s="116"/>
      <c r="E1003" s="116"/>
      <c r="F1003" s="116"/>
      <c r="H1003" s="116"/>
      <c r="I1003" s="116"/>
      <c r="L1003" s="170"/>
    </row>
    <row r="1004" spans="1:12" x14ac:dyDescent="0.25">
      <c r="A1004" s="170"/>
      <c r="B1004" s="116"/>
      <c r="C1004" s="116"/>
      <c r="D1004" s="116"/>
      <c r="E1004" s="116"/>
      <c r="F1004" s="116"/>
      <c r="H1004" s="116"/>
      <c r="I1004" s="116"/>
      <c r="L1004" s="170"/>
    </row>
    <row r="1005" spans="1:12" x14ac:dyDescent="0.25">
      <c r="A1005" s="170"/>
      <c r="B1005" s="116"/>
      <c r="C1005" s="116"/>
      <c r="D1005" s="116"/>
      <c r="E1005" s="116"/>
      <c r="F1005" s="116"/>
      <c r="H1005" s="116"/>
      <c r="I1005" s="116"/>
      <c r="L1005" s="170"/>
    </row>
    <row r="1006" spans="1:12" x14ac:dyDescent="0.25">
      <c r="A1006" s="170"/>
      <c r="B1006" s="116"/>
      <c r="C1006" s="116"/>
      <c r="D1006" s="116"/>
      <c r="E1006" s="116"/>
      <c r="F1006" s="116"/>
      <c r="H1006" s="116"/>
      <c r="I1006" s="116"/>
      <c r="L1006" s="170"/>
    </row>
    <row r="1007" spans="1:12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/>
    </row>
    <row r="1008" spans="1:12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/>
    </row>
    <row r="1009" spans="1:12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/>
    </row>
    <row r="1010" spans="1:12" x14ac:dyDescent="0.25">
      <c r="A1010" s="170"/>
      <c r="B1010" s="116"/>
      <c r="C1010" s="116"/>
      <c r="D1010" s="116"/>
      <c r="E1010" s="116"/>
      <c r="F1010" s="116"/>
      <c r="H1010" s="116"/>
      <c r="I1010" s="116"/>
      <c r="L1010" s="170"/>
    </row>
    <row r="1011" spans="1:12" x14ac:dyDescent="0.25">
      <c r="A1011" s="170"/>
      <c r="B1011" s="116"/>
      <c r="C1011" s="116"/>
      <c r="D1011" s="116"/>
      <c r="E1011" s="116"/>
      <c r="F1011" s="116"/>
      <c r="H1011" s="116"/>
      <c r="I1011" s="116"/>
      <c r="L1011" s="170"/>
    </row>
    <row r="1012" spans="1:12" x14ac:dyDescent="0.25">
      <c r="A1012" s="170"/>
      <c r="B1012" s="116"/>
      <c r="C1012" s="116"/>
      <c r="D1012" s="116"/>
      <c r="E1012" s="116"/>
      <c r="F1012" s="116"/>
      <c r="H1012" s="116"/>
      <c r="I1012" s="116"/>
      <c r="L1012" s="170"/>
    </row>
    <row r="1013" spans="1:12" x14ac:dyDescent="0.25">
      <c r="A1013" s="170"/>
      <c r="B1013" s="116"/>
      <c r="C1013" s="116"/>
      <c r="D1013" s="116"/>
      <c r="E1013" s="116"/>
      <c r="F1013" s="116"/>
      <c r="H1013" s="116"/>
      <c r="I1013" s="116"/>
      <c r="L1013" s="170"/>
    </row>
    <row r="1014" spans="1:12" x14ac:dyDescent="0.25">
      <c r="A1014" s="170"/>
      <c r="B1014" s="116"/>
      <c r="C1014" s="116"/>
      <c r="D1014" s="116"/>
      <c r="E1014" s="116"/>
      <c r="F1014" s="116"/>
      <c r="H1014" s="116"/>
      <c r="I1014" s="116"/>
      <c r="L1014" s="170"/>
    </row>
    <row r="1015" spans="1:12" x14ac:dyDescent="0.25">
      <c r="A1015" s="170"/>
      <c r="B1015" s="116"/>
      <c r="C1015" s="116"/>
      <c r="D1015" s="116"/>
      <c r="E1015" s="116"/>
      <c r="F1015" s="116"/>
      <c r="H1015" s="116"/>
      <c r="I1015" s="116"/>
      <c r="L1015" s="170"/>
    </row>
    <row r="1016" spans="1:12" x14ac:dyDescent="0.25">
      <c r="A1016" s="170"/>
      <c r="B1016" s="116"/>
      <c r="C1016" s="116"/>
      <c r="D1016" s="116"/>
      <c r="E1016" s="116"/>
      <c r="F1016" s="116"/>
      <c r="H1016" s="116"/>
      <c r="I1016" s="116"/>
      <c r="L1016" s="170"/>
    </row>
    <row r="1017" spans="1:12" x14ac:dyDescent="0.25">
      <c r="A1017" s="170"/>
      <c r="B1017" s="116"/>
      <c r="C1017" s="116"/>
      <c r="D1017" s="116"/>
      <c r="E1017" s="116"/>
      <c r="F1017" s="116"/>
      <c r="H1017" s="116"/>
      <c r="I1017" s="116"/>
      <c r="L1017" s="170"/>
    </row>
    <row r="1018" spans="1:12" x14ac:dyDescent="0.25">
      <c r="A1018" s="170"/>
      <c r="B1018" s="116"/>
      <c r="C1018" s="116"/>
      <c r="D1018" s="116"/>
      <c r="E1018" s="116"/>
      <c r="F1018" s="116"/>
      <c r="H1018" s="116"/>
      <c r="I1018" s="116"/>
      <c r="L1018" s="170"/>
    </row>
    <row r="1019" spans="1:12" x14ac:dyDescent="0.25">
      <c r="A1019" s="170"/>
      <c r="B1019" s="116"/>
      <c r="C1019" s="116"/>
      <c r="D1019" s="116"/>
      <c r="E1019" s="116"/>
      <c r="F1019" s="116"/>
      <c r="H1019" s="116"/>
      <c r="I1019" s="116"/>
      <c r="L1019" s="170"/>
    </row>
    <row r="1020" spans="1:12" x14ac:dyDescent="0.25">
      <c r="A1020" s="170"/>
      <c r="B1020" s="116"/>
      <c r="C1020" s="116"/>
      <c r="D1020" s="116"/>
      <c r="E1020" s="116"/>
      <c r="F1020" s="116"/>
      <c r="H1020" s="116"/>
      <c r="I1020" s="116"/>
      <c r="L1020" s="170"/>
    </row>
    <row r="1021" spans="1:12" x14ac:dyDescent="0.25">
      <c r="A1021" s="170"/>
      <c r="B1021" s="116"/>
      <c r="C1021" s="116"/>
      <c r="D1021" s="116"/>
      <c r="E1021" s="116"/>
      <c r="F1021" s="116"/>
      <c r="H1021" s="116"/>
      <c r="I1021" s="116"/>
      <c r="L1021" s="170"/>
    </row>
    <row r="1022" spans="1:12" x14ac:dyDescent="0.25">
      <c r="A1022" s="170"/>
      <c r="B1022" s="116"/>
      <c r="C1022" s="116"/>
      <c r="D1022" s="116"/>
      <c r="E1022" s="116"/>
      <c r="F1022" s="116"/>
      <c r="H1022" s="116"/>
      <c r="I1022" s="116"/>
      <c r="L1022" s="170"/>
    </row>
    <row r="1023" spans="1:12" x14ac:dyDescent="0.25">
      <c r="A1023" s="170"/>
      <c r="B1023" s="116"/>
      <c r="C1023" s="116"/>
      <c r="D1023" s="116"/>
      <c r="E1023" s="116"/>
      <c r="F1023" s="116"/>
      <c r="H1023" s="116"/>
      <c r="I1023" s="116"/>
      <c r="L1023" s="170"/>
    </row>
    <row r="1024" spans="1:12" x14ac:dyDescent="0.25">
      <c r="A1024" s="170"/>
      <c r="B1024" s="116"/>
      <c r="C1024" s="116"/>
      <c r="D1024" s="116"/>
      <c r="E1024" s="116"/>
      <c r="F1024" s="116"/>
      <c r="H1024" s="116"/>
      <c r="I1024" s="116"/>
      <c r="L1024" s="170"/>
    </row>
    <row r="1025" spans="1:18" x14ac:dyDescent="0.25">
      <c r="A1025" s="170"/>
      <c r="B1025" s="116"/>
      <c r="C1025" s="116"/>
      <c r="D1025" s="116"/>
      <c r="E1025" s="116"/>
      <c r="F1025" s="116"/>
      <c r="H1025" s="116"/>
      <c r="I1025" s="116"/>
      <c r="L1025" s="170"/>
    </row>
    <row r="1026" spans="1:18" x14ac:dyDescent="0.25">
      <c r="A1026" s="170"/>
      <c r="B1026" s="116"/>
      <c r="C1026" s="116"/>
      <c r="D1026" s="116"/>
      <c r="E1026" s="116"/>
      <c r="F1026" s="116"/>
      <c r="H1026" s="116"/>
      <c r="I1026" s="116"/>
      <c r="L1026" s="170"/>
    </row>
    <row r="1027" spans="1:18" x14ac:dyDescent="0.25">
      <c r="A1027" s="170"/>
      <c r="B1027" s="116"/>
      <c r="C1027" s="116"/>
      <c r="D1027" s="116"/>
      <c r="E1027" s="116"/>
      <c r="F1027" s="116"/>
      <c r="H1027" s="116"/>
      <c r="I1027" s="116"/>
      <c r="L1027" s="170"/>
    </row>
    <row r="1028" spans="1:18" x14ac:dyDescent="0.25">
      <c r="A1028" s="170"/>
      <c r="B1028" s="116"/>
      <c r="C1028" s="116"/>
      <c r="D1028" s="116"/>
      <c r="E1028" s="116"/>
      <c r="F1028" s="116"/>
      <c r="H1028" s="116"/>
      <c r="I1028" s="116"/>
      <c r="L1028" s="170"/>
    </row>
    <row r="1029" spans="1:18" x14ac:dyDescent="0.25">
      <c r="A1029" s="170"/>
      <c r="B1029" s="116"/>
      <c r="C1029" s="116"/>
      <c r="D1029" s="116"/>
      <c r="E1029" s="116"/>
      <c r="F1029" s="116"/>
      <c r="H1029" s="116"/>
      <c r="I1029" s="116"/>
      <c r="L1029" s="170"/>
    </row>
    <row r="1030" spans="1:18" x14ac:dyDescent="0.25">
      <c r="A1030" s="170"/>
      <c r="B1030" s="116"/>
      <c r="C1030" s="116"/>
      <c r="D1030" s="116"/>
      <c r="E1030" s="116"/>
      <c r="F1030" s="116"/>
      <c r="H1030" s="116"/>
      <c r="I1030" s="116"/>
      <c r="L1030" s="170"/>
    </row>
    <row r="1031" spans="1:18" x14ac:dyDescent="0.25">
      <c r="A1031" s="170"/>
      <c r="B1031" s="116"/>
      <c r="C1031" s="116"/>
      <c r="D1031" s="116"/>
      <c r="E1031" s="116"/>
      <c r="F1031" s="116"/>
      <c r="H1031" s="116"/>
      <c r="I1031" s="116"/>
      <c r="L1031" s="170"/>
    </row>
    <row r="1032" spans="1:18" x14ac:dyDescent="0.25">
      <c r="A1032" s="170"/>
      <c r="B1032" s="116"/>
      <c r="C1032" s="116"/>
      <c r="D1032" s="116"/>
      <c r="E1032" s="116"/>
      <c r="F1032" s="116"/>
      <c r="H1032" s="116"/>
      <c r="I1032" s="116"/>
      <c r="L1032" s="170"/>
    </row>
    <row r="1033" spans="1:18" x14ac:dyDescent="0.25">
      <c r="A1033" s="170"/>
      <c r="B1033" s="116"/>
      <c r="C1033" s="116"/>
      <c r="D1033" s="116"/>
      <c r="E1033" s="116"/>
      <c r="F1033" s="116"/>
      <c r="H1033" s="116"/>
      <c r="I1033" s="116"/>
      <c r="L1033" s="170"/>
    </row>
    <row r="1034" spans="1:18" x14ac:dyDescent="0.25">
      <c r="A1034" s="170"/>
      <c r="B1034" s="116"/>
      <c r="C1034" s="116"/>
      <c r="D1034" s="116"/>
      <c r="E1034" s="116"/>
      <c r="F1034" s="116"/>
      <c r="H1034" s="116"/>
      <c r="I1034" s="116"/>
      <c r="L1034" s="170"/>
    </row>
    <row r="1035" spans="1:18" x14ac:dyDescent="0.25">
      <c r="A1035" s="170"/>
      <c r="B1035" s="116"/>
      <c r="C1035" s="116"/>
      <c r="D1035" s="116"/>
      <c r="E1035" s="116"/>
      <c r="F1035" s="116"/>
      <c r="H1035" s="116"/>
      <c r="I1035" s="116"/>
      <c r="L1035" s="170"/>
    </row>
    <row r="1036" spans="1:18" x14ac:dyDescent="0.25">
      <c r="A1036" s="170"/>
      <c r="B1036" s="116"/>
      <c r="C1036" s="116"/>
      <c r="D1036" s="116"/>
      <c r="E1036" s="116"/>
      <c r="F1036" s="116"/>
      <c r="H1036" s="116"/>
      <c r="I1036" s="116"/>
      <c r="L1036" s="170"/>
    </row>
    <row r="1037" spans="1:18" x14ac:dyDescent="0.25">
      <c r="A1037" s="170"/>
      <c r="B1037" s="116"/>
      <c r="C1037" s="116"/>
      <c r="D1037" s="116"/>
      <c r="E1037" s="116"/>
      <c r="F1037" s="116"/>
      <c r="H1037" s="116"/>
      <c r="I1037" s="116"/>
      <c r="L1037" s="170"/>
    </row>
    <row r="1038" spans="1:18" x14ac:dyDescent="0.25">
      <c r="A1038" s="170"/>
      <c r="B1038" s="116"/>
      <c r="C1038" s="116"/>
      <c r="D1038" s="116"/>
      <c r="E1038" s="116"/>
      <c r="F1038" s="116"/>
      <c r="H1038" s="116"/>
      <c r="I1038" s="116"/>
      <c r="L1038" s="170"/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2026-06-17T10:46:20Z</dcterms:modified>
  <cp:category/>
  <cp:contentStatus/>
</cp:coreProperties>
</file>